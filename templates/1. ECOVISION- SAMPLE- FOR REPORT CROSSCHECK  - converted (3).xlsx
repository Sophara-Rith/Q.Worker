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iTii\Desktop\Q_Wrkr\templates\"/>
    </mc:Choice>
  </mc:AlternateContent>
  <xr:revisionPtr revIDLastSave="0" documentId="13_ncr:1_{44BF8684-C927-4657-8611-7A7A9F1BEBAC}" xr6:coauthVersionLast="47" xr6:coauthVersionMax="47" xr10:uidLastSave="{00000000-0000-0000-0000-000000000000}"/>
  <bookViews>
    <workbookView xWindow="-110" yWindow="-110" windowWidth="19420" windowHeight="10300" tabRatio="801" firstSheet="1" activeTab="7" xr2:uid="{00000000-000D-0000-FFFF-FFFF00000000}"/>
  </bookViews>
  <sheets>
    <sheet name="Company information" sheetId="35" r:id="rId1"/>
    <sheet name="Annex 0-IM State Charge" sheetId="1" r:id="rId2"/>
    <sheet name="Annex I-IM Non-State Charge" sheetId="33" r:id="rId3"/>
    <sheet name="AnnexII-Local Pur" sheetId="37" r:id="rId4"/>
    <sheet name="Annex III-EX" sheetId="5" r:id="rId5"/>
    <sheet name="Annex IV-Local Sale" sheetId="34" r:id="rId6"/>
    <sheet name="303B" sheetId="36" r:id="rId7"/>
    <sheet name="Taxpaid" sheetId="38" r:id="rId8"/>
    <sheet name="Damco" sheetId="25" state="hidden" r:id="rId9"/>
    <sheet name="Chea Fat" sheetId="27" state="hidden" r:id="rId10"/>
    <sheet name="S G L CAMBODIA" sheetId="28" state="hidden" r:id="rId11"/>
    <sheet name="Sheet3" sheetId="29" state="hidden" r:id="rId12"/>
    <sheet name="Sale - June" sheetId="32" state="hidden" r:id="rId13"/>
    <sheet name="Sale - Jul" sheetId="31" state="hidden" r:id="rId14"/>
    <sheet name="Sale - Aug" sheetId="30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xlnm._FilterDatabase" localSheetId="4" hidden="1">'Annex III-EX'!$A$9:$I$1690</definedName>
    <definedName name="_xlnm._FilterDatabase" localSheetId="2" hidden="1">'Annex I-IM Non-State Charge'!$A$9:$K$17</definedName>
    <definedName name="_xlnm._FilterDatabase" localSheetId="3" hidden="1">'AnnexII-Local Pur'!$A$9:$AJ$722</definedName>
    <definedName name="_xlnm._FilterDatabase" localSheetId="8" hidden="1">Damco!$B$11:$I$13</definedName>
    <definedName name="_xlnm._FilterDatabase" localSheetId="14" hidden="1">'Sale - Aug'!$A$6:$P$50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_xlnm.Print_Area" localSheetId="1">'Annex 0-IM State Charge'!$A$1:$H$23</definedName>
    <definedName name="_xlnm.Print_Area" localSheetId="4">'Annex III-EX'!$A$1:$E$1699</definedName>
    <definedName name="_xlnm.Print_Area" localSheetId="2">'Annex I-IM Non-State Charge'!$A$1:$I$27</definedName>
    <definedName name="_xlnm.Print_Area" localSheetId="5">'Annex IV-Local Sale'!$A$1:$H$18</definedName>
    <definedName name="_xlnm.Print_Area" localSheetId="3">'AnnexII-Local Pur'!$A$1:$K$752</definedName>
    <definedName name="_xlnm.Print_Titles" localSheetId="4">'Annex III-EX'!$7:$8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8" l="1"/>
  <c r="K17" i="33"/>
  <c r="A82" i="37" l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32" i="37" s="1"/>
  <c r="A133" i="37" s="1"/>
  <c r="A134" i="37" s="1"/>
  <c r="A135" i="37" s="1"/>
  <c r="A136" i="37" s="1"/>
  <c r="A137" i="37" s="1"/>
  <c r="A138" i="37" s="1"/>
  <c r="A139" i="37" s="1"/>
  <c r="A140" i="37" s="1"/>
  <c r="A141" i="37" s="1"/>
  <c r="A142" i="37" s="1"/>
  <c r="A143" i="37" s="1"/>
  <c r="A144" i="37" s="1"/>
  <c r="A145" i="37" s="1"/>
  <c r="A146" i="37" s="1"/>
  <c r="A147" i="37" s="1"/>
  <c r="A148" i="37" s="1"/>
  <c r="A149" i="37" s="1"/>
  <c r="A150" i="37" s="1"/>
  <c r="A151" i="37" s="1"/>
  <c r="A152" i="37" s="1"/>
  <c r="A153" i="37" s="1"/>
  <c r="A154" i="37" s="1"/>
  <c r="A155" i="37" s="1"/>
  <c r="A156" i="37" s="1"/>
  <c r="A157" i="37" s="1"/>
  <c r="A158" i="37" s="1"/>
  <c r="A159" i="37" s="1"/>
  <c r="A160" i="37" s="1"/>
  <c r="A161" i="37" s="1"/>
  <c r="A162" i="37" s="1"/>
  <c r="A163" i="37" s="1"/>
  <c r="A164" i="37" s="1"/>
  <c r="A165" i="37" s="1"/>
  <c r="A166" i="37" s="1"/>
  <c r="A167" i="37" s="1"/>
  <c r="A168" i="37" s="1"/>
  <c r="A169" i="37" s="1"/>
  <c r="A170" i="37" s="1"/>
  <c r="A171" i="37" s="1"/>
  <c r="A172" i="37" s="1"/>
  <c r="A173" i="37" s="1"/>
  <c r="A174" i="37" s="1"/>
  <c r="A175" i="37" s="1"/>
  <c r="A176" i="37" s="1"/>
  <c r="A177" i="37" s="1"/>
  <c r="A178" i="37" s="1"/>
  <c r="A179" i="37" s="1"/>
  <c r="A180" i="37" s="1"/>
  <c r="A181" i="37" s="1"/>
  <c r="A182" i="37" s="1"/>
  <c r="A183" i="37" s="1"/>
  <c r="A184" i="37" s="1"/>
  <c r="A185" i="37" s="1"/>
  <c r="A186" i="37" s="1"/>
  <c r="A187" i="37" s="1"/>
  <c r="A188" i="37" s="1"/>
  <c r="A189" i="37" s="1"/>
  <c r="A190" i="37" s="1"/>
  <c r="A191" i="37" s="1"/>
  <c r="A192" i="37" s="1"/>
  <c r="A193" i="37" s="1"/>
  <c r="A194" i="37" s="1"/>
  <c r="A195" i="37" s="1"/>
  <c r="A196" i="37" s="1"/>
  <c r="A197" i="37" s="1"/>
  <c r="A198" i="37" s="1"/>
  <c r="A199" i="37" s="1"/>
  <c r="A200" i="37" s="1"/>
  <c r="A201" i="37" s="1"/>
  <c r="A202" i="37" s="1"/>
  <c r="A203" i="37" s="1"/>
  <c r="A204" i="37" s="1"/>
  <c r="A205" i="37" s="1"/>
  <c r="A206" i="37" s="1"/>
  <c r="A207" i="37" s="1"/>
  <c r="A208" i="37" s="1"/>
  <c r="A209" i="37" s="1"/>
  <c r="A210" i="37" s="1"/>
  <c r="A211" i="37" s="1"/>
  <c r="A212" i="37" s="1"/>
  <c r="A213" i="37" s="1"/>
  <c r="A214" i="37" s="1"/>
  <c r="A215" i="37" s="1"/>
  <c r="A216" i="37" s="1"/>
  <c r="A217" i="37" s="1"/>
  <c r="A218" i="37" s="1"/>
  <c r="A219" i="37" s="1"/>
  <c r="A220" i="37" s="1"/>
  <c r="A221" i="37" s="1"/>
  <c r="A222" i="37" s="1"/>
  <c r="A223" i="37" s="1"/>
  <c r="A224" i="37" s="1"/>
  <c r="A225" i="37" s="1"/>
  <c r="A226" i="37" s="1"/>
  <c r="A227" i="37" s="1"/>
  <c r="A228" i="37" s="1"/>
  <c r="A229" i="37" s="1"/>
  <c r="A230" i="37" s="1"/>
  <c r="A231" i="37" s="1"/>
  <c r="A232" i="37" s="1"/>
  <c r="A233" i="37" s="1"/>
  <c r="A234" i="37" s="1"/>
  <c r="A235" i="37" s="1"/>
  <c r="A236" i="37" s="1"/>
  <c r="A237" i="37" s="1"/>
  <c r="A238" i="37" s="1"/>
  <c r="A239" i="37" s="1"/>
  <c r="A240" i="37" s="1"/>
  <c r="A241" i="37" s="1"/>
  <c r="A242" i="37" s="1"/>
  <c r="A243" i="37" s="1"/>
  <c r="A244" i="37" s="1"/>
  <c r="A245" i="37" s="1"/>
  <c r="A246" i="37" s="1"/>
  <c r="A247" i="37" s="1"/>
  <c r="A248" i="37" s="1"/>
  <c r="A249" i="37" s="1"/>
  <c r="A250" i="37" s="1"/>
  <c r="A251" i="37" s="1"/>
  <c r="A252" i="37" s="1"/>
  <c r="A253" i="37" s="1"/>
  <c r="A254" i="37" s="1"/>
  <c r="A255" i="37" s="1"/>
  <c r="A256" i="37" s="1"/>
  <c r="A257" i="37" s="1"/>
  <c r="A258" i="37" s="1"/>
  <c r="A259" i="37" s="1"/>
  <c r="A260" i="37" s="1"/>
  <c r="A261" i="37" s="1"/>
  <c r="A262" i="37" s="1"/>
  <c r="A263" i="37" s="1"/>
  <c r="A264" i="37" s="1"/>
  <c r="A265" i="37" s="1"/>
  <c r="A266" i="37" s="1"/>
  <c r="A267" i="37" s="1"/>
  <c r="A268" i="37" s="1"/>
  <c r="A269" i="37" s="1"/>
  <c r="A270" i="37" s="1"/>
  <c r="A271" i="37" s="1"/>
  <c r="A272" i="37" s="1"/>
  <c r="A273" i="37" s="1"/>
  <c r="A274" i="37" s="1"/>
  <c r="A275" i="37" s="1"/>
  <c r="A276" i="37" s="1"/>
  <c r="A277" i="37" s="1"/>
  <c r="A278" i="37" s="1"/>
  <c r="A279" i="37" s="1"/>
  <c r="A280" i="37" s="1"/>
  <c r="A281" i="37" s="1"/>
  <c r="A282" i="37" s="1"/>
  <c r="A283" i="37" s="1"/>
  <c r="A284" i="37" s="1"/>
  <c r="A285" i="37" s="1"/>
  <c r="A286" i="37" s="1"/>
  <c r="A287" i="37" s="1"/>
  <c r="A288" i="37" s="1"/>
  <c r="A289" i="37" s="1"/>
  <c r="A290" i="37" s="1"/>
  <c r="A291" i="37" s="1"/>
  <c r="A292" i="37" s="1"/>
  <c r="A293" i="37" s="1"/>
  <c r="A294" i="37" s="1"/>
  <c r="A295" i="37" s="1"/>
  <c r="A296" i="37" s="1"/>
  <c r="A297" i="37" s="1"/>
  <c r="A298" i="37" s="1"/>
  <c r="A299" i="37" s="1"/>
  <c r="A300" i="37" s="1"/>
  <c r="A301" i="37" s="1"/>
  <c r="A302" i="37" s="1"/>
  <c r="A303" i="37" s="1"/>
  <c r="A304" i="37" s="1"/>
  <c r="A305" i="37" s="1"/>
  <c r="A306" i="37" s="1"/>
  <c r="A307" i="37" s="1"/>
  <c r="A308" i="37" s="1"/>
  <c r="A309" i="37" s="1"/>
  <c r="A310" i="37" s="1"/>
  <c r="A311" i="37" s="1"/>
  <c r="A312" i="37" s="1"/>
  <c r="A313" i="37" s="1"/>
  <c r="A314" i="37" s="1"/>
  <c r="A315" i="37" s="1"/>
  <c r="A316" i="37" s="1"/>
  <c r="A317" i="37" s="1"/>
  <c r="A318" i="37" s="1"/>
  <c r="A319" i="37" s="1"/>
  <c r="A320" i="37" s="1"/>
  <c r="A321" i="37" s="1"/>
  <c r="A322" i="37" s="1"/>
  <c r="A323" i="37" s="1"/>
  <c r="A324" i="37" s="1"/>
  <c r="A325" i="37" s="1"/>
  <c r="A326" i="37" s="1"/>
  <c r="A327" i="37" s="1"/>
  <c r="A328" i="37" s="1"/>
  <c r="A329" i="37" s="1"/>
  <c r="A330" i="37" s="1"/>
  <c r="A331" i="37" s="1"/>
  <c r="A332" i="37" s="1"/>
  <c r="A333" i="37" s="1"/>
  <c r="A334" i="37" s="1"/>
  <c r="A335" i="37" s="1"/>
  <c r="A336" i="37" s="1"/>
  <c r="A337" i="37" s="1"/>
  <c r="A338" i="37" s="1"/>
  <c r="A339" i="37" s="1"/>
  <c r="A340" i="37" s="1"/>
  <c r="A341" i="37" s="1"/>
  <c r="A342" i="37" s="1"/>
  <c r="A343" i="37" s="1"/>
  <c r="A344" i="37" s="1"/>
  <c r="A345" i="37" s="1"/>
  <c r="A346" i="37" s="1"/>
  <c r="A347" i="37" s="1"/>
  <c r="A348" i="37" s="1"/>
  <c r="A349" i="37" s="1"/>
  <c r="A350" i="37" s="1"/>
  <c r="A351" i="37" s="1"/>
  <c r="A352" i="37" s="1"/>
  <c r="A353" i="37" s="1"/>
  <c r="A354" i="37" s="1"/>
  <c r="A355" i="37" s="1"/>
  <c r="A356" i="37" s="1"/>
  <c r="A357" i="37" s="1"/>
  <c r="A358" i="37" s="1"/>
  <c r="A359" i="37" s="1"/>
  <c r="A360" i="37" s="1"/>
  <c r="A361" i="37" s="1"/>
  <c r="A362" i="37" s="1"/>
  <c r="A363" i="37" s="1"/>
  <c r="A364" i="37" s="1"/>
  <c r="A365" i="37" s="1"/>
  <c r="A366" i="37" s="1"/>
  <c r="A367" i="37" s="1"/>
  <c r="A368" i="37" s="1"/>
  <c r="A369" i="37" s="1"/>
  <c r="A370" i="37" s="1"/>
  <c r="A371" i="37" s="1"/>
  <c r="A372" i="37" s="1"/>
  <c r="A373" i="37" s="1"/>
  <c r="A374" i="37" s="1"/>
  <c r="A375" i="37" s="1"/>
  <c r="A376" i="37" s="1"/>
  <c r="A377" i="37" s="1"/>
  <c r="A378" i="37" s="1"/>
  <c r="A379" i="37" s="1"/>
  <c r="A380" i="37" s="1"/>
  <c r="A381" i="37" s="1"/>
  <c r="A382" i="37" s="1"/>
  <c r="A383" i="37" s="1"/>
  <c r="A384" i="37" s="1"/>
  <c r="A385" i="37" s="1"/>
  <c r="A386" i="37" s="1"/>
  <c r="A387" i="37" s="1"/>
  <c r="A388" i="37" s="1"/>
  <c r="A389" i="37" s="1"/>
  <c r="A390" i="37" s="1"/>
  <c r="A391" i="37" s="1"/>
  <c r="A392" i="37" s="1"/>
  <c r="A393" i="37" s="1"/>
  <c r="A394" i="37" s="1"/>
  <c r="A395" i="37" s="1"/>
  <c r="A396" i="37" s="1"/>
  <c r="A397" i="37" s="1"/>
  <c r="A398" i="37" s="1"/>
  <c r="A399" i="37" s="1"/>
  <c r="A400" i="37" s="1"/>
  <c r="A401" i="37" s="1"/>
  <c r="A402" i="37" s="1"/>
  <c r="A403" i="37" s="1"/>
  <c r="A404" i="37" s="1"/>
  <c r="A405" i="37" s="1"/>
  <c r="A406" i="37" s="1"/>
  <c r="A407" i="37" s="1"/>
  <c r="A408" i="37" s="1"/>
  <c r="A409" i="37" s="1"/>
  <c r="A410" i="37" s="1"/>
  <c r="A411" i="37" s="1"/>
  <c r="A412" i="37" s="1"/>
  <c r="A413" i="37" s="1"/>
  <c r="A414" i="37" s="1"/>
  <c r="A415" i="37" s="1"/>
  <c r="A416" i="37" s="1"/>
  <c r="A417" i="37" s="1"/>
  <c r="A418" i="37" s="1"/>
  <c r="A419" i="37" s="1"/>
  <c r="A420" i="37" s="1"/>
  <c r="A421" i="37" s="1"/>
  <c r="A422" i="37" s="1"/>
  <c r="A423" i="37" s="1"/>
  <c r="A424" i="37" s="1"/>
  <c r="A425" i="37" s="1"/>
  <c r="A426" i="37" s="1"/>
  <c r="A427" i="37" s="1"/>
  <c r="A428" i="37" s="1"/>
  <c r="A429" i="37" s="1"/>
  <c r="A430" i="37" s="1"/>
  <c r="A431" i="37" s="1"/>
  <c r="A432" i="37" s="1"/>
  <c r="A433" i="37" s="1"/>
  <c r="A434" i="37" s="1"/>
  <c r="A435" i="37" s="1"/>
  <c r="A436" i="37" s="1"/>
  <c r="A437" i="37" s="1"/>
  <c r="A438" i="37" s="1"/>
  <c r="A439" i="37" s="1"/>
  <c r="A440" i="37" s="1"/>
  <c r="A441" i="37" s="1"/>
  <c r="A442" i="37" s="1"/>
  <c r="A443" i="37" s="1"/>
  <c r="A444" i="37" s="1"/>
  <c r="A445" i="37" s="1"/>
  <c r="A446" i="37" s="1"/>
  <c r="A447" i="37" s="1"/>
  <c r="A448" i="37" s="1"/>
  <c r="A449" i="37" s="1"/>
  <c r="A450" i="37" s="1"/>
  <c r="A451" i="37" s="1"/>
  <c r="A452" i="37" s="1"/>
  <c r="A453" i="37" s="1"/>
  <c r="A454" i="37" s="1"/>
  <c r="A455" i="37" s="1"/>
  <c r="A456" i="37" s="1"/>
  <c r="A457" i="37" s="1"/>
  <c r="A458" i="37" s="1"/>
  <c r="A459" i="37" s="1"/>
  <c r="A460" i="37" s="1"/>
  <c r="A461" i="37" s="1"/>
  <c r="A462" i="37" s="1"/>
  <c r="A463" i="37" s="1"/>
  <c r="A464" i="37" s="1"/>
  <c r="A465" i="37" s="1"/>
  <c r="A466" i="37" s="1"/>
  <c r="A467" i="37" s="1"/>
  <c r="A468" i="37" s="1"/>
  <c r="A469" i="37" s="1"/>
  <c r="A470" i="37" s="1"/>
  <c r="A471" i="37" s="1"/>
  <c r="A472" i="37" s="1"/>
  <c r="A473" i="37" s="1"/>
  <c r="A474" i="37" s="1"/>
  <c r="A475" i="37" s="1"/>
  <c r="A476" i="37" s="1"/>
  <c r="A477" i="37" s="1"/>
  <c r="A478" i="37" s="1"/>
  <c r="A479" i="37" s="1"/>
  <c r="A480" i="37" s="1"/>
  <c r="A481" i="37" s="1"/>
  <c r="A482" i="37" s="1"/>
  <c r="A483" i="37" s="1"/>
  <c r="A484" i="37" s="1"/>
  <c r="A485" i="37" s="1"/>
  <c r="A486" i="37" s="1"/>
  <c r="A487" i="37" s="1"/>
  <c r="A488" i="37" s="1"/>
  <c r="A489" i="37" s="1"/>
  <c r="A490" i="37" s="1"/>
  <c r="A491" i="37" s="1"/>
  <c r="A492" i="37" s="1"/>
  <c r="A493" i="37" s="1"/>
  <c r="A494" i="37" s="1"/>
  <c r="A495" i="37" s="1"/>
  <c r="A496" i="37" s="1"/>
  <c r="A497" i="37" s="1"/>
  <c r="A498" i="37" s="1"/>
  <c r="A499" i="37" s="1"/>
  <c r="A500" i="37" s="1"/>
  <c r="A501" i="37" s="1"/>
  <c r="A502" i="37" s="1"/>
  <c r="A503" i="37" s="1"/>
  <c r="A504" i="37" s="1"/>
  <c r="A505" i="37" s="1"/>
  <c r="A506" i="37" s="1"/>
  <c r="A507" i="37" s="1"/>
  <c r="A508" i="37" s="1"/>
  <c r="A509" i="37" s="1"/>
  <c r="A510" i="37" s="1"/>
  <c r="A511" i="37" s="1"/>
  <c r="A512" i="37" s="1"/>
  <c r="A513" i="37" s="1"/>
  <c r="A514" i="37" s="1"/>
  <c r="A515" i="37" s="1"/>
  <c r="A516" i="37" s="1"/>
  <c r="A517" i="37" s="1"/>
  <c r="A518" i="37" s="1"/>
  <c r="A519" i="37" s="1"/>
  <c r="A520" i="37" s="1"/>
  <c r="A521" i="37" s="1"/>
  <c r="A522" i="37" s="1"/>
  <c r="A523" i="37" s="1"/>
  <c r="A524" i="37" s="1"/>
  <c r="A525" i="37" s="1"/>
  <c r="A526" i="37" s="1"/>
  <c r="A527" i="37" s="1"/>
  <c r="A528" i="37" s="1"/>
  <c r="A529" i="37" s="1"/>
  <c r="A530" i="37" s="1"/>
  <c r="A531" i="37" s="1"/>
  <c r="A532" i="37" s="1"/>
  <c r="A533" i="37" s="1"/>
  <c r="A534" i="37" s="1"/>
  <c r="A535" i="37" s="1"/>
  <c r="A536" i="37" s="1"/>
  <c r="A537" i="37" s="1"/>
  <c r="A538" i="37" s="1"/>
  <c r="A539" i="37" s="1"/>
  <c r="A540" i="37" s="1"/>
  <c r="A541" i="37" s="1"/>
  <c r="A542" i="37" s="1"/>
  <c r="A543" i="37" s="1"/>
  <c r="A544" i="37" s="1"/>
  <c r="A545" i="37" s="1"/>
  <c r="A546" i="37" s="1"/>
  <c r="A547" i="37" s="1"/>
  <c r="A548" i="37" s="1"/>
  <c r="A549" i="37" s="1"/>
  <c r="A550" i="37" s="1"/>
  <c r="A551" i="37" s="1"/>
  <c r="A552" i="37" s="1"/>
  <c r="A553" i="37" s="1"/>
  <c r="A554" i="37" s="1"/>
  <c r="A555" i="37" s="1"/>
  <c r="A556" i="37" s="1"/>
  <c r="A557" i="37" s="1"/>
  <c r="A558" i="37" s="1"/>
  <c r="A559" i="37" s="1"/>
  <c r="A560" i="37" s="1"/>
  <c r="A561" i="37" s="1"/>
  <c r="A562" i="37" s="1"/>
  <c r="A563" i="37" s="1"/>
  <c r="A564" i="37" s="1"/>
  <c r="A565" i="37" s="1"/>
  <c r="A566" i="37" s="1"/>
  <c r="A567" i="37" s="1"/>
  <c r="A568" i="37" s="1"/>
  <c r="A569" i="37" s="1"/>
  <c r="A570" i="37" s="1"/>
  <c r="A571" i="37" s="1"/>
  <c r="A572" i="37" s="1"/>
  <c r="A573" i="37" s="1"/>
  <c r="A574" i="37" s="1"/>
  <c r="A575" i="37" s="1"/>
  <c r="A576" i="37" s="1"/>
  <c r="A577" i="37" s="1"/>
  <c r="A578" i="37" s="1"/>
  <c r="A579" i="37" s="1"/>
  <c r="A580" i="37" s="1"/>
  <c r="A581" i="37" s="1"/>
  <c r="A582" i="37" s="1"/>
  <c r="A583" i="37" s="1"/>
  <c r="A584" i="37" s="1"/>
  <c r="A585" i="37" s="1"/>
  <c r="A586" i="37" s="1"/>
  <c r="A587" i="37" s="1"/>
  <c r="A588" i="37" s="1"/>
  <c r="A589" i="37" s="1"/>
  <c r="A590" i="37" s="1"/>
  <c r="A591" i="37" s="1"/>
  <c r="A592" i="37" s="1"/>
  <c r="A593" i="37" s="1"/>
  <c r="A594" i="37" s="1"/>
  <c r="A595" i="37" s="1"/>
  <c r="A596" i="37" s="1"/>
  <c r="A597" i="37" s="1"/>
  <c r="A598" i="37" s="1"/>
  <c r="A599" i="37" s="1"/>
  <c r="A600" i="37" s="1"/>
  <c r="A601" i="37" s="1"/>
  <c r="A602" i="37" s="1"/>
  <c r="A603" i="37" s="1"/>
  <c r="A604" i="37" s="1"/>
  <c r="A605" i="37" s="1"/>
  <c r="A606" i="37" s="1"/>
  <c r="A607" i="37" s="1"/>
  <c r="A608" i="37" s="1"/>
  <c r="A609" i="37" s="1"/>
  <c r="A610" i="37" s="1"/>
  <c r="A611" i="37" s="1"/>
  <c r="A612" i="37" s="1"/>
  <c r="A613" i="37" s="1"/>
  <c r="A614" i="37" s="1"/>
  <c r="A615" i="37" s="1"/>
  <c r="A616" i="37" s="1"/>
  <c r="A617" i="37" s="1"/>
  <c r="A618" i="37" s="1"/>
  <c r="A619" i="37" s="1"/>
  <c r="A620" i="37" s="1"/>
  <c r="A621" i="37" s="1"/>
  <c r="A622" i="37" s="1"/>
  <c r="A623" i="37" s="1"/>
  <c r="A624" i="37" s="1"/>
  <c r="A625" i="37" s="1"/>
  <c r="A626" i="37" s="1"/>
  <c r="A627" i="37" s="1"/>
  <c r="A628" i="37" s="1"/>
  <c r="A629" i="37" s="1"/>
  <c r="A630" i="37" s="1"/>
  <c r="A631" i="37" s="1"/>
  <c r="A632" i="37" s="1"/>
  <c r="A633" i="37" s="1"/>
  <c r="A634" i="37" s="1"/>
  <c r="A635" i="37" s="1"/>
  <c r="A636" i="37" s="1"/>
  <c r="A637" i="37" s="1"/>
  <c r="A638" i="37" s="1"/>
  <c r="A639" i="37" s="1"/>
  <c r="A640" i="37" s="1"/>
  <c r="A641" i="37" s="1"/>
  <c r="A642" i="37" s="1"/>
  <c r="A643" i="37" s="1"/>
  <c r="A644" i="37" s="1"/>
  <c r="A645" i="37" s="1"/>
  <c r="A646" i="37" s="1"/>
  <c r="A647" i="37" s="1"/>
  <c r="A648" i="37" s="1"/>
  <c r="A649" i="37" s="1"/>
  <c r="A650" i="37" s="1"/>
  <c r="A651" i="37" s="1"/>
  <c r="A652" i="37" s="1"/>
  <c r="A653" i="37" s="1"/>
  <c r="A654" i="37" s="1"/>
  <c r="A655" i="37" s="1"/>
  <c r="A656" i="37" s="1"/>
  <c r="A657" i="37" s="1"/>
  <c r="A658" i="37" s="1"/>
  <c r="A659" i="37" s="1"/>
  <c r="A660" i="37" s="1"/>
  <c r="A661" i="37" s="1"/>
  <c r="A662" i="37" s="1"/>
  <c r="A663" i="37" s="1"/>
  <c r="A664" i="37" s="1"/>
  <c r="A665" i="37" s="1"/>
  <c r="A666" i="37" s="1"/>
  <c r="A667" i="37" s="1"/>
  <c r="A668" i="37" s="1"/>
  <c r="A669" i="37" s="1"/>
  <c r="A670" i="37" s="1"/>
  <c r="A671" i="37" s="1"/>
  <c r="A672" i="37" s="1"/>
  <c r="A673" i="37" s="1"/>
  <c r="A674" i="37" s="1"/>
  <c r="A675" i="37" s="1"/>
  <c r="A676" i="37" s="1"/>
  <c r="A677" i="37" s="1"/>
  <c r="A678" i="37" s="1"/>
  <c r="A679" i="37" s="1"/>
  <c r="A680" i="37" s="1"/>
  <c r="A681" i="37" s="1"/>
  <c r="A682" i="37" s="1"/>
  <c r="A683" i="37" s="1"/>
  <c r="A684" i="37" s="1"/>
  <c r="A685" i="37" s="1"/>
  <c r="A686" i="37" s="1"/>
  <c r="A687" i="37" s="1"/>
  <c r="A688" i="37" s="1"/>
  <c r="A689" i="37" s="1"/>
  <c r="A690" i="37" s="1"/>
  <c r="A691" i="37" s="1"/>
  <c r="A692" i="37" s="1"/>
  <c r="A693" i="37" s="1"/>
  <c r="A694" i="37" s="1"/>
  <c r="A695" i="37" s="1"/>
  <c r="A696" i="37" s="1"/>
  <c r="A697" i="37" s="1"/>
  <c r="A698" i="37" s="1"/>
  <c r="A699" i="37" s="1"/>
  <c r="A700" i="37" s="1"/>
  <c r="A701" i="37" s="1"/>
  <c r="A702" i="37" s="1"/>
  <c r="A703" i="37" s="1"/>
  <c r="A704" i="37" s="1"/>
  <c r="A705" i="37" s="1"/>
  <c r="A706" i="37" s="1"/>
  <c r="A707" i="37" s="1"/>
  <c r="A708" i="37" s="1"/>
  <c r="A709" i="37" s="1"/>
  <c r="A710" i="37" s="1"/>
  <c r="A711" i="37" s="1"/>
  <c r="A712" i="37" s="1"/>
  <c r="A713" i="37" s="1"/>
  <c r="A714" i="37" s="1"/>
  <c r="A715" i="37" s="1"/>
  <c r="A716" i="37" s="1"/>
  <c r="A717" i="37" s="1"/>
  <c r="A718" i="37" s="1"/>
  <c r="A719" i="37" s="1"/>
  <c r="A720" i="37" s="1"/>
  <c r="A721" i="37" s="1"/>
  <c r="A722" i="37" s="1"/>
  <c r="A80" i="37"/>
  <c r="A81" i="37" s="1"/>
  <c r="K19" i="33"/>
  <c r="J19" i="33"/>
  <c r="I15" i="33"/>
  <c r="I14" i="33"/>
  <c r="I13" i="33"/>
  <c r="I12" i="33"/>
  <c r="G19" i="33"/>
  <c r="K15" i="33"/>
  <c r="K14" i="33"/>
  <c r="K13" i="33"/>
  <c r="K12" i="33"/>
  <c r="K11" i="33"/>
  <c r="I11" i="33"/>
  <c r="A12" i="33"/>
  <c r="A13" i="33" s="1"/>
  <c r="A14" i="33" s="1"/>
  <c r="A15" i="33" s="1"/>
  <c r="I19" i="33" l="1"/>
  <c r="I13" i="36"/>
  <c r="A13" i="5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A1603" i="5" s="1"/>
  <c r="A1604" i="5" s="1"/>
  <c r="A1605" i="5" s="1"/>
  <c r="A1606" i="5" s="1"/>
  <c r="A1607" i="5" s="1"/>
  <c r="A1608" i="5" s="1"/>
  <c r="A1609" i="5" s="1"/>
  <c r="A1610" i="5" s="1"/>
  <c r="A1611" i="5" s="1"/>
  <c r="A1612" i="5" s="1"/>
  <c r="A1613" i="5" s="1"/>
  <c r="A1614" i="5" s="1"/>
  <c r="A1615" i="5" s="1"/>
  <c r="A1616" i="5" s="1"/>
  <c r="A1617" i="5" s="1"/>
  <c r="A1618" i="5" s="1"/>
  <c r="A1619" i="5" s="1"/>
  <c r="A1620" i="5" s="1"/>
  <c r="A1621" i="5" s="1"/>
  <c r="A1622" i="5" s="1"/>
  <c r="A1623" i="5" s="1"/>
  <c r="A1624" i="5" s="1"/>
  <c r="A1625" i="5" s="1"/>
  <c r="A1626" i="5" s="1"/>
  <c r="A1627" i="5" s="1"/>
  <c r="A1628" i="5" s="1"/>
  <c r="A1629" i="5" s="1"/>
  <c r="A1630" i="5" s="1"/>
  <c r="A1631" i="5" s="1"/>
  <c r="A1632" i="5" s="1"/>
  <c r="A1633" i="5" s="1"/>
  <c r="A1634" i="5" s="1"/>
  <c r="A1635" i="5" s="1"/>
  <c r="A1636" i="5" s="1"/>
  <c r="A1637" i="5" s="1"/>
  <c r="A1638" i="5" s="1"/>
  <c r="A1639" i="5" s="1"/>
  <c r="A1640" i="5" s="1"/>
  <c r="A1641" i="5" s="1"/>
  <c r="A1642" i="5" s="1"/>
  <c r="A1643" i="5" s="1"/>
  <c r="A1644" i="5" s="1"/>
  <c r="A1645" i="5" s="1"/>
  <c r="A1646" i="5" s="1"/>
  <c r="A1647" i="5" s="1"/>
  <c r="A1648" i="5" s="1"/>
  <c r="A1649" i="5" s="1"/>
  <c r="A1650" i="5" s="1"/>
  <c r="A1651" i="5" s="1"/>
  <c r="A1652" i="5" s="1"/>
  <c r="A1653" i="5" s="1"/>
  <c r="A1654" i="5" s="1"/>
  <c r="A1655" i="5" s="1"/>
  <c r="A1656" i="5" s="1"/>
  <c r="A1657" i="5" s="1"/>
  <c r="A1658" i="5" s="1"/>
  <c r="A1659" i="5" s="1"/>
  <c r="A1660" i="5" s="1"/>
  <c r="A1661" i="5" s="1"/>
  <c r="A1662" i="5" s="1"/>
  <c r="A1663" i="5" s="1"/>
  <c r="A1664" i="5" s="1"/>
  <c r="A1665" i="5" s="1"/>
  <c r="A1666" i="5" s="1"/>
  <c r="A1667" i="5" s="1"/>
  <c r="A1668" i="5" s="1"/>
  <c r="A1669" i="5" s="1"/>
  <c r="A1670" i="5" s="1"/>
  <c r="A1671" i="5" s="1"/>
  <c r="A1672" i="5" s="1"/>
  <c r="A1673" i="5" s="1"/>
  <c r="A1674" i="5" s="1"/>
  <c r="A1675" i="5" s="1"/>
  <c r="A1676" i="5" s="1"/>
  <c r="A1677" i="5" s="1"/>
  <c r="A1678" i="5" s="1"/>
  <c r="A1679" i="5" s="1"/>
  <c r="A1680" i="5" s="1"/>
  <c r="A1681" i="5" s="1"/>
  <c r="A1682" i="5" s="1"/>
  <c r="A1683" i="5" s="1"/>
  <c r="A1684" i="5" s="1"/>
  <c r="A1685" i="5" s="1"/>
  <c r="A1686" i="5" s="1"/>
  <c r="A1687" i="5" s="1"/>
  <c r="A1688" i="5" s="1"/>
  <c r="A1689" i="5" s="1"/>
  <c r="A1690" i="5" s="1"/>
  <c r="A12" i="5"/>
  <c r="A739" i="37" l="1"/>
  <c r="A11" i="37" l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G13" i="36"/>
  <c r="G12" i="36"/>
  <c r="B12" i="36"/>
  <c r="B11" i="36"/>
  <c r="B10" i="36"/>
  <c r="B7" i="36"/>
  <c r="D7" i="36"/>
  <c r="M18" i="34"/>
  <c r="E1692" i="5"/>
  <c r="A11" i="5"/>
  <c r="C739" i="37" l="1"/>
  <c r="A735" i="37"/>
  <c r="A740" i="37"/>
  <c r="I724" i="37" l="1"/>
  <c r="A736" i="37"/>
  <c r="A737" i="37" l="1"/>
  <c r="C740" i="37" l="1"/>
  <c r="C738" i="37"/>
  <c r="C736" i="37"/>
  <c r="G12" i="34"/>
  <c r="C735" i="37" l="1"/>
  <c r="M724" i="37"/>
  <c r="L724" i="37"/>
  <c r="C4" i="38"/>
  <c r="M21" i="34" l="1"/>
  <c r="C751" i="37" l="1"/>
  <c r="A741" i="37" l="1"/>
  <c r="A738" i="37"/>
  <c r="H6" i="33"/>
  <c r="A6" i="33"/>
  <c r="H5" i="33"/>
  <c r="B5" i="33"/>
  <c r="H4" i="33"/>
  <c r="B4" i="33"/>
  <c r="F5" i="38"/>
  <c r="G5" i="38" s="1"/>
  <c r="H5" i="38" s="1"/>
  <c r="I5" i="38" s="1"/>
  <c r="J5" i="38" s="1"/>
  <c r="K5" i="38" s="1"/>
  <c r="L5" i="38" s="1"/>
  <c r="M5" i="38" s="1"/>
  <c r="N5" i="38" s="1"/>
  <c r="O5" i="38" s="1"/>
  <c r="P5" i="38" s="1"/>
  <c r="Q5" i="38" s="1"/>
  <c r="R5" i="38" s="1"/>
  <c r="S5" i="38" s="1"/>
  <c r="T5" i="38" s="1"/>
  <c r="U5" i="38" s="1"/>
  <c r="V5" i="38" s="1"/>
  <c r="W5" i="38" s="1"/>
  <c r="X5" i="38" s="1"/>
  <c r="Y5" i="38" s="1"/>
  <c r="Z5" i="38" s="1"/>
  <c r="AA5" i="38" s="1"/>
  <c r="AB5" i="38" s="1"/>
  <c r="AC5" i="38" s="1"/>
  <c r="AD5" i="38" s="1"/>
  <c r="AE5" i="38" s="1"/>
  <c r="AF5" i="38" s="1"/>
  <c r="AG5" i="38" s="1"/>
  <c r="AH5" i="38" s="1"/>
  <c r="AI5" i="38" s="1"/>
  <c r="AJ5" i="38" s="1"/>
  <c r="AK5" i="38" s="1"/>
  <c r="AL5" i="38" s="1"/>
  <c r="AM5" i="38" s="1"/>
  <c r="AN5" i="38" s="1"/>
  <c r="AO5" i="38" s="1"/>
  <c r="AP5" i="38" s="1"/>
  <c r="AQ5" i="38" s="1"/>
  <c r="AR5" i="38" s="1"/>
  <c r="AS5" i="38" s="1"/>
  <c r="AT5" i="38" s="1"/>
  <c r="AU5" i="38" s="1"/>
  <c r="AV5" i="38" s="1"/>
  <c r="AW5" i="38" s="1"/>
  <c r="AX5" i="38" s="1"/>
  <c r="AY5" i="38" s="1"/>
  <c r="AZ5" i="38" s="1"/>
  <c r="BA5" i="38" s="1"/>
  <c r="BB5" i="38" s="1"/>
  <c r="BC5" i="38" s="1"/>
  <c r="BD5" i="38" s="1"/>
  <c r="BE5" i="38" s="1"/>
  <c r="BF5" i="38" s="1"/>
  <c r="BG5" i="38" s="1"/>
  <c r="BH5" i="38" s="1"/>
  <c r="BI5" i="38" s="1"/>
  <c r="BJ5" i="38" s="1"/>
  <c r="BK5" i="38" s="1"/>
  <c r="BL5" i="38" s="1"/>
  <c r="BM5" i="38" s="1"/>
  <c r="BN5" i="38" s="1"/>
  <c r="BO5" i="38" s="1"/>
  <c r="BP5" i="38" s="1"/>
  <c r="BQ5" i="38" s="1"/>
  <c r="BR5" i="38" s="1"/>
  <c r="BS5" i="38" s="1"/>
  <c r="BT5" i="38" s="1"/>
  <c r="BU5" i="38" s="1"/>
  <c r="BV5" i="38" s="1"/>
  <c r="BW5" i="38" s="1"/>
  <c r="BX5" i="38" s="1"/>
  <c r="BY5" i="38" s="1"/>
  <c r="BZ5" i="38" s="1"/>
  <c r="CA5" i="38" s="1"/>
  <c r="CB5" i="38" s="1"/>
  <c r="CC5" i="38" s="1"/>
  <c r="CD5" i="38" s="1"/>
  <c r="CE5" i="38" s="1"/>
  <c r="CF5" i="38" s="1"/>
  <c r="CG5" i="38" s="1"/>
  <c r="CH5" i="38" s="1"/>
  <c r="CI5" i="38" s="1"/>
  <c r="CJ5" i="38" s="1"/>
  <c r="CK5" i="38" s="1"/>
  <c r="CL5" i="38" s="1"/>
  <c r="CM5" i="38" s="1"/>
  <c r="CN5" i="38" s="1"/>
  <c r="CO5" i="38" s="1"/>
  <c r="CP5" i="38" s="1"/>
  <c r="CQ5" i="38" s="1"/>
  <c r="CR5" i="38" s="1"/>
  <c r="CS5" i="38" s="1"/>
  <c r="CT5" i="38" s="1"/>
  <c r="CU5" i="38" s="1"/>
  <c r="CV5" i="38" s="1"/>
  <c r="CW5" i="38" s="1"/>
  <c r="CX5" i="38" s="1"/>
  <c r="CY5" i="38" s="1"/>
  <c r="CZ5" i="38" s="1"/>
  <c r="DA5" i="38" s="1"/>
  <c r="DB5" i="38" s="1"/>
  <c r="DC5" i="38" s="1"/>
  <c r="DD5" i="38" s="1"/>
  <c r="DE5" i="38" s="1"/>
  <c r="DF5" i="38" s="1"/>
  <c r="DG5" i="38" s="1"/>
  <c r="DH5" i="38" s="1"/>
  <c r="DI5" i="38" s="1"/>
  <c r="DJ5" i="38" s="1"/>
  <c r="DK5" i="38" s="1"/>
  <c r="DL5" i="38" s="1"/>
  <c r="DM5" i="38" s="1"/>
  <c r="DN5" i="38" s="1"/>
  <c r="DO5" i="38" s="1"/>
  <c r="DP5" i="38" s="1"/>
  <c r="DQ5" i="38" s="1"/>
  <c r="DR5" i="38" s="1"/>
  <c r="DS5" i="38" s="1"/>
  <c r="DT5" i="38" s="1"/>
  <c r="DU5" i="38" s="1"/>
  <c r="DV5" i="38" s="1"/>
  <c r="DW5" i="38" s="1"/>
  <c r="DX5" i="38" s="1"/>
  <c r="H6" i="34"/>
  <c r="A6" i="34"/>
  <c r="H5" i="34"/>
  <c r="B5" i="34"/>
  <c r="H4" i="34"/>
  <c r="B4" i="34"/>
  <c r="C731" i="37"/>
  <c r="C732" i="37" s="1"/>
  <c r="N735" i="37" l="1"/>
  <c r="D21" i="38"/>
  <c r="I1692" i="5"/>
  <c r="H6" i="1" l="1"/>
  <c r="A6" i="1"/>
  <c r="H5" i="1"/>
  <c r="B5" i="1"/>
  <c r="H4" i="1"/>
  <c r="B4" i="1"/>
  <c r="A29" i="36"/>
  <c r="H18" i="34"/>
  <c r="F18" i="34"/>
  <c r="D25" i="36"/>
  <c r="A751" i="37"/>
  <c r="C734" i="37"/>
  <c r="N734" i="37" s="1"/>
  <c r="J6" i="37"/>
  <c r="A6" i="37"/>
  <c r="K5" i="37"/>
  <c r="B5" i="37"/>
  <c r="K4" i="37"/>
  <c r="B4" i="37"/>
  <c r="C729" i="37"/>
  <c r="C741" i="37" l="1"/>
  <c r="D12" i="36"/>
  <c r="B22" i="36" s="1"/>
  <c r="H27" i="33" l="1"/>
  <c r="G27" i="33"/>
  <c r="H23" i="1"/>
  <c r="E23" i="1"/>
  <c r="G17" i="1"/>
  <c r="E1698" i="5"/>
  <c r="D1698" i="5"/>
  <c r="D11" i="36" l="1"/>
  <c r="C21" i="36" s="1"/>
  <c r="B21" i="36" s="1"/>
  <c r="C728" i="37"/>
  <c r="C737" i="37" s="1"/>
  <c r="C743" i="37" s="1"/>
  <c r="L741" i="37" s="1"/>
  <c r="D10" i="36"/>
  <c r="A6" i="5"/>
  <c r="B4" i="5"/>
  <c r="B5" i="5"/>
  <c r="C730" i="37" l="1"/>
  <c r="C733" i="37" s="1"/>
  <c r="C742" i="37" s="1"/>
  <c r="D24" i="36"/>
  <c r="I12" i="36"/>
  <c r="E6" i="5"/>
  <c r="E5" i="5"/>
  <c r="E4" i="5"/>
  <c r="C29" i="36" l="1"/>
  <c r="B29" i="36" s="1"/>
  <c r="D26" i="36"/>
  <c r="E25" i="36"/>
  <c r="E26" i="36" s="1"/>
  <c r="E7" i="36" l="1"/>
  <c r="M744" i="37"/>
  <c r="I33" i="32" l="1"/>
  <c r="L24" i="32"/>
  <c r="K24" i="32"/>
  <c r="J24" i="32"/>
  <c r="I24" i="32"/>
  <c r="G24" i="32"/>
  <c r="H23" i="32"/>
  <c r="N27" i="32" s="1"/>
  <c r="F23" i="32"/>
  <c r="A23" i="32"/>
  <c r="M22" i="32"/>
  <c r="M21" i="32"/>
  <c r="M20" i="32"/>
  <c r="M19" i="32"/>
  <c r="M18" i="32"/>
  <c r="M17" i="32"/>
  <c r="M16" i="32"/>
  <c r="M15" i="32"/>
  <c r="M14" i="32"/>
  <c r="M13" i="32"/>
  <c r="M12" i="32"/>
  <c r="M11" i="32"/>
  <c r="M10" i="32"/>
  <c r="M9" i="32"/>
  <c r="L31" i="31"/>
  <c r="K31" i="31"/>
  <c r="J31" i="31"/>
  <c r="I31" i="31"/>
  <c r="G31" i="31"/>
  <c r="H30" i="31"/>
  <c r="H31" i="31" s="1"/>
  <c r="F30" i="31"/>
  <c r="A30" i="31"/>
  <c r="M29" i="31"/>
  <c r="M28" i="31"/>
  <c r="M27" i="31"/>
  <c r="M26" i="31"/>
  <c r="M25" i="31"/>
  <c r="M24" i="31"/>
  <c r="M23" i="31"/>
  <c r="M22" i="31"/>
  <c r="M21" i="31"/>
  <c r="M20" i="31"/>
  <c r="M19" i="31"/>
  <c r="M18" i="31"/>
  <c r="M17" i="31"/>
  <c r="M16" i="31"/>
  <c r="M15" i="31"/>
  <c r="M14" i="31"/>
  <c r="M13" i="31"/>
  <c r="M12" i="31"/>
  <c r="M11" i="31"/>
  <c r="M10" i="31"/>
  <c r="M9" i="31"/>
  <c r="M48" i="30"/>
  <c r="L48" i="30"/>
  <c r="K48" i="30"/>
  <c r="J48" i="30"/>
  <c r="H48" i="30"/>
  <c r="A47" i="30"/>
  <c r="N46" i="30"/>
  <c r="N45" i="30"/>
  <c r="N44" i="30"/>
  <c r="N43" i="30"/>
  <c r="I42" i="30"/>
  <c r="N42" i="30" s="1"/>
  <c r="N41" i="30"/>
  <c r="N40" i="30"/>
  <c r="N39" i="30"/>
  <c r="N38" i="30"/>
  <c r="N37" i="30"/>
  <c r="N36" i="30"/>
  <c r="N35" i="30"/>
  <c r="N34" i="30"/>
  <c r="N33" i="30"/>
  <c r="N32" i="30"/>
  <c r="N31" i="30"/>
  <c r="N30" i="30"/>
  <c r="N29" i="30"/>
  <c r="N28" i="30"/>
  <c r="N27" i="30"/>
  <c r="N26" i="30"/>
  <c r="N25" i="30"/>
  <c r="N24" i="30"/>
  <c r="N23" i="30"/>
  <c r="N22" i="30"/>
  <c r="N21" i="30"/>
  <c r="N20" i="30"/>
  <c r="N19" i="30"/>
  <c r="N18" i="30"/>
  <c r="N17" i="30"/>
  <c r="N16" i="30"/>
  <c r="N15" i="30"/>
  <c r="N14" i="30"/>
  <c r="N13" i="30"/>
  <c r="N12" i="30"/>
  <c r="N11" i="30"/>
  <c r="N10" i="30"/>
  <c r="N9" i="30"/>
  <c r="A4" i="25"/>
  <c r="A3" i="25"/>
  <c r="D18" i="25"/>
  <c r="D25" i="25"/>
  <c r="D32" i="25"/>
  <c r="D37" i="25"/>
  <c r="D43" i="25"/>
  <c r="D52" i="25"/>
  <c r="D64" i="25"/>
  <c r="D74" i="25"/>
  <c r="D85" i="25"/>
  <c r="D97" i="25"/>
  <c r="D107" i="25"/>
  <c r="D116" i="25"/>
  <c r="D128" i="25"/>
  <c r="D135" i="25"/>
  <c r="D147" i="25"/>
  <c r="D156" i="25"/>
  <c r="D161" i="25"/>
  <c r="D169" i="25"/>
  <c r="D178" i="25"/>
  <c r="D188" i="25"/>
  <c r="D197" i="25"/>
  <c r="D204" i="25"/>
  <c r="D211" i="25"/>
  <c r="D218" i="25"/>
  <c r="D223" i="25"/>
  <c r="D229" i="25"/>
  <c r="D236" i="25"/>
  <c r="D242" i="25"/>
  <c r="D249" i="25"/>
  <c r="D256" i="25"/>
  <c r="D262" i="25"/>
  <c r="D268" i="25"/>
  <c r="I268" i="25"/>
  <c r="I269" i="25" s="1"/>
  <c r="I262" i="25"/>
  <c r="I263" i="25" s="1"/>
  <c r="I256" i="25"/>
  <c r="I257" i="25" s="1"/>
  <c r="I249" i="25"/>
  <c r="I250" i="25" s="1"/>
  <c r="I242" i="25"/>
  <c r="I243" i="25" s="1"/>
  <c r="I236" i="25"/>
  <c r="I237" i="25" s="1"/>
  <c r="I229" i="25"/>
  <c r="I230" i="25" s="1"/>
  <c r="I223" i="25"/>
  <c r="I224" i="25" s="1"/>
  <c r="I218" i="25"/>
  <c r="I219" i="25" s="1"/>
  <c r="I211" i="25"/>
  <c r="I212" i="25" s="1"/>
  <c r="I204" i="25"/>
  <c r="I205" i="25" s="1"/>
  <c r="I197" i="25"/>
  <c r="I198" i="25" s="1"/>
  <c r="I188" i="25"/>
  <c r="I189" i="25" s="1"/>
  <c r="I178" i="25"/>
  <c r="I179" i="25" s="1"/>
  <c r="I169" i="25"/>
  <c r="I170" i="25" s="1"/>
  <c r="I161" i="25"/>
  <c r="I162" i="25" s="1"/>
  <c r="I156" i="25"/>
  <c r="I157" i="25" s="1"/>
  <c r="I147" i="25"/>
  <c r="I148" i="25" s="1"/>
  <c r="I135" i="25"/>
  <c r="I136" i="25" s="1"/>
  <c r="I128" i="25"/>
  <c r="I129" i="25" s="1"/>
  <c r="I116" i="25"/>
  <c r="I117" i="25" s="1"/>
  <c r="I107" i="25"/>
  <c r="I108" i="25" s="1"/>
  <c r="I97" i="25"/>
  <c r="I98" i="25" s="1"/>
  <c r="I85" i="25"/>
  <c r="I86" i="25" s="1"/>
  <c r="I74" i="25"/>
  <c r="I75" i="25" s="1"/>
  <c r="I64" i="25"/>
  <c r="I65" i="25" s="1"/>
  <c r="I52" i="25"/>
  <c r="I53" i="25" s="1"/>
  <c r="I43" i="25"/>
  <c r="I44" i="25" s="1"/>
  <c r="I37" i="25"/>
  <c r="I38" i="25" s="1"/>
  <c r="I32" i="25"/>
  <c r="I33" i="25" s="1"/>
  <c r="I25" i="25"/>
  <c r="I26" i="25" s="1"/>
  <c r="I18" i="25"/>
  <c r="I19" i="25" s="1"/>
  <c r="I459" i="28"/>
  <c r="D459" i="28"/>
  <c r="D41" i="27"/>
  <c r="I41" i="27"/>
  <c r="H30" i="32" l="1"/>
  <c r="M30" i="31"/>
  <c r="M31" i="31" s="1"/>
  <c r="M23" i="32"/>
  <c r="M24" i="32" s="1"/>
  <c r="I271" i="25"/>
  <c r="H44" i="31"/>
  <c r="H35" i="31"/>
  <c r="I270" i="25"/>
  <c r="I47" i="30"/>
  <c r="H32" i="32"/>
  <c r="N47" i="30"/>
  <c r="N48" i="30" s="1"/>
  <c r="H24" i="32"/>
  <c r="I48" i="30" l="1"/>
  <c r="H31" i="32"/>
  <c r="H33" i="32" s="1"/>
  <c r="H28" i="32"/>
  <c r="H37" i="32"/>
  <c r="I52" i="30" l="1"/>
  <c r="I61" i="30"/>
  <c r="B26" i="36"/>
  <c r="C22" i="36"/>
  <c r="C26" i="36" s="1"/>
  <c r="F26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K3" authorId="0" shapeId="0" xr:uid="{00000000-0006-0000-0F00-000001000000}">
      <text>
        <r>
          <rPr>
            <b/>
            <sz val="8"/>
            <color indexed="81"/>
            <rFont val="Tahoma"/>
            <family val="2"/>
          </rPr>
          <t>Leno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K3" authorId="0" shapeId="0" xr:uid="{00000000-0006-0000-1000-000001000000}">
      <text>
        <r>
          <rPr>
            <b/>
            <sz val="8"/>
            <color indexed="81"/>
            <rFont val="Tahoma"/>
            <family val="2"/>
          </rPr>
          <t>Leno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L3" authorId="0" shapeId="0" xr:uid="{00000000-0006-0000-1100-000001000000}">
      <text>
        <r>
          <rPr>
            <b/>
            <sz val="8"/>
            <color indexed="81"/>
            <rFont val="Tahoma"/>
            <family val="2"/>
          </rPr>
          <t>Leno</t>
        </r>
      </text>
    </comment>
  </commentList>
</comments>
</file>

<file path=xl/sharedStrings.xml><?xml version="1.0" encoding="utf-8"?>
<sst xmlns="http://schemas.openxmlformats.org/spreadsheetml/2006/main" count="7665" uniqueCount="2417">
  <si>
    <t>USD</t>
  </si>
  <si>
    <t>RIEL</t>
  </si>
  <si>
    <t>ល.រ</t>
  </si>
  <si>
    <t>ប្រាក់អាករ</t>
  </si>
  <si>
    <t>សហគ្រាស</t>
  </si>
  <si>
    <t>អ្នកផ្គត់ផ្គង់</t>
  </si>
  <si>
    <t>លេខ</t>
  </si>
  <si>
    <t>ចុះថ្ងៃទី ខែ ឆ្នាំ</t>
  </si>
  <si>
    <t>( ការនាំចូលជាបន្ទុករបស់រដ្ឋ )</t>
  </si>
  <si>
    <t>បង្កាន់ដៃទទួលប្រាក់</t>
  </si>
  <si>
    <t>តារាងឧបសម្ព័ន្ឋ</t>
  </si>
  <si>
    <t>ក្រុមហ៊ុនស្នើសុំបង្វិលសង</t>
  </si>
  <si>
    <t>វិក័យបត្រ័</t>
  </si>
  <si>
    <t>ថ្ងៃទី ខែ ឆ្នាំ</t>
  </si>
  <si>
    <t>លេខអតប</t>
  </si>
  <si>
    <t>ផ្សេងៗ</t>
  </si>
  <si>
    <t>តារាងប្រៀធៀបវិក្ក័យប័ត្រស្នើសុំបង្វិលសងអាករលើតំលៃបន្ថែម  ( Cross checking )</t>
  </si>
  <si>
    <t>Total 07/2013</t>
  </si>
  <si>
    <t>Total 06/2013</t>
  </si>
  <si>
    <t>Total 05/2013</t>
  </si>
  <si>
    <t>Total 04/2013</t>
  </si>
  <si>
    <t>Total 08/2013</t>
  </si>
  <si>
    <t>Total 09/2013</t>
  </si>
  <si>
    <t>Total 10/2013</t>
  </si>
  <si>
    <t>Total 11/2013</t>
  </si>
  <si>
    <t>Total 12/2013</t>
  </si>
  <si>
    <t>Total 01/2014</t>
  </si>
  <si>
    <t>Total 11/2012</t>
  </si>
  <si>
    <t>Total 07/2012</t>
  </si>
  <si>
    <t>Total 08/2012</t>
  </si>
  <si>
    <t>Total 09/2012</t>
  </si>
  <si>
    <t>Total 10/2012</t>
  </si>
  <si>
    <t>Total 12/2012</t>
  </si>
  <si>
    <t>Total 01/2013</t>
  </si>
  <si>
    <t>Total 02/2013</t>
  </si>
  <si>
    <t>Total 03/2013</t>
  </si>
  <si>
    <t>Total 02/2014</t>
  </si>
  <si>
    <t>Total 03/2014</t>
  </si>
  <si>
    <t>Total 04/2014</t>
  </si>
  <si>
    <t>Total 05/2014</t>
  </si>
  <si>
    <t>Total 06/2014</t>
  </si>
  <si>
    <t>Total 07/2014</t>
  </si>
  <si>
    <t>Total 08/2014</t>
  </si>
  <si>
    <t>Total 09/2014</t>
  </si>
  <si>
    <t>Total 10/2014</t>
  </si>
  <si>
    <t>Total 11/2014</t>
  </si>
  <si>
    <t>Total 12/2014</t>
  </si>
  <si>
    <t>Total 01/2015</t>
  </si>
  <si>
    <t>Total 02/2015</t>
  </si>
  <si>
    <t>VAT TIN  : 1 0 0 0 5 2 9 6 7</t>
  </si>
  <si>
    <t>A P L Logistics</t>
  </si>
  <si>
    <t>S G L CAMBODIA</t>
  </si>
  <si>
    <t>100046460</t>
  </si>
  <si>
    <t>100119816</t>
  </si>
  <si>
    <t>030209</t>
  </si>
  <si>
    <t>227231</t>
  </si>
  <si>
    <t>227288</t>
  </si>
  <si>
    <t>030231</t>
  </si>
  <si>
    <t>030241</t>
  </si>
  <si>
    <t>030262</t>
  </si>
  <si>
    <t>227430</t>
  </si>
  <si>
    <t>227461</t>
  </si>
  <si>
    <t>227539</t>
  </si>
  <si>
    <t>227543</t>
  </si>
  <si>
    <t>227552</t>
  </si>
  <si>
    <t>030302</t>
  </si>
  <si>
    <t>030328</t>
  </si>
  <si>
    <t>030343</t>
  </si>
  <si>
    <t>030353</t>
  </si>
  <si>
    <t>227583</t>
  </si>
  <si>
    <t>227586</t>
  </si>
  <si>
    <t>227605</t>
  </si>
  <si>
    <t>030450</t>
  </si>
  <si>
    <t>030469</t>
  </si>
  <si>
    <t>227826</t>
  </si>
  <si>
    <t>227862</t>
  </si>
  <si>
    <t>029920</t>
  </si>
  <si>
    <t>029981</t>
  </si>
  <si>
    <t>030003</t>
  </si>
  <si>
    <t>226904</t>
  </si>
  <si>
    <t>030044</t>
  </si>
  <si>
    <t>030062</t>
  </si>
  <si>
    <t>227107</t>
  </si>
  <si>
    <t>029638</t>
  </si>
  <si>
    <t>029716</t>
  </si>
  <si>
    <t>226301</t>
  </si>
  <si>
    <t>226324</t>
  </si>
  <si>
    <t>226428</t>
  </si>
  <si>
    <t>226446</t>
  </si>
  <si>
    <t>029766</t>
  </si>
  <si>
    <t>226552</t>
  </si>
  <si>
    <t>029816</t>
  </si>
  <si>
    <t>226571</t>
  </si>
  <si>
    <t>029869</t>
  </si>
  <si>
    <t>226648</t>
  </si>
  <si>
    <t>226720</t>
  </si>
  <si>
    <t>225606</t>
  </si>
  <si>
    <t>029426</t>
  </si>
  <si>
    <t>225707</t>
  </si>
  <si>
    <t>225805</t>
  </si>
  <si>
    <t>029501</t>
  </si>
  <si>
    <t>225895</t>
  </si>
  <si>
    <t>225929</t>
  </si>
  <si>
    <t>029565</t>
  </si>
  <si>
    <t>226064</t>
  </si>
  <si>
    <t>226090</t>
  </si>
  <si>
    <t>226161</t>
  </si>
  <si>
    <t>226168</t>
  </si>
  <si>
    <t>226176</t>
  </si>
  <si>
    <t>029026</t>
  </si>
  <si>
    <t>224986</t>
  </si>
  <si>
    <t>029107</t>
  </si>
  <si>
    <t>225135</t>
  </si>
  <si>
    <t>029223</t>
  </si>
  <si>
    <t>225313</t>
  </si>
  <si>
    <t>029278</t>
  </si>
  <si>
    <t>028640</t>
  </si>
  <si>
    <t>028709</t>
  </si>
  <si>
    <t>224307</t>
  </si>
  <si>
    <t>224464</t>
  </si>
  <si>
    <t>028809</t>
  </si>
  <si>
    <t>224506</t>
  </si>
  <si>
    <t>028874</t>
  </si>
  <si>
    <t>224593</t>
  </si>
  <si>
    <t>224600</t>
  </si>
  <si>
    <t>028550</t>
  </si>
  <si>
    <t>028948</t>
  </si>
  <si>
    <t>028961</t>
  </si>
  <si>
    <t>224808</t>
  </si>
  <si>
    <t>030377</t>
  </si>
  <si>
    <t>030407</t>
  </si>
  <si>
    <t>227722</t>
  </si>
  <si>
    <t>227769</t>
  </si>
  <si>
    <t>328007</t>
  </si>
  <si>
    <t>030516</t>
  </si>
  <si>
    <t>030532</t>
  </si>
  <si>
    <t>327989</t>
  </si>
  <si>
    <t>328028</t>
  </si>
  <si>
    <t>030562</t>
  </si>
  <si>
    <t>030586</t>
  </si>
  <si>
    <t>030614</t>
  </si>
  <si>
    <t>030638</t>
  </si>
  <si>
    <t>328148</t>
  </si>
  <si>
    <t>328162</t>
  </si>
  <si>
    <t>328177</t>
  </si>
  <si>
    <t>328264</t>
  </si>
  <si>
    <t>328305</t>
  </si>
  <si>
    <t>030758</t>
  </si>
  <si>
    <t>030848</t>
  </si>
  <si>
    <t>328387</t>
  </si>
  <si>
    <t>328423</t>
  </si>
  <si>
    <t>328441</t>
  </si>
  <si>
    <t>328460</t>
  </si>
  <si>
    <t>328477</t>
  </si>
  <si>
    <t>328529</t>
  </si>
  <si>
    <t>328576</t>
  </si>
  <si>
    <t>328574</t>
  </si>
  <si>
    <t>030891</t>
  </si>
  <si>
    <t>030911</t>
  </si>
  <si>
    <t>328588</t>
  </si>
  <si>
    <t>328598</t>
  </si>
  <si>
    <t>328600</t>
  </si>
  <si>
    <t>030965</t>
  </si>
  <si>
    <t>030999</t>
  </si>
  <si>
    <t>031026</t>
  </si>
  <si>
    <t>328657</t>
  </si>
  <si>
    <t>031069</t>
  </si>
  <si>
    <t>328732</t>
  </si>
  <si>
    <t>328734</t>
  </si>
  <si>
    <t>328784</t>
  </si>
  <si>
    <t>328788</t>
  </si>
  <si>
    <t>031108</t>
  </si>
  <si>
    <t>328859</t>
  </si>
  <si>
    <t>328868</t>
  </si>
  <si>
    <t>328869</t>
  </si>
  <si>
    <t>031138</t>
  </si>
  <si>
    <t>100046460</t>
    <phoneticPr fontId="7" type="noConversion"/>
  </si>
  <si>
    <t>APL Logistics</t>
    <phoneticPr fontId="7" type="noConversion"/>
  </si>
  <si>
    <t>031210</t>
  </si>
  <si>
    <t>031195</t>
  </si>
  <si>
    <t>328936</t>
  </si>
  <si>
    <t>031383</t>
  </si>
  <si>
    <t>329060</t>
  </si>
  <si>
    <t>329063</t>
  </si>
  <si>
    <t>329096</t>
  </si>
  <si>
    <t>329125</t>
  </si>
  <si>
    <t>329189</t>
  </si>
  <si>
    <t>329198</t>
  </si>
  <si>
    <t>329219</t>
  </si>
  <si>
    <t>031507</t>
  </si>
  <si>
    <t>031511</t>
  </si>
  <si>
    <t>329291</t>
  </si>
  <si>
    <t>329298</t>
  </si>
  <si>
    <t>329324</t>
  </si>
  <si>
    <t>031543</t>
  </si>
  <si>
    <t>329343</t>
  </si>
  <si>
    <t>329402</t>
  </si>
  <si>
    <t>329412</t>
  </si>
  <si>
    <t>329475</t>
  </si>
  <si>
    <t>329496</t>
  </si>
  <si>
    <t>031616</t>
  </si>
  <si>
    <t>031641</t>
  </si>
  <si>
    <t>329566</t>
  </si>
  <si>
    <t>031704</t>
  </si>
  <si>
    <t>031730</t>
  </si>
  <si>
    <t>329619</t>
  </si>
  <si>
    <t>329636</t>
  </si>
  <si>
    <t>329651</t>
  </si>
  <si>
    <t>031771</t>
  </si>
  <si>
    <t>329721</t>
  </si>
  <si>
    <t>329736</t>
  </si>
  <si>
    <t>329771</t>
  </si>
  <si>
    <t>329776</t>
  </si>
  <si>
    <t>329862</t>
  </si>
  <si>
    <t>329920</t>
  </si>
  <si>
    <t>329971</t>
  </si>
  <si>
    <t>329990</t>
  </si>
  <si>
    <t>031922</t>
  </si>
  <si>
    <t>330012</t>
  </si>
  <si>
    <t>330060</t>
  </si>
  <si>
    <t>031984</t>
  </si>
  <si>
    <t>032002</t>
  </si>
  <si>
    <t>330114</t>
  </si>
  <si>
    <t>330144</t>
  </si>
  <si>
    <t>330173</t>
  </si>
  <si>
    <t>330233</t>
  </si>
  <si>
    <t>330280</t>
  </si>
  <si>
    <t>330312</t>
  </si>
  <si>
    <t>330339</t>
  </si>
  <si>
    <t>330340</t>
  </si>
  <si>
    <t>330341</t>
  </si>
  <si>
    <t>330342</t>
  </si>
  <si>
    <t>330343</t>
  </si>
  <si>
    <t>133028</t>
    <phoneticPr fontId="7" type="noConversion"/>
  </si>
  <si>
    <t>032152</t>
  </si>
  <si>
    <t>032159</t>
  </si>
  <si>
    <t>330476</t>
  </si>
  <si>
    <t>330493</t>
  </si>
  <si>
    <t>330508</t>
  </si>
  <si>
    <t>032216</t>
  </si>
  <si>
    <t>330588</t>
  </si>
  <si>
    <t>APL Logistics</t>
  </si>
  <si>
    <t>032272</t>
  </si>
  <si>
    <t>330674</t>
  </si>
  <si>
    <t>330735</t>
  </si>
  <si>
    <t>032326</t>
  </si>
  <si>
    <t>032351</t>
  </si>
  <si>
    <t>330887</t>
  </si>
  <si>
    <t>032452</t>
  </si>
  <si>
    <t>330995</t>
  </si>
  <si>
    <t>331072</t>
  </si>
  <si>
    <t>331092</t>
  </si>
  <si>
    <t>032586</t>
  </si>
  <si>
    <t>331262</t>
  </si>
  <si>
    <t>331300</t>
  </si>
  <si>
    <t>331366</t>
  </si>
  <si>
    <t>032516</t>
  </si>
  <si>
    <t>032535</t>
  </si>
  <si>
    <t>331152</t>
  </si>
  <si>
    <t>331161</t>
  </si>
  <si>
    <t>331205</t>
  </si>
  <si>
    <t>032583</t>
  </si>
  <si>
    <t>032640</t>
  </si>
  <si>
    <t>032680</t>
  </si>
  <si>
    <t>032710</t>
  </si>
  <si>
    <t>331457</t>
  </si>
  <si>
    <t>331512</t>
  </si>
  <si>
    <t>331515</t>
  </si>
  <si>
    <t>331530</t>
  </si>
  <si>
    <t>331554</t>
  </si>
  <si>
    <t>331577</t>
  </si>
  <si>
    <t>331592</t>
  </si>
  <si>
    <t>331607</t>
  </si>
  <si>
    <t>032794</t>
  </si>
  <si>
    <t>032763</t>
  </si>
  <si>
    <t>331711</t>
  </si>
  <si>
    <t>331720</t>
  </si>
  <si>
    <t>331722</t>
  </si>
  <si>
    <t>331728</t>
  </si>
  <si>
    <t>331731</t>
  </si>
  <si>
    <t>331738</t>
  </si>
  <si>
    <t>331750</t>
  </si>
  <si>
    <t>331843</t>
  </si>
  <si>
    <t>032848</t>
  </si>
  <si>
    <t>032889</t>
  </si>
  <si>
    <t>331877</t>
  </si>
  <si>
    <t>331884</t>
  </si>
  <si>
    <t>331986</t>
  </si>
  <si>
    <t>331993</t>
  </si>
  <si>
    <t>032936</t>
  </si>
  <si>
    <t>032958</t>
  </si>
  <si>
    <t>332045</t>
  </si>
  <si>
    <t>033068</t>
  </si>
  <si>
    <t>332112</t>
  </si>
  <si>
    <t>332140</t>
  </si>
  <si>
    <t>332188</t>
  </si>
  <si>
    <t>332194</t>
  </si>
  <si>
    <t>332202</t>
  </si>
  <si>
    <t>332221</t>
  </si>
  <si>
    <t>033152</t>
  </si>
  <si>
    <t>332347</t>
  </si>
  <si>
    <t>332372</t>
  </si>
  <si>
    <t>332400</t>
  </si>
  <si>
    <t>332409</t>
  </si>
  <si>
    <t>033217</t>
  </si>
  <si>
    <t>033255</t>
  </si>
  <si>
    <t>332503</t>
  </si>
  <si>
    <t>332504</t>
  </si>
  <si>
    <t>332506</t>
  </si>
  <si>
    <t>332527</t>
  </si>
  <si>
    <t>332539</t>
  </si>
  <si>
    <t>033347</t>
  </si>
  <si>
    <t>332635</t>
  </si>
  <si>
    <t>332640</t>
  </si>
  <si>
    <t>332688</t>
  </si>
  <si>
    <t>332748</t>
  </si>
  <si>
    <t>033394</t>
  </si>
  <si>
    <t>033429</t>
  </si>
  <si>
    <t>033436</t>
  </si>
  <si>
    <t>033513</t>
  </si>
  <si>
    <t>332794</t>
  </si>
  <si>
    <t>332803</t>
  </si>
  <si>
    <t>332805</t>
  </si>
  <si>
    <t>033565</t>
  </si>
  <si>
    <t>332880</t>
  </si>
  <si>
    <t>332907</t>
  </si>
  <si>
    <t>332919</t>
  </si>
  <si>
    <t>332967</t>
  </si>
  <si>
    <t>332988</t>
  </si>
  <si>
    <t>333011</t>
  </si>
  <si>
    <t>333013</t>
  </si>
  <si>
    <t>333040</t>
  </si>
  <si>
    <t>333059</t>
  </si>
  <si>
    <t>033633</t>
  </si>
  <si>
    <t>033648</t>
  </si>
  <si>
    <t>333103</t>
  </si>
  <si>
    <t>333134</t>
  </si>
  <si>
    <t>333167</t>
  </si>
  <si>
    <t>333184</t>
  </si>
  <si>
    <t>333196</t>
  </si>
  <si>
    <t>033709</t>
  </si>
  <si>
    <t>033755</t>
  </si>
  <si>
    <t>333287</t>
  </si>
  <si>
    <t>333299</t>
  </si>
  <si>
    <t>333317</t>
  </si>
  <si>
    <t>333408</t>
  </si>
  <si>
    <t>333448</t>
  </si>
  <si>
    <t>333469</t>
  </si>
  <si>
    <t>333478</t>
  </si>
  <si>
    <t>033795</t>
  </si>
  <si>
    <t>033906</t>
  </si>
  <si>
    <t>333537</t>
  </si>
  <si>
    <t>333554</t>
  </si>
  <si>
    <t>333581</t>
  </si>
  <si>
    <t>333605</t>
  </si>
  <si>
    <t>333646</t>
  </si>
  <si>
    <t>333653</t>
  </si>
  <si>
    <t>333664</t>
  </si>
  <si>
    <t>034006</t>
  </si>
  <si>
    <t>034039</t>
  </si>
  <si>
    <t>333724</t>
  </si>
  <si>
    <t>333761</t>
  </si>
  <si>
    <t>333765</t>
  </si>
  <si>
    <t>333785</t>
  </si>
  <si>
    <t>333864</t>
  </si>
  <si>
    <t>333876</t>
  </si>
  <si>
    <t>333840</t>
  </si>
  <si>
    <t>034089</t>
  </si>
  <si>
    <t>034079</t>
  </si>
  <si>
    <t>333913</t>
  </si>
  <si>
    <t>333966</t>
  </si>
  <si>
    <t>333977</t>
  </si>
  <si>
    <t>334000</t>
  </si>
  <si>
    <t>334011</t>
  </si>
  <si>
    <t>334024</t>
  </si>
  <si>
    <t>034154</t>
  </si>
  <si>
    <t>034191</t>
  </si>
  <si>
    <t>034384</t>
  </si>
  <si>
    <t>034245</t>
  </si>
  <si>
    <t>334122</t>
  </si>
  <si>
    <t>334156</t>
  </si>
  <si>
    <t>334172</t>
  </si>
  <si>
    <t>334188</t>
  </si>
  <si>
    <t>334259</t>
  </si>
  <si>
    <t>334307</t>
  </si>
  <si>
    <t>334407</t>
  </si>
  <si>
    <t>034522</t>
  </si>
  <si>
    <t>YUSEN LOGISTICS</t>
  </si>
  <si>
    <t>104015799</t>
  </si>
  <si>
    <t>034594</t>
  </si>
  <si>
    <t>334626</t>
  </si>
  <si>
    <t>334645</t>
  </si>
  <si>
    <t>034673</t>
  </si>
  <si>
    <t>034694</t>
  </si>
  <si>
    <t>334754</t>
  </si>
  <si>
    <t>334781</t>
  </si>
  <si>
    <t>334788</t>
  </si>
  <si>
    <t>334825</t>
  </si>
  <si>
    <t>334848</t>
  </si>
  <si>
    <t>334863</t>
  </si>
  <si>
    <t>2-00309</t>
  </si>
  <si>
    <t>034759</t>
  </si>
  <si>
    <t>334964</t>
  </si>
  <si>
    <t>335005</t>
  </si>
  <si>
    <t>335038</t>
  </si>
  <si>
    <t>335047</t>
  </si>
  <si>
    <t>335140</t>
  </si>
  <si>
    <t>335150</t>
  </si>
  <si>
    <t>034869</t>
  </si>
  <si>
    <t>335240</t>
  </si>
  <si>
    <t>335266</t>
  </si>
  <si>
    <t>335277</t>
  </si>
  <si>
    <t>335286</t>
  </si>
  <si>
    <t>034977</t>
  </si>
  <si>
    <t>035047</t>
  </si>
  <si>
    <t>035051</t>
  </si>
  <si>
    <t>435384</t>
  </si>
  <si>
    <t>435413</t>
  </si>
  <si>
    <t>035072</t>
  </si>
  <si>
    <t>035123</t>
  </si>
  <si>
    <t>035142</t>
  </si>
  <si>
    <t>435499</t>
  </si>
  <si>
    <t>435525</t>
  </si>
  <si>
    <t>435556</t>
  </si>
  <si>
    <t>435566</t>
  </si>
  <si>
    <t>435575</t>
  </si>
  <si>
    <t>435587</t>
  </si>
  <si>
    <t>035202</t>
  </si>
  <si>
    <t>435667</t>
  </si>
  <si>
    <t>435675</t>
  </si>
  <si>
    <t>435689</t>
  </si>
  <si>
    <t>435705</t>
  </si>
  <si>
    <t>435744</t>
  </si>
  <si>
    <t>435755</t>
  </si>
  <si>
    <t>435775</t>
  </si>
  <si>
    <t>035288</t>
  </si>
  <si>
    <t>435858</t>
  </si>
  <si>
    <t>435932</t>
  </si>
  <si>
    <t>035414</t>
  </si>
  <si>
    <t>435981</t>
  </si>
  <si>
    <t>435993</t>
  </si>
  <si>
    <t>436004</t>
  </si>
  <si>
    <t>436039</t>
  </si>
  <si>
    <t>436080</t>
  </si>
  <si>
    <t>035500</t>
  </si>
  <si>
    <t>436196</t>
  </si>
  <si>
    <t>436200</t>
  </si>
  <si>
    <t>436256</t>
  </si>
  <si>
    <t>022361</t>
  </si>
  <si>
    <t>035593</t>
  </si>
  <si>
    <t>436318</t>
  </si>
  <si>
    <t>436335</t>
  </si>
  <si>
    <t>436360</t>
  </si>
  <si>
    <t>436368</t>
  </si>
  <si>
    <t>436384</t>
  </si>
  <si>
    <t>022391</t>
  </si>
  <si>
    <t>035652</t>
  </si>
  <si>
    <t>022434</t>
  </si>
  <si>
    <t>035707</t>
  </si>
  <si>
    <t>436469</t>
  </si>
  <si>
    <t>436480</t>
  </si>
  <si>
    <t>436485</t>
  </si>
  <si>
    <t>035782</t>
  </si>
  <si>
    <t>436616</t>
  </si>
  <si>
    <t>022600</t>
  </si>
  <si>
    <t>035899</t>
  </si>
  <si>
    <t>436710</t>
  </si>
  <si>
    <t>436771</t>
  </si>
  <si>
    <t>436775</t>
  </si>
  <si>
    <t>436789</t>
  </si>
  <si>
    <t>436793</t>
  </si>
  <si>
    <t>436816</t>
  </si>
  <si>
    <t>436818</t>
  </si>
  <si>
    <t>436834</t>
  </si>
  <si>
    <t>035977</t>
  </si>
  <si>
    <t>436905</t>
  </si>
  <si>
    <t>436930</t>
  </si>
  <si>
    <t>436943</t>
  </si>
  <si>
    <t>436954</t>
  </si>
  <si>
    <t>036016</t>
  </si>
  <si>
    <t>036053</t>
  </si>
  <si>
    <t>437034</t>
  </si>
  <si>
    <t>038580</t>
  </si>
  <si>
    <t>437150</t>
  </si>
  <si>
    <t>437185</t>
  </si>
  <si>
    <t>437208</t>
  </si>
  <si>
    <t>036145</t>
  </si>
  <si>
    <t>036212</t>
  </si>
  <si>
    <t>036240</t>
  </si>
  <si>
    <t>437311</t>
  </si>
  <si>
    <t>437321</t>
  </si>
  <si>
    <t>437376</t>
  </si>
  <si>
    <t>437390</t>
  </si>
  <si>
    <t>437401</t>
  </si>
  <si>
    <t>437450</t>
  </si>
  <si>
    <t>036337</t>
  </si>
  <si>
    <t>437471</t>
  </si>
  <si>
    <t>437511</t>
  </si>
  <si>
    <t>437519</t>
  </si>
  <si>
    <t>437530</t>
  </si>
  <si>
    <t>437552</t>
  </si>
  <si>
    <t>437588</t>
  </si>
  <si>
    <t>036410</t>
  </si>
  <si>
    <t>437613</t>
  </si>
  <si>
    <t>437619</t>
  </si>
  <si>
    <t>437625</t>
  </si>
  <si>
    <t>437640</t>
  </si>
  <si>
    <t>437731</t>
  </si>
  <si>
    <t>437734</t>
  </si>
  <si>
    <t>036463</t>
  </si>
  <si>
    <t>437766</t>
  </si>
  <si>
    <t>437790</t>
  </si>
  <si>
    <t>036541</t>
  </si>
  <si>
    <t>437859</t>
  </si>
  <si>
    <t>437911</t>
  </si>
  <si>
    <t>449556</t>
  </si>
  <si>
    <t>437956</t>
  </si>
  <si>
    <t>438072</t>
  </si>
  <si>
    <t>438047</t>
  </si>
  <si>
    <t>438111</t>
  </si>
  <si>
    <t>036630</t>
  </si>
  <si>
    <t>438105</t>
  </si>
  <si>
    <t>036696</t>
  </si>
  <si>
    <t>438175</t>
  </si>
  <si>
    <t>438204</t>
  </si>
  <si>
    <t>438229</t>
  </si>
  <si>
    <t>023316</t>
  </si>
  <si>
    <t>036771</t>
  </si>
  <si>
    <t>438300</t>
  </si>
  <si>
    <t>036857</t>
  </si>
  <si>
    <t>438410</t>
  </si>
  <si>
    <t>438441</t>
  </si>
  <si>
    <t>438454</t>
  </si>
  <si>
    <t>036925</t>
  </si>
  <si>
    <t>438563</t>
  </si>
  <si>
    <t>438588</t>
  </si>
  <si>
    <t>438599</t>
  </si>
  <si>
    <t>438628</t>
  </si>
  <si>
    <t>438639</t>
  </si>
  <si>
    <t>438661</t>
  </si>
  <si>
    <t>438681</t>
  </si>
  <si>
    <t>037006</t>
  </si>
  <si>
    <t>438820</t>
  </si>
  <si>
    <t>438839</t>
  </si>
  <si>
    <t>438852</t>
  </si>
  <si>
    <t>438870</t>
  </si>
  <si>
    <t>438882</t>
  </si>
  <si>
    <t>438890</t>
  </si>
  <si>
    <t>438944</t>
  </si>
  <si>
    <t>438952</t>
  </si>
  <si>
    <t>438982</t>
  </si>
  <si>
    <t>037083</t>
  </si>
  <si>
    <t>439055</t>
  </si>
  <si>
    <t>439139</t>
  </si>
  <si>
    <t>439185</t>
  </si>
  <si>
    <t>037179</t>
  </si>
  <si>
    <t>037253</t>
  </si>
  <si>
    <t>439416</t>
  </si>
  <si>
    <t>439444</t>
  </si>
  <si>
    <t>439445</t>
  </si>
  <si>
    <t>037358</t>
  </si>
  <si>
    <t>439613</t>
  </si>
  <si>
    <t>439621</t>
  </si>
  <si>
    <t>439627</t>
  </si>
  <si>
    <t>439695</t>
  </si>
  <si>
    <t>439710</t>
  </si>
  <si>
    <t>439711</t>
  </si>
  <si>
    <t>07-0360</t>
  </si>
  <si>
    <t>07-0367</t>
  </si>
  <si>
    <t>07-0368</t>
  </si>
  <si>
    <t>439791</t>
  </si>
  <si>
    <t>1439974</t>
  </si>
  <si>
    <t>037520</t>
  </si>
  <si>
    <t>07-0517</t>
  </si>
  <si>
    <t>037611</t>
  </si>
  <si>
    <t>08-0039</t>
  </si>
  <si>
    <t>08-0044</t>
  </si>
  <si>
    <t>440141</t>
  </si>
  <si>
    <t>440142</t>
  </si>
  <si>
    <t>440161</t>
  </si>
  <si>
    <t>440185</t>
  </si>
  <si>
    <t>440222</t>
  </si>
  <si>
    <t>440290</t>
  </si>
  <si>
    <t>440321</t>
  </si>
  <si>
    <t>037694</t>
  </si>
  <si>
    <t>440400</t>
  </si>
  <si>
    <t>440465</t>
  </si>
  <si>
    <t>440471</t>
  </si>
  <si>
    <t>440477</t>
  </si>
  <si>
    <t>440491</t>
  </si>
  <si>
    <t>440499</t>
  </si>
  <si>
    <t>08-0185</t>
  </si>
  <si>
    <t>037777</t>
  </si>
  <si>
    <t>440574</t>
  </si>
  <si>
    <t>440583</t>
  </si>
  <si>
    <t>440684</t>
  </si>
  <si>
    <t>440697</t>
  </si>
  <si>
    <t>440731</t>
  </si>
  <si>
    <t>440732</t>
  </si>
  <si>
    <t>037841</t>
  </si>
  <si>
    <t>440769</t>
  </si>
  <si>
    <t>440797</t>
  </si>
  <si>
    <t>440865</t>
  </si>
  <si>
    <t>440867</t>
  </si>
  <si>
    <t>440869</t>
  </si>
  <si>
    <t>440881</t>
  </si>
  <si>
    <t>08-0677</t>
  </si>
  <si>
    <t>08-0685</t>
  </si>
  <si>
    <t>440885</t>
  </si>
  <si>
    <t>440893</t>
  </si>
  <si>
    <t>037918</t>
  </si>
  <si>
    <t>037990</t>
  </si>
  <si>
    <t>441008</t>
  </si>
  <si>
    <t>441055</t>
  </si>
  <si>
    <t>441141</t>
  </si>
  <si>
    <t>441166</t>
  </si>
  <si>
    <t>441174</t>
  </si>
  <si>
    <t>441180</t>
  </si>
  <si>
    <t>09-0111</t>
  </si>
  <si>
    <t>09-0117</t>
  </si>
  <si>
    <t>441248</t>
  </si>
  <si>
    <t>038062</t>
  </si>
  <si>
    <t>441292</t>
  </si>
  <si>
    <t>441333</t>
  </si>
  <si>
    <t>441336</t>
  </si>
  <si>
    <t>441377</t>
  </si>
  <si>
    <t>441389</t>
  </si>
  <si>
    <t>441409</t>
  </si>
  <si>
    <t>09-0199</t>
  </si>
  <si>
    <t>441411</t>
  </si>
  <si>
    <t>038135</t>
  </si>
  <si>
    <t>1441481</t>
  </si>
  <si>
    <t>09-0332</t>
  </si>
  <si>
    <t>441617</t>
  </si>
  <si>
    <t>038196</t>
  </si>
  <si>
    <t>441699</t>
  </si>
  <si>
    <t>441709</t>
  </si>
  <si>
    <t>09-0439</t>
  </si>
  <si>
    <t>09-0445</t>
  </si>
  <si>
    <t>09-0454</t>
  </si>
  <si>
    <t>038257</t>
  </si>
  <si>
    <t>441792</t>
  </si>
  <si>
    <t>441814</t>
  </si>
  <si>
    <t>10-0058</t>
  </si>
  <si>
    <t>441903</t>
  </si>
  <si>
    <t>442029</t>
  </si>
  <si>
    <t>442034</t>
  </si>
  <si>
    <t>442120</t>
  </si>
  <si>
    <t>038326</t>
  </si>
  <si>
    <t>442106</t>
  </si>
  <si>
    <t>442136</t>
  </si>
  <si>
    <t>442142</t>
  </si>
  <si>
    <t>442176</t>
  </si>
  <si>
    <t>10-0180</t>
  </si>
  <si>
    <t>038462</t>
  </si>
  <si>
    <t>442270</t>
  </si>
  <si>
    <t>442297</t>
  </si>
  <si>
    <t>10-0336</t>
  </si>
  <si>
    <t>038518</t>
  </si>
  <si>
    <t>442490</t>
  </si>
  <si>
    <t>11-0038</t>
  </si>
  <si>
    <t>038602</t>
  </si>
  <si>
    <t>442594</t>
  </si>
  <si>
    <t>442640</t>
  </si>
  <si>
    <t>442668</t>
  </si>
  <si>
    <t>442688</t>
  </si>
  <si>
    <t>038665</t>
  </si>
  <si>
    <t>442834</t>
  </si>
  <si>
    <t>442898</t>
  </si>
  <si>
    <t>11-0130</t>
  </si>
  <si>
    <t>038718</t>
  </si>
  <si>
    <t>442979</t>
  </si>
  <si>
    <t>442980</t>
  </si>
  <si>
    <t>443126</t>
  </si>
  <si>
    <t>11-0278</t>
  </si>
  <si>
    <t>038802</t>
  </si>
  <si>
    <t>443161</t>
  </si>
  <si>
    <t>43295</t>
  </si>
  <si>
    <t>11-0513</t>
  </si>
  <si>
    <t>038865</t>
  </si>
  <si>
    <t>038930</t>
  </si>
  <si>
    <t>443338</t>
  </si>
  <si>
    <t>443425</t>
  </si>
  <si>
    <t>443430</t>
  </si>
  <si>
    <t>443464</t>
  </si>
  <si>
    <t>443484</t>
  </si>
  <si>
    <t>443503</t>
  </si>
  <si>
    <t>443504</t>
  </si>
  <si>
    <t>443526</t>
  </si>
  <si>
    <t>443637</t>
  </si>
  <si>
    <t>443541</t>
  </si>
  <si>
    <t>038997</t>
  </si>
  <si>
    <t>12-0222</t>
  </si>
  <si>
    <t>443606</t>
  </si>
  <si>
    <t>443627</t>
  </si>
  <si>
    <t>443685</t>
  </si>
  <si>
    <t>039070</t>
  </si>
  <si>
    <t>12-0327</t>
  </si>
  <si>
    <t>443782</t>
  </si>
  <si>
    <t>443809</t>
  </si>
  <si>
    <t>443817</t>
  </si>
  <si>
    <t>443886</t>
  </si>
  <si>
    <t>443897</t>
  </si>
  <si>
    <t>443951</t>
  </si>
  <si>
    <t>443953</t>
  </si>
  <si>
    <t>443954</t>
  </si>
  <si>
    <t>039124</t>
  </si>
  <si>
    <t>12-0554</t>
  </si>
  <si>
    <t>039449</t>
  </si>
  <si>
    <t>02-0095</t>
  </si>
  <si>
    <t>039520</t>
  </si>
  <si>
    <t>02-0175</t>
  </si>
  <si>
    <t>039615</t>
  </si>
  <si>
    <t>502-0531</t>
  </si>
  <si>
    <t>039696</t>
  </si>
  <si>
    <t>01-0018</t>
  </si>
  <si>
    <t>039195</t>
  </si>
  <si>
    <t>01-0137</t>
  </si>
  <si>
    <t>039258</t>
  </si>
  <si>
    <t>01-0286</t>
  </si>
  <si>
    <t>039323</t>
  </si>
  <si>
    <t>039386</t>
  </si>
  <si>
    <t>01-0420</t>
  </si>
  <si>
    <r>
      <rPr>
        <sz val="10"/>
        <rFont val="Khmer MEF2"/>
      </rPr>
      <t>នាមករណ៏សហគ្រាស</t>
    </r>
    <r>
      <rPr>
        <sz val="10"/>
        <rFont val="Limon S1"/>
      </rPr>
      <t xml:space="preserve"> </t>
    </r>
    <r>
      <rPr>
        <sz val="10"/>
        <rFont val="Khmer OS"/>
      </rPr>
      <t xml:space="preserve"> :  </t>
    </r>
    <r>
      <rPr>
        <b/>
        <sz val="10"/>
        <rFont val="Khmer OS"/>
      </rPr>
      <t>Maurea Garments Corp</t>
    </r>
  </si>
  <si>
    <t>TOTAL 7/2012-02/2015</t>
  </si>
  <si>
    <t>031454</t>
  </si>
  <si>
    <t>031588</t>
  </si>
  <si>
    <t>031592</t>
  </si>
  <si>
    <t>31799</t>
  </si>
  <si>
    <t>31901</t>
  </si>
  <si>
    <t>31940</t>
  </si>
  <si>
    <t>032076</t>
  </si>
  <si>
    <t>032132</t>
  </si>
  <si>
    <t>031981</t>
  </si>
  <si>
    <t>វិក្កយបត្រ</t>
  </si>
  <si>
    <t>បានបង់</t>
  </si>
  <si>
    <t>31883</t>
  </si>
  <si>
    <t>រៀល</t>
  </si>
  <si>
    <t>បានផ្ទៀងផ្ទាត់ហើយក្រុមហ៊ុនបានប្រកាសបង់</t>
  </si>
  <si>
    <t>ចំនួនវិក្កយបត្រៈ ១៩៨</t>
  </si>
  <si>
    <t>ចំនួនវិក្កយបត្រសរុបៈ ៤.៣៣៥</t>
  </si>
  <si>
    <t>ចំនួនវិក្កយបត្រៈ ៤.១៣៧</t>
  </si>
  <si>
    <t>វិក្កយបត្រតូចៗមិនបានផ្ទៀងផ្ទាត់ ដោយជ្រើសរើសវិក្កយបត្រចំនួន ១៩៨​ ជាគំរូ ហើយអ្នកផ្គត់ផ្គង់បានប្រកាសហើយ</t>
  </si>
  <si>
    <t>សរុបទឹកប្រាក់នៅសល់ត្រូវបង្វិលសង</t>
  </si>
  <si>
    <t>សរុបទឹកប្រាក់ស្នើសុំបង្វិលសងតាមទម្រង់ អតប ២០០</t>
  </si>
  <si>
    <t>សរុបទឹកប្រាក់កាត់ចេញ (ការគណនាខុស វិក្កយបត្រមិនត្រឹមត្រូវនិងកត់ត្រាស្ទួន )</t>
  </si>
  <si>
    <t>មន្ត្រីសវនកម្ម</t>
  </si>
  <si>
    <t>ហុង ចំរើន                          កៅ សុលាភ</t>
  </si>
  <si>
    <t>ធ្វើនៅរាជធានីភ្នំពេញ.ថ្ងៃទី១១ ខែធ្នូ ឆ្នាំ២០១៥</t>
  </si>
  <si>
    <t xml:space="preserve"> សៀវភៅទិនានុប្បវត្តិលក់- នាំចេញ</t>
  </si>
  <si>
    <t xml:space="preserve"> ខែ​​ សីហា ឆ្នាំ ២០១៥</t>
  </si>
  <si>
    <t xml:space="preserve">ជី អេវើរហ្រ្គីន( ខេមបូឌា​ ) នីតធីង  </t>
  </si>
  <si>
    <t>Vat:100193102</t>
  </si>
  <si>
    <t xml:space="preserve">ភូមិជ្រៃកោង សង្កាត់ចោមចៅ ខណ្ឌ ពោធិសែនជ័យ ក្រុង ភ្នំពេញ </t>
  </si>
  <si>
    <t>Average:</t>
  </si>
  <si>
    <t>វិក្ក័យប័ត្រ</t>
  </si>
  <si>
    <t>ការផ្គត់ផ្គង់</t>
  </si>
  <si>
    <t>កាលបរិចេ្ឆទ</t>
  </si>
  <si>
    <t>អ្នកទិញ</t>
  </si>
  <si>
    <t>លេខ អតប</t>
  </si>
  <si>
    <t>បរិយាយ</t>
  </si>
  <si>
    <t>បរិមាណ</t>
  </si>
  <si>
    <t>karlk;Cab;Gakr</t>
  </si>
  <si>
    <t>សរុបថ្លៃទិញ</t>
  </si>
  <si>
    <t>TIN</t>
  </si>
  <si>
    <t>ការនាំចេញ</t>
  </si>
  <si>
    <t>lk;;»übuKþlCab;Gakr</t>
  </si>
  <si>
    <t>lk;;»üGñkeRbIR)as;</t>
  </si>
  <si>
    <t>រួមទាំអាករ</t>
  </si>
  <si>
    <t>មិនជាប់អាករ</t>
  </si>
  <si>
    <r>
      <t xml:space="preserve">អត្រា​​ </t>
    </r>
    <r>
      <rPr>
        <sz val="7"/>
        <rFont val="Times New Roman"/>
        <family val="1"/>
      </rPr>
      <t>0 %</t>
    </r>
  </si>
  <si>
    <t>តំលៃជាប់អាករ</t>
  </si>
  <si>
    <t>អាករ</t>
  </si>
  <si>
    <t>E 72202</t>
  </si>
  <si>
    <t>Primark Us Corp</t>
  </si>
  <si>
    <t>Men Zip Thru Hoody</t>
  </si>
  <si>
    <t>CT</t>
  </si>
  <si>
    <t>E 13027</t>
  </si>
  <si>
    <t>LPP S.A</t>
  </si>
  <si>
    <t>Ladies Knit Jogging Top</t>
  </si>
  <si>
    <t>E 13359</t>
  </si>
  <si>
    <t>VDR Fashion Group BV</t>
  </si>
  <si>
    <t>Ladies Knit Shirt</t>
  </si>
  <si>
    <t>E 74804</t>
  </si>
  <si>
    <t>Boy Hoody</t>
  </si>
  <si>
    <t>E 74578</t>
  </si>
  <si>
    <t>Men's Jogging Top</t>
  </si>
  <si>
    <t>E 76431</t>
  </si>
  <si>
    <t xml:space="preserve">Primark </t>
  </si>
  <si>
    <t>E 76547</t>
  </si>
  <si>
    <t>Primark Stores Limited</t>
  </si>
  <si>
    <t>7/2Boy Core Hoody</t>
  </si>
  <si>
    <t>E 65557</t>
  </si>
  <si>
    <t>Ladies Jogging Top</t>
  </si>
  <si>
    <t>Men's Knit Trousers</t>
  </si>
  <si>
    <t>E 76966</t>
  </si>
  <si>
    <t>Primark</t>
  </si>
  <si>
    <t>See Val Note</t>
  </si>
  <si>
    <t>Ladies Nylon Zip Back Fl Legging</t>
  </si>
  <si>
    <t>E 78298</t>
  </si>
  <si>
    <t>Mens Hoody</t>
  </si>
  <si>
    <t>E 77699</t>
  </si>
  <si>
    <t>E 78825</t>
  </si>
  <si>
    <t>Ladies Legging</t>
  </si>
  <si>
    <t>E 79325</t>
  </si>
  <si>
    <t>7Boy/2Boy Core Hoody</t>
  </si>
  <si>
    <t>E 79317</t>
  </si>
  <si>
    <t>A.Levy &amp; Son Limited</t>
  </si>
  <si>
    <t>Men's Neck Pullver / Hoody</t>
  </si>
  <si>
    <t>E 79287</t>
  </si>
  <si>
    <t>Primakr Tiendas Slu</t>
  </si>
  <si>
    <t>Men's Zip Thru Hoody</t>
  </si>
  <si>
    <t>E 79296</t>
  </si>
  <si>
    <t>E 14352</t>
  </si>
  <si>
    <t>Men's Knit Jogging Top</t>
  </si>
  <si>
    <t>E 79660</t>
  </si>
  <si>
    <t>Kik Texlilien Und-Food GMBH</t>
  </si>
  <si>
    <t>Men's Knitted Sweatshirt</t>
  </si>
  <si>
    <t>E 81282</t>
  </si>
  <si>
    <t>Men's +Boy Zip</t>
  </si>
  <si>
    <t>E 80591</t>
  </si>
  <si>
    <t>Boy Contrast Hoody Core Hoody</t>
  </si>
  <si>
    <t>E 81979</t>
  </si>
  <si>
    <t>Ladies' Nylon Back FL Legging</t>
  </si>
  <si>
    <t>E 82631</t>
  </si>
  <si>
    <t>Adler Czech A.S</t>
  </si>
  <si>
    <t>Gent Knit Sweatshirt + Sweater</t>
  </si>
  <si>
    <t>Ladies Knit Sweatshirt</t>
  </si>
  <si>
    <t>E 84211</t>
  </si>
  <si>
    <t>Men's Trousers</t>
  </si>
  <si>
    <t>E 83211</t>
  </si>
  <si>
    <t>Men's Knit Long Sleeve Zip Thru Jacket</t>
  </si>
  <si>
    <t>Men's Knit Hoody</t>
  </si>
  <si>
    <t>E 85424</t>
  </si>
  <si>
    <t>Men's Knit Pullover</t>
  </si>
  <si>
    <t>E 86517</t>
  </si>
  <si>
    <t>Primarkus Corp</t>
  </si>
  <si>
    <t>Men Knit Chesi Print Zip</t>
  </si>
  <si>
    <t>E 87246</t>
  </si>
  <si>
    <t>Boy's Hoody</t>
  </si>
  <si>
    <t>E 87199</t>
  </si>
  <si>
    <t>Primakr Tiendas S.l.u.</t>
  </si>
  <si>
    <t>Men's Knit Chest Print Zip Thru</t>
  </si>
  <si>
    <t>E 87074</t>
  </si>
  <si>
    <t>Primark 47 Mary Street Dublin1.</t>
  </si>
  <si>
    <t>E 86097</t>
  </si>
  <si>
    <t>E 86347</t>
  </si>
  <si>
    <t>Riel</t>
  </si>
  <si>
    <t>Total USD</t>
  </si>
  <si>
    <t>Box 12</t>
  </si>
  <si>
    <t xml:space="preserve">    </t>
  </si>
  <si>
    <t>Box 14</t>
  </si>
  <si>
    <t>Box 15</t>
  </si>
  <si>
    <t>Approved By :</t>
  </si>
  <si>
    <t xml:space="preserve"> ខែ​​ កក្កដា ឆ្នាំ ២០១៥</t>
  </si>
  <si>
    <t>E 65884</t>
  </si>
  <si>
    <t>1841 CT</t>
  </si>
  <si>
    <t>631 CT</t>
  </si>
  <si>
    <t>E 65484</t>
  </si>
  <si>
    <t>Primark Tiendas Slu</t>
  </si>
  <si>
    <t>343 CT</t>
  </si>
  <si>
    <t>E 67494</t>
  </si>
  <si>
    <t>PRIMARK</t>
  </si>
  <si>
    <t>Men's Long Sleeve Zip Thru Hoodie</t>
  </si>
  <si>
    <t>1093 CT</t>
  </si>
  <si>
    <t>E 68109</t>
  </si>
  <si>
    <t>PRIMARK STORES LIMITED</t>
  </si>
  <si>
    <t>7B (Boy) Core Hoody</t>
  </si>
  <si>
    <t>600 CT</t>
  </si>
  <si>
    <t>E 68146</t>
  </si>
  <si>
    <t>772 CT</t>
  </si>
  <si>
    <t>E 69396</t>
  </si>
  <si>
    <t>Men's Knit Sweater + Jogging Top</t>
  </si>
  <si>
    <t>1133 CT</t>
  </si>
  <si>
    <t>39 CT</t>
  </si>
  <si>
    <t>E 69549</t>
  </si>
  <si>
    <t>Men + Boy Hoodies</t>
  </si>
  <si>
    <t>638 CT</t>
  </si>
  <si>
    <t>E 70637</t>
  </si>
  <si>
    <t>490 CT</t>
  </si>
  <si>
    <t>99 CT</t>
  </si>
  <si>
    <t>E 70627</t>
  </si>
  <si>
    <t>2066 CT</t>
  </si>
  <si>
    <t>E 12774</t>
  </si>
  <si>
    <t>2B Core Hoody</t>
  </si>
  <si>
    <t>540 CT</t>
  </si>
  <si>
    <t>E 71959</t>
  </si>
  <si>
    <t>Men's  Knit Jogging Top</t>
  </si>
  <si>
    <t>796 CT</t>
  </si>
  <si>
    <t xml:space="preserve"> E 73334</t>
  </si>
  <si>
    <t>VDR FASHION GROUP BV</t>
  </si>
  <si>
    <t>Ladies Skirt</t>
  </si>
  <si>
    <t>38 CT</t>
  </si>
  <si>
    <t>E 73525</t>
  </si>
  <si>
    <t>A.LEVY &amp; SON LIMITED</t>
  </si>
  <si>
    <t>Men's Neck Pullover</t>
  </si>
  <si>
    <t>346 CT</t>
  </si>
  <si>
    <t>E 73514</t>
  </si>
  <si>
    <t>349 CT</t>
  </si>
  <si>
    <t>228 CT</t>
  </si>
  <si>
    <t>200CT</t>
  </si>
  <si>
    <t>E 73524</t>
  </si>
  <si>
    <t>Ladies Knitted Tregging</t>
  </si>
  <si>
    <t>245 CT</t>
  </si>
  <si>
    <t>Ladies Knitted Blazer</t>
  </si>
  <si>
    <t>191 CT</t>
  </si>
  <si>
    <t>Box 13</t>
  </si>
  <si>
    <t xml:space="preserve"> ខែ​​ មិថុនា ឆ្នាំ ២០១៥</t>
  </si>
  <si>
    <t>E 55119</t>
  </si>
  <si>
    <t>Men's Top</t>
  </si>
  <si>
    <t>137 CT</t>
  </si>
  <si>
    <t>E 53624</t>
  </si>
  <si>
    <t>655 CT</t>
  </si>
  <si>
    <t>E 9812</t>
  </si>
  <si>
    <t>SMYK SP Z.O.O</t>
  </si>
  <si>
    <t>Girls Knitted Dress</t>
  </si>
  <si>
    <t>518 CT</t>
  </si>
  <si>
    <t>E 10122</t>
  </si>
  <si>
    <t>Girls Knitted Sweat Shirt</t>
  </si>
  <si>
    <t>404 CT</t>
  </si>
  <si>
    <t>E 57854</t>
  </si>
  <si>
    <t>Men's Long Sleeve Hoodie</t>
  </si>
  <si>
    <t>550 CT</t>
  </si>
  <si>
    <t>E 57078</t>
  </si>
  <si>
    <t>1094 CT</t>
  </si>
  <si>
    <t>E 60607</t>
  </si>
  <si>
    <t>CAPRI SRL</t>
  </si>
  <si>
    <t>Men's Hoody</t>
  </si>
  <si>
    <t>827 CT</t>
  </si>
  <si>
    <t>E 59730</t>
  </si>
  <si>
    <t>815 CT</t>
  </si>
  <si>
    <t>E 60079</t>
  </si>
  <si>
    <t>Men's Sweater +Top</t>
  </si>
  <si>
    <t>400 CT</t>
  </si>
  <si>
    <t>E 61426</t>
  </si>
  <si>
    <t>VISAGE LIMITED</t>
  </si>
  <si>
    <t>Men's Pari / Monica / Leyton Crew</t>
  </si>
  <si>
    <t>556 CT</t>
  </si>
  <si>
    <t>E 61432</t>
  </si>
  <si>
    <t>1220 CT</t>
  </si>
  <si>
    <t>E 63424</t>
  </si>
  <si>
    <t>PRIMARK US CORP</t>
  </si>
  <si>
    <t>Men Chest Print Zip</t>
  </si>
  <si>
    <t>37 CT</t>
  </si>
  <si>
    <t>E 62715</t>
  </si>
  <si>
    <t>145 CT</t>
  </si>
  <si>
    <t>E 63568</t>
  </si>
  <si>
    <t>Men's Morgan Crew + Connect Crew+ Leyton</t>
  </si>
  <si>
    <t>338 CT</t>
  </si>
  <si>
    <t>July</t>
  </si>
  <si>
    <t>Aug</t>
  </si>
  <si>
    <t>June</t>
  </si>
  <si>
    <t>Total:</t>
  </si>
  <si>
    <t>Sales</t>
  </si>
  <si>
    <t>14 invoices</t>
  </si>
  <si>
    <t>21 invoices</t>
  </si>
  <si>
    <t>38 invoices</t>
  </si>
  <si>
    <t>(ការទិញក្នុងស្រុក)</t>
  </si>
  <si>
    <t>ថ្ងៃ ខែ ឆ្នាំ</t>
  </si>
  <si>
    <t>អត្រា</t>
  </si>
  <si>
    <t>ជារៀល</t>
  </si>
  <si>
    <t>អត្រាប្តូរប្រាក់</t>
  </si>
  <si>
    <t>ប្រាក់អាករ (រៀល)</t>
  </si>
  <si>
    <t>អាករតម្លៃ (ដុល្លា)</t>
  </si>
  <si>
    <t>អាករតម្លៃ (រៀល)</t>
  </si>
  <si>
    <t>តម្លៃជារៀល</t>
  </si>
  <si>
    <t>តារាងឧបសម្ព័ន្ធ I</t>
  </si>
  <si>
    <t xml:space="preserve">សវនករពន្ធដារ៖ </t>
  </si>
  <si>
    <t>ជា ហុកស័រ</t>
  </si>
  <si>
    <t>ទឹកប្រាក់ស្នើសុំបង្វិលសងចំនួន៖</t>
  </si>
  <si>
    <t>ក្រុមហ៊ុន៖</t>
  </si>
  <si>
    <t>លេខ អតប ៖</t>
  </si>
  <si>
    <t>COMPANY NAME (KHMER)</t>
  </si>
  <si>
    <t>COMPANY NAME (ENGLISH)</t>
  </si>
  <si>
    <t>VAT NUMBER</t>
  </si>
  <si>
    <t>Request Period</t>
  </si>
  <si>
    <t>Address</t>
  </si>
  <si>
    <t>Business Activity</t>
  </si>
  <si>
    <t>Auditor Name</t>
  </si>
  <si>
    <t>Phone Number</t>
  </si>
  <si>
    <t>Person to Contact</t>
  </si>
  <si>
    <t>Position</t>
  </si>
  <si>
    <t>Audit timeline</t>
  </si>
  <si>
    <t>MOC NUMBER</t>
  </si>
  <si>
    <t>MOC DATE OF ISSUE</t>
  </si>
  <si>
    <t>PATENT ISSUE DATE</t>
  </si>
  <si>
    <t>VAT CERTIFICATE ISSUE DATE</t>
  </si>
  <si>
    <t>Request Date</t>
  </si>
  <si>
    <t>Amount of Request</t>
  </si>
  <si>
    <t>ទិន្នានុប្បវត្តទិញ</t>
  </si>
  <si>
    <t>ទិន្នានុប្បវត្តលក់</t>
  </si>
  <si>
    <t>ទឹកប្រាក់អាចបង្វិលសង</t>
  </si>
  <si>
    <t>តម្លៃ</t>
  </si>
  <si>
    <t>យោង</t>
  </si>
  <si>
    <t>អាករលើធាតុចូល</t>
  </si>
  <si>
    <t>- នាំចូល</t>
  </si>
  <si>
    <t>- ទិញក្នុងស្រុក</t>
  </si>
  <si>
    <t>អាករលើធាតុចេញ</t>
  </si>
  <si>
    <t>- នាំចេញ</t>
  </si>
  <si>
    <t>- លក់ក្នុងស្រុក</t>
  </si>
  <si>
    <t>សរុប</t>
  </si>
  <si>
    <t>ទឹកប្រាក់ស្នើសុំបង្វិលសង</t>
  </si>
  <si>
    <t>ទឹកប្រាក់កាត់បន្ថយ</t>
  </si>
  <si>
    <t>ទឹកប្រាក់នៅសល់</t>
  </si>
  <si>
    <t>មូលហេតុ</t>
  </si>
  <si>
    <t>មិនបានប្រកាស ខុសលេខវិក្កយបត្រ វិក្កយបត្រស្ទួន និងព្យួរទុក</t>
  </si>
  <si>
    <t>លោក ជា ហុកស័រ</t>
  </si>
  <si>
    <t>ទឹកប្រាក់សរុបចំនួន</t>
  </si>
  <si>
    <t>កាលបរិច្ឆេទស្នើសុំ</t>
  </si>
  <si>
    <t>បំណុលពន្ធ</t>
  </si>
  <si>
    <t>ទឹកប្រាក់ស្នើសុំ</t>
  </si>
  <si>
    <t>ទឹកប្រាក់សំរេចបង្វិលសង</t>
  </si>
  <si>
    <t>ទឹកប្រាក់ត្រូវបង្វិលសង</t>
  </si>
  <si>
    <t>បំណុលពន្ធនៅសល់</t>
  </si>
  <si>
    <t>ស្នើសុំលើកទី1</t>
  </si>
  <si>
    <t>ស្នើសុំលើកទី2</t>
  </si>
  <si>
    <t>ស្នើសុំលើកទី3</t>
  </si>
  <si>
    <t>ស្នើសុំលើកទី4</t>
  </si>
  <si>
    <t>ស្នើសុំលើកទី5</t>
  </si>
  <si>
    <t>ស្នើសុំលើកទី...</t>
  </si>
  <si>
    <t>ចំនួនច្បាប់</t>
  </si>
  <si>
    <t>វិក្ក័យប័ត្រទិញក្នុងស្រុក</t>
  </si>
  <si>
    <t>ទឹកប្រាក់សរុប</t>
  </si>
  <si>
    <t>ប្រតិវេទន៍គយសំរាប់ការនាំចេញ</t>
  </si>
  <si>
    <t>ឯកសារដឹកជញ្ជូន</t>
  </si>
  <si>
    <t>វិក្កយបត្រសំរាប់ការនាំចេញ</t>
  </si>
  <si>
    <t>វិក្កយបត្រសំរាប់ការលក់ក្នុងស្រុក</t>
  </si>
  <si>
    <t>ឯកសារទូទាត់</t>
  </si>
  <si>
    <t>ឯកសារផ្សេងៗទៀត</t>
  </si>
  <si>
    <t>សរុបទឹកប្រាក់ អតប VAT</t>
  </si>
  <si>
    <t>សរុបអាករលើការនាំចូលជាបន្ទុករដ្ឋ</t>
  </si>
  <si>
    <t>ប្រតិវេទន៍គយសម្រាប់ការនាំចូល (មិនមែនបន្ទុករដ្ឋ)</t>
  </si>
  <si>
    <t>ប្រតិវេទន៍គយសម្រាប់ការនាំចូល (បន្ទុករដ្ឋ)</t>
  </si>
  <si>
    <t>ទឹកប្រាក់អាករ</t>
  </si>
  <si>
    <t>ជាដុល្លារអាមេរិក</t>
  </si>
  <si>
    <t>នៅខ្វះ</t>
  </si>
  <si>
    <t>Total</t>
  </si>
  <si>
    <t>តារាងសង្ខេបប្រាក់អាករដែលអាចស្នើសុំបង្វិលសង</t>
  </si>
  <si>
    <t>ចំនួនទឹកប្រាក់</t>
  </si>
  <si>
    <t>ចំនួនប្រាក់អាករលើធាតុចូលទិញក្នុងស្រុក</t>
  </si>
  <si>
    <t>ចំនួនប្រាក់អាករលើធាតុចូលសរុប</t>
  </si>
  <si>
    <t>ព្យួរទុក</t>
  </si>
  <si>
    <t>ក</t>
  </si>
  <si>
    <t>ចំនួនប្រាក់អាករដែលបានប្រកាស</t>
  </si>
  <si>
    <t>ខ</t>
  </si>
  <si>
    <t>គួរអនុញ្ញាត</t>
  </si>
  <si>
    <t>ចំនួនប្រាក់អាករដែលមិនបានប្រកាស</t>
  </si>
  <si>
    <t>គ</t>
  </si>
  <si>
    <t>ចំនួនប្រាក់អាករដែលមិនមានទិន្នន័យ</t>
  </si>
  <si>
    <t>ឃ</t>
  </si>
  <si>
    <t>ង</t>
  </si>
  <si>
    <t>តារាងផ្ទៀងផ្ទាត់បញ្ជាក់អំពីអាករលើធាតុចូលដែលអាចស្នើសុំជាឥណទាន</t>
  </si>
  <si>
    <t>លេខ អតប៖</t>
  </si>
  <si>
    <t>ចំនួនប្រាក់អាករស្នើសុំតាមប្រព័ន្ធ E-VAT</t>
  </si>
  <si>
    <t>លម្អៀងបា្រក់អាករជាមួយប្រព័ន្ធ E-VAT</t>
  </si>
  <si>
    <t>Under</t>
  </si>
  <si>
    <t>សរុបអាករលើការលក់ក្នុងស្រុក</t>
  </si>
  <si>
    <t>( ការលក់ក្នុងស្រុក )</t>
  </si>
  <si>
    <t>តារាងឧបសម្ព័ន្ធ II</t>
  </si>
  <si>
    <t>បញ្ជាក់អំពីអាករលើធាតុចូលដែលមិនអាចស្នើសុំជាឥណទាន</t>
  </si>
  <si>
    <t>បញ្ជាក់អំពីអាករលើធាតុចេញ</t>
  </si>
  <si>
    <t>ពន្ធលើប្រាក់បៀវត្ស</t>
  </si>
  <si>
    <t>ពន្ធលើអត្ថប្រយោជន៍បន្ថែម</t>
  </si>
  <si>
    <t>ប្រាក់រំដោះពន្ធលើប្រាក់ចំណូល</t>
  </si>
  <si>
    <t>ពន្ធលើប្រាក់ចំណូលប្រចាំឆ្នាំ</t>
  </si>
  <si>
    <t>ពន្ធកាត់ទុកលើសេវាកម្ម ១៥%</t>
  </si>
  <si>
    <t>ពន្ធកាត់ទុកលើអនិវាសនជន(ការប្រាក់)</t>
  </si>
  <si>
    <t>ពន្ធកាត់ទុកលើអនិវាសនជន(សេវាគ្រប់គ្រង បច្ចេកទេស)</t>
  </si>
  <si>
    <t>ពន្ធកាត់ទុកលើថ្លៃឈ្នួល (រូបវន្តបុគ្គល)</t>
  </si>
  <si>
    <t>ពន្ធកាត់ទុកលើថ្លៃឈ្នួល (នីតិបុគ្គល)</t>
  </si>
  <si>
    <t>កម្រៃសេវាចុះបញ្ជី ឬបច្ចុប្បន្នភាព</t>
  </si>
  <si>
    <t>ពន្ធប៉ាតង់</t>
  </si>
  <si>
    <t>ចំនួន.វិ</t>
  </si>
  <si>
    <t>ចំនួនប្រាក់អាករលើធាតុចេញលក់ក្នុងស្រុក</t>
  </si>
  <si>
    <t>ចំនួនប្រាក់អាករលើធាតុចេញសរុប</t>
  </si>
  <si>
    <t>ចំនួនប្រាក់អាករដែលអាចធ្វើការផ្ទៀងផ្ទាត់</t>
  </si>
  <si>
    <t>ចំនួនប្រាក់អាករដែលមិនអនុញ្ញាតជាឥណទាន</t>
  </si>
  <si>
    <t>ប្រភេទពន្ធ</t>
  </si>
  <si>
    <t>ចំនួនទឺកប្រាក់ពន្ធ</t>
  </si>
  <si>
    <t>សរុបទឹកប្រាក់ពន្ធបានបង់ចូលរដ្ឋ</t>
  </si>
  <si>
    <t>ប្រតិវេទន៍គយនាំចូល/ វិក្កយបត្រ</t>
  </si>
  <si>
    <t>ប្រតិវេទន៍គយនាំចូល/វិក្កយបត្រ</t>
  </si>
  <si>
    <t>ប្រតិវេទន៍គយនាំចេញ/វិក្កយបត្រ</t>
  </si>
  <si>
    <t>ចំនួនប្រាក់អាករដែលប្រកាសខុស</t>
  </si>
  <si>
    <t>ស្ថានភាព</t>
  </si>
  <si>
    <t>ផ្សេង (សម្គាល់)</t>
  </si>
  <si>
    <t>ឆ</t>
  </si>
  <si>
    <t>ជ</t>
  </si>
  <si>
    <t>សរុបប្រាក់អាករគួរបង្វិលសងជូនក្រុមហ៊ុន</t>
  </si>
  <si>
    <t>អាករលើតម្លៃបន្ថែម</t>
  </si>
  <si>
    <t>អនុញ្ញាត (បានប្រកាស)</t>
  </si>
  <si>
    <t>ចំនួនប្រាក់អាករនាំចូលមានឯកសារគាំទ្រ</t>
  </si>
  <si>
    <t>ចំនួនប្រាក់អាករនាំចូលមិនមានឯកសារគាំទ្រ</t>
  </si>
  <si>
    <t>ខ្វះ</t>
  </si>
  <si>
    <t>ចំនួនប្រាក់អាករលើការនាំចូល</t>
  </si>
  <si>
    <t>ច</t>
  </si>
  <si>
    <t>រាជធានីភ្នំពេញ.ថ្ងៃទី         ខែ                   ឆ្នាំ២០២៥</t>
  </si>
  <si>
    <t>សេចក្តីធានាអះអាងរបស់មន្ត្រីសវនករទទួលបន្ទុក៖
លទ្ធផលនៃការផ្ទៀងផ្ទាត់វិក្កយបត្រអាករ (Invoice Cross-check) ខាងលើ ពិតជាត្រឹមត្រូវតាមការប្រកាសរបស់អ្នកផ្គត់ផ្គង់ពិតប្រាកដមែន។</t>
  </si>
  <si>
    <t>បានឃើញ និងឯកភាព</t>
  </si>
  <si>
    <t>ប្រធានការិយាល័យ</t>
  </si>
  <si>
    <t>តាង</t>
  </si>
  <si>
    <t>រាជធានីភ្នំពេញ.ថ្ងៃទី            ខែ          ឆ្នាំ២០២៥</t>
  </si>
  <si>
    <t>ពន្ធកាត់ទុកលើអនិវាសនជន (ភាគលាភ)</t>
  </si>
  <si>
    <t>ពន្ធលើផ្ទាំងផ្សព្វផ្សាយ - ផ្ទាំងផ្សាយពាណិជ្ជកម្ម</t>
  </si>
  <si>
    <t>ពន្ធពិន័យលើការយឺតយ៉ាវ</t>
  </si>
  <si>
    <t>មានភ្ជាប់ក្នុងតារាងឧបសម្ព័ន្ធ  I</t>
  </si>
  <si>
    <t>មានភ្ជាប់ក្នុងតារាងឧបសម្ព័ន្ធ  II</t>
  </si>
  <si>
    <t>មានភ្ជាប់ក្នុងតារាងឧបសម្ព័ន្ធ  III</t>
  </si>
  <si>
    <t>មានភ្ជាប់ក្នុងតារាងឧបសម្ព័ន្ធ  IV</t>
  </si>
  <si>
    <t>មានភ្ជាប់ក្នុងតារាងឧបសម្ព័ន្ធ  V</t>
  </si>
  <si>
    <t>បានប្រកាស</t>
  </si>
  <si>
    <t>បញ្ជាក់អំពីការលក់</t>
  </si>
  <si>
    <t>(ការនាំចេញ/លក់បន្ទុករដ្ឋ/លក់តាមអត្រា០%)</t>
  </si>
  <si>
    <t>អាករលើតម្លៃបន្ថែមអត្រា ០%</t>
  </si>
  <si>
    <t>សម្កាល់</t>
  </si>
  <si>
    <t>VAR. DATE
T/F</t>
  </si>
  <si>
    <t>VAR INVOICE
T/F</t>
  </si>
  <si>
    <t>កាលបរិច្ឆេទ </t>
  </si>
  <si>
    <t>លេខវិក្កយបត្រ ឬប្រតិវេទគយ </t>
  </si>
  <si>
    <t>លេខលិខិតជូនដំណឹងឥណទាន</t>
  </si>
  <si>
    <t>តម្លៃសរុបលើវិក្កយបត្រ</t>
  </si>
  <si>
    <t>តម្លៃ​​មិន​រួមអតប និងមិនជាប់​អតប​</t>
  </si>
  <si>
    <t>ប្រភេទ</t>
  </si>
  <si>
    <t>លេខសម្គាល់ចុះបញ្ជីពន្ធដា TIN/BIN/TID</t>
  </si>
  <si>
    <t>ឈ្មោះ</t>
  </si>
  <si>
    <t>តម្លៃមិនរួមអតប</t>
  </si>
  <si>
    <t>ការលក់មិនជាប់អតប</t>
  </si>
  <si>
    <t>ការលក់ក្នុងស្រុក</t>
  </si>
  <si>
    <t>អតបលើការនាំចេញ</t>
  </si>
  <si>
    <t>VAR. SUPPLIER &amp; PUCHASER</t>
  </si>
  <si>
    <t>FOR REPORT</t>
  </si>
  <si>
    <t>តេស្តទឹកប្រាក់លម្អៀង</t>
  </si>
  <si>
    <t>សម្គាល់ផ្សេងៗ</t>
  </si>
  <si>
    <t>TRUCK BUS RADIAL TYRE</t>
  </si>
  <si>
    <t>SCRAP STEEL CORD GLUE</t>
  </si>
  <si>
    <t>CUT TIRES</t>
  </si>
  <si>
    <t>GT20240001</t>
  </si>
  <si>
    <t>ជ=ក-គ-ឃ-ង-ច-ឆ</t>
  </si>
  <si>
    <t>ចំនួនផ្ទៀងផ្ទាត់ឡើងវិញ</t>
  </si>
  <si>
    <t>ចំនួនករណីទឹកប្រាក់បានពិនិត្យឡើងវិញ</t>
  </si>
  <si>
    <t>SERVICE FEE ON SOCIAL INSURANCE FOR MARCH 24</t>
  </si>
  <si>
    <t>27-03-2024</t>
  </si>
  <si>
    <t>15-03-2024</t>
  </si>
  <si>
    <t>GTAP-TS-202403-01/E4531</t>
  </si>
  <si>
    <t>GTT202400774/E4029</t>
  </si>
  <si>
    <t>E-BOOKING AIR TICKET</t>
  </si>
  <si>
    <t>លទ្ធផលផ្ទៀងផ្ទាត់ជាមួយទិន្នន័យពីអគ្គនាយកដ្ឋានគយ/
ឬ អាករគិតជំនួស(Reverse Charge)</t>
  </si>
  <si>
    <t>ព្យួរទុក (មិនមានឯកសារគាំទ្រ)</t>
  </si>
  <si>
    <t>វត្ថុធាតុដើម</t>
  </si>
  <si>
    <t>សម្ភារៈការិយាល័យ</t>
  </si>
  <si>
    <t>IXXXX2</t>
  </si>
  <si>
    <t>REVERS.322XX</t>
  </si>
  <si>
    <t>IXXXX3</t>
  </si>
  <si>
    <t>IXXXX1</t>
  </si>
  <si>
    <t>IXXXX4</t>
  </si>
  <si>
    <t>IXXXX5</t>
  </si>
  <si>
    <t>បញ្ចូលទិន្នន័យអ្នកផ្គត់ផ្គង់</t>
  </si>
  <si>
    <t>( ការនាំចូល ឬ  អាករលើតម្លៃបន្ថែមតាមវិធីគិតអាករជំនួស(Reverse Charge))</t>
  </si>
  <si>
    <t>I. ការនាំចូល</t>
  </si>
  <si>
    <t>ទិញឡានToyota Raize</t>
  </si>
  <si>
    <t>មិនអនុញ្ញាត (មិនអនុញ្ញាតជាឥណទាន)</t>
  </si>
  <si>
    <t>ព្យួរទុក (មិនមានក្នុងប្រព័ន្ធ)</t>
  </si>
  <si>
    <t>II. អាករលើតម្លៃបន្ថែមតាមវិធីគិតអាករជំនួស(Reverse Charge)</t>
  </si>
  <si>
    <t>សរុបអាករលើការនាំចូល ឬ អាករលើតម្លៃបន្ថែមតាមវិធីគិតអាករជំនួស(Reverse Charge)</t>
  </si>
  <si>
    <t>សរុបទឺកប្រាក់អនុញ្ញាត</t>
  </si>
  <si>
    <r>
      <rPr>
        <b/>
        <sz val="10"/>
        <rFont val="Khmer OS Siemreap"/>
      </rPr>
      <t>សេចក្តីធានាអះអាងរបស់មន្ត្រីសវនករទទួលបន្ទុក៖</t>
    </r>
    <r>
      <rPr>
        <sz val="10"/>
        <rFont val="Khmer OS Siemreap"/>
      </rPr>
      <t xml:space="preserve">
លទ្ធផលផ្ទៀងផ្ទាត់ឥណទានអាករ ចំពោះការនាំចូល ឬ/និង អាករលើតម្លៃបន្ថែមតាមវិធីគិតអាករជំនួស(Reverse Charge)ខាងលើពិតជាត្រឹមត្រូវតាមរបាយការណ៍លម្អិតដែលបានទាញទិន្នន័យពីអគ្គនាយកដ្ឋានគយ/ប្រព័ន្ធE-Filing ពិតប្រាកដមែន។</t>
    </r>
  </si>
  <si>
    <t>ទឹកប្រាក់អនុញ្ញាត</t>
  </si>
  <si>
    <t>ពិនិត្យឡើងវិញ</t>
  </si>
  <si>
    <t>តារាងឧបសម្ព័ន្ធ 0</t>
  </si>
  <si>
    <t>តារាងឧបសម្ព័ន្ធ  III</t>
  </si>
  <si>
    <t>តារាងឧបសម្ព័ន្ធ IV</t>
  </si>
  <si>
    <t>ឈ្មោះធនាគារ</t>
  </si>
  <si>
    <t>លេខគណនីធនាគារ</t>
  </si>
  <si>
    <t>ទឹកប្រាក់</t>
  </si>
  <si>
    <t>រោងចក្រផលិតរានទេវតាធ្វើពីឈើ</t>
  </si>
  <si>
    <t>ខែធ្នូ ឆ្នាំ២០២២ ដល់ខែធ្នូ ឆ្នាំ២០២៤</t>
  </si>
  <si>
    <t>លោក ជុំ សុភា</t>
  </si>
  <si>
    <t>ជុំ សុភា</t>
  </si>
  <si>
    <t>ស្នើសុំបង្វិលសងអាករលើតម្លៃបន្ថែមតាមអនឡាញចុះថ្ងៃទី៣ ខែកុម្ភៈ ឆ្នាំ២០២៥</t>
  </si>
  <si>
    <t>ពីថ្ងៃទី12 ខែវិច្ឆិកា ឆ្នាំ2025 ដល់ថ្ងៃទី19 ខែវិច្ឆិកា ឆ្នាំ2025</t>
  </si>
  <si>
    <t>MOC-33121739</t>
  </si>
  <si>
    <t>0111011419621</t>
  </si>
  <si>
    <t>ភ្នំពេញ ពាណិជ្ជ</t>
  </si>
  <si>
    <t>Buy supplies(L Corner pad)</t>
  </si>
  <si>
    <t>Buy supplies(Catton)</t>
  </si>
  <si>
    <t>Rental land fee</t>
  </si>
  <si>
    <t>Buy supupplies( Supercaledered paper)</t>
  </si>
  <si>
    <t>Copy machine rental fee</t>
  </si>
  <si>
    <t>Internet fee</t>
  </si>
  <si>
    <t>Tax consulting service(Vat Refund)</t>
  </si>
  <si>
    <t>Security fee</t>
  </si>
  <si>
    <t>Accounting and tax consulting service</t>
  </si>
  <si>
    <t>Maintenance fee</t>
  </si>
  <si>
    <t>Telephone expense</t>
  </si>
  <si>
    <t>I-Customs permit, Customs clearance, Trucking fee, ....</t>
  </si>
  <si>
    <t>I-Lift on&amp;Lift off charge</t>
  </si>
  <si>
    <t>I-Customs permit,Customs clearance,Trucking fee, non insurance...</t>
  </si>
  <si>
    <t>I-Lift on &amp; Lift off Fee</t>
  </si>
  <si>
    <t>E-Custom clearance Trucking fee, Lift on charge....</t>
  </si>
  <si>
    <t>E-Lift off charge,Gate fee charge</t>
  </si>
  <si>
    <t>E-Customs clearance, Trucking fee , Lift on charge...</t>
  </si>
  <si>
    <t>E-Lift off charge, Gate fee charge</t>
  </si>
  <si>
    <t>E-Customs clearance fee, trucking fee E255</t>
  </si>
  <si>
    <t>E-Customs clearance, Trucking fee, Lift on charge...</t>
  </si>
  <si>
    <t>E-Customs clearance, trucking fee, lift on charge....E250</t>
  </si>
  <si>
    <t>E-Lift off charge, Gate fee charge(E250)</t>
  </si>
  <si>
    <t>E-Customs clearance charge, Trucking fee, lift on charge....</t>
  </si>
  <si>
    <t>E-Customs clearance,Trucking fee, Lift on charge ....</t>
  </si>
  <si>
    <t>E-Customs clearance, trucking fee, lift on charge....</t>
  </si>
  <si>
    <t>E-Lift off charge, and Gate fee charge</t>
  </si>
  <si>
    <t>Copy machine fee</t>
  </si>
  <si>
    <t>Buy supplies(Cotton)</t>
  </si>
  <si>
    <t>Buy supplies( STAPLE PIN AHACHER)</t>
  </si>
  <si>
    <t>Buy supplies(Corner pad /Catton)</t>
  </si>
  <si>
    <t>Mobile expense</t>
  </si>
  <si>
    <t>E-Customs clearance ,Trucking fee ,Lift on charge ....</t>
  </si>
  <si>
    <t>E-Lift off charge, Gate fee charge(E10)</t>
  </si>
  <si>
    <t>E-Customs clearance. trucking fee, Lift on charge.....</t>
  </si>
  <si>
    <t>E-Customs clearance, trucking fee, lift on charge ....(7)</t>
  </si>
  <si>
    <t>E-Lift off charge, gate fee charge (E7&amp;E8)</t>
  </si>
  <si>
    <t>E-Customs clearance, Trucking fee, lift on charge...</t>
  </si>
  <si>
    <t>E-Lift off charge, gate fee charge(E4)</t>
  </si>
  <si>
    <t>E-Customs clearance charge, trucking fee , Lift on charge....</t>
  </si>
  <si>
    <t>E-Lift -off charge, Gate fee charge (E3)</t>
  </si>
  <si>
    <t>E-Customs clearance charge, trucking fee, ......</t>
  </si>
  <si>
    <t>E-Lift off charge, Gate fee charge (E 2)</t>
  </si>
  <si>
    <t>I-Customs permit, customs clearance charge, trucking charge......</t>
  </si>
  <si>
    <t>I-Lift on &amp; Lift off charge I 7313&amp; I7319</t>
  </si>
  <si>
    <t>I-Customs permit, customs clearance charge, trucking fee,......</t>
  </si>
  <si>
    <t>I-Lift on charge, Gate fee charge</t>
  </si>
  <si>
    <t>I-Customs permit, Customs clearance charge, trucking fee .......</t>
  </si>
  <si>
    <t>I-Lift on&amp; Lift off fee</t>
  </si>
  <si>
    <t>Buy supplies(L corner Pad)</t>
  </si>
  <si>
    <t>I-Lift on &amp;Lift off (I13327)</t>
  </si>
  <si>
    <t>I-Customs permit, Customs clearance charge, trucking fee .....(I1088)</t>
  </si>
  <si>
    <t>I-Lift on charge &amp; Gate fee charge (I1088)</t>
  </si>
  <si>
    <t>I-Customs permit, customs clearance charge, Trucking fee...(I888)</t>
  </si>
  <si>
    <t>E-Customs clearance charge, Trucking fee, Lift on charge ....(E24)</t>
  </si>
  <si>
    <t>E-Lift off charge, Gate fee charge (E24)</t>
  </si>
  <si>
    <t>E-Customs clearance charge, trucking fee, lift on charge ....(E23)</t>
  </si>
  <si>
    <t>E-Lift off charge &amp; Gate fee charge (E23)</t>
  </si>
  <si>
    <t>E-Customs clearance charge, Trucking fee, lift on charge ....(E20)</t>
  </si>
  <si>
    <t>E-Lift off charge, Gate fee charge (E20)</t>
  </si>
  <si>
    <t>E-Customs clearance charge, trucking fee, lift on charge ..(E19)</t>
  </si>
  <si>
    <t>E-Lift off charge, Gate fee charge (E19)</t>
  </si>
  <si>
    <t>E-Customs clearance , Trucking fee, Lift on charge ...(E21)</t>
  </si>
  <si>
    <t>E-Lift off charge &amp;Gate fee charge (E21)</t>
  </si>
  <si>
    <t>E-Customs clearance, trucking fee charge, lift on charge ...(E16)</t>
  </si>
  <si>
    <t>E-Customs clearance charge, Trucking fee ,Lift on charge ...(E15)</t>
  </si>
  <si>
    <t>E-Lift off charge&amp; Gate fee charge (E15 &amp;E16)</t>
  </si>
  <si>
    <t>E-Customs clearance charge, Trucking fee, Lift on charge ....(E14)</t>
  </si>
  <si>
    <t>E-Lift off charge &amp; Gate fee charge (E14)</t>
  </si>
  <si>
    <t>E-Customs clearance charge, trucking fee,Lit on charge ...(E13)</t>
  </si>
  <si>
    <t>E-Lift off charge, Gate fee charge (E13)</t>
  </si>
  <si>
    <t>Copy machine rental</t>
  </si>
  <si>
    <t>Service charge for repair car</t>
  </si>
  <si>
    <t>Accounting and tax consulting service (Service for annual 2022yr)</t>
  </si>
  <si>
    <t>Accounting service (Final payment service 2022)</t>
  </si>
  <si>
    <t>I-Customs permit, trucking fee, non insurance ....</t>
  </si>
  <si>
    <t>I-Lift on &amp;Lift off charge</t>
  </si>
  <si>
    <t>I-Customs permit, customs clearance charge, trucking fee, inspection fee....</t>
  </si>
  <si>
    <t>I-Lift on &amp; Lift off (I15534)</t>
  </si>
  <si>
    <t>I-Customs permit, customs clearance fee, trucking fee, Non insurance...</t>
  </si>
  <si>
    <t>I-Lift on charge, gate fee charge (I1601)</t>
  </si>
  <si>
    <t>I-Customs permit, customs clearance fee, trucking fee, non insurance, ..(I13327)</t>
  </si>
  <si>
    <t>E-Customs clearance, trucking fee, Lift on charge, Customs export permit ..(E33)</t>
  </si>
  <si>
    <t>E-Lift off charge, Gate fee charge (E33)</t>
  </si>
  <si>
    <t>E-Customs clearance, trucking fee, lift on charge, customs export permit...(E28)</t>
  </si>
  <si>
    <t>E-Lift off charge, Gate fee charge (E28)</t>
  </si>
  <si>
    <t>E-Customs clearance, trucking fee, lift on charge, customs export permit ...(E29)</t>
  </si>
  <si>
    <t>E-LIft off charge ,Gate fee charge (E29)</t>
  </si>
  <si>
    <t>E-Customs clearance, trucking fee, lift on charge, Customs permit...(E27)</t>
  </si>
  <si>
    <t>E-Lift off charge, Gate fee charge (E27)</t>
  </si>
  <si>
    <t>E-Customs clearance, trucking fee, Lift on charge, customs export permit...</t>
  </si>
  <si>
    <t>E-Lift off charge &amp;Gate fee charge (E25)</t>
  </si>
  <si>
    <t>Buy supplies (Cotton)</t>
  </si>
  <si>
    <t>Buy supplies(BOPP PACKING TAPE)</t>
  </si>
  <si>
    <t>Machine rental fee</t>
  </si>
  <si>
    <t>Internet expense</t>
  </si>
  <si>
    <t>Tax consulting service for comprehensive</t>
  </si>
  <si>
    <t>Telephone fee charge</t>
  </si>
  <si>
    <t>E-Customs clearance fee, trucking fee, lift on charge, customs permit ..(E58)</t>
  </si>
  <si>
    <t>E-Lift off charge ,Gate fee charge (E58)</t>
  </si>
  <si>
    <t>E-Customs clearance fee, Trucking fee, Lift on charge ...(E57)</t>
  </si>
  <si>
    <t>E-Lift off charge, Gate fee charge (E57)</t>
  </si>
  <si>
    <t>E-Customs clearance charge, trucking fee ,lift on charge (E52)</t>
  </si>
  <si>
    <t>E-Lift off charge, Gate fee charge (E52)</t>
  </si>
  <si>
    <t>E-Customs clearance, trucking fee, Lift on charge ...(50)</t>
  </si>
  <si>
    <t>E-Lift off charge, Gate fee charge (E50)</t>
  </si>
  <si>
    <t>E-Customs clearance fee, trucking fee, lift on charge ...(E49)</t>
  </si>
  <si>
    <t>E-Lift off charge, Gate fee charge (E49)</t>
  </si>
  <si>
    <t>E-Customs clearance fee, Trucking fee, Lift on charge..(E41)</t>
  </si>
  <si>
    <t>E-Lift off charge ,gate fee charge(E41)</t>
  </si>
  <si>
    <t>E-Customs clearance fee, trucking fee, lift on charge, ...(E40)</t>
  </si>
  <si>
    <t>E-Lift off charge, Gate fee charge (E40)</t>
  </si>
  <si>
    <t>E-Customs clearance fee, trucking fee, lift on charge..(E39)</t>
  </si>
  <si>
    <t>E-Lift off charge, Gate fee charge (E39)</t>
  </si>
  <si>
    <t>I-Customs permit, Customs clearance, trucking fee (I2859)</t>
  </si>
  <si>
    <t>I-Lift on charge, Gate fee charge (I2859)</t>
  </si>
  <si>
    <t>I-Customs permit, customs clearance, trucking fee....(I2465)</t>
  </si>
  <si>
    <t>I-Lift on charge, Gate fee charge (I2465)</t>
  </si>
  <si>
    <t>Buy supplies(L coner Pad)</t>
  </si>
  <si>
    <t>Buy carton</t>
  </si>
  <si>
    <t>Repair car</t>
  </si>
  <si>
    <t>I-Customs permit, Customs clearance trucking fee(I39566)</t>
  </si>
  <si>
    <t>I-Litf on &amp; lift off (I39566)</t>
  </si>
  <si>
    <t>I-Customs permit ,Customs clearance charge, trucking fee, non insurance...(I36417&amp;I36418)</t>
  </si>
  <si>
    <t>I-Lift on &amp;Lift off charge (I36417&amp;I36418)</t>
  </si>
  <si>
    <t>I-Customs permit, customs clearance charge,Trucking fee..(I33072)</t>
  </si>
  <si>
    <t>I-Lift on &amp;Lift off charge (I33072)</t>
  </si>
  <si>
    <t>E-Customs clearance charge, trucking fee, customs export..(E102)</t>
  </si>
  <si>
    <t>E-Lift off charge &amp; Gate fee charge (E102)</t>
  </si>
  <si>
    <t>E-Customs clearance, trucking fee, lift on charge...(E100)</t>
  </si>
  <si>
    <t>E-Lift off charge &amp;Gate fee charge (E100)</t>
  </si>
  <si>
    <t>E-Customs clearance fee, trucking fee , lift on charge (E89)</t>
  </si>
  <si>
    <t>E-Lift off charge &amp; Gate fee charge (E89)</t>
  </si>
  <si>
    <t>E-Customs clearance fee, trucking fee, Lift on charge...(E76)</t>
  </si>
  <si>
    <t>E-Lift off charge &amp; Gate fee charge (E76)</t>
  </si>
  <si>
    <t>E-Customs clearance, Trucking fee, Lift on charge....(E66)</t>
  </si>
  <si>
    <t>E-Lift off charge &amp; Gate fee charge (E66)</t>
  </si>
  <si>
    <t>Copy machine rental (01-May-23-30-May-23)</t>
  </si>
  <si>
    <t>Buy supplies(Carton)</t>
  </si>
  <si>
    <t>Buy supplies( Bopp Packing Tape)</t>
  </si>
  <si>
    <t>Security fee of May/2023</t>
  </si>
  <si>
    <t>Tax consulting service : down payment (Service for limited tax audit from Jan2022Yr to Mar2023Yr)</t>
  </si>
  <si>
    <t>Accounting and tax consulting service (Service for april2023)</t>
  </si>
  <si>
    <t>Copy machine rental fee for June-2023</t>
  </si>
  <si>
    <t>Internet fee for June-2023</t>
  </si>
  <si>
    <t>Buy supplies(I conrner pad)</t>
  </si>
  <si>
    <t>Security fee for June-2023</t>
  </si>
  <si>
    <t>Audit Service : Issue of Khmer Version (Service for audit 2022yr)</t>
  </si>
  <si>
    <t>Tax consulting service (VAT refund: Final payment 50%)</t>
  </si>
  <si>
    <t>E-customs clearance, trucking fee ,Lift on charge, customs export ...(E165)</t>
  </si>
  <si>
    <t>E-Lift off charge ,Gate fee charge (E165)</t>
  </si>
  <si>
    <t>E-Customs clearance charge, trucking fee, lift on charge...(E152)</t>
  </si>
  <si>
    <t>E-Lift off charge &amp; Gate fee charge (E152)</t>
  </si>
  <si>
    <t>E-Customs clearance charge, trucking fee, lift on charge (E126)</t>
  </si>
  <si>
    <t>E-Lift off charge , Gate fee charge (E126)</t>
  </si>
  <si>
    <t>E-Customs clearance charge, trucking fee, lift on charge ........(E125)</t>
  </si>
  <si>
    <t>E-Lift off charge, Gate fee charge (E125)</t>
  </si>
  <si>
    <t>E-Customs clearance , trucking charge, lift on charge....(E112)</t>
  </si>
  <si>
    <t>E-Lift off charge, Gate fee charge (E112)</t>
  </si>
  <si>
    <t>E-Customs clearance, trucking fee, Lift on charge, ...(E113)</t>
  </si>
  <si>
    <t>E-Lift off charge , Gate fee charge (E113)</t>
  </si>
  <si>
    <t>I-Customs permit, customs clearance, trucking fee (I4990)</t>
  </si>
  <si>
    <t>I-Lift on charge &amp; Gate fee charge</t>
  </si>
  <si>
    <t>I- Customs permit, Customs clearance fee ,Trucking fee chage</t>
  </si>
  <si>
    <t>I-Lift on Charge, Gate fee charge</t>
  </si>
  <si>
    <t>I-Customs permit, Customs clearance Charge, Trucking fee, ...</t>
  </si>
  <si>
    <t>E-Lift off charge &amp; Gate fee charge (E184)</t>
  </si>
  <si>
    <t>E-Lift off charge &amp; Gate fee charge (E185)</t>
  </si>
  <si>
    <t>E-Customs clearance ,Trucking fee, lift on charge , customs export ...(E246)</t>
  </si>
  <si>
    <t>E-Lift off charge &amp; gate fee charge (E246)</t>
  </si>
  <si>
    <t>E-Customs clearance, trucking fee, lift on charge ...(E245)</t>
  </si>
  <si>
    <t>E-Lift off charge &amp; Gate fee charge (E245)</t>
  </si>
  <si>
    <t>E-Customs clearance, trucking fee, lift on charge ...(E233)</t>
  </si>
  <si>
    <t>E-Lift off charge &amp;Gate fee charge (E233)</t>
  </si>
  <si>
    <t>E-Customs clearance, trucking fee, lift on charge (E215)</t>
  </si>
  <si>
    <t>E-Lift off charge, Gate fee charge (E215)</t>
  </si>
  <si>
    <t>E-Customs clearance charge, trucking fee, lift on charge (E201)</t>
  </si>
  <si>
    <t>E-Lift off charge, gate fee charge (E201)</t>
  </si>
  <si>
    <t>E-Customs clearance charge, trucking fee, lift on charge(E202)</t>
  </si>
  <si>
    <t>E-Lift off charge, Gate fee charge (E202)</t>
  </si>
  <si>
    <t>E-Customs clearance, trucking fee, lift of charge (E184)</t>
  </si>
  <si>
    <t>E-Customs clearance, trucking fee, lift on charge ...(E185)</t>
  </si>
  <si>
    <t>I-Custom permit, Customs clearance, trucking fee, non insurance..(I54652,I54649)</t>
  </si>
  <si>
    <t>I-Lift on &amp; Lift off charge (I54652 &amp; I54649)</t>
  </si>
  <si>
    <t>I-Customs permit, customs clearance charge, trucking fee (I52425)</t>
  </si>
  <si>
    <t>Lift on &amp; Lift off charge (I52425)</t>
  </si>
  <si>
    <t>Buy supplies (carton)</t>
  </si>
  <si>
    <t>Security fee on July-2023</t>
  </si>
  <si>
    <t>Monthly telephone expense</t>
  </si>
  <si>
    <t>Repair system car</t>
  </si>
  <si>
    <t>I-Customs permit, customs clearance, trucking fee (I6731)</t>
  </si>
  <si>
    <t>I-Lift on charge &amp; Gate fee charge (I6731)</t>
  </si>
  <si>
    <t>E-Customs clearance fee ,trucking fee, lift on charge ...(E314)</t>
  </si>
  <si>
    <t>E-Customs clearance ,trucking fee, lift on charge ..(E313)</t>
  </si>
  <si>
    <t>E-Customs clearance, trucking fee, lift on charge, ...(E292)</t>
  </si>
  <si>
    <t>E-Lift off charge, Gate fee charge (E292)</t>
  </si>
  <si>
    <t>E-Customs clearance, trucking fee, lift on charge...(E293)</t>
  </si>
  <si>
    <t>E-Storage fee (E293)</t>
  </si>
  <si>
    <t>E-Lift off charges &amp; Gate fee charge(E293)</t>
  </si>
  <si>
    <t>E-Customs clearance charge, trucking fee, lift on charge....(E280)</t>
  </si>
  <si>
    <t>E-Lift off charge, gate fee charge (E280)</t>
  </si>
  <si>
    <t>E-Customs clearance charge, trucking fee, lift on charge, customs export...(E279)</t>
  </si>
  <si>
    <t>E-Lift off charge &amp; Gate fee (E279)</t>
  </si>
  <si>
    <t>E-Customs clearance charge, Trucking fee, lift on charge ..(E260)</t>
  </si>
  <si>
    <t>E-Lift off charge &amp; Gate fee charge (E260)</t>
  </si>
  <si>
    <t>E-Customs clearance, trucking fee, lit on charge ...(E259)</t>
  </si>
  <si>
    <t>E-Lift off charge, gate fee charge(E259)</t>
  </si>
  <si>
    <t>Extra to customs for sign document</t>
  </si>
  <si>
    <t>Buy supplies(NEW PRINT PAPER)</t>
  </si>
  <si>
    <t>Buy supplies (Iconer Pad)</t>
  </si>
  <si>
    <t>Buy supplies (Carton)</t>
  </si>
  <si>
    <t>Rental land fee for Aug-2023</t>
  </si>
  <si>
    <t>Copy machine rental for Aug-2023</t>
  </si>
  <si>
    <t>Internet fee for Aug -2023</t>
  </si>
  <si>
    <t>Security fee for Aug-2023</t>
  </si>
  <si>
    <t>Accounting and tax consulting service (Service for July 2023yr)</t>
  </si>
  <si>
    <t>Buy supplies(L coner pad)</t>
  </si>
  <si>
    <t>E-Lift off charge &amp; Gate fee charge (E314)</t>
  </si>
  <si>
    <t>E-Lift off charge &amp; Gate fee charge (E313)</t>
  </si>
  <si>
    <t>Telephone Fee</t>
  </si>
  <si>
    <t>E-Customs clearance, trucking fee, lift on charge...(E-361)</t>
  </si>
  <si>
    <t>E-Lift off charge &amp; Gate fee charge (E-361)</t>
  </si>
  <si>
    <t>E-Customs clearance charge, trucking fee ..(E-359)</t>
  </si>
  <si>
    <t>E-Lift off charge, Gate fee charge (E-359)</t>
  </si>
  <si>
    <t>E-Customs clearance charge, trucking fee, lift on charge (E-333)</t>
  </si>
  <si>
    <t>E-Lift off charge, Gate fee Charge (E-333)</t>
  </si>
  <si>
    <t>E-Customs clearance charge, trucking fee, Lift on charge ..(E-332)</t>
  </si>
  <si>
    <t>E-Lift off charge &amp; Gate fee charge (E-332)</t>
  </si>
  <si>
    <t>E-Customs clearance charge, trucking fee, lift on charge (E-331)</t>
  </si>
  <si>
    <t>E-Lift off charge &amp; Gate fee (E331)</t>
  </si>
  <si>
    <t>I-Customs permit, customs clearance, trucking fee ...(I75713 &amp;I75695)</t>
  </si>
  <si>
    <t>I-Lift on &amp; Lift off charge (I-75713&amp;I75695)</t>
  </si>
  <si>
    <t>I-Customs permit, customs clearance charge, trucking fee ...(I72676)</t>
  </si>
  <si>
    <t>I-Lift on &amp; Lift off charge (I72676)</t>
  </si>
  <si>
    <t>I-Customs permit, customs clearance charge, trucking fee...(I71605)</t>
  </si>
  <si>
    <t>I-Lift on &amp; Lift off charge (I71605)</t>
  </si>
  <si>
    <t>I-Over weight (INV# CH-230818)I71605</t>
  </si>
  <si>
    <t>E-Customs clearance charge, trucking fee, lift on charge, customs export ..(E371)</t>
  </si>
  <si>
    <t>E-customs declaration fee, Trucking fee, Customs export permit (E436)</t>
  </si>
  <si>
    <t>E-Lift off charge, Gate fee charge (E436)</t>
  </si>
  <si>
    <t>E-Customs clearance charge, Trucking fee, lift on charge, customs export permit(E415)</t>
  </si>
  <si>
    <t>E-Lift off charge, Gate fee charge (E415)</t>
  </si>
  <si>
    <t>E-Customs clearance charge, trucking fee lift on charge , customs export ..(E414)</t>
  </si>
  <si>
    <t>E-Lift off charge, gate fee charge (E414)</t>
  </si>
  <si>
    <t>E-Customs declaration fee, Trucking fee, lift on charge, customs export permit(E404)</t>
  </si>
  <si>
    <t>E-Lift off charge, Gate fee charge (E404)</t>
  </si>
  <si>
    <t>E-Customs clearance charge , trucking fee, lift on charge, customs permit..(E391)</t>
  </si>
  <si>
    <t>E-Lift off charge, Gate fee charge (E391)</t>
  </si>
  <si>
    <t>E-Customs clearance charge, trucking fee, Lift on charge, customs export ..(E389)</t>
  </si>
  <si>
    <t>E-Lift charge &amp; Gate fee charge (E389)</t>
  </si>
  <si>
    <t>I-Customs permit, customs clearance charge&lt; trucking fee ,Non insurance inspection fee...(I8273)</t>
  </si>
  <si>
    <t>I-Lift on charge, Gate fee charge (I8273)</t>
  </si>
  <si>
    <t>Buy supplies( L Corner pad)</t>
  </si>
  <si>
    <t>Buy supplies(News print paper)</t>
  </si>
  <si>
    <t>Rental land fee for Oct-2023</t>
  </si>
  <si>
    <t>Security fee on Oct-2023</t>
  </si>
  <si>
    <t>Accounting service for Year 2023</t>
  </si>
  <si>
    <t>Accounting service and tax consulting service</t>
  </si>
  <si>
    <t>Telephone fee</t>
  </si>
  <si>
    <t>I-customs permit, custom declaration fee, trucking fee, non insurance fee...(I9737)</t>
  </si>
  <si>
    <t>E-Lift on charge, Gate fee charge(I9737)</t>
  </si>
  <si>
    <t>E-Customs clearance, Trucking charge, lift on charge, customs export permit...(E471)</t>
  </si>
  <si>
    <t>E-Lift off charge, Gate fee charge (E471)</t>
  </si>
  <si>
    <t>E-Customs clearance, trucking fee, lift on charge, customs export permit ...(E444)</t>
  </si>
  <si>
    <t>E-Lift off charge , Gate fee charge (E444)</t>
  </si>
  <si>
    <t>E-Customs clearance, trucking fee, Lift on charge ,Customs permit...(E443)</t>
  </si>
  <si>
    <t>E-Lift off charge &amp; Gate fee charge (E443)</t>
  </si>
  <si>
    <t>Land rental fee</t>
  </si>
  <si>
    <t>Machine copy rental</t>
  </si>
  <si>
    <t>E-Lift off charge &amp; Gate fee charge</t>
  </si>
  <si>
    <t>Machine copy rental on Dec-2023</t>
  </si>
  <si>
    <t>Internet expense on Dec-2023</t>
  </si>
  <si>
    <t>Buy supplies(Packing tape, print paper)</t>
  </si>
  <si>
    <t>Buy supplies(I coner Pad)</t>
  </si>
  <si>
    <t>Tax consulting service (Limited audit 2022-2023)</t>
  </si>
  <si>
    <t>Printing label</t>
  </si>
  <si>
    <t>E-Customs clearance charge, Trucking fee, Lift on charge, Customs permit (E560)</t>
  </si>
  <si>
    <t>E-Customs clearance charge, Trucking fee, Lift on charge, Customs permit...(E548)</t>
  </si>
  <si>
    <t>E-Lift off charge &amp; Gate fee charge (E548)</t>
  </si>
  <si>
    <t>E-Customs clearance charge, Trucking fee, Lift on Charge, Customs permit...(E547)</t>
  </si>
  <si>
    <t>E-Lift off charge, Gate fee charge (E547)</t>
  </si>
  <si>
    <t>E-Customs clearance charge, Trucking fee, Lift on charge, Customs permit...(E528)</t>
  </si>
  <si>
    <t>E-Lift off charges , Gate fee charge (E528)</t>
  </si>
  <si>
    <t>E-Customs clearance charge, Trucking fee, Lift on charge, Customs permit...(E508)</t>
  </si>
  <si>
    <t>E-Storage charge (E508)</t>
  </si>
  <si>
    <t>E-Lift off charges, Gate fee charge (E508)</t>
  </si>
  <si>
    <t>E-Customs permit, Customs clearance, trucking fee...(I100955)</t>
  </si>
  <si>
    <t>I-Lift on &amp; Lift off charge(I10955)</t>
  </si>
  <si>
    <t>I-Customs permit, customs clearance, trucking fee..(I441)</t>
  </si>
  <si>
    <t>I-Lift on charge, Gate fee charge (I441)</t>
  </si>
  <si>
    <t>I-Customs permit, Customs clearance charge, trucking fee....(I1166 &amp;I1169)</t>
  </si>
  <si>
    <t>I-Lift on &amp; Lift off (I1166)</t>
  </si>
  <si>
    <t>I-Customs permit, customs clearance charge, trucking charge...(I1151)</t>
  </si>
  <si>
    <t>I-Lift on &amp; Lift off charge(I1151)</t>
  </si>
  <si>
    <t>E-Customs clearance charge, trucking fee, lift on charge....(E55)</t>
  </si>
  <si>
    <t>E-Customs clearance charge, trucking fee, lift on charge....(E56)</t>
  </si>
  <si>
    <t>E-Lift off charge, Gate fee charge (E56)</t>
  </si>
  <si>
    <t>E-Customs clearance charge, trucking fee, lift on charge....(E40)</t>
  </si>
  <si>
    <t>E-Customs clearance charge, trucking fee, lift on charge....(E29)</t>
  </si>
  <si>
    <t>E-Lift off charge, gate fee charge (E29)</t>
  </si>
  <si>
    <t>E-Customs clearance charge, trucking fee, lift on charge....(E31)</t>
  </si>
  <si>
    <t>E-Lift off charge, Gate fee charge (E31)</t>
  </si>
  <si>
    <t>Rental land fee on Jan-2024</t>
  </si>
  <si>
    <t>Copy machine rental on Jan-2024</t>
  </si>
  <si>
    <t>Buy supplies(Bopp packing tape)</t>
  </si>
  <si>
    <t>Buy supplies(I coner pad)</t>
  </si>
  <si>
    <t>Security fee on Jan-2024</t>
  </si>
  <si>
    <t>Repair machine</t>
  </si>
  <si>
    <t>E-Lift off charge &amp;Gate fee chrage</t>
  </si>
  <si>
    <t>Accounting service &amp; Tax consulting on Dec-2023</t>
  </si>
  <si>
    <t>I-Customs permit, Customs clearance, trucking charge, Non insurance (I18477)</t>
  </si>
  <si>
    <t>I-Lift on &amp;Lift off charge(I18477)</t>
  </si>
  <si>
    <t>I-Customs permit, Customs clearance, trucking charge, Non insurance (I1090)</t>
  </si>
  <si>
    <t>I-Lift on charge, Gate fee charge (I1090)</t>
  </si>
  <si>
    <t>E-Customs clearance, Trucking fee, Lift on charge, Customs permit ...(E131)</t>
  </si>
  <si>
    <t>E-lift off charge &amp; Gate fee charge (E131)</t>
  </si>
  <si>
    <t>E-Customs clearance, Trucking fee, Lift on charge, Customs permit ...(E112)))</t>
  </si>
  <si>
    <t>E-Lift off charge &amp; Gate fee charge (E112)</t>
  </si>
  <si>
    <t>E-Customs clearance, Trucking fee, Lift on charge, Customs permit ...(E100)</t>
  </si>
  <si>
    <t>E-Lift off charge &amp;Gate fee (E100)</t>
  </si>
  <si>
    <t>E-Customs clearance, Trucking fee, Lift on charge, Customs permit ...(E73)</t>
  </si>
  <si>
    <t>E-Lift off charge &amp; Gate fee charge(E73)</t>
  </si>
  <si>
    <t>Internet expense on Feb-2024</t>
  </si>
  <si>
    <t>Land rental fee on Feb-2024</t>
  </si>
  <si>
    <t>Machine copy rental on Feb-2024</t>
  </si>
  <si>
    <t>Security fee on Feb-2024</t>
  </si>
  <si>
    <t>E-Terminal handing charge, document fee, seal fee, Trucking fee...(E93)</t>
  </si>
  <si>
    <t>E-Lift off charge, Gate fee (E93)</t>
  </si>
  <si>
    <t>E-Lift off charge &amp; Gate fee charge (E78)</t>
  </si>
  <si>
    <t>E-Terminal handing charge, document fee, seal fee, Trucking fee...(E78)</t>
  </si>
  <si>
    <t>Accounting and tax consulting service on Jan-2024</t>
  </si>
  <si>
    <t>Buy Forklift CPCD35-Q22K2</t>
  </si>
  <si>
    <t>E-Customs clearance charge, Trucking charge, lift on charge....(E260)</t>
  </si>
  <si>
    <t>E-Customs clearance, trucking fee (E261)</t>
  </si>
  <si>
    <t>E-Lift off charge &amp; Gate fee charge (E261)</t>
  </si>
  <si>
    <t>E-Customs clearance, Trucking fee, lift on charge, customs export permit(E227)</t>
  </si>
  <si>
    <t>E-Lift off charge, Gate fee charge (E227)</t>
  </si>
  <si>
    <t>E-Customs clearance,Trucking fee, lift on charge ...(E201)</t>
  </si>
  <si>
    <t>E-Lift off charge &amp; Gate fee charge (E201)</t>
  </si>
  <si>
    <t>E-Customs clearance charge , trucking fee, lift on charge, customs export...(E181)</t>
  </si>
  <si>
    <t>E-Lift off charge &amp;Gate fee charge(E181)</t>
  </si>
  <si>
    <t>E-Customs clearance charge , Trurking fee, lift on charge customs</t>
  </si>
  <si>
    <t>E-Lift off charge &amp; Gate fee charge (E150)</t>
  </si>
  <si>
    <t>I-Lift on charge, Gate fee charge (I2135)</t>
  </si>
  <si>
    <t>I-Customs permit, customs clearance charge, trucking fee, non insurance(I2135)</t>
  </si>
  <si>
    <t>I-Customs permit, customs clearance, non insurance, inspection ,...(I1786 &amp;I1784)</t>
  </si>
  <si>
    <t>I-Lift on charge, Gate fee charge (I1786 &amp;I1784)</t>
  </si>
  <si>
    <t>E-THC, Document fee,AFS, Seal Fee,trucking fee (E156)</t>
  </si>
  <si>
    <t>E-Lift off charge &amp; Gate fee charge(E156)</t>
  </si>
  <si>
    <t>Buy supplies(I corner pad)</t>
  </si>
  <si>
    <t>Internet expense on Mar-2024</t>
  </si>
  <si>
    <t>Buy supplies(Bop packing tape)</t>
  </si>
  <si>
    <t>Land rental fee on Mar-2024</t>
  </si>
  <si>
    <t>Security fee on Mar-2024</t>
  </si>
  <si>
    <t>Accounting service final payment(service for 2023yr)</t>
  </si>
  <si>
    <t>Accounting and tax consulting service (Service for annual 2023)</t>
  </si>
  <si>
    <t>Accounting and tax consulting service(service for February 2024)</t>
  </si>
  <si>
    <t>Printing label(SIKIDAI GUIDE)</t>
  </si>
  <si>
    <t>I-Customs permit, Customs clearance charge , Customs clearance, ...(I3160)</t>
  </si>
  <si>
    <t>I-Lift on charge, Gate fee charge (I3160)</t>
  </si>
  <si>
    <t>I-Customs permit, Customs clearance charge , Customs clearance, ...(I31819))</t>
  </si>
  <si>
    <t>I-Lift on &amp; Lift off charge (I31819)</t>
  </si>
  <si>
    <t>I-Customs permit, Customs clearance charge , Customs clearance, ...(I30297)</t>
  </si>
  <si>
    <t>I-Lift on &amp; Lift off charge(I30297)</t>
  </si>
  <si>
    <t>E-Customs declaration fee, CPF fee (E299)</t>
  </si>
  <si>
    <t>E-Lift off charge &amp; Gate fee charge (E299)</t>
  </si>
  <si>
    <t>E-Customs declaration fee, CPF fee (E355)</t>
  </si>
  <si>
    <t>E-Lift off charge &amp; Gate fee charge (E300)</t>
  </si>
  <si>
    <t>E-Lift off charge, Gate fee charge(E355)</t>
  </si>
  <si>
    <t>E-Customs clearance, trucking fee, lift on charge, customs export ...(E393)</t>
  </si>
  <si>
    <t>E-Lift off charge, Gate fee charge (E393)</t>
  </si>
  <si>
    <t>E-Customs clearance, trucking fee, lift on charge, customs export ...(E416)</t>
  </si>
  <si>
    <t>E-Lift off charge, Gate fee charge(E416)</t>
  </si>
  <si>
    <t>Buy supplies(carton)</t>
  </si>
  <si>
    <t>E-THC, Document fee,AFS, Seal Fee (KY4-1)</t>
  </si>
  <si>
    <t>Security fee for Apr-2024</t>
  </si>
  <si>
    <t>Tax consulting service (Service for comprehensive tax 2022-2023)</t>
  </si>
  <si>
    <t>Monthly Telephone charge</t>
  </si>
  <si>
    <t>Accounting and tax consulting service (Service for Mar-2024)</t>
  </si>
  <si>
    <t>E-Lift off charge &amp;Gate fee charge (E657)</t>
  </si>
  <si>
    <t>Buy supplies (Catorn)</t>
  </si>
  <si>
    <t>Buy supplies(L cotner pad)</t>
  </si>
  <si>
    <t>Machine copy rental on May-2024</t>
  </si>
  <si>
    <t>Land rental fee on May-2024</t>
  </si>
  <si>
    <t>Internet fee on May-2024</t>
  </si>
  <si>
    <t>Security fee for May-2024</t>
  </si>
  <si>
    <t>Audit service issue Khmer version 2023</t>
  </si>
  <si>
    <t>E-Customs clearance , Trucking fee ,Lift on charge ,customs export permit..(E606))</t>
  </si>
  <si>
    <t>E-Lift off charge &amp; Gate fee charge (E606)</t>
  </si>
  <si>
    <t>E-Original terminal handing charge ,Seal fee ,Doc fee (E605)</t>
  </si>
  <si>
    <t>E-Customs clearance , Trucking fee ,Lift on charge ,customs export permit..(E605)</t>
  </si>
  <si>
    <t>E-Lift off charge &amp; Gate fee charge (E605)</t>
  </si>
  <si>
    <t>E-Customs clearance , Trucking fee ,Lift on charge ,customs export permit..(E554)</t>
  </si>
  <si>
    <t>E-Lift off charge &amp; Gate fee charge (E554)</t>
  </si>
  <si>
    <t>E-Customs clearance , Trucking fee ,Lift on charge ,customs export permit..(E497)</t>
  </si>
  <si>
    <t>E-Customs clearance , Trucking fee ,Lift on charge ,customs export permit..(E496))</t>
  </si>
  <si>
    <t>E-Lift off charge,Gate fee charge (E496)</t>
  </si>
  <si>
    <t>E-Customs clearance , Trucking fee ,Lift on charge ,customs export permit..(E446)</t>
  </si>
  <si>
    <t>E-Lift off charge &amp; Gate fee charge (E446)</t>
  </si>
  <si>
    <t>I-Customs permit, customs clearance charge, trucking fee,non insurance...(I46238)</t>
  </si>
  <si>
    <t>I-Lift on &amp; Lift off fee (I46238)</t>
  </si>
  <si>
    <t>Buy supplies(Label sticker)</t>
  </si>
  <si>
    <t>Customs permit, express customs permit, customs clearance, customs evaluation (I 58428)</t>
  </si>
  <si>
    <t>I-Customs permit, express customs permit, customs clearance, customs evaluation</t>
  </si>
  <si>
    <t>I-customs evaluation, customs clearance and counting fee</t>
  </si>
  <si>
    <t>Lift on &amp; Lift off (I56222,I56200,I56210)</t>
  </si>
  <si>
    <t>Lift on &amp; Lift off charge (I58428)</t>
  </si>
  <si>
    <t>E-Customs clearance , Trucking fee ,Lift on charge ,customs export permit..(E796))</t>
  </si>
  <si>
    <t>E-Customs clearance charge, trucking fee, Lift on charge, customs permit(E798)</t>
  </si>
  <si>
    <t>E-Lift off charge &amp; Gate fee charge(E798)</t>
  </si>
  <si>
    <t>E-Customs clearance , Trucking fee ,Lift on charge ,customs export permit..(E776)</t>
  </si>
  <si>
    <t>E-Lift off charge &amp; Gate fee charge (E776)</t>
  </si>
  <si>
    <t>E-THC Documentation fee, AFS, Seal fee, Trucking fee, pick up empty fee(E745)</t>
  </si>
  <si>
    <t>E-Lift off charge &amp;Gate fee charge (E745)</t>
  </si>
  <si>
    <t>E-THC Documentation fee, AFS, Seal fee, Trucking fee, pick up empty fee(E744))</t>
  </si>
  <si>
    <t>E-Lift off charge &amp; Gate fee charge (E744)</t>
  </si>
  <si>
    <t>E-Customs clearance , Trucking fee ,Lift on charge ,customs export permit..(E733)</t>
  </si>
  <si>
    <t>E-Lift off charge&amp; Gate fee charge(E733)</t>
  </si>
  <si>
    <t>E-Customs clearance , Trucking fee ,Lift on charge ,customs export permit..(E700)</t>
  </si>
  <si>
    <t>E-Lift off charge &amp; Gate fee charge (E700)</t>
  </si>
  <si>
    <t>E-THC Documentation fee, AFS, Seal fee, Trucking fee, pick up empty fee(E654)</t>
  </si>
  <si>
    <t>E-Customs clearance , Trucking fee ,Lift on charge ,customs export permit..(E654)</t>
  </si>
  <si>
    <t>E-Lift off charge &amp; Gate fee charge (E654)</t>
  </si>
  <si>
    <t>E-Customs clearance , Trucking fee ,Lift on charge ,customs export permit..(E653))</t>
  </si>
  <si>
    <t>Buy supplies(New print paper)</t>
  </si>
  <si>
    <t>Accounting and tax consulting service(Service for May-2024)</t>
  </si>
  <si>
    <t>E-Lift off charge &amp; Gate fee charge(E653)</t>
  </si>
  <si>
    <t>I-Lift on &amp; Lift off</t>
  </si>
  <si>
    <t>I-Customs permit, Customs clearance charge, Trucking fee, non insurance...(I69024)</t>
  </si>
  <si>
    <t>I-Customs permit, Customs clearance charge, Trucking fee, non insurance...(I73302)</t>
  </si>
  <si>
    <t>I-Lift on &amp; lift off charge(I69024)</t>
  </si>
  <si>
    <t>E. Customs clearance, Trucking charge, Lift on charge, inspection fee….(E 893)</t>
  </si>
  <si>
    <t>E-Lift off charge &amp;Gate fee charge (E893)</t>
  </si>
  <si>
    <t>E. Customs clearance, Trucking charge, Lift on charge, inspection fee….(E 878)</t>
  </si>
  <si>
    <t>E. Customs clearance, Trucking charge, Lift on charge, inspection fee….(E 850)</t>
  </si>
  <si>
    <t>E-Lift off charge &amp;Gate fee charge (E850)</t>
  </si>
  <si>
    <t>E. Customs clearance, Trucking charge, Lift on charge, inspection fee….(E 849)</t>
  </si>
  <si>
    <t>E-Lift off charge &amp;Gate fee charge (E849)</t>
  </si>
  <si>
    <t>E. Customs clearance, Trucking charge, Lift on charge, inspection fee….(E 831)</t>
  </si>
  <si>
    <t>E-Lift off charge &amp;Gate fee charge (E831)</t>
  </si>
  <si>
    <t>Land rental fee on July 2024</t>
  </si>
  <si>
    <t>E. Original Terminal Handling charge, seal fee, doc fee…</t>
  </si>
  <si>
    <t>E. Original Terminal Handling charge, seal fee, doc fee…(E 893)</t>
  </si>
  <si>
    <t>Monthly Internet charge</t>
  </si>
  <si>
    <t>Buy supplies (I coner pad)</t>
  </si>
  <si>
    <t>Monthly Security charge</t>
  </si>
  <si>
    <t>Accounting and tax consulting service on Jun'24</t>
  </si>
  <si>
    <t>Mothly telephone expense</t>
  </si>
  <si>
    <t>Basic Job posting Service</t>
  </si>
  <si>
    <t>Buy supplies(cardle notice)</t>
  </si>
  <si>
    <t>​Buy supplies(Purchase slipt)</t>
  </si>
  <si>
    <t>I-Customs permit, customs clearance, trucking fee, non insurance, inspection fee(I86819)</t>
  </si>
  <si>
    <t>I-Lift on &amp; Lift off(I86819)</t>
  </si>
  <si>
    <t>I-customs permit, customs clearance, customs evaluation, over declaration...(I84497,I84501,I84509)</t>
  </si>
  <si>
    <t>I-Lift on &amp; Lift off (I84497,I84501,I84509)</t>
  </si>
  <si>
    <t>I-Customs permit, customs clearance, trucking fee, non insurance, inspection fee(I77807)</t>
  </si>
  <si>
    <t>E-Lift on &amp; lift off (I77807)</t>
  </si>
  <si>
    <t>E-customs clearance, trucking fee, lift on charge, customs permit, inspection fee...(E1066)</t>
  </si>
  <si>
    <t>E-customs clearance, trucking fee, lift on charge, customs permit, inspection fee...(E1067)</t>
  </si>
  <si>
    <t>E-customs clearance, trucking fee, lift on charge, customs permit, inspection fee...(E1001)</t>
  </si>
  <si>
    <t>E-Original Terminal handling charge, Seal fee, Doc fee, AFR fee, Handling Fee(E1001)</t>
  </si>
  <si>
    <t>E-customs clearance, trucking fee, lift on charge, customs permit, inspection fee...(E999))</t>
  </si>
  <si>
    <t>E-Original terminal handling charge, Seal fee, Doc Fee, AFR Fee, Handling Fee(E999)</t>
  </si>
  <si>
    <t>E-customs clearance, trucking fee, lift on charge, customs permit, inspection fee...(E978))</t>
  </si>
  <si>
    <t>E-original terminal handling charge, Seal fee, AFR fee, Handling Fee(E978)</t>
  </si>
  <si>
    <t>E-Lift off charge, Gate fee charge (E978)</t>
  </si>
  <si>
    <t>E-customs clearance, trucking fee, lift on charge, customs permit, inspection fee...(E940)</t>
  </si>
  <si>
    <t>E-Lift off charge , Gate fee charge (E940)</t>
  </si>
  <si>
    <t>E-THC, Documentation fee,AFS, Seal fee,Trucking fee....(E943)</t>
  </si>
  <si>
    <t>E-Lift off charge &amp; Gate fee charge (E943)</t>
  </si>
  <si>
    <t>Buy supplies(L corner pad)</t>
  </si>
  <si>
    <t>Machine copy rental fee</t>
  </si>
  <si>
    <t>Buy supplies(BOPP packing tape)</t>
  </si>
  <si>
    <t>Security fee on Aug-2024</t>
  </si>
  <si>
    <t>E-Lift off charge &amp; Gate fee charge (E878)</t>
  </si>
  <si>
    <t>Customs clearance, customs permit, customs inspection, cut stock license of exportation, ....</t>
  </si>
  <si>
    <t>Duty tax &amp; customs clearance fee</t>
  </si>
  <si>
    <t>I-Customs clearance, customs permit, Cut stock ,exptra charge, handle charge...(I92102)</t>
  </si>
  <si>
    <t>E-Lift off charge &amp; Gate fee charge (E1207)</t>
  </si>
  <si>
    <t>E-Customs clearance, customs export permit, cut stock license, extra scan, Extra customs ,handing charge, inspection fee, lift on , trucking charge (E1166)</t>
  </si>
  <si>
    <t>E-Lift off charge &amp; Gate fee charge (E1166)</t>
  </si>
  <si>
    <t>E-Customs clearance, customs export permit, cut stock license, extra scan, Extra customs ,handing charge,inspection fee, lift on , trucking charge (E1165))</t>
  </si>
  <si>
    <t>E-Lift off charge ,Gate fee charge (E1165)</t>
  </si>
  <si>
    <t>E-THC, Documentation fee, AFS, Seal fee, advance filing amendment fee, trucking fee, Pick up emty ....(E1102)</t>
  </si>
  <si>
    <t>E-Lift off charge &amp; Gate fee charge (E1102)</t>
  </si>
  <si>
    <t>E-Customs clearance, customs export permit, cut stock license, extra scan, Extra customs ,handing charge,inspection fee, lift on , trucking charge (E1096)</t>
  </si>
  <si>
    <t>E-Storage 40feet Container full export(E1096)</t>
  </si>
  <si>
    <t>E-Lift off charge &amp; Gate fee charge (E1096)</t>
  </si>
  <si>
    <t>E-ORIGIN TERMINAL HANDLING CHARGE, SELL FEE, DOC FEE, AFR FEE, HANDLING FEE(HSY10-1)</t>
  </si>
  <si>
    <t>E-ORIGIN TERMINAL HANDLING CHARGE, SELL FEE, DOC FEE, AFR FEE, HANDLING FEE(HY9-1)</t>
  </si>
  <si>
    <t>E-Storage 40fee container full-Export (E1067)</t>
  </si>
  <si>
    <t>I-Lift on &amp; Lift off charge (I92102)</t>
  </si>
  <si>
    <t>Land rental fee on Sep-2024</t>
  </si>
  <si>
    <t>Storage 40 Feet Container Full - Export (E999)</t>
  </si>
  <si>
    <t>E-Lift off charge &amp; Gate fee charge (E999)</t>
  </si>
  <si>
    <t>E-1 LIFT-OFF Charges &amp; Gate Fee charge (E1001)</t>
  </si>
  <si>
    <t>Monthly tax service on Aug-2024</t>
  </si>
  <si>
    <t>E-Lift off charge &amp; Gate fee charge (E1067)</t>
  </si>
  <si>
    <t>E-Lift off charge &amp; Gate fee charge (E1066)</t>
  </si>
  <si>
    <t>Buy supplies(Repair machine)</t>
  </si>
  <si>
    <t>Buy supplies(Label)</t>
  </si>
  <si>
    <t>Repair computer</t>
  </si>
  <si>
    <t>Monthly Land Rental Fee</t>
  </si>
  <si>
    <t>Supplies (Carton)</t>
  </si>
  <si>
    <t>Monthly copy machine rental for October 2024</t>
  </si>
  <si>
    <t>BOPP PACKING TAPE</t>
  </si>
  <si>
    <t>Supplies (I Corner Pad, L Corner Pad) on Oct/2024</t>
  </si>
  <si>
    <t>Monthly internet subscription fee from 28/10/24 to 27/11/24</t>
  </si>
  <si>
    <t>Monthly security guard service for October 2024</t>
  </si>
  <si>
    <t>Monthly Tax Service for September 2024</t>
  </si>
  <si>
    <t>Monthly mobile &amp; maintenance fee for September 2024</t>
  </si>
  <si>
    <t>E-Origin Terminal Handling Charge, Seal fee, DOC fee, AFR fee(E-1310)</t>
  </si>
  <si>
    <t>E-Origin Terminal Handling Charge, Seal fee, DOC fee, AFR fee(E-1309)</t>
  </si>
  <si>
    <t>E-Origin Terminal Handling Charge, Seal fee, DOC fee, AFR fee(E-</t>
  </si>
  <si>
    <t>E-Origin Terminal Handling Charge, Seal fee, DOC fee, AFR fee(E-1243)</t>
  </si>
  <si>
    <t>E-Origin Terminal Handling Charge, Seal fee, DOC fee, AFR fee(E-1207)</t>
  </si>
  <si>
    <t>E-Custom Permit, Custom Clearance, Handling Charge...(E-1310)</t>
  </si>
  <si>
    <t>E-Lift Off Charge &amp; Gate Fee Charge(E-1310)</t>
  </si>
  <si>
    <t>E-Custom Permit, Custom Clearance, Handling Charge...(E-1309)</t>
  </si>
  <si>
    <t>E-Lift Off Charge &amp; Gate Fee Charge(E-1309)</t>
  </si>
  <si>
    <t>E-Custom Permit, Custom Clearance, Handling Charge...(E-1254)</t>
  </si>
  <si>
    <t>E-Lift Off Charge &amp; Gate fee Charge(E-1254)</t>
  </si>
  <si>
    <t>E-Custom Permit, Custom Clearance, Handling Charge(E-1253)</t>
  </si>
  <si>
    <t>E-Lift Off Charge &amp; Gate Fee Charge(E-1253)</t>
  </si>
  <si>
    <t>E-Custom Permit, Custom Clearance, Handling Charge....(E-1252)</t>
  </si>
  <si>
    <t>E-Lift Off Charge &amp; Gate Fee Charge(E-1252)</t>
  </si>
  <si>
    <t>E-Custom Permit, Custom Clearance, Handling Charge...(E-1243)</t>
  </si>
  <si>
    <t>E-Lift-Off Charge &amp; Gate Fee Charge(E-1243)</t>
  </si>
  <si>
    <t>E-Custom Permit, Custom Clearance, Handling Charge...(E-1242)</t>
  </si>
  <si>
    <t>E-Lift-Off Charges &amp; Gate Fee Charge(E-1242)</t>
  </si>
  <si>
    <t>I-Custom Permit, Custom Clearance, Handling Charge, Trucking Fee...(I-108415)</t>
  </si>
  <si>
    <t>I-Lift-On &amp; Lift-Off</t>
  </si>
  <si>
    <t>I-Custom Clearance, Customs Permit, Handling Charge, Inspection fee...(I-98421)</t>
  </si>
  <si>
    <t>I-Lift-On &amp; Lift Off(I-98421)</t>
  </si>
  <si>
    <t>Job Posting</t>
  </si>
  <si>
    <t>Supplies (Label MORISHO PAPER) on Oct/26</t>
  </si>
  <si>
    <t>Buy Supplies(Label)</t>
  </si>
  <si>
    <t>Car Repair Expense</t>
  </si>
  <si>
    <t>Clearance Fee (THC 40, Seal Charge, Doc Fee,…etc)</t>
  </si>
  <si>
    <t>Buy Supplies (Carton)</t>
  </si>
  <si>
    <t>Monthly copy machine rental for November 2024</t>
  </si>
  <si>
    <t>Monthly internet subscription fee from 28/11/24 to 27/12/24</t>
  </si>
  <si>
    <t>Monthly security guard service for November 2024</t>
  </si>
  <si>
    <t>Monthly Tax Service for October 2024</t>
  </si>
  <si>
    <t>Monthly mobile &amp; maintenance fee for October 2024</t>
  </si>
  <si>
    <t>E-Customs Clearance, Customs Permit, Trucking fee....(E-1473)</t>
  </si>
  <si>
    <t>E-Lift off charge, Gate fee (E-1473)</t>
  </si>
  <si>
    <t>E-Customs Clearance, Customs Permit, Trucking Fee...(E-1447)</t>
  </si>
  <si>
    <t>E-Lift Off Charge, Gate fee (E-1447)</t>
  </si>
  <si>
    <t>E-Customs Clearance, Customs Permit, Trucking fee (E-1425)</t>
  </si>
  <si>
    <t>E-Lift off charge, Gate fee (E-1425)</t>
  </si>
  <si>
    <t>E-Customs Clearance, Customs Permit, Trucking Fee .....(E-1409)</t>
  </si>
  <si>
    <t>E-Lift off Charge, Gate fee (E-1409)</t>
  </si>
  <si>
    <t>E-Customs Clearance, Custom Permit, Trucking Fee....(E-1366)</t>
  </si>
  <si>
    <t>E-Lift off Charge &amp; Gate fee(E-1366)</t>
  </si>
  <si>
    <t>E-Customs Clearance, Customs Permit, Trucking fee....(E-1369)</t>
  </si>
  <si>
    <t>E-Lift off Charge &amp; Gate fee Charge(E-1369)</t>
  </si>
  <si>
    <t>I-Customs Clearance, Customs Permit, Trucking fee.......(I-117081)</t>
  </si>
  <si>
    <t>I-Lift-On &amp; Lift off (I-117081)</t>
  </si>
  <si>
    <t>I-Customs Clearance, Customs Permit, Trucking fee,....(I-114361, I-114375, I-114394)</t>
  </si>
  <si>
    <t>I-Lift-On &amp; Lift-Off (I-114361, I-114375, I-114394)</t>
  </si>
  <si>
    <t>I-Customs Clearance, Custom Permit, Trucking fee...(I-112314)</t>
  </si>
  <si>
    <t>I-Lift-on &amp; Lift-Off (I-112314)</t>
  </si>
  <si>
    <t>Monthly Rental Copy Machine on Dec/2024</t>
  </si>
  <si>
    <t>E-Clearance Fee (Customs Clearance, Customs Permit, Cut Stock of License,…etc)</t>
  </si>
  <si>
    <t>E-LIFT-OFF Charge 40" Full, Gate Fee Charge 40" Full</t>
  </si>
  <si>
    <t>E-LIFT-OFF Charge 20" Full, Gate Fee Charge 20" Full</t>
  </si>
  <si>
    <t>E-Clearance Fee (Seal Fee, Customs Clearance, Handling Fee,…etc)</t>
  </si>
  <si>
    <t>E-LIFT-OFF Charge 40" Full, Gate Fee Charge 40" Full(E-1555)</t>
  </si>
  <si>
    <t>I-Clearance Fee (Trucking Charge, Customs Permit, Customs Clearance,…etc)</t>
  </si>
  <si>
    <t>Supplies (Caton)</t>
  </si>
  <si>
    <t>Supplies "L" Corner pad</t>
  </si>
  <si>
    <t>Monthly internet subscription fee from 28/12/24 to 27/01/25</t>
  </si>
  <si>
    <t>Monthly security guard service for December 2024</t>
  </si>
  <si>
    <t>Monthly Tax Service for November 2024</t>
  </si>
  <si>
    <t>Monthly mobile &amp; maintenance fee for November 2024</t>
  </si>
  <si>
    <t>CREDIT NOTE</t>
  </si>
  <si>
    <t>M.G PROFESS PACKING CO., LTD.</t>
  </si>
  <si>
    <t>B105-902203045</t>
  </si>
  <si>
    <t>MG-2022-0067</t>
  </si>
  <si>
    <t>MINO PLASTIC INDUSTRY Ltd.</t>
  </si>
  <si>
    <t>L001-108003280</t>
  </si>
  <si>
    <t>MINO202200054</t>
  </si>
  <si>
    <t>YLT PROPERTY CO., LTD.</t>
  </si>
  <si>
    <t>B113-104015977</t>
  </si>
  <si>
    <t>2022-012</t>
  </si>
  <si>
    <t>MING JI PAPER CO., LTD.</t>
  </si>
  <si>
    <t>L001-901703837</t>
  </si>
  <si>
    <t>BAEKSANG COMPUTER &amp; TRADE (CAMBODIA) CO., LTD.</t>
  </si>
  <si>
    <t>K009-901504078</t>
  </si>
  <si>
    <t>BCT-01679</t>
  </si>
  <si>
    <t>Ezecom Co., Ltd.</t>
  </si>
  <si>
    <t>L001-100141846</t>
  </si>
  <si>
    <t>ANDREW &amp; PHILIP ACCOUNTING CO., LTD. (A &amp; P ACCOUNTING)</t>
  </si>
  <si>
    <t>K005-100161359</t>
  </si>
  <si>
    <t>អ៊ឹម ភី អេ អ៊ិនធើណេស្យុនណល់</t>
  </si>
  <si>
    <t>L001-100044689</t>
  </si>
  <si>
    <t>កាំម៉ិនតែល</t>
  </si>
  <si>
    <t>L001-100045049</t>
  </si>
  <si>
    <t>2020JUN LOGISTICS CO., LTD.</t>
  </si>
  <si>
    <t>K010-902001839</t>
  </si>
  <si>
    <t>2022-0774</t>
  </si>
  <si>
    <t>កំពង់ផែស្វយ័តក្រុងព្រះសីហនុ</t>
  </si>
  <si>
    <t>L001-100044638</t>
  </si>
  <si>
    <t>2022-0746</t>
  </si>
  <si>
    <t>2022-0784</t>
  </si>
  <si>
    <t>កំពង់ផែស្វយ័តភ្នំពេញ "ក.ស.ភ"</t>
  </si>
  <si>
    <t>L001-100044999</t>
  </si>
  <si>
    <t>INV20221291657</t>
  </si>
  <si>
    <t>2022-0783</t>
  </si>
  <si>
    <t>INV20221291658</t>
  </si>
  <si>
    <t>2022-0772</t>
  </si>
  <si>
    <t>INV20221291255</t>
  </si>
  <si>
    <t>2022-0771</t>
  </si>
  <si>
    <t>INV20221291254</t>
  </si>
  <si>
    <t>2022-0758</t>
  </si>
  <si>
    <t>INV20221288940</t>
  </si>
  <si>
    <t>2022-0738</t>
  </si>
  <si>
    <t>2022-0737</t>
  </si>
  <si>
    <t>INV20221288936</t>
  </si>
  <si>
    <t>2022-0757</t>
  </si>
  <si>
    <t>INV20221286735</t>
  </si>
  <si>
    <t>2023-001</t>
  </si>
  <si>
    <t>BCT-00146</t>
  </si>
  <si>
    <t>MINO202300002</t>
  </si>
  <si>
    <t>MG-2023-0011</t>
  </si>
  <si>
    <t>EZE-TI-23-01-001225</t>
  </si>
  <si>
    <t>2023-0017</t>
  </si>
  <si>
    <t>INV20230105314</t>
  </si>
  <si>
    <t>2022-0043</t>
  </si>
  <si>
    <t>2023-0042</t>
  </si>
  <si>
    <t>INV20230104332</t>
  </si>
  <si>
    <t>2023-0022</t>
  </si>
  <si>
    <t>INV20230102381</t>
  </si>
  <si>
    <t>2023-0014</t>
  </si>
  <si>
    <t>INV20230101422</t>
  </si>
  <si>
    <t>2023-0013</t>
  </si>
  <si>
    <t>INV20230101421</t>
  </si>
  <si>
    <t>2023-0054</t>
  </si>
  <si>
    <t>2023-0053</t>
  </si>
  <si>
    <t>INV20230103413</t>
  </si>
  <si>
    <t>2023-0037</t>
  </si>
  <si>
    <t>MG-2023-0025</t>
  </si>
  <si>
    <t>2023-0089</t>
  </si>
  <si>
    <t>INV20230207326</t>
  </si>
  <si>
    <t>2023-0090</t>
  </si>
  <si>
    <t>2023-0094</t>
  </si>
  <si>
    <t>INV20230210421</t>
  </si>
  <si>
    <t>2023-0093</t>
  </si>
  <si>
    <t>INV20230210422</t>
  </si>
  <si>
    <t>2023-0087</t>
  </si>
  <si>
    <t>INV20230209080</t>
  </si>
  <si>
    <t>2023-0086</t>
  </si>
  <si>
    <t>INV20230209077</t>
  </si>
  <si>
    <t>2023-0088</t>
  </si>
  <si>
    <t>INV20230209082</t>
  </si>
  <si>
    <t>2023-0074</t>
  </si>
  <si>
    <t>2023-0073</t>
  </si>
  <si>
    <t>INV20230208377</t>
  </si>
  <si>
    <t>2023-0061</t>
  </si>
  <si>
    <t>INV20230206933</t>
  </si>
  <si>
    <t>2023-0062</t>
  </si>
  <si>
    <t>INV20230206931</t>
  </si>
  <si>
    <t>2023-002</t>
  </si>
  <si>
    <t>EZE-TI-23-02-002458</t>
  </si>
  <si>
    <t>BCT-00291</t>
  </si>
  <si>
    <t>MINO202300009</t>
  </si>
  <si>
    <t>អេ &amp; អេ អូតូ គ្រុប</t>
  </si>
  <si>
    <t>L001-100192173</t>
  </si>
  <si>
    <t>2023-0122</t>
  </si>
  <si>
    <t>2023-0123</t>
  </si>
  <si>
    <t>2023-0126</t>
  </si>
  <si>
    <t>INV20230311339</t>
  </si>
  <si>
    <t>2023-0100</t>
  </si>
  <si>
    <t>2023-0138</t>
  </si>
  <si>
    <t>INV20230315225</t>
  </si>
  <si>
    <t>2023-0135</t>
  </si>
  <si>
    <t>INV20230313756</t>
  </si>
  <si>
    <t>2023-0134</t>
  </si>
  <si>
    <t>INV20230313760</t>
  </si>
  <si>
    <t>2023-0120</t>
  </si>
  <si>
    <t>INV20230312834</t>
  </si>
  <si>
    <t>2023-0103</t>
  </si>
  <si>
    <t>INV20230312284</t>
  </si>
  <si>
    <t>2023-003</t>
  </si>
  <si>
    <t>MINO202300016</t>
  </si>
  <si>
    <t>XINYUANXIN PAPER</t>
  </si>
  <si>
    <t>K006-902300227</t>
  </si>
  <si>
    <t>BCT-00421</t>
  </si>
  <si>
    <t>MG-2023-0039</t>
  </si>
  <si>
    <t>EZE-TI-23-03-003664</t>
  </si>
  <si>
    <t>2023-0195</t>
  </si>
  <si>
    <t>INV20230422000</t>
  </si>
  <si>
    <t>2023-0196</t>
  </si>
  <si>
    <t>INV20230421999</t>
  </si>
  <si>
    <t>2023-0178</t>
  </si>
  <si>
    <t>INV20230420150</t>
  </si>
  <si>
    <t>2023-0164</t>
  </si>
  <si>
    <t>INV20230418880</t>
  </si>
  <si>
    <t>2023-0163</t>
  </si>
  <si>
    <t>INV20230418881</t>
  </si>
  <si>
    <t>2023-0184</t>
  </si>
  <si>
    <t>INV20230416899</t>
  </si>
  <si>
    <t>2023-0185</t>
  </si>
  <si>
    <t>INV20230416897</t>
  </si>
  <si>
    <t>2023-0183</t>
  </si>
  <si>
    <t>INV20230416896</t>
  </si>
  <si>
    <t>2023-0197</t>
  </si>
  <si>
    <t>INV20230419635</t>
  </si>
  <si>
    <t>2023-0171</t>
  </si>
  <si>
    <t>INV20230416680</t>
  </si>
  <si>
    <t>XYX23-0009</t>
  </si>
  <si>
    <t>MG-2023-0055</t>
  </si>
  <si>
    <t>2023-004</t>
  </si>
  <si>
    <t>EZE-TI-23-04-004876</t>
  </si>
  <si>
    <t>BCT-00571</t>
  </si>
  <si>
    <t>MINO202300022</t>
  </si>
  <si>
    <t>2023-0215</t>
  </si>
  <si>
    <t>2023-0214</t>
  </si>
  <si>
    <t>2023-0213</t>
  </si>
  <si>
    <t>2023-0216</t>
  </si>
  <si>
    <t>INV20230527728</t>
  </si>
  <si>
    <t>2023-0217</t>
  </si>
  <si>
    <t>INV20230527729</t>
  </si>
  <si>
    <t>2023-0206</t>
  </si>
  <si>
    <t>INV20230527730</t>
  </si>
  <si>
    <t>2023-0234</t>
  </si>
  <si>
    <t>iNV20230525062</t>
  </si>
  <si>
    <t>2023-0208</t>
  </si>
  <si>
    <t>INV20230523158</t>
  </si>
  <si>
    <t>2023-005</t>
  </si>
  <si>
    <t>BCT-00719</t>
  </si>
  <si>
    <t>MINO202300028</t>
  </si>
  <si>
    <t>xyx23-0020</t>
  </si>
  <si>
    <t>EZE-TI-23-05-006067</t>
  </si>
  <si>
    <t>BCT-00871</t>
  </si>
  <si>
    <t>2023-006</t>
  </si>
  <si>
    <t>MINO202300031</t>
  </si>
  <si>
    <t>EZE-TI-23-06-007313</t>
  </si>
  <si>
    <t>MG-2023-0080</t>
  </si>
  <si>
    <t>KHMER VICTOR SECURITY SERVICE CO., LTD.</t>
  </si>
  <si>
    <t>K002-901637755</t>
  </si>
  <si>
    <t>40002306-421</t>
  </si>
  <si>
    <t>2023-0268</t>
  </si>
  <si>
    <t>INV20230634608</t>
  </si>
  <si>
    <t>2023-0261</t>
  </si>
  <si>
    <t>INV20230633456</t>
  </si>
  <si>
    <t>2023-0265</t>
  </si>
  <si>
    <t>INV20230631055</t>
  </si>
  <si>
    <t>2023-0264</t>
  </si>
  <si>
    <t>INV20230631053</t>
  </si>
  <si>
    <t>2023-0275</t>
  </si>
  <si>
    <t>INV20230629303</t>
  </si>
  <si>
    <t>2023-0260</t>
  </si>
  <si>
    <t>INV20230629302</t>
  </si>
  <si>
    <t>2023-0285</t>
  </si>
  <si>
    <t>INV20230634911</t>
  </si>
  <si>
    <t>2023-0283</t>
  </si>
  <si>
    <t>INV20230633193</t>
  </si>
  <si>
    <t>2023-0284</t>
  </si>
  <si>
    <t>INV20230629554</t>
  </si>
  <si>
    <t>INV20230736595</t>
  </si>
  <si>
    <t>INV20230736602</t>
  </si>
  <si>
    <t>2023-0335</t>
  </si>
  <si>
    <t>INV20230742863</t>
  </si>
  <si>
    <t>2023-0334</t>
  </si>
  <si>
    <t>INV202230742862</t>
  </si>
  <si>
    <t>2023-0300</t>
  </si>
  <si>
    <t>INV20230742716</t>
  </si>
  <si>
    <t>2023-0318</t>
  </si>
  <si>
    <t>INV20230739541</t>
  </si>
  <si>
    <t>2023-0310</t>
  </si>
  <si>
    <t>INV20230738007</t>
  </si>
  <si>
    <t>2023-0311</t>
  </si>
  <si>
    <t>INV20230738012</t>
  </si>
  <si>
    <t>2023-0292</t>
  </si>
  <si>
    <t>2023-0293</t>
  </si>
  <si>
    <t>2023-0341</t>
  </si>
  <si>
    <t>2023-0328</t>
  </si>
  <si>
    <t>MINO202300036</t>
  </si>
  <si>
    <t>BCT-01020</t>
  </si>
  <si>
    <t>EZE-TI-23-07-008506</t>
  </si>
  <si>
    <t>2023-007</t>
  </si>
  <si>
    <t>xyx23-0045</t>
  </si>
  <si>
    <t>40002307-496</t>
  </si>
  <si>
    <t>2023-0384</t>
  </si>
  <si>
    <t>INV2020848261</t>
  </si>
  <si>
    <t>2023-0386</t>
  </si>
  <si>
    <t>2023-0385</t>
  </si>
  <si>
    <t>2023-0374</t>
  </si>
  <si>
    <t>INV20230847784</t>
  </si>
  <si>
    <t>2023-0375</t>
  </si>
  <si>
    <t>INV20230850490</t>
  </si>
  <si>
    <t>INV20230847781</t>
  </si>
  <si>
    <t>2023-0366</t>
  </si>
  <si>
    <t>INV20230846492</t>
  </si>
  <si>
    <t>2023-0367</t>
  </si>
  <si>
    <t>INV20230846488</t>
  </si>
  <si>
    <t>2023-0345</t>
  </si>
  <si>
    <t>INV20230844594</t>
  </si>
  <si>
    <t>2023-0344</t>
  </si>
  <si>
    <t>INV20230844600</t>
  </si>
  <si>
    <t>2023-0391</t>
  </si>
  <si>
    <t>xyx23-0058</t>
  </si>
  <si>
    <t>MG-2023-0116</t>
  </si>
  <si>
    <t>MINO202300039</t>
  </si>
  <si>
    <t>2023-008</t>
  </si>
  <si>
    <t>BCT-01167</t>
  </si>
  <si>
    <t>ESE-TI-23-08-009728</t>
  </si>
  <si>
    <t>40002308-575</t>
  </si>
  <si>
    <t>BCT-01322</t>
  </si>
  <si>
    <t>MINO202300042</t>
  </si>
  <si>
    <t>EZE-TI-23-09-010882</t>
  </si>
  <si>
    <t>2023-009</t>
  </si>
  <si>
    <t>40002309-652</t>
  </si>
  <si>
    <t>MG-2023-0137</t>
  </si>
  <si>
    <t>INV20230951076</t>
  </si>
  <si>
    <t>INV20230951077</t>
  </si>
  <si>
    <t>2023-0460</t>
  </si>
  <si>
    <t>INV20230955050</t>
  </si>
  <si>
    <t>2023-0459</t>
  </si>
  <si>
    <t>INV20230955052</t>
  </si>
  <si>
    <t>2023-0454</t>
  </si>
  <si>
    <t>INV20230952481</t>
  </si>
  <si>
    <t>2023-0453</t>
  </si>
  <si>
    <t>INV20230952482</t>
  </si>
  <si>
    <t>2023-0455</t>
  </si>
  <si>
    <t>INV20230952483</t>
  </si>
  <si>
    <t>2023-0463</t>
  </si>
  <si>
    <t>2023-0457</t>
  </si>
  <si>
    <t>2023-0456</t>
  </si>
  <si>
    <t>2023-0520</t>
  </si>
  <si>
    <t>2023-0493</t>
  </si>
  <si>
    <t>2023-0508</t>
  </si>
  <si>
    <t>INV20231061254</t>
  </si>
  <si>
    <t>2023-0492</t>
  </si>
  <si>
    <t>INV20231060030</t>
  </si>
  <si>
    <t>2023-0491</t>
  </si>
  <si>
    <t>INV20231060044</t>
  </si>
  <si>
    <t>2023-0490</t>
  </si>
  <si>
    <t>INV20231058845</t>
  </si>
  <si>
    <t>2023-0506</t>
  </si>
  <si>
    <t>INV20231057921</t>
  </si>
  <si>
    <t>2023-0494</t>
  </si>
  <si>
    <t>INV20231057922</t>
  </si>
  <si>
    <t>2023-0510</t>
  </si>
  <si>
    <t>INV20231058474</t>
  </si>
  <si>
    <t>MG-2023-0153</t>
  </si>
  <si>
    <t>xyx23-0078</t>
  </si>
  <si>
    <t>2023-010</t>
  </si>
  <si>
    <t>40002310-741</t>
  </si>
  <si>
    <t>BCT-01468</t>
  </si>
  <si>
    <t>EZE-TI-2310-012081</t>
  </si>
  <si>
    <t>MINO202300046</t>
  </si>
  <si>
    <t>TC EXPRESS AUTO SERVICES AND SPARE PARTS (CAMBODIA) PTY. LTD.</t>
  </si>
  <si>
    <t>L001-100106846</t>
  </si>
  <si>
    <t>TSKTI23000498</t>
  </si>
  <si>
    <t>CAMKO MOTOR COMPANY LTD.</t>
  </si>
  <si>
    <t>L001-100135366</t>
  </si>
  <si>
    <t>PPT2023-00914</t>
  </si>
  <si>
    <t>2023-0524</t>
  </si>
  <si>
    <t>INV20231166769</t>
  </si>
  <si>
    <t>2023-0523</t>
  </si>
  <si>
    <t>INV20231164836</t>
  </si>
  <si>
    <t>2023-0522</t>
  </si>
  <si>
    <t>INV20231162516</t>
  </si>
  <si>
    <t>2023-0521</t>
  </si>
  <si>
    <t>INV20231162517</t>
  </si>
  <si>
    <t>2023-011</t>
  </si>
  <si>
    <t>MINO202300047</t>
  </si>
  <si>
    <t>BCT-01613</t>
  </si>
  <si>
    <t>EZE-TI-23-11-013215</t>
  </si>
  <si>
    <t>40002311-824</t>
  </si>
  <si>
    <t>INV20231163474</t>
  </si>
  <si>
    <t>PPT2023-01113</t>
  </si>
  <si>
    <t>MINO202300049</t>
  </si>
  <si>
    <t>BCT-01758</t>
  </si>
  <si>
    <t>EZE-TI-23-12-014334</t>
  </si>
  <si>
    <t>xyx23-0127</t>
  </si>
  <si>
    <t>40002312-911</t>
  </si>
  <si>
    <t>MG-2023-0194</t>
  </si>
  <si>
    <t>2023-012</t>
  </si>
  <si>
    <t>A.K PRINTING</t>
  </si>
  <si>
    <t>K009-902105897</t>
  </si>
  <si>
    <t>SOKSALAM FORWARDING CO., LTD.</t>
  </si>
  <si>
    <t>K009-902301639</t>
  </si>
  <si>
    <t>2023-0050</t>
  </si>
  <si>
    <t>2023-0046</t>
  </si>
  <si>
    <t>INV20231271622</t>
  </si>
  <si>
    <t>2023-0045</t>
  </si>
  <si>
    <t>INV20231271634</t>
  </si>
  <si>
    <t>2023-0049</t>
  </si>
  <si>
    <t>INV20231270254</t>
  </si>
  <si>
    <t>2023-0048</t>
  </si>
  <si>
    <t>INV20231270004</t>
  </si>
  <si>
    <t>INV20231269231</t>
  </si>
  <si>
    <t>2023-0055</t>
  </si>
  <si>
    <t>2024-0030</t>
  </si>
  <si>
    <t>INV20240103195</t>
  </si>
  <si>
    <t>2024-0037</t>
  </si>
  <si>
    <t>2024-0038</t>
  </si>
  <si>
    <t>2024-0035</t>
  </si>
  <si>
    <t>2024-0036</t>
  </si>
  <si>
    <t>INV20240105178</t>
  </si>
  <si>
    <t>2024-0029</t>
  </si>
  <si>
    <t>INV20240104508</t>
  </si>
  <si>
    <t>2024-0006</t>
  </si>
  <si>
    <t>INV20240103446</t>
  </si>
  <si>
    <t>2024-0005</t>
  </si>
  <si>
    <t>INV20240103447</t>
  </si>
  <si>
    <t>MINO202400001</t>
  </si>
  <si>
    <t>2024-001</t>
  </si>
  <si>
    <t>BCT-00126</t>
  </si>
  <si>
    <t>xyx240018</t>
  </si>
  <si>
    <t>MG-2024-0013</t>
  </si>
  <si>
    <t>EZE-TI-24-01-001127</t>
  </si>
  <si>
    <t>40002401-076</t>
  </si>
  <si>
    <t>CPR SERVICE ELECTRONIC CENTER CO., LTD.</t>
  </si>
  <si>
    <t>K003-901704510</t>
  </si>
  <si>
    <t>TIV24/000004</t>
  </si>
  <si>
    <t>INV20240100634</t>
  </si>
  <si>
    <t>2024-0072</t>
  </si>
  <si>
    <t>2024-0073</t>
  </si>
  <si>
    <t>INV20240207494</t>
  </si>
  <si>
    <t>2024-0071</t>
  </si>
  <si>
    <t>INV20240210778</t>
  </si>
  <si>
    <t>2024-0070</t>
  </si>
  <si>
    <t>INV20240210774</t>
  </si>
  <si>
    <t>2024-0069</t>
  </si>
  <si>
    <t>INV20240208262</t>
  </si>
  <si>
    <t>2024-0068</t>
  </si>
  <si>
    <t>INV20240206624</t>
  </si>
  <si>
    <t>MINO202400002</t>
  </si>
  <si>
    <t>EZE-TI-24-02-002289</t>
  </si>
  <si>
    <t>2024-002</t>
  </si>
  <si>
    <t>BCT-00271</t>
  </si>
  <si>
    <t>400024-166</t>
  </si>
  <si>
    <t>SITC LOGISTICS (CAMBODIA) CO., LTD.</t>
  </si>
  <si>
    <t>K004-107032546</t>
  </si>
  <si>
    <t>INV20240207985</t>
  </si>
  <si>
    <t>INV20240206896</t>
  </si>
  <si>
    <t>ឆាយណា ហឺ ចុង លិ អ៊ិនដាសស្ទ្រៀល អេនជីនារីង ម៉ាស៊ីនើរី អេឃ្វីបម៉ិន សេល ឯ.ក</t>
  </si>
  <si>
    <t>L001-901906721</t>
  </si>
  <si>
    <t>TI-0044</t>
  </si>
  <si>
    <t>BCT-00403</t>
  </si>
  <si>
    <t>2024-0098</t>
  </si>
  <si>
    <t>INV20240317422</t>
  </si>
  <si>
    <t>2024-0099</t>
  </si>
  <si>
    <t>INV20240317424</t>
  </si>
  <si>
    <t>2024-0100</t>
  </si>
  <si>
    <t>INV20240316031</t>
  </si>
  <si>
    <t>2024-0078</t>
  </si>
  <si>
    <t>INV20240315063</t>
  </si>
  <si>
    <t>2024-0085</t>
  </si>
  <si>
    <t>INV20240313501</t>
  </si>
  <si>
    <t>2024-0084</t>
  </si>
  <si>
    <t>INV20240312126</t>
  </si>
  <si>
    <t>INV20240315521</t>
  </si>
  <si>
    <t>2024-0086</t>
  </si>
  <si>
    <t>2024-0089</t>
  </si>
  <si>
    <t>INV20240312672</t>
  </si>
  <si>
    <t>INV20240311996</t>
  </si>
  <si>
    <t>MG-2024-0065</t>
  </si>
  <si>
    <t>EZE-TI-24-03-003415</t>
  </si>
  <si>
    <t>xyx240065</t>
  </si>
  <si>
    <t>2024-003</t>
  </si>
  <si>
    <t>40002403-259</t>
  </si>
  <si>
    <t>2024-0119</t>
  </si>
  <si>
    <t>INV20240422470</t>
  </si>
  <si>
    <t>2024-0130</t>
  </si>
  <si>
    <t>2024-0121</t>
  </si>
  <si>
    <t>2024-0129</t>
  </si>
  <si>
    <t>INV20240419078</t>
  </si>
  <si>
    <t>2024-0128</t>
  </si>
  <si>
    <t>INV20240419092</t>
  </si>
  <si>
    <t>INV20240420332</t>
  </si>
  <si>
    <t>2024-0122</t>
  </si>
  <si>
    <t>INV20240421736</t>
  </si>
  <si>
    <t>2024-0127</t>
  </si>
  <si>
    <t>INV20240423066</t>
  </si>
  <si>
    <t>MINO202400004</t>
  </si>
  <si>
    <t>BCT-00540</t>
  </si>
  <si>
    <t>2024-004</t>
  </si>
  <si>
    <t>EZE-TI-24-04-004529</t>
  </si>
  <si>
    <t>40002404-359</t>
  </si>
  <si>
    <t>INV20240531295</t>
  </si>
  <si>
    <t>MINO0202400005</t>
  </si>
  <si>
    <t>MG-2024-0108</t>
  </si>
  <si>
    <t>BCT-00701</t>
  </si>
  <si>
    <t>2024-005</t>
  </si>
  <si>
    <t>EZE-TI-24-05-005609</t>
  </si>
  <si>
    <t>XYX240116</t>
  </si>
  <si>
    <t>40002405-448</t>
  </si>
  <si>
    <t>2024-0155</t>
  </si>
  <si>
    <t>INV20240530797</t>
  </si>
  <si>
    <t>MASS-LOG (CAMBODIA) CO., LTD.</t>
  </si>
  <si>
    <t>K009-901704708</t>
  </si>
  <si>
    <t>KH-24-000650</t>
  </si>
  <si>
    <t>2024-0156</t>
  </si>
  <si>
    <t>INV20240530796</t>
  </si>
  <si>
    <t>2024-0146</t>
  </si>
  <si>
    <t>INV20240530799</t>
  </si>
  <si>
    <t>2024-0145</t>
  </si>
  <si>
    <t>2024-0144</t>
  </si>
  <si>
    <t>INV20240526476</t>
  </si>
  <si>
    <t>2024-0143</t>
  </si>
  <si>
    <t>INV20240526472</t>
  </si>
  <si>
    <t>2024-0152</t>
  </si>
  <si>
    <t>2024-0181</t>
  </si>
  <si>
    <t>2024-0180</t>
  </si>
  <si>
    <t>2024-0182</t>
  </si>
  <si>
    <t>2024-0201</t>
  </si>
  <si>
    <t>2024-0200</t>
  </si>
  <si>
    <t>INV20240639683</t>
  </si>
  <si>
    <t>2024-0192</t>
  </si>
  <si>
    <t>INV20240637499</t>
  </si>
  <si>
    <t>INV20240635407</t>
  </si>
  <si>
    <t>INV20240635403</t>
  </si>
  <si>
    <t>2024-0197</t>
  </si>
  <si>
    <t>INV20240635381</t>
  </si>
  <si>
    <t>2024-0196</t>
  </si>
  <si>
    <t>INV20240635181</t>
  </si>
  <si>
    <t>2024-0195</t>
  </si>
  <si>
    <t>INV20240631697</t>
  </si>
  <si>
    <t>2024-0198</t>
  </si>
  <si>
    <t>MINO202400006</t>
  </si>
  <si>
    <t>BCT-00850</t>
  </si>
  <si>
    <t>EZE-TI-24-06-006661</t>
  </si>
  <si>
    <t>XYX240147</t>
  </si>
  <si>
    <t>40002406-570</t>
  </si>
  <si>
    <t>2024-006</t>
  </si>
  <si>
    <t>INV20240631696</t>
  </si>
  <si>
    <t>BCT-00994</t>
  </si>
  <si>
    <t>2024-0211</t>
  </si>
  <si>
    <t>2024-0231</t>
  </si>
  <si>
    <t>2024-0234</t>
  </si>
  <si>
    <t>INV20240749545</t>
  </si>
  <si>
    <t>2024-0233</t>
  </si>
  <si>
    <t>2024-0208</t>
  </si>
  <si>
    <t>INV20240744669</t>
  </si>
  <si>
    <t>2024-0207</t>
  </si>
  <si>
    <t>INV20240744668</t>
  </si>
  <si>
    <t>2024-0204</t>
  </si>
  <si>
    <t>INV20240743882</t>
  </si>
  <si>
    <t>2024-007</t>
  </si>
  <si>
    <t>KH-24-001123</t>
  </si>
  <si>
    <t>KH-24-001121</t>
  </si>
  <si>
    <t>KH-24-001119</t>
  </si>
  <si>
    <t>KH-24-001117</t>
  </si>
  <si>
    <t>KH-24-000950</t>
  </si>
  <si>
    <t>MINO202400007</t>
  </si>
  <si>
    <t>EZE-TI-24-07-007736</t>
  </si>
  <si>
    <t>MG-2024-0154</t>
  </si>
  <si>
    <t>S.P.L.S SECURITY CO., LTD.</t>
  </si>
  <si>
    <t>K008-108012875</t>
  </si>
  <si>
    <t>SPLS-00285</t>
  </si>
  <si>
    <t>CAMHR INFORMATION (CAMBODIA) CO., LTD.</t>
  </si>
  <si>
    <t>K002-103000526</t>
  </si>
  <si>
    <t>TI24-01338</t>
  </si>
  <si>
    <t>TI24-01397</t>
  </si>
  <si>
    <t>2024-0286</t>
  </si>
  <si>
    <t>2024-0287</t>
  </si>
  <si>
    <t>2024-0288</t>
  </si>
  <si>
    <t>2024-0285</t>
  </si>
  <si>
    <t>2024-0284</t>
  </si>
  <si>
    <t>2024-0259</t>
  </si>
  <si>
    <t>KH-24-001385</t>
  </si>
  <si>
    <t>2024-0258</t>
  </si>
  <si>
    <t>KH-24-001383</t>
  </si>
  <si>
    <t>2024-0269</t>
  </si>
  <si>
    <t>KH-24-001381</t>
  </si>
  <si>
    <t>INV20240855332</t>
  </si>
  <si>
    <t>2024-0253</t>
  </si>
  <si>
    <t>INV20240852296</t>
  </si>
  <si>
    <t>INV20240851874</t>
  </si>
  <si>
    <t>MG-2024-0172</t>
  </si>
  <si>
    <t>MINO202400008</t>
  </si>
  <si>
    <t>BCT-01142</t>
  </si>
  <si>
    <t>XYX240211</t>
  </si>
  <si>
    <t>2024-008</t>
  </si>
  <si>
    <t>EZE-TI-24-08-008810</t>
  </si>
  <si>
    <t>SPLS-00348</t>
  </si>
  <si>
    <t>INV20240855339</t>
  </si>
  <si>
    <t>2024-0334</t>
  </si>
  <si>
    <t>2024-0333</t>
  </si>
  <si>
    <t>2024-0326</t>
  </si>
  <si>
    <t>INV20240972454</t>
  </si>
  <si>
    <t>2024-0329</t>
  </si>
  <si>
    <t>INV20240970550</t>
  </si>
  <si>
    <t>2024-0328</t>
  </si>
  <si>
    <t>INV20240970551</t>
  </si>
  <si>
    <t>INV20240966475</t>
  </si>
  <si>
    <t>2024-0327</t>
  </si>
  <si>
    <t>INV20240970024</t>
  </si>
  <si>
    <t>INV20240965449</t>
  </si>
  <si>
    <t>KH-24-001638</t>
  </si>
  <si>
    <t>KH-24-001471</t>
  </si>
  <si>
    <t>INV20240967487</t>
  </si>
  <si>
    <t>MINO202400009</t>
  </si>
  <si>
    <t>EZE-TI-24-09-009941</t>
  </si>
  <si>
    <t>2024-009</t>
  </si>
  <si>
    <t>BCT-01292</t>
  </si>
  <si>
    <t>XYX240244</t>
  </si>
  <si>
    <t>SPLS-00410</t>
  </si>
  <si>
    <t>INV20240967179</t>
  </si>
  <si>
    <t>INV20240965985</t>
  </si>
  <si>
    <t>INV20240965983</t>
  </si>
  <si>
    <t>LEE &amp; PARTNERS ACCOUNTING CO., LTD.</t>
  </si>
  <si>
    <t>K003-902200877</t>
  </si>
  <si>
    <t>LP24-0500</t>
  </si>
  <si>
    <t>INV20240963325</t>
  </si>
  <si>
    <t>INV20240963323</t>
  </si>
  <si>
    <t>TIV24/000120</t>
  </si>
  <si>
    <t>GOLD ONE COMPUTER</t>
  </si>
  <si>
    <t>K005-902104802</t>
  </si>
  <si>
    <t>GTI24-1068</t>
  </si>
  <si>
    <t>2024-010</t>
  </si>
  <si>
    <t>MINO202400010</t>
  </si>
  <si>
    <t>BCT-01440</t>
  </si>
  <si>
    <t>XYX240278</t>
  </si>
  <si>
    <t>MG-2024-0218</t>
  </si>
  <si>
    <t>EZE-TI-24-10-010997</t>
  </si>
  <si>
    <t>SPLS-00480</t>
  </si>
  <si>
    <t>LP24-0551</t>
  </si>
  <si>
    <t>KH-24-001872</t>
  </si>
  <si>
    <t>KH-24-001870</t>
  </si>
  <si>
    <t>KH-24-001868</t>
  </si>
  <si>
    <t>KH-24-001708</t>
  </si>
  <si>
    <t>KH-24-001706</t>
  </si>
  <si>
    <t>2024-0364</t>
  </si>
  <si>
    <t>INV20241080095</t>
  </si>
  <si>
    <t>2024-0339</t>
  </si>
  <si>
    <t>INV20241080090</t>
  </si>
  <si>
    <t>2024-0362</t>
  </si>
  <si>
    <t>INV20241078404</t>
  </si>
  <si>
    <t>2024-0363</t>
  </si>
  <si>
    <t>INV20241078413</t>
  </si>
  <si>
    <t>2024-0361</t>
  </si>
  <si>
    <t>INV20241078407</t>
  </si>
  <si>
    <t>2024-0386</t>
  </si>
  <si>
    <t>INV20241078410</t>
  </si>
  <si>
    <t>2024-0360</t>
  </si>
  <si>
    <t>INV20241078408</t>
  </si>
  <si>
    <t>2024-0344</t>
  </si>
  <si>
    <t>2024-0359</t>
  </si>
  <si>
    <t>TI24-02157</t>
  </si>
  <si>
    <t>SPLS-00519</t>
  </si>
  <si>
    <t>PPT2024-00935</t>
  </si>
  <si>
    <t>KH-24-002036</t>
  </si>
  <si>
    <t>KH-24-001965</t>
  </si>
  <si>
    <t>KH-24-001885</t>
  </si>
  <si>
    <t>KH-24-001879</t>
  </si>
  <si>
    <t>MINO202400011</t>
  </si>
  <si>
    <t>BCT-01588</t>
  </si>
  <si>
    <t>2024-011</t>
  </si>
  <si>
    <t>EZE-TI-24-11-012073</t>
  </si>
  <si>
    <t>SPLS-00550</t>
  </si>
  <si>
    <t>LP24-0613</t>
  </si>
  <si>
    <t>2024-0414</t>
  </si>
  <si>
    <t>INV20241188273</t>
  </si>
  <si>
    <t>INV20241185125</t>
  </si>
  <si>
    <t>2024-0412</t>
  </si>
  <si>
    <t>INV20241186015</t>
  </si>
  <si>
    <t>2024-0400</t>
  </si>
  <si>
    <t>INV20241186013</t>
  </si>
  <si>
    <t>2024-0399</t>
  </si>
  <si>
    <t>INV20241182089</t>
  </si>
  <si>
    <t>2024-0398</t>
  </si>
  <si>
    <t>INV20241182090</t>
  </si>
  <si>
    <t>2024-0416</t>
  </si>
  <si>
    <t>2024-0415</t>
  </si>
  <si>
    <t>2024-0411</t>
  </si>
  <si>
    <t>BCT-01741</t>
  </si>
  <si>
    <t>KH-24-002450</t>
  </si>
  <si>
    <t>KH-24-002452</t>
  </si>
  <si>
    <t>KH-24-002361</t>
  </si>
  <si>
    <t>KH-24-002359</t>
  </si>
  <si>
    <t>KH-24-002226</t>
  </si>
  <si>
    <t>KH-24-002153</t>
  </si>
  <si>
    <t>2024-0447</t>
  </si>
  <si>
    <t>INV20241290830</t>
  </si>
  <si>
    <t>2024-0462</t>
  </si>
  <si>
    <t>INV20241298181</t>
  </si>
  <si>
    <t>2024-0461</t>
  </si>
  <si>
    <t>INV20241298180</t>
  </si>
  <si>
    <t>2024-0452</t>
  </si>
  <si>
    <t>INV20241296401</t>
  </si>
  <si>
    <t>2024-0451</t>
  </si>
  <si>
    <t>INV20241296400</t>
  </si>
  <si>
    <t>2024-0455</t>
  </si>
  <si>
    <t>INV20241296399</t>
  </si>
  <si>
    <t>INV20241291050</t>
  </si>
  <si>
    <t>2024-0448</t>
  </si>
  <si>
    <t>INV20241292479</t>
  </si>
  <si>
    <t>2024-0449</t>
  </si>
  <si>
    <t>INV20241292478</t>
  </si>
  <si>
    <t>2024-0467</t>
  </si>
  <si>
    <t>MINO202400012</t>
  </si>
  <si>
    <t>MG-2024-0258</t>
  </si>
  <si>
    <t>EZE-TI-24-12-013129</t>
  </si>
  <si>
    <t>2024-012</t>
  </si>
  <si>
    <t>SPLS-00621</t>
  </si>
  <si>
    <t>LP24-0680</t>
  </si>
  <si>
    <t>CN2024-001</t>
  </si>
  <si>
    <t>CN2023-003</t>
  </si>
  <si>
    <t>បានប្រកាស (អនុញ្ញាត)</t>
  </si>
  <si>
    <t>ប្រកាសរួម (ព្យួរទុក)</t>
  </si>
  <si>
    <t>ព្យួរទុក (មិនមានទិន្នន័យ)</t>
  </si>
  <si>
    <t>ប្រកាសខុស (ព្យួរទុក)</t>
  </si>
  <si>
    <t>អនុញ្ញាត (អ្នកផ្គត់ផ្គង់ប្រកាសខ្វះ)</t>
  </si>
  <si>
    <t>BCT01679</t>
  </si>
  <si>
    <t>បានត្រួតពិនិត្យ</t>
  </si>
  <si>
    <t>ពិនិត្យរួច</t>
  </si>
  <si>
    <t>2023-0043</t>
  </si>
  <si>
    <t>XYX23-0002</t>
  </si>
  <si>
    <t>មិនបាន</t>
  </si>
  <si>
    <t>XYX23-0045</t>
  </si>
  <si>
    <t>INV20230848261</t>
  </si>
  <si>
    <t>EZE-TI-23-08-009728</t>
  </si>
  <si>
    <t>202300148918</t>
  </si>
  <si>
    <t>EZE-TI-23-10-012081</t>
  </si>
  <si>
    <t>202400002177</t>
  </si>
  <si>
    <t>XYX240018</t>
  </si>
  <si>
    <t xml:space="preserve">40002402-166 </t>
  </si>
  <si>
    <t>ត្រួតពិនិត្យរួច</t>
  </si>
  <si>
    <t>MINO202400005</t>
  </si>
  <si>
    <t xml:space="preserve">ឈ្មោះសហគ្រាសជាអក្សរខ្មែរ </t>
  </si>
  <si>
    <t> វ៉ាយអិលធី​ អ៊ិនធើណេសិនណល</t>
  </si>
  <si>
    <t xml:space="preserve">ឈ្មោះសហគ្រាសជាអក្សរឡាតាំង </t>
  </si>
  <si>
    <t> YLT INTERNATIONAL CO., LTD.</t>
  </si>
  <si>
    <t xml:space="preserve">លេខអត្តសញ្ញាណកម្ម </t>
  </si>
  <si>
    <t> L001-100192823</t>
  </si>
  <si>
    <t xml:space="preserve">អាសយដ្ឋានអាជីវកម្មគោលដេីម </t>
  </si>
  <si>
    <t> ភូមិសទ្ធា ឃុំរំចេក ស្រុកព្រះស្ដេច ខេត្តព្រៃវែង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</si>
</sst>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000000"/>
    <numFmt numFmtId="167" formatCode="000000000"/>
    <numFmt numFmtId="168" formatCode="_-&quot;$&quot;* #,##0.00_-;\-&quot;$&quot;* #,##0.00_-;_-&quot;$&quot;* &quot;-&quot;??_-;_-@_-"/>
    <numFmt numFmtId="169" formatCode="[$-12000425]0"/>
    <numFmt numFmtId="170" formatCode="m/d/yy;@"/>
    <numFmt numFmtId="171" formatCode="\ &quot;Total Reil @&quot;\ #,###,#00"/>
    <numFmt numFmtId="172" formatCode="_ * #,##0.00_ ;_ * \-#,##0.00_ ;_ * &quot;-&quot;??_ ;_ @_ "/>
    <numFmt numFmtId="173" formatCode="_-* #,##0[$៛-453]_-;\-* #,##0[$៛-453]_-;_-* &quot;-&quot;[$៛-453]_-;_-@_-"/>
    <numFmt numFmtId="174" formatCode="mmm\-yyyy"/>
    <numFmt numFmtId="175" formatCode="d\-mmm\-yyyy"/>
    <numFmt numFmtId="176" formatCode="#,##0.00[$៛-453]"/>
    <numFmt numFmtId="177" formatCode="dd\-mm\-yy"/>
    <numFmt numFmtId="178" formatCode="0000"/>
    <numFmt numFmtId="179" formatCode="\I\ 00000"/>
    <numFmt numFmtId="180" formatCode="[$-409]dd\-mmm\-yy;@"/>
  </numFmts>
  <fonts count="10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2"/>
      <name val="Limon S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Arial"/>
      <family val="2"/>
    </font>
    <font>
      <sz val="20"/>
      <name val="Limon S1"/>
    </font>
    <font>
      <sz val="10"/>
      <name val="Arial"/>
      <family val="2"/>
    </font>
    <font>
      <b/>
      <sz val="10"/>
      <name val="Arial"/>
      <family val="2"/>
    </font>
    <font>
      <sz val="8"/>
      <name val="Times New Roman"/>
      <family val="1"/>
    </font>
    <font>
      <sz val="10"/>
      <name val="Arial"/>
      <family val="2"/>
    </font>
    <font>
      <b/>
      <sz val="8"/>
      <color indexed="81"/>
      <name val="Tahoma"/>
      <family val="2"/>
    </font>
    <font>
      <sz val="10"/>
      <name val="Limon S1"/>
    </font>
    <font>
      <sz val="10"/>
      <color indexed="8"/>
      <name val="Arial"/>
      <family val="2"/>
    </font>
    <font>
      <sz val="10"/>
      <name val="Khmer OS"/>
    </font>
    <font>
      <b/>
      <sz val="10"/>
      <name val="Khmer OS"/>
    </font>
    <font>
      <sz val="9"/>
      <name val="Khmer OS"/>
    </font>
    <font>
      <b/>
      <i/>
      <sz val="8"/>
      <name val="Arial"/>
      <family val="2"/>
    </font>
    <font>
      <sz val="14"/>
      <name val="Khmer MEF2"/>
    </font>
    <font>
      <sz val="10"/>
      <name val="Khmer MEF2"/>
    </font>
    <font>
      <b/>
      <sz val="10"/>
      <name val="Khmer MEF1"/>
    </font>
    <font>
      <sz val="10"/>
      <name val="Khmer MEF1"/>
    </font>
    <font>
      <sz val="8.5"/>
      <name val="Khmer OS"/>
    </font>
    <font>
      <b/>
      <sz val="9"/>
      <name val="Arial"/>
      <family val="2"/>
    </font>
    <font>
      <b/>
      <i/>
      <sz val="11"/>
      <name val="Arial"/>
      <family val="2"/>
    </font>
    <font>
      <sz val="9"/>
      <name val="Khmer MEF1"/>
    </font>
    <font>
      <sz val="7"/>
      <name val="Times New Roman"/>
      <family val="1"/>
    </font>
    <font>
      <sz val="10"/>
      <color rgb="FFFF0000"/>
      <name val="Arial"/>
      <family val="2"/>
    </font>
    <font>
      <sz val="20"/>
      <color rgb="FFFF0000"/>
      <name val="Limon S1"/>
    </font>
    <font>
      <sz val="10"/>
      <color rgb="FFFF0000"/>
      <name val="Khmer MEF1"/>
    </font>
    <font>
      <sz val="10"/>
      <name val="Calibri"/>
      <family val="2"/>
      <scheme val="minor"/>
    </font>
    <font>
      <sz val="9"/>
      <color rgb="FFFF0000"/>
      <name val="Khmer OS"/>
    </font>
    <font>
      <sz val="10"/>
      <color rgb="FFFF0000"/>
      <name val="Khmer OS"/>
    </font>
    <font>
      <sz val="9"/>
      <color rgb="FFFF0000"/>
      <name val="Khmer MEF1"/>
    </font>
    <font>
      <b/>
      <sz val="9"/>
      <name val="Limon S1"/>
    </font>
    <font>
      <sz val="22"/>
      <name val="Limon R1"/>
    </font>
    <font>
      <sz val="12"/>
      <name val="Limon R1"/>
    </font>
    <font>
      <b/>
      <sz val="8"/>
      <name val="Limon S1"/>
    </font>
    <font>
      <b/>
      <sz val="8"/>
      <name val="Times New Roman"/>
      <family val="1"/>
    </font>
    <font>
      <b/>
      <sz val="9"/>
      <name val="Cambria"/>
      <family val="1"/>
      <scheme val="major"/>
    </font>
    <font>
      <sz val="14"/>
      <color indexed="8"/>
      <name val="Calibri"/>
      <family val="2"/>
      <charset val="134"/>
    </font>
    <font>
      <sz val="14"/>
      <name val="Limon S1"/>
    </font>
    <font>
      <sz val="8"/>
      <name val="Limon S1"/>
    </font>
    <font>
      <sz val="8"/>
      <color indexed="8"/>
      <name val="Calibri"/>
      <family val="2"/>
    </font>
    <font>
      <sz val="9"/>
      <color theme="1"/>
      <name val="Calibri"/>
      <family val="2"/>
      <scheme val="minor"/>
    </font>
    <font>
      <sz val="9"/>
      <name val="Limon S1"/>
    </font>
    <font>
      <b/>
      <sz val="7"/>
      <name val="Limon S1"/>
    </font>
    <font>
      <sz val="7"/>
      <name val="新細明體"/>
      <family val="1"/>
      <charset val="136"/>
    </font>
    <font>
      <sz val="7"/>
      <name val="Limon S1"/>
    </font>
    <font>
      <sz val="13"/>
      <name val="Limon S1"/>
    </font>
    <font>
      <b/>
      <sz val="7"/>
      <name val="Times New Roman"/>
      <family val="1"/>
    </font>
    <font>
      <sz val="7"/>
      <name val="Times New Roman"/>
      <family val="1"/>
      <charset val="134"/>
    </font>
    <font>
      <sz val="7"/>
      <name val="Arial"/>
      <family val="2"/>
    </font>
    <font>
      <sz val="7"/>
      <name val="Arial Narrow"/>
      <family val="2"/>
    </font>
    <font>
      <b/>
      <sz val="7"/>
      <name val="Times New Roman"/>
      <family val="1"/>
      <charset val="134"/>
    </font>
    <font>
      <sz val="8"/>
      <name val="Times New Roman"/>
      <family val="1"/>
      <charset val="134"/>
    </font>
    <font>
      <sz val="11"/>
      <name val="Times New Roman"/>
      <family val="1"/>
      <charset val="134"/>
    </font>
    <font>
      <b/>
      <sz val="7"/>
      <name val="Arial"/>
      <family val="2"/>
    </font>
    <font>
      <sz val="12"/>
      <name val="Times New Roman"/>
      <family val="1"/>
      <charset val="134"/>
    </font>
    <font>
      <b/>
      <sz val="8"/>
      <name val="Arial"/>
      <family val="2"/>
    </font>
    <font>
      <b/>
      <sz val="8"/>
      <name val="Arial"/>
      <family val="2"/>
      <charset val="134"/>
    </font>
    <font>
      <b/>
      <sz val="10"/>
      <name val="Arial"/>
      <family val="2"/>
      <charset val="134"/>
    </font>
    <font>
      <sz val="12"/>
      <name val="宋体"/>
      <charset val="134"/>
    </font>
    <font>
      <b/>
      <sz val="12"/>
      <name val="新細明體"/>
      <charset val="134"/>
    </font>
    <font>
      <b/>
      <sz val="14"/>
      <name val="Arial"/>
      <family val="2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11"/>
      <color indexed="8"/>
      <name val="Calibri"/>
      <family val="2"/>
      <charset val="134"/>
    </font>
    <font>
      <sz val="10"/>
      <name val="Times New Roman"/>
      <family val="1"/>
      <charset val="134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name val="Khmer MEF1"/>
    </font>
    <font>
      <sz val="11"/>
      <color rgb="FFFF0000"/>
      <name val="Khmer MEF1"/>
    </font>
    <font>
      <sz val="11"/>
      <color theme="1"/>
      <name val="Khmer OS Siemreap"/>
    </font>
    <font>
      <sz val="11"/>
      <name val="Khmer OS Siemreap"/>
    </font>
    <font>
      <sz val="11"/>
      <color rgb="FFFF0000"/>
      <name val="Khmer OS Siemreap"/>
    </font>
    <font>
      <b/>
      <sz val="11"/>
      <name val="Khmer OS Siemreap"/>
    </font>
    <font>
      <b/>
      <sz val="8"/>
      <name val="Khmer OS Siemreap"/>
    </font>
    <font>
      <b/>
      <sz val="11"/>
      <color theme="1"/>
      <name val="Khmer OS Siemreap"/>
    </font>
    <font>
      <sz val="10"/>
      <color theme="1"/>
      <name val="Khmer OS Siemreap"/>
    </font>
    <font>
      <sz val="10"/>
      <name val="Khmer OS Siemreap"/>
    </font>
    <font>
      <b/>
      <sz val="12"/>
      <name val="Khmer OS Siemreap"/>
    </font>
    <font>
      <sz val="22"/>
      <name val="Khmer OS Siemreap"/>
    </font>
    <font>
      <sz val="9"/>
      <name val="Khmer OS Siemreap"/>
    </font>
    <font>
      <sz val="11"/>
      <color indexed="8"/>
      <name val="Khmer OS Siemreap"/>
    </font>
    <font>
      <sz val="10"/>
      <color rgb="FFFF0000"/>
      <name val="Khmer OS Siemreap"/>
    </font>
    <font>
      <sz val="11"/>
      <name val="Limon S1"/>
    </font>
    <font>
      <b/>
      <sz val="10"/>
      <name val="Khmer OS Siemreap"/>
    </font>
    <font>
      <sz val="12"/>
      <name val="Khmer OS Siemreap"/>
    </font>
    <font>
      <sz val="12"/>
      <color rgb="FFFF0000"/>
      <name val="Khmer OS Siemreap"/>
    </font>
    <font>
      <sz val="12"/>
      <color theme="1"/>
      <name val="Khmer OS Siemreap"/>
    </font>
    <font>
      <sz val="8"/>
      <name val="Khmer OS Siemreap"/>
    </font>
    <font>
      <sz val="7"/>
      <name val="Khmer OS Siemreap"/>
    </font>
    <font>
      <sz val="8"/>
      <color rgb="FFFF0000"/>
      <name val="Khmer OS Siemreap"/>
    </font>
    <font>
      <sz val="9"/>
      <color rgb="FF000000"/>
      <name val="Khmer OS Siemreap"/>
    </font>
    <font>
      <b/>
      <sz val="9"/>
      <color rgb="FF000000"/>
      <name val="Khmer OS Siemreap"/>
    </font>
    <font>
      <b/>
      <sz val="9"/>
      <name val="Khmer OS Siemreap"/>
    </font>
    <font>
      <b/>
      <sz val="9"/>
      <color rgb="FF2F303A"/>
      <name val="Arial"/>
      <family val="2"/>
    </font>
    <font>
      <b/>
      <sz val="12"/>
      <color theme="1"/>
      <name val="Khmer OS Siemreap"/>
    </font>
    <font>
      <sz val="9"/>
      <color theme="1"/>
      <name val="Khmer OS Siemreap"/>
    </font>
    <font>
      <sz val="10"/>
      <name val="Arial"/>
      <family val="2"/>
    </font>
    <font>
      <sz val="9"/>
      <color rgb="FF2F303A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3" tint="0.79998168889431442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33">
    <xf numFmtId="0" fontId="0" fillId="0" borderId="0">
      <alignment vertical="top"/>
    </xf>
    <xf numFmtId="43" fontId="5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1" fillId="0" borderId="0">
      <alignment vertical="top"/>
    </xf>
    <xf numFmtId="0" fontId="11" fillId="0" borderId="0"/>
    <xf numFmtId="0" fontId="11" fillId="0" borderId="0"/>
    <xf numFmtId="0" fontId="17" fillId="0" borderId="0">
      <alignment vertical="top"/>
    </xf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1" fillId="0" borderId="0"/>
    <xf numFmtId="167" fontId="66" fillId="0" borderId="0" applyFont="0" applyFill="0" applyBorder="0" applyAlignment="0" applyProtection="0">
      <alignment vertical="center"/>
    </xf>
    <xf numFmtId="0" fontId="71" fillId="0" borderId="0">
      <alignment vertical="center"/>
    </xf>
    <xf numFmtId="169" fontId="66" fillId="0" borderId="0" applyFont="0" applyFill="0" applyBorder="0" applyAlignment="0" applyProtection="0">
      <alignment vertical="center"/>
    </xf>
    <xf numFmtId="169" fontId="66" fillId="0" borderId="0" applyFont="0" applyFill="0" applyBorder="0" applyAlignment="0" applyProtection="0">
      <alignment vertical="center"/>
    </xf>
    <xf numFmtId="167" fontId="66" fillId="0" borderId="0" applyFont="0" applyFill="0" applyBorder="0" applyAlignment="0" applyProtection="0">
      <alignment vertical="center"/>
    </xf>
    <xf numFmtId="167" fontId="66" fillId="0" borderId="0" applyFont="0" applyFill="0" applyBorder="0" applyAlignment="0" applyProtection="0">
      <alignment vertical="center"/>
    </xf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73" fillId="0" borderId="0" applyFont="0" applyFill="0" applyBorder="0" applyAlignment="0" applyProtection="0"/>
    <xf numFmtId="43" fontId="74" fillId="0" borderId="0" applyFont="0" applyFill="0" applyBorder="0" applyAlignment="0" applyProtection="0"/>
    <xf numFmtId="0" fontId="5" fillId="0" borderId="0"/>
    <xf numFmtId="0" fontId="73" fillId="0" borderId="0"/>
    <xf numFmtId="0" fontId="5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3" fillId="0" borderId="0"/>
    <xf numFmtId="0" fontId="2" fillId="0" borderId="0"/>
    <xf numFmtId="9" fontId="104" fillId="0" borderId="0" applyFont="0" applyFill="0" applyBorder="0" applyAlignment="0" applyProtection="0"/>
    <xf numFmtId="0" fontId="1" fillId="0" borderId="0"/>
  </cellStyleXfs>
  <cellXfs count="614">
    <xf numFmtId="0" fontId="0" fillId="0" borderId="0" xfId="0" applyAlignment="1"/>
    <xf numFmtId="0" fontId="6" fillId="0" borderId="0" xfId="0" applyFont="1" applyAlignment="1"/>
    <xf numFmtId="0" fontId="14" fillId="0" borderId="0" xfId="0" applyFont="1" applyAlignment="1"/>
    <xf numFmtId="0" fontId="31" fillId="0" borderId="0" xfId="0" applyFont="1" applyAlignment="1"/>
    <xf numFmtId="0" fontId="32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shrinkToFit="1"/>
    </xf>
    <xf numFmtId="0" fontId="24" fillId="0" borderId="3" xfId="0" applyFont="1" applyBorder="1" applyAlignment="1">
      <alignment horizontal="center" vertical="center" shrinkToFit="1"/>
    </xf>
    <xf numFmtId="0" fontId="25" fillId="0" borderId="2" xfId="0" applyFont="1" applyBorder="1" applyAlignment="1">
      <alignment horizontal="center" vertical="center" shrinkToFit="1"/>
    </xf>
    <xf numFmtId="49" fontId="20" fillId="0" borderId="4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49" fontId="20" fillId="2" borderId="4" xfId="0" applyNumberFormat="1" applyFont="1" applyFill="1" applyBorder="1" applyAlignment="1">
      <alignment horizontal="center" vertical="center" wrapText="1"/>
    </xf>
    <xf numFmtId="15" fontId="20" fillId="0" borderId="4" xfId="0" applyNumberFormat="1" applyFont="1" applyBorder="1" applyAlignment="1">
      <alignment horizontal="center" vertical="center" wrapText="1"/>
    </xf>
    <xf numFmtId="44" fontId="21" fillId="4" borderId="4" xfId="3" applyFont="1" applyFill="1" applyBorder="1" applyAlignment="1">
      <alignment horizontal="right" vertical="center"/>
    </xf>
    <xf numFmtId="168" fontId="20" fillId="0" borderId="4" xfId="3" applyNumberFormat="1" applyFont="1" applyFill="1" applyBorder="1" applyAlignment="1">
      <alignment horizontal="right" vertical="top"/>
    </xf>
    <xf numFmtId="49" fontId="20" fillId="0" borderId="4" xfId="0" applyNumberFormat="1" applyFont="1" applyBorder="1" applyAlignment="1">
      <alignment horizontal="center" vertical="top" wrapText="1"/>
    </xf>
    <xf numFmtId="49" fontId="26" fillId="2" borderId="4" xfId="0" applyNumberFormat="1" applyFont="1" applyFill="1" applyBorder="1" applyAlignment="1">
      <alignment horizontal="center" vertical="top" wrapText="1"/>
    </xf>
    <xf numFmtId="15" fontId="26" fillId="0" borderId="4" xfId="0" applyNumberFormat="1" applyFont="1" applyBorder="1" applyAlignment="1">
      <alignment horizontal="center" vertical="top" wrapText="1"/>
    </xf>
    <xf numFmtId="49" fontId="20" fillId="0" borderId="4" xfId="4" applyNumberFormat="1" applyFont="1" applyBorder="1" applyAlignment="1">
      <alignment horizontal="center" vertical="center" wrapText="1"/>
    </xf>
    <xf numFmtId="49" fontId="18" fillId="0" borderId="4" xfId="4" applyNumberFormat="1" applyFont="1" applyBorder="1" applyAlignment="1">
      <alignment horizontal="center" vertical="center" wrapText="1"/>
    </xf>
    <xf numFmtId="165" fontId="20" fillId="0" borderId="4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wrapText="1"/>
    </xf>
    <xf numFmtId="49" fontId="18" fillId="0" borderId="4" xfId="0" applyNumberFormat="1" applyFont="1" applyBorder="1" applyAlignment="1">
      <alignment horizontal="center" wrapText="1"/>
    </xf>
    <xf numFmtId="49" fontId="18" fillId="0" borderId="4" xfId="0" applyNumberFormat="1" applyFont="1" applyBorder="1" applyAlignment="1">
      <alignment horizontal="center" vertical="center" wrapText="1"/>
    </xf>
    <xf numFmtId="168" fontId="20" fillId="3" borderId="4" xfId="3" applyNumberFormat="1" applyFont="1" applyFill="1" applyBorder="1" applyAlignment="1">
      <alignment horizontal="right" vertical="center"/>
    </xf>
    <xf numFmtId="168" fontId="20" fillId="5" borderId="4" xfId="3" applyNumberFormat="1" applyFont="1" applyFill="1" applyBorder="1" applyAlignment="1">
      <alignment horizontal="right" vertical="center"/>
    </xf>
    <xf numFmtId="168" fontId="20" fillId="5" borderId="4" xfId="3" applyNumberFormat="1" applyFont="1" applyFill="1" applyBorder="1" applyAlignment="1">
      <alignment horizontal="right" vertical="top"/>
    </xf>
    <xf numFmtId="49" fontId="18" fillId="0" borderId="10" xfId="0" applyNumberFormat="1" applyFont="1" applyBorder="1" applyAlignment="1">
      <alignment horizontal="center" vertical="center" wrapText="1"/>
    </xf>
    <xf numFmtId="165" fontId="20" fillId="0" borderId="10" xfId="0" applyNumberFormat="1" applyFont="1" applyBorder="1" applyAlignment="1">
      <alignment horizontal="center" vertical="center" wrapText="1"/>
    </xf>
    <xf numFmtId="168" fontId="20" fillId="5" borderId="10" xfId="3" applyNumberFormat="1" applyFont="1" applyFill="1" applyBorder="1" applyAlignment="1">
      <alignment horizontal="right" vertical="center"/>
    </xf>
    <xf numFmtId="0" fontId="19" fillId="0" borderId="10" xfId="0" applyFont="1" applyBorder="1" applyAlignment="1">
      <alignment horizontal="center" vertical="center" shrinkToFit="1"/>
    </xf>
    <xf numFmtId="0" fontId="19" fillId="0" borderId="4" xfId="0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/>
    </xf>
    <xf numFmtId="165" fontId="8" fillId="4" borderId="4" xfId="0" applyNumberFormat="1" applyFont="1" applyFill="1" applyBorder="1" applyAlignment="1">
      <alignment horizontal="center" vertical="center"/>
    </xf>
    <xf numFmtId="166" fontId="8" fillId="4" borderId="4" xfId="0" applyNumberFormat="1" applyFont="1" applyFill="1" applyBorder="1" applyAlignment="1">
      <alignment horizontal="left" vertical="center"/>
    </xf>
    <xf numFmtId="166" fontId="8" fillId="4" borderId="4" xfId="0" applyNumberFormat="1" applyFont="1" applyFill="1" applyBorder="1" applyAlignment="1">
      <alignment horizontal="center" vertical="center"/>
    </xf>
    <xf numFmtId="49" fontId="20" fillId="5" borderId="4" xfId="0" applyNumberFormat="1" applyFont="1" applyFill="1" applyBorder="1" applyAlignment="1">
      <alignment horizontal="center" vertical="center" wrapText="1"/>
    </xf>
    <xf numFmtId="49" fontId="35" fillId="0" borderId="4" xfId="0" applyNumberFormat="1" applyFont="1" applyBorder="1" applyAlignment="1">
      <alignment horizontal="center" vertical="center" wrapText="1"/>
    </xf>
    <xf numFmtId="49" fontId="20" fillId="2" borderId="4" xfId="0" applyNumberFormat="1" applyFont="1" applyFill="1" applyBorder="1" applyAlignment="1">
      <alignment horizontal="center" vertical="top" wrapText="1"/>
    </xf>
    <xf numFmtId="49" fontId="35" fillId="0" borderId="4" xfId="0" applyNumberFormat="1" applyFont="1" applyBorder="1" applyAlignment="1">
      <alignment horizontal="center" vertical="top" wrapText="1"/>
    </xf>
    <xf numFmtId="49" fontId="36" fillId="0" borderId="4" xfId="4" applyNumberFormat="1" applyFont="1" applyBorder="1" applyAlignment="1">
      <alignment horizontal="center" vertical="center" wrapText="1"/>
    </xf>
    <xf numFmtId="49" fontId="36" fillId="0" borderId="4" xfId="0" applyNumberFormat="1" applyFont="1" applyBorder="1" applyAlignment="1">
      <alignment horizontal="center" vertical="center" wrapText="1"/>
    </xf>
    <xf numFmtId="168" fontId="20" fillId="6" borderId="4" xfId="3" applyNumberFormat="1" applyFont="1" applyFill="1" applyBorder="1" applyAlignment="1">
      <alignment horizontal="right" vertical="center"/>
    </xf>
    <xf numFmtId="168" fontId="20" fillId="6" borderId="4" xfId="3" applyNumberFormat="1" applyFont="1" applyFill="1" applyBorder="1" applyAlignment="1">
      <alignment horizontal="right" vertical="top"/>
    </xf>
    <xf numFmtId="168" fontId="20" fillId="6" borderId="4" xfId="3" applyNumberFormat="1" applyFont="1" applyFill="1" applyBorder="1" applyAlignment="1">
      <alignment horizontal="center" vertical="center"/>
    </xf>
    <xf numFmtId="15" fontId="35" fillId="0" borderId="4" xfId="0" applyNumberFormat="1" applyFont="1" applyBorder="1" applyAlignment="1">
      <alignment horizontal="center" vertical="center" wrapText="1"/>
    </xf>
    <xf numFmtId="49" fontId="20" fillId="3" borderId="4" xfId="0" applyNumberFormat="1" applyFont="1" applyFill="1" applyBorder="1" applyAlignment="1">
      <alignment horizontal="center" vertical="top" wrapText="1"/>
    </xf>
    <xf numFmtId="15" fontId="20" fillId="0" borderId="4" xfId="0" applyNumberFormat="1" applyFont="1" applyBorder="1" applyAlignment="1">
      <alignment horizontal="center" vertical="top" wrapText="1"/>
    </xf>
    <xf numFmtId="15" fontId="35" fillId="0" borderId="4" xfId="0" applyNumberFormat="1" applyFont="1" applyBorder="1" applyAlignment="1">
      <alignment horizontal="center" vertical="top" wrapText="1"/>
    </xf>
    <xf numFmtId="0" fontId="19" fillId="3" borderId="2" xfId="0" applyFont="1" applyFill="1" applyBorder="1" applyAlignment="1">
      <alignment horizontal="center" vertical="center" shrinkToFit="1"/>
    </xf>
    <xf numFmtId="164" fontId="18" fillId="0" borderId="10" xfId="1" applyNumberFormat="1" applyFont="1" applyFill="1" applyBorder="1" applyAlignment="1">
      <alignment horizontal="center" vertical="center" shrinkToFit="1"/>
    </xf>
    <xf numFmtId="168" fontId="20" fillId="7" borderId="4" xfId="3" applyNumberFormat="1" applyFont="1" applyFill="1" applyBorder="1" applyAlignment="1">
      <alignment horizontal="right" vertical="center"/>
    </xf>
    <xf numFmtId="0" fontId="20" fillId="7" borderId="4" xfId="0" applyFont="1" applyFill="1" applyBorder="1" applyAlignment="1">
      <alignment horizontal="center" vertical="center" wrapText="1"/>
    </xf>
    <xf numFmtId="49" fontId="20" fillId="7" borderId="4" xfId="0" applyNumberFormat="1" applyFont="1" applyFill="1" applyBorder="1" applyAlignment="1">
      <alignment horizontal="center" vertical="center" wrapText="1"/>
    </xf>
    <xf numFmtId="167" fontId="12" fillId="7" borderId="4" xfId="0" applyNumberFormat="1" applyFont="1" applyFill="1" applyBorder="1" applyAlignment="1">
      <alignment horizontal="center" vertical="center"/>
    </xf>
    <xf numFmtId="164" fontId="12" fillId="7" borderId="4" xfId="1" applyNumberFormat="1" applyFont="1" applyFill="1" applyBorder="1" applyAlignment="1">
      <alignment horizontal="center" vertical="center"/>
    </xf>
    <xf numFmtId="164" fontId="18" fillId="7" borderId="10" xfId="1" applyNumberFormat="1" applyFont="1" applyFill="1" applyBorder="1" applyAlignment="1">
      <alignment horizontal="center" vertical="center" shrinkToFit="1"/>
    </xf>
    <xf numFmtId="168" fontId="20" fillId="7" borderId="4" xfId="3" applyNumberFormat="1" applyFont="1" applyFill="1" applyBorder="1" applyAlignment="1">
      <alignment horizontal="right" vertical="top"/>
    </xf>
    <xf numFmtId="49" fontId="26" fillId="7" borderId="4" xfId="0" applyNumberFormat="1" applyFont="1" applyFill="1" applyBorder="1" applyAlignment="1">
      <alignment horizontal="center" vertical="top" wrapText="1"/>
    </xf>
    <xf numFmtId="0" fontId="11" fillId="3" borderId="10" xfId="0" applyFont="1" applyFill="1" applyBorder="1" applyAlignment="1">
      <alignment horizontal="center" vertical="center"/>
    </xf>
    <xf numFmtId="164" fontId="27" fillId="7" borderId="4" xfId="1" applyNumberFormat="1" applyFont="1" applyFill="1" applyBorder="1" applyAlignment="1">
      <alignment horizontal="center" vertical="center"/>
    </xf>
    <xf numFmtId="49" fontId="20" fillId="7" borderId="4" xfId="0" applyNumberFormat="1" applyFont="1" applyFill="1" applyBorder="1" applyAlignment="1">
      <alignment horizontal="center" vertical="top" wrapText="1"/>
    </xf>
    <xf numFmtId="15" fontId="35" fillId="3" borderId="4" xfId="0" applyNumberFormat="1" applyFont="1" applyFill="1" applyBorder="1" applyAlignment="1">
      <alignment horizontal="center" vertical="top" wrapText="1"/>
    </xf>
    <xf numFmtId="49" fontId="18" fillId="7" borderId="4" xfId="4" applyNumberFormat="1" applyFont="1" applyFill="1" applyBorder="1" applyAlignment="1">
      <alignment horizontal="center" vertical="center" wrapText="1"/>
    </xf>
    <xf numFmtId="49" fontId="18" fillId="7" borderId="4" xfId="0" applyNumberFormat="1" applyFont="1" applyFill="1" applyBorder="1" applyAlignment="1">
      <alignment horizontal="center" vertical="center" wrapText="1"/>
    </xf>
    <xf numFmtId="168" fontId="20" fillId="7" borderId="10" xfId="3" applyNumberFormat="1" applyFont="1" applyFill="1" applyBorder="1" applyAlignment="1">
      <alignment horizontal="right" vertical="center"/>
    </xf>
    <xf numFmtId="49" fontId="18" fillId="7" borderId="10" xfId="0" applyNumberFormat="1" applyFont="1" applyFill="1" applyBorder="1" applyAlignment="1">
      <alignment horizontal="center" vertical="center" wrapText="1"/>
    </xf>
    <xf numFmtId="44" fontId="21" fillId="7" borderId="4" xfId="3" applyFont="1" applyFill="1" applyBorder="1" applyAlignment="1">
      <alignment horizontal="right" vertical="center"/>
    </xf>
    <xf numFmtId="166" fontId="8" fillId="7" borderId="4" xfId="0" applyNumberFormat="1" applyFont="1" applyFill="1" applyBorder="1" applyAlignment="1">
      <alignment horizontal="left" vertical="center"/>
    </xf>
    <xf numFmtId="166" fontId="8" fillId="7" borderId="4" xfId="0" applyNumberFormat="1" applyFont="1" applyFill="1" applyBorder="1" applyAlignment="1">
      <alignment horizontal="center" vertical="center"/>
    </xf>
    <xf numFmtId="164" fontId="18" fillId="7" borderId="4" xfId="1" applyNumberFormat="1" applyFont="1" applyFill="1" applyBorder="1" applyAlignment="1">
      <alignment horizontal="center" vertical="center" shrinkToFit="1"/>
    </xf>
    <xf numFmtId="0" fontId="25" fillId="0" borderId="5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 shrinkToFit="1"/>
    </xf>
    <xf numFmtId="0" fontId="29" fillId="0" borderId="2" xfId="0" applyFont="1" applyBorder="1" applyAlignment="1">
      <alignment horizontal="center" vertical="center" shrinkToFit="1"/>
    </xf>
    <xf numFmtId="44" fontId="28" fillId="7" borderId="4" xfId="3" applyFont="1" applyFill="1" applyBorder="1" applyAlignment="1">
      <alignment horizontal="right" vertical="center"/>
    </xf>
    <xf numFmtId="0" fontId="37" fillId="0" borderId="2" xfId="0" applyFont="1" applyBorder="1" applyAlignment="1">
      <alignment horizontal="center" vertical="center" shrinkToFit="1"/>
    </xf>
    <xf numFmtId="0" fontId="29" fillId="0" borderId="4" xfId="0" applyFont="1" applyBorder="1" applyAlignment="1">
      <alignment horizontal="center" vertical="center" shrinkToFit="1"/>
    </xf>
    <xf numFmtId="3" fontId="11" fillId="0" borderId="4" xfId="0" applyNumberFormat="1" applyFont="1" applyBorder="1" applyAlignment="1"/>
    <xf numFmtId="0" fontId="25" fillId="0" borderId="4" xfId="0" applyFont="1" applyBorder="1" applyAlignment="1">
      <alignment horizontal="center" vertical="center"/>
    </xf>
    <xf numFmtId="164" fontId="11" fillId="0" borderId="4" xfId="1" applyNumberFormat="1" applyFont="1" applyBorder="1" applyAlignment="1"/>
    <xf numFmtId="164" fontId="11" fillId="7" borderId="4" xfId="1" applyNumberFormat="1" applyFont="1" applyFill="1" applyBorder="1" applyAlignment="1"/>
    <xf numFmtId="0" fontId="25" fillId="7" borderId="4" xfId="0" applyFont="1" applyFill="1" applyBorder="1" applyAlignment="1">
      <alignment horizontal="center" vertical="center"/>
    </xf>
    <xf numFmtId="0" fontId="39" fillId="0" borderId="0" xfId="8" applyFont="1" applyAlignment="1">
      <alignment horizontal="center"/>
    </xf>
    <xf numFmtId="0" fontId="40" fillId="0" borderId="0" xfId="8" applyFont="1"/>
    <xf numFmtId="0" fontId="40" fillId="0" borderId="0" xfId="8" applyFont="1" applyAlignment="1">
      <alignment vertical="center"/>
    </xf>
    <xf numFmtId="0" fontId="42" fillId="0" borderId="0" xfId="8" applyFont="1" applyAlignment="1">
      <alignment horizontal="left"/>
    </xf>
    <xf numFmtId="0" fontId="41" fillId="0" borderId="0" xfId="8" applyFont="1"/>
    <xf numFmtId="0" fontId="41" fillId="0" borderId="0" xfId="8" applyFont="1" applyAlignment="1">
      <alignment horizontal="center"/>
    </xf>
    <xf numFmtId="0" fontId="38" fillId="0" borderId="0" xfId="8" applyFont="1" applyAlignment="1">
      <alignment horizontal="center"/>
    </xf>
    <xf numFmtId="0" fontId="38" fillId="0" borderId="0" xfId="8" applyFont="1" applyAlignment="1">
      <alignment vertical="center"/>
    </xf>
    <xf numFmtId="0" fontId="43" fillId="0" borderId="0" xfId="8" applyFont="1" applyAlignment="1">
      <alignment horizontal="left" vertical="center"/>
    </xf>
    <xf numFmtId="0" fontId="8" fillId="0" borderId="0" xfId="8" applyFont="1" applyAlignment="1">
      <alignment vertical="center"/>
    </xf>
    <xf numFmtId="0" fontId="9" fillId="0" borderId="0" xfId="8" applyFont="1" applyAlignment="1">
      <alignment vertical="center"/>
    </xf>
    <xf numFmtId="0" fontId="44" fillId="0" borderId="0" xfId="8" applyFont="1" applyAlignment="1">
      <alignment vertical="center"/>
    </xf>
    <xf numFmtId="0" fontId="45" fillId="0" borderId="0" xfId="8" applyFont="1"/>
    <xf numFmtId="0" fontId="46" fillId="0" borderId="0" xfId="8" applyFont="1" applyAlignment="1">
      <alignment vertical="center"/>
    </xf>
    <xf numFmtId="0" fontId="13" fillId="0" borderId="0" xfId="8" applyFont="1" applyAlignment="1">
      <alignment vertical="center"/>
    </xf>
    <xf numFmtId="0" fontId="47" fillId="0" borderId="0" xfId="8" applyFont="1" applyAlignment="1">
      <alignment horizontal="center" vertical="center"/>
    </xf>
    <xf numFmtId="0" fontId="47" fillId="0" borderId="0" xfId="8" applyFont="1" applyAlignment="1">
      <alignment vertical="center"/>
    </xf>
    <xf numFmtId="0" fontId="48" fillId="0" borderId="0" xfId="8" applyFont="1" applyAlignment="1">
      <alignment vertical="center"/>
    </xf>
    <xf numFmtId="0" fontId="49" fillId="0" borderId="0" xfId="8" applyFont="1" applyAlignment="1">
      <alignment vertical="center"/>
    </xf>
    <xf numFmtId="0" fontId="13" fillId="0" borderId="0" xfId="8" applyFont="1" applyAlignment="1">
      <alignment horizontal="center"/>
    </xf>
    <xf numFmtId="0" fontId="45" fillId="0" borderId="0" xfId="8" applyFont="1" applyAlignment="1">
      <alignment horizontal="center"/>
    </xf>
    <xf numFmtId="0" fontId="45" fillId="0" borderId="0" xfId="8" applyFont="1" applyAlignment="1">
      <alignment vertical="center"/>
    </xf>
    <xf numFmtId="0" fontId="51" fillId="0" borderId="23" xfId="8" applyFont="1" applyBorder="1" applyAlignment="1">
      <alignment vertical="center"/>
    </xf>
    <xf numFmtId="0" fontId="52" fillId="0" borderId="24" xfId="8" applyFont="1" applyBorder="1" applyAlignment="1">
      <alignment horizontal="center"/>
    </xf>
    <xf numFmtId="0" fontId="52" fillId="0" borderId="10" xfId="8" applyFont="1" applyBorder="1" applyAlignment="1">
      <alignment horizontal="center"/>
    </xf>
    <xf numFmtId="43" fontId="52" fillId="0" borderId="4" xfId="9" applyFont="1" applyFill="1" applyBorder="1" applyAlignment="1"/>
    <xf numFmtId="0" fontId="52" fillId="0" borderId="15" xfId="8" applyFont="1" applyBorder="1" applyAlignment="1">
      <alignment horizontal="center"/>
    </xf>
    <xf numFmtId="170" fontId="52" fillId="0" borderId="25" xfId="8" applyNumberFormat="1" applyFont="1" applyBorder="1" applyAlignment="1">
      <alignment vertical="center"/>
    </xf>
    <xf numFmtId="0" fontId="52" fillId="0" borderId="5" xfId="8" applyFont="1" applyBorder="1" applyAlignment="1">
      <alignment vertical="center"/>
    </xf>
    <xf numFmtId="0" fontId="54" fillId="0" borderId="5" xfId="8" applyFont="1" applyBorder="1" applyAlignment="1">
      <alignment horizontal="center"/>
    </xf>
    <xf numFmtId="0" fontId="52" fillId="0" borderId="5" xfId="8" applyFont="1" applyBorder="1"/>
    <xf numFmtId="0" fontId="52" fillId="0" borderId="4" xfId="8" applyFont="1" applyBorder="1" applyAlignment="1">
      <alignment horizontal="center" vertical="center"/>
    </xf>
    <xf numFmtId="170" fontId="52" fillId="0" borderId="26" xfId="8" applyNumberFormat="1" applyFont="1" applyBorder="1" applyAlignment="1">
      <alignment vertical="center"/>
    </xf>
    <xf numFmtId="0" fontId="52" fillId="0" borderId="3" xfId="8" applyFont="1" applyBorder="1" applyAlignment="1">
      <alignment vertical="center"/>
    </xf>
    <xf numFmtId="0" fontId="55" fillId="0" borderId="3" xfId="8" applyFont="1" applyBorder="1" applyAlignment="1">
      <alignment horizontal="center"/>
    </xf>
    <xf numFmtId="0" fontId="52" fillId="0" borderId="3" xfId="8" applyFont="1" applyBorder="1"/>
    <xf numFmtId="0" fontId="52" fillId="0" borderId="5" xfId="8" applyFont="1" applyBorder="1" applyAlignment="1">
      <alignment horizontal="center" vertical="center"/>
    </xf>
    <xf numFmtId="0" fontId="52" fillId="0" borderId="4" xfId="8" applyFont="1" applyBorder="1" applyAlignment="1">
      <alignment horizontal="center"/>
    </xf>
    <xf numFmtId="0" fontId="56" fillId="0" borderId="16" xfId="8" applyFont="1" applyBorder="1" applyAlignment="1">
      <alignment horizontal="center"/>
    </xf>
    <xf numFmtId="165" fontId="30" fillId="0" borderId="13" xfId="8" applyNumberFormat="1" applyFont="1" applyBorder="1" applyAlignment="1">
      <alignment horizontal="center"/>
    </xf>
    <xf numFmtId="49" fontId="30" fillId="5" borderId="4" xfId="8" applyNumberFormat="1" applyFont="1" applyFill="1" applyBorder="1" applyAlignment="1">
      <alignment horizontal="center" vertical="center"/>
    </xf>
    <xf numFmtId="0" fontId="30" fillId="0" borderId="4" xfId="8" applyFont="1" applyBorder="1" applyAlignment="1">
      <alignment vertical="center"/>
    </xf>
    <xf numFmtId="0" fontId="30" fillId="0" borderId="4" xfId="8" applyFont="1" applyBorder="1" applyAlignment="1">
      <alignment horizontal="left" vertical="center"/>
    </xf>
    <xf numFmtId="0" fontId="57" fillId="0" borderId="14" xfId="8" applyFont="1" applyBorder="1" applyAlignment="1">
      <alignment horizontal="left" vertical="distributed"/>
    </xf>
    <xf numFmtId="164" fontId="30" fillId="0" borderId="14" xfId="9" applyNumberFormat="1" applyFont="1" applyFill="1" applyBorder="1" applyAlignment="1"/>
    <xf numFmtId="0" fontId="30" fillId="0" borderId="9" xfId="8" applyFont="1" applyBorder="1" applyAlignment="1">
      <alignment horizontal="center"/>
    </xf>
    <xf numFmtId="0" fontId="52" fillId="0" borderId="4" xfId="8" applyFont="1" applyBorder="1" applyAlignment="1">
      <alignment vertical="center"/>
    </xf>
    <xf numFmtId="164" fontId="30" fillId="0" borderId="4" xfId="9" applyNumberFormat="1" applyFont="1" applyFill="1" applyBorder="1" applyAlignment="1">
      <alignment horizontal="center" vertical="center"/>
    </xf>
    <xf numFmtId="164" fontId="30" fillId="0" borderId="27" xfId="9" applyNumberFormat="1" applyFont="1" applyFill="1" applyBorder="1" applyAlignment="1">
      <alignment horizontal="center" vertical="center"/>
    </xf>
    <xf numFmtId="49" fontId="30" fillId="0" borderId="4" xfId="8" applyNumberFormat="1" applyFont="1" applyBorder="1" applyAlignment="1">
      <alignment horizontal="center" vertical="center"/>
    </xf>
    <xf numFmtId="0" fontId="58" fillId="0" borderId="4" xfId="8" applyFont="1" applyBorder="1" applyAlignment="1">
      <alignment horizontal="center" vertical="center"/>
    </xf>
    <xf numFmtId="43" fontId="30" fillId="0" borderId="14" xfId="9" applyFont="1" applyFill="1" applyBorder="1" applyAlignment="1"/>
    <xf numFmtId="41" fontId="54" fillId="0" borderId="4" xfId="8" applyNumberFormat="1" applyFont="1" applyBorder="1" applyAlignment="1">
      <alignment horizontal="center" vertical="center"/>
    </xf>
    <xf numFmtId="164" fontId="54" fillId="0" borderId="4" xfId="9" applyNumberFormat="1" applyFont="1" applyFill="1" applyBorder="1" applyAlignment="1">
      <alignment horizontal="center" vertical="center"/>
    </xf>
    <xf numFmtId="43" fontId="55" fillId="0" borderId="4" xfId="9" applyFont="1" applyFill="1" applyBorder="1" applyAlignment="1">
      <alignment horizontal="center" vertical="center"/>
    </xf>
    <xf numFmtId="164" fontId="58" fillId="0" borderId="27" xfId="9" applyNumberFormat="1" applyFont="1" applyFill="1" applyBorder="1" applyAlignment="1">
      <alignment horizontal="center" vertical="center"/>
    </xf>
    <xf numFmtId="0" fontId="59" fillId="0" borderId="0" xfId="8" applyFont="1" applyAlignment="1">
      <alignment vertical="center"/>
    </xf>
    <xf numFmtId="0" fontId="58" fillId="0" borderId="29" xfId="8" applyFont="1" applyBorder="1" applyAlignment="1">
      <alignment horizontal="center" vertical="center"/>
    </xf>
    <xf numFmtId="164" fontId="58" fillId="0" borderId="30" xfId="9" applyNumberFormat="1" applyFont="1" applyFill="1" applyBorder="1" applyAlignment="1">
      <alignment vertical="center"/>
    </xf>
    <xf numFmtId="164" fontId="58" fillId="0" borderId="31" xfId="9" applyNumberFormat="1" applyFont="1" applyFill="1" applyBorder="1" applyAlignment="1">
      <alignment vertical="center"/>
    </xf>
    <xf numFmtId="43" fontId="54" fillId="0" borderId="32" xfId="9" applyFont="1" applyFill="1" applyBorder="1" applyAlignment="1">
      <alignment horizontal="center" vertical="center"/>
    </xf>
    <xf numFmtId="44" fontId="54" fillId="0" borderId="32" xfId="10" applyFont="1" applyFill="1" applyBorder="1" applyAlignment="1">
      <alignment horizontal="center" vertical="center"/>
    </xf>
    <xf numFmtId="44" fontId="55" fillId="0" borderId="32" xfId="10" applyFont="1" applyFill="1" applyBorder="1" applyAlignment="1">
      <alignment horizontal="center" vertical="center"/>
    </xf>
    <xf numFmtId="44" fontId="54" fillId="0" borderId="33" xfId="10" applyFont="1" applyFill="1" applyBorder="1" applyAlignment="1">
      <alignment horizontal="center" vertical="center"/>
    </xf>
    <xf numFmtId="170" fontId="55" fillId="0" borderId="0" xfId="8" applyNumberFormat="1" applyFont="1" applyAlignment="1">
      <alignment horizontal="center"/>
    </xf>
    <xf numFmtId="0" fontId="55" fillId="0" borderId="0" xfId="8" applyFont="1" applyAlignment="1">
      <alignment horizontal="center"/>
    </xf>
    <xf numFmtId="164" fontId="55" fillId="0" borderId="0" xfId="9" applyNumberFormat="1" applyFont="1" applyFill="1" applyAlignment="1">
      <alignment horizontal="center"/>
    </xf>
    <xf numFmtId="43" fontId="55" fillId="0" borderId="0" xfId="9" applyFont="1" applyFill="1" applyAlignment="1">
      <alignment horizontal="center"/>
    </xf>
    <xf numFmtId="0" fontId="60" fillId="0" borderId="0" xfId="8" applyFont="1" applyAlignment="1">
      <alignment horizontal="center"/>
    </xf>
    <xf numFmtId="170" fontId="55" fillId="0" borderId="0" xfId="8" applyNumberFormat="1" applyFont="1" applyAlignment="1">
      <alignment vertical="center"/>
    </xf>
    <xf numFmtId="0" fontId="55" fillId="0" borderId="0" xfId="8" applyFont="1" applyAlignment="1">
      <alignment vertical="center"/>
    </xf>
    <xf numFmtId="164" fontId="55" fillId="0" borderId="0" xfId="9" applyNumberFormat="1" applyFont="1" applyFill="1" applyAlignment="1"/>
    <xf numFmtId="0" fontId="62" fillId="0" borderId="0" xfId="8" applyFont="1" applyAlignment="1">
      <alignment vertical="center"/>
    </xf>
    <xf numFmtId="170" fontId="62" fillId="0" borderId="0" xfId="8" applyNumberFormat="1" applyFont="1" applyAlignment="1">
      <alignment vertical="center"/>
    </xf>
    <xf numFmtId="164" fontId="62" fillId="0" borderId="0" xfId="9" applyNumberFormat="1" applyFont="1" applyFill="1" applyAlignment="1"/>
    <xf numFmtId="164" fontId="42" fillId="0" borderId="0" xfId="9" applyNumberFormat="1" applyFont="1" applyFill="1" applyAlignment="1">
      <alignment vertical="center"/>
    </xf>
    <xf numFmtId="164" fontId="64" fillId="0" borderId="0" xfId="11" applyNumberFormat="1" applyFont="1"/>
    <xf numFmtId="0" fontId="65" fillId="0" borderId="0" xfId="11" applyFont="1"/>
    <xf numFmtId="172" fontId="67" fillId="0" borderId="0" xfId="12" applyNumberFormat="1" applyFont="1" applyFill="1">
      <alignment vertical="center"/>
    </xf>
    <xf numFmtId="164" fontId="62" fillId="0" borderId="0" xfId="8" applyNumberFormat="1" applyFont="1" applyAlignment="1">
      <alignment vertical="center"/>
    </xf>
    <xf numFmtId="0" fontId="65" fillId="0" borderId="0" xfId="11" applyFont="1" applyAlignment="1">
      <alignment horizontal="center"/>
    </xf>
    <xf numFmtId="43" fontId="0" fillId="0" borderId="0" xfId="9" applyFont="1" applyFill="1" applyAlignment="1">
      <alignment vertical="center"/>
    </xf>
    <xf numFmtId="0" fontId="4" fillId="0" borderId="0" xfId="8" applyAlignment="1">
      <alignment vertical="center"/>
    </xf>
    <xf numFmtId="164" fontId="0" fillId="0" borderId="0" xfId="9" applyNumberFormat="1" applyFont="1" applyFill="1" applyAlignment="1"/>
    <xf numFmtId="43" fontId="62" fillId="0" borderId="0" xfId="9" applyFont="1" applyFill="1" applyAlignment="1"/>
    <xf numFmtId="164" fontId="62" fillId="0" borderId="0" xfId="9" applyNumberFormat="1" applyFont="1" applyFill="1" applyBorder="1" applyAlignment="1"/>
    <xf numFmtId="43" fontId="62" fillId="0" borderId="0" xfId="8" applyNumberFormat="1" applyFont="1" applyAlignment="1">
      <alignment vertical="center"/>
    </xf>
    <xf numFmtId="0" fontId="68" fillId="0" borderId="0" xfId="11" applyFont="1"/>
    <xf numFmtId="0" fontId="69" fillId="0" borderId="0" xfId="11" applyFont="1"/>
    <xf numFmtId="0" fontId="70" fillId="0" borderId="0" xfId="11" applyFont="1"/>
    <xf numFmtId="43" fontId="59" fillId="0" borderId="0" xfId="9" applyFont="1" applyFill="1" applyBorder="1" applyAlignment="1">
      <alignment horizontal="right"/>
    </xf>
    <xf numFmtId="164" fontId="59" fillId="0" borderId="0" xfId="9" applyNumberFormat="1" applyFont="1" applyFill="1" applyBorder="1" applyAlignment="1"/>
    <xf numFmtId="43" fontId="59" fillId="0" borderId="0" xfId="9" applyFont="1" applyFill="1" applyAlignment="1"/>
    <xf numFmtId="164" fontId="59" fillId="0" borderId="0" xfId="9" applyNumberFormat="1" applyFont="1" applyFill="1" applyBorder="1" applyAlignment="1">
      <alignment horizontal="right"/>
    </xf>
    <xf numFmtId="3" fontId="13" fillId="0" borderId="0" xfId="9" applyNumberFormat="1" applyFont="1" applyFill="1" applyBorder="1" applyAlignment="1"/>
    <xf numFmtId="164" fontId="59" fillId="0" borderId="0" xfId="9" applyNumberFormat="1" applyFont="1" applyFill="1" applyBorder="1" applyAlignment="1">
      <alignment vertical="center"/>
    </xf>
    <xf numFmtId="164" fontId="59" fillId="0" borderId="0" xfId="9" applyNumberFormat="1" applyFont="1" applyFill="1" applyAlignment="1">
      <alignment horizontal="right"/>
    </xf>
    <xf numFmtId="164" fontId="59" fillId="0" borderId="0" xfId="9" applyNumberFormat="1" applyFont="1" applyFill="1" applyAlignment="1"/>
    <xf numFmtId="164" fontId="59" fillId="0" borderId="0" xfId="8" applyNumberFormat="1" applyFont="1" applyAlignment="1">
      <alignment vertical="center"/>
    </xf>
    <xf numFmtId="164" fontId="52" fillId="0" borderId="4" xfId="9" applyNumberFormat="1" applyFont="1" applyFill="1" applyBorder="1" applyAlignment="1"/>
    <xf numFmtId="164" fontId="52" fillId="0" borderId="3" xfId="9" applyNumberFormat="1" applyFont="1" applyFill="1" applyBorder="1" applyAlignment="1"/>
    <xf numFmtId="0" fontId="52" fillId="0" borderId="3" xfId="8" applyFont="1" applyBorder="1" applyAlignment="1">
      <alignment horizontal="center" vertical="center"/>
    </xf>
    <xf numFmtId="164" fontId="58" fillId="0" borderId="4" xfId="9" applyNumberFormat="1" applyFont="1" applyFill="1" applyBorder="1" applyAlignment="1">
      <alignment horizontal="center" vertical="center"/>
    </xf>
    <xf numFmtId="164" fontId="58" fillId="0" borderId="32" xfId="9" applyNumberFormat="1" applyFont="1" applyFill="1" applyBorder="1" applyAlignment="1">
      <alignment horizontal="center" vertical="center"/>
    </xf>
    <xf numFmtId="172" fontId="67" fillId="0" borderId="0" xfId="16" applyNumberFormat="1" applyFont="1" applyFill="1">
      <alignment vertical="center"/>
    </xf>
    <xf numFmtId="172" fontId="67" fillId="0" borderId="0" xfId="17" applyNumberFormat="1" applyFont="1" applyFill="1">
      <alignment vertical="center"/>
    </xf>
    <xf numFmtId="164" fontId="72" fillId="0" borderId="0" xfId="8" applyNumberFormat="1" applyFont="1" applyAlignment="1">
      <alignment horizontal="left" vertical="center"/>
    </xf>
    <xf numFmtId="164" fontId="59" fillId="0" borderId="0" xfId="1" applyNumberFormat="1" applyFont="1" applyFill="1" applyAlignment="1"/>
    <xf numFmtId="164" fontId="59" fillId="0" borderId="0" xfId="1" applyNumberFormat="1" applyFont="1" applyFill="1" applyBorder="1" applyAlignment="1">
      <alignment vertical="center"/>
    </xf>
    <xf numFmtId="164" fontId="59" fillId="0" borderId="0" xfId="1" applyNumberFormat="1" applyFont="1" applyFill="1" applyBorder="1" applyAlignment="1">
      <alignment horizontal="right"/>
    </xf>
    <xf numFmtId="164" fontId="59" fillId="0" borderId="34" xfId="1" applyNumberFormat="1" applyFont="1" applyFill="1" applyBorder="1" applyAlignment="1">
      <alignment horizontal="right"/>
    </xf>
    <xf numFmtId="0" fontId="33" fillId="0" borderId="0" xfId="0" applyFont="1" applyAlignment="1"/>
    <xf numFmtId="0" fontId="14" fillId="0" borderId="11" xfId="0" applyFont="1" applyBorder="1" applyAlignment="1"/>
    <xf numFmtId="0" fontId="5" fillId="0" borderId="0" xfId="0" applyFont="1" applyAlignment="1"/>
    <xf numFmtId="0" fontId="25" fillId="0" borderId="0" xfId="0" applyFont="1" applyAlignment="1"/>
    <xf numFmtId="0" fontId="0" fillId="5" borderId="0" xfId="0" applyFill="1" applyAlignment="1"/>
    <xf numFmtId="0" fontId="5" fillId="5" borderId="0" xfId="0" applyFont="1" applyFill="1" applyAlignment="1"/>
    <xf numFmtId="0" fontId="76" fillId="0" borderId="0" xfId="0" applyFont="1" applyAlignment="1"/>
    <xf numFmtId="176" fontId="76" fillId="0" borderId="0" xfId="3" applyNumberFormat="1" applyFont="1" applyBorder="1" applyAlignment="1"/>
    <xf numFmtId="0" fontId="33" fillId="10" borderId="0" xfId="0" applyFont="1" applyFill="1" applyAlignment="1"/>
    <xf numFmtId="0" fontId="25" fillId="0" borderId="11" xfId="0" applyFont="1" applyBorder="1" applyAlignment="1">
      <alignment horizontal="center" vertical="center"/>
    </xf>
    <xf numFmtId="0" fontId="75" fillId="0" borderId="0" xfId="0" applyFont="1" applyAlignment="1"/>
    <xf numFmtId="0" fontId="25" fillId="0" borderId="11" xfId="0" applyFont="1" applyBorder="1" applyAlignment="1"/>
    <xf numFmtId="0" fontId="25" fillId="0" borderId="0" xfId="0" applyFont="1" applyAlignment="1">
      <alignment horizontal="center" vertical="center"/>
    </xf>
    <xf numFmtId="0" fontId="77" fillId="0" borderId="0" xfId="26" applyFont="1" applyAlignment="1">
      <alignment vertical="center"/>
    </xf>
    <xf numFmtId="0" fontId="77" fillId="0" borderId="0" xfId="0" applyFont="1" applyAlignment="1">
      <alignment horizontal="right" vertical="center"/>
    </xf>
    <xf numFmtId="0" fontId="78" fillId="0" borderId="0" xfId="0" applyFont="1" applyAlignment="1">
      <alignment vertical="center"/>
    </xf>
    <xf numFmtId="0" fontId="78" fillId="0" borderId="0" xfId="0" applyFont="1">
      <alignment vertical="top"/>
    </xf>
    <xf numFmtId="0" fontId="78" fillId="0" borderId="0" xfId="0" applyFont="1" applyAlignment="1">
      <alignment horizontal="right" vertical="top"/>
    </xf>
    <xf numFmtId="0" fontId="79" fillId="0" borderId="0" xfId="0" applyFont="1" applyAlignment="1"/>
    <xf numFmtId="164" fontId="78" fillId="0" borderId="0" xfId="1" applyNumberFormat="1" applyFont="1" applyAlignment="1">
      <alignment horizontal="right" vertical="center" wrapText="1"/>
    </xf>
    <xf numFmtId="164" fontId="78" fillId="0" borderId="0" xfId="1" applyNumberFormat="1" applyFont="1" applyAlignment="1">
      <alignment horizontal="right" vertical="center"/>
    </xf>
    <xf numFmtId="0" fontId="78" fillId="0" borderId="0" xfId="0" applyFont="1" applyAlignment="1">
      <alignment horizontal="left" vertical="center"/>
    </xf>
    <xf numFmtId="175" fontId="78" fillId="0" borderId="0" xfId="0" applyNumberFormat="1" applyFont="1" applyAlignment="1">
      <alignment horizontal="left"/>
    </xf>
    <xf numFmtId="164" fontId="78" fillId="0" borderId="1" xfId="1" applyNumberFormat="1" applyFont="1" applyBorder="1" applyAlignment="1">
      <alignment horizontal="right" vertical="center"/>
    </xf>
    <xf numFmtId="173" fontId="78" fillId="0" borderId="0" xfId="1" applyNumberFormat="1" applyFont="1" applyAlignment="1"/>
    <xf numFmtId="0" fontId="80" fillId="8" borderId="4" xfId="26" applyFont="1" applyFill="1" applyBorder="1" applyAlignment="1">
      <alignment horizontal="center" vertical="center"/>
    </xf>
    <xf numFmtId="164" fontId="80" fillId="8" borderId="4" xfId="27" applyNumberFormat="1" applyFont="1" applyFill="1" applyBorder="1" applyAlignment="1">
      <alignment horizontal="center" vertical="center"/>
    </xf>
    <xf numFmtId="0" fontId="78" fillId="8" borderId="4" xfId="26" applyFont="1" applyFill="1" applyBorder="1" applyAlignment="1">
      <alignment horizontal="center" vertical="center"/>
    </xf>
    <xf numFmtId="0" fontId="78" fillId="8" borderId="4" xfId="26" applyFont="1" applyFill="1" applyBorder="1" applyAlignment="1">
      <alignment horizontal="center" vertical="center" wrapText="1"/>
    </xf>
    <xf numFmtId="164" fontId="78" fillId="8" borderId="4" xfId="27" applyNumberFormat="1" applyFont="1" applyFill="1" applyBorder="1" applyAlignment="1">
      <alignment horizontal="center" vertical="center"/>
    </xf>
    <xf numFmtId="0" fontId="77" fillId="8" borderId="4" xfId="26" applyFont="1" applyFill="1" applyBorder="1" applyAlignment="1">
      <alignment vertical="center"/>
    </xf>
    <xf numFmtId="0" fontId="77" fillId="0" borderId="4" xfId="26" applyFont="1" applyBorder="1" applyAlignment="1">
      <alignment horizontal="center" vertical="center"/>
    </xf>
    <xf numFmtId="0" fontId="77" fillId="0" borderId="4" xfId="26" applyFont="1" applyBorder="1" applyAlignment="1">
      <alignment vertical="center"/>
    </xf>
    <xf numFmtId="0" fontId="78" fillId="0" borderId="4" xfId="26" applyFont="1" applyBorder="1" applyAlignment="1">
      <alignment horizontal="left" vertical="center"/>
    </xf>
    <xf numFmtId="0" fontId="78" fillId="0" borderId="4" xfId="26" applyFont="1" applyBorder="1" applyAlignment="1">
      <alignment horizontal="center" vertical="center"/>
    </xf>
    <xf numFmtId="49" fontId="78" fillId="0" borderId="4" xfId="26" applyNumberFormat="1" applyFont="1" applyBorder="1" applyAlignment="1">
      <alignment horizontal="center" vertical="center" wrapText="1"/>
    </xf>
    <xf numFmtId="43" fontId="78" fillId="0" borderId="4" xfId="21" applyFont="1" applyFill="1" applyBorder="1" applyAlignment="1">
      <alignment vertical="center"/>
    </xf>
    <xf numFmtId="164" fontId="77" fillId="0" borderId="4" xfId="27" applyNumberFormat="1" applyFont="1" applyFill="1" applyBorder="1" applyAlignment="1">
      <alignment vertical="center"/>
    </xf>
    <xf numFmtId="3" fontId="77" fillId="0" borderId="0" xfId="26" applyNumberFormat="1" applyFont="1" applyAlignment="1">
      <alignment vertical="center"/>
    </xf>
    <xf numFmtId="167" fontId="78" fillId="0" borderId="4" xfId="23" applyNumberFormat="1" applyFont="1" applyBorder="1" applyAlignment="1">
      <alignment horizontal="center" vertical="center"/>
    </xf>
    <xf numFmtId="0" fontId="78" fillId="3" borderId="4" xfId="26" applyFont="1" applyFill="1" applyBorder="1" applyAlignment="1">
      <alignment horizontal="left" vertical="center"/>
    </xf>
    <xf numFmtId="0" fontId="78" fillId="3" borderId="4" xfId="26" applyFont="1" applyFill="1" applyBorder="1" applyAlignment="1">
      <alignment horizontal="center" vertical="center"/>
    </xf>
    <xf numFmtId="178" fontId="78" fillId="3" borderId="4" xfId="26" applyNumberFormat="1" applyFont="1" applyFill="1" applyBorder="1" applyAlignment="1">
      <alignment horizontal="center" vertical="center" wrapText="1"/>
    </xf>
    <xf numFmtId="177" fontId="78" fillId="3" borderId="4" xfId="26" applyNumberFormat="1" applyFont="1" applyFill="1" applyBorder="1" applyAlignment="1">
      <alignment horizontal="center" vertical="center"/>
    </xf>
    <xf numFmtId="164" fontId="78" fillId="0" borderId="4" xfId="27" applyNumberFormat="1" applyFont="1" applyBorder="1" applyAlignment="1">
      <alignment vertical="center"/>
    </xf>
    <xf numFmtId="164" fontId="77" fillId="0" borderId="4" xfId="27" applyNumberFormat="1" applyFont="1" applyBorder="1"/>
    <xf numFmtId="0" fontId="82" fillId="0" borderId="4" xfId="26" applyFont="1" applyBorder="1" applyAlignment="1">
      <alignment vertical="center"/>
    </xf>
    <xf numFmtId="173" fontId="82" fillId="0" borderId="4" xfId="27" applyNumberFormat="1" applyFont="1" applyBorder="1" applyAlignment="1">
      <alignment vertical="center"/>
    </xf>
    <xf numFmtId="0" fontId="77" fillId="0" borderId="0" xfId="26" applyFont="1" applyAlignment="1">
      <alignment horizontal="center" vertical="center"/>
    </xf>
    <xf numFmtId="164" fontId="78" fillId="0" borderId="0" xfId="27" applyNumberFormat="1" applyFont="1" applyAlignment="1">
      <alignment vertical="center"/>
    </xf>
    <xf numFmtId="0" fontId="83" fillId="0" borderId="0" xfId="26" applyFont="1" applyAlignment="1">
      <alignment vertical="center"/>
    </xf>
    <xf numFmtId="0" fontId="83" fillId="0" borderId="0" xfId="26" applyFont="1"/>
    <xf numFmtId="0" fontId="84" fillId="0" borderId="0" xfId="26" applyFont="1" applyAlignment="1">
      <alignment horizontal="center" vertical="center"/>
    </xf>
    <xf numFmtId="173" fontId="83" fillId="0" borderId="0" xfId="26" applyNumberFormat="1" applyFont="1"/>
    <xf numFmtId="0" fontId="83" fillId="0" borderId="0" xfId="26" applyFont="1" applyAlignment="1">
      <alignment horizontal="center" vertical="center"/>
    </xf>
    <xf numFmtId="43" fontId="84" fillId="0" borderId="0" xfId="27" applyFont="1" applyBorder="1"/>
    <xf numFmtId="0" fontId="78" fillId="0" borderId="0" xfId="26" applyFont="1" applyAlignment="1">
      <alignment horizontal="center" vertical="center"/>
    </xf>
    <xf numFmtId="0" fontId="77" fillId="0" borderId="0" xfId="26" applyFont="1" applyAlignment="1">
      <alignment horizontal="center" vertical="center" wrapText="1"/>
    </xf>
    <xf numFmtId="0" fontId="77" fillId="0" borderId="1" xfId="26" applyFont="1" applyBorder="1" applyAlignment="1">
      <alignment vertical="center"/>
    </xf>
    <xf numFmtId="0" fontId="77" fillId="0" borderId="0" xfId="26" applyFont="1"/>
    <xf numFmtId="0" fontId="77" fillId="0" borderId="4" xfId="26" applyFont="1" applyBorder="1" applyAlignment="1">
      <alignment vertical="center" wrapText="1"/>
    </xf>
    <xf numFmtId="173" fontId="77" fillId="0" borderId="4" xfId="27" applyNumberFormat="1" applyFont="1" applyBorder="1" applyAlignment="1">
      <alignment vertical="center"/>
    </xf>
    <xf numFmtId="0" fontId="77" fillId="0" borderId="0" xfId="26" applyFont="1" applyAlignment="1">
      <alignment vertical="center" wrapText="1"/>
    </xf>
    <xf numFmtId="0" fontId="77" fillId="4" borderId="4" xfId="26" applyFont="1" applyFill="1" applyBorder="1" applyAlignment="1">
      <alignment vertical="center"/>
    </xf>
    <xf numFmtId="173" fontId="77" fillId="4" borderId="4" xfId="27" applyNumberFormat="1" applyFont="1" applyFill="1" applyBorder="1" applyAlignment="1">
      <alignment vertical="center"/>
    </xf>
    <xf numFmtId="0" fontId="82" fillId="0" borderId="4" xfId="26" applyFont="1" applyBorder="1" applyAlignment="1">
      <alignment horizontal="center" vertical="center" wrapText="1"/>
    </xf>
    <xf numFmtId="173" fontId="77" fillId="0" borderId="4" xfId="27" applyNumberFormat="1" applyFont="1" applyFill="1" applyBorder="1" applyAlignment="1">
      <alignment vertical="center"/>
    </xf>
    <xf numFmtId="0" fontId="82" fillId="4" borderId="4" xfId="26" applyFont="1" applyFill="1" applyBorder="1" applyAlignment="1">
      <alignment vertical="center"/>
    </xf>
    <xf numFmtId="173" fontId="82" fillId="4" borderId="4" xfId="27" applyNumberFormat="1" applyFont="1" applyFill="1" applyBorder="1" applyAlignment="1">
      <alignment vertical="center"/>
    </xf>
    <xf numFmtId="164" fontId="82" fillId="0" borderId="4" xfId="26" applyNumberFormat="1" applyFont="1" applyBorder="1" applyAlignment="1">
      <alignment horizontal="center" vertical="center"/>
    </xf>
    <xf numFmtId="173" fontId="77" fillId="0" borderId="4" xfId="26" applyNumberFormat="1" applyFont="1" applyBorder="1" applyAlignment="1">
      <alignment vertical="center"/>
    </xf>
    <xf numFmtId="0" fontId="84" fillId="8" borderId="4" xfId="0" applyFont="1" applyFill="1" applyBorder="1" applyAlignment="1">
      <alignment horizontal="center" vertical="center"/>
    </xf>
    <xf numFmtId="0" fontId="84" fillId="0" borderId="4" xfId="0" applyFont="1" applyBorder="1" applyAlignment="1">
      <alignment horizontal="center" vertical="center"/>
    </xf>
    <xf numFmtId="43" fontId="84" fillId="0" borderId="4" xfId="21" applyFont="1" applyFill="1" applyBorder="1" applyAlignment="1">
      <alignment horizontal="left" vertical="center"/>
    </xf>
    <xf numFmtId="43" fontId="84" fillId="0" borderId="4" xfId="22" applyFont="1" applyFill="1" applyBorder="1" applyAlignment="1">
      <alignment horizontal="left" vertical="center"/>
    </xf>
    <xf numFmtId="165" fontId="84" fillId="0" borderId="4" xfId="23" applyNumberFormat="1" applyFont="1" applyBorder="1" applyAlignment="1">
      <alignment horizontal="center" vertical="center"/>
    </xf>
    <xf numFmtId="166" fontId="84" fillId="0" borderId="4" xfId="24" quotePrefix="1" applyNumberFormat="1" applyFont="1" applyBorder="1" applyAlignment="1">
      <alignment horizontal="right" vertical="center"/>
    </xf>
    <xf numFmtId="164" fontId="84" fillId="0" borderId="4" xfId="1" applyNumberFormat="1" applyFont="1" applyFill="1" applyBorder="1" applyAlignment="1">
      <alignment vertical="center"/>
    </xf>
    <xf numFmtId="164" fontId="84" fillId="0" borderId="4" xfId="1" applyNumberFormat="1" applyFont="1" applyBorder="1" applyAlignment="1">
      <alignment vertical="center"/>
    </xf>
    <xf numFmtId="0" fontId="84" fillId="0" borderId="4" xfId="0" applyFont="1" applyBorder="1" applyAlignment="1"/>
    <xf numFmtId="0" fontId="86" fillId="0" borderId="0" xfId="0" applyFont="1" applyAlignment="1"/>
    <xf numFmtId="176" fontId="79" fillId="0" borderId="0" xfId="3" applyNumberFormat="1" applyFont="1" applyBorder="1" applyAlignment="1"/>
    <xf numFmtId="43" fontId="87" fillId="0" borderId="4" xfId="21" applyFont="1" applyFill="1" applyBorder="1" applyAlignment="1">
      <alignment horizontal="left" vertical="center"/>
    </xf>
    <xf numFmtId="165" fontId="87" fillId="0" borderId="4" xfId="23" applyNumberFormat="1" applyFont="1" applyBorder="1" applyAlignment="1">
      <alignment horizontal="center" vertical="center"/>
    </xf>
    <xf numFmtId="43" fontId="87" fillId="0" borderId="4" xfId="1" applyFont="1" applyFill="1" applyBorder="1" applyAlignment="1">
      <alignment vertical="center"/>
    </xf>
    <xf numFmtId="0" fontId="78" fillId="8" borderId="4" xfId="0" applyFont="1" applyFill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43" fontId="78" fillId="0" borderId="4" xfId="21" applyFont="1" applyFill="1" applyBorder="1" applyAlignment="1">
      <alignment horizontal="left" vertical="center"/>
    </xf>
    <xf numFmtId="43" fontId="78" fillId="0" borderId="4" xfId="22" applyFont="1" applyFill="1" applyBorder="1" applyAlignment="1">
      <alignment horizontal="left" vertical="center"/>
    </xf>
    <xf numFmtId="165" fontId="88" fillId="0" borderId="4" xfId="0" applyNumberFormat="1" applyFont="1" applyBorder="1" applyAlignment="1">
      <alignment horizontal="center" vertical="center"/>
    </xf>
    <xf numFmtId="166" fontId="78" fillId="0" borderId="4" xfId="24" quotePrefix="1" applyNumberFormat="1" applyFont="1" applyBorder="1" applyAlignment="1">
      <alignment horizontal="right" vertical="center"/>
    </xf>
    <xf numFmtId="165" fontId="78" fillId="0" borderId="4" xfId="23" applyNumberFormat="1" applyFont="1" applyBorder="1" applyAlignment="1">
      <alignment horizontal="center" vertical="center"/>
    </xf>
    <xf numFmtId="43" fontId="78" fillId="0" borderId="4" xfId="1" applyFont="1" applyFill="1" applyBorder="1" applyAlignment="1">
      <alignment vertical="center"/>
    </xf>
    <xf numFmtId="164" fontId="78" fillId="0" borderId="4" xfId="1" applyNumberFormat="1" applyFont="1" applyBorder="1" applyAlignment="1">
      <alignment vertical="center"/>
    </xf>
    <xf numFmtId="0" fontId="78" fillId="0" borderId="4" xfId="29" applyFont="1" applyBorder="1" applyAlignment="1">
      <alignment horizontal="left" vertical="center"/>
    </xf>
    <xf numFmtId="179" fontId="78" fillId="0" borderId="4" xfId="29" applyNumberFormat="1" applyFont="1" applyBorder="1" applyAlignment="1">
      <alignment horizontal="center" vertical="center"/>
    </xf>
    <xf numFmtId="165" fontId="78" fillId="0" borderId="4" xfId="29" applyNumberFormat="1" applyFont="1" applyBorder="1" applyAlignment="1">
      <alignment horizontal="center" vertical="center"/>
    </xf>
    <xf numFmtId="166" fontId="78" fillId="0" borderId="4" xfId="24" quotePrefix="1" applyNumberFormat="1" applyFont="1" applyBorder="1" applyAlignment="1">
      <alignment horizontal="center" vertical="center"/>
    </xf>
    <xf numFmtId="173" fontId="78" fillId="0" borderId="4" xfId="1" applyNumberFormat="1" applyFont="1" applyFill="1" applyBorder="1" applyAlignment="1">
      <alignment horizontal="center" vertical="center"/>
    </xf>
    <xf numFmtId="164" fontId="78" fillId="0" borderId="4" xfId="1" applyNumberFormat="1" applyFont="1" applyBorder="1" applyAlignment="1">
      <alignment horizontal="center" vertical="center"/>
    </xf>
    <xf numFmtId="164" fontId="78" fillId="4" borderId="4" xfId="1" applyNumberFormat="1" applyFont="1" applyFill="1" applyBorder="1" applyAlignment="1">
      <alignment vertical="center"/>
    </xf>
    <xf numFmtId="0" fontId="78" fillId="0" borderId="0" xfId="0" applyFont="1" applyAlignment="1"/>
    <xf numFmtId="0" fontId="84" fillId="0" borderId="0" xfId="0" applyFont="1" applyAlignment="1"/>
    <xf numFmtId="15" fontId="84" fillId="0" borderId="0" xfId="0" applyNumberFormat="1" applyFont="1" applyAlignment="1"/>
    <xf numFmtId="0" fontId="77" fillId="0" borderId="0" xfId="0" applyFont="1" applyAlignment="1">
      <alignment horizontal="left" vertical="center"/>
    </xf>
    <xf numFmtId="164" fontId="78" fillId="0" borderId="0" xfId="1" applyNumberFormat="1" applyFont="1" applyAlignment="1">
      <alignment horizontal="center" vertical="center" wrapText="1"/>
    </xf>
    <xf numFmtId="0" fontId="89" fillId="0" borderId="0" xfId="0" applyFont="1" applyAlignment="1"/>
    <xf numFmtId="164" fontId="78" fillId="0" borderId="1" xfId="1" applyNumberFormat="1" applyFont="1" applyBorder="1" applyAlignment="1">
      <alignment vertical="center"/>
    </xf>
    <xf numFmtId="43" fontId="78" fillId="0" borderId="4" xfId="21" applyFont="1" applyFill="1" applyBorder="1" applyAlignment="1">
      <alignment horizontal="left" vertical="center" wrapText="1"/>
    </xf>
    <xf numFmtId="164" fontId="78" fillId="0" borderId="4" xfId="1" applyNumberFormat="1" applyFont="1" applyFill="1" applyBorder="1" applyAlignment="1">
      <alignment vertical="center"/>
    </xf>
    <xf numFmtId="0" fontId="89" fillId="10" borderId="4" xfId="0" applyFont="1" applyFill="1" applyBorder="1" applyAlignment="1"/>
    <xf numFmtId="43" fontId="84" fillId="10" borderId="4" xfId="21" applyFont="1" applyFill="1" applyBorder="1" applyAlignment="1">
      <alignment horizontal="center" vertical="center" wrapText="1"/>
    </xf>
    <xf numFmtId="174" fontId="84" fillId="10" borderId="4" xfId="23" applyNumberFormat="1" applyFont="1" applyFill="1" applyBorder="1" applyAlignment="1">
      <alignment horizontal="center" vertical="center"/>
    </xf>
    <xf numFmtId="173" fontId="84" fillId="10" borderId="4" xfId="1" applyNumberFormat="1" applyFont="1" applyFill="1" applyBorder="1" applyAlignment="1"/>
    <xf numFmtId="176" fontId="78" fillId="0" borderId="0" xfId="3" applyNumberFormat="1" applyFont="1" applyBorder="1" applyAlignment="1">
      <alignment horizontal="center" vertical="center"/>
    </xf>
    <xf numFmtId="165" fontId="87" fillId="0" borderId="4" xfId="21" applyNumberFormat="1" applyFont="1" applyFill="1" applyBorder="1" applyAlignment="1">
      <alignment vertical="center"/>
    </xf>
    <xf numFmtId="0" fontId="87" fillId="0" borderId="4" xfId="1" applyNumberFormat="1" applyFont="1" applyFill="1" applyBorder="1" applyAlignment="1">
      <alignment vertical="center"/>
    </xf>
    <xf numFmtId="0" fontId="78" fillId="0" borderId="0" xfId="0" applyFont="1" applyAlignment="1">
      <alignment horizontal="center" vertical="center"/>
    </xf>
    <xf numFmtId="0" fontId="86" fillId="0" borderId="0" xfId="0" applyFont="1" applyAlignment="1">
      <alignment horizontal="right"/>
    </xf>
    <xf numFmtId="15" fontId="86" fillId="0" borderId="0" xfId="0" applyNumberFormat="1" applyFont="1" applyAlignment="1"/>
    <xf numFmtId="0" fontId="90" fillId="0" borderId="0" xfId="0" applyFont="1" applyAlignment="1"/>
    <xf numFmtId="3" fontId="77" fillId="0" borderId="0" xfId="30" applyNumberFormat="1" applyFont="1"/>
    <xf numFmtId="3" fontId="77" fillId="0" borderId="0" xfId="30" applyNumberFormat="1" applyFont="1" applyAlignment="1">
      <alignment horizontal="right"/>
    </xf>
    <xf numFmtId="0" fontId="77" fillId="0" borderId="0" xfId="30" applyFont="1"/>
    <xf numFmtId="0" fontId="77" fillId="0" borderId="0" xfId="30" applyFont="1" applyAlignment="1">
      <alignment horizontal="right"/>
    </xf>
    <xf numFmtId="173" fontId="80" fillId="4" borderId="4" xfId="1" applyNumberFormat="1" applyFont="1" applyFill="1" applyBorder="1" applyAlignment="1"/>
    <xf numFmtId="173" fontId="80" fillId="4" borderId="4" xfId="1" applyNumberFormat="1" applyFont="1" applyFill="1" applyBorder="1" applyAlignment="1">
      <alignment vertical="center"/>
    </xf>
    <xf numFmtId="173" fontId="91" fillId="4" borderId="4" xfId="1" applyNumberFormat="1" applyFont="1" applyFill="1" applyBorder="1" applyAlignment="1">
      <alignment vertical="center"/>
    </xf>
    <xf numFmtId="0" fontId="92" fillId="0" borderId="0" xfId="4" applyFont="1" applyAlignment="1">
      <alignment vertical="center"/>
    </xf>
    <xf numFmtId="164" fontId="92" fillId="0" borderId="0" xfId="1" applyNumberFormat="1" applyFont="1" applyBorder="1" applyAlignment="1">
      <alignment vertical="center"/>
    </xf>
    <xf numFmtId="0" fontId="93" fillId="0" borderId="0" xfId="0" applyFont="1" applyAlignment="1"/>
    <xf numFmtId="0" fontId="94" fillId="0" borderId="0" xfId="0" applyFont="1" applyAlignment="1">
      <alignment horizontal="left" vertical="center"/>
    </xf>
    <xf numFmtId="0" fontId="92" fillId="0" borderId="0" xfId="0" applyFont="1" applyAlignment="1">
      <alignment vertical="center"/>
    </xf>
    <xf numFmtId="0" fontId="92" fillId="0" borderId="0" xfId="0" applyFont="1">
      <alignment vertical="top"/>
    </xf>
    <xf numFmtId="0" fontId="92" fillId="0" borderId="0" xfId="0" applyFont="1" applyAlignment="1">
      <alignment horizontal="right" vertical="top"/>
    </xf>
    <xf numFmtId="164" fontId="92" fillId="0" borderId="0" xfId="1" applyNumberFormat="1" applyFont="1" applyAlignment="1">
      <alignment horizontal="center" vertical="center" wrapText="1"/>
    </xf>
    <xf numFmtId="164" fontId="92" fillId="0" borderId="0" xfId="1" applyNumberFormat="1" applyFont="1" applyAlignment="1">
      <alignment horizontal="right" vertical="center"/>
    </xf>
    <xf numFmtId="0" fontId="92" fillId="0" borderId="0" xfId="0" applyFont="1" applyAlignment="1">
      <alignment horizontal="left" vertical="center"/>
    </xf>
    <xf numFmtId="164" fontId="92" fillId="0" borderId="0" xfId="1" applyNumberFormat="1" applyFont="1" applyAlignment="1">
      <alignment vertical="top" wrapText="1"/>
    </xf>
    <xf numFmtId="175" fontId="92" fillId="0" borderId="0" xfId="0" applyNumberFormat="1" applyFont="1" applyAlignment="1">
      <alignment horizontal="left"/>
    </xf>
    <xf numFmtId="164" fontId="92" fillId="0" borderId="1" xfId="1" applyNumberFormat="1" applyFont="1" applyBorder="1" applyAlignment="1">
      <alignment vertical="center"/>
    </xf>
    <xf numFmtId="173" fontId="92" fillId="0" borderId="0" xfId="1" applyNumberFormat="1" applyFont="1" applyAlignment="1"/>
    <xf numFmtId="176" fontId="78" fillId="0" borderId="0" xfId="3" applyNumberFormat="1" applyFont="1" applyBorder="1" applyAlignment="1"/>
    <xf numFmtId="0" fontId="94" fillId="0" borderId="0" xfId="26" applyFont="1" applyAlignment="1">
      <alignment vertical="center"/>
    </xf>
    <xf numFmtId="0" fontId="94" fillId="0" borderId="0" xfId="0" applyFont="1" applyAlignment="1">
      <alignment horizontal="right" vertical="center"/>
    </xf>
    <xf numFmtId="164" fontId="92" fillId="0" borderId="0" xfId="1" applyNumberFormat="1" applyFont="1" applyAlignment="1">
      <alignment horizontal="right" vertical="center" wrapText="1"/>
    </xf>
    <xf numFmtId="164" fontId="92" fillId="0" borderId="1" xfId="1" applyNumberFormat="1" applyFont="1" applyBorder="1" applyAlignment="1">
      <alignment horizontal="right" vertical="center"/>
    </xf>
    <xf numFmtId="0" fontId="92" fillId="0" borderId="0" xfId="26" applyFont="1" applyAlignment="1">
      <alignment horizontal="center" vertical="center"/>
    </xf>
    <xf numFmtId="15" fontId="78" fillId="0" borderId="4" xfId="26" applyNumberFormat="1" applyFont="1" applyBorder="1" applyAlignment="1">
      <alignment horizontal="center" vertical="center"/>
    </xf>
    <xf numFmtId="15" fontId="77" fillId="0" borderId="0" xfId="26" applyNumberFormat="1" applyFont="1" applyAlignment="1">
      <alignment vertical="center"/>
    </xf>
    <xf numFmtId="15" fontId="83" fillId="0" borderId="0" xfId="26" applyNumberFormat="1" applyFont="1"/>
    <xf numFmtId="164" fontId="77" fillId="0" borderId="4" xfId="1" applyNumberFormat="1" applyFont="1" applyBorder="1" applyAlignment="1">
      <alignment vertical="center"/>
    </xf>
    <xf numFmtId="164" fontId="77" fillId="0" borderId="0" xfId="1" applyNumberFormat="1" applyFont="1" applyAlignment="1">
      <alignment vertical="center"/>
    </xf>
    <xf numFmtId="164" fontId="77" fillId="0" borderId="0" xfId="1" applyNumberFormat="1" applyFont="1"/>
    <xf numFmtId="164" fontId="83" fillId="0" borderId="0" xfId="1" applyNumberFormat="1" applyFont="1"/>
    <xf numFmtId="164" fontId="94" fillId="0" borderId="0" xfId="1" applyNumberFormat="1" applyFont="1" applyAlignment="1">
      <alignment vertical="center"/>
    </xf>
    <xf numFmtId="164" fontId="80" fillId="8" borderId="4" xfId="1" applyNumberFormat="1" applyFont="1" applyFill="1" applyBorder="1" applyAlignment="1">
      <alignment horizontal="center" vertical="center" wrapText="1"/>
    </xf>
    <xf numFmtId="173" fontId="77" fillId="0" borderId="4" xfId="26" applyNumberFormat="1" applyFont="1" applyBorder="1" applyAlignment="1">
      <alignment vertical="center" wrapText="1"/>
    </xf>
    <xf numFmtId="164" fontId="77" fillId="0" borderId="4" xfId="1" applyNumberFormat="1" applyFont="1" applyBorder="1" applyAlignment="1">
      <alignment horizontal="center" vertical="center"/>
    </xf>
    <xf numFmtId="3" fontId="84" fillId="0" borderId="55" xfId="0" applyNumberFormat="1" applyFont="1" applyBorder="1" applyAlignment="1">
      <alignment horizontal="right" vertical="center" wrapText="1" indent="1"/>
    </xf>
    <xf numFmtId="3" fontId="84" fillId="0" borderId="46" xfId="0" applyNumberFormat="1" applyFont="1" applyBorder="1" applyAlignment="1">
      <alignment horizontal="right" vertical="center" wrapText="1" indent="1"/>
    </xf>
    <xf numFmtId="3" fontId="9" fillId="11" borderId="56" xfId="0" applyNumberFormat="1" applyFont="1" applyFill="1" applyBorder="1" applyAlignment="1">
      <alignment horizontal="right" vertical="center" wrapText="1"/>
    </xf>
    <xf numFmtId="0" fontId="9" fillId="11" borderId="56" xfId="0" applyFont="1" applyFill="1" applyBorder="1" applyAlignment="1">
      <alignment horizontal="right" vertical="center" wrapText="1"/>
    </xf>
    <xf numFmtId="173" fontId="33" fillId="0" borderId="0" xfId="0" applyNumberFormat="1" applyFont="1" applyAlignment="1"/>
    <xf numFmtId="0" fontId="77" fillId="0" borderId="11" xfId="26" applyFont="1" applyBorder="1" applyAlignment="1">
      <alignment horizontal="center" vertical="center"/>
    </xf>
    <xf numFmtId="15" fontId="84" fillId="0" borderId="4" xfId="0" applyNumberFormat="1" applyFont="1" applyBorder="1" applyAlignment="1">
      <alignment horizontal="center" vertical="center"/>
    </xf>
    <xf numFmtId="0" fontId="78" fillId="0" borderId="0" xfId="0" applyFont="1" applyAlignment="1">
      <alignment horizontal="center"/>
    </xf>
    <xf numFmtId="0" fontId="84" fillId="0" borderId="4" xfId="22" applyNumberFormat="1" applyFont="1" applyFill="1" applyBorder="1" applyAlignment="1">
      <alignment horizontal="left" vertical="center"/>
    </xf>
    <xf numFmtId="164" fontId="77" fillId="0" borderId="4" xfId="26" applyNumberFormat="1" applyFont="1" applyBorder="1" applyAlignment="1">
      <alignment vertical="center"/>
    </xf>
    <xf numFmtId="1" fontId="78" fillId="0" borderId="4" xfId="26" applyNumberFormat="1" applyFont="1" applyBorder="1" applyAlignment="1">
      <alignment horizontal="center" vertical="center" wrapText="1"/>
    </xf>
    <xf numFmtId="3" fontId="83" fillId="0" borderId="0" xfId="26" applyNumberFormat="1" applyFont="1"/>
    <xf numFmtId="0" fontId="82" fillId="0" borderId="4" xfId="26" applyFont="1" applyBorder="1" applyAlignment="1">
      <alignment horizontal="center" vertical="center"/>
    </xf>
    <xf numFmtId="164" fontId="77" fillId="0" borderId="0" xfId="26" applyNumberFormat="1" applyFont="1" applyAlignment="1">
      <alignment horizontal="center" vertical="center"/>
    </xf>
    <xf numFmtId="164" fontId="84" fillId="0" borderId="4" xfId="1" applyNumberFormat="1" applyFont="1" applyBorder="1" applyAlignment="1">
      <alignment horizontal="center" vertical="center"/>
    </xf>
    <xf numFmtId="0" fontId="95" fillId="0" borderId="53" xfId="0" applyFont="1" applyBorder="1" applyAlignment="1">
      <alignment horizontal="center" vertical="center" wrapText="1"/>
    </xf>
    <xf numFmtId="15" fontId="95" fillId="0" borderId="52" xfId="0" applyNumberFormat="1" applyFont="1" applyBorder="1" applyAlignment="1">
      <alignment horizontal="center" vertical="center" wrapText="1"/>
    </xf>
    <xf numFmtId="0" fontId="95" fillId="0" borderId="52" xfId="0" applyFont="1" applyBorder="1" applyAlignment="1">
      <alignment horizontal="center" vertical="center" wrapText="1"/>
    </xf>
    <xf numFmtId="3" fontId="87" fillId="0" borderId="52" xfId="0" applyNumberFormat="1" applyFont="1" applyBorder="1" applyAlignment="1">
      <alignment horizontal="center" vertical="center" wrapText="1"/>
    </xf>
    <xf numFmtId="0" fontId="77" fillId="0" borderId="0" xfId="30" applyFont="1" applyAlignment="1">
      <alignment horizontal="center" vertical="center"/>
    </xf>
    <xf numFmtId="0" fontId="77" fillId="0" borderId="0" xfId="30" applyFont="1" applyAlignment="1">
      <alignment horizontal="center"/>
    </xf>
    <xf numFmtId="0" fontId="77" fillId="5" borderId="0" xfId="30" applyFont="1" applyFill="1" applyAlignment="1">
      <alignment horizontal="center"/>
    </xf>
    <xf numFmtId="0" fontId="77" fillId="5" borderId="0" xfId="30" applyFont="1" applyFill="1" applyAlignment="1">
      <alignment horizontal="right"/>
    </xf>
    <xf numFmtId="17" fontId="77" fillId="5" borderId="0" xfId="30" applyNumberFormat="1" applyFont="1" applyFill="1" applyAlignment="1">
      <alignment horizontal="right"/>
    </xf>
    <xf numFmtId="0" fontId="95" fillId="0" borderId="50" xfId="0" applyFont="1" applyBorder="1" applyAlignment="1">
      <alignment horizontal="center" vertical="center" wrapText="1"/>
    </xf>
    <xf numFmtId="0" fontId="96" fillId="0" borderId="51" xfId="0" applyFont="1" applyBorder="1" applyAlignment="1">
      <alignment horizontal="center" vertical="center" wrapText="1"/>
    </xf>
    <xf numFmtId="0" fontId="95" fillId="0" borderId="51" xfId="0" applyFont="1" applyBorder="1" applyAlignment="1">
      <alignment horizontal="center" vertical="center" wrapText="1"/>
    </xf>
    <xf numFmtId="0" fontId="87" fillId="0" borderId="50" xfId="0" applyFont="1" applyBorder="1" applyAlignment="1">
      <alignment horizontal="center" vertical="center"/>
    </xf>
    <xf numFmtId="0" fontId="87" fillId="0" borderId="51" xfId="0" applyFont="1" applyBorder="1" applyAlignment="1">
      <alignment horizontal="center" vertical="center"/>
    </xf>
    <xf numFmtId="0" fontId="81" fillId="0" borderId="50" xfId="0" applyFont="1" applyBorder="1" applyAlignment="1">
      <alignment horizontal="center" vertical="center"/>
    </xf>
    <xf numFmtId="0" fontId="81" fillId="0" borderId="51" xfId="0" applyFont="1" applyBorder="1" applyAlignment="1">
      <alignment horizontal="center" vertical="center"/>
    </xf>
    <xf numFmtId="0" fontId="95" fillId="0" borderId="53" xfId="0" applyFont="1" applyBorder="1" applyAlignment="1">
      <alignment vertical="center"/>
    </xf>
    <xf numFmtId="0" fontId="95" fillId="0" borderId="52" xfId="0" applyFont="1" applyBorder="1" applyAlignment="1">
      <alignment horizontal="center" vertical="center"/>
    </xf>
    <xf numFmtId="173" fontId="87" fillId="0" borderId="52" xfId="0" applyNumberFormat="1" applyFont="1" applyBorder="1" applyAlignment="1">
      <alignment horizontal="center" vertical="center"/>
    </xf>
    <xf numFmtId="0" fontId="97" fillId="0" borderId="52" xfId="0" applyFont="1" applyBorder="1" applyAlignment="1">
      <alignment horizontal="center" vertical="center"/>
    </xf>
    <xf numFmtId="0" fontId="95" fillId="0" borderId="52" xfId="1" applyNumberFormat="1" applyFont="1" applyBorder="1" applyAlignment="1">
      <alignment horizontal="center" vertical="center"/>
    </xf>
    <xf numFmtId="173" fontId="95" fillId="0" borderId="52" xfId="0" applyNumberFormat="1" applyFont="1" applyBorder="1" applyAlignment="1">
      <alignment horizontal="center" vertical="center"/>
    </xf>
    <xf numFmtId="0" fontId="98" fillId="0" borderId="36" xfId="0" applyFont="1" applyBorder="1" applyAlignment="1">
      <alignment horizontal="center" vertical="center"/>
    </xf>
    <xf numFmtId="0" fontId="98" fillId="0" borderId="37" xfId="0" applyFont="1" applyBorder="1" applyAlignment="1">
      <alignment horizontal="left" vertical="center"/>
    </xf>
    <xf numFmtId="173" fontId="98" fillId="0" borderId="38" xfId="0" applyNumberFormat="1" applyFont="1" applyBorder="1" applyAlignment="1">
      <alignment horizontal="right" vertical="center"/>
    </xf>
    <xf numFmtId="173" fontId="98" fillId="9" borderId="39" xfId="0" applyNumberFormat="1" applyFont="1" applyFill="1" applyBorder="1" applyAlignment="1">
      <alignment horizontal="right" vertical="center"/>
    </xf>
    <xf numFmtId="0" fontId="98" fillId="0" borderId="40" xfId="0" applyFont="1" applyBorder="1" applyAlignment="1">
      <alignment horizontal="left" vertical="center"/>
    </xf>
    <xf numFmtId="173" fontId="98" fillId="0" borderId="41" xfId="0" applyNumberFormat="1" applyFont="1" applyBorder="1" applyAlignment="1">
      <alignment horizontal="right" vertical="center"/>
    </xf>
    <xf numFmtId="173" fontId="98" fillId="9" borderId="41" xfId="0" applyNumberFormat="1" applyFont="1" applyFill="1" applyBorder="1" applyAlignment="1">
      <alignment horizontal="right" vertical="center"/>
    </xf>
    <xf numFmtId="173" fontId="98" fillId="9" borderId="42" xfId="0" applyNumberFormat="1" applyFont="1" applyFill="1" applyBorder="1" applyAlignment="1">
      <alignment horizontal="right" vertical="center"/>
    </xf>
    <xf numFmtId="173" fontId="98" fillId="0" borderId="41" xfId="1" applyNumberFormat="1" applyFont="1" applyBorder="1" applyAlignment="1">
      <alignment horizontal="right" vertical="center"/>
    </xf>
    <xf numFmtId="173" fontId="98" fillId="9" borderId="41" xfId="1" applyNumberFormat="1" applyFont="1" applyFill="1" applyBorder="1" applyAlignment="1">
      <alignment horizontal="right" vertical="center"/>
    </xf>
    <xf numFmtId="173" fontId="98" fillId="9" borderId="42" xfId="1" applyNumberFormat="1" applyFont="1" applyFill="1" applyBorder="1" applyAlignment="1">
      <alignment horizontal="right" vertical="center"/>
    </xf>
    <xf numFmtId="0" fontId="98" fillId="0" borderId="43" xfId="0" applyFont="1" applyBorder="1" applyAlignment="1">
      <alignment horizontal="left" vertical="center"/>
    </xf>
    <xf numFmtId="173" fontId="87" fillId="0" borderId="44" xfId="1" applyNumberFormat="1" applyFont="1" applyBorder="1" applyAlignment="1">
      <alignment horizontal="right" vertical="center"/>
    </xf>
    <xf numFmtId="173" fontId="98" fillId="9" borderId="44" xfId="1" applyNumberFormat="1" applyFont="1" applyFill="1" applyBorder="1" applyAlignment="1">
      <alignment horizontal="right" vertical="center"/>
    </xf>
    <xf numFmtId="173" fontId="98" fillId="9" borderId="45" xfId="1" applyNumberFormat="1" applyFont="1" applyFill="1" applyBorder="1" applyAlignment="1">
      <alignment horizontal="right" vertical="center"/>
    </xf>
    <xf numFmtId="0" fontId="98" fillId="0" borderId="46" xfId="0" applyFont="1" applyBorder="1" applyAlignment="1">
      <alignment horizontal="left" vertical="center"/>
    </xf>
    <xf numFmtId="173" fontId="87" fillId="0" borderId="41" xfId="1" applyNumberFormat="1" applyFont="1" applyBorder="1" applyAlignment="1">
      <alignment horizontal="right" vertical="center"/>
    </xf>
    <xf numFmtId="0" fontId="99" fillId="0" borderId="46" xfId="0" applyFont="1" applyBorder="1" applyAlignment="1">
      <alignment horizontal="left" vertical="center"/>
    </xf>
    <xf numFmtId="0" fontId="100" fillId="0" borderId="54" xfId="0" applyFont="1" applyBorder="1" applyAlignment="1">
      <alignment horizontal="center" vertical="center"/>
    </xf>
    <xf numFmtId="0" fontId="100" fillId="0" borderId="51" xfId="0" applyFont="1" applyBorder="1" applyAlignment="1">
      <alignment horizontal="center" vertical="center"/>
    </xf>
    <xf numFmtId="173" fontId="87" fillId="0" borderId="4" xfId="1" applyNumberFormat="1" applyFont="1" applyBorder="1" applyAlignment="1">
      <alignment horizontal="center" vertical="center"/>
    </xf>
    <xf numFmtId="0" fontId="95" fillId="0" borderId="52" xfId="0" applyFont="1" applyBorder="1" applyAlignment="1">
      <alignment vertical="center"/>
    </xf>
    <xf numFmtId="0" fontId="101" fillId="11" borderId="56" xfId="0" applyFont="1" applyFill="1" applyBorder="1" applyAlignment="1">
      <alignment horizontal="center"/>
    </xf>
    <xf numFmtId="43" fontId="101" fillId="11" borderId="56" xfId="1" applyFont="1" applyFill="1" applyBorder="1" applyAlignment="1">
      <alignment horizontal="center"/>
    </xf>
    <xf numFmtId="0" fontId="103" fillId="0" borderId="0" xfId="0" applyFont="1" applyAlignment="1"/>
    <xf numFmtId="15" fontId="103" fillId="0" borderId="0" xfId="0" applyNumberFormat="1" applyFont="1" applyAlignment="1"/>
    <xf numFmtId="43" fontId="103" fillId="0" borderId="0" xfId="1" applyFont="1"/>
    <xf numFmtId="15" fontId="103" fillId="5" borderId="0" xfId="0" applyNumberFormat="1" applyFont="1" applyFill="1" applyAlignment="1"/>
    <xf numFmtId="169" fontId="103" fillId="0" borderId="0" xfId="0" applyNumberFormat="1" applyFont="1" applyAlignment="1"/>
    <xf numFmtId="173" fontId="82" fillId="0" borderId="0" xfId="27" applyNumberFormat="1" applyFont="1" applyBorder="1" applyAlignment="1">
      <alignment vertical="center"/>
    </xf>
    <xf numFmtId="9" fontId="83" fillId="0" borderId="0" xfId="31" applyFont="1"/>
    <xf numFmtId="14" fontId="105" fillId="12" borderId="56" xfId="0" applyNumberFormat="1" applyFont="1" applyFill="1" applyBorder="1" applyAlignment="1">
      <alignment horizontal="left" vertical="top"/>
    </xf>
    <xf numFmtId="0" fontId="105" fillId="12" borderId="56" xfId="0" applyFont="1" applyFill="1" applyBorder="1" applyAlignment="1">
      <alignment horizontal="left" vertical="top"/>
    </xf>
    <xf numFmtId="0" fontId="105" fillId="12" borderId="56" xfId="0" applyFont="1" applyFill="1" applyBorder="1">
      <alignment vertical="top"/>
    </xf>
    <xf numFmtId="0" fontId="105" fillId="12" borderId="56" xfId="0" applyFont="1" applyFill="1" applyBorder="1" applyAlignment="1">
      <alignment vertical="center"/>
    </xf>
    <xf numFmtId="0" fontId="105" fillId="12" borderId="56" xfId="0" applyFont="1" applyFill="1" applyBorder="1" applyAlignment="1">
      <alignment horizontal="right" vertical="top"/>
    </xf>
    <xf numFmtId="0" fontId="105" fillId="12" borderId="56" xfId="0" applyFont="1" applyFill="1" applyBorder="1" applyAlignment="1">
      <alignment horizontal="center" vertical="top"/>
    </xf>
    <xf numFmtId="9" fontId="105" fillId="12" borderId="56" xfId="0" applyNumberFormat="1" applyFont="1" applyFill="1" applyBorder="1" applyAlignment="1">
      <alignment horizontal="center" vertical="top"/>
    </xf>
    <xf numFmtId="0" fontId="84" fillId="0" borderId="4" xfId="0" applyFont="1" applyBorder="1" applyAlignment="1">
      <alignment horizontal="left" vertical="center"/>
    </xf>
    <xf numFmtId="165" fontId="84" fillId="0" borderId="14" xfId="23" applyNumberFormat="1" applyFont="1" applyBorder="1" applyAlignment="1">
      <alignment horizontal="center" vertical="center"/>
    </xf>
    <xf numFmtId="164" fontId="84" fillId="0" borderId="14" xfId="1" applyNumberFormat="1" applyFont="1" applyFill="1" applyBorder="1" applyAlignment="1">
      <alignment vertical="center"/>
    </xf>
    <xf numFmtId="164" fontId="84" fillId="0" borderId="17" xfId="1" applyNumberFormat="1" applyFont="1" applyBorder="1" applyAlignment="1">
      <alignment vertical="center"/>
    </xf>
    <xf numFmtId="164" fontId="84" fillId="0" borderId="3" xfId="1" applyNumberFormat="1" applyFont="1" applyFill="1" applyBorder="1" applyAlignment="1">
      <alignment vertical="center"/>
    </xf>
    <xf numFmtId="0" fontId="5" fillId="0" borderId="17" xfId="0" applyFont="1" applyBorder="1" applyAlignment="1"/>
    <xf numFmtId="164" fontId="84" fillId="0" borderId="17" xfId="1" applyNumberFormat="1" applyFont="1" applyFill="1" applyBorder="1" applyAlignment="1">
      <alignment vertical="center"/>
    </xf>
    <xf numFmtId="164" fontId="91" fillId="4" borderId="4" xfId="1" applyNumberFormat="1" applyFont="1" applyFill="1" applyBorder="1" applyAlignment="1">
      <alignment horizontal="right" vertical="center"/>
    </xf>
    <xf numFmtId="164" fontId="91" fillId="4" borderId="4" xfId="1" applyNumberFormat="1" applyFont="1" applyFill="1" applyBorder="1" applyAlignment="1">
      <alignment vertical="center"/>
    </xf>
    <xf numFmtId="0" fontId="84" fillId="0" borderId="12" xfId="0" applyFont="1" applyBorder="1" applyAlignment="1">
      <alignment vertical="center"/>
    </xf>
    <xf numFmtId="0" fontId="91" fillId="4" borderId="4" xfId="0" applyFont="1" applyFill="1" applyBorder="1" applyAlignment="1">
      <alignment vertical="center"/>
    </xf>
    <xf numFmtId="0" fontId="84" fillId="0" borderId="9" xfId="0" applyFont="1" applyBorder="1" applyAlignment="1"/>
    <xf numFmtId="164" fontId="84" fillId="0" borderId="0" xfId="0" applyNumberFormat="1" applyFont="1" applyAlignment="1"/>
    <xf numFmtId="0" fontId="80" fillId="0" borderId="0" xfId="4" applyFont="1" applyAlignment="1">
      <alignment vertical="center"/>
    </xf>
    <xf numFmtId="0" fontId="84" fillId="5" borderId="0" xfId="0" applyFont="1" applyFill="1" applyAlignment="1"/>
    <xf numFmtId="0" fontId="25" fillId="13" borderId="0" xfId="0" applyFont="1" applyFill="1" applyAlignment="1"/>
    <xf numFmtId="0" fontId="84" fillId="13" borderId="0" xfId="0" applyFont="1" applyFill="1" applyAlignment="1"/>
    <xf numFmtId="0" fontId="25" fillId="13" borderId="4" xfId="0" applyFont="1" applyFill="1" applyBorder="1" applyAlignment="1"/>
    <xf numFmtId="0" fontId="84" fillId="13" borderId="4" xfId="0" applyFont="1" applyFill="1" applyBorder="1" applyAlignment="1"/>
    <xf numFmtId="15" fontId="84" fillId="13" borderId="0" xfId="0" applyNumberFormat="1" applyFont="1" applyFill="1" applyAlignment="1"/>
    <xf numFmtId="3" fontId="84" fillId="13" borderId="0" xfId="0" applyNumberFormat="1" applyFont="1" applyFill="1" applyAlignment="1"/>
    <xf numFmtId="180" fontId="84" fillId="13" borderId="0" xfId="0" applyNumberFormat="1" applyFont="1" applyFill="1" applyAlignment="1"/>
    <xf numFmtId="173" fontId="84" fillId="13" borderId="0" xfId="1" applyNumberFormat="1" applyFont="1" applyFill="1" applyAlignment="1"/>
    <xf numFmtId="0" fontId="84" fillId="13" borderId="0" xfId="0" quotePrefix="1" applyFont="1" applyFill="1" applyAlignment="1"/>
    <xf numFmtId="0" fontId="80" fillId="4" borderId="14" xfId="0" applyFont="1" applyFill="1" applyBorder="1" applyAlignment="1">
      <alignment horizontal="center" vertical="center"/>
    </xf>
    <xf numFmtId="0" fontId="80" fillId="4" borderId="17" xfId="0" applyFont="1" applyFill="1" applyBorder="1" applyAlignment="1">
      <alignment horizontal="center" vertical="center"/>
    </xf>
    <xf numFmtId="0" fontId="80" fillId="4" borderId="9" xfId="0" applyFont="1" applyFill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0" borderId="0" xfId="0" applyFont="1" applyAlignment="1">
      <alignment horizontal="center"/>
    </xf>
    <xf numFmtId="0" fontId="80" fillId="0" borderId="0" xfId="4" applyFont="1" applyAlignment="1">
      <alignment horizontal="center" vertical="center"/>
    </xf>
    <xf numFmtId="0" fontId="78" fillId="8" borderId="4" xfId="0" applyFont="1" applyFill="1" applyBorder="1" applyAlignment="1">
      <alignment horizontal="center" vertical="center"/>
    </xf>
    <xf numFmtId="0" fontId="78" fillId="8" borderId="10" xfId="0" applyFont="1" applyFill="1" applyBorder="1" applyAlignment="1">
      <alignment horizontal="center" vertical="center"/>
    </xf>
    <xf numFmtId="0" fontId="78" fillId="8" borderId="3" xfId="0" applyFont="1" applyFill="1" applyBorder="1" applyAlignment="1">
      <alignment horizontal="center" vertical="center"/>
    </xf>
    <xf numFmtId="0" fontId="78" fillId="8" borderId="14" xfId="0" applyFont="1" applyFill="1" applyBorder="1" applyAlignment="1">
      <alignment horizontal="center" vertical="center"/>
    </xf>
    <xf numFmtId="0" fontId="78" fillId="8" borderId="9" xfId="0" applyFont="1" applyFill="1" applyBorder="1" applyAlignment="1">
      <alignment horizontal="center" vertical="center"/>
    </xf>
    <xf numFmtId="0" fontId="91" fillId="10" borderId="14" xfId="0" applyFont="1" applyFill="1" applyBorder="1" applyAlignment="1">
      <alignment horizontal="left" vertical="center"/>
    </xf>
    <xf numFmtId="0" fontId="91" fillId="10" borderId="17" xfId="0" applyFont="1" applyFill="1" applyBorder="1" applyAlignment="1">
      <alignment horizontal="left" vertical="center"/>
    </xf>
    <xf numFmtId="0" fontId="91" fillId="10" borderId="9" xfId="0" applyFont="1" applyFill="1" applyBorder="1" applyAlignment="1">
      <alignment horizontal="left" vertical="center"/>
    </xf>
    <xf numFmtId="0" fontId="84" fillId="8" borderId="4" xfId="0" applyFont="1" applyFill="1" applyBorder="1" applyAlignment="1">
      <alignment horizontal="center" vertical="center"/>
    </xf>
    <xf numFmtId="0" fontId="84" fillId="8" borderId="4" xfId="0" applyFont="1" applyFill="1" applyBorder="1" applyAlignment="1">
      <alignment horizontal="center" vertical="center" wrapText="1"/>
    </xf>
    <xf numFmtId="0" fontId="84" fillId="8" borderId="14" xfId="0" applyFont="1" applyFill="1" applyBorder="1" applyAlignment="1">
      <alignment horizontal="center" vertical="center"/>
    </xf>
    <xf numFmtId="0" fontId="84" fillId="8" borderId="9" xfId="0" applyFont="1" applyFill="1" applyBorder="1" applyAlignment="1">
      <alignment horizontal="center" vertical="center"/>
    </xf>
    <xf numFmtId="0" fontId="84" fillId="8" borderId="10" xfId="0" applyFont="1" applyFill="1" applyBorder="1" applyAlignment="1">
      <alignment horizontal="center" vertical="center"/>
    </xf>
    <xf numFmtId="0" fontId="84" fillId="8" borderId="3" xfId="0" applyFont="1" applyFill="1" applyBorder="1" applyAlignment="1">
      <alignment horizontal="center" vertical="center"/>
    </xf>
    <xf numFmtId="0" fontId="84" fillId="0" borderId="12" xfId="0" applyFont="1" applyBorder="1" applyAlignment="1">
      <alignment horizontal="left" vertical="center" wrapText="1"/>
    </xf>
    <xf numFmtId="0" fontId="84" fillId="0" borderId="0" xfId="0" applyFont="1" applyAlignment="1">
      <alignment horizontal="left" vertical="center" wrapText="1"/>
    </xf>
    <xf numFmtId="0" fontId="91" fillId="4" borderId="14" xfId="0" applyFont="1" applyFill="1" applyBorder="1" applyAlignment="1">
      <alignment horizontal="left" vertical="center"/>
    </xf>
    <xf numFmtId="0" fontId="91" fillId="4" borderId="17" xfId="0" applyFont="1" applyFill="1" applyBorder="1" applyAlignment="1">
      <alignment horizontal="left" vertical="center"/>
    </xf>
    <xf numFmtId="0" fontId="91" fillId="4" borderId="9" xfId="0" applyFont="1" applyFill="1" applyBorder="1" applyAlignment="1">
      <alignment horizontal="left" vertical="center"/>
    </xf>
    <xf numFmtId="164" fontId="78" fillId="0" borderId="0" xfId="1" applyNumberFormat="1" applyFont="1" applyAlignment="1">
      <alignment horizontal="right" vertical="center"/>
    </xf>
    <xf numFmtId="173" fontId="78" fillId="0" borderId="1" xfId="1" applyNumberFormat="1" applyFont="1" applyBorder="1" applyAlignment="1">
      <alignment horizontal="right"/>
    </xf>
    <xf numFmtId="164" fontId="102" fillId="0" borderId="4" xfId="1" applyNumberFormat="1" applyFont="1" applyBorder="1" applyAlignment="1">
      <alignment horizontal="center" vertical="center"/>
    </xf>
    <xf numFmtId="0" fontId="94" fillId="0" borderId="4" xfId="26" applyFont="1" applyBorder="1" applyAlignment="1">
      <alignment horizontal="center" vertical="center"/>
    </xf>
    <xf numFmtId="0" fontId="77" fillId="0" borderId="0" xfId="26" applyFont="1" applyAlignment="1">
      <alignment horizontal="center" vertical="center"/>
    </xf>
    <xf numFmtId="0" fontId="77" fillId="0" borderId="0" xfId="26" applyFont="1" applyAlignment="1">
      <alignment horizontal="center" vertical="center" wrapText="1"/>
    </xf>
    <xf numFmtId="0" fontId="83" fillId="0" borderId="0" xfId="26" applyFont="1" applyAlignment="1">
      <alignment horizontal="center" vertical="center"/>
    </xf>
    <xf numFmtId="0" fontId="78" fillId="0" borderId="0" xfId="26" applyFont="1" applyAlignment="1">
      <alignment horizontal="center" vertical="center"/>
    </xf>
    <xf numFmtId="0" fontId="80" fillId="0" borderId="5" xfId="26" applyFont="1" applyBorder="1" applyAlignment="1">
      <alignment horizontal="center" vertical="center" wrapText="1"/>
    </xf>
    <xf numFmtId="0" fontId="80" fillId="8" borderId="5" xfId="26" applyFont="1" applyFill="1" applyBorder="1" applyAlignment="1">
      <alignment horizontal="center" vertical="center" wrapText="1"/>
    </xf>
    <xf numFmtId="0" fontId="80" fillId="8" borderId="10" xfId="26" applyFont="1" applyFill="1" applyBorder="1" applyAlignment="1">
      <alignment horizontal="center" vertical="center" wrapText="1"/>
    </xf>
    <xf numFmtId="15" fontId="101" fillId="11" borderId="58" xfId="0" applyNumberFormat="1" applyFont="1" applyFill="1" applyBorder="1" applyAlignment="1">
      <alignment horizontal="center"/>
    </xf>
    <xf numFmtId="15" fontId="101" fillId="11" borderId="57" xfId="0" applyNumberFormat="1" applyFont="1" applyFill="1" applyBorder="1" applyAlignment="1">
      <alignment horizontal="center"/>
    </xf>
    <xf numFmtId="43" fontId="101" fillId="11" borderId="58" xfId="1" applyFont="1" applyFill="1" applyBorder="1" applyAlignment="1">
      <alignment horizontal="center"/>
    </xf>
    <xf numFmtId="43" fontId="101" fillId="11" borderId="57" xfId="1" applyFont="1" applyFill="1" applyBorder="1" applyAlignment="1">
      <alignment horizontal="center"/>
    </xf>
    <xf numFmtId="0" fontId="81" fillId="8" borderId="10" xfId="26" applyFont="1" applyFill="1" applyBorder="1" applyAlignment="1">
      <alignment horizontal="center" vertical="center" wrapText="1"/>
    </xf>
    <xf numFmtId="0" fontId="81" fillId="8" borderId="3" xfId="26" applyFont="1" applyFill="1" applyBorder="1" applyAlignment="1">
      <alignment horizontal="center" vertical="center" wrapText="1"/>
    </xf>
    <xf numFmtId="0" fontId="101" fillId="11" borderId="58" xfId="0" applyFont="1" applyFill="1" applyBorder="1" applyAlignment="1">
      <alignment horizontal="center"/>
    </xf>
    <xf numFmtId="0" fontId="101" fillId="11" borderId="57" xfId="0" applyFont="1" applyFill="1" applyBorder="1" applyAlignment="1">
      <alignment horizontal="center"/>
    </xf>
    <xf numFmtId="0" fontId="101" fillId="11" borderId="59" xfId="0" applyFont="1" applyFill="1" applyBorder="1" applyAlignment="1">
      <alignment horizontal="center"/>
    </xf>
    <xf numFmtId="0" fontId="101" fillId="11" borderId="61" xfId="0" applyFont="1" applyFill="1" applyBorder="1" applyAlignment="1">
      <alignment horizontal="center"/>
    </xf>
    <xf numFmtId="0" fontId="101" fillId="11" borderId="60" xfId="0" applyFont="1" applyFill="1" applyBorder="1" applyAlignment="1">
      <alignment horizontal="center"/>
    </xf>
    <xf numFmtId="0" fontId="81" fillId="8" borderId="5" xfId="26" applyFont="1" applyFill="1" applyBorder="1" applyAlignment="1">
      <alignment horizontal="center" vertical="center" wrapText="1"/>
    </xf>
    <xf numFmtId="0" fontId="85" fillId="0" borderId="0" xfId="25" applyFont="1" applyAlignment="1">
      <alignment horizontal="center" vertical="center"/>
    </xf>
    <xf numFmtId="164" fontId="85" fillId="0" borderId="0" xfId="1" applyNumberFormat="1" applyFont="1" applyAlignment="1">
      <alignment horizontal="center" vertical="center"/>
    </xf>
    <xf numFmtId="0" fontId="80" fillId="8" borderId="10" xfId="26" applyFont="1" applyFill="1" applyBorder="1" applyAlignment="1">
      <alignment horizontal="center" vertical="center"/>
    </xf>
    <xf numFmtId="0" fontId="80" fillId="8" borderId="3" xfId="26" applyFont="1" applyFill="1" applyBorder="1" applyAlignment="1">
      <alignment horizontal="center" vertical="center"/>
    </xf>
    <xf numFmtId="0" fontId="80" fillId="8" borderId="3" xfId="26" applyFont="1" applyFill="1" applyBorder="1" applyAlignment="1">
      <alignment horizontal="center" vertical="center" wrapText="1"/>
    </xf>
    <xf numFmtId="0" fontId="80" fillId="8" borderId="14" xfId="26" applyFont="1" applyFill="1" applyBorder="1" applyAlignment="1">
      <alignment horizontal="center" vertical="center"/>
    </xf>
    <xf numFmtId="0" fontId="80" fillId="8" borderId="9" xfId="26" applyFont="1" applyFill="1" applyBorder="1" applyAlignment="1">
      <alignment horizontal="center" vertical="center"/>
    </xf>
    <xf numFmtId="173" fontId="92" fillId="0" borderId="1" xfId="1" applyNumberFormat="1" applyFont="1" applyBorder="1" applyAlignment="1">
      <alignment horizontal="center"/>
    </xf>
    <xf numFmtId="164" fontId="94" fillId="5" borderId="4" xfId="1" applyNumberFormat="1" applyFont="1" applyFill="1" applyBorder="1" applyAlignment="1">
      <alignment horizontal="center" vertical="center"/>
    </xf>
    <xf numFmtId="164" fontId="82" fillId="8" borderId="11" xfId="1" applyNumberFormat="1" applyFont="1" applyFill="1" applyBorder="1" applyAlignment="1">
      <alignment horizontal="center" vertical="center"/>
    </xf>
    <xf numFmtId="164" fontId="82" fillId="8" borderId="19" xfId="1" applyNumberFormat="1" applyFont="1" applyFill="1" applyBorder="1" applyAlignment="1">
      <alignment horizontal="center" vertical="center"/>
    </xf>
    <xf numFmtId="0" fontId="92" fillId="0" borderId="0" xfId="26" applyFont="1" applyAlignment="1">
      <alignment horizontal="center" vertical="center"/>
    </xf>
    <xf numFmtId="0" fontId="77" fillId="0" borderId="10" xfId="26" applyFont="1" applyBorder="1" applyAlignment="1">
      <alignment horizontal="center" vertical="center"/>
    </xf>
    <xf numFmtId="0" fontId="77" fillId="0" borderId="5" xfId="26" applyFont="1" applyBorder="1" applyAlignment="1">
      <alignment horizontal="center" vertical="center"/>
    </xf>
    <xf numFmtId="0" fontId="77" fillId="0" borderId="3" xfId="26" applyFont="1" applyBorder="1" applyAlignment="1">
      <alignment horizontal="center" vertical="center"/>
    </xf>
    <xf numFmtId="0" fontId="77" fillId="0" borderId="0" xfId="26" applyFont="1" applyAlignment="1">
      <alignment horizontal="left" vertical="center" wrapText="1"/>
    </xf>
    <xf numFmtId="0" fontId="80" fillId="8" borderId="17" xfId="26" applyFont="1" applyFill="1" applyBorder="1" applyAlignment="1">
      <alignment horizontal="center" vertical="center"/>
    </xf>
    <xf numFmtId="164" fontId="77" fillId="0" borderId="7" xfId="1" applyNumberFormat="1" applyFont="1" applyBorder="1" applyAlignment="1">
      <alignment horizontal="center" vertical="center"/>
    </xf>
    <xf numFmtId="164" fontId="77" fillId="0" borderId="8" xfId="1" applyNumberFormat="1" applyFont="1" applyBorder="1" applyAlignment="1">
      <alignment horizontal="center" vertical="center"/>
    </xf>
    <xf numFmtId="0" fontId="91" fillId="4" borderId="14" xfId="0" applyFont="1" applyFill="1" applyBorder="1" applyAlignment="1">
      <alignment horizontal="center"/>
    </xf>
    <xf numFmtId="0" fontId="91" fillId="4" borderId="17" xfId="0" applyFont="1" applyFill="1" applyBorder="1" applyAlignment="1">
      <alignment horizontal="center"/>
    </xf>
    <xf numFmtId="0" fontId="91" fillId="4" borderId="9" xfId="0" applyFont="1" applyFill="1" applyBorder="1" applyAlignment="1">
      <alignment horizontal="center"/>
    </xf>
    <xf numFmtId="0" fontId="80" fillId="4" borderId="4" xfId="0" applyFont="1" applyFill="1" applyBorder="1" applyAlignment="1">
      <alignment horizontal="center" vertical="center"/>
    </xf>
    <xf numFmtId="0" fontId="85" fillId="0" borderId="0" xfId="4" applyFont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35" xfId="0" applyFont="1" applyBorder="1" applyAlignment="1">
      <alignment horizontal="center" vertical="center"/>
    </xf>
    <xf numFmtId="0" fontId="98" fillId="0" borderId="48" xfId="0" applyFont="1" applyBorder="1" applyAlignment="1">
      <alignment horizontal="center" vertical="center"/>
    </xf>
    <xf numFmtId="0" fontId="98" fillId="0" borderId="49" xfId="0" applyFont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 vertical="center" shrinkToFit="1"/>
    </xf>
    <xf numFmtId="0" fontId="25" fillId="0" borderId="4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top" shrinkToFit="1"/>
    </xf>
    <xf numFmtId="0" fontId="34" fillId="0" borderId="0" xfId="0" applyFont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25" fillId="0" borderId="10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 shrinkToFit="1"/>
    </xf>
    <xf numFmtId="0" fontId="25" fillId="0" borderId="12" xfId="0" applyFont="1" applyBorder="1" applyAlignment="1">
      <alignment horizontal="center" vertical="center" shrinkToFit="1"/>
    </xf>
    <xf numFmtId="0" fontId="25" fillId="0" borderId="7" xfId="0" applyFont="1" applyBorder="1" applyAlignment="1">
      <alignment horizontal="center" vertical="center" shrinkToFit="1"/>
    </xf>
    <xf numFmtId="0" fontId="25" fillId="0" borderId="9" xfId="0" applyFont="1" applyBorder="1" applyAlignment="1">
      <alignment horizontal="center" shrinkToFit="1"/>
    </xf>
    <xf numFmtId="0" fontId="25" fillId="0" borderId="4" xfId="0" applyFont="1" applyBorder="1" applyAlignment="1">
      <alignment horizontal="center" shrinkToFit="1"/>
    </xf>
    <xf numFmtId="0" fontId="25" fillId="0" borderId="10" xfId="0" applyFont="1" applyBorder="1" applyAlignment="1">
      <alignment horizontal="center" vertical="center" shrinkToFit="1"/>
    </xf>
    <xf numFmtId="0" fontId="25" fillId="0" borderId="5" xfId="0" applyFont="1" applyBorder="1" applyAlignment="1">
      <alignment horizontal="center" vertical="center" shrinkToFit="1"/>
    </xf>
    <xf numFmtId="0" fontId="25" fillId="0" borderId="3" xfId="0" applyFont="1" applyBorder="1" applyAlignment="1">
      <alignment horizontal="center" vertical="center" shrinkToFit="1"/>
    </xf>
    <xf numFmtId="0" fontId="25" fillId="0" borderId="19" xfId="0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center" shrinkToFit="1"/>
    </xf>
    <xf numFmtId="0" fontId="25" fillId="0" borderId="8" xfId="0" applyFont="1" applyBorder="1" applyAlignment="1">
      <alignment horizontal="center" vertical="center" shrinkToFit="1"/>
    </xf>
    <xf numFmtId="0" fontId="12" fillId="7" borderId="14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1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7" borderId="14" xfId="0" applyFont="1" applyFill="1" applyBorder="1" applyAlignment="1">
      <alignment horizontal="center" vertical="center"/>
    </xf>
    <xf numFmtId="0" fontId="25" fillId="7" borderId="17" xfId="0" applyFont="1" applyFill="1" applyBorder="1" applyAlignment="1">
      <alignment horizontal="center" vertical="center"/>
    </xf>
    <xf numFmtId="0" fontId="25" fillId="7" borderId="9" xfId="0" applyFont="1" applyFill="1" applyBorder="1" applyAlignment="1">
      <alignment horizontal="center" vertical="center"/>
    </xf>
    <xf numFmtId="0" fontId="25" fillId="0" borderId="14" xfId="0" applyFont="1" applyBorder="1" applyAlignment="1">
      <alignment horizontal="center" vertical="center" wrapText="1"/>
    </xf>
    <xf numFmtId="0" fontId="25" fillId="0" borderId="17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 shrinkToFit="1"/>
    </xf>
    <xf numFmtId="0" fontId="24" fillId="0" borderId="12" xfId="0" applyFont="1" applyBorder="1" applyAlignment="1">
      <alignment horizontal="center" vertical="center" shrinkToFit="1"/>
    </xf>
    <xf numFmtId="0" fontId="24" fillId="0" borderId="7" xfId="0" applyFont="1" applyBorder="1" applyAlignment="1">
      <alignment horizontal="center" vertical="center" shrinkToFit="1"/>
    </xf>
    <xf numFmtId="0" fontId="24" fillId="0" borderId="9" xfId="0" applyFont="1" applyBorder="1" applyAlignment="1">
      <alignment horizontal="center" shrinkToFit="1"/>
    </xf>
    <xf numFmtId="0" fontId="24" fillId="0" borderId="4" xfId="0" applyFont="1" applyBorder="1" applyAlignment="1">
      <alignment horizontal="center" shrinkToFit="1"/>
    </xf>
    <xf numFmtId="0" fontId="24" fillId="0" borderId="10" xfId="0" applyFont="1" applyBorder="1" applyAlignment="1">
      <alignment horizontal="center" vertical="center" shrinkToFit="1"/>
    </xf>
    <xf numFmtId="0" fontId="24" fillId="0" borderId="5" xfId="0" applyFont="1" applyBorder="1" applyAlignment="1">
      <alignment horizontal="center" vertical="center" shrinkToFit="1"/>
    </xf>
    <xf numFmtId="0" fontId="24" fillId="0" borderId="3" xfId="0" applyFont="1" applyBorder="1" applyAlignment="1">
      <alignment horizontal="center" vertical="center" shrinkToFit="1"/>
    </xf>
    <xf numFmtId="0" fontId="24" fillId="0" borderId="19" xfId="0" applyFont="1" applyBorder="1" applyAlignment="1">
      <alignment horizontal="center" vertical="center" shrinkToFit="1"/>
    </xf>
    <xf numFmtId="0" fontId="24" fillId="0" borderId="1" xfId="0" applyFont="1" applyBorder="1" applyAlignment="1">
      <alignment horizontal="center" vertical="center" shrinkToFit="1"/>
    </xf>
    <xf numFmtId="0" fontId="24" fillId="0" borderId="8" xfId="0" applyFont="1" applyBorder="1" applyAlignment="1">
      <alignment horizontal="center" vertical="center" shrinkToFit="1"/>
    </xf>
    <xf numFmtId="0" fontId="24" fillId="0" borderId="9" xfId="0" applyFont="1" applyBorder="1" applyAlignment="1">
      <alignment horizontal="center" vertical="center" shrinkToFit="1"/>
    </xf>
    <xf numFmtId="0" fontId="24" fillId="0" borderId="4" xfId="0" applyFont="1" applyBorder="1" applyAlignment="1">
      <alignment horizontal="center" vertical="center" shrinkToFit="1"/>
    </xf>
    <xf numFmtId="0" fontId="9" fillId="4" borderId="14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65" fillId="0" borderId="0" xfId="11" applyFont="1" applyAlignment="1">
      <alignment horizontal="left"/>
    </xf>
    <xf numFmtId="164" fontId="59" fillId="0" borderId="0" xfId="9" applyNumberFormat="1" applyFont="1" applyFill="1" applyAlignment="1">
      <alignment horizontal="center"/>
    </xf>
    <xf numFmtId="164" fontId="62" fillId="0" borderId="0" xfId="9" applyNumberFormat="1" applyFont="1" applyFill="1" applyAlignment="1">
      <alignment horizontal="center"/>
    </xf>
    <xf numFmtId="0" fontId="53" fillId="0" borderId="4" xfId="8" applyFont="1" applyBorder="1" applyAlignment="1">
      <alignment horizontal="center"/>
    </xf>
    <xf numFmtId="171" fontId="58" fillId="0" borderId="4" xfId="8" applyNumberFormat="1" applyFont="1" applyBorder="1" applyAlignment="1">
      <alignment horizontal="center"/>
    </xf>
    <xf numFmtId="171" fontId="58" fillId="0" borderId="28" xfId="8" applyNumberFormat="1" applyFont="1" applyBorder="1" applyAlignment="1">
      <alignment horizontal="center"/>
    </xf>
    <xf numFmtId="171" fontId="58" fillId="0" borderId="29" xfId="8" applyNumberFormat="1" applyFont="1" applyBorder="1" applyAlignment="1">
      <alignment horizontal="center"/>
    </xf>
    <xf numFmtId="0" fontId="61" fillId="0" borderId="0" xfId="11" applyFont="1" applyAlignment="1">
      <alignment horizontal="center"/>
    </xf>
    <xf numFmtId="0" fontId="63" fillId="0" borderId="0" xfId="11" applyFont="1" applyAlignment="1">
      <alignment horizontal="center"/>
    </xf>
    <xf numFmtId="0" fontId="38" fillId="0" borderId="0" xfId="8" applyFont="1" applyAlignment="1">
      <alignment horizontal="center"/>
    </xf>
    <xf numFmtId="0" fontId="41" fillId="0" borderId="0" xfId="8" applyFont="1" applyAlignment="1">
      <alignment horizontal="center"/>
    </xf>
    <xf numFmtId="0" fontId="50" fillId="0" borderId="20" xfId="8" applyFont="1" applyBorder="1" applyAlignment="1">
      <alignment horizontal="center"/>
    </xf>
    <xf numFmtId="0" fontId="50" fillId="0" borderId="21" xfId="8" applyFont="1" applyBorder="1" applyAlignment="1">
      <alignment horizontal="center"/>
    </xf>
    <xf numFmtId="0" fontId="50" fillId="0" borderId="22" xfId="8" applyFont="1" applyBorder="1" applyAlignment="1">
      <alignment horizontal="center"/>
    </xf>
    <xf numFmtId="0" fontId="52" fillId="0" borderId="4" xfId="8" applyFont="1" applyBorder="1" applyAlignment="1">
      <alignment horizontal="center"/>
    </xf>
    <xf numFmtId="0" fontId="53" fillId="0" borderId="8" xfId="8" applyFont="1" applyBorder="1" applyAlignment="1">
      <alignment horizontal="center"/>
    </xf>
    <xf numFmtId="0" fontId="53" fillId="0" borderId="3" xfId="8" applyFont="1" applyBorder="1" applyAlignment="1">
      <alignment horizontal="center"/>
    </xf>
    <xf numFmtId="164" fontId="62" fillId="0" borderId="0" xfId="8" applyNumberFormat="1" applyFont="1" applyAlignment="1">
      <alignment horizontal="center" vertical="center"/>
    </xf>
    <xf numFmtId="0" fontId="52" fillId="0" borderId="14" xfId="8" applyFont="1" applyBorder="1" applyAlignment="1">
      <alignment horizontal="center" vertical="center"/>
    </xf>
    <xf numFmtId="0" fontId="52" fillId="0" borderId="17" xfId="8" applyFont="1" applyBorder="1" applyAlignment="1">
      <alignment horizontal="center" vertical="center"/>
    </xf>
    <xf numFmtId="0" fontId="52" fillId="0" borderId="9" xfId="8" applyFont="1" applyBorder="1" applyAlignment="1">
      <alignment horizontal="center" vertical="center"/>
    </xf>
  </cellXfs>
  <cellStyles count="33">
    <cellStyle name="%_WHT .Return" xfId="20" xr:uid="{00000000-0005-0000-0000-000000000000}"/>
    <cellStyle name="Comma" xfId="1" builtinId="3"/>
    <cellStyle name="Comma 10" xfId="19" xr:uid="{00000000-0005-0000-0000-000002000000}"/>
    <cellStyle name="Comma 10 3" xfId="22" xr:uid="{00000000-0005-0000-0000-000003000000}"/>
    <cellStyle name="Comma 2" xfId="2" xr:uid="{00000000-0005-0000-0000-000004000000}"/>
    <cellStyle name="Comma 2 2 3" xfId="21" xr:uid="{00000000-0005-0000-0000-000005000000}"/>
    <cellStyle name="Comma 3" xfId="9" xr:uid="{00000000-0005-0000-0000-000006000000}"/>
    <cellStyle name="Comma 4" xfId="27" xr:uid="{00000000-0005-0000-0000-000007000000}"/>
    <cellStyle name="Currency" xfId="3" builtinId="4"/>
    <cellStyle name="Currency 2" xfId="10" xr:uid="{00000000-0005-0000-0000-000009000000}"/>
    <cellStyle name="Normal" xfId="0" builtinId="0"/>
    <cellStyle name="Normal 18" xfId="18" xr:uid="{00000000-0005-0000-0000-00000B000000}"/>
    <cellStyle name="Normal 2" xfId="4" xr:uid="{00000000-0005-0000-0000-00000C000000}"/>
    <cellStyle name="Normal 2 2" xfId="25" xr:uid="{00000000-0005-0000-0000-00000D000000}"/>
    <cellStyle name="Normal 3" xfId="5" xr:uid="{00000000-0005-0000-0000-00000E000000}"/>
    <cellStyle name="Normal 3 2" xfId="6" xr:uid="{00000000-0005-0000-0000-00000F000000}"/>
    <cellStyle name="Normal 4" xfId="8" xr:uid="{00000000-0005-0000-0000-000010000000}"/>
    <cellStyle name="Normal 5" xfId="26" xr:uid="{00000000-0005-0000-0000-000011000000}"/>
    <cellStyle name="Normal 6" xfId="30" xr:uid="{00000000-0005-0000-0000-000012000000}"/>
    <cellStyle name="Normal 7" xfId="32" xr:uid="{F9B91439-CEBA-4659-B23E-600EC7E2F680}"/>
    <cellStyle name="Normal_Oct 04" xfId="29" xr:uid="{00000000-0005-0000-0000-000013000000}"/>
    <cellStyle name="Normal_PJ0406" xfId="23" xr:uid="{00000000-0005-0000-0000-000014000000}"/>
    <cellStyle name="Normal_PJ0506" xfId="24" xr:uid="{00000000-0005-0000-0000-000015000000}"/>
    <cellStyle name="Percent" xfId="31" builtinId="5"/>
    <cellStyle name="Percent 2" xfId="28" xr:uid="{00000000-0005-0000-0000-000017000000}"/>
    <cellStyle name="Style 1" xfId="7" xr:uid="{00000000-0005-0000-0000-000018000000}"/>
    <cellStyle name="一般" xfId="13" xr:uid="{00000000-0005-0000-0000-000019000000}"/>
    <cellStyle name="千位分隔 30" xfId="14" xr:uid="{00000000-0005-0000-0000-00001A000000}"/>
    <cellStyle name="千位分隔 32" xfId="15" xr:uid="{00000000-0005-0000-0000-00001B000000}"/>
    <cellStyle name="千位分隔_Sheet1" xfId="12" xr:uid="{00000000-0005-0000-0000-00001C000000}"/>
    <cellStyle name="千位分隔_Sheet1 2" xfId="16" xr:uid="{00000000-0005-0000-0000-00001D000000}"/>
    <cellStyle name="千位分隔_Sheet1 3" xfId="17" xr:uid="{00000000-0005-0000-0000-00001E000000}"/>
    <cellStyle name="常规_Sheet1" xfId="11" xr:uid="{00000000-0005-0000-0000-00001F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SOffice\Excel\ARBEIT\UPL\UPL-PLP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H-AUDIT\OLY017\DIAGNOST\ENGLISCH\OLYMPUS\ANLAGE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urchase%20Order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QA%20report\Financial\Sale%20report_for%20accounting_Version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C-A\SoF_UPL00\SoF%20Company\UPL-PLP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pauline.VN\Local%20Settings\Temp\KPMG05-Info%20require%20for%20preparing%20Sal%20tax-S1412-LP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36"/>
  <sheetViews>
    <sheetView zoomScaleNormal="100" workbookViewId="0">
      <selection activeCell="D9" sqref="D9"/>
    </sheetView>
  </sheetViews>
  <sheetFormatPr defaultRowHeight="21.6"/>
  <cols>
    <col min="2" max="2" width="37" customWidth="1"/>
    <col min="3" max="3" width="17.109375" customWidth="1"/>
    <col min="4" max="4" width="26" customWidth="1"/>
    <col min="5" max="5" width="34.33203125" style="296" customWidth="1"/>
    <col min="6" max="6" width="24.5546875" style="296" customWidth="1"/>
    <col min="7" max="7" width="9.88671875" bestFit="1" customWidth="1"/>
    <col min="8" max="8" width="9.6640625" bestFit="1" customWidth="1"/>
  </cols>
  <sheetData>
    <row r="1" spans="2:21" ht="25.2">
      <c r="B1" s="198"/>
      <c r="C1" s="197"/>
      <c r="D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</row>
    <row r="2" spans="2:21" ht="25.2">
      <c r="B2" s="198" t="s">
        <v>972</v>
      </c>
      <c r="C2" s="197"/>
      <c r="D2" s="197" t="s">
        <v>2409</v>
      </c>
      <c r="E2" s="296" t="s">
        <v>2410</v>
      </c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</row>
    <row r="3" spans="2:21" ht="25.2">
      <c r="B3" s="198" t="s">
        <v>973</v>
      </c>
      <c r="C3" s="197"/>
      <c r="D3" s="197" t="s">
        <v>2411</v>
      </c>
      <c r="E3" s="296" t="s">
        <v>2412</v>
      </c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</row>
    <row r="4" spans="2:21" ht="25.2">
      <c r="B4" s="198" t="s">
        <v>974</v>
      </c>
      <c r="C4" s="197"/>
      <c r="D4" s="197" t="s">
        <v>2413</v>
      </c>
      <c r="E4" s="296" t="s">
        <v>2414</v>
      </c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</row>
    <row r="5" spans="2:21" ht="25.2">
      <c r="B5" s="198" t="s">
        <v>977</v>
      </c>
      <c r="C5" s="197"/>
      <c r="D5" s="445"/>
      <c r="E5" s="446" t="s">
        <v>1174</v>
      </c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</row>
    <row r="6" spans="2:21" ht="25.2">
      <c r="B6" s="198" t="s">
        <v>976</v>
      </c>
      <c r="C6" s="197"/>
      <c r="D6" s="197" t="s">
        <v>2415</v>
      </c>
      <c r="E6" s="296" t="s">
        <v>2416</v>
      </c>
      <c r="G6" s="197"/>
      <c r="H6" s="197"/>
      <c r="I6" s="197"/>
      <c r="J6" s="197"/>
      <c r="K6" s="197"/>
      <c r="L6" s="197"/>
      <c r="M6" s="197"/>
      <c r="N6" s="197"/>
      <c r="O6" s="197"/>
      <c r="P6" s="197"/>
      <c r="Q6" s="197"/>
      <c r="R6" s="197"/>
      <c r="S6" s="197"/>
      <c r="T6" s="197"/>
      <c r="U6" s="197"/>
    </row>
    <row r="7" spans="2:21" ht="25.2">
      <c r="B7" s="198" t="s">
        <v>975</v>
      </c>
      <c r="C7" s="197"/>
      <c r="D7" s="445"/>
      <c r="E7" s="446" t="s">
        <v>1175</v>
      </c>
      <c r="F7" s="446"/>
      <c r="G7" s="197"/>
      <c r="H7" s="197"/>
      <c r="I7" s="197"/>
      <c r="J7" s="197"/>
      <c r="K7" s="197"/>
      <c r="L7" s="197"/>
      <c r="M7" s="197"/>
      <c r="N7" s="197"/>
      <c r="O7" s="197"/>
      <c r="P7" s="197"/>
      <c r="Q7" s="197"/>
      <c r="R7" s="197"/>
      <c r="S7" s="197"/>
      <c r="T7" s="197"/>
      <c r="U7" s="197"/>
    </row>
    <row r="8" spans="2:21" ht="25.2">
      <c r="B8" s="198" t="s">
        <v>978</v>
      </c>
      <c r="D8" s="445"/>
      <c r="E8" s="446" t="s">
        <v>1176</v>
      </c>
      <c r="F8" s="446" t="s">
        <v>1006</v>
      </c>
      <c r="G8" s="197"/>
      <c r="H8" s="197"/>
      <c r="I8" s="197"/>
      <c r="J8" s="197"/>
      <c r="K8" s="197"/>
      <c r="L8" s="197"/>
      <c r="M8" s="197"/>
      <c r="N8" s="197"/>
      <c r="O8" s="197"/>
      <c r="P8" s="197"/>
      <c r="Q8" s="197"/>
      <c r="R8" s="197"/>
      <c r="S8" s="197"/>
      <c r="T8" s="197"/>
      <c r="U8" s="197"/>
    </row>
    <row r="9" spans="2:21" ht="25.2">
      <c r="B9" s="198"/>
      <c r="C9" s="197"/>
      <c r="D9" s="445"/>
      <c r="E9" s="446" t="s">
        <v>1177</v>
      </c>
      <c r="F9" s="446" t="s">
        <v>968</v>
      </c>
      <c r="G9" s="197"/>
      <c r="H9" s="197"/>
      <c r="I9" s="197"/>
      <c r="J9" s="197"/>
      <c r="K9" s="197"/>
      <c r="L9" s="197"/>
      <c r="M9" s="197"/>
      <c r="N9" s="197"/>
      <c r="O9" s="197"/>
      <c r="P9" s="197"/>
      <c r="Q9" s="197"/>
      <c r="R9" s="197"/>
      <c r="S9" s="197"/>
      <c r="T9" s="197"/>
      <c r="U9" s="197"/>
    </row>
    <row r="10" spans="2:21" ht="25.2">
      <c r="B10" s="198" t="s">
        <v>979</v>
      </c>
      <c r="C10" s="197"/>
      <c r="D10" s="197"/>
      <c r="G10" s="197"/>
      <c r="H10" s="197"/>
      <c r="I10" s="197"/>
      <c r="J10" s="197"/>
      <c r="K10" s="197"/>
      <c r="L10" s="197"/>
      <c r="M10" s="197"/>
      <c r="N10" s="197"/>
      <c r="O10" s="197"/>
      <c r="P10" s="197"/>
      <c r="Q10" s="197"/>
      <c r="R10" s="197"/>
      <c r="S10" s="197"/>
      <c r="T10" s="197"/>
      <c r="U10" s="197"/>
    </row>
    <row r="11" spans="2:21" ht="25.2">
      <c r="B11" s="442" t="s">
        <v>1172</v>
      </c>
      <c r="C11" s="197"/>
      <c r="D11" s="197"/>
      <c r="E11" s="451" t="s">
        <v>1181</v>
      </c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197"/>
      <c r="R11" s="197"/>
      <c r="S11" s="197"/>
      <c r="T11" s="197"/>
      <c r="U11" s="197"/>
    </row>
    <row r="12" spans="2:21" ht="25.2">
      <c r="B12" s="442" t="s">
        <v>1171</v>
      </c>
      <c r="C12" s="197"/>
      <c r="D12" s="197"/>
      <c r="E12" s="444" t="s">
        <v>1182</v>
      </c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</row>
    <row r="13" spans="2:21" ht="25.2">
      <c r="B13" s="199" t="s">
        <v>980</v>
      </c>
      <c r="C13" s="197"/>
      <c r="D13" s="197"/>
      <c r="G13" s="197"/>
      <c r="H13" s="197"/>
      <c r="I13" s="197"/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</row>
    <row r="14" spans="2:21" ht="25.2">
      <c r="B14" s="199" t="s">
        <v>981</v>
      </c>
      <c r="C14" s="197"/>
      <c r="D14" s="197"/>
      <c r="G14" s="197"/>
      <c r="H14" s="197"/>
      <c r="I14" s="197"/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</row>
    <row r="15" spans="2:21" ht="25.2">
      <c r="B15" s="199" t="s">
        <v>982</v>
      </c>
      <c r="C15" s="197"/>
      <c r="D15" s="197"/>
      <c r="E15" s="444" t="s">
        <v>1179</v>
      </c>
      <c r="F15" s="444"/>
      <c r="G15" s="197"/>
      <c r="H15" s="197"/>
      <c r="I15" s="197"/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</row>
    <row r="16" spans="2:21" ht="25.2">
      <c r="B16" s="198"/>
      <c r="C16" s="197"/>
      <c r="D16" s="197"/>
      <c r="G16" s="197"/>
      <c r="H16" s="197"/>
      <c r="I16" s="197"/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</row>
    <row r="17" spans="2:21" ht="25.2">
      <c r="B17" s="199" t="s">
        <v>983</v>
      </c>
      <c r="C17" s="197"/>
      <c r="D17" s="197"/>
      <c r="E17" s="296" t="s">
        <v>1180</v>
      </c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</row>
    <row r="18" spans="2:21" ht="25.2">
      <c r="B18" s="199" t="s">
        <v>984</v>
      </c>
      <c r="C18" s="197"/>
      <c r="D18" s="197"/>
      <c r="E18" s="297">
        <v>41513</v>
      </c>
      <c r="G18" s="197"/>
      <c r="H18" s="197"/>
      <c r="I18" s="197"/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</row>
    <row r="19" spans="2:21" ht="25.2">
      <c r="B19" s="199" t="s">
        <v>985</v>
      </c>
      <c r="C19" s="197"/>
      <c r="D19" s="197"/>
      <c r="E19" s="447">
        <v>45323</v>
      </c>
      <c r="F19" s="448" t="s">
        <v>1173</v>
      </c>
      <c r="G19" s="448">
        <v>5000000</v>
      </c>
      <c r="H19" s="197"/>
      <c r="I19" s="197"/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</row>
    <row r="20" spans="2:21" ht="25.2">
      <c r="B20" s="199" t="s">
        <v>986</v>
      </c>
      <c r="C20" s="197"/>
      <c r="D20" s="197"/>
      <c r="E20" s="297">
        <v>42388</v>
      </c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</row>
    <row r="21" spans="2:21" ht="25.2">
      <c r="B21" s="199" t="s">
        <v>987</v>
      </c>
      <c r="C21" s="197"/>
      <c r="D21" s="197"/>
      <c r="E21" s="447" t="s">
        <v>1178</v>
      </c>
      <c r="F21" s="444"/>
      <c r="G21" s="443"/>
      <c r="H21" s="449">
        <v>45691</v>
      </c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</row>
    <row r="22" spans="2:21" ht="25.2">
      <c r="B22" s="199" t="s">
        <v>988</v>
      </c>
      <c r="C22" s="197"/>
      <c r="D22" s="197"/>
      <c r="E22" s="450">
        <v>352496017</v>
      </c>
      <c r="G22" s="197"/>
      <c r="H22" s="197"/>
      <c r="I22" s="197"/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</row>
    <row r="23" spans="2:21" ht="25.2">
      <c r="B23" s="196"/>
      <c r="C23" s="197"/>
      <c r="D23" s="197"/>
      <c r="G23" s="197"/>
      <c r="H23" s="197"/>
      <c r="I23" s="197"/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</row>
    <row r="24" spans="2:21" ht="25.2">
      <c r="C24" s="197"/>
      <c r="D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</row>
    <row r="25" spans="2:21" ht="25.2">
      <c r="C25" s="197"/>
      <c r="D25" s="197"/>
      <c r="G25" s="197"/>
      <c r="H25" s="197"/>
      <c r="I25" s="197"/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</row>
    <row r="26" spans="2:21" ht="25.2">
      <c r="C26" s="197"/>
      <c r="D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</row>
    <row r="27" spans="2:21" ht="25.2">
      <c r="C27" s="197"/>
      <c r="D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</row>
    <row r="28" spans="2:21" ht="25.2">
      <c r="C28" s="197"/>
      <c r="D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</row>
    <row r="29" spans="2:21" ht="25.2">
      <c r="C29" s="197"/>
      <c r="D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</row>
    <row r="30" spans="2:21" ht="25.2">
      <c r="C30" s="197"/>
      <c r="D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</row>
    <row r="31" spans="2:21" ht="25.2">
      <c r="C31" s="197"/>
      <c r="D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</row>
    <row r="32" spans="2:21" ht="25.2">
      <c r="C32" s="197"/>
      <c r="D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</row>
    <row r="33" spans="3:21" ht="25.2">
      <c r="C33" s="197"/>
      <c r="D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</row>
    <row r="34" spans="3:21" ht="25.2">
      <c r="C34" s="197"/>
      <c r="D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</row>
    <row r="35" spans="3:21" ht="25.2">
      <c r="C35" s="197"/>
      <c r="D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</row>
    <row r="36" spans="3:21" ht="25.2">
      <c r="C36" s="197"/>
      <c r="D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3"/>
  <sheetViews>
    <sheetView view="pageBreakPreview" zoomScale="85" zoomScaleNormal="100" zoomScaleSheetLayoutView="85" workbookViewId="0">
      <pane ySplit="8" topLeftCell="A15" activePane="bottomLeft" state="frozen"/>
      <selection pane="bottomLeft" activeCell="C19" sqref="A1:XFD1048576"/>
    </sheetView>
  </sheetViews>
  <sheetFormatPr defaultColWidth="9.109375" defaultRowHeight="45.6"/>
  <cols>
    <col min="1" max="1" width="11.33203125" style="274" customWidth="1"/>
    <col min="2" max="2" width="35.33203125" style="274" customWidth="1"/>
    <col min="3" max="3" width="11.88671875" style="274" customWidth="1"/>
    <col min="4" max="4" width="15.6640625" style="274" customWidth="1"/>
    <col min="5" max="5" width="8.6640625" style="274" customWidth="1"/>
    <col min="6" max="6" width="11.6640625" style="274" customWidth="1"/>
    <col min="7" max="7" width="21.88671875" style="274" customWidth="1"/>
    <col min="8" max="8" width="25.33203125" style="274" customWidth="1"/>
    <col min="9" max="16384" width="9.109375" style="1"/>
  </cols>
  <sheetData>
    <row r="1" spans="1:9" s="296" customFormat="1" ht="31.2" customHeight="1">
      <c r="A1" s="457" t="s">
        <v>1168</v>
      </c>
      <c r="B1" s="457"/>
      <c r="C1" s="457"/>
      <c r="D1" s="457"/>
      <c r="E1" s="457"/>
      <c r="F1" s="457"/>
      <c r="G1" s="457"/>
      <c r="H1" s="457"/>
    </row>
    <row r="2" spans="1:9" s="296" customFormat="1" ht="22.8">
      <c r="A2" s="457" t="s">
        <v>1059</v>
      </c>
      <c r="B2" s="457"/>
      <c r="C2" s="457"/>
      <c r="D2" s="457"/>
      <c r="E2" s="457"/>
      <c r="F2" s="457"/>
      <c r="G2" s="457"/>
      <c r="H2" s="457"/>
    </row>
    <row r="3" spans="1:9" s="296" customFormat="1" ht="22.8">
      <c r="A3" s="457" t="s">
        <v>8</v>
      </c>
      <c r="B3" s="457"/>
      <c r="C3" s="457"/>
      <c r="D3" s="457"/>
      <c r="E3" s="457"/>
      <c r="F3" s="457"/>
      <c r="G3" s="457"/>
      <c r="H3" s="457"/>
    </row>
    <row r="4" spans="1:9" s="296" customFormat="1" ht="22.8">
      <c r="A4" s="208" t="s">
        <v>970</v>
      </c>
      <c r="B4" s="209" t="str">
        <f>'Company information'!E2</f>
        <v> វ៉ាយអិលធី​ អ៊ិនធើណេសិនណល</v>
      </c>
      <c r="C4" s="207"/>
      <c r="D4" s="210"/>
      <c r="E4" s="211"/>
      <c r="F4" s="212"/>
      <c r="G4" s="213" t="s">
        <v>967</v>
      </c>
      <c r="H4" s="214" t="str">
        <f>'Company information'!E8</f>
        <v>លោក ជុំ សុភា</v>
      </c>
    </row>
    <row r="5" spans="1:9" s="296" customFormat="1" ht="22.8">
      <c r="A5" s="215" t="s">
        <v>1052</v>
      </c>
      <c r="B5" s="209" t="str">
        <f>'Company information'!E4</f>
        <v> L001-100192823</v>
      </c>
      <c r="C5" s="207"/>
      <c r="D5" s="210"/>
      <c r="E5" s="211"/>
      <c r="F5" s="210"/>
      <c r="G5" s="207"/>
      <c r="H5" s="214" t="str">
        <f>'Company information'!F8</f>
        <v>លោក ជា ហុកស័រ</v>
      </c>
    </row>
    <row r="6" spans="1:9" s="296" customFormat="1" ht="25.2" customHeight="1">
      <c r="A6" s="216" t="str">
        <f>'Company information'!E21</f>
        <v>ស្នើសុំបង្វិលសងអាករលើតម្លៃបន្ថែមតាមអនឡាញចុះថ្ងៃទី៣ ខែកុម្ភៈ ឆ្នាំ២០២៥</v>
      </c>
      <c r="B6" s="209"/>
      <c r="D6" s="210"/>
      <c r="E6" s="211"/>
      <c r="F6" s="212"/>
      <c r="G6" s="217" t="s">
        <v>969</v>
      </c>
      <c r="H6" s="218">
        <f>'Company information'!E22</f>
        <v>352496017</v>
      </c>
    </row>
    <row r="7" spans="1:9" s="194" customFormat="1" ht="25.2">
      <c r="A7" s="458" t="s">
        <v>2</v>
      </c>
      <c r="B7" s="458" t="s">
        <v>760</v>
      </c>
      <c r="C7" s="461" t="s">
        <v>1081</v>
      </c>
      <c r="D7" s="462"/>
      <c r="E7" s="461" t="s">
        <v>9</v>
      </c>
      <c r="F7" s="462"/>
      <c r="G7" s="459" t="s">
        <v>962</v>
      </c>
      <c r="H7" s="458" t="s">
        <v>15</v>
      </c>
    </row>
    <row r="8" spans="1:9" s="194" customFormat="1" ht="25.2">
      <c r="A8" s="458"/>
      <c r="B8" s="458"/>
      <c r="C8" s="279" t="s">
        <v>6</v>
      </c>
      <c r="D8" s="279" t="s">
        <v>7</v>
      </c>
      <c r="E8" s="279" t="s">
        <v>6</v>
      </c>
      <c r="F8" s="279" t="s">
        <v>958</v>
      </c>
      <c r="G8" s="460"/>
      <c r="H8" s="458"/>
    </row>
    <row r="9" spans="1:9" s="2" customFormat="1" ht="19.95" customHeight="1">
      <c r="A9" s="280"/>
      <c r="B9" s="281"/>
      <c r="C9" s="282"/>
      <c r="D9" s="283"/>
      <c r="E9" s="284"/>
      <c r="F9" s="285"/>
      <c r="G9" s="286"/>
      <c r="H9" s="287"/>
      <c r="I9" s="195"/>
    </row>
    <row r="10" spans="1:9" s="206" customFormat="1" ht="19.95" customHeight="1">
      <c r="A10" s="280"/>
      <c r="B10" s="288"/>
      <c r="C10" s="289"/>
      <c r="D10" s="290"/>
      <c r="E10" s="291"/>
      <c r="F10" s="285"/>
      <c r="G10" s="292"/>
      <c r="H10" s="293"/>
      <c r="I10" s="203"/>
    </row>
    <row r="11" spans="1:9" s="206" customFormat="1" ht="19.95" customHeight="1">
      <c r="A11" s="280"/>
      <c r="B11" s="288"/>
      <c r="C11" s="289"/>
      <c r="D11" s="290"/>
      <c r="E11" s="291"/>
      <c r="F11" s="285"/>
      <c r="G11" s="292"/>
      <c r="H11" s="293"/>
      <c r="I11" s="203"/>
    </row>
    <row r="12" spans="1:9" s="206" customFormat="1" ht="19.95" customHeight="1">
      <c r="A12" s="280"/>
      <c r="B12" s="288"/>
      <c r="C12" s="289"/>
      <c r="D12" s="290"/>
      <c r="E12" s="291"/>
      <c r="F12" s="285"/>
      <c r="G12" s="292"/>
      <c r="H12" s="293"/>
      <c r="I12" s="203"/>
    </row>
    <row r="13" spans="1:9" s="206" customFormat="1" ht="19.95" customHeight="1">
      <c r="A13" s="280"/>
      <c r="B13" s="288"/>
      <c r="C13" s="289"/>
      <c r="D13" s="290"/>
      <c r="E13" s="291"/>
      <c r="F13" s="285"/>
      <c r="G13" s="292"/>
      <c r="H13" s="293"/>
      <c r="I13" s="203"/>
    </row>
    <row r="14" spans="1:9" s="206" customFormat="1" ht="19.95" customHeight="1">
      <c r="A14" s="280"/>
      <c r="B14" s="288"/>
      <c r="C14" s="289"/>
      <c r="D14" s="290"/>
      <c r="E14" s="291"/>
      <c r="F14" s="285"/>
      <c r="G14" s="292"/>
      <c r="H14" s="293"/>
      <c r="I14" s="203"/>
    </row>
    <row r="15" spans="1:9" s="206" customFormat="1" ht="19.95" customHeight="1">
      <c r="A15" s="280"/>
      <c r="B15" s="288"/>
      <c r="C15" s="289"/>
      <c r="D15" s="290"/>
      <c r="E15" s="291"/>
      <c r="F15" s="285"/>
      <c r="G15" s="292"/>
      <c r="H15" s="293"/>
      <c r="I15" s="203"/>
    </row>
    <row r="16" spans="1:9" s="197" customFormat="1" ht="19.95" customHeight="1">
      <c r="A16" s="280"/>
      <c r="B16" s="281"/>
      <c r="C16" s="282"/>
      <c r="D16" s="283"/>
      <c r="E16" s="284"/>
      <c r="F16" s="285"/>
      <c r="G16" s="286"/>
      <c r="H16" s="287"/>
      <c r="I16" s="205"/>
    </row>
    <row r="17" spans="1:8" s="197" customFormat="1" ht="25.2">
      <c r="A17" s="452" t="s">
        <v>1030</v>
      </c>
      <c r="B17" s="453"/>
      <c r="C17" s="453"/>
      <c r="D17" s="453"/>
      <c r="E17" s="453"/>
      <c r="F17" s="454"/>
      <c r="G17" s="320">
        <f>SUM(G9:G16)</f>
        <v>0</v>
      </c>
      <c r="H17" s="294"/>
    </row>
    <row r="18" spans="1:8" ht="31.8">
      <c r="A18" s="295"/>
      <c r="B18" s="295"/>
      <c r="C18" s="295"/>
      <c r="D18" s="295"/>
      <c r="E18" s="295"/>
      <c r="F18" s="295"/>
      <c r="G18" s="295"/>
      <c r="H18" s="295"/>
    </row>
    <row r="19" spans="1:8" ht="45.6" customHeight="1">
      <c r="A19" s="295"/>
      <c r="B19" s="295"/>
      <c r="C19" s="295"/>
      <c r="D19" s="295"/>
      <c r="E19" s="455" t="s">
        <v>1101</v>
      </c>
      <c r="F19" s="455"/>
      <c r="G19" s="455"/>
      <c r="H19" s="455"/>
    </row>
    <row r="20" spans="1:8" ht="45.6" customHeight="1">
      <c r="A20" s="295"/>
      <c r="B20" s="295"/>
      <c r="C20" s="295"/>
      <c r="D20" s="295"/>
      <c r="E20" s="456" t="s">
        <v>746</v>
      </c>
      <c r="F20" s="456"/>
      <c r="G20" s="456"/>
      <c r="H20" s="456"/>
    </row>
    <row r="21" spans="1:8" ht="31.8">
      <c r="A21" s="295"/>
      <c r="B21" s="295"/>
      <c r="C21" s="295"/>
      <c r="D21" s="295"/>
      <c r="E21" s="295"/>
      <c r="F21" s="295"/>
      <c r="G21" s="275"/>
      <c r="H21" s="212"/>
    </row>
    <row r="22" spans="1:8" ht="31.8">
      <c r="A22" s="295"/>
      <c r="B22" s="295"/>
      <c r="C22" s="295"/>
      <c r="D22" s="295"/>
      <c r="E22" s="295"/>
      <c r="F22" s="295"/>
      <c r="G22" s="275"/>
      <c r="H22" s="212"/>
    </row>
    <row r="23" spans="1:8">
      <c r="A23" s="295"/>
      <c r="B23" s="295"/>
      <c r="E23" s="456" t="str">
        <f>'Company information'!E9</f>
        <v>ជុំ សុភា</v>
      </c>
      <c r="F23" s="456"/>
      <c r="G23" s="456"/>
      <c r="H23" s="336" t="str">
        <f>'Company information'!F9</f>
        <v>ជា ហុកស័រ</v>
      </c>
    </row>
  </sheetData>
  <mergeCells count="13">
    <mergeCell ref="A17:F17"/>
    <mergeCell ref="E19:H19"/>
    <mergeCell ref="E20:H20"/>
    <mergeCell ref="E23:G23"/>
    <mergeCell ref="A1:H1"/>
    <mergeCell ref="A2:H2"/>
    <mergeCell ref="A3:H3"/>
    <mergeCell ref="H7:H8"/>
    <mergeCell ref="G7:G8"/>
    <mergeCell ref="A7:A8"/>
    <mergeCell ref="B7:B8"/>
    <mergeCell ref="C7:D7"/>
    <mergeCell ref="E7:F7"/>
  </mergeCells>
  <phoneticPr fontId="0" type="noConversion"/>
  <printOptions horizontalCentered="1"/>
  <pageMargins left="0.196850393700787" right="0.196850393700787" top="0.16" bottom="0.45" header="0.51" footer="0.196850393700787"/>
  <pageSetup paperSize="9" scale="72" fitToHeight="0" orientation="portrait" horizontalDpi="1200" r:id="rId1"/>
  <headerFooter alignWithMargins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7"/>
  <sheetViews>
    <sheetView view="pageBreakPreview" topLeftCell="A7" zoomScaleNormal="100" zoomScaleSheetLayoutView="100" workbookViewId="0">
      <selection activeCell="H19" sqref="H19"/>
    </sheetView>
  </sheetViews>
  <sheetFormatPr defaultColWidth="9.109375" defaultRowHeight="45.6"/>
  <cols>
    <col min="1" max="1" width="12.44140625" style="274" customWidth="1"/>
    <col min="2" max="2" width="32.88671875" style="274" customWidth="1"/>
    <col min="3" max="3" width="18.6640625" style="274" customWidth="1"/>
    <col min="4" max="4" width="11.109375" style="274" bestFit="1" customWidth="1"/>
    <col min="5" max="5" width="11.6640625" style="274" hidden="1" customWidth="1"/>
    <col min="6" max="6" width="13.44140625" style="274" hidden="1" customWidth="1"/>
    <col min="7" max="7" width="24.6640625" style="274" customWidth="1"/>
    <col min="8" max="8" width="42.44140625" style="274" customWidth="1"/>
    <col min="9" max="9" width="17.33203125" style="274" customWidth="1"/>
    <col min="10" max="10" width="12.44140625" style="1" bestFit="1" customWidth="1"/>
    <col min="11" max="11" width="12.6640625" style="1" customWidth="1"/>
    <col min="12" max="16384" width="9.109375" style="1"/>
  </cols>
  <sheetData>
    <row r="1" spans="1:11" s="296" customFormat="1" ht="27" customHeight="1">
      <c r="A1" s="457" t="s">
        <v>966</v>
      </c>
      <c r="B1" s="457"/>
      <c r="C1" s="457"/>
      <c r="D1" s="457"/>
      <c r="E1" s="457"/>
      <c r="F1" s="457"/>
      <c r="G1" s="457"/>
      <c r="H1" s="457"/>
      <c r="I1" s="457"/>
    </row>
    <row r="2" spans="1:11" s="296" customFormat="1" ht="23.4" customHeight="1">
      <c r="A2" s="457" t="s">
        <v>1051</v>
      </c>
      <c r="B2" s="457"/>
      <c r="C2" s="457"/>
      <c r="D2" s="457"/>
      <c r="E2" s="457"/>
      <c r="F2" s="457"/>
      <c r="G2" s="457"/>
      <c r="H2" s="457"/>
      <c r="I2" s="457"/>
      <c r="J2" s="441"/>
    </row>
    <row r="3" spans="1:11" s="296" customFormat="1" ht="28.95" customHeight="1">
      <c r="A3" s="457" t="s">
        <v>1157</v>
      </c>
      <c r="B3" s="457"/>
      <c r="C3" s="457"/>
      <c r="D3" s="457"/>
      <c r="E3" s="457"/>
      <c r="F3" s="457"/>
      <c r="G3" s="457"/>
      <c r="H3" s="457"/>
      <c r="I3" s="457"/>
      <c r="J3" s="441"/>
    </row>
    <row r="4" spans="1:11" s="296" customFormat="1" ht="22.8">
      <c r="A4" s="298" t="s">
        <v>970</v>
      </c>
      <c r="B4" s="209" t="str">
        <f>'Company information'!E2</f>
        <v> វ៉ាយអិលធី​ អ៊ិនធើណេសិនណល</v>
      </c>
      <c r="D4" s="210"/>
      <c r="E4" s="211"/>
      <c r="F4" s="212"/>
      <c r="G4" s="213" t="s">
        <v>967</v>
      </c>
      <c r="H4" s="477" t="str">
        <f>'Company information'!E8</f>
        <v>លោក ជុំ សុភា</v>
      </c>
      <c r="I4" s="477"/>
    </row>
    <row r="5" spans="1:11" s="296" customFormat="1" ht="22.8">
      <c r="A5" s="215" t="s">
        <v>1052</v>
      </c>
      <c r="B5" s="209" t="str">
        <f>'Company information'!E4</f>
        <v> L001-100192823</v>
      </c>
      <c r="C5" s="207"/>
      <c r="D5" s="210"/>
      <c r="E5" s="211"/>
      <c r="F5" s="210"/>
      <c r="G5" s="207"/>
      <c r="H5" s="477" t="str">
        <f>'Company information'!F8</f>
        <v>លោក ជា ហុកស័រ</v>
      </c>
      <c r="I5" s="477"/>
    </row>
    <row r="6" spans="1:11" s="296" customFormat="1" ht="22.8">
      <c r="A6" s="216" t="str">
        <f>'Company information'!E21</f>
        <v>ស្នើសុំបង្វិលសងអាករលើតម្លៃបន្ថែមតាមអនឡាញចុះថ្ងៃទី៣ ខែកុម្ភៈ ឆ្នាំ២០២៥</v>
      </c>
      <c r="B6" s="209"/>
      <c r="D6" s="210"/>
      <c r="E6" s="211"/>
      <c r="F6" s="212"/>
      <c r="G6" s="217" t="s">
        <v>969</v>
      </c>
      <c r="H6" s="478">
        <f>'Company information'!E22</f>
        <v>352496017</v>
      </c>
      <c r="I6" s="478"/>
    </row>
    <row r="7" spans="1:11" s="194" customFormat="1" ht="25.2">
      <c r="A7" s="466" t="s">
        <v>2</v>
      </c>
      <c r="B7" s="466" t="s">
        <v>760</v>
      </c>
      <c r="C7" s="468" t="s">
        <v>1080</v>
      </c>
      <c r="D7" s="469"/>
      <c r="E7" s="468" t="s">
        <v>9</v>
      </c>
      <c r="F7" s="469"/>
      <c r="G7" s="470" t="s">
        <v>962</v>
      </c>
      <c r="H7" s="467" t="s">
        <v>1146</v>
      </c>
      <c r="I7" s="466" t="s">
        <v>1166</v>
      </c>
      <c r="J7" s="300"/>
      <c r="K7" s="300"/>
    </row>
    <row r="8" spans="1:11" s="194" customFormat="1" ht="25.2">
      <c r="A8" s="466"/>
      <c r="B8" s="466"/>
      <c r="C8" s="265" t="s">
        <v>6</v>
      </c>
      <c r="D8" s="265" t="s">
        <v>7</v>
      </c>
      <c r="E8" s="265" t="s">
        <v>6</v>
      </c>
      <c r="F8" s="265" t="s">
        <v>958</v>
      </c>
      <c r="G8" s="471"/>
      <c r="H8" s="466"/>
      <c r="I8" s="466"/>
      <c r="J8" s="300" t="s">
        <v>1110</v>
      </c>
      <c r="K8" s="300" t="s">
        <v>1093</v>
      </c>
    </row>
    <row r="9" spans="1:11" s="2" customFormat="1" ht="17.399999999999999" customHeight="1">
      <c r="A9" s="266"/>
      <c r="B9" s="267"/>
      <c r="C9" s="268"/>
      <c r="D9" s="269"/>
      <c r="E9" s="270"/>
      <c r="F9" s="269"/>
      <c r="G9" s="271"/>
      <c r="H9" s="272"/>
      <c r="I9" s="272"/>
      <c r="J9" s="296"/>
      <c r="K9" s="296"/>
    </row>
    <row r="10" spans="1:11" s="2" customFormat="1" ht="21.6">
      <c r="A10" s="463" t="s">
        <v>1158</v>
      </c>
      <c r="B10" s="464"/>
      <c r="C10" s="464"/>
      <c r="D10" s="465"/>
      <c r="E10" s="270"/>
      <c r="F10" s="429"/>
      <c r="G10" s="430"/>
      <c r="H10" s="431"/>
      <c r="I10" s="431"/>
      <c r="J10" s="439"/>
      <c r="K10" s="296"/>
    </row>
    <row r="11" spans="1:11" s="2" customFormat="1" ht="21.6">
      <c r="A11" s="266">
        <v>1</v>
      </c>
      <c r="B11" s="428" t="s">
        <v>1148</v>
      </c>
      <c r="C11" s="361" t="s">
        <v>1150</v>
      </c>
      <c r="D11" s="269">
        <v>45503</v>
      </c>
      <c r="E11" s="270"/>
      <c r="F11" s="269"/>
      <c r="G11" s="432">
        <v>566431</v>
      </c>
      <c r="H11" s="432" t="s">
        <v>1090</v>
      </c>
      <c r="I11" s="432">
        <f>J11</f>
        <v>566431</v>
      </c>
      <c r="J11" s="440">
        <v>566431</v>
      </c>
      <c r="K11" s="440">
        <f>G11-J11</f>
        <v>0</v>
      </c>
    </row>
    <row r="12" spans="1:11" s="2" customFormat="1" ht="21.6">
      <c r="A12" s="266">
        <f t="shared" ref="A12:A15" si="0">A11+1</f>
        <v>2</v>
      </c>
      <c r="B12" s="428" t="s">
        <v>1140</v>
      </c>
      <c r="C12" s="361" t="s">
        <v>1153</v>
      </c>
      <c r="D12" s="269">
        <v>45373</v>
      </c>
      <c r="E12" s="270"/>
      <c r="F12" s="269"/>
      <c r="G12" s="271">
        <v>583920</v>
      </c>
      <c r="H12" s="271" t="s">
        <v>1147</v>
      </c>
      <c r="I12" s="432">
        <f t="shared" ref="I12:I15" si="1">J12</f>
        <v>0</v>
      </c>
      <c r="J12" s="440"/>
      <c r="K12" s="440">
        <f t="shared" ref="K12:K17" si="2">G12-J12</f>
        <v>583920</v>
      </c>
    </row>
    <row r="13" spans="1:11" s="2" customFormat="1" ht="21.6">
      <c r="A13" s="266">
        <f t="shared" si="0"/>
        <v>3</v>
      </c>
      <c r="B13" s="428" t="s">
        <v>1159</v>
      </c>
      <c r="C13" s="361" t="s">
        <v>1152</v>
      </c>
      <c r="D13" s="269">
        <v>45401</v>
      </c>
      <c r="E13" s="270"/>
      <c r="F13" s="269"/>
      <c r="G13" s="271">
        <v>569736</v>
      </c>
      <c r="H13" s="271" t="s">
        <v>1160</v>
      </c>
      <c r="I13" s="432">
        <f t="shared" si="1"/>
        <v>0</v>
      </c>
      <c r="J13" s="440"/>
      <c r="K13" s="440">
        <f t="shared" si="2"/>
        <v>569736</v>
      </c>
    </row>
    <row r="14" spans="1:11" s="2" customFormat="1" ht="21.6">
      <c r="A14" s="266">
        <f t="shared" si="0"/>
        <v>4</v>
      </c>
      <c r="B14" s="428" t="s">
        <v>1149</v>
      </c>
      <c r="C14" s="361" t="s">
        <v>1154</v>
      </c>
      <c r="D14" s="269">
        <v>45434</v>
      </c>
      <c r="E14" s="270"/>
      <c r="F14" s="269"/>
      <c r="G14" s="271">
        <v>552821</v>
      </c>
      <c r="H14" s="271" t="s">
        <v>1161</v>
      </c>
      <c r="I14" s="432">
        <f t="shared" si="1"/>
        <v>0</v>
      </c>
      <c r="J14" s="440"/>
      <c r="K14" s="440">
        <f t="shared" si="2"/>
        <v>552821</v>
      </c>
    </row>
    <row r="15" spans="1:11" s="2" customFormat="1" ht="21.6">
      <c r="A15" s="266">
        <f t="shared" si="0"/>
        <v>5</v>
      </c>
      <c r="B15" s="428" t="s">
        <v>1149</v>
      </c>
      <c r="C15" s="361" t="s">
        <v>1155</v>
      </c>
      <c r="D15" s="269">
        <v>45462</v>
      </c>
      <c r="E15" s="270"/>
      <c r="F15" s="269"/>
      <c r="G15" s="271">
        <v>554476</v>
      </c>
      <c r="H15" s="271" t="s">
        <v>1161</v>
      </c>
      <c r="I15" s="432">
        <f t="shared" si="1"/>
        <v>0</v>
      </c>
      <c r="J15" s="440"/>
      <c r="K15" s="440">
        <f t="shared" si="2"/>
        <v>554476</v>
      </c>
    </row>
    <row r="16" spans="1:11" s="2" customFormat="1" ht="21.6">
      <c r="A16" s="463" t="s">
        <v>1162</v>
      </c>
      <c r="B16" s="464"/>
      <c r="C16" s="464"/>
      <c r="D16" s="465"/>
      <c r="E16" s="270"/>
      <c r="F16" s="429"/>
      <c r="G16" s="430"/>
      <c r="H16" s="433"/>
      <c r="I16" s="434"/>
      <c r="J16" s="440"/>
      <c r="K16" s="440"/>
    </row>
    <row r="17" spans="1:11" s="2" customFormat="1" ht="21.6">
      <c r="A17" s="266">
        <v>1</v>
      </c>
      <c r="B17" s="428" t="s">
        <v>1145</v>
      </c>
      <c r="C17" s="361" t="s">
        <v>1151</v>
      </c>
      <c r="D17" s="269">
        <v>45352</v>
      </c>
      <c r="E17" s="270"/>
      <c r="F17" s="269"/>
      <c r="G17" s="432">
        <v>50262</v>
      </c>
      <c r="H17" s="432" t="s">
        <v>1090</v>
      </c>
      <c r="I17" s="432">
        <v>5000</v>
      </c>
      <c r="J17" s="440">
        <v>5000</v>
      </c>
      <c r="K17" s="440">
        <f>G17-J17</f>
        <v>45262</v>
      </c>
    </row>
    <row r="18" spans="1:11" ht="24.6" customHeight="1">
      <c r="A18" s="273"/>
      <c r="B18" s="273"/>
      <c r="C18" s="273"/>
      <c r="D18" s="273"/>
      <c r="E18" s="273"/>
      <c r="F18" s="273"/>
      <c r="G18" s="273"/>
      <c r="H18" s="273"/>
      <c r="I18" s="273"/>
      <c r="J18" s="274"/>
      <c r="K18" s="274"/>
    </row>
    <row r="19" spans="1:11" ht="30">
      <c r="A19" s="474" t="s">
        <v>1163</v>
      </c>
      <c r="B19" s="475"/>
      <c r="C19" s="475"/>
      <c r="D19" s="476"/>
      <c r="E19" s="438"/>
      <c r="F19" s="438"/>
      <c r="G19" s="321">
        <f>SUM(G10:G18)</f>
        <v>2877646</v>
      </c>
      <c r="H19" s="435" t="s">
        <v>1164</v>
      </c>
      <c r="I19" s="436">
        <f>SUM(I11:I18)</f>
        <v>571431</v>
      </c>
      <c r="J19" s="436">
        <f>SUM(J11:J18)</f>
        <v>571431</v>
      </c>
      <c r="K19" s="436">
        <f>SUM(K11:K18)</f>
        <v>2306215</v>
      </c>
    </row>
    <row r="20" spans="1:11" ht="30" customHeight="1">
      <c r="A20" s="472" t="s">
        <v>1165</v>
      </c>
      <c r="B20" s="472"/>
      <c r="C20" s="472"/>
      <c r="D20" s="472"/>
      <c r="E20" s="472"/>
      <c r="F20" s="472"/>
      <c r="G20" s="472"/>
      <c r="H20" s="472"/>
      <c r="I20" s="472"/>
      <c r="J20" s="437"/>
    </row>
    <row r="21" spans="1:11" ht="39.6" customHeight="1">
      <c r="A21" s="473"/>
      <c r="B21" s="473"/>
      <c r="C21" s="473"/>
      <c r="D21" s="473"/>
      <c r="E21" s="473"/>
      <c r="F21" s="473"/>
      <c r="G21" s="473"/>
      <c r="H21" s="473"/>
      <c r="I21" s="473"/>
    </row>
    <row r="22" spans="1:11" ht="18.75" customHeight="1"/>
    <row r="23" spans="1:11" ht="31.5" customHeight="1">
      <c r="F23" s="295"/>
      <c r="G23" s="456" t="s">
        <v>1101</v>
      </c>
      <c r="H23" s="456"/>
      <c r="I23" s="360"/>
    </row>
    <row r="24" spans="1:11" ht="37.5" customHeight="1">
      <c r="F24" s="295"/>
      <c r="G24" s="456" t="s">
        <v>746</v>
      </c>
      <c r="H24" s="456"/>
      <c r="I24" s="360"/>
    </row>
    <row r="25" spans="1:11" ht="30.6" customHeight="1">
      <c r="G25" s="275"/>
      <c r="H25" s="212"/>
      <c r="I25" s="212"/>
    </row>
    <row r="26" spans="1:11" ht="19.5" customHeight="1">
      <c r="G26" s="275"/>
      <c r="H26" s="212"/>
      <c r="I26" s="212"/>
    </row>
    <row r="27" spans="1:11" ht="34.200000000000003" customHeight="1">
      <c r="F27" s="295"/>
      <c r="G27" s="311" t="str">
        <f>'Company information'!E9</f>
        <v>ជុំ សុភា</v>
      </c>
      <c r="H27" s="311" t="str">
        <f>'Company information'!F9</f>
        <v>ជា ហុកស័រ</v>
      </c>
      <c r="I27" s="360"/>
    </row>
  </sheetData>
  <autoFilter ref="A9:K17" xr:uid="{00000000-0009-0000-0000-000002000000}"/>
  <mergeCells count="19">
    <mergeCell ref="A1:I1"/>
    <mergeCell ref="A2:I2"/>
    <mergeCell ref="A3:I3"/>
    <mergeCell ref="I7:I8"/>
    <mergeCell ref="H4:I4"/>
    <mergeCell ref="H5:I5"/>
    <mergeCell ref="H6:I6"/>
    <mergeCell ref="A10:D10"/>
    <mergeCell ref="A16:D16"/>
    <mergeCell ref="G23:H23"/>
    <mergeCell ref="G24:H24"/>
    <mergeCell ref="A7:A8"/>
    <mergeCell ref="B7:B8"/>
    <mergeCell ref="H7:H8"/>
    <mergeCell ref="C7:D7"/>
    <mergeCell ref="E7:F7"/>
    <mergeCell ref="G7:G8"/>
    <mergeCell ref="A20:I21"/>
    <mergeCell ref="A19:D19"/>
  </mergeCells>
  <printOptions horizontalCentered="1"/>
  <pageMargins left="0.196850393700787" right="0.196850393700787" top="0.16" bottom="0.45" header="0.51" footer="0.196850393700787"/>
  <pageSetup paperSize="9" scale="64" fitToHeight="0" orientation="portrait" horizontalDpi="1200" r:id="rId1"/>
  <headerFooter alignWithMargins="0">
    <oddFooter>Page &amp;P of &amp;N</oddFooter>
  </headerFooter>
  <colBreaks count="1" manualBreakCount="1">
    <brk id="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752"/>
  <sheetViews>
    <sheetView view="pageBreakPreview" zoomScale="70" zoomScaleNormal="70" zoomScaleSheetLayoutView="70" workbookViewId="0">
      <pane xSplit="1" ySplit="9" topLeftCell="B79" activePane="bottomRight" state="frozen"/>
      <selection pane="topRight" activeCell="B1" sqref="B1"/>
      <selection pane="bottomLeft" activeCell="A10" sqref="A10"/>
      <selection pane="bottomRight" activeCell="A722" sqref="A79:A722"/>
    </sheetView>
  </sheetViews>
  <sheetFormatPr defaultColWidth="9.109375" defaultRowHeight="22.8"/>
  <cols>
    <col min="1" max="1" width="12.109375" style="242" customWidth="1"/>
    <col min="2" max="2" width="40.109375" style="207" customWidth="1"/>
    <col min="3" max="3" width="43" style="207" customWidth="1"/>
    <col min="4" max="4" width="23" style="242" bestFit="1" customWidth="1"/>
    <col min="5" max="5" width="20.44140625" style="242" customWidth="1"/>
    <col min="6" max="6" width="14" style="207" customWidth="1"/>
    <col min="7" max="7" width="20.109375" style="207" hidden="1" customWidth="1"/>
    <col min="8" max="8" width="20.109375" style="243" hidden="1" customWidth="1"/>
    <col min="9" max="9" width="18.6640625" style="207" customWidth="1"/>
    <col min="10" max="10" width="23.109375" style="207" bestFit="1" customWidth="1"/>
    <col min="11" max="11" width="13.88671875" style="207" customWidth="1"/>
    <col min="12" max="12" width="35.33203125" style="346" bestFit="1" customWidth="1"/>
    <col min="13" max="13" width="16.6640625" style="346" bestFit="1" customWidth="1"/>
    <col min="14" max="14" width="34.109375" style="346" customWidth="1"/>
    <col min="15" max="17" width="15" style="207" customWidth="1"/>
    <col min="18" max="18" width="18.33203125" style="207" bestFit="1" customWidth="1"/>
    <col min="19" max="19" width="13.33203125" style="343" customWidth="1"/>
    <col min="20" max="27" width="20.33203125" style="346" customWidth="1"/>
    <col min="28" max="29" width="13.33203125" style="346" customWidth="1"/>
    <col min="30" max="30" width="15.6640625" style="346" customWidth="1"/>
    <col min="31" max="31" width="13.33203125" style="346" customWidth="1"/>
    <col min="32" max="32" width="14.44140625" style="207" customWidth="1"/>
    <col min="33" max="16384" width="9.109375" style="207"/>
  </cols>
  <sheetData>
    <row r="1" spans="1:36" s="337" customFormat="1" ht="24.6">
      <c r="A1" s="500" t="s">
        <v>1058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1"/>
      <c r="M1" s="349"/>
      <c r="N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</row>
    <row r="2" spans="1:36" s="337" customFormat="1" ht="24.6">
      <c r="A2" s="500" t="s">
        <v>1051</v>
      </c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1"/>
      <c r="M2" s="349"/>
      <c r="N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  <c r="AE2" s="349"/>
    </row>
    <row r="3" spans="1:36" s="337" customFormat="1" ht="24.6">
      <c r="A3" s="500" t="s">
        <v>957</v>
      </c>
      <c r="B3" s="500"/>
      <c r="C3" s="500"/>
      <c r="D3" s="500"/>
      <c r="E3" s="500"/>
      <c r="F3" s="500"/>
      <c r="G3" s="500"/>
      <c r="H3" s="500"/>
      <c r="I3" s="500"/>
      <c r="J3" s="500"/>
      <c r="K3" s="500"/>
      <c r="L3" s="501"/>
      <c r="M3" s="349"/>
      <c r="N3" s="349"/>
      <c r="T3" s="349"/>
      <c r="U3" s="349"/>
      <c r="V3" s="349"/>
      <c r="W3" s="349"/>
      <c r="X3" s="349"/>
      <c r="Y3" s="349"/>
      <c r="Z3" s="349"/>
      <c r="AA3" s="349"/>
      <c r="AB3" s="349"/>
      <c r="AC3" s="349"/>
      <c r="AD3" s="349"/>
      <c r="AE3" s="349"/>
    </row>
    <row r="4" spans="1:36" s="337" customFormat="1" ht="24.6">
      <c r="A4" s="338" t="s">
        <v>970</v>
      </c>
      <c r="B4" s="326" t="str">
        <f>'Company information'!E2</f>
        <v> វ៉ាយអិលធី​ អ៊ិនធើណេសិនណល</v>
      </c>
      <c r="D4" s="327"/>
      <c r="E4" s="328"/>
      <c r="F4" s="324"/>
      <c r="H4" s="332"/>
      <c r="I4" s="339" t="s">
        <v>967</v>
      </c>
      <c r="K4" s="330" t="str">
        <f>'Company information'!E8</f>
        <v>លោក ជុំ សុភា</v>
      </c>
      <c r="L4" s="349"/>
      <c r="M4" s="349"/>
      <c r="N4" s="349"/>
      <c r="T4" s="349"/>
      <c r="U4" s="349"/>
      <c r="V4" s="349"/>
      <c r="W4" s="349"/>
      <c r="X4" s="349"/>
      <c r="Y4" s="349"/>
      <c r="Z4" s="349"/>
      <c r="AA4" s="349"/>
      <c r="AB4" s="349"/>
      <c r="AC4" s="349"/>
      <c r="AD4" s="349"/>
      <c r="AE4" s="349"/>
    </row>
    <row r="5" spans="1:36" s="337" customFormat="1" ht="24.6">
      <c r="A5" s="331" t="s">
        <v>1052</v>
      </c>
      <c r="B5" s="326" t="str">
        <f>'Company information'!E4</f>
        <v> L001-100192823</v>
      </c>
      <c r="D5" s="327"/>
      <c r="E5" s="328"/>
      <c r="F5" s="327"/>
      <c r="G5" s="332"/>
      <c r="H5" s="332"/>
      <c r="K5" s="330" t="str">
        <f>'Company information'!F8</f>
        <v>លោក ជា ហុកស័រ</v>
      </c>
      <c r="L5" s="508" t="s">
        <v>1130</v>
      </c>
      <c r="M5" s="508"/>
      <c r="N5" s="508"/>
      <c r="O5" s="508"/>
      <c r="P5" s="508"/>
      <c r="Q5" s="508"/>
      <c r="R5" s="480" t="s">
        <v>1132</v>
      </c>
      <c r="S5" s="480"/>
      <c r="T5" s="479" t="s">
        <v>1156</v>
      </c>
      <c r="U5" s="479"/>
      <c r="V5" s="479"/>
      <c r="W5" s="479"/>
      <c r="X5" s="479"/>
      <c r="Y5" s="479"/>
      <c r="Z5" s="479"/>
      <c r="AA5" s="479"/>
      <c r="AB5" s="479"/>
      <c r="AC5" s="479"/>
      <c r="AD5" s="479"/>
      <c r="AE5" s="479"/>
      <c r="AF5" s="479"/>
      <c r="AG5" s="479"/>
      <c r="AH5" s="479"/>
      <c r="AI5" s="479"/>
      <c r="AJ5" s="479"/>
    </row>
    <row r="6" spans="1:36" s="337" customFormat="1" ht="24.6">
      <c r="A6" s="333" t="str">
        <f>'Company information'!E21</f>
        <v>ស្នើសុំបង្វិលសងអាករលើតម្លៃបន្ថែមតាមអនឡាញចុះថ្ងៃទី៣ ខែកុម្ភៈ ឆ្នាំ២០២៥</v>
      </c>
      <c r="B6" s="326"/>
      <c r="D6" s="327"/>
      <c r="E6" s="328"/>
      <c r="F6" s="324"/>
      <c r="H6" s="332"/>
      <c r="I6" s="340" t="s">
        <v>969</v>
      </c>
      <c r="J6" s="507">
        <f>'Company information'!E22</f>
        <v>352496017</v>
      </c>
      <c r="K6" s="507"/>
      <c r="L6" s="508"/>
      <c r="M6" s="508"/>
      <c r="N6" s="508"/>
      <c r="O6" s="508"/>
      <c r="P6" s="508"/>
      <c r="Q6" s="508"/>
      <c r="R6" s="480"/>
      <c r="S6" s="480"/>
      <c r="T6" s="479"/>
      <c r="U6" s="479"/>
      <c r="V6" s="479"/>
      <c r="W6" s="479"/>
      <c r="X6" s="479"/>
      <c r="Y6" s="479"/>
      <c r="Z6" s="479"/>
      <c r="AA6" s="479"/>
      <c r="AB6" s="479"/>
      <c r="AC6" s="479"/>
      <c r="AD6" s="479"/>
      <c r="AE6" s="479"/>
      <c r="AF6" s="479"/>
      <c r="AG6" s="479"/>
      <c r="AH6" s="479"/>
      <c r="AI6" s="479"/>
      <c r="AJ6" s="479"/>
    </row>
    <row r="7" spans="1:36" ht="25.2" customHeight="1" thickBot="1">
      <c r="A7" s="502" t="s">
        <v>2</v>
      </c>
      <c r="B7" s="502" t="s">
        <v>760</v>
      </c>
      <c r="C7" s="502" t="s">
        <v>5</v>
      </c>
      <c r="D7" s="487" t="s">
        <v>759</v>
      </c>
      <c r="E7" s="505" t="s">
        <v>734</v>
      </c>
      <c r="F7" s="506"/>
      <c r="G7" s="505" t="s">
        <v>1033</v>
      </c>
      <c r="H7" s="516"/>
      <c r="I7" s="506"/>
      <c r="J7" s="487" t="s">
        <v>1084</v>
      </c>
      <c r="K7" s="487" t="s">
        <v>1085</v>
      </c>
      <c r="L7" s="509"/>
      <c r="N7" s="517" t="s">
        <v>1167</v>
      </c>
      <c r="O7" s="499" t="s">
        <v>1116</v>
      </c>
      <c r="P7" s="499" t="s">
        <v>1115</v>
      </c>
      <c r="Q7" s="499" t="s">
        <v>1129</v>
      </c>
      <c r="R7" s="492" t="s">
        <v>1131</v>
      </c>
      <c r="S7" s="487" t="s">
        <v>1114</v>
      </c>
      <c r="T7" s="488" t="s">
        <v>1117</v>
      </c>
      <c r="U7" s="494" t="s">
        <v>1118</v>
      </c>
      <c r="V7" s="494" t="s">
        <v>1119</v>
      </c>
      <c r="W7" s="496" t="s">
        <v>758</v>
      </c>
      <c r="X7" s="498"/>
      <c r="Y7" s="497"/>
      <c r="Z7" s="490" t="s">
        <v>1120</v>
      </c>
      <c r="AA7" s="496" t="s">
        <v>1121</v>
      </c>
      <c r="AB7" s="497"/>
      <c r="AC7" s="494" t="s">
        <v>1113</v>
      </c>
      <c r="AD7" s="496" t="s">
        <v>1089</v>
      </c>
      <c r="AE7" s="497"/>
      <c r="AF7" s="486" t="s">
        <v>1055</v>
      </c>
      <c r="AG7" s="485"/>
    </row>
    <row r="8" spans="1:36" ht="25.2" customHeight="1" thickBot="1">
      <c r="A8" s="503"/>
      <c r="B8" s="503"/>
      <c r="C8" s="503"/>
      <c r="D8" s="504"/>
      <c r="E8" s="219" t="s">
        <v>6</v>
      </c>
      <c r="F8" s="219" t="s">
        <v>958</v>
      </c>
      <c r="G8" s="219" t="s">
        <v>1034</v>
      </c>
      <c r="H8" s="220" t="s">
        <v>959</v>
      </c>
      <c r="I8" s="220" t="s">
        <v>960</v>
      </c>
      <c r="J8" s="486"/>
      <c r="K8" s="504"/>
      <c r="L8" s="510"/>
      <c r="N8" s="518"/>
      <c r="O8" s="493"/>
      <c r="P8" s="499"/>
      <c r="Q8" s="493"/>
      <c r="R8" s="493"/>
      <c r="S8" s="486"/>
      <c r="T8" s="489"/>
      <c r="U8" s="495"/>
      <c r="V8" s="495"/>
      <c r="W8" s="412" t="s">
        <v>1122</v>
      </c>
      <c r="X8" s="412" t="s">
        <v>1123</v>
      </c>
      <c r="Y8" s="412" t="s">
        <v>1124</v>
      </c>
      <c r="Z8" s="491"/>
      <c r="AA8" s="413" t="s">
        <v>1125</v>
      </c>
      <c r="AB8" s="412" t="s">
        <v>1126</v>
      </c>
      <c r="AC8" s="495"/>
      <c r="AD8" s="413" t="s">
        <v>1127</v>
      </c>
      <c r="AE8" s="412" t="s">
        <v>1128</v>
      </c>
      <c r="AF8" s="486"/>
      <c r="AG8" s="485"/>
    </row>
    <row r="9" spans="1:36" ht="25.2" customHeight="1">
      <c r="A9" s="221"/>
      <c r="B9" s="221"/>
      <c r="C9" s="221"/>
      <c r="D9" s="222"/>
      <c r="E9" s="221"/>
      <c r="F9" s="221"/>
      <c r="G9" s="221"/>
      <c r="H9" s="223"/>
      <c r="I9" s="223"/>
      <c r="J9" s="223"/>
      <c r="K9" s="350"/>
      <c r="L9" s="224" t="s">
        <v>1110</v>
      </c>
      <c r="M9" s="225" t="s">
        <v>1035</v>
      </c>
      <c r="N9" s="225"/>
      <c r="O9" s="225"/>
      <c r="P9" s="225"/>
      <c r="Q9" s="225"/>
      <c r="R9" s="225"/>
      <c r="S9" s="225"/>
      <c r="T9" s="352"/>
      <c r="U9" s="352"/>
      <c r="V9" s="352"/>
      <c r="W9" s="352"/>
      <c r="X9" s="352"/>
      <c r="Y9" s="352"/>
      <c r="Z9" s="352"/>
      <c r="AA9" s="352"/>
      <c r="AB9" s="352"/>
      <c r="AC9" s="352"/>
      <c r="AD9" s="352"/>
      <c r="AE9" s="352"/>
      <c r="AF9" s="226"/>
    </row>
    <row r="10" spans="1:36">
      <c r="A10" s="225">
        <v>1</v>
      </c>
      <c r="B10" s="227" t="s">
        <v>1183</v>
      </c>
      <c r="C10" s="227" t="s">
        <v>1760</v>
      </c>
      <c r="D10" s="228" t="s">
        <v>1761</v>
      </c>
      <c r="E10" s="229" t="s">
        <v>1762</v>
      </c>
      <c r="F10" s="342">
        <v>44925</v>
      </c>
      <c r="G10" s="230"/>
      <c r="H10" s="231"/>
      <c r="I10" s="231">
        <v>1646800</v>
      </c>
      <c r="J10" s="226" t="s">
        <v>2388</v>
      </c>
      <c r="K10" s="226"/>
      <c r="L10" s="345">
        <v>1646800</v>
      </c>
      <c r="M10" s="346">
        <v>0</v>
      </c>
      <c r="N10" s="226"/>
      <c r="O10" s="232"/>
      <c r="P10" s="232"/>
      <c r="Q10" s="232"/>
      <c r="R10" s="232"/>
      <c r="S10" s="414"/>
      <c r="T10" s="415"/>
      <c r="U10" s="414"/>
      <c r="V10" s="414"/>
      <c r="W10" s="414"/>
      <c r="X10" s="414"/>
      <c r="Y10" s="414"/>
      <c r="Z10" s="416"/>
      <c r="AA10" s="416"/>
      <c r="AB10" s="414"/>
      <c r="AC10" s="414"/>
      <c r="AD10" s="416"/>
      <c r="AE10" s="414"/>
      <c r="AF10" s="233"/>
    </row>
    <row r="11" spans="1:36">
      <c r="A11" s="225">
        <f>A10+1</f>
        <v>2</v>
      </c>
      <c r="B11" s="227" t="s">
        <v>1184</v>
      </c>
      <c r="C11" s="227" t="s">
        <v>1763</v>
      </c>
      <c r="D11" s="228" t="s">
        <v>1764</v>
      </c>
      <c r="E11" s="229" t="s">
        <v>1765</v>
      </c>
      <c r="F11" s="342">
        <v>44925</v>
      </c>
      <c r="G11" s="230"/>
      <c r="H11" s="231"/>
      <c r="I11" s="231">
        <v>2901939</v>
      </c>
      <c r="J11" s="226" t="s">
        <v>2388</v>
      </c>
      <c r="K11" s="226"/>
      <c r="L11" s="345">
        <v>2901939</v>
      </c>
      <c r="M11" s="346">
        <v>0</v>
      </c>
      <c r="N11" s="226"/>
      <c r="O11" s="232"/>
      <c r="P11" s="232"/>
      <c r="Q11" s="232"/>
      <c r="R11" s="232"/>
      <c r="S11" s="414"/>
      <c r="T11" s="415"/>
      <c r="U11" s="414"/>
      <c r="V11" s="414"/>
      <c r="W11" s="414"/>
      <c r="X11" s="414"/>
      <c r="Y11" s="414"/>
      <c r="Z11" s="416"/>
      <c r="AA11" s="416"/>
      <c r="AB11" s="414"/>
      <c r="AC11" s="414"/>
      <c r="AD11" s="416"/>
      <c r="AE11" s="414"/>
      <c r="AF11" s="233"/>
    </row>
    <row r="12" spans="1:36">
      <c r="A12" s="225">
        <f t="shared" ref="A12:A75" si="0">A11+1</f>
        <v>3</v>
      </c>
      <c r="B12" s="227" t="s">
        <v>1185</v>
      </c>
      <c r="C12" s="227" t="s">
        <v>1766</v>
      </c>
      <c r="D12" s="228" t="s">
        <v>1767</v>
      </c>
      <c r="E12" s="229" t="s">
        <v>1768</v>
      </c>
      <c r="F12" s="342">
        <v>44925</v>
      </c>
      <c r="G12" s="230"/>
      <c r="H12" s="231"/>
      <c r="I12" s="231">
        <v>2881900</v>
      </c>
      <c r="J12" s="226" t="s">
        <v>2388</v>
      </c>
      <c r="K12" s="226"/>
      <c r="L12" s="345">
        <v>2881900</v>
      </c>
      <c r="M12" s="346">
        <v>0</v>
      </c>
      <c r="N12" s="226"/>
      <c r="O12" s="232"/>
      <c r="P12" s="232"/>
      <c r="Q12" s="232"/>
      <c r="R12" s="232"/>
      <c r="S12" s="414"/>
      <c r="T12" s="415"/>
      <c r="U12" s="414"/>
      <c r="V12" s="414"/>
      <c r="W12" s="414"/>
      <c r="X12" s="414"/>
      <c r="Y12" s="414"/>
      <c r="Z12" s="416"/>
      <c r="AA12" s="416"/>
      <c r="AB12" s="414"/>
      <c r="AC12" s="414"/>
      <c r="AD12" s="416"/>
      <c r="AE12" s="414"/>
      <c r="AF12" s="233"/>
    </row>
    <row r="13" spans="1:36">
      <c r="A13" s="225">
        <f t="shared" si="0"/>
        <v>4</v>
      </c>
      <c r="B13" s="227" t="s">
        <v>1186</v>
      </c>
      <c r="C13" s="227" t="s">
        <v>1769</v>
      </c>
      <c r="D13" s="228" t="s">
        <v>1770</v>
      </c>
      <c r="E13" s="229">
        <v>22001447</v>
      </c>
      <c r="F13" s="342">
        <v>44925</v>
      </c>
      <c r="G13" s="230"/>
      <c r="H13" s="231"/>
      <c r="I13" s="231">
        <v>1006359</v>
      </c>
      <c r="J13" s="226" t="s">
        <v>2388</v>
      </c>
      <c r="K13" s="226"/>
      <c r="L13" s="345">
        <v>1006359</v>
      </c>
      <c r="M13" s="346">
        <v>0</v>
      </c>
      <c r="N13" s="226"/>
      <c r="O13" s="232"/>
      <c r="P13" s="232"/>
      <c r="Q13" s="232"/>
      <c r="R13" s="232"/>
      <c r="S13" s="414"/>
      <c r="T13" s="415"/>
      <c r="U13" s="414"/>
      <c r="V13" s="414"/>
      <c r="W13" s="414"/>
      <c r="X13" s="414"/>
      <c r="Y13" s="414"/>
      <c r="Z13" s="416"/>
      <c r="AA13" s="416"/>
      <c r="AB13" s="414"/>
      <c r="AC13" s="414"/>
      <c r="AD13" s="416"/>
      <c r="AE13" s="414"/>
      <c r="AF13" s="233"/>
    </row>
    <row r="14" spans="1:36">
      <c r="A14" s="225">
        <f t="shared" si="0"/>
        <v>5</v>
      </c>
      <c r="B14" s="227" t="s">
        <v>1187</v>
      </c>
      <c r="C14" s="227" t="s">
        <v>1771</v>
      </c>
      <c r="D14" s="228" t="s">
        <v>1772</v>
      </c>
      <c r="E14" s="363" t="s">
        <v>1773</v>
      </c>
      <c r="F14" s="342">
        <v>44925</v>
      </c>
      <c r="G14" s="230"/>
      <c r="H14" s="231"/>
      <c r="I14" s="231">
        <v>90739</v>
      </c>
      <c r="J14" s="226" t="s">
        <v>2388</v>
      </c>
      <c r="K14" s="226"/>
      <c r="L14" s="345">
        <v>90739</v>
      </c>
      <c r="M14" s="346">
        <v>0</v>
      </c>
      <c r="N14" s="226" t="s">
        <v>2393</v>
      </c>
      <c r="O14" s="232"/>
      <c r="P14" s="232"/>
      <c r="Q14" s="232"/>
      <c r="R14" s="232"/>
      <c r="S14" s="414"/>
      <c r="T14" s="415"/>
      <c r="U14" s="414"/>
      <c r="V14" s="414"/>
      <c r="W14" s="414"/>
      <c r="X14" s="414"/>
      <c r="Y14" s="414"/>
      <c r="Z14" s="416"/>
      <c r="AA14" s="416"/>
      <c r="AB14" s="414"/>
      <c r="AC14" s="414"/>
      <c r="AD14" s="416"/>
      <c r="AE14" s="414"/>
      <c r="AF14" s="233"/>
    </row>
    <row r="15" spans="1:36">
      <c r="A15" s="225">
        <f t="shared" si="0"/>
        <v>6</v>
      </c>
      <c r="B15" s="227" t="s">
        <v>1188</v>
      </c>
      <c r="C15" s="227" t="s">
        <v>1774</v>
      </c>
      <c r="D15" s="228" t="s">
        <v>1775</v>
      </c>
      <c r="E15" s="363">
        <v>902366</v>
      </c>
      <c r="F15" s="342">
        <v>44923</v>
      </c>
      <c r="G15" s="230"/>
      <c r="H15" s="231"/>
      <c r="I15" s="231">
        <v>67881</v>
      </c>
      <c r="J15" s="226" t="s">
        <v>2388</v>
      </c>
      <c r="K15" s="226"/>
      <c r="L15" s="345">
        <v>67881</v>
      </c>
      <c r="M15" s="346">
        <v>0</v>
      </c>
      <c r="N15" s="226" t="s">
        <v>2394</v>
      </c>
      <c r="O15" s="232"/>
      <c r="P15" s="232"/>
      <c r="Q15" s="232"/>
      <c r="R15" s="232"/>
      <c r="S15" s="414"/>
      <c r="T15" s="415"/>
      <c r="U15" s="414"/>
      <c r="V15" s="414"/>
      <c r="W15" s="414"/>
      <c r="X15" s="414"/>
      <c r="Y15" s="414"/>
      <c r="Z15" s="416"/>
      <c r="AA15" s="416"/>
      <c r="AB15" s="414"/>
      <c r="AC15" s="414"/>
      <c r="AD15" s="416"/>
      <c r="AE15" s="414"/>
      <c r="AF15" s="233"/>
    </row>
    <row r="16" spans="1:36">
      <c r="A16" s="225">
        <f t="shared" si="0"/>
        <v>7</v>
      </c>
      <c r="B16" s="227" t="s">
        <v>1189</v>
      </c>
      <c r="C16" s="227" t="s">
        <v>1776</v>
      </c>
      <c r="D16" s="228" t="s">
        <v>1777</v>
      </c>
      <c r="E16" s="363">
        <v>221903</v>
      </c>
      <c r="F16" s="342">
        <v>44916</v>
      </c>
      <c r="G16" s="230"/>
      <c r="H16" s="231"/>
      <c r="I16" s="231">
        <v>2058000</v>
      </c>
      <c r="J16" s="226" t="s">
        <v>2388</v>
      </c>
      <c r="K16" s="226"/>
      <c r="L16" s="345">
        <v>2058000</v>
      </c>
      <c r="M16" s="346">
        <v>0</v>
      </c>
      <c r="N16" s="226"/>
      <c r="O16" s="232"/>
      <c r="P16" s="232"/>
      <c r="Q16" s="232"/>
      <c r="R16" s="232"/>
      <c r="S16" s="414"/>
      <c r="T16" s="415"/>
      <c r="U16" s="414"/>
      <c r="V16" s="414"/>
      <c r="W16" s="414"/>
      <c r="X16" s="414"/>
      <c r="Y16" s="414"/>
      <c r="Z16" s="416"/>
      <c r="AA16" s="416"/>
      <c r="AB16" s="414"/>
      <c r="AC16" s="414"/>
      <c r="AD16" s="416"/>
      <c r="AE16" s="414"/>
      <c r="AF16" s="233"/>
    </row>
    <row r="17" spans="1:32">
      <c r="A17" s="225">
        <f t="shared" si="0"/>
        <v>8</v>
      </c>
      <c r="B17" s="227" t="s">
        <v>1190</v>
      </c>
      <c r="C17" s="227" t="s">
        <v>1778</v>
      </c>
      <c r="D17" s="228" t="s">
        <v>1779</v>
      </c>
      <c r="E17" s="363">
        <v>51135</v>
      </c>
      <c r="F17" s="342">
        <v>44909</v>
      </c>
      <c r="G17" s="230"/>
      <c r="H17" s="231"/>
      <c r="I17" s="231">
        <v>378120</v>
      </c>
      <c r="J17" s="226" t="s">
        <v>2388</v>
      </c>
      <c r="K17" s="226"/>
      <c r="L17" s="345">
        <v>378120</v>
      </c>
      <c r="M17" s="346">
        <v>0</v>
      </c>
      <c r="N17" s="226"/>
      <c r="O17" s="232"/>
      <c r="P17" s="232"/>
      <c r="Q17" s="232"/>
      <c r="R17" s="232"/>
      <c r="S17" s="414"/>
      <c r="T17" s="415"/>
      <c r="U17" s="414"/>
      <c r="V17" s="414"/>
      <c r="W17" s="414"/>
      <c r="X17" s="414"/>
      <c r="Y17" s="414"/>
      <c r="Z17" s="416"/>
      <c r="AA17" s="416"/>
      <c r="AB17" s="414"/>
      <c r="AC17" s="414"/>
      <c r="AD17" s="416"/>
      <c r="AE17" s="414"/>
      <c r="AF17" s="233"/>
    </row>
    <row r="18" spans="1:32">
      <c r="A18" s="225">
        <f t="shared" si="0"/>
        <v>9</v>
      </c>
      <c r="B18" s="227" t="s">
        <v>1191</v>
      </c>
      <c r="C18" s="227" t="s">
        <v>1776</v>
      </c>
      <c r="D18" s="228" t="s">
        <v>1777</v>
      </c>
      <c r="E18" s="363">
        <v>221777</v>
      </c>
      <c r="F18" s="342">
        <v>44896</v>
      </c>
      <c r="G18" s="230"/>
      <c r="H18" s="231"/>
      <c r="I18" s="231">
        <v>205650</v>
      </c>
      <c r="J18" s="226" t="s">
        <v>2388</v>
      </c>
      <c r="K18" s="226"/>
      <c r="L18" s="345">
        <v>205650</v>
      </c>
      <c r="M18" s="346">
        <v>0</v>
      </c>
      <c r="N18" s="226"/>
      <c r="O18" s="232"/>
      <c r="P18" s="232"/>
      <c r="Q18" s="232"/>
      <c r="R18" s="232"/>
      <c r="S18" s="414"/>
      <c r="T18" s="415"/>
      <c r="U18" s="414"/>
      <c r="V18" s="414"/>
      <c r="W18" s="414"/>
      <c r="X18" s="414"/>
      <c r="Y18" s="414"/>
      <c r="Z18" s="416"/>
      <c r="AA18" s="416"/>
      <c r="AB18" s="414"/>
      <c r="AC18" s="414"/>
      <c r="AD18" s="416"/>
      <c r="AE18" s="414"/>
      <c r="AF18" s="233"/>
    </row>
    <row r="19" spans="1:32">
      <c r="A19" s="225">
        <f t="shared" si="0"/>
        <v>10</v>
      </c>
      <c r="B19" s="227" t="s">
        <v>1192</v>
      </c>
      <c r="C19" s="227" t="s">
        <v>1780</v>
      </c>
      <c r="D19" s="228" t="s">
        <v>1781</v>
      </c>
      <c r="E19" s="363">
        <v>8524</v>
      </c>
      <c r="F19" s="342">
        <v>44896</v>
      </c>
      <c r="G19" s="230"/>
      <c r="H19" s="231"/>
      <c r="I19" s="231">
        <v>1234</v>
      </c>
      <c r="J19" s="226" t="s">
        <v>2389</v>
      </c>
      <c r="K19" s="226"/>
      <c r="L19" s="345"/>
      <c r="M19" s="346">
        <v>1234</v>
      </c>
      <c r="N19" s="226"/>
      <c r="O19" s="232"/>
      <c r="P19" s="232"/>
      <c r="Q19" s="232"/>
      <c r="R19" s="232"/>
      <c r="S19" s="414"/>
      <c r="T19" s="415"/>
      <c r="U19" s="414"/>
      <c r="V19" s="414"/>
      <c r="W19" s="414"/>
      <c r="X19" s="414"/>
      <c r="Y19" s="414"/>
      <c r="Z19" s="416"/>
      <c r="AA19" s="416"/>
      <c r="AB19" s="414"/>
      <c r="AC19" s="414"/>
      <c r="AD19" s="416"/>
      <c r="AE19" s="414"/>
      <c r="AF19" s="233"/>
    </row>
    <row r="20" spans="1:32">
      <c r="A20" s="225">
        <f t="shared" si="0"/>
        <v>11</v>
      </c>
      <c r="B20" s="227" t="s">
        <v>1193</v>
      </c>
      <c r="C20" s="227" t="s">
        <v>1780</v>
      </c>
      <c r="D20" s="228" t="s">
        <v>1781</v>
      </c>
      <c r="E20" s="363">
        <v>8520</v>
      </c>
      <c r="F20" s="342">
        <v>44896</v>
      </c>
      <c r="G20" s="230"/>
      <c r="H20" s="231"/>
      <c r="I20" s="231">
        <v>8074</v>
      </c>
      <c r="J20" s="226" t="s">
        <v>2389</v>
      </c>
      <c r="K20" s="226"/>
      <c r="L20" s="345"/>
      <c r="M20" s="346">
        <v>8074</v>
      </c>
      <c r="N20" s="226"/>
      <c r="O20" s="232"/>
      <c r="P20" s="232"/>
      <c r="Q20" s="232"/>
      <c r="R20" s="232"/>
      <c r="S20" s="414"/>
      <c r="T20" s="415"/>
      <c r="U20" s="414"/>
      <c r="V20" s="414"/>
      <c r="W20" s="414"/>
      <c r="X20" s="414"/>
      <c r="Y20" s="414"/>
      <c r="Z20" s="416"/>
      <c r="AA20" s="416"/>
      <c r="AB20" s="414"/>
      <c r="AC20" s="414"/>
      <c r="AD20" s="416"/>
      <c r="AE20" s="414"/>
      <c r="AF20" s="233"/>
    </row>
    <row r="21" spans="1:32">
      <c r="A21" s="225">
        <f t="shared" si="0"/>
        <v>12</v>
      </c>
      <c r="B21" s="227" t="s">
        <v>1194</v>
      </c>
      <c r="C21" s="227" t="s">
        <v>1782</v>
      </c>
      <c r="D21" s="228" t="s">
        <v>1783</v>
      </c>
      <c r="E21" s="363" t="s">
        <v>1784</v>
      </c>
      <c r="F21" s="342">
        <v>44910</v>
      </c>
      <c r="G21" s="230"/>
      <c r="H21" s="231"/>
      <c r="I21" s="231">
        <v>614295</v>
      </c>
      <c r="J21" s="226" t="s">
        <v>2388</v>
      </c>
      <c r="K21" s="226"/>
      <c r="L21" s="345">
        <v>614295</v>
      </c>
      <c r="M21" s="346">
        <v>0</v>
      </c>
      <c r="N21" s="226" t="s">
        <v>2394</v>
      </c>
      <c r="O21" s="232"/>
      <c r="P21" s="232"/>
      <c r="Q21" s="232"/>
      <c r="R21" s="232"/>
      <c r="S21" s="414"/>
      <c r="T21" s="415"/>
      <c r="U21" s="414"/>
      <c r="V21" s="414"/>
      <c r="W21" s="414"/>
      <c r="X21" s="414"/>
      <c r="Y21" s="414"/>
      <c r="Z21" s="416"/>
      <c r="AA21" s="416"/>
      <c r="AB21" s="414"/>
      <c r="AC21" s="414"/>
      <c r="AD21" s="416"/>
      <c r="AE21" s="414"/>
      <c r="AF21" s="233"/>
    </row>
    <row r="22" spans="1:32">
      <c r="A22" s="225">
        <f t="shared" si="0"/>
        <v>13</v>
      </c>
      <c r="B22" s="227" t="s">
        <v>1195</v>
      </c>
      <c r="C22" s="227" t="s">
        <v>1785</v>
      </c>
      <c r="D22" s="228" t="s">
        <v>1786</v>
      </c>
      <c r="E22" s="363">
        <v>220878</v>
      </c>
      <c r="F22" s="342">
        <v>44923</v>
      </c>
      <c r="G22" s="230"/>
      <c r="H22" s="231"/>
      <c r="I22" s="231">
        <v>23455</v>
      </c>
      <c r="J22" s="226" t="s">
        <v>2390</v>
      </c>
      <c r="K22" s="226"/>
      <c r="L22" s="345"/>
      <c r="M22" s="346">
        <v>23455</v>
      </c>
      <c r="N22" s="226"/>
      <c r="O22" s="232"/>
      <c r="P22" s="232"/>
      <c r="Q22" s="232"/>
      <c r="R22" s="232"/>
      <c r="S22" s="414"/>
      <c r="T22" s="415"/>
      <c r="U22" s="414"/>
      <c r="V22" s="414"/>
      <c r="W22" s="414"/>
      <c r="X22" s="414"/>
      <c r="Y22" s="414"/>
      <c r="Z22" s="416"/>
      <c r="AA22" s="416"/>
      <c r="AB22" s="414"/>
      <c r="AC22" s="414"/>
      <c r="AD22" s="416"/>
      <c r="AE22" s="414"/>
      <c r="AF22" s="233"/>
    </row>
    <row r="23" spans="1:32">
      <c r="A23" s="225">
        <f t="shared" si="0"/>
        <v>14</v>
      </c>
      <c r="B23" s="227" t="s">
        <v>1196</v>
      </c>
      <c r="C23" s="227" t="s">
        <v>1782</v>
      </c>
      <c r="D23" s="228" t="s">
        <v>1783</v>
      </c>
      <c r="E23" s="363" t="s">
        <v>1787</v>
      </c>
      <c r="F23" s="342">
        <v>44910</v>
      </c>
      <c r="G23" s="230"/>
      <c r="H23" s="231"/>
      <c r="I23" s="231">
        <v>626623</v>
      </c>
      <c r="J23" s="226" t="s">
        <v>2388</v>
      </c>
      <c r="K23" s="226"/>
      <c r="L23" s="345">
        <v>626623</v>
      </c>
      <c r="M23" s="346">
        <v>0</v>
      </c>
      <c r="N23" s="226" t="s">
        <v>2394</v>
      </c>
      <c r="O23" s="232"/>
      <c r="P23" s="232"/>
      <c r="Q23" s="232"/>
      <c r="R23" s="232"/>
      <c r="S23" s="414"/>
      <c r="T23" s="415"/>
      <c r="U23" s="414"/>
      <c r="V23" s="414"/>
      <c r="W23" s="414"/>
      <c r="X23" s="414"/>
      <c r="Y23" s="414"/>
      <c r="Z23" s="416"/>
      <c r="AA23" s="416"/>
      <c r="AB23" s="414"/>
      <c r="AC23" s="414"/>
      <c r="AD23" s="416"/>
      <c r="AE23" s="414"/>
      <c r="AF23" s="233"/>
    </row>
    <row r="24" spans="1:32">
      <c r="A24" s="225">
        <f t="shared" si="0"/>
        <v>15</v>
      </c>
      <c r="B24" s="227" t="s">
        <v>1197</v>
      </c>
      <c r="C24" s="227" t="s">
        <v>1785</v>
      </c>
      <c r="D24" s="228" t="s">
        <v>1786</v>
      </c>
      <c r="E24" s="363">
        <v>206435</v>
      </c>
      <c r="F24" s="342">
        <v>44896</v>
      </c>
      <c r="G24" s="230"/>
      <c r="H24" s="231"/>
      <c r="I24" s="231">
        <v>23444</v>
      </c>
      <c r="J24" s="226" t="s">
        <v>2390</v>
      </c>
      <c r="K24" s="226"/>
      <c r="L24" s="345"/>
      <c r="M24" s="346">
        <v>23444</v>
      </c>
      <c r="N24" s="226"/>
      <c r="O24" s="232"/>
      <c r="P24" s="232"/>
      <c r="Q24" s="232"/>
      <c r="R24" s="232"/>
      <c r="S24" s="414"/>
      <c r="T24" s="415"/>
      <c r="U24" s="414"/>
      <c r="V24" s="414"/>
      <c r="W24" s="414"/>
      <c r="X24" s="414"/>
      <c r="Y24" s="414"/>
      <c r="Z24" s="416"/>
      <c r="AA24" s="416"/>
      <c r="AB24" s="414"/>
      <c r="AC24" s="414"/>
      <c r="AD24" s="416"/>
      <c r="AE24" s="414"/>
      <c r="AF24" s="233"/>
    </row>
    <row r="25" spans="1:32">
      <c r="A25" s="225">
        <f t="shared" si="0"/>
        <v>16</v>
      </c>
      <c r="B25" s="227" t="s">
        <v>1198</v>
      </c>
      <c r="C25" s="227" t="s">
        <v>1782</v>
      </c>
      <c r="D25" s="228" t="s">
        <v>1783</v>
      </c>
      <c r="E25" s="363" t="s">
        <v>1788</v>
      </c>
      <c r="F25" s="342">
        <v>44910</v>
      </c>
      <c r="G25" s="230"/>
      <c r="H25" s="231"/>
      <c r="I25" s="231">
        <v>524308</v>
      </c>
      <c r="J25" s="226" t="s">
        <v>2388</v>
      </c>
      <c r="K25" s="226"/>
      <c r="L25" s="345">
        <v>524308</v>
      </c>
      <c r="M25" s="346">
        <v>0</v>
      </c>
      <c r="N25" s="226" t="s">
        <v>2394</v>
      </c>
      <c r="O25" s="232"/>
      <c r="P25" s="232"/>
      <c r="Q25" s="232"/>
      <c r="R25" s="232"/>
      <c r="S25" s="414"/>
      <c r="T25" s="415"/>
      <c r="U25" s="414"/>
      <c r="V25" s="414"/>
      <c r="W25" s="414"/>
      <c r="X25" s="414"/>
      <c r="Y25" s="414"/>
      <c r="Z25" s="416"/>
      <c r="AA25" s="416"/>
      <c r="AB25" s="414"/>
      <c r="AC25" s="414"/>
      <c r="AD25" s="416"/>
      <c r="AE25" s="414"/>
      <c r="AF25" s="233"/>
    </row>
    <row r="26" spans="1:32">
      <c r="A26" s="225">
        <f t="shared" si="0"/>
        <v>17</v>
      </c>
      <c r="B26" s="227" t="s">
        <v>1199</v>
      </c>
      <c r="C26" s="227" t="s">
        <v>1789</v>
      </c>
      <c r="D26" s="228" t="s">
        <v>1790</v>
      </c>
      <c r="E26" s="363" t="s">
        <v>1791</v>
      </c>
      <c r="F26" s="342">
        <v>44925</v>
      </c>
      <c r="G26" s="230"/>
      <c r="H26" s="231"/>
      <c r="I26" s="231">
        <v>29642</v>
      </c>
      <c r="J26" s="226" t="s">
        <v>2388</v>
      </c>
      <c r="K26" s="226"/>
      <c r="L26" s="345">
        <v>29642</v>
      </c>
      <c r="M26" s="346">
        <v>0</v>
      </c>
      <c r="N26" s="226" t="s">
        <v>2395</v>
      </c>
      <c r="O26" s="232"/>
      <c r="P26" s="232"/>
      <c r="Q26" s="232"/>
      <c r="R26" s="232"/>
      <c r="S26" s="414"/>
      <c r="T26" s="415"/>
      <c r="U26" s="414"/>
      <c r="V26" s="414"/>
      <c r="W26" s="414"/>
      <c r="X26" s="414"/>
      <c r="Y26" s="414"/>
      <c r="Z26" s="416"/>
      <c r="AA26" s="416"/>
      <c r="AB26" s="414"/>
      <c r="AC26" s="414"/>
      <c r="AD26" s="416"/>
      <c r="AE26" s="414"/>
      <c r="AF26" s="233"/>
    </row>
    <row r="27" spans="1:32">
      <c r="A27" s="225">
        <f t="shared" si="0"/>
        <v>18</v>
      </c>
      <c r="B27" s="227" t="s">
        <v>1200</v>
      </c>
      <c r="C27" s="227" t="s">
        <v>1782</v>
      </c>
      <c r="D27" s="228" t="s">
        <v>1783</v>
      </c>
      <c r="E27" s="363" t="s">
        <v>1792</v>
      </c>
      <c r="F27" s="342">
        <v>44910</v>
      </c>
      <c r="G27" s="230"/>
      <c r="H27" s="231"/>
      <c r="I27" s="231">
        <v>565398</v>
      </c>
      <c r="J27" s="226" t="s">
        <v>2388</v>
      </c>
      <c r="K27" s="226"/>
      <c r="L27" s="345">
        <v>565398</v>
      </c>
      <c r="M27" s="346">
        <v>0</v>
      </c>
      <c r="N27" s="226" t="s">
        <v>2394</v>
      </c>
      <c r="O27" s="232"/>
      <c r="P27" s="232"/>
      <c r="Q27" s="232"/>
      <c r="R27" s="232"/>
      <c r="S27" s="414"/>
      <c r="T27" s="415"/>
      <c r="U27" s="414"/>
      <c r="V27" s="414"/>
      <c r="W27" s="414"/>
      <c r="X27" s="414"/>
      <c r="Y27" s="414"/>
      <c r="Z27" s="416"/>
      <c r="AA27" s="416"/>
      <c r="AB27" s="414"/>
      <c r="AC27" s="414"/>
      <c r="AD27" s="416"/>
      <c r="AE27" s="414"/>
      <c r="AF27" s="233"/>
    </row>
    <row r="28" spans="1:32">
      <c r="A28" s="225">
        <f t="shared" si="0"/>
        <v>19</v>
      </c>
      <c r="B28" s="227" t="s">
        <v>1201</v>
      </c>
      <c r="C28" s="227" t="s">
        <v>1789</v>
      </c>
      <c r="D28" s="228" t="s">
        <v>1790</v>
      </c>
      <c r="E28" s="363" t="s">
        <v>1793</v>
      </c>
      <c r="F28" s="342">
        <v>44925</v>
      </c>
      <c r="G28" s="230"/>
      <c r="H28" s="231"/>
      <c r="I28" s="231">
        <v>29642</v>
      </c>
      <c r="J28" s="226" t="s">
        <v>2388</v>
      </c>
      <c r="K28" s="226"/>
      <c r="L28" s="345">
        <v>29642</v>
      </c>
      <c r="M28" s="346">
        <v>0</v>
      </c>
      <c r="N28" s="226" t="s">
        <v>2395</v>
      </c>
      <c r="O28" s="232"/>
      <c r="P28" s="232"/>
      <c r="Q28" s="232"/>
      <c r="R28" s="232"/>
      <c r="S28" s="414"/>
      <c r="T28" s="415"/>
      <c r="U28" s="414"/>
      <c r="V28" s="414"/>
      <c r="W28" s="414"/>
      <c r="X28" s="414"/>
      <c r="Y28" s="414"/>
      <c r="Z28" s="416"/>
      <c r="AA28" s="416"/>
      <c r="AB28" s="414"/>
      <c r="AC28" s="414"/>
      <c r="AD28" s="416"/>
      <c r="AE28" s="414"/>
      <c r="AF28" s="233"/>
    </row>
    <row r="29" spans="1:32">
      <c r="A29" s="225">
        <f t="shared" si="0"/>
        <v>20</v>
      </c>
      <c r="B29" s="227" t="s">
        <v>1202</v>
      </c>
      <c r="C29" s="227" t="s">
        <v>1782</v>
      </c>
      <c r="D29" s="228" t="s">
        <v>1783</v>
      </c>
      <c r="E29" s="363" t="s">
        <v>1794</v>
      </c>
      <c r="F29" s="342">
        <v>44910</v>
      </c>
      <c r="G29" s="230"/>
      <c r="H29" s="231"/>
      <c r="I29" s="231">
        <v>524308</v>
      </c>
      <c r="J29" s="226" t="s">
        <v>2388</v>
      </c>
      <c r="K29" s="226"/>
      <c r="L29" s="345">
        <v>524308</v>
      </c>
      <c r="M29" s="346">
        <v>0</v>
      </c>
      <c r="N29" s="226" t="s">
        <v>2394</v>
      </c>
      <c r="O29" s="232"/>
      <c r="P29" s="232"/>
      <c r="Q29" s="232"/>
      <c r="R29" s="232"/>
      <c r="S29" s="414"/>
      <c r="T29" s="415"/>
      <c r="U29" s="414"/>
      <c r="V29" s="414"/>
      <c r="W29" s="414"/>
      <c r="X29" s="414"/>
      <c r="Y29" s="414"/>
      <c r="Z29" s="416"/>
      <c r="AA29" s="416"/>
      <c r="AB29" s="414"/>
      <c r="AC29" s="414"/>
      <c r="AD29" s="416"/>
      <c r="AE29" s="414"/>
      <c r="AF29" s="233"/>
    </row>
    <row r="30" spans="1:32">
      <c r="A30" s="225">
        <f t="shared" si="0"/>
        <v>21</v>
      </c>
      <c r="B30" s="227" t="s">
        <v>1201</v>
      </c>
      <c r="C30" s="227" t="s">
        <v>1789</v>
      </c>
      <c r="D30" s="228" t="s">
        <v>1790</v>
      </c>
      <c r="E30" s="363" t="s">
        <v>1795</v>
      </c>
      <c r="F30" s="342">
        <v>44923</v>
      </c>
      <c r="G30" s="230"/>
      <c r="H30" s="231"/>
      <c r="I30" s="231">
        <v>29628</v>
      </c>
      <c r="J30" s="226" t="s">
        <v>2388</v>
      </c>
      <c r="K30" s="226"/>
      <c r="L30" s="345">
        <v>29628</v>
      </c>
      <c r="M30" s="346">
        <v>0</v>
      </c>
      <c r="N30" s="226" t="s">
        <v>2395</v>
      </c>
      <c r="O30" s="232"/>
      <c r="P30" s="232"/>
      <c r="Q30" s="232"/>
      <c r="R30" s="232"/>
      <c r="S30" s="414"/>
      <c r="T30" s="415"/>
      <c r="U30" s="414"/>
      <c r="V30" s="414"/>
      <c r="W30" s="414"/>
      <c r="X30" s="414"/>
      <c r="Y30" s="414"/>
      <c r="Z30" s="416"/>
      <c r="AA30" s="416"/>
      <c r="AB30" s="414"/>
      <c r="AC30" s="414"/>
      <c r="AD30" s="416"/>
      <c r="AE30" s="414"/>
      <c r="AF30" s="233"/>
    </row>
    <row r="31" spans="1:32">
      <c r="A31" s="225">
        <f t="shared" si="0"/>
        <v>22</v>
      </c>
      <c r="B31" s="227" t="s">
        <v>1203</v>
      </c>
      <c r="C31" s="227" t="s">
        <v>1782</v>
      </c>
      <c r="D31" s="228" t="s">
        <v>1783</v>
      </c>
      <c r="E31" s="363" t="s">
        <v>1796</v>
      </c>
      <c r="F31" s="342">
        <v>44910</v>
      </c>
      <c r="G31" s="230"/>
      <c r="H31" s="231"/>
      <c r="I31" s="231">
        <v>672232</v>
      </c>
      <c r="J31" s="226" t="s">
        <v>2388</v>
      </c>
      <c r="K31" s="226"/>
      <c r="L31" s="345">
        <v>672232</v>
      </c>
      <c r="M31" s="346">
        <v>0</v>
      </c>
      <c r="N31" s="226" t="s">
        <v>2394</v>
      </c>
      <c r="O31" s="232"/>
      <c r="P31" s="232"/>
      <c r="Q31" s="232"/>
      <c r="R31" s="232"/>
      <c r="S31" s="414"/>
      <c r="T31" s="415"/>
      <c r="U31" s="414"/>
      <c r="V31" s="414"/>
      <c r="W31" s="414"/>
      <c r="X31" s="414"/>
      <c r="Y31" s="414"/>
      <c r="Z31" s="416"/>
      <c r="AA31" s="416"/>
      <c r="AB31" s="414"/>
      <c r="AC31" s="414"/>
      <c r="AD31" s="416"/>
      <c r="AE31" s="414"/>
      <c r="AF31" s="233"/>
    </row>
    <row r="32" spans="1:32">
      <c r="A32" s="225">
        <f t="shared" si="0"/>
        <v>23</v>
      </c>
      <c r="B32" s="227" t="s">
        <v>1199</v>
      </c>
      <c r="C32" s="227" t="s">
        <v>1789</v>
      </c>
      <c r="D32" s="228" t="s">
        <v>1790</v>
      </c>
      <c r="E32" s="363" t="s">
        <v>1797</v>
      </c>
      <c r="F32" s="342">
        <v>44923</v>
      </c>
      <c r="G32" s="230"/>
      <c r="H32" s="231"/>
      <c r="I32" s="231">
        <v>29628</v>
      </c>
      <c r="J32" s="226" t="s">
        <v>2388</v>
      </c>
      <c r="K32" s="226"/>
      <c r="L32" s="345">
        <v>29628</v>
      </c>
      <c r="M32" s="346">
        <v>0</v>
      </c>
      <c r="N32" s="226" t="s">
        <v>2395</v>
      </c>
      <c r="O32" s="232"/>
      <c r="P32" s="232"/>
      <c r="Q32" s="232"/>
      <c r="R32" s="232"/>
      <c r="S32" s="414"/>
      <c r="T32" s="415"/>
      <c r="U32" s="414"/>
      <c r="V32" s="414"/>
      <c r="W32" s="414"/>
      <c r="X32" s="414"/>
      <c r="Y32" s="414"/>
      <c r="Z32" s="416"/>
      <c r="AA32" s="416"/>
      <c r="AB32" s="414"/>
      <c r="AC32" s="414"/>
      <c r="AD32" s="416"/>
      <c r="AE32" s="414"/>
      <c r="AF32" s="233"/>
    </row>
    <row r="33" spans="1:32">
      <c r="A33" s="225">
        <f t="shared" si="0"/>
        <v>24</v>
      </c>
      <c r="B33" s="227" t="s">
        <v>1204</v>
      </c>
      <c r="C33" s="227" t="s">
        <v>1782</v>
      </c>
      <c r="D33" s="228" t="s">
        <v>1783</v>
      </c>
      <c r="E33" s="363" t="s">
        <v>1798</v>
      </c>
      <c r="F33" s="342">
        <v>44910</v>
      </c>
      <c r="G33" s="230"/>
      <c r="H33" s="231"/>
      <c r="I33" s="231">
        <v>672232</v>
      </c>
      <c r="J33" s="226" t="s">
        <v>2388</v>
      </c>
      <c r="K33" s="226"/>
      <c r="L33" s="345">
        <v>672232</v>
      </c>
      <c r="M33" s="346">
        <v>0</v>
      </c>
      <c r="N33" s="226" t="s">
        <v>2394</v>
      </c>
      <c r="O33" s="232"/>
      <c r="P33" s="232"/>
      <c r="Q33" s="232"/>
      <c r="R33" s="232"/>
      <c r="S33" s="414"/>
      <c r="T33" s="415"/>
      <c r="U33" s="414"/>
      <c r="V33" s="414"/>
      <c r="W33" s="414"/>
      <c r="X33" s="414"/>
      <c r="Y33" s="414"/>
      <c r="Z33" s="416"/>
      <c r="AA33" s="416"/>
      <c r="AB33" s="414"/>
      <c r="AC33" s="414"/>
      <c r="AD33" s="416"/>
      <c r="AE33" s="414"/>
      <c r="AF33" s="233"/>
    </row>
    <row r="34" spans="1:32">
      <c r="A34" s="225">
        <f t="shared" si="0"/>
        <v>25</v>
      </c>
      <c r="B34" s="227" t="s">
        <v>1205</v>
      </c>
      <c r="C34" s="227" t="s">
        <v>1789</v>
      </c>
      <c r="D34" s="228" t="s">
        <v>1790</v>
      </c>
      <c r="E34" s="363" t="s">
        <v>1799</v>
      </c>
      <c r="F34" s="342">
        <v>44911</v>
      </c>
      <c r="G34" s="230"/>
      <c r="H34" s="231"/>
      <c r="I34" s="231">
        <v>29599</v>
      </c>
      <c r="J34" s="226" t="s">
        <v>2388</v>
      </c>
      <c r="K34" s="226"/>
      <c r="L34" s="345">
        <v>29599</v>
      </c>
      <c r="M34" s="346">
        <v>0</v>
      </c>
      <c r="N34" s="226" t="s">
        <v>2395</v>
      </c>
      <c r="O34" s="232"/>
      <c r="P34" s="232"/>
      <c r="Q34" s="232"/>
      <c r="R34" s="232"/>
      <c r="S34" s="414"/>
      <c r="T34" s="415"/>
      <c r="U34" s="414"/>
      <c r="V34" s="414"/>
      <c r="W34" s="414"/>
      <c r="X34" s="414"/>
      <c r="Y34" s="414"/>
      <c r="Z34" s="416"/>
      <c r="AA34" s="416"/>
      <c r="AB34" s="414"/>
      <c r="AC34" s="414"/>
      <c r="AD34" s="416"/>
      <c r="AE34" s="414"/>
      <c r="AF34" s="233"/>
    </row>
    <row r="35" spans="1:32">
      <c r="A35" s="225">
        <f t="shared" si="0"/>
        <v>26</v>
      </c>
      <c r="B35" s="227" t="s">
        <v>1206</v>
      </c>
      <c r="C35" s="227" t="s">
        <v>1782</v>
      </c>
      <c r="D35" s="228" t="s">
        <v>1783</v>
      </c>
      <c r="E35" s="363" t="s">
        <v>1800</v>
      </c>
      <c r="F35" s="342">
        <v>44910</v>
      </c>
      <c r="G35" s="230"/>
      <c r="H35" s="231"/>
      <c r="I35" s="231">
        <v>713322</v>
      </c>
      <c r="J35" s="226" t="s">
        <v>2388</v>
      </c>
      <c r="K35" s="226"/>
      <c r="L35" s="345">
        <v>713322</v>
      </c>
      <c r="M35" s="346">
        <v>0</v>
      </c>
      <c r="N35" s="226" t="s">
        <v>2394</v>
      </c>
      <c r="O35" s="232"/>
      <c r="P35" s="232"/>
      <c r="Q35" s="232"/>
      <c r="R35" s="232"/>
      <c r="S35" s="414"/>
      <c r="T35" s="415"/>
      <c r="U35" s="414"/>
      <c r="V35" s="414"/>
      <c r="W35" s="414"/>
      <c r="X35" s="414"/>
      <c r="Y35" s="414"/>
      <c r="Z35" s="416"/>
      <c r="AA35" s="416"/>
      <c r="AB35" s="414"/>
      <c r="AC35" s="414"/>
      <c r="AD35" s="416"/>
      <c r="AE35" s="414"/>
      <c r="AF35" s="233"/>
    </row>
    <row r="36" spans="1:32">
      <c r="A36" s="225">
        <f t="shared" si="0"/>
        <v>27</v>
      </c>
      <c r="B36" s="227" t="s">
        <v>1207</v>
      </c>
      <c r="C36" s="227" t="s">
        <v>1782</v>
      </c>
      <c r="D36" s="228" t="s">
        <v>1783</v>
      </c>
      <c r="E36" s="363" t="s">
        <v>1801</v>
      </c>
      <c r="F36" s="342">
        <v>44910</v>
      </c>
      <c r="G36" s="230"/>
      <c r="H36" s="231"/>
      <c r="I36" s="231">
        <v>672232</v>
      </c>
      <c r="J36" s="226" t="s">
        <v>2388</v>
      </c>
      <c r="K36" s="226"/>
      <c r="L36" s="345">
        <v>672232</v>
      </c>
      <c r="M36" s="346">
        <v>0</v>
      </c>
      <c r="N36" s="226" t="s">
        <v>2394</v>
      </c>
      <c r="O36" s="232"/>
      <c r="P36" s="232"/>
      <c r="Q36" s="232"/>
      <c r="R36" s="232"/>
      <c r="S36" s="414"/>
      <c r="T36" s="415"/>
      <c r="U36" s="414"/>
      <c r="V36" s="414"/>
      <c r="W36" s="414"/>
      <c r="X36" s="414"/>
      <c r="Y36" s="414"/>
      <c r="Z36" s="416"/>
      <c r="AA36" s="416"/>
      <c r="AB36" s="414"/>
      <c r="AC36" s="414"/>
      <c r="AD36" s="416"/>
      <c r="AE36" s="414"/>
      <c r="AF36" s="233"/>
    </row>
    <row r="37" spans="1:32">
      <c r="A37" s="225">
        <f t="shared" si="0"/>
        <v>28</v>
      </c>
      <c r="B37" s="227" t="s">
        <v>1201</v>
      </c>
      <c r="C37" s="227" t="s">
        <v>1789</v>
      </c>
      <c r="D37" s="228" t="s">
        <v>1790</v>
      </c>
      <c r="E37" s="363" t="s">
        <v>1802</v>
      </c>
      <c r="F37" s="342">
        <v>44911</v>
      </c>
      <c r="G37" s="230"/>
      <c r="H37" s="231"/>
      <c r="I37" s="231">
        <v>59198</v>
      </c>
      <c r="J37" s="226" t="s">
        <v>2388</v>
      </c>
      <c r="K37" s="226"/>
      <c r="L37" s="345">
        <v>59198</v>
      </c>
      <c r="M37" s="346">
        <v>0</v>
      </c>
      <c r="N37" s="226" t="s">
        <v>2395</v>
      </c>
      <c r="O37" s="232"/>
      <c r="P37" s="232"/>
      <c r="Q37" s="232"/>
      <c r="R37" s="232"/>
      <c r="S37" s="414"/>
      <c r="T37" s="415"/>
      <c r="U37" s="414"/>
      <c r="V37" s="414"/>
      <c r="W37" s="414"/>
      <c r="X37" s="414"/>
      <c r="Y37" s="414"/>
      <c r="Z37" s="416"/>
      <c r="AA37" s="416"/>
      <c r="AB37" s="414"/>
      <c r="AC37" s="414"/>
      <c r="AD37" s="416"/>
      <c r="AE37" s="414"/>
      <c r="AF37" s="233"/>
    </row>
    <row r="38" spans="1:32">
      <c r="A38" s="225">
        <f t="shared" si="0"/>
        <v>29</v>
      </c>
      <c r="B38" s="227" t="s">
        <v>1208</v>
      </c>
      <c r="C38" s="227" t="s">
        <v>1782</v>
      </c>
      <c r="D38" s="228" t="s">
        <v>1783</v>
      </c>
      <c r="E38" s="363" t="s">
        <v>1803</v>
      </c>
      <c r="F38" s="342">
        <v>44910</v>
      </c>
      <c r="G38" s="230"/>
      <c r="H38" s="231"/>
      <c r="I38" s="231">
        <v>672232</v>
      </c>
      <c r="J38" s="226" t="s">
        <v>2388</v>
      </c>
      <c r="K38" s="226"/>
      <c r="L38" s="345">
        <v>672232</v>
      </c>
      <c r="M38" s="346">
        <v>0</v>
      </c>
      <c r="N38" s="226" t="s">
        <v>2394</v>
      </c>
      <c r="O38" s="232"/>
      <c r="P38" s="232"/>
      <c r="Q38" s="232"/>
      <c r="R38" s="232"/>
      <c r="S38" s="414"/>
      <c r="T38" s="415"/>
      <c r="U38" s="414"/>
      <c r="V38" s="414"/>
      <c r="W38" s="414"/>
      <c r="X38" s="414"/>
      <c r="Y38" s="414"/>
      <c r="Z38" s="416"/>
      <c r="AA38" s="416"/>
      <c r="AB38" s="414"/>
      <c r="AC38" s="414"/>
      <c r="AD38" s="416"/>
      <c r="AE38" s="414"/>
      <c r="AF38" s="233"/>
    </row>
    <row r="39" spans="1:32">
      <c r="A39" s="225">
        <f t="shared" si="0"/>
        <v>30</v>
      </c>
      <c r="B39" s="227" t="s">
        <v>1209</v>
      </c>
      <c r="C39" s="227" t="s">
        <v>1789</v>
      </c>
      <c r="D39" s="228" t="s">
        <v>1790</v>
      </c>
      <c r="E39" s="363" t="s">
        <v>1804</v>
      </c>
      <c r="F39" s="342">
        <v>44901</v>
      </c>
      <c r="G39" s="230"/>
      <c r="H39" s="231"/>
      <c r="I39" s="231">
        <v>29660</v>
      </c>
      <c r="J39" s="226" t="s">
        <v>2388</v>
      </c>
      <c r="K39" s="226"/>
      <c r="L39" s="345">
        <v>29660</v>
      </c>
      <c r="M39" s="346">
        <v>0</v>
      </c>
      <c r="N39" s="226" t="s">
        <v>2395</v>
      </c>
      <c r="O39" s="232"/>
      <c r="P39" s="232"/>
      <c r="Q39" s="232"/>
      <c r="R39" s="232"/>
      <c r="S39" s="414"/>
      <c r="T39" s="415"/>
      <c r="U39" s="414"/>
      <c r="V39" s="414"/>
      <c r="W39" s="414"/>
      <c r="X39" s="414"/>
      <c r="Y39" s="414"/>
      <c r="Z39" s="416"/>
      <c r="AA39" s="416"/>
      <c r="AB39" s="414"/>
      <c r="AC39" s="414"/>
      <c r="AD39" s="416"/>
      <c r="AE39" s="414"/>
      <c r="AF39" s="233"/>
    </row>
    <row r="40" spans="1:32">
      <c r="A40" s="225">
        <f t="shared" si="0"/>
        <v>31</v>
      </c>
      <c r="B40" s="227" t="s">
        <v>1185</v>
      </c>
      <c r="C40" s="227" t="s">
        <v>1766</v>
      </c>
      <c r="D40" s="228" t="s">
        <v>1767</v>
      </c>
      <c r="E40" s="363" t="s">
        <v>1805</v>
      </c>
      <c r="F40" s="342">
        <v>44957</v>
      </c>
      <c r="G40" s="230"/>
      <c r="H40" s="231"/>
      <c r="I40" s="231">
        <v>2872800</v>
      </c>
      <c r="J40" s="226" t="s">
        <v>2388</v>
      </c>
      <c r="K40" s="226"/>
      <c r="L40" s="345">
        <v>2872800</v>
      </c>
      <c r="M40" s="346">
        <v>0</v>
      </c>
      <c r="N40" s="226"/>
      <c r="O40" s="232"/>
      <c r="P40" s="232"/>
      <c r="Q40" s="232"/>
      <c r="R40" s="232"/>
      <c r="S40" s="414"/>
      <c r="T40" s="415"/>
      <c r="U40" s="414"/>
      <c r="V40" s="414"/>
      <c r="W40" s="414"/>
      <c r="X40" s="414"/>
      <c r="Y40" s="414"/>
      <c r="Z40" s="416"/>
      <c r="AA40" s="416"/>
      <c r="AB40" s="414"/>
      <c r="AC40" s="414"/>
      <c r="AD40" s="416"/>
      <c r="AE40" s="414"/>
      <c r="AF40" s="233"/>
    </row>
    <row r="41" spans="1:32">
      <c r="A41" s="225">
        <f t="shared" si="0"/>
        <v>32</v>
      </c>
      <c r="B41" s="227" t="s">
        <v>1210</v>
      </c>
      <c r="C41" s="227" t="s">
        <v>1771</v>
      </c>
      <c r="D41" s="228" t="s">
        <v>1772</v>
      </c>
      <c r="E41" s="363" t="s">
        <v>1806</v>
      </c>
      <c r="F41" s="342">
        <v>44957</v>
      </c>
      <c r="G41" s="230"/>
      <c r="H41" s="231"/>
      <c r="I41" s="231">
        <v>82080</v>
      </c>
      <c r="J41" s="226" t="s">
        <v>2388</v>
      </c>
      <c r="K41" s="226"/>
      <c r="L41" s="345">
        <v>82080</v>
      </c>
      <c r="M41" s="346">
        <v>0</v>
      </c>
      <c r="N41" s="226"/>
      <c r="O41" s="232"/>
      <c r="P41" s="232"/>
      <c r="Q41" s="232"/>
      <c r="R41" s="232"/>
      <c r="S41" s="414"/>
      <c r="T41" s="415"/>
      <c r="U41" s="414"/>
      <c r="V41" s="414"/>
      <c r="W41" s="414"/>
      <c r="X41" s="414"/>
      <c r="Y41" s="414"/>
      <c r="Z41" s="416"/>
      <c r="AA41" s="416"/>
      <c r="AB41" s="414"/>
      <c r="AC41" s="414"/>
      <c r="AD41" s="416"/>
      <c r="AE41" s="414"/>
      <c r="AF41" s="233"/>
    </row>
    <row r="42" spans="1:32">
      <c r="A42" s="225">
        <f t="shared" si="0"/>
        <v>33</v>
      </c>
      <c r="B42" s="227" t="s">
        <v>1211</v>
      </c>
      <c r="C42" s="227" t="s">
        <v>1763</v>
      </c>
      <c r="D42" s="228" t="s">
        <v>1764</v>
      </c>
      <c r="E42" s="363" t="s">
        <v>1807</v>
      </c>
      <c r="F42" s="342">
        <v>44957</v>
      </c>
      <c r="G42" s="230"/>
      <c r="H42" s="231"/>
      <c r="I42" s="231">
        <v>2937894</v>
      </c>
      <c r="J42" s="226" t="s">
        <v>2388</v>
      </c>
      <c r="K42" s="226"/>
      <c r="L42" s="345">
        <v>2937894</v>
      </c>
      <c r="M42" s="346">
        <v>0</v>
      </c>
      <c r="N42" s="226"/>
      <c r="O42" s="232"/>
      <c r="P42" s="232"/>
      <c r="Q42" s="232"/>
      <c r="R42" s="232"/>
      <c r="S42" s="414"/>
      <c r="T42" s="415"/>
      <c r="U42" s="414"/>
      <c r="V42" s="414"/>
      <c r="W42" s="414"/>
      <c r="X42" s="414"/>
      <c r="Y42" s="414"/>
      <c r="Z42" s="416"/>
      <c r="AA42" s="416"/>
      <c r="AB42" s="414"/>
      <c r="AC42" s="414"/>
      <c r="AD42" s="416"/>
      <c r="AE42" s="414"/>
      <c r="AF42" s="233"/>
    </row>
    <row r="43" spans="1:32">
      <c r="A43" s="225">
        <f t="shared" si="0"/>
        <v>34</v>
      </c>
      <c r="B43" s="227" t="s">
        <v>1212</v>
      </c>
      <c r="C43" s="227" t="s">
        <v>1769</v>
      </c>
      <c r="D43" s="228" t="s">
        <v>1770</v>
      </c>
      <c r="E43" s="363">
        <v>23000055</v>
      </c>
      <c r="F43" s="342">
        <v>44950</v>
      </c>
      <c r="G43" s="230"/>
      <c r="H43" s="231"/>
      <c r="I43" s="231">
        <v>370350</v>
      </c>
      <c r="J43" s="226" t="s">
        <v>2388</v>
      </c>
      <c r="K43" s="226"/>
      <c r="L43" s="345">
        <v>370350</v>
      </c>
      <c r="M43" s="346">
        <v>0</v>
      </c>
      <c r="N43" s="226"/>
      <c r="O43" s="232"/>
      <c r="P43" s="232"/>
      <c r="Q43" s="232"/>
      <c r="R43" s="232"/>
      <c r="S43" s="414"/>
      <c r="T43" s="415"/>
      <c r="U43" s="414"/>
      <c r="V43" s="414"/>
      <c r="W43" s="414"/>
      <c r="X43" s="414"/>
      <c r="Y43" s="414"/>
      <c r="Z43" s="416"/>
      <c r="AA43" s="416"/>
      <c r="AB43" s="414"/>
      <c r="AC43" s="414"/>
      <c r="AD43" s="416"/>
      <c r="AE43" s="414"/>
      <c r="AF43" s="233"/>
    </row>
    <row r="44" spans="1:32">
      <c r="A44" s="225">
        <f t="shared" si="0"/>
        <v>35</v>
      </c>
      <c r="B44" s="227" t="s">
        <v>1213</v>
      </c>
      <c r="C44" s="227" t="s">
        <v>1760</v>
      </c>
      <c r="D44" s="228" t="s">
        <v>1761</v>
      </c>
      <c r="E44" s="363" t="s">
        <v>1808</v>
      </c>
      <c r="F44" s="342">
        <v>44956</v>
      </c>
      <c r="G44" s="230"/>
      <c r="H44" s="231"/>
      <c r="I44" s="231">
        <v>73800</v>
      </c>
      <c r="J44" s="226" t="s">
        <v>2388</v>
      </c>
      <c r="K44" s="226"/>
      <c r="L44" s="345">
        <v>73800</v>
      </c>
      <c r="M44" s="346">
        <v>0</v>
      </c>
      <c r="N44" s="226"/>
      <c r="O44" s="232"/>
      <c r="P44" s="232"/>
      <c r="Q44" s="232"/>
      <c r="R44" s="232"/>
      <c r="S44" s="414"/>
      <c r="T44" s="415"/>
      <c r="U44" s="414"/>
      <c r="V44" s="414"/>
      <c r="W44" s="414"/>
      <c r="X44" s="414"/>
      <c r="Y44" s="414"/>
      <c r="Z44" s="416"/>
      <c r="AA44" s="416"/>
      <c r="AB44" s="414"/>
      <c r="AC44" s="414"/>
      <c r="AD44" s="416"/>
      <c r="AE44" s="414"/>
      <c r="AF44" s="233"/>
    </row>
    <row r="45" spans="1:32">
      <c r="A45" s="225">
        <f t="shared" si="0"/>
        <v>36</v>
      </c>
      <c r="B45" s="227" t="s">
        <v>1188</v>
      </c>
      <c r="C45" s="227" t="s">
        <v>1774</v>
      </c>
      <c r="D45" s="228" t="s">
        <v>1775</v>
      </c>
      <c r="E45" s="363" t="s">
        <v>1809</v>
      </c>
      <c r="F45" s="342">
        <v>44954</v>
      </c>
      <c r="G45" s="230"/>
      <c r="H45" s="231"/>
      <c r="I45" s="231">
        <v>67700</v>
      </c>
      <c r="J45" s="226" t="s">
        <v>2388</v>
      </c>
      <c r="K45" s="226"/>
      <c r="L45" s="345">
        <v>67700</v>
      </c>
      <c r="M45" s="346">
        <v>0</v>
      </c>
      <c r="N45" s="226" t="s">
        <v>2394</v>
      </c>
      <c r="O45" s="232"/>
      <c r="P45" s="232"/>
      <c r="Q45" s="232"/>
      <c r="R45" s="232"/>
      <c r="S45" s="414"/>
      <c r="T45" s="415"/>
      <c r="U45" s="414"/>
      <c r="V45" s="414"/>
      <c r="W45" s="414"/>
      <c r="X45" s="414"/>
      <c r="Y45" s="414"/>
      <c r="Z45" s="416"/>
      <c r="AA45" s="416"/>
      <c r="AB45" s="414"/>
      <c r="AC45" s="414"/>
      <c r="AD45" s="416"/>
      <c r="AE45" s="414"/>
      <c r="AF45" s="233"/>
    </row>
    <row r="46" spans="1:32">
      <c r="A46" s="225">
        <f t="shared" si="0"/>
        <v>37</v>
      </c>
      <c r="B46" s="227" t="s">
        <v>1190</v>
      </c>
      <c r="C46" s="227" t="s">
        <v>1778</v>
      </c>
      <c r="D46" s="228" t="s">
        <v>1779</v>
      </c>
      <c r="E46" s="363">
        <v>51512</v>
      </c>
      <c r="F46" s="342">
        <v>44942</v>
      </c>
      <c r="G46" s="230"/>
      <c r="H46" s="231"/>
      <c r="I46" s="231">
        <v>378580</v>
      </c>
      <c r="J46" s="226" t="s">
        <v>2388</v>
      </c>
      <c r="K46" s="226"/>
      <c r="L46" s="345">
        <v>378580</v>
      </c>
      <c r="M46" s="346">
        <v>0</v>
      </c>
      <c r="N46" s="226"/>
      <c r="O46" s="232"/>
      <c r="P46" s="232"/>
      <c r="Q46" s="232"/>
      <c r="R46" s="232"/>
      <c r="S46" s="414"/>
      <c r="T46" s="415"/>
      <c r="U46" s="414"/>
      <c r="V46" s="414"/>
      <c r="W46" s="414"/>
      <c r="X46" s="414"/>
      <c r="Y46" s="414"/>
      <c r="Z46" s="416"/>
      <c r="AA46" s="416"/>
      <c r="AB46" s="414"/>
      <c r="AC46" s="414"/>
      <c r="AD46" s="416"/>
      <c r="AE46" s="414"/>
      <c r="AF46" s="233"/>
    </row>
    <row r="47" spans="1:32">
      <c r="A47" s="225">
        <f t="shared" si="0"/>
        <v>38</v>
      </c>
      <c r="B47" s="227" t="s">
        <v>1191</v>
      </c>
      <c r="C47" s="227" t="s">
        <v>1776</v>
      </c>
      <c r="D47" s="228" t="s">
        <v>1777</v>
      </c>
      <c r="E47" s="363">
        <v>230015</v>
      </c>
      <c r="F47" s="342">
        <v>44928</v>
      </c>
      <c r="G47" s="230"/>
      <c r="H47" s="231"/>
      <c r="I47" s="231">
        <v>206000</v>
      </c>
      <c r="J47" s="226" t="s">
        <v>2388</v>
      </c>
      <c r="K47" s="226"/>
      <c r="L47" s="345">
        <v>206000</v>
      </c>
      <c r="M47" s="346">
        <v>0</v>
      </c>
      <c r="N47" s="226"/>
      <c r="O47" s="232"/>
      <c r="P47" s="232"/>
      <c r="Q47" s="232"/>
      <c r="R47" s="232"/>
      <c r="S47" s="414"/>
      <c r="T47" s="415"/>
      <c r="U47" s="414"/>
      <c r="V47" s="414"/>
      <c r="W47" s="414"/>
      <c r="X47" s="414"/>
      <c r="Y47" s="414"/>
      <c r="Z47" s="416"/>
      <c r="AA47" s="416"/>
      <c r="AB47" s="414"/>
      <c r="AC47" s="414"/>
      <c r="AD47" s="416"/>
      <c r="AE47" s="414"/>
      <c r="AF47" s="233"/>
    </row>
    <row r="48" spans="1:32">
      <c r="A48" s="225">
        <f t="shared" si="0"/>
        <v>39</v>
      </c>
      <c r="B48" s="227" t="s">
        <v>1214</v>
      </c>
      <c r="C48" s="227" t="s">
        <v>1780</v>
      </c>
      <c r="D48" s="228" t="s">
        <v>1781</v>
      </c>
      <c r="E48" s="363">
        <v>8527</v>
      </c>
      <c r="F48" s="342">
        <v>44927</v>
      </c>
      <c r="G48" s="230"/>
      <c r="H48" s="231"/>
      <c r="I48" s="231">
        <v>6698</v>
      </c>
      <c r="J48" s="226" t="s">
        <v>2389</v>
      </c>
      <c r="K48" s="226"/>
      <c r="L48" s="345"/>
      <c r="M48" s="346">
        <v>6698</v>
      </c>
      <c r="N48" s="226"/>
      <c r="O48" s="232"/>
      <c r="P48" s="232"/>
      <c r="Q48" s="232"/>
      <c r="R48" s="232"/>
      <c r="S48" s="414"/>
      <c r="T48" s="415"/>
      <c r="U48" s="414"/>
      <c r="V48" s="414"/>
      <c r="W48" s="414"/>
      <c r="X48" s="414"/>
      <c r="Y48" s="414"/>
      <c r="Z48" s="416"/>
      <c r="AA48" s="416"/>
      <c r="AB48" s="414"/>
      <c r="AC48" s="414"/>
      <c r="AD48" s="416"/>
      <c r="AE48" s="414"/>
      <c r="AF48" s="233"/>
    </row>
    <row r="49" spans="1:32">
      <c r="A49" s="225">
        <f t="shared" si="0"/>
        <v>40</v>
      </c>
      <c r="B49" s="227" t="s">
        <v>1192</v>
      </c>
      <c r="C49" s="227" t="s">
        <v>1780</v>
      </c>
      <c r="D49" s="228" t="s">
        <v>1781</v>
      </c>
      <c r="E49" s="363">
        <v>8531</v>
      </c>
      <c r="F49" s="342">
        <v>44927</v>
      </c>
      <c r="G49" s="230"/>
      <c r="H49" s="231"/>
      <c r="I49" s="231">
        <v>1235</v>
      </c>
      <c r="J49" s="226" t="s">
        <v>2389</v>
      </c>
      <c r="K49" s="226"/>
      <c r="L49" s="345"/>
      <c r="M49" s="346">
        <v>1235</v>
      </c>
      <c r="N49" s="226"/>
      <c r="O49" s="232"/>
      <c r="P49" s="232"/>
      <c r="Q49" s="232"/>
      <c r="R49" s="232"/>
      <c r="S49" s="414"/>
      <c r="T49" s="415"/>
      <c r="U49" s="414"/>
      <c r="V49" s="414"/>
      <c r="W49" s="414"/>
      <c r="X49" s="414"/>
      <c r="Y49" s="414"/>
      <c r="Z49" s="416"/>
      <c r="AA49" s="416"/>
      <c r="AB49" s="414"/>
      <c r="AC49" s="414"/>
      <c r="AD49" s="416"/>
      <c r="AE49" s="414"/>
      <c r="AF49" s="233"/>
    </row>
    <row r="50" spans="1:32">
      <c r="A50" s="225">
        <f t="shared" si="0"/>
        <v>41</v>
      </c>
      <c r="B50" s="227" t="s">
        <v>1215</v>
      </c>
      <c r="C50" s="227" t="s">
        <v>1782</v>
      </c>
      <c r="D50" s="228" t="s">
        <v>1783</v>
      </c>
      <c r="E50" s="363" t="s">
        <v>1810</v>
      </c>
      <c r="F50" s="342">
        <v>44939</v>
      </c>
      <c r="G50" s="230"/>
      <c r="H50" s="231"/>
      <c r="I50" s="231">
        <v>566362</v>
      </c>
      <c r="J50" s="226" t="s">
        <v>2388</v>
      </c>
      <c r="K50" s="226"/>
      <c r="L50" s="345">
        <v>566362</v>
      </c>
      <c r="M50" s="346">
        <v>0</v>
      </c>
      <c r="N50" s="226" t="s">
        <v>2394</v>
      </c>
      <c r="O50" s="232"/>
      <c r="P50" s="232"/>
      <c r="Q50" s="232"/>
      <c r="R50" s="232"/>
      <c r="S50" s="414"/>
      <c r="T50" s="415"/>
      <c r="U50" s="414"/>
      <c r="V50" s="414"/>
      <c r="W50" s="414"/>
      <c r="X50" s="414"/>
      <c r="Y50" s="414"/>
      <c r="Z50" s="416"/>
      <c r="AA50" s="416"/>
      <c r="AB50" s="414"/>
      <c r="AC50" s="414"/>
      <c r="AD50" s="416"/>
      <c r="AE50" s="414"/>
      <c r="AF50" s="233"/>
    </row>
    <row r="51" spans="1:32">
      <c r="A51" s="225">
        <f t="shared" si="0"/>
        <v>42</v>
      </c>
      <c r="B51" s="227" t="s">
        <v>1216</v>
      </c>
      <c r="C51" s="227" t="s">
        <v>1789</v>
      </c>
      <c r="D51" s="228" t="s">
        <v>1790</v>
      </c>
      <c r="E51" s="363" t="s">
        <v>1811</v>
      </c>
      <c r="F51" s="342">
        <v>44954</v>
      </c>
      <c r="G51" s="230"/>
      <c r="H51" s="231"/>
      <c r="I51" s="231">
        <v>29542</v>
      </c>
      <c r="J51" s="226" t="s">
        <v>2388</v>
      </c>
      <c r="K51" s="226"/>
      <c r="L51" s="345">
        <v>29542</v>
      </c>
      <c r="M51" s="346">
        <v>0</v>
      </c>
      <c r="N51" s="226" t="s">
        <v>2395</v>
      </c>
      <c r="O51" s="232"/>
      <c r="P51" s="232"/>
      <c r="Q51" s="232"/>
      <c r="R51" s="232"/>
      <c r="S51" s="414"/>
      <c r="T51" s="415"/>
      <c r="U51" s="414"/>
      <c r="V51" s="414"/>
      <c r="W51" s="414"/>
      <c r="X51" s="414"/>
      <c r="Y51" s="414"/>
      <c r="Z51" s="416"/>
      <c r="AA51" s="416"/>
      <c r="AB51" s="414"/>
      <c r="AC51" s="414"/>
      <c r="AD51" s="416"/>
      <c r="AE51" s="414"/>
      <c r="AF51" s="233"/>
    </row>
    <row r="52" spans="1:32">
      <c r="A52" s="225">
        <f t="shared" si="0"/>
        <v>43</v>
      </c>
      <c r="B52" s="227" t="s">
        <v>1217</v>
      </c>
      <c r="C52" s="227" t="s">
        <v>1782</v>
      </c>
      <c r="D52" s="228" t="s">
        <v>1783</v>
      </c>
      <c r="E52" s="363" t="s">
        <v>1812</v>
      </c>
      <c r="F52" s="342">
        <v>44939</v>
      </c>
      <c r="G52" s="230"/>
      <c r="H52" s="231"/>
      <c r="I52" s="231">
        <v>582826</v>
      </c>
      <c r="J52" s="226" t="s">
        <v>2391</v>
      </c>
      <c r="K52" s="226"/>
      <c r="L52" s="345"/>
      <c r="M52" s="346">
        <v>582826</v>
      </c>
      <c r="N52" s="226" t="s">
        <v>2396</v>
      </c>
      <c r="O52" s="232"/>
      <c r="P52" s="232"/>
      <c r="Q52" s="232"/>
      <c r="R52" s="232"/>
      <c r="S52" s="414"/>
      <c r="T52" s="415"/>
      <c r="U52" s="414"/>
      <c r="V52" s="414"/>
      <c r="W52" s="414"/>
      <c r="X52" s="414"/>
      <c r="Y52" s="414"/>
      <c r="Z52" s="416"/>
      <c r="AA52" s="416"/>
      <c r="AB52" s="414"/>
      <c r="AC52" s="414"/>
      <c r="AD52" s="416"/>
      <c r="AE52" s="414"/>
      <c r="AF52" s="233"/>
    </row>
    <row r="53" spans="1:32">
      <c r="A53" s="225">
        <f t="shared" si="0"/>
        <v>44</v>
      </c>
      <c r="B53" s="227" t="s">
        <v>1218</v>
      </c>
      <c r="C53" s="227" t="s">
        <v>1782</v>
      </c>
      <c r="D53" s="228" t="s">
        <v>1783</v>
      </c>
      <c r="E53" s="363" t="s">
        <v>1813</v>
      </c>
      <c r="F53" s="342">
        <v>44939</v>
      </c>
      <c r="G53" s="230"/>
      <c r="H53" s="231"/>
      <c r="I53" s="231">
        <v>582826</v>
      </c>
      <c r="J53" s="226" t="s">
        <v>2388</v>
      </c>
      <c r="K53" s="226"/>
      <c r="L53" s="345">
        <v>582826</v>
      </c>
      <c r="M53" s="346">
        <v>0</v>
      </c>
      <c r="N53" s="226" t="s">
        <v>2394</v>
      </c>
      <c r="O53" s="232"/>
      <c r="P53" s="232"/>
      <c r="Q53" s="232"/>
      <c r="R53" s="232"/>
      <c r="S53" s="414"/>
      <c r="T53" s="415"/>
      <c r="U53" s="414"/>
      <c r="V53" s="414"/>
      <c r="W53" s="414"/>
      <c r="X53" s="414"/>
      <c r="Y53" s="414"/>
      <c r="Z53" s="416"/>
      <c r="AA53" s="416"/>
      <c r="AB53" s="414"/>
      <c r="AC53" s="414"/>
      <c r="AD53" s="416"/>
      <c r="AE53" s="414"/>
      <c r="AF53" s="233"/>
    </row>
    <row r="54" spans="1:32">
      <c r="A54" s="225">
        <f t="shared" si="0"/>
        <v>45</v>
      </c>
      <c r="B54" s="227" t="s">
        <v>1219</v>
      </c>
      <c r="C54" s="227" t="s">
        <v>1789</v>
      </c>
      <c r="D54" s="228" t="s">
        <v>1790</v>
      </c>
      <c r="E54" s="363" t="s">
        <v>1814</v>
      </c>
      <c r="F54" s="342">
        <v>44949</v>
      </c>
      <c r="G54" s="230"/>
      <c r="H54" s="231"/>
      <c r="I54" s="231">
        <v>59299</v>
      </c>
      <c r="J54" s="226" t="s">
        <v>2388</v>
      </c>
      <c r="K54" s="226"/>
      <c r="L54" s="345">
        <v>59299</v>
      </c>
      <c r="M54" s="346">
        <v>0</v>
      </c>
      <c r="N54" s="226" t="s">
        <v>2395</v>
      </c>
      <c r="O54" s="232"/>
      <c r="P54" s="232"/>
      <c r="Q54" s="232"/>
      <c r="R54" s="232"/>
      <c r="S54" s="414"/>
      <c r="T54" s="415"/>
      <c r="U54" s="414"/>
      <c r="V54" s="414"/>
      <c r="W54" s="414"/>
      <c r="X54" s="414"/>
      <c r="Y54" s="414"/>
      <c r="Z54" s="416"/>
      <c r="AA54" s="416"/>
      <c r="AB54" s="414"/>
      <c r="AC54" s="414"/>
      <c r="AD54" s="416"/>
      <c r="AE54" s="414"/>
      <c r="AF54" s="233"/>
    </row>
    <row r="55" spans="1:32">
      <c r="A55" s="225">
        <f t="shared" si="0"/>
        <v>46</v>
      </c>
      <c r="B55" s="227" t="s">
        <v>1220</v>
      </c>
      <c r="C55" s="227" t="s">
        <v>1782</v>
      </c>
      <c r="D55" s="228" t="s">
        <v>1783</v>
      </c>
      <c r="E55" s="363" t="s">
        <v>1815</v>
      </c>
      <c r="F55" s="342">
        <v>44939</v>
      </c>
      <c r="G55" s="230"/>
      <c r="H55" s="231"/>
      <c r="I55" s="231">
        <v>566362</v>
      </c>
      <c r="J55" s="226" t="s">
        <v>2388</v>
      </c>
      <c r="K55" s="226"/>
      <c r="L55" s="345">
        <v>566362</v>
      </c>
      <c r="M55" s="346">
        <v>0</v>
      </c>
      <c r="N55" s="226" t="s">
        <v>2394</v>
      </c>
      <c r="O55" s="232"/>
      <c r="P55" s="232"/>
      <c r="Q55" s="232"/>
      <c r="R55" s="232"/>
      <c r="S55" s="414"/>
      <c r="T55" s="415"/>
      <c r="U55" s="414"/>
      <c r="V55" s="414"/>
      <c r="W55" s="414"/>
      <c r="X55" s="414"/>
      <c r="Y55" s="414"/>
      <c r="Z55" s="416"/>
      <c r="AA55" s="416"/>
      <c r="AB55" s="414"/>
      <c r="AC55" s="414"/>
      <c r="AD55" s="416"/>
      <c r="AE55" s="414"/>
      <c r="AF55" s="233"/>
    </row>
    <row r="56" spans="1:32">
      <c r="A56" s="225">
        <f t="shared" si="0"/>
        <v>47</v>
      </c>
      <c r="B56" s="227" t="s">
        <v>1221</v>
      </c>
      <c r="C56" s="227" t="s">
        <v>1789</v>
      </c>
      <c r="D56" s="228" t="s">
        <v>1790</v>
      </c>
      <c r="E56" s="363" t="s">
        <v>1816</v>
      </c>
      <c r="F56" s="342">
        <v>44939</v>
      </c>
      <c r="G56" s="230"/>
      <c r="H56" s="231"/>
      <c r="I56" s="231">
        <v>29635</v>
      </c>
      <c r="J56" s="226" t="s">
        <v>2388</v>
      </c>
      <c r="K56" s="226"/>
      <c r="L56" s="345">
        <v>29635</v>
      </c>
      <c r="M56" s="346">
        <v>0</v>
      </c>
      <c r="N56" s="226" t="s">
        <v>2395</v>
      </c>
      <c r="O56" s="232"/>
      <c r="P56" s="232"/>
      <c r="Q56" s="232"/>
      <c r="R56" s="232"/>
      <c r="S56" s="414"/>
      <c r="T56" s="415"/>
      <c r="U56" s="414"/>
      <c r="V56" s="414"/>
      <c r="W56" s="414"/>
      <c r="X56" s="414"/>
      <c r="Y56" s="414"/>
      <c r="Z56" s="416"/>
      <c r="AA56" s="416"/>
      <c r="AB56" s="414"/>
      <c r="AC56" s="414"/>
      <c r="AD56" s="416"/>
      <c r="AE56" s="414"/>
      <c r="AF56" s="233"/>
    </row>
    <row r="57" spans="1:32">
      <c r="A57" s="225">
        <f t="shared" si="0"/>
        <v>48</v>
      </c>
      <c r="B57" s="227" t="s">
        <v>1222</v>
      </c>
      <c r="C57" s="227" t="s">
        <v>1782</v>
      </c>
      <c r="D57" s="228" t="s">
        <v>1783</v>
      </c>
      <c r="E57" s="363" t="s">
        <v>1817</v>
      </c>
      <c r="F57" s="342">
        <v>44939</v>
      </c>
      <c r="G57" s="230"/>
      <c r="H57" s="231"/>
      <c r="I57" s="231">
        <v>599290</v>
      </c>
      <c r="J57" s="226" t="s">
        <v>2388</v>
      </c>
      <c r="K57" s="226"/>
      <c r="L57" s="345">
        <v>599290</v>
      </c>
      <c r="M57" s="346">
        <v>0</v>
      </c>
      <c r="N57" s="226" t="s">
        <v>2394</v>
      </c>
      <c r="O57" s="232"/>
      <c r="P57" s="232"/>
      <c r="Q57" s="232"/>
      <c r="R57" s="232"/>
      <c r="S57" s="414"/>
      <c r="T57" s="415"/>
      <c r="U57" s="414"/>
      <c r="V57" s="414"/>
      <c r="W57" s="414"/>
      <c r="X57" s="414"/>
      <c r="Y57" s="414"/>
      <c r="Z57" s="416"/>
      <c r="AA57" s="416"/>
      <c r="AB57" s="414"/>
      <c r="AC57" s="414"/>
      <c r="AD57" s="416"/>
      <c r="AE57" s="414"/>
      <c r="AF57" s="233"/>
    </row>
    <row r="58" spans="1:32">
      <c r="A58" s="225">
        <f t="shared" si="0"/>
        <v>49</v>
      </c>
      <c r="B58" s="227" t="s">
        <v>1223</v>
      </c>
      <c r="C58" s="227" t="s">
        <v>1789</v>
      </c>
      <c r="D58" s="228" t="s">
        <v>1790</v>
      </c>
      <c r="E58" s="363" t="s">
        <v>1818</v>
      </c>
      <c r="F58" s="342">
        <v>44935</v>
      </c>
      <c r="G58" s="230"/>
      <c r="H58" s="231"/>
      <c r="I58" s="231">
        <v>29664</v>
      </c>
      <c r="J58" s="226" t="s">
        <v>2388</v>
      </c>
      <c r="K58" s="226"/>
      <c r="L58" s="345">
        <v>29664</v>
      </c>
      <c r="M58" s="346">
        <v>0</v>
      </c>
      <c r="N58" s="226" t="s">
        <v>2395</v>
      </c>
      <c r="O58" s="232"/>
      <c r="P58" s="232"/>
      <c r="Q58" s="232"/>
      <c r="R58" s="232"/>
      <c r="S58" s="414"/>
      <c r="T58" s="415"/>
      <c r="U58" s="414"/>
      <c r="V58" s="414"/>
      <c r="W58" s="414"/>
      <c r="X58" s="414"/>
      <c r="Y58" s="414"/>
      <c r="Z58" s="416"/>
      <c r="AA58" s="416"/>
      <c r="AB58" s="414"/>
      <c r="AC58" s="414"/>
      <c r="AD58" s="416"/>
      <c r="AE58" s="414"/>
      <c r="AF58" s="233"/>
    </row>
    <row r="59" spans="1:32">
      <c r="A59" s="225">
        <f t="shared" si="0"/>
        <v>50</v>
      </c>
      <c r="B59" s="227" t="s">
        <v>1224</v>
      </c>
      <c r="C59" s="227" t="s">
        <v>1782</v>
      </c>
      <c r="D59" s="228" t="s">
        <v>1783</v>
      </c>
      <c r="E59" s="363" t="s">
        <v>1819</v>
      </c>
      <c r="F59" s="342">
        <v>44939</v>
      </c>
      <c r="G59" s="230"/>
      <c r="H59" s="231"/>
      <c r="I59" s="231">
        <v>562246</v>
      </c>
      <c r="J59" s="226" t="s">
        <v>2388</v>
      </c>
      <c r="K59" s="226"/>
      <c r="L59" s="345">
        <v>562246</v>
      </c>
      <c r="M59" s="346">
        <v>0</v>
      </c>
      <c r="N59" s="226" t="s">
        <v>2394</v>
      </c>
      <c r="O59" s="232"/>
      <c r="P59" s="232"/>
      <c r="Q59" s="232"/>
      <c r="R59" s="232"/>
      <c r="S59" s="414"/>
      <c r="T59" s="415"/>
      <c r="U59" s="414"/>
      <c r="V59" s="414"/>
      <c r="W59" s="414"/>
      <c r="X59" s="414"/>
      <c r="Y59" s="414"/>
      <c r="Z59" s="416"/>
      <c r="AA59" s="416"/>
      <c r="AB59" s="414"/>
      <c r="AC59" s="414"/>
      <c r="AD59" s="416"/>
      <c r="AE59" s="414"/>
      <c r="AF59" s="233"/>
    </row>
    <row r="60" spans="1:32">
      <c r="A60" s="225">
        <f t="shared" si="0"/>
        <v>51</v>
      </c>
      <c r="B60" s="227" t="s">
        <v>1225</v>
      </c>
      <c r="C60" s="227" t="s">
        <v>1789</v>
      </c>
      <c r="D60" s="228" t="s">
        <v>1790</v>
      </c>
      <c r="E60" s="363" t="s">
        <v>1820</v>
      </c>
      <c r="F60" s="342">
        <v>44935</v>
      </c>
      <c r="G60" s="230"/>
      <c r="H60" s="231"/>
      <c r="I60" s="231">
        <v>19776</v>
      </c>
      <c r="J60" s="226" t="s">
        <v>2388</v>
      </c>
      <c r="K60" s="226"/>
      <c r="L60" s="345">
        <v>19776</v>
      </c>
      <c r="M60" s="346">
        <v>0</v>
      </c>
      <c r="N60" s="226" t="s">
        <v>2395</v>
      </c>
      <c r="O60" s="232"/>
      <c r="P60" s="232"/>
      <c r="Q60" s="232"/>
      <c r="R60" s="232"/>
      <c r="S60" s="414"/>
      <c r="T60" s="415"/>
      <c r="U60" s="414"/>
      <c r="V60" s="414"/>
      <c r="W60" s="414"/>
      <c r="X60" s="414"/>
      <c r="Y60" s="414"/>
      <c r="Z60" s="416"/>
      <c r="AA60" s="416"/>
      <c r="AB60" s="414"/>
      <c r="AC60" s="414"/>
      <c r="AD60" s="416"/>
      <c r="AE60" s="414"/>
      <c r="AF60" s="233"/>
    </row>
    <row r="61" spans="1:32">
      <c r="A61" s="225">
        <f t="shared" si="0"/>
        <v>52</v>
      </c>
      <c r="B61" s="227" t="s">
        <v>1226</v>
      </c>
      <c r="C61" s="227" t="s">
        <v>1782</v>
      </c>
      <c r="D61" s="228" t="s">
        <v>1783</v>
      </c>
      <c r="E61" s="363" t="s">
        <v>1821</v>
      </c>
      <c r="F61" s="342">
        <v>44939</v>
      </c>
      <c r="G61" s="230"/>
      <c r="H61" s="231"/>
      <c r="I61" s="231">
        <v>627690</v>
      </c>
      <c r="J61" s="226" t="s">
        <v>2388</v>
      </c>
      <c r="K61" s="226"/>
      <c r="L61" s="345">
        <v>627690</v>
      </c>
      <c r="M61" s="346">
        <v>0</v>
      </c>
      <c r="N61" s="226" t="s">
        <v>2394</v>
      </c>
      <c r="O61" s="232"/>
      <c r="P61" s="232"/>
      <c r="Q61" s="232"/>
      <c r="R61" s="232"/>
      <c r="S61" s="414"/>
      <c r="T61" s="415"/>
      <c r="U61" s="414"/>
      <c r="V61" s="414"/>
      <c r="W61" s="414"/>
      <c r="X61" s="414"/>
      <c r="Y61" s="414"/>
      <c r="Z61" s="416"/>
      <c r="AA61" s="416"/>
      <c r="AB61" s="414"/>
      <c r="AC61" s="414"/>
      <c r="AD61" s="416"/>
      <c r="AE61" s="414"/>
      <c r="AF61" s="233"/>
    </row>
    <row r="62" spans="1:32">
      <c r="A62" s="225">
        <f t="shared" si="0"/>
        <v>53</v>
      </c>
      <c r="B62" s="227" t="s">
        <v>1227</v>
      </c>
      <c r="C62" s="227" t="s">
        <v>1785</v>
      </c>
      <c r="D62" s="228" t="s">
        <v>1786</v>
      </c>
      <c r="E62" s="363">
        <v>14437</v>
      </c>
      <c r="F62" s="342">
        <v>44953</v>
      </c>
      <c r="G62" s="230"/>
      <c r="H62" s="231"/>
      <c r="I62" s="231">
        <v>23387</v>
      </c>
      <c r="J62" s="226" t="s">
        <v>2390</v>
      </c>
      <c r="K62" s="226"/>
      <c r="L62" s="345"/>
      <c r="M62" s="346">
        <v>23387</v>
      </c>
      <c r="N62" s="226"/>
      <c r="O62" s="232"/>
      <c r="P62" s="232"/>
      <c r="Q62" s="232"/>
      <c r="R62" s="232"/>
      <c r="S62" s="414"/>
      <c r="T62" s="415"/>
      <c r="U62" s="414"/>
      <c r="V62" s="414"/>
      <c r="W62" s="414"/>
      <c r="X62" s="414"/>
      <c r="Y62" s="414"/>
      <c r="Z62" s="416"/>
      <c r="AA62" s="416"/>
      <c r="AB62" s="414"/>
      <c r="AC62" s="414"/>
      <c r="AD62" s="416"/>
      <c r="AE62" s="414"/>
      <c r="AF62" s="233"/>
    </row>
    <row r="63" spans="1:32">
      <c r="A63" s="225">
        <f t="shared" si="0"/>
        <v>54</v>
      </c>
      <c r="B63" s="227" t="s">
        <v>1228</v>
      </c>
      <c r="C63" s="227" t="s">
        <v>1782</v>
      </c>
      <c r="D63" s="228" t="s">
        <v>1783</v>
      </c>
      <c r="E63" s="363" t="s">
        <v>1822</v>
      </c>
      <c r="F63" s="342">
        <v>44939</v>
      </c>
      <c r="G63" s="230"/>
      <c r="H63" s="231"/>
      <c r="I63" s="231">
        <v>1511395</v>
      </c>
      <c r="J63" s="226" t="s">
        <v>2388</v>
      </c>
      <c r="K63" s="226"/>
      <c r="L63" s="345">
        <v>1511395</v>
      </c>
      <c r="M63" s="346">
        <v>0</v>
      </c>
      <c r="N63" s="226" t="s">
        <v>2394</v>
      </c>
      <c r="O63" s="232"/>
      <c r="P63" s="232"/>
      <c r="Q63" s="232"/>
      <c r="R63" s="232"/>
      <c r="S63" s="414"/>
      <c r="T63" s="415"/>
      <c r="U63" s="414"/>
      <c r="V63" s="414"/>
      <c r="W63" s="414"/>
      <c r="X63" s="414"/>
      <c r="Y63" s="414"/>
      <c r="Z63" s="416"/>
      <c r="AA63" s="416"/>
      <c r="AB63" s="414"/>
      <c r="AC63" s="414"/>
      <c r="AD63" s="416"/>
      <c r="AE63" s="414"/>
      <c r="AF63" s="233"/>
    </row>
    <row r="64" spans="1:32">
      <c r="A64" s="225">
        <f t="shared" si="0"/>
        <v>55</v>
      </c>
      <c r="B64" s="227" t="s">
        <v>1229</v>
      </c>
      <c r="C64" s="227" t="s">
        <v>1789</v>
      </c>
      <c r="D64" s="228" t="s">
        <v>1790</v>
      </c>
      <c r="E64" s="363" t="s">
        <v>1823</v>
      </c>
      <c r="F64" s="342">
        <v>44943</v>
      </c>
      <c r="G64" s="230"/>
      <c r="H64" s="231"/>
      <c r="I64" s="231">
        <v>88884</v>
      </c>
      <c r="J64" s="226" t="s">
        <v>2388</v>
      </c>
      <c r="K64" s="226"/>
      <c r="L64" s="345">
        <v>88884</v>
      </c>
      <c r="M64" s="346">
        <v>0</v>
      </c>
      <c r="N64" s="226" t="s">
        <v>2395</v>
      </c>
      <c r="O64" s="232"/>
      <c r="P64" s="232"/>
      <c r="Q64" s="232"/>
      <c r="R64" s="232"/>
      <c r="S64" s="414"/>
      <c r="T64" s="415"/>
      <c r="U64" s="414"/>
      <c r="V64" s="414"/>
      <c r="W64" s="414"/>
      <c r="X64" s="414"/>
      <c r="Y64" s="414"/>
      <c r="Z64" s="416"/>
      <c r="AA64" s="416"/>
      <c r="AB64" s="414"/>
      <c r="AC64" s="414"/>
      <c r="AD64" s="416"/>
      <c r="AE64" s="414"/>
      <c r="AF64" s="233"/>
    </row>
    <row r="65" spans="1:32">
      <c r="A65" s="225">
        <f t="shared" si="0"/>
        <v>56</v>
      </c>
      <c r="B65" s="227" t="s">
        <v>1230</v>
      </c>
      <c r="C65" s="227" t="s">
        <v>1782</v>
      </c>
      <c r="D65" s="228" t="s">
        <v>1783</v>
      </c>
      <c r="E65" s="363" t="s">
        <v>1824</v>
      </c>
      <c r="F65" s="342">
        <v>44939</v>
      </c>
      <c r="G65" s="230"/>
      <c r="H65" s="231"/>
      <c r="I65" s="231">
        <v>660618</v>
      </c>
      <c r="J65" s="226" t="s">
        <v>2388</v>
      </c>
      <c r="K65" s="226"/>
      <c r="L65" s="345">
        <v>660618</v>
      </c>
      <c r="M65" s="346">
        <v>0</v>
      </c>
      <c r="N65" s="226" t="s">
        <v>2394</v>
      </c>
      <c r="O65" s="232"/>
      <c r="P65" s="232"/>
      <c r="Q65" s="232"/>
      <c r="R65" s="232"/>
      <c r="S65" s="414"/>
      <c r="T65" s="415"/>
      <c r="U65" s="414"/>
      <c r="V65" s="414"/>
      <c r="W65" s="414"/>
      <c r="X65" s="414"/>
      <c r="Y65" s="414"/>
      <c r="Z65" s="416"/>
      <c r="AA65" s="416"/>
      <c r="AB65" s="414"/>
      <c r="AC65" s="414"/>
      <c r="AD65" s="416"/>
      <c r="AE65" s="414"/>
      <c r="AF65" s="233"/>
    </row>
    <row r="66" spans="1:32">
      <c r="A66" s="225">
        <f t="shared" si="0"/>
        <v>57</v>
      </c>
      <c r="B66" s="227" t="s">
        <v>1231</v>
      </c>
      <c r="C66" s="227" t="s">
        <v>1785</v>
      </c>
      <c r="D66" s="228" t="s">
        <v>1786</v>
      </c>
      <c r="E66" s="363">
        <v>7457</v>
      </c>
      <c r="F66" s="342">
        <v>44940</v>
      </c>
      <c r="G66" s="230"/>
      <c r="H66" s="231"/>
      <c r="I66" s="231">
        <v>35809</v>
      </c>
      <c r="J66" s="226" t="s">
        <v>2390</v>
      </c>
      <c r="K66" s="226"/>
      <c r="L66" s="345"/>
      <c r="M66" s="346">
        <v>35809</v>
      </c>
      <c r="N66" s="226"/>
      <c r="O66" s="232"/>
      <c r="P66" s="232"/>
      <c r="Q66" s="232"/>
      <c r="R66" s="232"/>
      <c r="S66" s="414"/>
      <c r="T66" s="415"/>
      <c r="U66" s="414"/>
      <c r="V66" s="414"/>
      <c r="W66" s="414"/>
      <c r="X66" s="414"/>
      <c r="Y66" s="414"/>
      <c r="Z66" s="416"/>
      <c r="AA66" s="416"/>
      <c r="AB66" s="414"/>
      <c r="AC66" s="414"/>
      <c r="AD66" s="416"/>
      <c r="AE66" s="414"/>
      <c r="AF66" s="233"/>
    </row>
    <row r="67" spans="1:32">
      <c r="A67" s="225">
        <f t="shared" si="0"/>
        <v>58</v>
      </c>
      <c r="B67" s="227" t="s">
        <v>1232</v>
      </c>
      <c r="C67" s="227" t="s">
        <v>1760</v>
      </c>
      <c r="D67" s="228" t="s">
        <v>1761</v>
      </c>
      <c r="E67" s="363" t="s">
        <v>1825</v>
      </c>
      <c r="F67" s="342">
        <v>44985</v>
      </c>
      <c r="G67" s="230"/>
      <c r="H67" s="231"/>
      <c r="I67" s="231">
        <v>1212900</v>
      </c>
      <c r="J67" s="226" t="s">
        <v>2388</v>
      </c>
      <c r="K67" s="226"/>
      <c r="L67" s="345">
        <v>1212900</v>
      </c>
      <c r="M67" s="346">
        <v>0</v>
      </c>
      <c r="N67" s="226"/>
      <c r="O67" s="232"/>
      <c r="P67" s="232"/>
      <c r="Q67" s="232"/>
      <c r="R67" s="232"/>
      <c r="S67" s="414"/>
      <c r="T67" s="415"/>
      <c r="U67" s="414"/>
      <c r="V67" s="414"/>
      <c r="W67" s="414"/>
      <c r="X67" s="414"/>
      <c r="Y67" s="414"/>
      <c r="Z67" s="416"/>
      <c r="AA67" s="416"/>
      <c r="AB67" s="414"/>
      <c r="AC67" s="414"/>
      <c r="AD67" s="416"/>
      <c r="AE67" s="414"/>
      <c r="AF67" s="233"/>
    </row>
    <row r="68" spans="1:32">
      <c r="A68" s="225">
        <f t="shared" si="0"/>
        <v>59</v>
      </c>
      <c r="B68" s="227" t="s">
        <v>1233</v>
      </c>
      <c r="C68" s="227" t="s">
        <v>1785</v>
      </c>
      <c r="D68" s="228" t="s">
        <v>1786</v>
      </c>
      <c r="E68" s="363">
        <v>27887</v>
      </c>
      <c r="F68" s="342">
        <v>44985</v>
      </c>
      <c r="G68" s="230"/>
      <c r="H68" s="231"/>
      <c r="I68" s="231">
        <v>23045</v>
      </c>
      <c r="J68" s="226" t="s">
        <v>2390</v>
      </c>
      <c r="K68" s="226"/>
      <c r="L68" s="345"/>
      <c r="M68" s="346">
        <v>23045</v>
      </c>
      <c r="N68" s="226"/>
      <c r="O68" s="232"/>
      <c r="P68" s="232"/>
      <c r="Q68" s="232"/>
      <c r="R68" s="232"/>
      <c r="S68" s="414"/>
      <c r="T68" s="415"/>
      <c r="U68" s="414"/>
      <c r="V68" s="414"/>
      <c r="W68" s="414"/>
      <c r="X68" s="414"/>
      <c r="Y68" s="414"/>
      <c r="Z68" s="416"/>
      <c r="AA68" s="416"/>
      <c r="AB68" s="414"/>
      <c r="AC68" s="414"/>
      <c r="AD68" s="416"/>
      <c r="AE68" s="414"/>
      <c r="AF68" s="233"/>
    </row>
    <row r="69" spans="1:32">
      <c r="A69" s="225">
        <f t="shared" si="0"/>
        <v>60</v>
      </c>
      <c r="B69" s="227" t="s">
        <v>1234</v>
      </c>
      <c r="C69" s="227" t="s">
        <v>1782</v>
      </c>
      <c r="D69" s="228" t="s">
        <v>1783</v>
      </c>
      <c r="E69" s="363" t="s">
        <v>1826</v>
      </c>
      <c r="F69" s="342">
        <v>44978</v>
      </c>
      <c r="G69" s="230"/>
      <c r="H69" s="231"/>
      <c r="I69" s="231">
        <v>617474</v>
      </c>
      <c r="J69" s="226" t="s">
        <v>2388</v>
      </c>
      <c r="K69" s="226"/>
      <c r="L69" s="345">
        <v>617474</v>
      </c>
      <c r="M69" s="346">
        <v>0</v>
      </c>
      <c r="N69" s="226" t="s">
        <v>2394</v>
      </c>
      <c r="O69" s="232"/>
      <c r="P69" s="232"/>
      <c r="Q69" s="232"/>
      <c r="R69" s="232"/>
      <c r="S69" s="414"/>
      <c r="T69" s="415"/>
      <c r="U69" s="414"/>
      <c r="V69" s="414"/>
      <c r="W69" s="414"/>
      <c r="X69" s="414"/>
      <c r="Y69" s="414"/>
      <c r="Z69" s="416"/>
      <c r="AA69" s="416"/>
      <c r="AB69" s="414"/>
      <c r="AC69" s="414"/>
      <c r="AD69" s="416"/>
      <c r="AE69" s="414"/>
      <c r="AF69" s="233"/>
    </row>
    <row r="70" spans="1:32">
      <c r="A70" s="225">
        <f t="shared" si="0"/>
        <v>61</v>
      </c>
      <c r="B70" s="227" t="s">
        <v>1235</v>
      </c>
      <c r="C70" s="227" t="s">
        <v>1789</v>
      </c>
      <c r="D70" s="228" t="s">
        <v>1790</v>
      </c>
      <c r="E70" s="363" t="s">
        <v>1827</v>
      </c>
      <c r="F70" s="342">
        <v>44965</v>
      </c>
      <c r="G70" s="230"/>
      <c r="H70" s="231"/>
      <c r="I70" s="231">
        <v>29513</v>
      </c>
      <c r="J70" s="226" t="s">
        <v>2388</v>
      </c>
      <c r="K70" s="226"/>
      <c r="L70" s="345">
        <v>29513</v>
      </c>
      <c r="M70" s="346">
        <v>0</v>
      </c>
      <c r="N70" s="226" t="s">
        <v>2395</v>
      </c>
      <c r="O70" s="232"/>
      <c r="P70" s="232"/>
      <c r="Q70" s="232"/>
      <c r="R70" s="232"/>
      <c r="S70" s="414"/>
      <c r="T70" s="415"/>
      <c r="U70" s="414"/>
      <c r="V70" s="414"/>
      <c r="W70" s="414"/>
      <c r="X70" s="414"/>
      <c r="Y70" s="414"/>
      <c r="Z70" s="416"/>
      <c r="AA70" s="416"/>
      <c r="AB70" s="414"/>
      <c r="AC70" s="414"/>
      <c r="AD70" s="416"/>
      <c r="AE70" s="414"/>
      <c r="AF70" s="233"/>
    </row>
    <row r="71" spans="1:32">
      <c r="A71" s="225">
        <f t="shared" si="0"/>
        <v>62</v>
      </c>
      <c r="B71" s="227" t="s">
        <v>1236</v>
      </c>
      <c r="C71" s="227" t="s">
        <v>1782</v>
      </c>
      <c r="D71" s="228" t="s">
        <v>1783</v>
      </c>
      <c r="E71" s="363" t="s">
        <v>1828</v>
      </c>
      <c r="F71" s="342">
        <v>44978</v>
      </c>
      <c r="G71" s="230"/>
      <c r="H71" s="231"/>
      <c r="I71" s="231">
        <v>584954</v>
      </c>
      <c r="J71" s="226" t="s">
        <v>2388</v>
      </c>
      <c r="K71" s="226"/>
      <c r="L71" s="345">
        <v>584954</v>
      </c>
      <c r="M71" s="346">
        <v>0</v>
      </c>
      <c r="N71" s="226" t="s">
        <v>2394</v>
      </c>
      <c r="O71" s="232"/>
      <c r="P71" s="232"/>
      <c r="Q71" s="232"/>
      <c r="R71" s="232"/>
      <c r="S71" s="414"/>
      <c r="T71" s="415"/>
      <c r="U71" s="414"/>
      <c r="V71" s="414"/>
      <c r="W71" s="414"/>
      <c r="X71" s="414"/>
      <c r="Y71" s="414"/>
      <c r="Z71" s="416"/>
      <c r="AA71" s="416"/>
      <c r="AB71" s="414"/>
      <c r="AC71" s="414"/>
      <c r="AD71" s="416"/>
      <c r="AE71" s="414"/>
      <c r="AF71" s="233"/>
    </row>
    <row r="72" spans="1:32">
      <c r="A72" s="225">
        <f t="shared" si="0"/>
        <v>63</v>
      </c>
      <c r="B72" s="227" t="s">
        <v>1237</v>
      </c>
      <c r="C72" s="227" t="s">
        <v>1782</v>
      </c>
      <c r="D72" s="228" t="s">
        <v>1783</v>
      </c>
      <c r="E72" s="363" t="s">
        <v>1829</v>
      </c>
      <c r="F72" s="342">
        <v>44978</v>
      </c>
      <c r="G72" s="230"/>
      <c r="H72" s="231"/>
      <c r="I72" s="231">
        <v>559344</v>
      </c>
      <c r="J72" s="226" t="s">
        <v>2388</v>
      </c>
      <c r="K72" s="226"/>
      <c r="L72" s="345">
        <v>559344</v>
      </c>
      <c r="M72" s="346">
        <v>0</v>
      </c>
      <c r="N72" s="226" t="s">
        <v>2394</v>
      </c>
      <c r="O72" s="232"/>
      <c r="P72" s="232"/>
      <c r="Q72" s="232"/>
      <c r="R72" s="232"/>
      <c r="S72" s="414"/>
      <c r="T72" s="415"/>
      <c r="U72" s="414"/>
      <c r="V72" s="414"/>
      <c r="W72" s="414"/>
      <c r="X72" s="414"/>
      <c r="Y72" s="414"/>
      <c r="Z72" s="416"/>
      <c r="AA72" s="416"/>
      <c r="AB72" s="414"/>
      <c r="AC72" s="414"/>
      <c r="AD72" s="416"/>
      <c r="AE72" s="414"/>
      <c r="AF72" s="233"/>
    </row>
    <row r="73" spans="1:32">
      <c r="A73" s="225">
        <f t="shared" si="0"/>
        <v>64</v>
      </c>
      <c r="B73" s="227" t="s">
        <v>1238</v>
      </c>
      <c r="C73" s="227" t="s">
        <v>1789</v>
      </c>
      <c r="D73" s="228" t="s">
        <v>1790</v>
      </c>
      <c r="E73" s="363" t="s">
        <v>1830</v>
      </c>
      <c r="F73" s="342">
        <v>44982</v>
      </c>
      <c r="G73" s="230"/>
      <c r="H73" s="231"/>
      <c r="I73" s="231">
        <v>29131</v>
      </c>
      <c r="J73" s="226" t="s">
        <v>2388</v>
      </c>
      <c r="K73" s="226"/>
      <c r="L73" s="345">
        <v>29131</v>
      </c>
      <c r="M73" s="346">
        <v>0</v>
      </c>
      <c r="N73" s="226" t="s">
        <v>2395</v>
      </c>
      <c r="O73" s="232"/>
      <c r="P73" s="232"/>
      <c r="Q73" s="232"/>
      <c r="R73" s="232"/>
      <c r="S73" s="414"/>
      <c r="T73" s="415"/>
      <c r="U73" s="414"/>
      <c r="V73" s="414"/>
      <c r="W73" s="414"/>
      <c r="X73" s="414"/>
      <c r="Y73" s="414"/>
      <c r="Z73" s="416"/>
      <c r="AA73" s="416"/>
      <c r="AB73" s="414"/>
      <c r="AC73" s="414"/>
      <c r="AD73" s="416"/>
      <c r="AE73" s="414"/>
      <c r="AF73" s="233"/>
    </row>
    <row r="74" spans="1:32">
      <c r="A74" s="225">
        <f t="shared" si="0"/>
        <v>65</v>
      </c>
      <c r="B74" s="227" t="s">
        <v>1239</v>
      </c>
      <c r="C74" s="227" t="s">
        <v>1782</v>
      </c>
      <c r="D74" s="228" t="s">
        <v>1783</v>
      </c>
      <c r="E74" s="363" t="s">
        <v>1831</v>
      </c>
      <c r="F74" s="342">
        <v>44978</v>
      </c>
      <c r="G74" s="230"/>
      <c r="H74" s="231"/>
      <c r="I74" s="231">
        <v>559344</v>
      </c>
      <c r="J74" s="226" t="s">
        <v>2388</v>
      </c>
      <c r="K74" s="226"/>
      <c r="L74" s="345">
        <v>559344</v>
      </c>
      <c r="M74" s="346">
        <v>0</v>
      </c>
      <c r="N74" s="226" t="s">
        <v>2394</v>
      </c>
      <c r="O74" s="232"/>
      <c r="P74" s="232"/>
      <c r="Q74" s="232"/>
      <c r="R74" s="232"/>
      <c r="S74" s="414"/>
      <c r="T74" s="415"/>
      <c r="U74" s="414"/>
      <c r="V74" s="414"/>
      <c r="W74" s="414"/>
      <c r="X74" s="414"/>
      <c r="Y74" s="414"/>
      <c r="Z74" s="416"/>
      <c r="AA74" s="416"/>
      <c r="AB74" s="414"/>
      <c r="AC74" s="414"/>
      <c r="AD74" s="416"/>
      <c r="AE74" s="414"/>
      <c r="AF74" s="233"/>
    </row>
    <row r="75" spans="1:32">
      <c r="A75" s="225">
        <f t="shared" si="0"/>
        <v>66</v>
      </c>
      <c r="B75" s="227" t="s">
        <v>1240</v>
      </c>
      <c r="C75" s="227" t="s">
        <v>1789</v>
      </c>
      <c r="D75" s="228" t="s">
        <v>1790</v>
      </c>
      <c r="E75" s="363" t="s">
        <v>1832</v>
      </c>
      <c r="F75" s="342">
        <v>44982</v>
      </c>
      <c r="G75" s="230"/>
      <c r="H75" s="231"/>
      <c r="I75" s="231">
        <v>29131</v>
      </c>
      <c r="J75" s="226" t="s">
        <v>2388</v>
      </c>
      <c r="K75" s="226"/>
      <c r="L75" s="345">
        <v>29131</v>
      </c>
      <c r="M75" s="346">
        <v>0</v>
      </c>
      <c r="N75" s="226" t="s">
        <v>2395</v>
      </c>
      <c r="O75" s="232"/>
      <c r="P75" s="232"/>
      <c r="Q75" s="232"/>
      <c r="R75" s="232"/>
      <c r="S75" s="414"/>
      <c r="T75" s="415"/>
      <c r="U75" s="414"/>
      <c r="V75" s="414"/>
      <c r="W75" s="414"/>
      <c r="X75" s="414"/>
      <c r="Y75" s="414"/>
      <c r="Z75" s="416"/>
      <c r="AA75" s="416"/>
      <c r="AB75" s="414"/>
      <c r="AC75" s="414"/>
      <c r="AD75" s="416"/>
      <c r="AE75" s="414"/>
      <c r="AF75" s="233"/>
    </row>
    <row r="76" spans="1:32">
      <c r="A76" s="225">
        <f t="shared" ref="A76:A139" si="1">A75+1</f>
        <v>67</v>
      </c>
      <c r="B76" s="227" t="s">
        <v>1241</v>
      </c>
      <c r="C76" s="227" t="s">
        <v>1782</v>
      </c>
      <c r="D76" s="228" t="s">
        <v>1783</v>
      </c>
      <c r="E76" s="363" t="s">
        <v>1833</v>
      </c>
      <c r="F76" s="342">
        <v>44978</v>
      </c>
      <c r="G76" s="230"/>
      <c r="H76" s="231"/>
      <c r="I76" s="231">
        <v>665034</v>
      </c>
      <c r="J76" s="226" t="s">
        <v>2388</v>
      </c>
      <c r="K76" s="226"/>
      <c r="L76" s="345">
        <v>665034</v>
      </c>
      <c r="M76" s="346">
        <v>0</v>
      </c>
      <c r="N76" s="226" t="s">
        <v>2394</v>
      </c>
      <c r="O76" s="232"/>
      <c r="P76" s="232"/>
      <c r="Q76" s="232"/>
      <c r="R76" s="232"/>
      <c r="S76" s="414"/>
      <c r="T76" s="415"/>
      <c r="U76" s="414"/>
      <c r="V76" s="414"/>
      <c r="W76" s="414"/>
      <c r="X76" s="414"/>
      <c r="Y76" s="414"/>
      <c r="Z76" s="416"/>
      <c r="AA76" s="416"/>
      <c r="AB76" s="414"/>
      <c r="AC76" s="414"/>
      <c r="AD76" s="416"/>
      <c r="AE76" s="414"/>
      <c r="AF76" s="233"/>
    </row>
    <row r="77" spans="1:32">
      <c r="A77" s="225">
        <f t="shared" si="1"/>
        <v>68</v>
      </c>
      <c r="B77" s="227" t="s">
        <v>1242</v>
      </c>
      <c r="C77" s="227" t="s">
        <v>1789</v>
      </c>
      <c r="D77" s="228" t="s">
        <v>1790</v>
      </c>
      <c r="E77" s="363" t="s">
        <v>1834</v>
      </c>
      <c r="F77" s="342">
        <v>44975</v>
      </c>
      <c r="G77" s="230"/>
      <c r="H77" s="231"/>
      <c r="I77" s="231">
        <v>29390</v>
      </c>
      <c r="J77" s="226" t="s">
        <v>2388</v>
      </c>
      <c r="K77" s="226"/>
      <c r="L77" s="345">
        <v>29390</v>
      </c>
      <c r="M77" s="346">
        <v>0</v>
      </c>
      <c r="N77" s="226" t="s">
        <v>2395</v>
      </c>
      <c r="O77" s="232"/>
      <c r="P77" s="232"/>
      <c r="Q77" s="232"/>
      <c r="R77" s="232"/>
      <c r="S77" s="414"/>
      <c r="T77" s="415"/>
      <c r="U77" s="414"/>
      <c r="V77" s="414"/>
      <c r="W77" s="414"/>
      <c r="X77" s="414"/>
      <c r="Y77" s="414"/>
      <c r="Z77" s="416"/>
      <c r="AA77" s="416"/>
      <c r="AB77" s="414"/>
      <c r="AC77" s="414"/>
      <c r="AD77" s="416"/>
      <c r="AE77" s="414"/>
      <c r="AF77" s="233"/>
    </row>
    <row r="78" spans="1:32">
      <c r="A78" s="225">
        <f t="shared" si="1"/>
        <v>69</v>
      </c>
      <c r="B78" s="227" t="s">
        <v>1243</v>
      </c>
      <c r="C78" s="227" t="s">
        <v>1782</v>
      </c>
      <c r="D78" s="228" t="s">
        <v>1783</v>
      </c>
      <c r="E78" s="363" t="s">
        <v>1835</v>
      </c>
      <c r="F78" s="342">
        <v>44978</v>
      </c>
      <c r="G78" s="230"/>
      <c r="H78" s="231"/>
      <c r="I78" s="231">
        <v>482109</v>
      </c>
      <c r="J78" s="226" t="s">
        <v>2388</v>
      </c>
      <c r="K78" s="226"/>
      <c r="L78" s="345">
        <v>482109</v>
      </c>
      <c r="M78" s="346">
        <v>0</v>
      </c>
      <c r="N78" s="226" t="s">
        <v>2394</v>
      </c>
      <c r="O78" s="232"/>
      <c r="P78" s="232"/>
      <c r="Q78" s="232"/>
      <c r="R78" s="232"/>
      <c r="S78" s="414"/>
      <c r="T78" s="415"/>
      <c r="U78" s="414"/>
      <c r="V78" s="414"/>
      <c r="W78" s="414"/>
      <c r="X78" s="414"/>
      <c r="Y78" s="414"/>
      <c r="Z78" s="416"/>
      <c r="AA78" s="416"/>
      <c r="AB78" s="414"/>
      <c r="AC78" s="414"/>
      <c r="AD78" s="416"/>
      <c r="AE78" s="414"/>
      <c r="AF78" s="233"/>
    </row>
    <row r="79" spans="1:32">
      <c r="A79" s="225">
        <f t="shared" si="1"/>
        <v>70</v>
      </c>
      <c r="B79" s="227" t="s">
        <v>1244</v>
      </c>
      <c r="C79" s="227" t="s">
        <v>1789</v>
      </c>
      <c r="D79" s="228" t="s">
        <v>1790</v>
      </c>
      <c r="E79" s="363" t="s">
        <v>1836</v>
      </c>
      <c r="F79" s="342">
        <v>44975</v>
      </c>
      <c r="G79" s="230"/>
      <c r="H79" s="231"/>
      <c r="I79" s="231">
        <v>19594</v>
      </c>
      <c r="J79" s="226" t="s">
        <v>2388</v>
      </c>
      <c r="K79" s="226"/>
      <c r="L79" s="345">
        <v>19594</v>
      </c>
      <c r="M79" s="346">
        <v>0</v>
      </c>
      <c r="N79" s="226" t="s">
        <v>2395</v>
      </c>
      <c r="O79" s="232"/>
      <c r="P79" s="232"/>
      <c r="Q79" s="232"/>
      <c r="R79" s="232"/>
      <c r="S79" s="414"/>
      <c r="T79" s="415"/>
      <c r="U79" s="414"/>
      <c r="V79" s="414"/>
      <c r="W79" s="414"/>
      <c r="X79" s="414"/>
      <c r="Y79" s="414"/>
      <c r="Z79" s="416"/>
      <c r="AA79" s="416"/>
      <c r="AB79" s="414"/>
      <c r="AC79" s="414"/>
      <c r="AD79" s="416"/>
      <c r="AE79" s="414"/>
      <c r="AF79" s="233"/>
    </row>
    <row r="80" spans="1:32">
      <c r="A80" s="225">
        <f t="shared" si="1"/>
        <v>71</v>
      </c>
      <c r="B80" s="227" t="s">
        <v>1245</v>
      </c>
      <c r="C80" s="227" t="s">
        <v>1782</v>
      </c>
      <c r="D80" s="228" t="s">
        <v>1783</v>
      </c>
      <c r="E80" s="363" t="s">
        <v>1837</v>
      </c>
      <c r="F80" s="342">
        <v>44978</v>
      </c>
      <c r="G80" s="230"/>
      <c r="H80" s="231"/>
      <c r="I80" s="231">
        <v>518694</v>
      </c>
      <c r="J80" s="226" t="s">
        <v>2388</v>
      </c>
      <c r="K80" s="226"/>
      <c r="L80" s="345">
        <v>518694</v>
      </c>
      <c r="M80" s="346">
        <v>0</v>
      </c>
      <c r="N80" s="226" t="s">
        <v>2394</v>
      </c>
      <c r="O80" s="232"/>
      <c r="P80" s="232"/>
      <c r="Q80" s="232"/>
      <c r="R80" s="232"/>
      <c r="S80" s="414"/>
      <c r="T80" s="415"/>
      <c r="U80" s="414"/>
      <c r="V80" s="414"/>
      <c r="W80" s="414"/>
      <c r="X80" s="414"/>
      <c r="Y80" s="414"/>
      <c r="Z80" s="416"/>
      <c r="AA80" s="416"/>
      <c r="AB80" s="414"/>
      <c r="AC80" s="414"/>
      <c r="AD80" s="416"/>
      <c r="AE80" s="414"/>
      <c r="AF80" s="233"/>
    </row>
    <row r="81" spans="1:32">
      <c r="A81" s="225">
        <f t="shared" si="1"/>
        <v>72</v>
      </c>
      <c r="B81" s="227" t="s">
        <v>1246</v>
      </c>
      <c r="C81" s="227" t="s">
        <v>1789</v>
      </c>
      <c r="D81" s="228" t="s">
        <v>1790</v>
      </c>
      <c r="E81" s="363" t="s">
        <v>1838</v>
      </c>
      <c r="F81" s="342">
        <v>44975</v>
      </c>
      <c r="G81" s="230"/>
      <c r="H81" s="231"/>
      <c r="I81" s="231">
        <v>29390</v>
      </c>
      <c r="J81" s="226" t="s">
        <v>2388</v>
      </c>
      <c r="K81" s="226"/>
      <c r="L81" s="345">
        <v>29390</v>
      </c>
      <c r="M81" s="346">
        <v>0</v>
      </c>
      <c r="N81" s="226" t="s">
        <v>2395</v>
      </c>
      <c r="O81" s="232"/>
      <c r="P81" s="232"/>
      <c r="Q81" s="232"/>
      <c r="R81" s="232"/>
      <c r="S81" s="414"/>
      <c r="T81" s="415"/>
      <c r="U81" s="414"/>
      <c r="V81" s="414"/>
      <c r="W81" s="414"/>
      <c r="X81" s="414"/>
      <c r="Y81" s="414"/>
      <c r="Z81" s="416"/>
      <c r="AA81" s="416"/>
      <c r="AB81" s="414"/>
      <c r="AC81" s="414"/>
      <c r="AD81" s="416"/>
      <c r="AE81" s="414"/>
      <c r="AF81" s="233"/>
    </row>
    <row r="82" spans="1:32">
      <c r="A82" s="225">
        <f t="shared" si="1"/>
        <v>73</v>
      </c>
      <c r="B82" s="227" t="s">
        <v>1247</v>
      </c>
      <c r="C82" s="227" t="s">
        <v>1782</v>
      </c>
      <c r="D82" s="228" t="s">
        <v>1783</v>
      </c>
      <c r="E82" s="363" t="s">
        <v>1839</v>
      </c>
      <c r="F82" s="342">
        <v>44965</v>
      </c>
      <c r="G82" s="230"/>
      <c r="H82" s="231"/>
      <c r="I82" s="231">
        <v>523032</v>
      </c>
      <c r="J82" s="226" t="s">
        <v>2388</v>
      </c>
      <c r="K82" s="226"/>
      <c r="L82" s="345">
        <v>523032</v>
      </c>
      <c r="M82" s="346">
        <v>0</v>
      </c>
      <c r="N82" s="226" t="s">
        <v>2394</v>
      </c>
      <c r="O82" s="232"/>
      <c r="P82" s="232"/>
      <c r="Q82" s="232"/>
      <c r="R82" s="232"/>
      <c r="S82" s="414"/>
      <c r="T82" s="415"/>
      <c r="U82" s="414"/>
      <c r="V82" s="414"/>
      <c r="W82" s="414"/>
      <c r="X82" s="414"/>
      <c r="Y82" s="414"/>
      <c r="Z82" s="416"/>
      <c r="AA82" s="416"/>
      <c r="AB82" s="414"/>
      <c r="AC82" s="414"/>
      <c r="AD82" s="416"/>
      <c r="AE82" s="414"/>
      <c r="AF82" s="233"/>
    </row>
    <row r="83" spans="1:32">
      <c r="A83" s="225">
        <f t="shared" si="1"/>
        <v>74</v>
      </c>
      <c r="B83" s="227" t="s">
        <v>1248</v>
      </c>
      <c r="C83" s="227" t="s">
        <v>1782</v>
      </c>
      <c r="D83" s="228" t="s">
        <v>1783</v>
      </c>
      <c r="E83" s="363" t="s">
        <v>1840</v>
      </c>
      <c r="F83" s="342">
        <v>44965</v>
      </c>
      <c r="G83" s="230"/>
      <c r="H83" s="231"/>
      <c r="I83" s="231">
        <v>486141</v>
      </c>
      <c r="J83" s="226" t="s">
        <v>2388</v>
      </c>
      <c r="K83" s="226"/>
      <c r="L83" s="345">
        <v>486141</v>
      </c>
      <c r="M83" s="346">
        <v>0</v>
      </c>
      <c r="N83" s="226" t="s">
        <v>2394</v>
      </c>
      <c r="O83" s="232"/>
      <c r="P83" s="232"/>
      <c r="Q83" s="232"/>
      <c r="R83" s="232"/>
      <c r="S83" s="414"/>
      <c r="T83" s="415"/>
      <c r="U83" s="414"/>
      <c r="V83" s="414"/>
      <c r="W83" s="414"/>
      <c r="X83" s="414"/>
      <c r="Y83" s="414"/>
      <c r="Z83" s="416"/>
      <c r="AA83" s="416"/>
      <c r="AB83" s="414"/>
      <c r="AC83" s="414"/>
      <c r="AD83" s="416"/>
      <c r="AE83" s="414"/>
      <c r="AF83" s="233"/>
    </row>
    <row r="84" spans="1:32">
      <c r="A84" s="225">
        <f t="shared" si="1"/>
        <v>75</v>
      </c>
      <c r="B84" s="227" t="s">
        <v>1249</v>
      </c>
      <c r="C84" s="227" t="s">
        <v>1789</v>
      </c>
      <c r="D84" s="228" t="s">
        <v>1790</v>
      </c>
      <c r="E84" s="363" t="s">
        <v>1841</v>
      </c>
      <c r="F84" s="342">
        <v>44971</v>
      </c>
      <c r="G84" s="230"/>
      <c r="H84" s="231"/>
      <c r="I84" s="231">
        <v>49044</v>
      </c>
      <c r="J84" s="226" t="s">
        <v>2388</v>
      </c>
      <c r="K84" s="226"/>
      <c r="L84" s="345">
        <v>49044</v>
      </c>
      <c r="M84" s="346">
        <v>0</v>
      </c>
      <c r="N84" s="226" t="s">
        <v>2395</v>
      </c>
      <c r="O84" s="232"/>
      <c r="P84" s="232"/>
      <c r="Q84" s="232"/>
      <c r="R84" s="232"/>
      <c r="S84" s="414"/>
      <c r="T84" s="415"/>
      <c r="U84" s="414"/>
      <c r="V84" s="414"/>
      <c r="W84" s="414"/>
      <c r="X84" s="414"/>
      <c r="Y84" s="414"/>
      <c r="Z84" s="416"/>
      <c r="AA84" s="416"/>
      <c r="AB84" s="414"/>
      <c r="AC84" s="414"/>
      <c r="AD84" s="416"/>
      <c r="AE84" s="414"/>
      <c r="AF84" s="233"/>
    </row>
    <row r="85" spans="1:32">
      <c r="A85" s="225">
        <f t="shared" si="1"/>
        <v>76</v>
      </c>
      <c r="B85" s="227" t="s">
        <v>1250</v>
      </c>
      <c r="C85" s="227" t="s">
        <v>1782</v>
      </c>
      <c r="D85" s="228" t="s">
        <v>1783</v>
      </c>
      <c r="E85" s="363" t="s">
        <v>1842</v>
      </c>
      <c r="F85" s="342">
        <v>44964</v>
      </c>
      <c r="G85" s="230"/>
      <c r="H85" s="231"/>
      <c r="I85" s="231">
        <v>564160</v>
      </c>
      <c r="J85" s="226" t="s">
        <v>2388</v>
      </c>
      <c r="K85" s="226"/>
      <c r="L85" s="345">
        <v>564160</v>
      </c>
      <c r="M85" s="346">
        <v>0</v>
      </c>
      <c r="N85" s="226" t="s">
        <v>2394</v>
      </c>
      <c r="O85" s="232"/>
      <c r="P85" s="232"/>
      <c r="Q85" s="232"/>
      <c r="R85" s="232"/>
      <c r="S85" s="414"/>
      <c r="T85" s="415"/>
      <c r="U85" s="414"/>
      <c r="V85" s="414"/>
      <c r="W85" s="414"/>
      <c r="X85" s="414"/>
      <c r="Y85" s="414"/>
      <c r="Z85" s="416"/>
      <c r="AA85" s="416"/>
      <c r="AB85" s="414"/>
      <c r="AC85" s="414"/>
      <c r="AD85" s="416"/>
      <c r="AE85" s="414"/>
      <c r="AF85" s="233"/>
    </row>
    <row r="86" spans="1:32">
      <c r="A86" s="225">
        <f t="shared" si="1"/>
        <v>77</v>
      </c>
      <c r="B86" s="227" t="s">
        <v>1251</v>
      </c>
      <c r="C86" s="227" t="s">
        <v>1789</v>
      </c>
      <c r="D86" s="228" t="s">
        <v>1790</v>
      </c>
      <c r="E86" s="363" t="s">
        <v>1843</v>
      </c>
      <c r="F86" s="342">
        <v>44963</v>
      </c>
      <c r="G86" s="230"/>
      <c r="H86" s="231"/>
      <c r="I86" s="231">
        <v>29578</v>
      </c>
      <c r="J86" s="226" t="s">
        <v>2388</v>
      </c>
      <c r="K86" s="226"/>
      <c r="L86" s="345">
        <v>29578</v>
      </c>
      <c r="M86" s="346">
        <v>0</v>
      </c>
      <c r="N86" s="226" t="s">
        <v>2395</v>
      </c>
      <c r="O86" s="232"/>
      <c r="P86" s="232"/>
      <c r="Q86" s="232"/>
      <c r="R86" s="232"/>
      <c r="S86" s="414"/>
      <c r="T86" s="415"/>
      <c r="U86" s="414"/>
      <c r="V86" s="414"/>
      <c r="W86" s="414"/>
      <c r="X86" s="414"/>
      <c r="Y86" s="414"/>
      <c r="Z86" s="416"/>
      <c r="AA86" s="416"/>
      <c r="AB86" s="414"/>
      <c r="AC86" s="414"/>
      <c r="AD86" s="416"/>
      <c r="AE86" s="414"/>
      <c r="AF86" s="233"/>
    </row>
    <row r="87" spans="1:32">
      <c r="A87" s="225">
        <f t="shared" si="1"/>
        <v>78</v>
      </c>
      <c r="B87" s="227" t="s">
        <v>1252</v>
      </c>
      <c r="C87" s="227" t="s">
        <v>1782</v>
      </c>
      <c r="D87" s="228" t="s">
        <v>1783</v>
      </c>
      <c r="E87" s="363" t="s">
        <v>1844</v>
      </c>
      <c r="F87" s="342">
        <v>44964</v>
      </c>
      <c r="G87" s="230"/>
      <c r="H87" s="231"/>
      <c r="I87" s="231">
        <v>486260</v>
      </c>
      <c r="J87" s="226" t="s">
        <v>2388</v>
      </c>
      <c r="K87" s="226"/>
      <c r="L87" s="345">
        <v>486260</v>
      </c>
      <c r="M87" s="346">
        <v>0</v>
      </c>
      <c r="N87" s="226" t="s">
        <v>2394</v>
      </c>
      <c r="O87" s="232"/>
      <c r="P87" s="232"/>
      <c r="Q87" s="232"/>
      <c r="R87" s="232"/>
      <c r="S87" s="414"/>
      <c r="T87" s="415"/>
      <c r="U87" s="414"/>
      <c r="V87" s="414"/>
      <c r="W87" s="414"/>
      <c r="X87" s="414"/>
      <c r="Y87" s="414"/>
      <c r="Z87" s="416"/>
      <c r="AA87" s="416"/>
      <c r="AB87" s="414"/>
      <c r="AC87" s="414"/>
      <c r="AD87" s="416"/>
      <c r="AE87" s="414"/>
      <c r="AF87" s="233"/>
    </row>
    <row r="88" spans="1:32">
      <c r="A88" s="225">
        <f t="shared" si="1"/>
        <v>79</v>
      </c>
      <c r="B88" s="227" t="s">
        <v>1253</v>
      </c>
      <c r="C88" s="227" t="s">
        <v>1789</v>
      </c>
      <c r="D88" s="228" t="s">
        <v>1790</v>
      </c>
      <c r="E88" s="363" t="s">
        <v>1845</v>
      </c>
      <c r="F88" s="342">
        <v>44963</v>
      </c>
      <c r="G88" s="230"/>
      <c r="H88" s="231"/>
      <c r="I88" s="231">
        <v>19718</v>
      </c>
      <c r="J88" s="226" t="s">
        <v>2388</v>
      </c>
      <c r="K88" s="226"/>
      <c r="L88" s="345">
        <v>19718</v>
      </c>
      <c r="M88" s="346">
        <v>0</v>
      </c>
      <c r="N88" s="226" t="s">
        <v>2395</v>
      </c>
      <c r="O88" s="232"/>
      <c r="P88" s="232"/>
      <c r="Q88" s="232"/>
      <c r="R88" s="232"/>
      <c r="S88" s="414"/>
      <c r="T88" s="415"/>
      <c r="U88" s="414"/>
      <c r="V88" s="414"/>
      <c r="W88" s="414"/>
      <c r="X88" s="414"/>
      <c r="Y88" s="414"/>
      <c r="Z88" s="416"/>
      <c r="AA88" s="416"/>
      <c r="AB88" s="414"/>
      <c r="AC88" s="414"/>
      <c r="AD88" s="416"/>
      <c r="AE88" s="414"/>
      <c r="AF88" s="233"/>
    </row>
    <row r="89" spans="1:32">
      <c r="A89" s="225">
        <f t="shared" si="1"/>
        <v>80</v>
      </c>
      <c r="B89" s="227" t="s">
        <v>1185</v>
      </c>
      <c r="C89" s="227" t="s">
        <v>1766</v>
      </c>
      <c r="D89" s="228" t="s">
        <v>1767</v>
      </c>
      <c r="E89" s="363" t="s">
        <v>1846</v>
      </c>
      <c r="F89" s="342">
        <v>44985</v>
      </c>
      <c r="G89" s="230"/>
      <c r="H89" s="231"/>
      <c r="I89" s="231">
        <v>2830100</v>
      </c>
      <c r="J89" s="226" t="s">
        <v>2388</v>
      </c>
      <c r="K89" s="226"/>
      <c r="L89" s="345">
        <v>2830100</v>
      </c>
      <c r="M89" s="346">
        <v>0</v>
      </c>
      <c r="N89" s="226"/>
      <c r="O89" s="232"/>
      <c r="P89" s="232"/>
      <c r="Q89" s="232"/>
      <c r="R89" s="232"/>
      <c r="S89" s="414"/>
      <c r="T89" s="415"/>
      <c r="U89" s="414"/>
      <c r="V89" s="414"/>
      <c r="W89" s="414"/>
      <c r="X89" s="414"/>
      <c r="Y89" s="414"/>
      <c r="Z89" s="416"/>
      <c r="AA89" s="416"/>
      <c r="AB89" s="414"/>
      <c r="AC89" s="414"/>
      <c r="AD89" s="416"/>
      <c r="AE89" s="414"/>
      <c r="AF89" s="233"/>
    </row>
    <row r="90" spans="1:32">
      <c r="A90" s="225">
        <f t="shared" si="1"/>
        <v>81</v>
      </c>
      <c r="B90" s="227" t="s">
        <v>1188</v>
      </c>
      <c r="C90" s="227" t="s">
        <v>1774</v>
      </c>
      <c r="D90" s="228" t="s">
        <v>1775</v>
      </c>
      <c r="E90" s="363" t="s">
        <v>1847</v>
      </c>
      <c r="F90" s="342">
        <v>44985</v>
      </c>
      <c r="G90" s="230"/>
      <c r="H90" s="231"/>
      <c r="I90" s="231">
        <v>66693</v>
      </c>
      <c r="J90" s="226" t="s">
        <v>2388</v>
      </c>
      <c r="K90" s="226"/>
      <c r="L90" s="345">
        <v>66693</v>
      </c>
      <c r="M90" s="346">
        <v>0</v>
      </c>
      <c r="N90" s="226" t="s">
        <v>2394</v>
      </c>
      <c r="O90" s="232"/>
      <c r="P90" s="232"/>
      <c r="Q90" s="232"/>
      <c r="R90" s="232"/>
      <c r="S90" s="414"/>
      <c r="T90" s="415"/>
      <c r="U90" s="414"/>
      <c r="V90" s="414"/>
      <c r="W90" s="414"/>
      <c r="X90" s="414"/>
      <c r="Y90" s="414"/>
      <c r="Z90" s="416"/>
      <c r="AA90" s="416"/>
      <c r="AB90" s="414"/>
      <c r="AC90" s="414"/>
      <c r="AD90" s="416"/>
      <c r="AE90" s="414"/>
      <c r="AF90" s="233"/>
    </row>
    <row r="91" spans="1:32">
      <c r="A91" s="225">
        <f t="shared" si="1"/>
        <v>82</v>
      </c>
      <c r="B91" s="227" t="s">
        <v>1254</v>
      </c>
      <c r="C91" s="227" t="s">
        <v>1771</v>
      </c>
      <c r="D91" s="228" t="s">
        <v>1772</v>
      </c>
      <c r="E91" s="363" t="s">
        <v>1848</v>
      </c>
      <c r="F91" s="342">
        <v>44985</v>
      </c>
      <c r="G91" s="230"/>
      <c r="H91" s="231"/>
      <c r="I91" s="231">
        <v>80860</v>
      </c>
      <c r="J91" s="226" t="s">
        <v>2388</v>
      </c>
      <c r="K91" s="226"/>
      <c r="L91" s="345">
        <v>80860</v>
      </c>
      <c r="M91" s="346">
        <v>0</v>
      </c>
      <c r="N91" s="226"/>
      <c r="O91" s="232"/>
      <c r="P91" s="232"/>
      <c r="Q91" s="232"/>
      <c r="R91" s="232"/>
      <c r="S91" s="414"/>
      <c r="T91" s="415"/>
      <c r="U91" s="414"/>
      <c r="V91" s="414"/>
      <c r="W91" s="414"/>
      <c r="X91" s="414"/>
      <c r="Y91" s="414"/>
      <c r="Z91" s="416"/>
      <c r="AA91" s="416"/>
      <c r="AB91" s="414"/>
      <c r="AC91" s="414"/>
      <c r="AD91" s="416"/>
      <c r="AE91" s="414"/>
      <c r="AF91" s="233"/>
    </row>
    <row r="92" spans="1:32">
      <c r="A92" s="225">
        <f t="shared" si="1"/>
        <v>83</v>
      </c>
      <c r="B92" s="227" t="s">
        <v>1211</v>
      </c>
      <c r="C92" s="227" t="s">
        <v>1763</v>
      </c>
      <c r="D92" s="228" t="s">
        <v>1764</v>
      </c>
      <c r="E92" s="363" t="s">
        <v>1849</v>
      </c>
      <c r="F92" s="342">
        <v>44985</v>
      </c>
      <c r="G92" s="230"/>
      <c r="H92" s="231"/>
      <c r="I92" s="231">
        <v>2919022</v>
      </c>
      <c r="J92" s="226" t="s">
        <v>2388</v>
      </c>
      <c r="K92" s="226"/>
      <c r="L92" s="345">
        <v>2919022</v>
      </c>
      <c r="M92" s="346">
        <v>0</v>
      </c>
      <c r="N92" s="226"/>
      <c r="O92" s="232"/>
      <c r="P92" s="232"/>
      <c r="Q92" s="232"/>
      <c r="R92" s="232"/>
      <c r="S92" s="414"/>
      <c r="T92" s="415"/>
      <c r="U92" s="414"/>
      <c r="V92" s="414"/>
      <c r="W92" s="414"/>
      <c r="X92" s="414"/>
      <c r="Y92" s="414"/>
      <c r="Z92" s="416"/>
      <c r="AA92" s="416"/>
      <c r="AB92" s="414"/>
      <c r="AC92" s="414"/>
      <c r="AD92" s="416"/>
      <c r="AE92" s="414"/>
      <c r="AF92" s="233"/>
    </row>
    <row r="93" spans="1:32">
      <c r="A93" s="225">
        <f t="shared" si="1"/>
        <v>84</v>
      </c>
      <c r="B93" s="227" t="s">
        <v>1190</v>
      </c>
      <c r="C93" s="227" t="s">
        <v>1778</v>
      </c>
      <c r="D93" s="228" t="s">
        <v>1779</v>
      </c>
      <c r="E93" s="363">
        <v>52085</v>
      </c>
      <c r="F93" s="342">
        <v>44975</v>
      </c>
      <c r="G93" s="230"/>
      <c r="H93" s="231"/>
      <c r="I93" s="231">
        <v>375176</v>
      </c>
      <c r="J93" s="226" t="s">
        <v>2388</v>
      </c>
      <c r="K93" s="226"/>
      <c r="L93" s="345">
        <v>375176</v>
      </c>
      <c r="M93" s="346">
        <v>0</v>
      </c>
      <c r="N93" s="226"/>
      <c r="O93" s="232"/>
      <c r="P93" s="232"/>
      <c r="Q93" s="232"/>
      <c r="R93" s="232"/>
      <c r="S93" s="414"/>
      <c r="T93" s="415"/>
      <c r="U93" s="414"/>
      <c r="V93" s="414"/>
      <c r="W93" s="414"/>
      <c r="X93" s="414"/>
      <c r="Y93" s="414"/>
      <c r="Z93" s="416"/>
      <c r="AA93" s="416"/>
      <c r="AB93" s="414"/>
      <c r="AC93" s="414"/>
      <c r="AD93" s="416"/>
      <c r="AE93" s="414"/>
      <c r="AF93" s="233"/>
    </row>
    <row r="94" spans="1:32">
      <c r="A94" s="225">
        <f t="shared" si="1"/>
        <v>85</v>
      </c>
      <c r="B94" s="227" t="s">
        <v>1191</v>
      </c>
      <c r="C94" s="227" t="s">
        <v>1776</v>
      </c>
      <c r="D94" s="228" t="s">
        <v>1777</v>
      </c>
      <c r="E94" s="363">
        <v>230167</v>
      </c>
      <c r="F94" s="342">
        <v>44958</v>
      </c>
      <c r="G94" s="230"/>
      <c r="H94" s="231"/>
      <c r="I94" s="231">
        <v>205500</v>
      </c>
      <c r="J94" s="226" t="s">
        <v>2388</v>
      </c>
      <c r="K94" s="226"/>
      <c r="L94" s="345">
        <v>205500</v>
      </c>
      <c r="M94" s="346">
        <v>0</v>
      </c>
      <c r="N94" s="226"/>
      <c r="O94" s="232"/>
      <c r="P94" s="232"/>
      <c r="Q94" s="232"/>
      <c r="R94" s="232"/>
      <c r="S94" s="414"/>
      <c r="T94" s="415"/>
      <c r="U94" s="414"/>
      <c r="V94" s="414"/>
      <c r="W94" s="414"/>
      <c r="X94" s="414"/>
      <c r="Y94" s="414"/>
      <c r="Z94" s="416"/>
      <c r="AA94" s="416"/>
      <c r="AB94" s="414"/>
      <c r="AC94" s="414"/>
      <c r="AD94" s="416"/>
      <c r="AE94" s="414"/>
      <c r="AF94" s="233"/>
    </row>
    <row r="95" spans="1:32">
      <c r="A95" s="225">
        <f t="shared" si="1"/>
        <v>86</v>
      </c>
      <c r="B95" s="227" t="s">
        <v>1192</v>
      </c>
      <c r="C95" s="227" t="s">
        <v>1780</v>
      </c>
      <c r="D95" s="228" t="s">
        <v>1781</v>
      </c>
      <c r="E95" s="363">
        <v>8538</v>
      </c>
      <c r="F95" s="342">
        <v>44958</v>
      </c>
      <c r="G95" s="230"/>
      <c r="H95" s="231"/>
      <c r="I95" s="231">
        <v>1233</v>
      </c>
      <c r="J95" s="226" t="s">
        <v>2389</v>
      </c>
      <c r="K95" s="226"/>
      <c r="L95" s="345"/>
      <c r="M95" s="346">
        <v>1233</v>
      </c>
      <c r="N95" s="226"/>
      <c r="O95" s="232"/>
      <c r="P95" s="232"/>
      <c r="Q95" s="232"/>
      <c r="R95" s="232"/>
      <c r="S95" s="414"/>
      <c r="T95" s="415"/>
      <c r="U95" s="414"/>
      <c r="V95" s="414"/>
      <c r="W95" s="414"/>
      <c r="X95" s="414"/>
      <c r="Y95" s="414"/>
      <c r="Z95" s="416"/>
      <c r="AA95" s="416"/>
      <c r="AB95" s="414"/>
      <c r="AC95" s="414"/>
      <c r="AD95" s="416"/>
      <c r="AE95" s="414"/>
      <c r="AF95" s="233"/>
    </row>
    <row r="96" spans="1:32">
      <c r="A96" s="225">
        <f t="shared" si="1"/>
        <v>87</v>
      </c>
      <c r="B96" s="227" t="s">
        <v>1193</v>
      </c>
      <c r="C96" s="227" t="s">
        <v>1780</v>
      </c>
      <c r="D96" s="228" t="s">
        <v>1781</v>
      </c>
      <c r="E96" s="363">
        <v>8534</v>
      </c>
      <c r="F96" s="342">
        <v>44958</v>
      </c>
      <c r="G96" s="230"/>
      <c r="H96" s="231"/>
      <c r="I96" s="231">
        <v>4389</v>
      </c>
      <c r="J96" s="226" t="s">
        <v>2389</v>
      </c>
      <c r="K96" s="226"/>
      <c r="L96" s="345"/>
      <c r="M96" s="346">
        <v>4389</v>
      </c>
      <c r="N96" s="226"/>
      <c r="O96" s="232"/>
      <c r="P96" s="232"/>
      <c r="Q96" s="232"/>
      <c r="R96" s="232"/>
      <c r="S96" s="414"/>
      <c r="T96" s="415"/>
      <c r="U96" s="414"/>
      <c r="V96" s="414"/>
      <c r="W96" s="414"/>
      <c r="X96" s="414"/>
      <c r="Y96" s="414"/>
      <c r="Z96" s="416"/>
      <c r="AA96" s="416"/>
      <c r="AB96" s="414"/>
      <c r="AC96" s="414"/>
      <c r="AD96" s="416"/>
      <c r="AE96" s="414"/>
      <c r="AF96" s="233"/>
    </row>
    <row r="97" spans="1:32">
      <c r="A97" s="225">
        <f t="shared" si="1"/>
        <v>88</v>
      </c>
      <c r="B97" s="227" t="s">
        <v>1255</v>
      </c>
      <c r="C97" s="227" t="s">
        <v>1850</v>
      </c>
      <c r="D97" s="228" t="s">
        <v>1851</v>
      </c>
      <c r="E97" s="363">
        <v>212000102</v>
      </c>
      <c r="F97" s="342">
        <v>44964</v>
      </c>
      <c r="G97" s="230"/>
      <c r="H97" s="231"/>
      <c r="I97" s="231">
        <v>43840</v>
      </c>
      <c r="J97" s="226" t="s">
        <v>2388</v>
      </c>
      <c r="K97" s="226"/>
      <c r="L97" s="345">
        <v>43840</v>
      </c>
      <c r="M97" s="346">
        <v>0</v>
      </c>
      <c r="N97" s="226"/>
      <c r="O97" s="232"/>
      <c r="P97" s="232"/>
      <c r="Q97" s="232"/>
      <c r="R97" s="232"/>
      <c r="S97" s="414"/>
      <c r="T97" s="415"/>
      <c r="U97" s="414"/>
      <c r="V97" s="414"/>
      <c r="W97" s="414"/>
      <c r="X97" s="414"/>
      <c r="Y97" s="414"/>
      <c r="Z97" s="416"/>
      <c r="AA97" s="416"/>
      <c r="AB97" s="414"/>
      <c r="AC97" s="414"/>
      <c r="AD97" s="416"/>
      <c r="AE97" s="414"/>
      <c r="AF97" s="233"/>
    </row>
    <row r="98" spans="1:32">
      <c r="A98" s="225">
        <f t="shared" si="1"/>
        <v>89</v>
      </c>
      <c r="B98" s="227" t="s">
        <v>1255</v>
      </c>
      <c r="C98" s="227" t="s">
        <v>1850</v>
      </c>
      <c r="D98" s="228" t="s">
        <v>1851</v>
      </c>
      <c r="E98" s="363">
        <v>212000126</v>
      </c>
      <c r="F98" s="342">
        <v>44965</v>
      </c>
      <c r="G98" s="230"/>
      <c r="H98" s="231"/>
      <c r="I98" s="231">
        <v>135640</v>
      </c>
      <c r="J98" s="226" t="s">
        <v>2388</v>
      </c>
      <c r="K98" s="226"/>
      <c r="L98" s="345">
        <v>135640</v>
      </c>
      <c r="M98" s="346">
        <v>0</v>
      </c>
      <c r="N98" s="226"/>
      <c r="O98" s="232"/>
      <c r="P98" s="232"/>
      <c r="Q98" s="232"/>
      <c r="R98" s="232"/>
      <c r="S98" s="414"/>
      <c r="T98" s="415"/>
      <c r="U98" s="414"/>
      <c r="V98" s="414"/>
      <c r="W98" s="414"/>
      <c r="X98" s="414"/>
      <c r="Y98" s="414"/>
      <c r="Z98" s="416"/>
      <c r="AA98" s="416"/>
      <c r="AB98" s="414"/>
      <c r="AC98" s="414"/>
      <c r="AD98" s="416"/>
      <c r="AE98" s="414"/>
      <c r="AF98" s="233"/>
    </row>
    <row r="99" spans="1:32">
      <c r="A99" s="225">
        <f t="shared" si="1"/>
        <v>90</v>
      </c>
      <c r="B99" s="227" t="s">
        <v>1256</v>
      </c>
      <c r="C99" s="227" t="s">
        <v>1776</v>
      </c>
      <c r="D99" s="228" t="s">
        <v>1777</v>
      </c>
      <c r="E99" s="363">
        <v>230610</v>
      </c>
      <c r="F99" s="342">
        <v>45014</v>
      </c>
      <c r="G99" s="230"/>
      <c r="H99" s="231"/>
      <c r="I99" s="231">
        <v>405200</v>
      </c>
      <c r="J99" s="226" t="s">
        <v>2388</v>
      </c>
      <c r="K99" s="226"/>
      <c r="L99" s="345">
        <v>405200</v>
      </c>
      <c r="M99" s="346">
        <v>0</v>
      </c>
      <c r="N99" s="226"/>
      <c r="O99" s="232"/>
      <c r="P99" s="232"/>
      <c r="Q99" s="232"/>
      <c r="R99" s="232"/>
      <c r="S99" s="414"/>
      <c r="T99" s="415"/>
      <c r="U99" s="414"/>
      <c r="V99" s="414"/>
      <c r="W99" s="414"/>
      <c r="X99" s="414"/>
      <c r="Y99" s="414"/>
      <c r="Z99" s="416"/>
      <c r="AA99" s="416"/>
      <c r="AB99" s="414"/>
      <c r="AC99" s="414"/>
      <c r="AD99" s="416"/>
      <c r="AE99" s="414"/>
      <c r="AF99" s="233"/>
    </row>
    <row r="100" spans="1:32">
      <c r="A100" s="225">
        <f t="shared" si="1"/>
        <v>91</v>
      </c>
      <c r="B100" s="227" t="s">
        <v>1257</v>
      </c>
      <c r="C100" s="227" t="s">
        <v>1776</v>
      </c>
      <c r="D100" s="228" t="s">
        <v>1777</v>
      </c>
      <c r="E100" s="363">
        <v>230595</v>
      </c>
      <c r="F100" s="342">
        <v>45012</v>
      </c>
      <c r="G100" s="230"/>
      <c r="H100" s="231"/>
      <c r="I100" s="231">
        <v>1826100</v>
      </c>
      <c r="J100" s="226" t="s">
        <v>2388</v>
      </c>
      <c r="K100" s="226"/>
      <c r="L100" s="345">
        <v>1826100</v>
      </c>
      <c r="M100" s="346">
        <v>0</v>
      </c>
      <c r="N100" s="226"/>
      <c r="O100" s="232"/>
      <c r="P100" s="232"/>
      <c r="Q100" s="232"/>
      <c r="R100" s="232"/>
      <c r="S100" s="414"/>
      <c r="T100" s="415"/>
      <c r="U100" s="414"/>
      <c r="V100" s="414"/>
      <c r="W100" s="414"/>
      <c r="X100" s="414"/>
      <c r="Y100" s="414"/>
      <c r="Z100" s="416"/>
      <c r="AA100" s="416"/>
      <c r="AB100" s="414"/>
      <c r="AC100" s="414"/>
      <c r="AD100" s="416"/>
      <c r="AE100" s="414"/>
      <c r="AF100" s="233"/>
    </row>
    <row r="101" spans="1:32">
      <c r="A101" s="225">
        <f t="shared" si="1"/>
        <v>92</v>
      </c>
      <c r="B101" s="227" t="s">
        <v>1258</v>
      </c>
      <c r="C101" s="227" t="s">
        <v>1782</v>
      </c>
      <c r="D101" s="228" t="s">
        <v>1783</v>
      </c>
      <c r="E101" s="363" t="s">
        <v>1852</v>
      </c>
      <c r="F101" s="342">
        <v>44999</v>
      </c>
      <c r="G101" s="230"/>
      <c r="H101" s="231"/>
      <c r="I101" s="231">
        <v>587105</v>
      </c>
      <c r="J101" s="226" t="s">
        <v>2388</v>
      </c>
      <c r="K101" s="226"/>
      <c r="L101" s="345">
        <v>587105</v>
      </c>
      <c r="M101" s="346">
        <v>0</v>
      </c>
      <c r="N101" s="226" t="s">
        <v>2394</v>
      </c>
      <c r="O101" s="232"/>
      <c r="P101" s="232"/>
      <c r="Q101" s="232"/>
      <c r="R101" s="232"/>
      <c r="S101" s="414"/>
      <c r="T101" s="415"/>
      <c r="U101" s="414"/>
      <c r="V101" s="414"/>
      <c r="W101" s="414"/>
      <c r="X101" s="414"/>
      <c r="Y101" s="414"/>
      <c r="Z101" s="416"/>
      <c r="AA101" s="416"/>
      <c r="AB101" s="414"/>
      <c r="AC101" s="414"/>
      <c r="AD101" s="416"/>
      <c r="AE101" s="414"/>
      <c r="AF101" s="233"/>
    </row>
    <row r="102" spans="1:32">
      <c r="A102" s="225">
        <f t="shared" si="1"/>
        <v>93</v>
      </c>
      <c r="B102" s="227" t="s">
        <v>1259</v>
      </c>
      <c r="C102" s="227" t="s">
        <v>1785</v>
      </c>
      <c r="D102" s="228" t="s">
        <v>1786</v>
      </c>
      <c r="E102" s="363">
        <v>32269</v>
      </c>
      <c r="F102" s="342">
        <v>44992</v>
      </c>
      <c r="G102" s="230"/>
      <c r="H102" s="231"/>
      <c r="I102" s="231">
        <v>23085</v>
      </c>
      <c r="J102" s="226" t="s">
        <v>2390</v>
      </c>
      <c r="K102" s="226"/>
      <c r="L102" s="345"/>
      <c r="M102" s="346">
        <v>23085</v>
      </c>
      <c r="N102" s="226"/>
      <c r="O102" s="232"/>
      <c r="P102" s="232"/>
      <c r="Q102" s="232"/>
      <c r="R102" s="232"/>
      <c r="S102" s="414"/>
      <c r="T102" s="415"/>
      <c r="U102" s="414"/>
      <c r="V102" s="414"/>
      <c r="W102" s="414"/>
      <c r="X102" s="414"/>
      <c r="Y102" s="414"/>
      <c r="Z102" s="416"/>
      <c r="AA102" s="416"/>
      <c r="AB102" s="414"/>
      <c r="AC102" s="414"/>
      <c r="AD102" s="416"/>
      <c r="AE102" s="414"/>
      <c r="AF102" s="233"/>
    </row>
    <row r="103" spans="1:32">
      <c r="A103" s="225">
        <f t="shared" si="1"/>
        <v>94</v>
      </c>
      <c r="B103" s="227" t="s">
        <v>1260</v>
      </c>
      <c r="C103" s="227" t="s">
        <v>1782</v>
      </c>
      <c r="D103" s="228" t="s">
        <v>1783</v>
      </c>
      <c r="E103" s="363" t="s">
        <v>1853</v>
      </c>
      <c r="F103" s="342">
        <v>44999</v>
      </c>
      <c r="G103" s="230"/>
      <c r="H103" s="231"/>
      <c r="I103" s="231">
        <v>599252</v>
      </c>
      <c r="J103" s="226" t="s">
        <v>2388</v>
      </c>
      <c r="K103" s="226"/>
      <c r="L103" s="345">
        <v>599252</v>
      </c>
      <c r="M103" s="346">
        <v>0</v>
      </c>
      <c r="N103" s="226" t="s">
        <v>2394</v>
      </c>
      <c r="O103" s="232"/>
      <c r="P103" s="232"/>
      <c r="Q103" s="232"/>
      <c r="R103" s="232"/>
      <c r="S103" s="414"/>
      <c r="T103" s="415"/>
      <c r="U103" s="414"/>
      <c r="V103" s="414"/>
      <c r="W103" s="414"/>
      <c r="X103" s="414"/>
      <c r="Y103" s="414"/>
      <c r="Z103" s="416"/>
      <c r="AA103" s="416"/>
      <c r="AB103" s="414"/>
      <c r="AC103" s="414"/>
      <c r="AD103" s="416"/>
      <c r="AE103" s="414"/>
      <c r="AF103" s="233"/>
    </row>
    <row r="104" spans="1:32">
      <c r="A104" s="225">
        <f t="shared" si="1"/>
        <v>95</v>
      </c>
      <c r="B104" s="227" t="s">
        <v>1261</v>
      </c>
      <c r="C104" s="227" t="s">
        <v>1785</v>
      </c>
      <c r="D104" s="228" t="s">
        <v>1786</v>
      </c>
      <c r="E104" s="363">
        <v>32272</v>
      </c>
      <c r="F104" s="342">
        <v>44992</v>
      </c>
      <c r="G104" s="230"/>
      <c r="H104" s="231"/>
      <c r="I104" s="231">
        <v>35235</v>
      </c>
      <c r="J104" s="226" t="s">
        <v>2390</v>
      </c>
      <c r="K104" s="226"/>
      <c r="L104" s="345"/>
      <c r="M104" s="346">
        <v>35235</v>
      </c>
      <c r="N104" s="226"/>
      <c r="O104" s="232"/>
      <c r="P104" s="232"/>
      <c r="Q104" s="232"/>
      <c r="R104" s="232"/>
      <c r="S104" s="414"/>
      <c r="T104" s="415"/>
      <c r="U104" s="414"/>
      <c r="V104" s="414"/>
      <c r="W104" s="414"/>
      <c r="X104" s="414"/>
      <c r="Y104" s="414"/>
      <c r="Z104" s="416"/>
      <c r="AA104" s="416"/>
      <c r="AB104" s="414"/>
      <c r="AC104" s="414"/>
      <c r="AD104" s="416"/>
      <c r="AE104" s="414"/>
      <c r="AF104" s="233"/>
    </row>
    <row r="105" spans="1:32">
      <c r="A105" s="225">
        <f t="shared" si="1"/>
        <v>96</v>
      </c>
      <c r="B105" s="227" t="s">
        <v>1262</v>
      </c>
      <c r="C105" s="227" t="s">
        <v>1782</v>
      </c>
      <c r="D105" s="228" t="s">
        <v>1783</v>
      </c>
      <c r="E105" s="363" t="s">
        <v>1854</v>
      </c>
      <c r="F105" s="342">
        <v>45001</v>
      </c>
      <c r="G105" s="230"/>
      <c r="H105" s="231"/>
      <c r="I105" s="231">
        <v>470669</v>
      </c>
      <c r="J105" s="226" t="s">
        <v>2388</v>
      </c>
      <c r="K105" s="226"/>
      <c r="L105" s="345">
        <v>470669</v>
      </c>
      <c r="M105" s="346">
        <v>0</v>
      </c>
      <c r="N105" s="226" t="s">
        <v>2394</v>
      </c>
      <c r="O105" s="232"/>
      <c r="P105" s="232"/>
      <c r="Q105" s="232"/>
      <c r="R105" s="232"/>
      <c r="S105" s="414"/>
      <c r="T105" s="415"/>
      <c r="U105" s="414"/>
      <c r="V105" s="414"/>
      <c r="W105" s="414"/>
      <c r="X105" s="414"/>
      <c r="Y105" s="414"/>
      <c r="Z105" s="416"/>
      <c r="AA105" s="416"/>
      <c r="AB105" s="414"/>
      <c r="AC105" s="414"/>
      <c r="AD105" s="416"/>
      <c r="AE105" s="414"/>
      <c r="AF105" s="233"/>
    </row>
    <row r="106" spans="1:32">
      <c r="A106" s="225">
        <f t="shared" si="1"/>
        <v>97</v>
      </c>
      <c r="B106" s="227" t="s">
        <v>1263</v>
      </c>
      <c r="C106" s="227" t="s">
        <v>1789</v>
      </c>
      <c r="D106" s="228" t="s">
        <v>1790</v>
      </c>
      <c r="E106" s="363" t="s">
        <v>1855</v>
      </c>
      <c r="F106" s="342">
        <v>44988</v>
      </c>
      <c r="G106" s="230"/>
      <c r="H106" s="231"/>
      <c r="I106" s="231">
        <v>19488</v>
      </c>
      <c r="J106" s="226" t="s">
        <v>2388</v>
      </c>
      <c r="K106" s="226"/>
      <c r="L106" s="345">
        <v>19488</v>
      </c>
      <c r="M106" s="346">
        <v>0</v>
      </c>
      <c r="N106" s="226" t="s">
        <v>2395</v>
      </c>
      <c r="O106" s="232"/>
      <c r="P106" s="232"/>
      <c r="Q106" s="232"/>
      <c r="R106" s="232"/>
      <c r="S106" s="414"/>
      <c r="T106" s="415"/>
      <c r="U106" s="414"/>
      <c r="V106" s="414"/>
      <c r="W106" s="414"/>
      <c r="X106" s="414"/>
      <c r="Y106" s="414"/>
      <c r="Z106" s="416"/>
      <c r="AA106" s="416"/>
      <c r="AB106" s="414"/>
      <c r="AC106" s="414"/>
      <c r="AD106" s="416"/>
      <c r="AE106" s="414"/>
      <c r="AF106" s="233"/>
    </row>
    <row r="107" spans="1:32">
      <c r="A107" s="225">
        <f t="shared" si="1"/>
        <v>98</v>
      </c>
      <c r="B107" s="227" t="s">
        <v>1264</v>
      </c>
      <c r="C107" s="227" t="s">
        <v>1782</v>
      </c>
      <c r="D107" s="228" t="s">
        <v>1783</v>
      </c>
      <c r="E107" s="363" t="s">
        <v>1856</v>
      </c>
      <c r="F107" s="342">
        <v>44987</v>
      </c>
      <c r="G107" s="230"/>
      <c r="H107" s="231"/>
      <c r="I107" s="231">
        <v>577230</v>
      </c>
      <c r="J107" s="226" t="s">
        <v>2388</v>
      </c>
      <c r="K107" s="226"/>
      <c r="L107" s="345">
        <v>577230</v>
      </c>
      <c r="M107" s="346">
        <v>0</v>
      </c>
      <c r="N107" s="226" t="s">
        <v>2394</v>
      </c>
      <c r="O107" s="232"/>
      <c r="P107" s="232"/>
      <c r="Q107" s="232"/>
      <c r="R107" s="232"/>
      <c r="S107" s="414"/>
      <c r="T107" s="415"/>
      <c r="U107" s="414"/>
      <c r="V107" s="414"/>
      <c r="W107" s="414"/>
      <c r="X107" s="414"/>
      <c r="Y107" s="414"/>
      <c r="Z107" s="416"/>
      <c r="AA107" s="416"/>
      <c r="AB107" s="414"/>
      <c r="AC107" s="414"/>
      <c r="AD107" s="416"/>
      <c r="AE107" s="414"/>
      <c r="AF107" s="233"/>
    </row>
    <row r="108" spans="1:32">
      <c r="A108" s="225">
        <f t="shared" si="1"/>
        <v>99</v>
      </c>
      <c r="B108" s="227" t="s">
        <v>1265</v>
      </c>
      <c r="C108" s="227" t="s">
        <v>1782</v>
      </c>
      <c r="D108" s="228" t="s">
        <v>1783</v>
      </c>
      <c r="E108" s="363" t="s">
        <v>1857</v>
      </c>
      <c r="F108" s="342">
        <v>45015</v>
      </c>
      <c r="G108" s="230"/>
      <c r="H108" s="231"/>
      <c r="I108" s="231">
        <v>557968</v>
      </c>
      <c r="J108" s="226" t="s">
        <v>2388</v>
      </c>
      <c r="K108" s="226"/>
      <c r="L108" s="345">
        <v>557968</v>
      </c>
      <c r="M108" s="346">
        <v>0</v>
      </c>
      <c r="N108" s="226" t="s">
        <v>2394</v>
      </c>
      <c r="O108" s="232"/>
      <c r="P108" s="232"/>
      <c r="Q108" s="232"/>
      <c r="R108" s="232"/>
      <c r="S108" s="414"/>
      <c r="T108" s="415"/>
      <c r="U108" s="414"/>
      <c r="V108" s="414"/>
      <c r="W108" s="414"/>
      <c r="X108" s="414"/>
      <c r="Y108" s="414"/>
      <c r="Z108" s="416"/>
      <c r="AA108" s="416"/>
      <c r="AB108" s="414"/>
      <c r="AC108" s="414"/>
      <c r="AD108" s="416"/>
      <c r="AE108" s="414"/>
      <c r="AF108" s="233"/>
    </row>
    <row r="109" spans="1:32">
      <c r="A109" s="225">
        <f t="shared" si="1"/>
        <v>100</v>
      </c>
      <c r="B109" s="227" t="s">
        <v>1266</v>
      </c>
      <c r="C109" s="227" t="s">
        <v>1789</v>
      </c>
      <c r="D109" s="228" t="s">
        <v>1790</v>
      </c>
      <c r="E109" s="363" t="s">
        <v>1858</v>
      </c>
      <c r="F109" s="342">
        <v>45012</v>
      </c>
      <c r="G109" s="230"/>
      <c r="H109" s="231"/>
      <c r="I109" s="231">
        <v>29218</v>
      </c>
      <c r="J109" s="226" t="s">
        <v>2388</v>
      </c>
      <c r="K109" s="226"/>
      <c r="L109" s="345">
        <v>29218</v>
      </c>
      <c r="M109" s="346">
        <v>0</v>
      </c>
      <c r="N109" s="226" t="s">
        <v>2395</v>
      </c>
      <c r="O109" s="232"/>
      <c r="P109" s="232"/>
      <c r="Q109" s="232"/>
      <c r="R109" s="232"/>
      <c r="S109" s="414"/>
      <c r="T109" s="415"/>
      <c r="U109" s="414"/>
      <c r="V109" s="414"/>
      <c r="W109" s="414"/>
      <c r="X109" s="414"/>
      <c r="Y109" s="414"/>
      <c r="Z109" s="416"/>
      <c r="AA109" s="416"/>
      <c r="AB109" s="414"/>
      <c r="AC109" s="414"/>
      <c r="AD109" s="416"/>
      <c r="AE109" s="414"/>
      <c r="AF109" s="233"/>
    </row>
    <row r="110" spans="1:32">
      <c r="A110" s="225">
        <f t="shared" si="1"/>
        <v>101</v>
      </c>
      <c r="B110" s="227" t="s">
        <v>1267</v>
      </c>
      <c r="C110" s="227" t="s">
        <v>1782</v>
      </c>
      <c r="D110" s="228" t="s">
        <v>1783</v>
      </c>
      <c r="E110" s="363" t="s">
        <v>1859</v>
      </c>
      <c r="F110" s="342">
        <v>45008</v>
      </c>
      <c r="G110" s="230"/>
      <c r="H110" s="231"/>
      <c r="I110" s="231">
        <v>518184</v>
      </c>
      <c r="J110" s="226" t="s">
        <v>2388</v>
      </c>
      <c r="K110" s="226"/>
      <c r="L110" s="345">
        <v>518184</v>
      </c>
      <c r="M110" s="346">
        <v>0</v>
      </c>
      <c r="N110" s="226" t="s">
        <v>2394</v>
      </c>
      <c r="O110" s="232"/>
      <c r="P110" s="232"/>
      <c r="Q110" s="232"/>
      <c r="R110" s="232"/>
      <c r="S110" s="414"/>
      <c r="T110" s="415"/>
      <c r="U110" s="414"/>
      <c r="V110" s="414"/>
      <c r="W110" s="414"/>
      <c r="X110" s="414"/>
      <c r="Y110" s="414"/>
      <c r="Z110" s="416"/>
      <c r="AA110" s="416"/>
      <c r="AB110" s="414"/>
      <c r="AC110" s="414"/>
      <c r="AD110" s="416"/>
      <c r="AE110" s="414"/>
      <c r="AF110" s="233"/>
    </row>
    <row r="111" spans="1:32">
      <c r="A111" s="225">
        <f t="shared" si="1"/>
        <v>102</v>
      </c>
      <c r="B111" s="227" t="s">
        <v>1268</v>
      </c>
      <c r="C111" s="227" t="s">
        <v>1789</v>
      </c>
      <c r="D111" s="228" t="s">
        <v>1790</v>
      </c>
      <c r="E111" s="363" t="s">
        <v>1860</v>
      </c>
      <c r="F111" s="342">
        <v>45005</v>
      </c>
      <c r="G111" s="230"/>
      <c r="H111" s="231"/>
      <c r="I111" s="231">
        <v>29254</v>
      </c>
      <c r="J111" s="226" t="s">
        <v>2388</v>
      </c>
      <c r="K111" s="226"/>
      <c r="L111" s="345">
        <v>29254</v>
      </c>
      <c r="M111" s="346">
        <v>0</v>
      </c>
      <c r="N111" s="226" t="s">
        <v>2395</v>
      </c>
      <c r="O111" s="232"/>
      <c r="P111" s="232"/>
      <c r="Q111" s="232"/>
      <c r="R111" s="232"/>
      <c r="S111" s="414"/>
      <c r="T111" s="415"/>
      <c r="U111" s="414"/>
      <c r="V111" s="414"/>
      <c r="W111" s="414"/>
      <c r="X111" s="414"/>
      <c r="Y111" s="414"/>
      <c r="Z111" s="416"/>
      <c r="AA111" s="416"/>
      <c r="AB111" s="414"/>
      <c r="AC111" s="414"/>
      <c r="AD111" s="416"/>
      <c r="AE111" s="414"/>
      <c r="AF111" s="233"/>
    </row>
    <row r="112" spans="1:32">
      <c r="A112" s="225">
        <f t="shared" si="1"/>
        <v>103</v>
      </c>
      <c r="B112" s="227" t="s">
        <v>1269</v>
      </c>
      <c r="C112" s="227" t="s">
        <v>1782</v>
      </c>
      <c r="D112" s="228" t="s">
        <v>1783</v>
      </c>
      <c r="E112" s="363" t="s">
        <v>1861</v>
      </c>
      <c r="F112" s="342">
        <v>45008</v>
      </c>
      <c r="G112" s="230"/>
      <c r="H112" s="231"/>
      <c r="I112" s="231">
        <v>849561</v>
      </c>
      <c r="J112" s="226" t="s">
        <v>2388</v>
      </c>
      <c r="K112" s="226"/>
      <c r="L112" s="345">
        <v>849561</v>
      </c>
      <c r="M112" s="346">
        <v>0</v>
      </c>
      <c r="N112" s="226" t="s">
        <v>2394</v>
      </c>
      <c r="O112" s="232"/>
      <c r="P112" s="232"/>
      <c r="Q112" s="232"/>
      <c r="R112" s="232"/>
      <c r="S112" s="414"/>
      <c r="T112" s="415"/>
      <c r="U112" s="414"/>
      <c r="V112" s="414"/>
      <c r="W112" s="414"/>
      <c r="X112" s="414"/>
      <c r="Y112" s="414"/>
      <c r="Z112" s="416"/>
      <c r="AA112" s="416"/>
      <c r="AB112" s="414"/>
      <c r="AC112" s="414"/>
      <c r="AD112" s="416"/>
      <c r="AE112" s="414"/>
      <c r="AF112" s="233"/>
    </row>
    <row r="113" spans="1:32">
      <c r="A113" s="225">
        <f t="shared" si="1"/>
        <v>104</v>
      </c>
      <c r="B113" s="227" t="s">
        <v>1270</v>
      </c>
      <c r="C113" s="227" t="s">
        <v>1789</v>
      </c>
      <c r="D113" s="228" t="s">
        <v>1790</v>
      </c>
      <c r="E113" s="363" t="s">
        <v>1862</v>
      </c>
      <c r="F113" s="342">
        <v>45005</v>
      </c>
      <c r="G113" s="230"/>
      <c r="H113" s="231"/>
      <c r="I113" s="231">
        <v>48756</v>
      </c>
      <c r="J113" s="226" t="s">
        <v>2388</v>
      </c>
      <c r="K113" s="226"/>
      <c r="L113" s="345">
        <v>48756</v>
      </c>
      <c r="M113" s="346">
        <v>0</v>
      </c>
      <c r="N113" s="226" t="s">
        <v>2395</v>
      </c>
      <c r="O113" s="232"/>
      <c r="P113" s="232"/>
      <c r="Q113" s="232"/>
      <c r="R113" s="232"/>
      <c r="S113" s="414"/>
      <c r="T113" s="415"/>
      <c r="U113" s="414"/>
      <c r="V113" s="414"/>
      <c r="W113" s="414"/>
      <c r="X113" s="414"/>
      <c r="Y113" s="414"/>
      <c r="Z113" s="416"/>
      <c r="AA113" s="416"/>
      <c r="AB113" s="414"/>
      <c r="AC113" s="414"/>
      <c r="AD113" s="416"/>
      <c r="AE113" s="414"/>
      <c r="AF113" s="233"/>
    </row>
    <row r="114" spans="1:32">
      <c r="A114" s="225">
        <f t="shared" si="1"/>
        <v>105</v>
      </c>
      <c r="B114" s="227" t="s">
        <v>1271</v>
      </c>
      <c r="C114" s="227" t="s">
        <v>1782</v>
      </c>
      <c r="D114" s="228" t="s">
        <v>1783</v>
      </c>
      <c r="E114" s="363" t="s">
        <v>1863</v>
      </c>
      <c r="F114" s="342">
        <v>44999</v>
      </c>
      <c r="G114" s="230"/>
      <c r="H114" s="231"/>
      <c r="I114" s="231">
        <v>508150</v>
      </c>
      <c r="J114" s="226" t="s">
        <v>2388</v>
      </c>
      <c r="K114" s="226"/>
      <c r="L114" s="345">
        <v>508150</v>
      </c>
      <c r="M114" s="346">
        <v>0</v>
      </c>
      <c r="N114" s="226" t="s">
        <v>2394</v>
      </c>
      <c r="O114" s="232"/>
      <c r="P114" s="232"/>
      <c r="Q114" s="232"/>
      <c r="R114" s="232"/>
      <c r="S114" s="414"/>
      <c r="T114" s="415"/>
      <c r="U114" s="414"/>
      <c r="V114" s="414"/>
      <c r="W114" s="414"/>
      <c r="X114" s="414"/>
      <c r="Y114" s="414"/>
      <c r="Z114" s="416"/>
      <c r="AA114" s="416"/>
      <c r="AB114" s="414"/>
      <c r="AC114" s="414"/>
      <c r="AD114" s="416"/>
      <c r="AE114" s="414"/>
      <c r="AF114" s="233"/>
    </row>
    <row r="115" spans="1:32">
      <c r="A115" s="225">
        <f t="shared" si="1"/>
        <v>106</v>
      </c>
      <c r="B115" s="227" t="s">
        <v>1272</v>
      </c>
      <c r="C115" s="227" t="s">
        <v>1789</v>
      </c>
      <c r="D115" s="228" t="s">
        <v>1790</v>
      </c>
      <c r="E115" s="363" t="s">
        <v>1864</v>
      </c>
      <c r="F115" s="342">
        <v>44996</v>
      </c>
      <c r="G115" s="230"/>
      <c r="H115" s="231"/>
      <c r="I115" s="231">
        <v>19421</v>
      </c>
      <c r="J115" s="226" t="s">
        <v>2388</v>
      </c>
      <c r="K115" s="226"/>
      <c r="L115" s="345">
        <v>19421</v>
      </c>
      <c r="M115" s="346">
        <v>0</v>
      </c>
      <c r="N115" s="226" t="s">
        <v>2395</v>
      </c>
      <c r="O115" s="232"/>
      <c r="P115" s="232"/>
      <c r="Q115" s="232"/>
      <c r="R115" s="232"/>
      <c r="S115" s="414"/>
      <c r="T115" s="415"/>
      <c r="U115" s="414"/>
      <c r="V115" s="414"/>
      <c r="W115" s="414"/>
      <c r="X115" s="414"/>
      <c r="Y115" s="414"/>
      <c r="Z115" s="416"/>
      <c r="AA115" s="416"/>
      <c r="AB115" s="414"/>
      <c r="AC115" s="414"/>
      <c r="AD115" s="416"/>
      <c r="AE115" s="414"/>
      <c r="AF115" s="233"/>
    </row>
    <row r="116" spans="1:32">
      <c r="A116" s="225">
        <f t="shared" si="1"/>
        <v>107</v>
      </c>
      <c r="B116" s="227" t="s">
        <v>1273</v>
      </c>
      <c r="C116" s="227" t="s">
        <v>1782</v>
      </c>
      <c r="D116" s="228" t="s">
        <v>1783</v>
      </c>
      <c r="E116" s="363" t="s">
        <v>1865</v>
      </c>
      <c r="F116" s="342">
        <v>44987</v>
      </c>
      <c r="G116" s="230"/>
      <c r="H116" s="231"/>
      <c r="I116" s="231">
        <v>518694</v>
      </c>
      <c r="J116" s="226" t="s">
        <v>2388</v>
      </c>
      <c r="K116" s="226"/>
      <c r="L116" s="345">
        <v>518694</v>
      </c>
      <c r="M116" s="346">
        <v>0</v>
      </c>
      <c r="N116" s="226" t="s">
        <v>2394</v>
      </c>
      <c r="O116" s="232"/>
      <c r="P116" s="232"/>
      <c r="Q116" s="232"/>
      <c r="R116" s="232"/>
      <c r="S116" s="414"/>
      <c r="T116" s="415"/>
      <c r="U116" s="414"/>
      <c r="V116" s="414"/>
      <c r="W116" s="414"/>
      <c r="X116" s="414"/>
      <c r="Y116" s="414"/>
      <c r="Z116" s="416"/>
      <c r="AA116" s="416"/>
      <c r="AB116" s="414"/>
      <c r="AC116" s="414"/>
      <c r="AD116" s="416"/>
      <c r="AE116" s="414"/>
      <c r="AF116" s="233"/>
    </row>
    <row r="117" spans="1:32">
      <c r="A117" s="225">
        <f t="shared" si="1"/>
        <v>108</v>
      </c>
      <c r="B117" s="227" t="s">
        <v>1274</v>
      </c>
      <c r="C117" s="227" t="s">
        <v>1789</v>
      </c>
      <c r="D117" s="228" t="s">
        <v>1790</v>
      </c>
      <c r="E117" s="363" t="s">
        <v>1866</v>
      </c>
      <c r="F117" s="342">
        <v>44994</v>
      </c>
      <c r="G117" s="230"/>
      <c r="H117" s="231"/>
      <c r="I117" s="231">
        <v>29146</v>
      </c>
      <c r="J117" s="226" t="s">
        <v>2388</v>
      </c>
      <c r="K117" s="226"/>
      <c r="L117" s="345">
        <v>29146</v>
      </c>
      <c r="M117" s="346">
        <v>0</v>
      </c>
      <c r="N117" s="226" t="s">
        <v>2395</v>
      </c>
      <c r="O117" s="232"/>
      <c r="P117" s="232"/>
      <c r="Q117" s="232"/>
      <c r="R117" s="232"/>
      <c r="S117" s="414"/>
      <c r="T117" s="415"/>
      <c r="U117" s="414"/>
      <c r="V117" s="414"/>
      <c r="W117" s="414"/>
      <c r="X117" s="414"/>
      <c r="Y117" s="414"/>
      <c r="Z117" s="416"/>
      <c r="AA117" s="416"/>
      <c r="AB117" s="414"/>
      <c r="AC117" s="414"/>
      <c r="AD117" s="416"/>
      <c r="AE117" s="414"/>
      <c r="AF117" s="233"/>
    </row>
    <row r="118" spans="1:32">
      <c r="A118" s="225">
        <f t="shared" si="1"/>
        <v>109</v>
      </c>
      <c r="B118" s="227" t="s">
        <v>1185</v>
      </c>
      <c r="C118" s="227" t="s">
        <v>1766</v>
      </c>
      <c r="D118" s="228" t="s">
        <v>1767</v>
      </c>
      <c r="E118" s="363" t="s">
        <v>1867</v>
      </c>
      <c r="F118" s="342">
        <v>45016</v>
      </c>
      <c r="G118" s="230"/>
      <c r="H118" s="231"/>
      <c r="I118" s="231">
        <v>2837800</v>
      </c>
      <c r="J118" s="226" t="s">
        <v>2388</v>
      </c>
      <c r="K118" s="226"/>
      <c r="L118" s="345">
        <v>2837800</v>
      </c>
      <c r="M118" s="346">
        <v>0</v>
      </c>
      <c r="N118" s="226"/>
      <c r="O118" s="232"/>
      <c r="P118" s="232"/>
      <c r="Q118" s="232"/>
      <c r="R118" s="232"/>
      <c r="S118" s="414"/>
      <c r="T118" s="415"/>
      <c r="U118" s="414"/>
      <c r="V118" s="414"/>
      <c r="W118" s="414"/>
      <c r="X118" s="414"/>
      <c r="Y118" s="414"/>
      <c r="Z118" s="416"/>
      <c r="AA118" s="416"/>
      <c r="AB118" s="414"/>
      <c r="AC118" s="414"/>
      <c r="AD118" s="416"/>
      <c r="AE118" s="414"/>
      <c r="AF118" s="233"/>
    </row>
    <row r="119" spans="1:32">
      <c r="A119" s="225">
        <f t="shared" si="1"/>
        <v>110</v>
      </c>
      <c r="B119" s="227" t="s">
        <v>1275</v>
      </c>
      <c r="C119" s="227" t="s">
        <v>1763</v>
      </c>
      <c r="D119" s="228" t="s">
        <v>1764</v>
      </c>
      <c r="E119" s="363" t="s">
        <v>1868</v>
      </c>
      <c r="F119" s="342">
        <v>45016</v>
      </c>
      <c r="G119" s="230"/>
      <c r="H119" s="231"/>
      <c r="I119" s="231">
        <v>2854730</v>
      </c>
      <c r="J119" s="226" t="s">
        <v>2388</v>
      </c>
      <c r="K119" s="226"/>
      <c r="L119" s="345">
        <v>2854730</v>
      </c>
      <c r="M119" s="346">
        <v>0</v>
      </c>
      <c r="N119" s="226"/>
      <c r="O119" s="232"/>
      <c r="P119" s="232"/>
      <c r="Q119" s="232"/>
      <c r="R119" s="232"/>
      <c r="S119" s="414"/>
      <c r="T119" s="415"/>
      <c r="U119" s="414"/>
      <c r="V119" s="414"/>
      <c r="W119" s="414"/>
      <c r="X119" s="414"/>
      <c r="Y119" s="414"/>
      <c r="Z119" s="416"/>
      <c r="AA119" s="416"/>
      <c r="AB119" s="414"/>
      <c r="AC119" s="414"/>
      <c r="AD119" s="416"/>
      <c r="AE119" s="414"/>
      <c r="AF119" s="233"/>
    </row>
    <row r="120" spans="1:32">
      <c r="A120" s="225">
        <f t="shared" si="1"/>
        <v>111</v>
      </c>
      <c r="B120" s="227" t="s">
        <v>1276</v>
      </c>
      <c r="C120" s="227" t="s">
        <v>1869</v>
      </c>
      <c r="D120" s="228" t="s">
        <v>1870</v>
      </c>
      <c r="E120" s="363">
        <v>23000002</v>
      </c>
      <c r="F120" s="342">
        <v>45015</v>
      </c>
      <c r="G120" s="230"/>
      <c r="H120" s="231"/>
      <c r="I120" s="231">
        <v>364950</v>
      </c>
      <c r="J120" s="226" t="s">
        <v>2391</v>
      </c>
      <c r="K120" s="226"/>
      <c r="L120" s="345"/>
      <c r="M120" s="346">
        <v>364950</v>
      </c>
      <c r="N120" s="226" t="s">
        <v>2397</v>
      </c>
      <c r="O120" s="232"/>
      <c r="P120" s="232"/>
      <c r="Q120" s="232"/>
      <c r="R120" s="232"/>
      <c r="S120" s="414"/>
      <c r="T120" s="415"/>
      <c r="U120" s="414"/>
      <c r="V120" s="414"/>
      <c r="W120" s="414"/>
      <c r="X120" s="414"/>
      <c r="Y120" s="414"/>
      <c r="Z120" s="416"/>
      <c r="AA120" s="416"/>
      <c r="AB120" s="414"/>
      <c r="AC120" s="414"/>
      <c r="AD120" s="416"/>
      <c r="AE120" s="414"/>
      <c r="AF120" s="233"/>
    </row>
    <row r="121" spans="1:32">
      <c r="A121" s="225">
        <f t="shared" si="1"/>
        <v>112</v>
      </c>
      <c r="B121" s="227" t="s">
        <v>1277</v>
      </c>
      <c r="C121" s="227" t="s">
        <v>1771</v>
      </c>
      <c r="D121" s="228" t="s">
        <v>1772</v>
      </c>
      <c r="E121" s="363" t="s">
        <v>1871</v>
      </c>
      <c r="F121" s="342">
        <v>45015</v>
      </c>
      <c r="G121" s="230"/>
      <c r="H121" s="231"/>
      <c r="I121" s="231">
        <v>95698</v>
      </c>
      <c r="J121" s="226" t="s">
        <v>2388</v>
      </c>
      <c r="K121" s="226"/>
      <c r="L121" s="345">
        <v>95698</v>
      </c>
      <c r="M121" s="346">
        <v>0</v>
      </c>
      <c r="N121" s="226"/>
      <c r="O121" s="232"/>
      <c r="P121" s="232"/>
      <c r="Q121" s="232"/>
      <c r="R121" s="232"/>
      <c r="S121" s="414"/>
      <c r="T121" s="415"/>
      <c r="U121" s="414"/>
      <c r="V121" s="414"/>
      <c r="W121" s="414"/>
      <c r="X121" s="414"/>
      <c r="Y121" s="414"/>
      <c r="Z121" s="416"/>
      <c r="AA121" s="416"/>
      <c r="AB121" s="414"/>
      <c r="AC121" s="414"/>
      <c r="AD121" s="416"/>
      <c r="AE121" s="414"/>
      <c r="AF121" s="233"/>
    </row>
    <row r="122" spans="1:32">
      <c r="A122" s="225">
        <f t="shared" si="1"/>
        <v>113</v>
      </c>
      <c r="B122" s="227" t="s">
        <v>1183</v>
      </c>
      <c r="C122" s="227" t="s">
        <v>1760</v>
      </c>
      <c r="D122" s="228" t="s">
        <v>1761</v>
      </c>
      <c r="E122" s="363" t="s">
        <v>1872</v>
      </c>
      <c r="F122" s="342">
        <v>45014</v>
      </c>
      <c r="G122" s="230"/>
      <c r="H122" s="231"/>
      <c r="I122" s="231">
        <v>648320</v>
      </c>
      <c r="J122" s="226" t="s">
        <v>2388</v>
      </c>
      <c r="K122" s="226"/>
      <c r="L122" s="345">
        <v>648320</v>
      </c>
      <c r="M122" s="346">
        <v>0</v>
      </c>
      <c r="N122" s="226"/>
      <c r="O122" s="232"/>
      <c r="P122" s="232"/>
      <c r="Q122" s="232"/>
      <c r="R122" s="232"/>
      <c r="S122" s="414"/>
      <c r="T122" s="415"/>
      <c r="U122" s="414"/>
      <c r="V122" s="414"/>
      <c r="W122" s="414"/>
      <c r="X122" s="414"/>
      <c r="Y122" s="414"/>
      <c r="Z122" s="416"/>
      <c r="AA122" s="416"/>
      <c r="AB122" s="414"/>
      <c r="AC122" s="414"/>
      <c r="AD122" s="416"/>
      <c r="AE122" s="414"/>
      <c r="AF122" s="233"/>
    </row>
    <row r="123" spans="1:32">
      <c r="A123" s="225">
        <f t="shared" si="1"/>
        <v>114</v>
      </c>
      <c r="B123" s="227" t="s">
        <v>1278</v>
      </c>
      <c r="C123" s="227" t="s">
        <v>1774</v>
      </c>
      <c r="D123" s="228" t="s">
        <v>1775</v>
      </c>
      <c r="E123" s="363" t="s">
        <v>1873</v>
      </c>
      <c r="F123" s="342">
        <v>45013</v>
      </c>
      <c r="G123" s="230"/>
      <c r="H123" s="231"/>
      <c r="I123" s="231">
        <v>66957</v>
      </c>
      <c r="J123" s="226" t="s">
        <v>2388</v>
      </c>
      <c r="K123" s="226"/>
      <c r="L123" s="345">
        <v>66957</v>
      </c>
      <c r="M123" s="346">
        <v>0</v>
      </c>
      <c r="N123" s="226" t="s">
        <v>2394</v>
      </c>
      <c r="O123" s="232"/>
      <c r="P123" s="232"/>
      <c r="Q123" s="232"/>
      <c r="R123" s="232"/>
      <c r="S123" s="414"/>
      <c r="T123" s="415"/>
      <c r="U123" s="414"/>
      <c r="V123" s="414"/>
      <c r="W123" s="414"/>
      <c r="X123" s="414"/>
      <c r="Y123" s="414"/>
      <c r="Z123" s="416"/>
      <c r="AA123" s="416"/>
      <c r="AB123" s="414"/>
      <c r="AC123" s="414"/>
      <c r="AD123" s="416"/>
      <c r="AE123" s="414"/>
      <c r="AF123" s="233"/>
    </row>
    <row r="124" spans="1:32">
      <c r="A124" s="225">
        <f t="shared" si="1"/>
        <v>115</v>
      </c>
      <c r="B124" s="227" t="s">
        <v>1190</v>
      </c>
      <c r="C124" s="227" t="s">
        <v>1778</v>
      </c>
      <c r="D124" s="228" t="s">
        <v>1779</v>
      </c>
      <c r="E124" s="363">
        <v>52531</v>
      </c>
      <c r="F124" s="342">
        <v>45001</v>
      </c>
      <c r="G124" s="230"/>
      <c r="H124" s="231"/>
      <c r="I124" s="231">
        <v>372968</v>
      </c>
      <c r="J124" s="226" t="s">
        <v>2388</v>
      </c>
      <c r="K124" s="226"/>
      <c r="L124" s="345">
        <v>372968</v>
      </c>
      <c r="M124" s="346">
        <v>0</v>
      </c>
      <c r="N124" s="226"/>
      <c r="O124" s="232"/>
      <c r="P124" s="232"/>
      <c r="Q124" s="232"/>
      <c r="R124" s="232"/>
      <c r="S124" s="414"/>
      <c r="T124" s="415"/>
      <c r="U124" s="414"/>
      <c r="V124" s="414"/>
      <c r="W124" s="414"/>
      <c r="X124" s="414"/>
      <c r="Y124" s="414"/>
      <c r="Z124" s="416"/>
      <c r="AA124" s="416"/>
      <c r="AB124" s="414"/>
      <c r="AC124" s="414"/>
      <c r="AD124" s="416"/>
      <c r="AE124" s="414"/>
      <c r="AF124" s="233"/>
    </row>
    <row r="125" spans="1:32">
      <c r="A125" s="225">
        <f t="shared" si="1"/>
        <v>116</v>
      </c>
      <c r="B125" s="227" t="s">
        <v>1279</v>
      </c>
      <c r="C125" s="227" t="s">
        <v>1776</v>
      </c>
      <c r="D125" s="228" t="s">
        <v>1777</v>
      </c>
      <c r="E125" s="363">
        <v>230513</v>
      </c>
      <c r="F125" s="342">
        <v>44991</v>
      </c>
      <c r="G125" s="230"/>
      <c r="H125" s="231"/>
      <c r="I125" s="231">
        <v>405700</v>
      </c>
      <c r="J125" s="226" t="s">
        <v>2388</v>
      </c>
      <c r="K125" s="226"/>
      <c r="L125" s="345">
        <v>405700</v>
      </c>
      <c r="M125" s="346">
        <v>0</v>
      </c>
      <c r="N125" s="226"/>
      <c r="O125" s="232"/>
      <c r="P125" s="232"/>
      <c r="Q125" s="232"/>
      <c r="R125" s="232"/>
      <c r="S125" s="414"/>
      <c r="T125" s="415"/>
      <c r="U125" s="414"/>
      <c r="V125" s="414"/>
      <c r="W125" s="414"/>
      <c r="X125" s="414"/>
      <c r="Y125" s="414"/>
      <c r="Z125" s="416"/>
      <c r="AA125" s="416"/>
      <c r="AB125" s="414"/>
      <c r="AC125" s="414"/>
      <c r="AD125" s="416"/>
      <c r="AE125" s="414"/>
      <c r="AF125" s="233"/>
    </row>
    <row r="126" spans="1:32">
      <c r="A126" s="225">
        <f t="shared" si="1"/>
        <v>117</v>
      </c>
      <c r="B126" s="227" t="s">
        <v>1280</v>
      </c>
      <c r="C126" s="227" t="s">
        <v>1780</v>
      </c>
      <c r="D126" s="228" t="s">
        <v>1781</v>
      </c>
      <c r="E126" s="363">
        <v>8545</v>
      </c>
      <c r="F126" s="342">
        <v>44986</v>
      </c>
      <c r="G126" s="230"/>
      <c r="H126" s="231"/>
      <c r="I126" s="231">
        <v>1216</v>
      </c>
      <c r="J126" s="226" t="s">
        <v>2389</v>
      </c>
      <c r="K126" s="226"/>
      <c r="L126" s="345"/>
      <c r="M126" s="346">
        <v>1216</v>
      </c>
      <c r="N126" s="226"/>
      <c r="O126" s="232"/>
      <c r="P126" s="232"/>
      <c r="Q126" s="232"/>
      <c r="R126" s="232"/>
      <c r="S126" s="414"/>
      <c r="T126" s="415"/>
      <c r="U126" s="414"/>
      <c r="V126" s="414"/>
      <c r="W126" s="414"/>
      <c r="X126" s="414"/>
      <c r="Y126" s="414"/>
      <c r="Z126" s="416"/>
      <c r="AA126" s="416"/>
      <c r="AB126" s="414"/>
      <c r="AC126" s="414"/>
      <c r="AD126" s="416"/>
      <c r="AE126" s="414"/>
      <c r="AF126" s="233"/>
    </row>
    <row r="127" spans="1:32">
      <c r="A127" s="225">
        <f t="shared" si="1"/>
        <v>118</v>
      </c>
      <c r="B127" s="227" t="s">
        <v>1280</v>
      </c>
      <c r="C127" s="227" t="s">
        <v>1780</v>
      </c>
      <c r="D127" s="228" t="s">
        <v>1781</v>
      </c>
      <c r="E127" s="363">
        <v>8541</v>
      </c>
      <c r="F127" s="342">
        <v>44986</v>
      </c>
      <c r="G127" s="230"/>
      <c r="H127" s="231"/>
      <c r="I127" s="231">
        <v>2412</v>
      </c>
      <c r="J127" s="226" t="s">
        <v>2389</v>
      </c>
      <c r="K127" s="226"/>
      <c r="L127" s="345"/>
      <c r="M127" s="346">
        <v>2412</v>
      </c>
      <c r="N127" s="226"/>
      <c r="O127" s="232"/>
      <c r="P127" s="232"/>
      <c r="Q127" s="232"/>
      <c r="R127" s="232"/>
      <c r="S127" s="414"/>
      <c r="T127" s="415"/>
      <c r="U127" s="414"/>
      <c r="V127" s="414"/>
      <c r="W127" s="414"/>
      <c r="X127" s="414"/>
      <c r="Y127" s="414"/>
      <c r="Z127" s="416"/>
      <c r="AA127" s="416"/>
      <c r="AB127" s="414"/>
      <c r="AC127" s="414"/>
      <c r="AD127" s="416"/>
      <c r="AE127" s="414"/>
      <c r="AF127" s="233"/>
    </row>
    <row r="128" spans="1:32">
      <c r="A128" s="225">
        <f t="shared" si="1"/>
        <v>119</v>
      </c>
      <c r="B128" s="227" t="s">
        <v>1191</v>
      </c>
      <c r="C128" s="227" t="s">
        <v>1776</v>
      </c>
      <c r="D128" s="228" t="s">
        <v>1777</v>
      </c>
      <c r="E128" s="363">
        <v>230367</v>
      </c>
      <c r="F128" s="342">
        <v>44986</v>
      </c>
      <c r="G128" s="230"/>
      <c r="H128" s="231"/>
      <c r="I128" s="231">
        <v>202700</v>
      </c>
      <c r="J128" s="226" t="s">
        <v>2388</v>
      </c>
      <c r="K128" s="226"/>
      <c r="L128" s="345">
        <v>202700</v>
      </c>
      <c r="M128" s="346">
        <v>0</v>
      </c>
      <c r="N128" s="226"/>
      <c r="O128" s="232"/>
      <c r="P128" s="232"/>
      <c r="Q128" s="232"/>
      <c r="R128" s="232"/>
      <c r="S128" s="414"/>
      <c r="T128" s="415"/>
      <c r="U128" s="414"/>
      <c r="V128" s="414"/>
      <c r="W128" s="414"/>
      <c r="X128" s="414"/>
      <c r="Y128" s="414"/>
      <c r="Z128" s="416"/>
      <c r="AA128" s="416"/>
      <c r="AB128" s="414"/>
      <c r="AC128" s="414"/>
      <c r="AD128" s="416"/>
      <c r="AE128" s="414"/>
      <c r="AF128" s="233"/>
    </row>
    <row r="129" spans="1:32">
      <c r="A129" s="225">
        <f t="shared" si="1"/>
        <v>120</v>
      </c>
      <c r="B129" s="227" t="s">
        <v>1281</v>
      </c>
      <c r="C129" s="227" t="s">
        <v>1782</v>
      </c>
      <c r="D129" s="228" t="s">
        <v>1783</v>
      </c>
      <c r="E129" s="363" t="s">
        <v>1874</v>
      </c>
      <c r="F129" s="342">
        <v>45027</v>
      </c>
      <c r="G129" s="230"/>
      <c r="H129" s="231"/>
      <c r="I129" s="231">
        <v>680624</v>
      </c>
      <c r="J129" s="226" t="s">
        <v>2388</v>
      </c>
      <c r="K129" s="226"/>
      <c r="L129" s="345">
        <v>680624</v>
      </c>
      <c r="M129" s="346">
        <v>0</v>
      </c>
      <c r="N129" s="226" t="s">
        <v>2394</v>
      </c>
      <c r="O129" s="232"/>
      <c r="P129" s="232"/>
      <c r="Q129" s="232"/>
      <c r="R129" s="232"/>
      <c r="S129" s="414"/>
      <c r="T129" s="415"/>
      <c r="U129" s="414"/>
      <c r="V129" s="414"/>
      <c r="W129" s="414"/>
      <c r="X129" s="414"/>
      <c r="Y129" s="414"/>
      <c r="Z129" s="416"/>
      <c r="AA129" s="416"/>
      <c r="AB129" s="414"/>
      <c r="AC129" s="414"/>
      <c r="AD129" s="416"/>
      <c r="AE129" s="414"/>
      <c r="AF129" s="233"/>
    </row>
    <row r="130" spans="1:32">
      <c r="A130" s="225">
        <f t="shared" si="1"/>
        <v>121</v>
      </c>
      <c r="B130" s="227" t="s">
        <v>1282</v>
      </c>
      <c r="C130" s="227" t="s">
        <v>1789</v>
      </c>
      <c r="D130" s="228" t="s">
        <v>1790</v>
      </c>
      <c r="E130" s="363" t="s">
        <v>1875</v>
      </c>
      <c r="F130" s="342">
        <v>45045</v>
      </c>
      <c r="G130" s="230"/>
      <c r="H130" s="231"/>
      <c r="I130" s="231">
        <v>29628</v>
      </c>
      <c r="J130" s="226" t="s">
        <v>2388</v>
      </c>
      <c r="K130" s="226"/>
      <c r="L130" s="345">
        <v>29628</v>
      </c>
      <c r="M130" s="346">
        <v>0</v>
      </c>
      <c r="N130" s="226" t="s">
        <v>2395</v>
      </c>
      <c r="O130" s="232"/>
      <c r="P130" s="232"/>
      <c r="Q130" s="232"/>
      <c r="R130" s="232"/>
      <c r="S130" s="414"/>
      <c r="T130" s="415"/>
      <c r="U130" s="414"/>
      <c r="V130" s="414"/>
      <c r="W130" s="414"/>
      <c r="X130" s="414"/>
      <c r="Y130" s="414"/>
      <c r="Z130" s="416"/>
      <c r="AA130" s="416"/>
      <c r="AB130" s="414"/>
      <c r="AC130" s="414"/>
      <c r="AD130" s="416"/>
      <c r="AE130" s="414"/>
      <c r="AF130" s="233"/>
    </row>
    <row r="131" spans="1:32">
      <c r="A131" s="225">
        <f t="shared" si="1"/>
        <v>122</v>
      </c>
      <c r="B131" s="227" t="s">
        <v>1283</v>
      </c>
      <c r="C131" s="227" t="s">
        <v>1782</v>
      </c>
      <c r="D131" s="228" t="s">
        <v>1783</v>
      </c>
      <c r="E131" s="363" t="s">
        <v>1876</v>
      </c>
      <c r="F131" s="342">
        <v>45027</v>
      </c>
      <c r="G131" s="230"/>
      <c r="H131" s="231"/>
      <c r="I131" s="231">
        <v>518184</v>
      </c>
      <c r="J131" s="226" t="s">
        <v>2388</v>
      </c>
      <c r="K131" s="226"/>
      <c r="L131" s="345">
        <v>518184</v>
      </c>
      <c r="M131" s="346">
        <v>0</v>
      </c>
      <c r="N131" s="226" t="s">
        <v>2394</v>
      </c>
      <c r="O131" s="232"/>
      <c r="P131" s="232"/>
      <c r="Q131" s="232"/>
      <c r="R131" s="232"/>
      <c r="S131" s="414"/>
      <c r="T131" s="415"/>
      <c r="U131" s="414"/>
      <c r="V131" s="414"/>
      <c r="W131" s="414"/>
      <c r="X131" s="414"/>
      <c r="Y131" s="414"/>
      <c r="Z131" s="416"/>
      <c r="AA131" s="416"/>
      <c r="AB131" s="414"/>
      <c r="AC131" s="414"/>
      <c r="AD131" s="416"/>
      <c r="AE131" s="414"/>
      <c r="AF131" s="233"/>
    </row>
    <row r="132" spans="1:32">
      <c r="A132" s="225">
        <f t="shared" si="1"/>
        <v>123</v>
      </c>
      <c r="B132" s="227" t="s">
        <v>1284</v>
      </c>
      <c r="C132" s="227" t="s">
        <v>1789</v>
      </c>
      <c r="D132" s="228" t="s">
        <v>1790</v>
      </c>
      <c r="E132" s="363" t="s">
        <v>1877</v>
      </c>
      <c r="F132" s="342">
        <v>45045</v>
      </c>
      <c r="G132" s="230"/>
      <c r="H132" s="231"/>
      <c r="I132" s="231">
        <v>29628</v>
      </c>
      <c r="J132" s="226" t="s">
        <v>2388</v>
      </c>
      <c r="K132" s="226"/>
      <c r="L132" s="345">
        <v>29628</v>
      </c>
      <c r="M132" s="346">
        <v>0</v>
      </c>
      <c r="N132" s="226" t="s">
        <v>2395</v>
      </c>
      <c r="O132" s="232"/>
      <c r="P132" s="232"/>
      <c r="Q132" s="232"/>
      <c r="R132" s="232"/>
      <c r="S132" s="414"/>
      <c r="T132" s="415"/>
      <c r="U132" s="414"/>
      <c r="V132" s="414"/>
      <c r="W132" s="414"/>
      <c r="X132" s="414"/>
      <c r="Y132" s="414"/>
      <c r="Z132" s="416"/>
      <c r="AA132" s="416"/>
      <c r="AB132" s="414"/>
      <c r="AC132" s="414"/>
      <c r="AD132" s="416"/>
      <c r="AE132" s="414"/>
      <c r="AF132" s="233"/>
    </row>
    <row r="133" spans="1:32">
      <c r="A133" s="225">
        <f t="shared" si="1"/>
        <v>124</v>
      </c>
      <c r="B133" s="227" t="s">
        <v>1285</v>
      </c>
      <c r="C133" s="227" t="s">
        <v>1782</v>
      </c>
      <c r="D133" s="228" t="s">
        <v>1783</v>
      </c>
      <c r="E133" s="363" t="s">
        <v>1878</v>
      </c>
      <c r="F133" s="342">
        <v>45019</v>
      </c>
      <c r="G133" s="230"/>
      <c r="H133" s="231"/>
      <c r="I133" s="231">
        <v>557555</v>
      </c>
      <c r="J133" s="226" t="s">
        <v>2388</v>
      </c>
      <c r="K133" s="226"/>
      <c r="L133" s="345">
        <v>557555</v>
      </c>
      <c r="M133" s="346">
        <v>0</v>
      </c>
      <c r="N133" s="226" t="s">
        <v>2394</v>
      </c>
      <c r="O133" s="232"/>
      <c r="P133" s="232"/>
      <c r="Q133" s="232"/>
      <c r="R133" s="232"/>
      <c r="S133" s="414"/>
      <c r="T133" s="415"/>
      <c r="U133" s="414"/>
      <c r="V133" s="414"/>
      <c r="W133" s="414"/>
      <c r="X133" s="414"/>
      <c r="Y133" s="414"/>
      <c r="Z133" s="416"/>
      <c r="AA133" s="416"/>
      <c r="AB133" s="414"/>
      <c r="AC133" s="414"/>
      <c r="AD133" s="416"/>
      <c r="AE133" s="414"/>
      <c r="AF133" s="233"/>
    </row>
    <row r="134" spans="1:32">
      <c r="A134" s="225">
        <f t="shared" si="1"/>
        <v>125</v>
      </c>
      <c r="B134" s="227" t="s">
        <v>1286</v>
      </c>
      <c r="C134" s="227" t="s">
        <v>1789</v>
      </c>
      <c r="D134" s="228" t="s">
        <v>1790</v>
      </c>
      <c r="E134" s="363" t="s">
        <v>1879</v>
      </c>
      <c r="F134" s="342">
        <v>45038</v>
      </c>
      <c r="G134" s="230"/>
      <c r="H134" s="231"/>
      <c r="I134" s="231">
        <v>29326</v>
      </c>
      <c r="J134" s="226" t="s">
        <v>2388</v>
      </c>
      <c r="K134" s="226"/>
      <c r="L134" s="345">
        <v>29326</v>
      </c>
      <c r="M134" s="346">
        <v>0</v>
      </c>
      <c r="N134" s="226" t="s">
        <v>2395</v>
      </c>
      <c r="O134" s="232"/>
      <c r="P134" s="232"/>
      <c r="Q134" s="232"/>
      <c r="R134" s="232"/>
      <c r="S134" s="414"/>
      <c r="T134" s="415"/>
      <c r="U134" s="414"/>
      <c r="V134" s="414"/>
      <c r="W134" s="414"/>
      <c r="X134" s="414"/>
      <c r="Y134" s="414"/>
      <c r="Z134" s="416"/>
      <c r="AA134" s="416"/>
      <c r="AB134" s="414"/>
      <c r="AC134" s="414"/>
      <c r="AD134" s="416"/>
      <c r="AE134" s="414"/>
      <c r="AF134" s="233"/>
    </row>
    <row r="135" spans="1:32">
      <c r="A135" s="225">
        <f t="shared" si="1"/>
        <v>126</v>
      </c>
      <c r="B135" s="227" t="s">
        <v>1287</v>
      </c>
      <c r="C135" s="227" t="s">
        <v>1782</v>
      </c>
      <c r="D135" s="228" t="s">
        <v>1783</v>
      </c>
      <c r="E135" s="363" t="s">
        <v>1880</v>
      </c>
      <c r="F135" s="342">
        <v>45019</v>
      </c>
      <c r="G135" s="230"/>
      <c r="H135" s="231"/>
      <c r="I135" s="231">
        <v>662907</v>
      </c>
      <c r="J135" s="226" t="s">
        <v>2388</v>
      </c>
      <c r="K135" s="226"/>
      <c r="L135" s="345">
        <v>662907</v>
      </c>
      <c r="M135" s="346">
        <v>0</v>
      </c>
      <c r="N135" s="226" t="s">
        <v>2394</v>
      </c>
      <c r="O135" s="232"/>
      <c r="P135" s="232"/>
      <c r="Q135" s="232"/>
      <c r="R135" s="232"/>
      <c r="S135" s="414"/>
      <c r="T135" s="415"/>
      <c r="U135" s="414"/>
      <c r="V135" s="414"/>
      <c r="W135" s="414"/>
      <c r="X135" s="414"/>
      <c r="Y135" s="414"/>
      <c r="Z135" s="416"/>
      <c r="AA135" s="416"/>
      <c r="AB135" s="414"/>
      <c r="AC135" s="414"/>
      <c r="AD135" s="416"/>
      <c r="AE135" s="414"/>
      <c r="AF135" s="233"/>
    </row>
    <row r="136" spans="1:32">
      <c r="A136" s="225">
        <f t="shared" si="1"/>
        <v>127</v>
      </c>
      <c r="B136" s="227" t="s">
        <v>1288</v>
      </c>
      <c r="C136" s="227" t="s">
        <v>1789</v>
      </c>
      <c r="D136" s="228" t="s">
        <v>1790</v>
      </c>
      <c r="E136" s="363" t="s">
        <v>1881</v>
      </c>
      <c r="F136" s="342">
        <v>45028</v>
      </c>
      <c r="G136" s="230"/>
      <c r="H136" s="231"/>
      <c r="I136" s="231">
        <v>29246</v>
      </c>
      <c r="J136" s="226" t="s">
        <v>2388</v>
      </c>
      <c r="K136" s="226"/>
      <c r="L136" s="345">
        <v>29246</v>
      </c>
      <c r="M136" s="346">
        <v>0</v>
      </c>
      <c r="N136" s="226" t="s">
        <v>2395</v>
      </c>
      <c r="O136" s="232"/>
      <c r="P136" s="232"/>
      <c r="Q136" s="232"/>
      <c r="R136" s="232"/>
      <c r="S136" s="414"/>
      <c r="T136" s="415"/>
      <c r="U136" s="414"/>
      <c r="V136" s="414"/>
      <c r="W136" s="414"/>
      <c r="X136" s="414"/>
      <c r="Y136" s="414"/>
      <c r="Z136" s="416"/>
      <c r="AA136" s="416"/>
      <c r="AB136" s="414"/>
      <c r="AC136" s="414"/>
      <c r="AD136" s="416"/>
      <c r="AE136" s="414"/>
      <c r="AF136" s="233"/>
    </row>
    <row r="137" spans="1:32">
      <c r="A137" s="225">
        <f t="shared" si="1"/>
        <v>128</v>
      </c>
      <c r="B137" s="227" t="s">
        <v>1289</v>
      </c>
      <c r="C137" s="227" t="s">
        <v>1782</v>
      </c>
      <c r="D137" s="228" t="s">
        <v>1783</v>
      </c>
      <c r="E137" s="363" t="s">
        <v>1882</v>
      </c>
      <c r="F137" s="342">
        <v>45019</v>
      </c>
      <c r="G137" s="230"/>
      <c r="H137" s="231"/>
      <c r="I137" s="231">
        <v>517035</v>
      </c>
      <c r="J137" s="226" t="s">
        <v>2388</v>
      </c>
      <c r="K137" s="226"/>
      <c r="L137" s="345">
        <v>517035</v>
      </c>
      <c r="M137" s="346">
        <v>0</v>
      </c>
      <c r="N137" s="226" t="s">
        <v>2394</v>
      </c>
      <c r="O137" s="232"/>
      <c r="P137" s="232"/>
      <c r="Q137" s="232"/>
      <c r="R137" s="232"/>
      <c r="S137" s="414"/>
      <c r="T137" s="415"/>
      <c r="U137" s="414"/>
      <c r="V137" s="414"/>
      <c r="W137" s="414"/>
      <c r="X137" s="414"/>
      <c r="Y137" s="414"/>
      <c r="Z137" s="416"/>
      <c r="AA137" s="416"/>
      <c r="AB137" s="414"/>
      <c r="AC137" s="414"/>
      <c r="AD137" s="416"/>
      <c r="AE137" s="414"/>
      <c r="AF137" s="233"/>
    </row>
    <row r="138" spans="1:32">
      <c r="A138" s="225">
        <f t="shared" si="1"/>
        <v>129</v>
      </c>
      <c r="B138" s="227" t="s">
        <v>1290</v>
      </c>
      <c r="C138" s="227" t="s">
        <v>1789</v>
      </c>
      <c r="D138" s="228" t="s">
        <v>1790</v>
      </c>
      <c r="E138" s="363" t="s">
        <v>1883</v>
      </c>
      <c r="F138" s="342">
        <v>45028</v>
      </c>
      <c r="G138" s="230"/>
      <c r="H138" s="231"/>
      <c r="I138" s="231">
        <v>29246</v>
      </c>
      <c r="J138" s="226" t="s">
        <v>2388</v>
      </c>
      <c r="K138" s="226"/>
      <c r="L138" s="345">
        <v>29246</v>
      </c>
      <c r="M138" s="346">
        <v>0</v>
      </c>
      <c r="N138" s="226" t="s">
        <v>2395</v>
      </c>
      <c r="O138" s="232"/>
      <c r="P138" s="232"/>
      <c r="Q138" s="232"/>
      <c r="R138" s="232"/>
      <c r="S138" s="414"/>
      <c r="T138" s="415"/>
      <c r="U138" s="414"/>
      <c r="V138" s="414"/>
      <c r="W138" s="414"/>
      <c r="X138" s="414"/>
      <c r="Y138" s="414"/>
      <c r="Z138" s="416"/>
      <c r="AA138" s="416"/>
      <c r="AB138" s="414"/>
      <c r="AC138" s="414"/>
      <c r="AD138" s="416"/>
      <c r="AE138" s="414"/>
      <c r="AF138" s="233"/>
    </row>
    <row r="139" spans="1:32">
      <c r="A139" s="225">
        <f t="shared" si="1"/>
        <v>130</v>
      </c>
      <c r="B139" s="227" t="s">
        <v>1291</v>
      </c>
      <c r="C139" s="227" t="s">
        <v>1782</v>
      </c>
      <c r="D139" s="228" t="s">
        <v>1783</v>
      </c>
      <c r="E139" s="363" t="s">
        <v>1884</v>
      </c>
      <c r="F139" s="342">
        <v>45019</v>
      </c>
      <c r="G139" s="230"/>
      <c r="H139" s="231"/>
      <c r="I139" s="231">
        <v>480567</v>
      </c>
      <c r="J139" s="226" t="s">
        <v>2388</v>
      </c>
      <c r="K139" s="226"/>
      <c r="L139" s="345">
        <v>480567</v>
      </c>
      <c r="M139" s="346">
        <v>0</v>
      </c>
      <c r="N139" s="226" t="s">
        <v>2394</v>
      </c>
      <c r="O139" s="232"/>
      <c r="P139" s="232"/>
      <c r="Q139" s="232"/>
      <c r="R139" s="232"/>
      <c r="S139" s="414"/>
      <c r="T139" s="415"/>
      <c r="U139" s="414"/>
      <c r="V139" s="414"/>
      <c r="W139" s="414"/>
      <c r="X139" s="414"/>
      <c r="Y139" s="414"/>
      <c r="Z139" s="416"/>
      <c r="AA139" s="416"/>
      <c r="AB139" s="414"/>
      <c r="AC139" s="414"/>
      <c r="AD139" s="416"/>
      <c r="AE139" s="414"/>
      <c r="AF139" s="233"/>
    </row>
    <row r="140" spans="1:32">
      <c r="A140" s="225">
        <f t="shared" ref="A140:A203" si="2">A139+1</f>
        <v>131</v>
      </c>
      <c r="B140" s="227" t="s">
        <v>1292</v>
      </c>
      <c r="C140" s="227" t="s">
        <v>1789</v>
      </c>
      <c r="D140" s="228" t="s">
        <v>1790</v>
      </c>
      <c r="E140" s="363" t="s">
        <v>1885</v>
      </c>
      <c r="F140" s="342">
        <v>45020</v>
      </c>
      <c r="G140" s="230"/>
      <c r="H140" s="231"/>
      <c r="I140" s="231">
        <v>19440</v>
      </c>
      <c r="J140" s="226" t="s">
        <v>2388</v>
      </c>
      <c r="K140" s="226"/>
      <c r="L140" s="345">
        <v>19440</v>
      </c>
      <c r="M140" s="346">
        <v>0</v>
      </c>
      <c r="N140" s="226" t="s">
        <v>2395</v>
      </c>
      <c r="O140" s="232"/>
      <c r="P140" s="232"/>
      <c r="Q140" s="232"/>
      <c r="R140" s="232"/>
      <c r="S140" s="414"/>
      <c r="T140" s="415"/>
      <c r="U140" s="414"/>
      <c r="V140" s="414"/>
      <c r="W140" s="414"/>
      <c r="X140" s="414"/>
      <c r="Y140" s="414"/>
      <c r="Z140" s="416"/>
      <c r="AA140" s="416"/>
      <c r="AB140" s="414"/>
      <c r="AC140" s="414"/>
      <c r="AD140" s="416"/>
      <c r="AE140" s="414"/>
      <c r="AF140" s="233"/>
    </row>
    <row r="141" spans="1:32">
      <c r="A141" s="225">
        <f t="shared" si="2"/>
        <v>132</v>
      </c>
      <c r="B141" s="227" t="s">
        <v>1293</v>
      </c>
      <c r="C141" s="227" t="s">
        <v>1782</v>
      </c>
      <c r="D141" s="228" t="s">
        <v>1783</v>
      </c>
      <c r="E141" s="363" t="s">
        <v>1886</v>
      </c>
      <c r="F141" s="342">
        <v>45019</v>
      </c>
      <c r="G141" s="230"/>
      <c r="H141" s="231"/>
      <c r="I141" s="231">
        <v>622387</v>
      </c>
      <c r="J141" s="226" t="s">
        <v>2388</v>
      </c>
      <c r="K141" s="226"/>
      <c r="L141" s="345">
        <v>622387</v>
      </c>
      <c r="M141" s="346">
        <v>0</v>
      </c>
      <c r="N141" s="226" t="s">
        <v>2394</v>
      </c>
      <c r="O141" s="232"/>
      <c r="P141" s="232"/>
      <c r="Q141" s="232"/>
      <c r="R141" s="232"/>
      <c r="S141" s="414"/>
      <c r="T141" s="415"/>
      <c r="U141" s="414"/>
      <c r="V141" s="414"/>
      <c r="W141" s="414"/>
      <c r="X141" s="414"/>
      <c r="Y141" s="414"/>
      <c r="Z141" s="416"/>
      <c r="AA141" s="416"/>
      <c r="AB141" s="414"/>
      <c r="AC141" s="414"/>
      <c r="AD141" s="416"/>
      <c r="AE141" s="414"/>
      <c r="AF141" s="233"/>
    </row>
    <row r="142" spans="1:32">
      <c r="A142" s="225">
        <f t="shared" si="2"/>
        <v>133</v>
      </c>
      <c r="B142" s="227" t="s">
        <v>1294</v>
      </c>
      <c r="C142" s="227" t="s">
        <v>1789</v>
      </c>
      <c r="D142" s="228" t="s">
        <v>1790</v>
      </c>
      <c r="E142" s="363" t="s">
        <v>1887</v>
      </c>
      <c r="F142" s="342">
        <v>45020</v>
      </c>
      <c r="G142" s="230"/>
      <c r="H142" s="231"/>
      <c r="I142" s="231">
        <v>29160</v>
      </c>
      <c r="J142" s="226" t="s">
        <v>2388</v>
      </c>
      <c r="K142" s="226"/>
      <c r="L142" s="345">
        <v>29160</v>
      </c>
      <c r="M142" s="346">
        <v>0</v>
      </c>
      <c r="N142" s="226" t="s">
        <v>2395</v>
      </c>
      <c r="O142" s="232"/>
      <c r="P142" s="232"/>
      <c r="Q142" s="232"/>
      <c r="R142" s="232"/>
      <c r="S142" s="414"/>
      <c r="T142" s="415"/>
      <c r="U142" s="414"/>
      <c r="V142" s="414"/>
      <c r="W142" s="414"/>
      <c r="X142" s="414"/>
      <c r="Y142" s="414"/>
      <c r="Z142" s="416"/>
      <c r="AA142" s="416"/>
      <c r="AB142" s="414"/>
      <c r="AC142" s="414"/>
      <c r="AD142" s="416"/>
      <c r="AE142" s="414"/>
      <c r="AF142" s="233"/>
    </row>
    <row r="143" spans="1:32">
      <c r="A143" s="225">
        <f t="shared" si="2"/>
        <v>134</v>
      </c>
      <c r="B143" s="227" t="s">
        <v>1295</v>
      </c>
      <c r="C143" s="227" t="s">
        <v>1782</v>
      </c>
      <c r="D143" s="228" t="s">
        <v>1783</v>
      </c>
      <c r="E143" s="363" t="s">
        <v>1888</v>
      </c>
      <c r="F143" s="342">
        <v>45019</v>
      </c>
      <c r="G143" s="230"/>
      <c r="H143" s="231"/>
      <c r="I143" s="231">
        <v>521087</v>
      </c>
      <c r="J143" s="226" t="s">
        <v>2388</v>
      </c>
      <c r="K143" s="226"/>
      <c r="L143" s="345">
        <v>521087</v>
      </c>
      <c r="M143" s="346">
        <v>0</v>
      </c>
      <c r="N143" s="226" t="s">
        <v>2394</v>
      </c>
      <c r="O143" s="232"/>
      <c r="P143" s="232"/>
      <c r="Q143" s="232"/>
      <c r="R143" s="232"/>
      <c r="S143" s="414"/>
      <c r="T143" s="415"/>
      <c r="U143" s="414"/>
      <c r="V143" s="414"/>
      <c r="W143" s="414"/>
      <c r="X143" s="414"/>
      <c r="Y143" s="414"/>
      <c r="Z143" s="416"/>
      <c r="AA143" s="416"/>
      <c r="AB143" s="414"/>
      <c r="AC143" s="414"/>
      <c r="AD143" s="416"/>
      <c r="AE143" s="414"/>
      <c r="AF143" s="233"/>
    </row>
    <row r="144" spans="1:32">
      <c r="A144" s="225">
        <f t="shared" si="2"/>
        <v>135</v>
      </c>
      <c r="B144" s="227" t="s">
        <v>1296</v>
      </c>
      <c r="C144" s="227" t="s">
        <v>1789</v>
      </c>
      <c r="D144" s="228" t="s">
        <v>1790</v>
      </c>
      <c r="E144" s="363" t="s">
        <v>1889</v>
      </c>
      <c r="F144" s="342">
        <v>45020</v>
      </c>
      <c r="G144" s="230"/>
      <c r="H144" s="231"/>
      <c r="I144" s="231">
        <v>19440</v>
      </c>
      <c r="J144" s="226" t="s">
        <v>2388</v>
      </c>
      <c r="K144" s="226"/>
      <c r="L144" s="345">
        <v>19440</v>
      </c>
      <c r="M144" s="346">
        <v>0</v>
      </c>
      <c r="N144" s="226" t="s">
        <v>2395</v>
      </c>
      <c r="O144" s="232"/>
      <c r="P144" s="232"/>
      <c r="Q144" s="232"/>
      <c r="R144" s="232"/>
      <c r="S144" s="414"/>
      <c r="T144" s="415"/>
      <c r="U144" s="414"/>
      <c r="V144" s="414"/>
      <c r="W144" s="414"/>
      <c r="X144" s="414"/>
      <c r="Y144" s="414"/>
      <c r="Z144" s="416"/>
      <c r="AA144" s="416"/>
      <c r="AB144" s="414"/>
      <c r="AC144" s="414"/>
      <c r="AD144" s="416"/>
      <c r="AE144" s="414"/>
      <c r="AF144" s="233"/>
    </row>
    <row r="145" spans="1:32">
      <c r="A145" s="225">
        <f t="shared" si="2"/>
        <v>136</v>
      </c>
      <c r="B145" s="227" t="s">
        <v>1297</v>
      </c>
      <c r="C145" s="227" t="s">
        <v>1782</v>
      </c>
      <c r="D145" s="228" t="s">
        <v>1783</v>
      </c>
      <c r="E145" s="363" t="s">
        <v>1890</v>
      </c>
      <c r="F145" s="342">
        <v>45027</v>
      </c>
      <c r="G145" s="230"/>
      <c r="H145" s="231"/>
      <c r="I145" s="231">
        <v>570164</v>
      </c>
      <c r="J145" s="226" t="s">
        <v>2388</v>
      </c>
      <c r="K145" s="226"/>
      <c r="L145" s="345">
        <v>570164</v>
      </c>
      <c r="M145" s="346">
        <v>0</v>
      </c>
      <c r="N145" s="226" t="s">
        <v>2394</v>
      </c>
      <c r="O145" s="232"/>
      <c r="P145" s="232"/>
      <c r="Q145" s="232"/>
      <c r="R145" s="232"/>
      <c r="S145" s="414"/>
      <c r="T145" s="415"/>
      <c r="U145" s="414"/>
      <c r="V145" s="414"/>
      <c r="W145" s="414"/>
      <c r="X145" s="414"/>
      <c r="Y145" s="414"/>
      <c r="Z145" s="416"/>
      <c r="AA145" s="416"/>
      <c r="AB145" s="414"/>
      <c r="AC145" s="414"/>
      <c r="AD145" s="416"/>
      <c r="AE145" s="414"/>
      <c r="AF145" s="233"/>
    </row>
    <row r="146" spans="1:32">
      <c r="A146" s="225">
        <f t="shared" si="2"/>
        <v>137</v>
      </c>
      <c r="B146" s="227" t="s">
        <v>1298</v>
      </c>
      <c r="C146" s="227" t="s">
        <v>1789</v>
      </c>
      <c r="D146" s="228" t="s">
        <v>1790</v>
      </c>
      <c r="E146" s="363" t="s">
        <v>1891</v>
      </c>
      <c r="F146" s="342">
        <v>45035</v>
      </c>
      <c r="G146" s="230"/>
      <c r="H146" s="231"/>
      <c r="I146" s="231">
        <v>29275</v>
      </c>
      <c r="J146" s="226" t="s">
        <v>2388</v>
      </c>
      <c r="K146" s="226"/>
      <c r="L146" s="345">
        <v>29275</v>
      </c>
      <c r="M146" s="346">
        <v>0</v>
      </c>
      <c r="N146" s="226" t="s">
        <v>2395</v>
      </c>
      <c r="O146" s="232"/>
      <c r="P146" s="232"/>
      <c r="Q146" s="232"/>
      <c r="R146" s="232"/>
      <c r="S146" s="414"/>
      <c r="T146" s="415"/>
      <c r="U146" s="414"/>
      <c r="V146" s="414"/>
      <c r="W146" s="414"/>
      <c r="X146" s="414"/>
      <c r="Y146" s="414"/>
      <c r="Z146" s="416"/>
      <c r="AA146" s="416"/>
      <c r="AB146" s="414"/>
      <c r="AC146" s="414"/>
      <c r="AD146" s="416"/>
      <c r="AE146" s="414"/>
      <c r="AF146" s="233"/>
    </row>
    <row r="147" spans="1:32">
      <c r="A147" s="225">
        <f t="shared" si="2"/>
        <v>138</v>
      </c>
      <c r="B147" s="227" t="s">
        <v>1299</v>
      </c>
      <c r="C147" s="227" t="s">
        <v>1782</v>
      </c>
      <c r="D147" s="228" t="s">
        <v>1783</v>
      </c>
      <c r="E147" s="363" t="s">
        <v>1892</v>
      </c>
      <c r="F147" s="342">
        <v>45019</v>
      </c>
      <c r="G147" s="230"/>
      <c r="H147" s="231"/>
      <c r="I147" s="231">
        <v>1485868</v>
      </c>
      <c r="J147" s="226" t="s">
        <v>2388</v>
      </c>
      <c r="K147" s="226"/>
      <c r="L147" s="345">
        <v>1485868</v>
      </c>
      <c r="M147" s="346">
        <v>0</v>
      </c>
      <c r="N147" s="226" t="s">
        <v>2394</v>
      </c>
      <c r="O147" s="232"/>
      <c r="P147" s="232"/>
      <c r="Q147" s="232"/>
      <c r="R147" s="232"/>
      <c r="S147" s="414"/>
      <c r="T147" s="415"/>
      <c r="U147" s="414"/>
      <c r="V147" s="414"/>
      <c r="W147" s="414"/>
      <c r="X147" s="414"/>
      <c r="Y147" s="414"/>
      <c r="Z147" s="416"/>
      <c r="AA147" s="416"/>
      <c r="AB147" s="414"/>
      <c r="AC147" s="414"/>
      <c r="AD147" s="416"/>
      <c r="AE147" s="414"/>
      <c r="AF147" s="233"/>
    </row>
    <row r="148" spans="1:32">
      <c r="A148" s="225">
        <f t="shared" si="2"/>
        <v>139</v>
      </c>
      <c r="B148" s="227" t="s">
        <v>1300</v>
      </c>
      <c r="C148" s="227" t="s">
        <v>1789</v>
      </c>
      <c r="D148" s="228" t="s">
        <v>1790</v>
      </c>
      <c r="E148" s="363" t="s">
        <v>1893</v>
      </c>
      <c r="F148" s="342">
        <v>45019</v>
      </c>
      <c r="G148" s="230"/>
      <c r="H148" s="231"/>
      <c r="I148" s="231">
        <v>87523</v>
      </c>
      <c r="J148" s="226" t="s">
        <v>2388</v>
      </c>
      <c r="K148" s="226"/>
      <c r="L148" s="345">
        <v>87523</v>
      </c>
      <c r="M148" s="346">
        <v>0</v>
      </c>
      <c r="N148" s="226" t="s">
        <v>2395</v>
      </c>
      <c r="O148" s="232"/>
      <c r="P148" s="232"/>
      <c r="Q148" s="232"/>
      <c r="R148" s="232"/>
      <c r="S148" s="414"/>
      <c r="T148" s="415"/>
      <c r="U148" s="414"/>
      <c r="V148" s="414"/>
      <c r="W148" s="414"/>
      <c r="X148" s="414"/>
      <c r="Y148" s="414"/>
      <c r="Z148" s="416"/>
      <c r="AA148" s="416"/>
      <c r="AB148" s="414"/>
      <c r="AC148" s="414"/>
      <c r="AD148" s="416"/>
      <c r="AE148" s="414"/>
      <c r="AF148" s="233"/>
    </row>
    <row r="149" spans="1:32">
      <c r="A149" s="225">
        <f t="shared" si="2"/>
        <v>140</v>
      </c>
      <c r="B149" s="227" t="s">
        <v>1276</v>
      </c>
      <c r="C149" s="227" t="s">
        <v>1869</v>
      </c>
      <c r="D149" s="228" t="s">
        <v>1870</v>
      </c>
      <c r="E149" s="363" t="s">
        <v>1894</v>
      </c>
      <c r="F149" s="342">
        <v>45045</v>
      </c>
      <c r="G149" s="230"/>
      <c r="H149" s="231"/>
      <c r="I149" s="231">
        <v>1080846</v>
      </c>
      <c r="J149" s="226" t="s">
        <v>2388</v>
      </c>
      <c r="K149" s="226"/>
      <c r="L149" s="345">
        <v>1080846</v>
      </c>
      <c r="M149" s="346">
        <v>0</v>
      </c>
      <c r="N149" s="226"/>
      <c r="O149" s="232"/>
      <c r="P149" s="232"/>
      <c r="Q149" s="232"/>
      <c r="R149" s="232"/>
      <c r="S149" s="414"/>
      <c r="T149" s="415"/>
      <c r="U149" s="414"/>
      <c r="V149" s="414"/>
      <c r="W149" s="414"/>
      <c r="X149" s="414"/>
      <c r="Y149" s="414"/>
      <c r="Z149" s="416"/>
      <c r="AA149" s="416"/>
      <c r="AB149" s="414"/>
      <c r="AC149" s="414"/>
      <c r="AD149" s="416"/>
      <c r="AE149" s="414"/>
      <c r="AF149" s="233"/>
    </row>
    <row r="150" spans="1:32">
      <c r="A150" s="225">
        <f t="shared" si="2"/>
        <v>141</v>
      </c>
      <c r="B150" s="227" t="s">
        <v>1301</v>
      </c>
      <c r="C150" s="227" t="s">
        <v>1760</v>
      </c>
      <c r="D150" s="228" t="s">
        <v>1761</v>
      </c>
      <c r="E150" s="363" t="s">
        <v>1895</v>
      </c>
      <c r="F150" s="342">
        <v>45045</v>
      </c>
      <c r="G150" s="230"/>
      <c r="H150" s="231"/>
      <c r="I150" s="231">
        <v>1646000</v>
      </c>
      <c r="J150" s="226" t="s">
        <v>2388</v>
      </c>
      <c r="K150" s="226"/>
      <c r="L150" s="345">
        <v>1646000</v>
      </c>
      <c r="M150" s="346">
        <v>0</v>
      </c>
      <c r="N150" s="226"/>
      <c r="O150" s="232"/>
      <c r="P150" s="232"/>
      <c r="Q150" s="232"/>
      <c r="R150" s="232"/>
      <c r="S150" s="414"/>
      <c r="T150" s="415"/>
      <c r="U150" s="414"/>
      <c r="V150" s="414"/>
      <c r="W150" s="414"/>
      <c r="X150" s="414"/>
      <c r="Y150" s="414"/>
      <c r="Z150" s="416"/>
      <c r="AA150" s="416"/>
      <c r="AB150" s="414"/>
      <c r="AC150" s="414"/>
      <c r="AD150" s="416"/>
      <c r="AE150" s="414"/>
      <c r="AF150" s="233"/>
    </row>
    <row r="151" spans="1:32">
      <c r="A151" s="225">
        <f t="shared" si="2"/>
        <v>142</v>
      </c>
      <c r="B151" s="227" t="s">
        <v>1185</v>
      </c>
      <c r="C151" s="227" t="s">
        <v>1766</v>
      </c>
      <c r="D151" s="228" t="s">
        <v>1767</v>
      </c>
      <c r="E151" s="363" t="s">
        <v>1896</v>
      </c>
      <c r="F151" s="342">
        <v>45044</v>
      </c>
      <c r="G151" s="230"/>
      <c r="H151" s="231"/>
      <c r="I151" s="231">
        <v>2880500</v>
      </c>
      <c r="J151" s="226" t="s">
        <v>2388</v>
      </c>
      <c r="K151" s="226"/>
      <c r="L151" s="345">
        <v>2880500</v>
      </c>
      <c r="M151" s="346">
        <v>0</v>
      </c>
      <c r="N151" s="226"/>
      <c r="O151" s="232"/>
      <c r="P151" s="232"/>
      <c r="Q151" s="232"/>
      <c r="R151" s="232"/>
      <c r="S151" s="414"/>
      <c r="T151" s="415"/>
      <c r="U151" s="414"/>
      <c r="V151" s="414"/>
      <c r="W151" s="414"/>
      <c r="X151" s="414"/>
      <c r="Y151" s="414"/>
      <c r="Z151" s="416"/>
      <c r="AA151" s="416"/>
      <c r="AB151" s="414"/>
      <c r="AC151" s="414"/>
      <c r="AD151" s="416"/>
      <c r="AE151" s="414"/>
      <c r="AF151" s="233"/>
    </row>
    <row r="152" spans="1:32">
      <c r="A152" s="225">
        <f t="shared" si="2"/>
        <v>143</v>
      </c>
      <c r="B152" s="227" t="s">
        <v>1188</v>
      </c>
      <c r="C152" s="227" t="s">
        <v>1774</v>
      </c>
      <c r="D152" s="228" t="s">
        <v>1775</v>
      </c>
      <c r="E152" s="363" t="s">
        <v>1897</v>
      </c>
      <c r="F152" s="342">
        <v>45045</v>
      </c>
      <c r="G152" s="230"/>
      <c r="H152" s="231"/>
      <c r="I152" s="231">
        <v>67898</v>
      </c>
      <c r="J152" s="226" t="s">
        <v>2388</v>
      </c>
      <c r="K152" s="226"/>
      <c r="L152" s="345">
        <v>67898</v>
      </c>
      <c r="M152" s="346">
        <v>0</v>
      </c>
      <c r="N152" s="226" t="s">
        <v>2394</v>
      </c>
      <c r="O152" s="232"/>
      <c r="P152" s="232"/>
      <c r="Q152" s="232"/>
      <c r="R152" s="232"/>
      <c r="S152" s="414"/>
      <c r="T152" s="415"/>
      <c r="U152" s="414"/>
      <c r="V152" s="414"/>
      <c r="W152" s="414"/>
      <c r="X152" s="414"/>
      <c r="Y152" s="414"/>
      <c r="Z152" s="416"/>
      <c r="AA152" s="416"/>
      <c r="AB152" s="414"/>
      <c r="AC152" s="414"/>
      <c r="AD152" s="416"/>
      <c r="AE152" s="414"/>
      <c r="AF152" s="233"/>
    </row>
    <row r="153" spans="1:32">
      <c r="A153" s="225">
        <f t="shared" si="2"/>
        <v>144</v>
      </c>
      <c r="B153" s="227" t="s">
        <v>1187</v>
      </c>
      <c r="C153" s="227" t="s">
        <v>1771</v>
      </c>
      <c r="D153" s="228" t="s">
        <v>1772</v>
      </c>
      <c r="E153" s="363" t="s">
        <v>1898</v>
      </c>
      <c r="F153" s="342">
        <v>45044</v>
      </c>
      <c r="G153" s="230"/>
      <c r="H153" s="231"/>
      <c r="I153" s="231">
        <v>82300</v>
      </c>
      <c r="J153" s="226" t="s">
        <v>2388</v>
      </c>
      <c r="K153" s="226"/>
      <c r="L153" s="345">
        <v>82300</v>
      </c>
      <c r="M153" s="346">
        <v>0</v>
      </c>
      <c r="N153" s="226"/>
      <c r="O153" s="232"/>
      <c r="P153" s="232"/>
      <c r="Q153" s="232"/>
      <c r="R153" s="232"/>
      <c r="S153" s="414"/>
      <c r="T153" s="415"/>
      <c r="U153" s="414"/>
      <c r="V153" s="414"/>
      <c r="W153" s="414"/>
      <c r="X153" s="414"/>
      <c r="Y153" s="414"/>
      <c r="Z153" s="416"/>
      <c r="AA153" s="416"/>
      <c r="AB153" s="414"/>
      <c r="AC153" s="414"/>
      <c r="AD153" s="416"/>
      <c r="AE153" s="414"/>
      <c r="AF153" s="233"/>
    </row>
    <row r="154" spans="1:32">
      <c r="A154" s="225">
        <f t="shared" si="2"/>
        <v>145</v>
      </c>
      <c r="B154" s="227" t="s">
        <v>1302</v>
      </c>
      <c r="C154" s="227" t="s">
        <v>1763</v>
      </c>
      <c r="D154" s="228" t="s">
        <v>1764</v>
      </c>
      <c r="E154" s="363" t="s">
        <v>1899</v>
      </c>
      <c r="F154" s="342">
        <v>45043</v>
      </c>
      <c r="G154" s="230"/>
      <c r="H154" s="231"/>
      <c r="I154" s="231">
        <v>2703226</v>
      </c>
      <c r="J154" s="226" t="s">
        <v>2388</v>
      </c>
      <c r="K154" s="226"/>
      <c r="L154" s="345">
        <v>2703226</v>
      </c>
      <c r="M154" s="346">
        <v>0</v>
      </c>
      <c r="N154" s="226"/>
      <c r="O154" s="232"/>
      <c r="P154" s="232"/>
      <c r="Q154" s="232"/>
      <c r="R154" s="232"/>
      <c r="S154" s="414"/>
      <c r="T154" s="415"/>
      <c r="U154" s="414"/>
      <c r="V154" s="414"/>
      <c r="W154" s="414"/>
      <c r="X154" s="414"/>
      <c r="Y154" s="414"/>
      <c r="Z154" s="416"/>
      <c r="AA154" s="416"/>
      <c r="AB154" s="414"/>
      <c r="AC154" s="414"/>
      <c r="AD154" s="416"/>
      <c r="AE154" s="414"/>
      <c r="AF154" s="233"/>
    </row>
    <row r="155" spans="1:32">
      <c r="A155" s="225">
        <f t="shared" si="2"/>
        <v>146</v>
      </c>
      <c r="B155" s="227" t="s">
        <v>1190</v>
      </c>
      <c r="C155" s="227" t="s">
        <v>1778</v>
      </c>
      <c r="D155" s="228" t="s">
        <v>1779</v>
      </c>
      <c r="E155" s="363">
        <v>52820</v>
      </c>
      <c r="F155" s="342">
        <v>45023</v>
      </c>
      <c r="G155" s="230"/>
      <c r="H155" s="231"/>
      <c r="I155" s="231">
        <v>373244</v>
      </c>
      <c r="J155" s="226" t="s">
        <v>2388</v>
      </c>
      <c r="K155" s="226"/>
      <c r="L155" s="345">
        <v>373244</v>
      </c>
      <c r="M155" s="346">
        <v>0</v>
      </c>
      <c r="N155" s="226"/>
      <c r="O155" s="232"/>
      <c r="P155" s="232"/>
      <c r="Q155" s="232"/>
      <c r="R155" s="232"/>
      <c r="S155" s="414"/>
      <c r="T155" s="415"/>
      <c r="U155" s="414"/>
      <c r="V155" s="414"/>
      <c r="W155" s="414"/>
      <c r="X155" s="414"/>
      <c r="Y155" s="414"/>
      <c r="Z155" s="416"/>
      <c r="AA155" s="416"/>
      <c r="AB155" s="414"/>
      <c r="AC155" s="414"/>
      <c r="AD155" s="416"/>
      <c r="AE155" s="414"/>
      <c r="AF155" s="233"/>
    </row>
    <row r="156" spans="1:32">
      <c r="A156" s="225">
        <f t="shared" si="2"/>
        <v>147</v>
      </c>
      <c r="B156" s="227" t="s">
        <v>1214</v>
      </c>
      <c r="C156" s="227" t="s">
        <v>1780</v>
      </c>
      <c r="D156" s="228" t="s">
        <v>1781</v>
      </c>
      <c r="E156" s="363">
        <v>8548</v>
      </c>
      <c r="F156" s="342">
        <v>45017</v>
      </c>
      <c r="G156" s="230"/>
      <c r="H156" s="231"/>
      <c r="I156" s="231">
        <v>4232</v>
      </c>
      <c r="J156" s="226" t="s">
        <v>2389</v>
      </c>
      <c r="K156" s="226"/>
      <c r="L156" s="345"/>
      <c r="M156" s="346">
        <v>4232</v>
      </c>
      <c r="N156" s="226"/>
      <c r="O156" s="232"/>
      <c r="P156" s="232"/>
      <c r="Q156" s="232"/>
      <c r="R156" s="232"/>
      <c r="S156" s="414"/>
      <c r="T156" s="415"/>
      <c r="U156" s="414"/>
      <c r="V156" s="414"/>
      <c r="W156" s="414"/>
      <c r="X156" s="414"/>
      <c r="Y156" s="414"/>
      <c r="Z156" s="416"/>
      <c r="AA156" s="416"/>
      <c r="AB156" s="414"/>
      <c r="AC156" s="414"/>
      <c r="AD156" s="416"/>
      <c r="AE156" s="414"/>
      <c r="AF156" s="233"/>
    </row>
    <row r="157" spans="1:32">
      <c r="A157" s="225">
        <f t="shared" si="2"/>
        <v>148</v>
      </c>
      <c r="B157" s="227" t="s">
        <v>1192</v>
      </c>
      <c r="C157" s="227" t="s">
        <v>1780</v>
      </c>
      <c r="D157" s="228" t="s">
        <v>1781</v>
      </c>
      <c r="E157" s="363">
        <v>8552</v>
      </c>
      <c r="F157" s="342">
        <v>45017</v>
      </c>
      <c r="G157" s="230"/>
      <c r="H157" s="231"/>
      <c r="I157" s="231">
        <v>1216</v>
      </c>
      <c r="J157" s="226" t="s">
        <v>2389</v>
      </c>
      <c r="K157" s="226"/>
      <c r="L157" s="345"/>
      <c r="M157" s="346">
        <v>1216</v>
      </c>
      <c r="N157" s="226"/>
      <c r="O157" s="232"/>
      <c r="P157" s="232"/>
      <c r="Q157" s="232"/>
      <c r="R157" s="232"/>
      <c r="S157" s="414"/>
      <c r="T157" s="415"/>
      <c r="U157" s="414"/>
      <c r="V157" s="414"/>
      <c r="W157" s="414"/>
      <c r="X157" s="414"/>
      <c r="Y157" s="414"/>
      <c r="Z157" s="416"/>
      <c r="AA157" s="416"/>
      <c r="AB157" s="414"/>
      <c r="AC157" s="414"/>
      <c r="AD157" s="416"/>
      <c r="AE157" s="414"/>
      <c r="AF157" s="233"/>
    </row>
    <row r="158" spans="1:32">
      <c r="A158" s="225">
        <f t="shared" si="2"/>
        <v>149</v>
      </c>
      <c r="B158" s="227" t="s">
        <v>1191</v>
      </c>
      <c r="C158" s="227" t="s">
        <v>1776</v>
      </c>
      <c r="D158" s="228" t="s">
        <v>1777</v>
      </c>
      <c r="E158" s="363">
        <v>230639</v>
      </c>
      <c r="F158" s="342">
        <v>45017</v>
      </c>
      <c r="G158" s="230"/>
      <c r="H158" s="231"/>
      <c r="I158" s="231">
        <v>202600</v>
      </c>
      <c r="J158" s="226" t="s">
        <v>2388</v>
      </c>
      <c r="K158" s="226"/>
      <c r="L158" s="345">
        <v>202600</v>
      </c>
      <c r="M158" s="346">
        <v>0</v>
      </c>
      <c r="N158" s="226"/>
      <c r="O158" s="232"/>
      <c r="P158" s="232"/>
      <c r="Q158" s="232"/>
      <c r="R158" s="232"/>
      <c r="S158" s="414"/>
      <c r="T158" s="415"/>
      <c r="U158" s="414"/>
      <c r="V158" s="414"/>
      <c r="W158" s="414"/>
      <c r="X158" s="414"/>
      <c r="Y158" s="414"/>
      <c r="Z158" s="416"/>
      <c r="AA158" s="416"/>
      <c r="AB158" s="414"/>
      <c r="AC158" s="414"/>
      <c r="AD158" s="416"/>
      <c r="AE158" s="414"/>
      <c r="AF158" s="233"/>
    </row>
    <row r="159" spans="1:32">
      <c r="A159" s="225">
        <f t="shared" si="2"/>
        <v>150</v>
      </c>
      <c r="B159" s="227" t="s">
        <v>1303</v>
      </c>
      <c r="C159" s="227" t="s">
        <v>1850</v>
      </c>
      <c r="D159" s="228" t="s">
        <v>1851</v>
      </c>
      <c r="E159" s="363">
        <v>212000242</v>
      </c>
      <c r="F159" s="342">
        <v>45021</v>
      </c>
      <c r="G159" s="230"/>
      <c r="H159" s="231"/>
      <c r="I159" s="231">
        <v>458752</v>
      </c>
      <c r="J159" s="226" t="s">
        <v>2388</v>
      </c>
      <c r="K159" s="226"/>
      <c r="L159" s="345">
        <v>458752</v>
      </c>
      <c r="M159" s="346">
        <v>0</v>
      </c>
      <c r="N159" s="226"/>
      <c r="O159" s="232"/>
      <c r="P159" s="232"/>
      <c r="Q159" s="232"/>
      <c r="R159" s="232"/>
      <c r="S159" s="414"/>
      <c r="T159" s="415"/>
      <c r="U159" s="414"/>
      <c r="V159" s="414"/>
      <c r="W159" s="414"/>
      <c r="X159" s="414"/>
      <c r="Y159" s="414"/>
      <c r="Z159" s="416"/>
      <c r="AA159" s="416"/>
      <c r="AB159" s="414"/>
      <c r="AC159" s="414"/>
      <c r="AD159" s="416"/>
      <c r="AE159" s="414"/>
      <c r="AF159" s="233"/>
    </row>
    <row r="160" spans="1:32">
      <c r="A160" s="225">
        <f t="shared" si="2"/>
        <v>151</v>
      </c>
      <c r="B160" s="227" t="s">
        <v>1304</v>
      </c>
      <c r="C160" s="227" t="s">
        <v>1782</v>
      </c>
      <c r="D160" s="228" t="s">
        <v>1783</v>
      </c>
      <c r="E160" s="363" t="s">
        <v>1900</v>
      </c>
      <c r="F160" s="342">
        <v>45048</v>
      </c>
      <c r="G160" s="230"/>
      <c r="H160" s="231"/>
      <c r="I160" s="231">
        <v>584898</v>
      </c>
      <c r="J160" s="226" t="s">
        <v>2388</v>
      </c>
      <c r="K160" s="226"/>
      <c r="L160" s="345">
        <v>584898</v>
      </c>
      <c r="M160" s="346">
        <v>0</v>
      </c>
      <c r="N160" s="226" t="s">
        <v>2394</v>
      </c>
      <c r="O160" s="232"/>
      <c r="P160" s="232"/>
      <c r="Q160" s="232"/>
      <c r="R160" s="232"/>
      <c r="S160" s="414"/>
      <c r="T160" s="415"/>
      <c r="U160" s="414"/>
      <c r="V160" s="414"/>
      <c r="W160" s="414"/>
      <c r="X160" s="414"/>
      <c r="Y160" s="414"/>
      <c r="Z160" s="416"/>
      <c r="AA160" s="416"/>
      <c r="AB160" s="414"/>
      <c r="AC160" s="414"/>
      <c r="AD160" s="416"/>
      <c r="AE160" s="414"/>
      <c r="AF160" s="233"/>
    </row>
    <row r="161" spans="1:32">
      <c r="A161" s="225">
        <f t="shared" si="2"/>
        <v>152</v>
      </c>
      <c r="B161" s="227" t="s">
        <v>1305</v>
      </c>
      <c r="C161" s="227" t="s">
        <v>1785</v>
      </c>
      <c r="D161" s="228" t="s">
        <v>1786</v>
      </c>
      <c r="E161" s="363">
        <v>79665</v>
      </c>
      <c r="F161" s="342">
        <v>45069</v>
      </c>
      <c r="G161" s="230"/>
      <c r="H161" s="231"/>
      <c r="I161" s="231">
        <v>23438</v>
      </c>
      <c r="J161" s="226" t="s">
        <v>2390</v>
      </c>
      <c r="K161" s="226"/>
      <c r="L161" s="345"/>
      <c r="M161" s="346">
        <v>23438</v>
      </c>
      <c r="N161" s="226"/>
      <c r="O161" s="232"/>
      <c r="P161" s="232"/>
      <c r="Q161" s="232"/>
      <c r="R161" s="232"/>
      <c r="S161" s="414"/>
      <c r="T161" s="415"/>
      <c r="U161" s="414"/>
      <c r="V161" s="414"/>
      <c r="W161" s="414"/>
      <c r="X161" s="414"/>
      <c r="Y161" s="414"/>
      <c r="Z161" s="416"/>
      <c r="AA161" s="416"/>
      <c r="AB161" s="414"/>
      <c r="AC161" s="414"/>
      <c r="AD161" s="416"/>
      <c r="AE161" s="414"/>
      <c r="AF161" s="233"/>
    </row>
    <row r="162" spans="1:32">
      <c r="A162" s="225">
        <f t="shared" si="2"/>
        <v>153</v>
      </c>
      <c r="B162" s="227" t="s">
        <v>1306</v>
      </c>
      <c r="C162" s="227" t="s">
        <v>1782</v>
      </c>
      <c r="D162" s="228" t="s">
        <v>1783</v>
      </c>
      <c r="E162" s="363" t="s">
        <v>1901</v>
      </c>
      <c r="F162" s="342">
        <v>45048</v>
      </c>
      <c r="G162" s="230"/>
      <c r="H162" s="231"/>
      <c r="I162" s="231">
        <v>782610</v>
      </c>
      <c r="J162" s="226" t="s">
        <v>2388</v>
      </c>
      <c r="K162" s="226"/>
      <c r="L162" s="345">
        <v>782610</v>
      </c>
      <c r="M162" s="346">
        <v>0</v>
      </c>
      <c r="N162" s="226" t="s">
        <v>2394</v>
      </c>
      <c r="O162" s="232"/>
      <c r="P162" s="232"/>
      <c r="Q162" s="232"/>
      <c r="R162" s="232"/>
      <c r="S162" s="414"/>
      <c r="T162" s="415"/>
      <c r="U162" s="414"/>
      <c r="V162" s="414"/>
      <c r="W162" s="414"/>
      <c r="X162" s="414"/>
      <c r="Y162" s="414"/>
      <c r="Z162" s="416"/>
      <c r="AA162" s="416"/>
      <c r="AB162" s="414"/>
      <c r="AC162" s="414"/>
      <c r="AD162" s="416"/>
      <c r="AE162" s="414"/>
      <c r="AF162" s="233"/>
    </row>
    <row r="163" spans="1:32">
      <c r="A163" s="225">
        <f t="shared" si="2"/>
        <v>154</v>
      </c>
      <c r="B163" s="227" t="s">
        <v>1307</v>
      </c>
      <c r="C163" s="227" t="s">
        <v>1785</v>
      </c>
      <c r="D163" s="228" t="s">
        <v>1786</v>
      </c>
      <c r="E163" s="363">
        <v>73894</v>
      </c>
      <c r="F163" s="342">
        <v>45059</v>
      </c>
      <c r="G163" s="230"/>
      <c r="H163" s="231"/>
      <c r="I163" s="231">
        <v>23467</v>
      </c>
      <c r="J163" s="226" t="s">
        <v>2390</v>
      </c>
      <c r="K163" s="226"/>
      <c r="L163" s="345"/>
      <c r="M163" s="346">
        <v>23467</v>
      </c>
      <c r="N163" s="226"/>
      <c r="O163" s="232"/>
      <c r="P163" s="232"/>
      <c r="Q163" s="232"/>
      <c r="R163" s="232"/>
      <c r="S163" s="414"/>
      <c r="T163" s="415"/>
      <c r="U163" s="414"/>
      <c r="V163" s="414"/>
      <c r="W163" s="414"/>
      <c r="X163" s="414"/>
      <c r="Y163" s="414"/>
      <c r="Z163" s="416"/>
      <c r="AA163" s="416"/>
      <c r="AB163" s="414"/>
      <c r="AC163" s="414"/>
      <c r="AD163" s="416"/>
      <c r="AE163" s="414"/>
      <c r="AF163" s="233"/>
    </row>
    <row r="164" spans="1:32">
      <c r="A164" s="225">
        <f t="shared" si="2"/>
        <v>155</v>
      </c>
      <c r="B164" s="227" t="s">
        <v>1308</v>
      </c>
      <c r="C164" s="227" t="s">
        <v>1782</v>
      </c>
      <c r="D164" s="228" t="s">
        <v>1783</v>
      </c>
      <c r="E164" s="363" t="s">
        <v>1902</v>
      </c>
      <c r="F164" s="342">
        <v>45048</v>
      </c>
      <c r="G164" s="230"/>
      <c r="H164" s="231"/>
      <c r="I164" s="231">
        <v>547827</v>
      </c>
      <c r="J164" s="226" t="s">
        <v>2388</v>
      </c>
      <c r="K164" s="226"/>
      <c r="L164" s="345">
        <v>547827</v>
      </c>
      <c r="M164" s="346">
        <v>0</v>
      </c>
      <c r="N164" s="226" t="s">
        <v>2394</v>
      </c>
      <c r="O164" s="232"/>
      <c r="P164" s="232"/>
      <c r="Q164" s="232"/>
      <c r="R164" s="232"/>
      <c r="S164" s="414"/>
      <c r="T164" s="415"/>
      <c r="U164" s="414"/>
      <c r="V164" s="414"/>
      <c r="W164" s="414"/>
      <c r="X164" s="414"/>
      <c r="Y164" s="414"/>
      <c r="Z164" s="416"/>
      <c r="AA164" s="416"/>
      <c r="AB164" s="414"/>
      <c r="AC164" s="414"/>
      <c r="AD164" s="416"/>
      <c r="AE164" s="414"/>
      <c r="AF164" s="233"/>
    </row>
    <row r="165" spans="1:32">
      <c r="A165" s="225">
        <f t="shared" si="2"/>
        <v>156</v>
      </c>
      <c r="B165" s="227" t="s">
        <v>1309</v>
      </c>
      <c r="C165" s="227" t="s">
        <v>1785</v>
      </c>
      <c r="D165" s="228" t="s">
        <v>1786</v>
      </c>
      <c r="E165" s="363">
        <v>66577</v>
      </c>
      <c r="F165" s="342">
        <v>45049</v>
      </c>
      <c r="G165" s="230"/>
      <c r="H165" s="231"/>
      <c r="I165" s="231">
        <v>23484</v>
      </c>
      <c r="J165" s="226" t="s">
        <v>2390</v>
      </c>
      <c r="K165" s="226"/>
      <c r="L165" s="345"/>
      <c r="M165" s="346">
        <v>23484</v>
      </c>
      <c r="N165" s="226"/>
      <c r="O165" s="232"/>
      <c r="P165" s="232"/>
      <c r="Q165" s="232"/>
      <c r="R165" s="232"/>
      <c r="S165" s="414"/>
      <c r="T165" s="415"/>
      <c r="U165" s="414"/>
      <c r="V165" s="414"/>
      <c r="W165" s="414"/>
      <c r="X165" s="414"/>
      <c r="Y165" s="414"/>
      <c r="Z165" s="416"/>
      <c r="AA165" s="416"/>
      <c r="AB165" s="414"/>
      <c r="AC165" s="414"/>
      <c r="AD165" s="416"/>
      <c r="AE165" s="414"/>
      <c r="AF165" s="233"/>
    </row>
    <row r="166" spans="1:32">
      <c r="A166" s="225">
        <f t="shared" si="2"/>
        <v>157</v>
      </c>
      <c r="B166" s="227" t="s">
        <v>1310</v>
      </c>
      <c r="C166" s="227" t="s">
        <v>1782</v>
      </c>
      <c r="D166" s="228" t="s">
        <v>1783</v>
      </c>
      <c r="E166" s="363" t="s">
        <v>1903</v>
      </c>
      <c r="F166" s="342">
        <v>45048</v>
      </c>
      <c r="G166" s="230"/>
      <c r="H166" s="231"/>
      <c r="I166" s="231">
        <v>562655</v>
      </c>
      <c r="J166" s="226" t="s">
        <v>2388</v>
      </c>
      <c r="K166" s="226"/>
      <c r="L166" s="345">
        <v>562655</v>
      </c>
      <c r="M166" s="346">
        <v>0</v>
      </c>
      <c r="N166" s="226" t="s">
        <v>2394</v>
      </c>
      <c r="O166" s="232"/>
      <c r="P166" s="232"/>
      <c r="Q166" s="232"/>
      <c r="R166" s="232"/>
      <c r="S166" s="414"/>
      <c r="T166" s="415"/>
      <c r="U166" s="414"/>
      <c r="V166" s="414"/>
      <c r="W166" s="414"/>
      <c r="X166" s="414"/>
      <c r="Y166" s="414"/>
      <c r="Z166" s="416"/>
      <c r="AA166" s="416"/>
      <c r="AB166" s="414"/>
      <c r="AC166" s="414"/>
      <c r="AD166" s="416"/>
      <c r="AE166" s="414"/>
      <c r="AF166" s="233"/>
    </row>
    <row r="167" spans="1:32">
      <c r="A167" s="225">
        <f t="shared" si="2"/>
        <v>158</v>
      </c>
      <c r="B167" s="227" t="s">
        <v>1311</v>
      </c>
      <c r="C167" s="227" t="s">
        <v>1789</v>
      </c>
      <c r="D167" s="228" t="s">
        <v>1790</v>
      </c>
      <c r="E167" s="363" t="s">
        <v>1904</v>
      </c>
      <c r="F167" s="342">
        <v>45073</v>
      </c>
      <c r="G167" s="230"/>
      <c r="H167" s="231"/>
      <c r="I167" s="231">
        <v>29606</v>
      </c>
      <c r="J167" s="226" t="s">
        <v>2388</v>
      </c>
      <c r="K167" s="226"/>
      <c r="L167" s="345">
        <v>29606</v>
      </c>
      <c r="M167" s="346">
        <v>0</v>
      </c>
      <c r="N167" s="226" t="s">
        <v>2395</v>
      </c>
      <c r="O167" s="232"/>
      <c r="P167" s="232"/>
      <c r="Q167" s="232"/>
      <c r="R167" s="232"/>
      <c r="S167" s="414"/>
      <c r="T167" s="415"/>
      <c r="U167" s="414"/>
      <c r="V167" s="414"/>
      <c r="W167" s="414"/>
      <c r="X167" s="414"/>
      <c r="Y167" s="414"/>
      <c r="Z167" s="416"/>
      <c r="AA167" s="416"/>
      <c r="AB167" s="414"/>
      <c r="AC167" s="414"/>
      <c r="AD167" s="416"/>
      <c r="AE167" s="414"/>
      <c r="AF167" s="233"/>
    </row>
    <row r="168" spans="1:32">
      <c r="A168" s="225">
        <f t="shared" si="2"/>
        <v>159</v>
      </c>
      <c r="B168" s="227" t="s">
        <v>1312</v>
      </c>
      <c r="C168" s="227" t="s">
        <v>1782</v>
      </c>
      <c r="D168" s="228" t="s">
        <v>1783</v>
      </c>
      <c r="E168" s="363" t="s">
        <v>1905</v>
      </c>
      <c r="F168" s="342">
        <v>45048</v>
      </c>
      <c r="G168" s="230"/>
      <c r="H168" s="231"/>
      <c r="I168" s="231">
        <v>521465</v>
      </c>
      <c r="J168" s="226" t="s">
        <v>2388</v>
      </c>
      <c r="K168" s="226"/>
      <c r="L168" s="345">
        <v>521465</v>
      </c>
      <c r="M168" s="346">
        <v>0</v>
      </c>
      <c r="N168" s="226" t="s">
        <v>2394</v>
      </c>
      <c r="O168" s="232"/>
      <c r="P168" s="232"/>
      <c r="Q168" s="232"/>
      <c r="R168" s="232"/>
      <c r="S168" s="414"/>
      <c r="T168" s="415"/>
      <c r="U168" s="414"/>
      <c r="V168" s="414"/>
      <c r="W168" s="414"/>
      <c r="X168" s="414"/>
      <c r="Y168" s="414"/>
      <c r="Z168" s="416"/>
      <c r="AA168" s="416"/>
      <c r="AB168" s="414"/>
      <c r="AC168" s="414"/>
      <c r="AD168" s="416"/>
      <c r="AE168" s="414"/>
      <c r="AF168" s="233"/>
    </row>
    <row r="169" spans="1:32">
      <c r="A169" s="225">
        <f t="shared" si="2"/>
        <v>160</v>
      </c>
      <c r="B169" s="227" t="s">
        <v>1313</v>
      </c>
      <c r="C169" s="227" t="s">
        <v>1789</v>
      </c>
      <c r="D169" s="228" t="s">
        <v>1790</v>
      </c>
      <c r="E169" s="363" t="s">
        <v>1906</v>
      </c>
      <c r="F169" s="342">
        <v>45073</v>
      </c>
      <c r="G169" s="230"/>
      <c r="H169" s="231"/>
      <c r="I169" s="231">
        <v>29606</v>
      </c>
      <c r="J169" s="226" t="s">
        <v>2388</v>
      </c>
      <c r="K169" s="226"/>
      <c r="L169" s="345">
        <v>29606</v>
      </c>
      <c r="M169" s="346">
        <v>0</v>
      </c>
      <c r="N169" s="226" t="s">
        <v>2395</v>
      </c>
      <c r="O169" s="232"/>
      <c r="P169" s="232"/>
      <c r="Q169" s="232"/>
      <c r="R169" s="232"/>
      <c r="S169" s="414"/>
      <c r="T169" s="415"/>
      <c r="U169" s="414"/>
      <c r="V169" s="414"/>
      <c r="W169" s="414"/>
      <c r="X169" s="414"/>
      <c r="Y169" s="414"/>
      <c r="Z169" s="416"/>
      <c r="AA169" s="416"/>
      <c r="AB169" s="414"/>
      <c r="AC169" s="414"/>
      <c r="AD169" s="416"/>
      <c r="AE169" s="414"/>
      <c r="AF169" s="233"/>
    </row>
    <row r="170" spans="1:32">
      <c r="A170" s="225">
        <f t="shared" si="2"/>
        <v>161</v>
      </c>
      <c r="B170" s="227" t="s">
        <v>1314</v>
      </c>
      <c r="C170" s="227" t="s">
        <v>1782</v>
      </c>
      <c r="D170" s="228" t="s">
        <v>1783</v>
      </c>
      <c r="E170" s="363" t="s">
        <v>1907</v>
      </c>
      <c r="F170" s="342">
        <v>45048</v>
      </c>
      <c r="G170" s="230"/>
      <c r="H170" s="231"/>
      <c r="I170" s="231">
        <v>1104716</v>
      </c>
      <c r="J170" s="226" t="s">
        <v>2388</v>
      </c>
      <c r="K170" s="226"/>
      <c r="L170" s="345">
        <v>1104716</v>
      </c>
      <c r="M170" s="346">
        <v>0</v>
      </c>
      <c r="N170" s="226" t="s">
        <v>2394</v>
      </c>
      <c r="O170" s="232"/>
      <c r="P170" s="232"/>
      <c r="Q170" s="232"/>
      <c r="R170" s="232"/>
      <c r="S170" s="414"/>
      <c r="T170" s="415"/>
      <c r="U170" s="414"/>
      <c r="V170" s="414"/>
      <c r="W170" s="414"/>
      <c r="X170" s="414"/>
      <c r="Y170" s="414"/>
      <c r="Z170" s="416"/>
      <c r="AA170" s="416"/>
      <c r="AB170" s="414"/>
      <c r="AC170" s="414"/>
      <c r="AD170" s="416"/>
      <c r="AE170" s="414"/>
      <c r="AF170" s="233"/>
    </row>
    <row r="171" spans="1:32">
      <c r="A171" s="225">
        <f t="shared" si="2"/>
        <v>162</v>
      </c>
      <c r="B171" s="227" t="s">
        <v>1315</v>
      </c>
      <c r="C171" s="227" t="s">
        <v>1789</v>
      </c>
      <c r="D171" s="228" t="s">
        <v>1790</v>
      </c>
      <c r="E171" s="363" t="s">
        <v>1908</v>
      </c>
      <c r="F171" s="342">
        <v>45073</v>
      </c>
      <c r="G171" s="230"/>
      <c r="H171" s="231"/>
      <c r="I171" s="231">
        <v>59213</v>
      </c>
      <c r="J171" s="226" t="s">
        <v>2388</v>
      </c>
      <c r="K171" s="226"/>
      <c r="L171" s="345">
        <v>59213</v>
      </c>
      <c r="M171" s="346">
        <v>0</v>
      </c>
      <c r="N171" s="226" t="s">
        <v>2395</v>
      </c>
      <c r="O171" s="232"/>
      <c r="P171" s="232"/>
      <c r="Q171" s="232"/>
      <c r="R171" s="232"/>
      <c r="S171" s="414"/>
      <c r="T171" s="415"/>
      <c r="U171" s="414"/>
      <c r="V171" s="414"/>
      <c r="W171" s="414"/>
      <c r="X171" s="414"/>
      <c r="Y171" s="414"/>
      <c r="Z171" s="416"/>
      <c r="AA171" s="416"/>
      <c r="AB171" s="414"/>
      <c r="AC171" s="414"/>
      <c r="AD171" s="416"/>
      <c r="AE171" s="414"/>
      <c r="AF171" s="233"/>
    </row>
    <row r="172" spans="1:32">
      <c r="A172" s="225">
        <f t="shared" si="2"/>
        <v>163</v>
      </c>
      <c r="B172" s="227" t="s">
        <v>1316</v>
      </c>
      <c r="C172" s="227" t="s">
        <v>1782</v>
      </c>
      <c r="D172" s="228" t="s">
        <v>1783</v>
      </c>
      <c r="E172" s="363" t="s">
        <v>1909</v>
      </c>
      <c r="F172" s="342">
        <v>45051</v>
      </c>
      <c r="G172" s="230"/>
      <c r="H172" s="231"/>
      <c r="I172" s="231">
        <v>563065</v>
      </c>
      <c r="J172" s="226" t="s">
        <v>2388</v>
      </c>
      <c r="K172" s="226"/>
      <c r="L172" s="345">
        <v>563065</v>
      </c>
      <c r="M172" s="346">
        <v>0</v>
      </c>
      <c r="N172" s="226" t="s">
        <v>2394</v>
      </c>
      <c r="O172" s="232"/>
      <c r="P172" s="232"/>
      <c r="Q172" s="232"/>
      <c r="R172" s="232"/>
      <c r="S172" s="414"/>
      <c r="T172" s="415"/>
      <c r="U172" s="414"/>
      <c r="V172" s="414"/>
      <c r="W172" s="414"/>
      <c r="X172" s="414"/>
      <c r="Y172" s="414"/>
      <c r="Z172" s="416"/>
      <c r="AA172" s="416"/>
      <c r="AB172" s="414"/>
      <c r="AC172" s="414"/>
      <c r="AD172" s="416"/>
      <c r="AE172" s="414"/>
      <c r="AF172" s="233"/>
    </row>
    <row r="173" spans="1:32">
      <c r="A173" s="225">
        <f t="shared" si="2"/>
        <v>164</v>
      </c>
      <c r="B173" s="227" t="s">
        <v>1317</v>
      </c>
      <c r="C173" s="227" t="s">
        <v>1789</v>
      </c>
      <c r="D173" s="228" t="s">
        <v>1790</v>
      </c>
      <c r="E173" s="363" t="s">
        <v>1910</v>
      </c>
      <c r="F173" s="342">
        <v>45062</v>
      </c>
      <c r="G173" s="230"/>
      <c r="H173" s="231"/>
      <c r="I173" s="231">
        <v>29599</v>
      </c>
      <c r="J173" s="226" t="s">
        <v>2388</v>
      </c>
      <c r="K173" s="226"/>
      <c r="L173" s="345">
        <v>29599</v>
      </c>
      <c r="M173" s="346">
        <v>0</v>
      </c>
      <c r="N173" s="226" t="s">
        <v>2395</v>
      </c>
      <c r="O173" s="232"/>
      <c r="P173" s="232"/>
      <c r="Q173" s="232"/>
      <c r="R173" s="232"/>
      <c r="S173" s="414"/>
      <c r="T173" s="415"/>
      <c r="U173" s="414"/>
      <c r="V173" s="414"/>
      <c r="W173" s="414"/>
      <c r="X173" s="414"/>
      <c r="Y173" s="414"/>
      <c r="Z173" s="416"/>
      <c r="AA173" s="416"/>
      <c r="AB173" s="414"/>
      <c r="AC173" s="414"/>
      <c r="AD173" s="416"/>
      <c r="AE173" s="414"/>
      <c r="AF173" s="233"/>
    </row>
    <row r="174" spans="1:32">
      <c r="A174" s="225">
        <f t="shared" si="2"/>
        <v>165</v>
      </c>
      <c r="B174" s="227" t="s">
        <v>1318</v>
      </c>
      <c r="C174" s="227" t="s">
        <v>1782</v>
      </c>
      <c r="D174" s="228" t="s">
        <v>1783</v>
      </c>
      <c r="E174" s="363" t="s">
        <v>1911</v>
      </c>
      <c r="F174" s="342">
        <v>45048</v>
      </c>
      <c r="G174" s="230"/>
      <c r="H174" s="231"/>
      <c r="I174" s="231">
        <v>562655</v>
      </c>
      <c r="J174" s="226" t="s">
        <v>2388</v>
      </c>
      <c r="K174" s="226"/>
      <c r="L174" s="345">
        <v>562655</v>
      </c>
      <c r="M174" s="346">
        <v>0</v>
      </c>
      <c r="N174" s="226" t="s">
        <v>2394</v>
      </c>
      <c r="O174" s="232"/>
      <c r="P174" s="232"/>
      <c r="Q174" s="232"/>
      <c r="R174" s="232"/>
      <c r="S174" s="414"/>
      <c r="T174" s="415"/>
      <c r="U174" s="414"/>
      <c r="V174" s="414"/>
      <c r="W174" s="414"/>
      <c r="X174" s="414"/>
      <c r="Y174" s="414"/>
      <c r="Z174" s="416"/>
      <c r="AA174" s="416"/>
      <c r="AB174" s="414"/>
      <c r="AC174" s="414"/>
      <c r="AD174" s="416"/>
      <c r="AE174" s="414"/>
      <c r="AF174" s="233"/>
    </row>
    <row r="175" spans="1:32">
      <c r="A175" s="225">
        <f t="shared" si="2"/>
        <v>166</v>
      </c>
      <c r="B175" s="227" t="s">
        <v>1319</v>
      </c>
      <c r="C175" s="227" t="s">
        <v>1789</v>
      </c>
      <c r="D175" s="228" t="s">
        <v>1790</v>
      </c>
      <c r="E175" s="363" t="s">
        <v>1912</v>
      </c>
      <c r="F175" s="342">
        <v>45052</v>
      </c>
      <c r="G175" s="230"/>
      <c r="H175" s="231"/>
      <c r="I175" s="231">
        <v>29678</v>
      </c>
      <c r="J175" s="226" t="s">
        <v>2388</v>
      </c>
      <c r="K175" s="226"/>
      <c r="L175" s="345">
        <v>29678</v>
      </c>
      <c r="M175" s="346">
        <v>0</v>
      </c>
      <c r="N175" s="226" t="s">
        <v>2395</v>
      </c>
      <c r="O175" s="232"/>
      <c r="P175" s="232"/>
      <c r="Q175" s="232"/>
      <c r="R175" s="232"/>
      <c r="S175" s="414"/>
      <c r="T175" s="415"/>
      <c r="U175" s="414"/>
      <c r="V175" s="414"/>
      <c r="W175" s="414"/>
      <c r="X175" s="414"/>
      <c r="Y175" s="414"/>
      <c r="Z175" s="416"/>
      <c r="AA175" s="416"/>
      <c r="AB175" s="414"/>
      <c r="AC175" s="414"/>
      <c r="AD175" s="416"/>
      <c r="AE175" s="414"/>
      <c r="AF175" s="233"/>
    </row>
    <row r="176" spans="1:32">
      <c r="A176" s="225">
        <f t="shared" si="2"/>
        <v>167</v>
      </c>
      <c r="B176" s="227" t="s">
        <v>1185</v>
      </c>
      <c r="C176" s="227" t="s">
        <v>1766</v>
      </c>
      <c r="D176" s="228" t="s">
        <v>1767</v>
      </c>
      <c r="E176" s="363" t="s">
        <v>1913</v>
      </c>
      <c r="F176" s="342">
        <v>45077</v>
      </c>
      <c r="G176" s="230"/>
      <c r="H176" s="231"/>
      <c r="I176" s="231">
        <v>2881200</v>
      </c>
      <c r="J176" s="226" t="s">
        <v>2388</v>
      </c>
      <c r="K176" s="226"/>
      <c r="L176" s="345">
        <v>2881200</v>
      </c>
      <c r="M176" s="346">
        <v>0</v>
      </c>
      <c r="N176" s="226"/>
      <c r="O176" s="232"/>
      <c r="P176" s="232"/>
      <c r="Q176" s="232"/>
      <c r="R176" s="232"/>
      <c r="S176" s="414"/>
      <c r="T176" s="415"/>
      <c r="U176" s="414"/>
      <c r="V176" s="414"/>
      <c r="W176" s="414"/>
      <c r="X176" s="414"/>
      <c r="Y176" s="414"/>
      <c r="Z176" s="416"/>
      <c r="AA176" s="416"/>
      <c r="AB176" s="414"/>
      <c r="AC176" s="414"/>
      <c r="AD176" s="416"/>
      <c r="AE176" s="414"/>
      <c r="AF176" s="233"/>
    </row>
    <row r="177" spans="1:32">
      <c r="A177" s="225">
        <f t="shared" si="2"/>
        <v>168</v>
      </c>
      <c r="B177" s="227" t="s">
        <v>1320</v>
      </c>
      <c r="C177" s="227" t="s">
        <v>1771</v>
      </c>
      <c r="D177" s="228" t="s">
        <v>1772</v>
      </c>
      <c r="E177" s="363" t="s">
        <v>1914</v>
      </c>
      <c r="F177" s="342">
        <v>45077</v>
      </c>
      <c r="G177" s="230"/>
      <c r="H177" s="231"/>
      <c r="I177" s="231">
        <v>91704</v>
      </c>
      <c r="J177" s="226" t="s">
        <v>2388</v>
      </c>
      <c r="K177" s="226"/>
      <c r="L177" s="345">
        <v>91704</v>
      </c>
      <c r="M177" s="346">
        <v>0</v>
      </c>
      <c r="N177" s="226"/>
      <c r="O177" s="232"/>
      <c r="P177" s="232"/>
      <c r="Q177" s="232"/>
      <c r="R177" s="232"/>
      <c r="S177" s="414"/>
      <c r="T177" s="415"/>
      <c r="U177" s="414"/>
      <c r="V177" s="414"/>
      <c r="W177" s="414"/>
      <c r="X177" s="414"/>
      <c r="Y177" s="414"/>
      <c r="Z177" s="416"/>
      <c r="AA177" s="416"/>
      <c r="AB177" s="414"/>
      <c r="AC177" s="414"/>
      <c r="AD177" s="416"/>
      <c r="AE177" s="414"/>
      <c r="AF177" s="233"/>
    </row>
    <row r="178" spans="1:32">
      <c r="A178" s="225">
        <f t="shared" si="2"/>
        <v>169</v>
      </c>
      <c r="B178" s="227" t="s">
        <v>1321</v>
      </c>
      <c r="C178" s="227" t="s">
        <v>1763</v>
      </c>
      <c r="D178" s="228" t="s">
        <v>1764</v>
      </c>
      <c r="E178" s="363" t="s">
        <v>1915</v>
      </c>
      <c r="F178" s="342">
        <v>45077</v>
      </c>
      <c r="G178" s="230"/>
      <c r="H178" s="231"/>
      <c r="I178" s="231">
        <v>2734181</v>
      </c>
      <c r="J178" s="226" t="s">
        <v>2388</v>
      </c>
      <c r="K178" s="226"/>
      <c r="L178" s="345">
        <v>2734181</v>
      </c>
      <c r="M178" s="346">
        <v>0</v>
      </c>
      <c r="N178" s="226"/>
      <c r="O178" s="232"/>
      <c r="P178" s="232"/>
      <c r="Q178" s="232"/>
      <c r="R178" s="232"/>
      <c r="S178" s="414"/>
      <c r="T178" s="415"/>
      <c r="U178" s="414"/>
      <c r="V178" s="414"/>
      <c r="W178" s="414"/>
      <c r="X178" s="414"/>
      <c r="Y178" s="414"/>
      <c r="Z178" s="416"/>
      <c r="AA178" s="416"/>
      <c r="AB178" s="414"/>
      <c r="AC178" s="414"/>
      <c r="AD178" s="416"/>
      <c r="AE178" s="414"/>
      <c r="AF178" s="233"/>
    </row>
    <row r="179" spans="1:32">
      <c r="A179" s="225">
        <f t="shared" si="2"/>
        <v>170</v>
      </c>
      <c r="B179" s="227" t="s">
        <v>1322</v>
      </c>
      <c r="C179" s="227" t="s">
        <v>1869</v>
      </c>
      <c r="D179" s="228" t="s">
        <v>1870</v>
      </c>
      <c r="E179" s="363" t="s">
        <v>1916</v>
      </c>
      <c r="F179" s="342">
        <v>45076</v>
      </c>
      <c r="G179" s="230"/>
      <c r="H179" s="231"/>
      <c r="I179" s="231">
        <v>370440</v>
      </c>
      <c r="J179" s="226" t="s">
        <v>2388</v>
      </c>
      <c r="K179" s="226"/>
      <c r="L179" s="345">
        <v>370440</v>
      </c>
      <c r="M179" s="346">
        <v>0</v>
      </c>
      <c r="N179" s="226"/>
      <c r="O179" s="232"/>
      <c r="P179" s="232"/>
      <c r="Q179" s="232"/>
      <c r="R179" s="232"/>
      <c r="S179" s="414"/>
      <c r="T179" s="415"/>
      <c r="U179" s="414"/>
      <c r="V179" s="414"/>
      <c r="W179" s="414"/>
      <c r="X179" s="414"/>
      <c r="Y179" s="414"/>
      <c r="Z179" s="416"/>
      <c r="AA179" s="416"/>
      <c r="AB179" s="414"/>
      <c r="AC179" s="414"/>
      <c r="AD179" s="416"/>
      <c r="AE179" s="414"/>
      <c r="AF179" s="233"/>
    </row>
    <row r="180" spans="1:32">
      <c r="A180" s="225">
        <f t="shared" si="2"/>
        <v>171</v>
      </c>
      <c r="B180" s="227" t="s">
        <v>1188</v>
      </c>
      <c r="C180" s="227" t="s">
        <v>1774</v>
      </c>
      <c r="D180" s="228" t="s">
        <v>1775</v>
      </c>
      <c r="E180" s="363" t="s">
        <v>1917</v>
      </c>
      <c r="F180" s="342">
        <v>45074</v>
      </c>
      <c r="G180" s="230"/>
      <c r="H180" s="231"/>
      <c r="I180" s="231">
        <v>67848</v>
      </c>
      <c r="J180" s="226" t="s">
        <v>2388</v>
      </c>
      <c r="K180" s="226"/>
      <c r="L180" s="345">
        <v>67848</v>
      </c>
      <c r="M180" s="346">
        <v>0</v>
      </c>
      <c r="N180" s="226" t="s">
        <v>2394</v>
      </c>
      <c r="O180" s="232"/>
      <c r="P180" s="232"/>
      <c r="Q180" s="232"/>
      <c r="R180" s="232"/>
      <c r="S180" s="414"/>
      <c r="T180" s="415"/>
      <c r="U180" s="414"/>
      <c r="V180" s="414"/>
      <c r="W180" s="414"/>
      <c r="X180" s="414"/>
      <c r="Y180" s="414"/>
      <c r="Z180" s="416"/>
      <c r="AA180" s="416"/>
      <c r="AB180" s="414"/>
      <c r="AC180" s="414"/>
      <c r="AD180" s="416"/>
      <c r="AE180" s="414"/>
      <c r="AF180" s="233"/>
    </row>
    <row r="181" spans="1:32">
      <c r="A181" s="225">
        <f t="shared" si="2"/>
        <v>172</v>
      </c>
      <c r="B181" s="227" t="s">
        <v>1323</v>
      </c>
      <c r="C181" s="227" t="s">
        <v>1778</v>
      </c>
      <c r="D181" s="228" t="s">
        <v>1779</v>
      </c>
      <c r="E181" s="363">
        <v>53532</v>
      </c>
      <c r="F181" s="342">
        <v>45068</v>
      </c>
      <c r="G181" s="230"/>
      <c r="H181" s="231"/>
      <c r="I181" s="231">
        <v>378212</v>
      </c>
      <c r="J181" s="226" t="s">
        <v>2388</v>
      </c>
      <c r="K181" s="226"/>
      <c r="L181" s="345">
        <v>378212</v>
      </c>
      <c r="M181" s="346">
        <v>0</v>
      </c>
      <c r="N181" s="226"/>
      <c r="O181" s="232"/>
      <c r="P181" s="232"/>
      <c r="Q181" s="232"/>
      <c r="R181" s="232"/>
      <c r="S181" s="414"/>
      <c r="T181" s="415"/>
      <c r="U181" s="414"/>
      <c r="V181" s="414"/>
      <c r="W181" s="414"/>
      <c r="X181" s="414"/>
      <c r="Y181" s="414"/>
      <c r="Z181" s="416"/>
      <c r="AA181" s="416"/>
      <c r="AB181" s="414"/>
      <c r="AC181" s="414"/>
      <c r="AD181" s="416"/>
      <c r="AE181" s="414"/>
      <c r="AF181" s="233"/>
    </row>
    <row r="182" spans="1:32">
      <c r="A182" s="225">
        <f t="shared" si="2"/>
        <v>173</v>
      </c>
      <c r="B182" s="227" t="s">
        <v>1324</v>
      </c>
      <c r="C182" s="227" t="s">
        <v>1776</v>
      </c>
      <c r="D182" s="228" t="s">
        <v>1777</v>
      </c>
      <c r="E182" s="363">
        <v>230960</v>
      </c>
      <c r="F182" s="342">
        <v>45049</v>
      </c>
      <c r="G182" s="230"/>
      <c r="H182" s="231"/>
      <c r="I182" s="231">
        <v>412000</v>
      </c>
      <c r="J182" s="226" t="s">
        <v>2388</v>
      </c>
      <c r="K182" s="226"/>
      <c r="L182" s="345">
        <v>412000</v>
      </c>
      <c r="M182" s="346">
        <v>0</v>
      </c>
      <c r="N182" s="226"/>
      <c r="O182" s="232"/>
      <c r="P182" s="232"/>
      <c r="Q182" s="232"/>
      <c r="R182" s="232"/>
      <c r="S182" s="414"/>
      <c r="T182" s="415"/>
      <c r="U182" s="414"/>
      <c r="V182" s="414"/>
      <c r="W182" s="414"/>
      <c r="X182" s="414"/>
      <c r="Y182" s="414"/>
      <c r="Z182" s="416"/>
      <c r="AA182" s="416"/>
      <c r="AB182" s="414"/>
      <c r="AC182" s="414"/>
      <c r="AD182" s="416"/>
      <c r="AE182" s="414"/>
      <c r="AF182" s="233"/>
    </row>
    <row r="183" spans="1:32">
      <c r="A183" s="225">
        <f t="shared" si="2"/>
        <v>174</v>
      </c>
      <c r="B183" s="227" t="s">
        <v>1325</v>
      </c>
      <c r="C183" s="227" t="s">
        <v>1776</v>
      </c>
      <c r="D183" s="228" t="s">
        <v>1777</v>
      </c>
      <c r="E183" s="363">
        <v>230829</v>
      </c>
      <c r="F183" s="342">
        <v>45048</v>
      </c>
      <c r="G183" s="230"/>
      <c r="H183" s="231"/>
      <c r="I183" s="231">
        <v>205950</v>
      </c>
      <c r="J183" s="226" t="s">
        <v>2388</v>
      </c>
      <c r="K183" s="226"/>
      <c r="L183" s="345">
        <v>205950</v>
      </c>
      <c r="M183" s="346">
        <v>0</v>
      </c>
      <c r="N183" s="226"/>
      <c r="O183" s="232"/>
      <c r="P183" s="232"/>
      <c r="Q183" s="232"/>
      <c r="R183" s="232"/>
      <c r="S183" s="414"/>
      <c r="T183" s="415"/>
      <c r="U183" s="414"/>
      <c r="V183" s="414"/>
      <c r="W183" s="414"/>
      <c r="X183" s="414"/>
      <c r="Y183" s="414"/>
      <c r="Z183" s="416"/>
      <c r="AA183" s="416"/>
      <c r="AB183" s="414"/>
      <c r="AC183" s="414"/>
      <c r="AD183" s="416"/>
      <c r="AE183" s="414"/>
      <c r="AF183" s="233"/>
    </row>
    <row r="184" spans="1:32">
      <c r="A184" s="225">
        <f t="shared" si="2"/>
        <v>175</v>
      </c>
      <c r="B184" s="227" t="s">
        <v>1192</v>
      </c>
      <c r="C184" s="227" t="s">
        <v>1780</v>
      </c>
      <c r="D184" s="228" t="s">
        <v>1781</v>
      </c>
      <c r="E184" s="363">
        <v>8559</v>
      </c>
      <c r="F184" s="342">
        <v>45047</v>
      </c>
      <c r="G184" s="230"/>
      <c r="H184" s="231"/>
      <c r="I184" s="231">
        <v>1235</v>
      </c>
      <c r="J184" s="226" t="s">
        <v>2389</v>
      </c>
      <c r="K184" s="226"/>
      <c r="L184" s="345"/>
      <c r="M184" s="346">
        <v>1235</v>
      </c>
      <c r="N184" s="226"/>
      <c r="O184" s="232"/>
      <c r="P184" s="232"/>
      <c r="Q184" s="232"/>
      <c r="R184" s="232"/>
      <c r="S184" s="414"/>
      <c r="T184" s="415"/>
      <c r="U184" s="414"/>
      <c r="V184" s="414"/>
      <c r="W184" s="414"/>
      <c r="X184" s="414"/>
      <c r="Y184" s="414"/>
      <c r="Z184" s="416"/>
      <c r="AA184" s="416"/>
      <c r="AB184" s="414"/>
      <c r="AC184" s="414"/>
      <c r="AD184" s="416"/>
      <c r="AE184" s="414"/>
      <c r="AF184" s="233"/>
    </row>
    <row r="185" spans="1:32">
      <c r="A185" s="225">
        <f t="shared" si="2"/>
        <v>176</v>
      </c>
      <c r="B185" s="227" t="s">
        <v>1193</v>
      </c>
      <c r="C185" s="227" t="s">
        <v>1780</v>
      </c>
      <c r="D185" s="228" t="s">
        <v>1781</v>
      </c>
      <c r="E185" s="363">
        <v>8555</v>
      </c>
      <c r="F185" s="342">
        <v>45047</v>
      </c>
      <c r="G185" s="230"/>
      <c r="H185" s="231"/>
      <c r="I185" s="231">
        <v>3234</v>
      </c>
      <c r="J185" s="226" t="s">
        <v>2389</v>
      </c>
      <c r="K185" s="226"/>
      <c r="L185" s="345"/>
      <c r="M185" s="346">
        <v>3234</v>
      </c>
      <c r="N185" s="226"/>
      <c r="O185" s="232"/>
      <c r="P185" s="232"/>
      <c r="Q185" s="232"/>
      <c r="R185" s="232"/>
      <c r="S185" s="414"/>
      <c r="T185" s="415"/>
      <c r="U185" s="414"/>
      <c r="V185" s="414"/>
      <c r="W185" s="414"/>
      <c r="X185" s="414"/>
      <c r="Y185" s="414"/>
      <c r="Z185" s="416"/>
      <c r="AA185" s="416"/>
      <c r="AB185" s="414"/>
      <c r="AC185" s="414"/>
      <c r="AD185" s="416"/>
      <c r="AE185" s="414"/>
      <c r="AF185" s="233"/>
    </row>
    <row r="186" spans="1:32">
      <c r="A186" s="225">
        <f t="shared" si="2"/>
        <v>177</v>
      </c>
      <c r="B186" s="227" t="s">
        <v>1326</v>
      </c>
      <c r="C186" s="227" t="s">
        <v>1771</v>
      </c>
      <c r="D186" s="228" t="s">
        <v>1772</v>
      </c>
      <c r="E186" s="363" t="s">
        <v>1918</v>
      </c>
      <c r="F186" s="342">
        <v>45107</v>
      </c>
      <c r="G186" s="230"/>
      <c r="H186" s="231"/>
      <c r="I186" s="231">
        <v>88547</v>
      </c>
      <c r="J186" s="226" t="s">
        <v>2388</v>
      </c>
      <c r="K186" s="226"/>
      <c r="L186" s="345">
        <v>88547</v>
      </c>
      <c r="M186" s="346">
        <v>0</v>
      </c>
      <c r="N186" s="226"/>
      <c r="O186" s="232"/>
      <c r="P186" s="232"/>
      <c r="Q186" s="232"/>
      <c r="R186" s="232"/>
      <c r="S186" s="414"/>
      <c r="T186" s="415"/>
      <c r="U186" s="414"/>
      <c r="V186" s="414"/>
      <c r="W186" s="414"/>
      <c r="X186" s="414"/>
      <c r="Y186" s="414"/>
      <c r="Z186" s="416"/>
      <c r="AA186" s="416"/>
      <c r="AB186" s="414"/>
      <c r="AC186" s="414"/>
      <c r="AD186" s="416"/>
      <c r="AE186" s="414"/>
      <c r="AF186" s="233"/>
    </row>
    <row r="187" spans="1:32">
      <c r="A187" s="225">
        <f t="shared" si="2"/>
        <v>178</v>
      </c>
      <c r="B187" s="227" t="s">
        <v>1185</v>
      </c>
      <c r="C187" s="227" t="s">
        <v>1766</v>
      </c>
      <c r="D187" s="228" t="s">
        <v>1767</v>
      </c>
      <c r="E187" s="363" t="s">
        <v>1919</v>
      </c>
      <c r="F187" s="342">
        <v>45106</v>
      </c>
      <c r="G187" s="230"/>
      <c r="H187" s="231"/>
      <c r="I187" s="231">
        <v>2891000</v>
      </c>
      <c r="J187" s="226" t="s">
        <v>2388</v>
      </c>
      <c r="K187" s="226"/>
      <c r="L187" s="345">
        <v>2891000</v>
      </c>
      <c r="M187" s="346">
        <v>0</v>
      </c>
      <c r="N187" s="226"/>
      <c r="O187" s="232"/>
      <c r="P187" s="232"/>
      <c r="Q187" s="232"/>
      <c r="R187" s="232"/>
      <c r="S187" s="414"/>
      <c r="T187" s="415"/>
      <c r="U187" s="414"/>
      <c r="V187" s="414"/>
      <c r="W187" s="414"/>
      <c r="X187" s="414"/>
      <c r="Y187" s="414"/>
      <c r="Z187" s="416"/>
      <c r="AA187" s="416"/>
      <c r="AB187" s="414"/>
      <c r="AC187" s="414"/>
      <c r="AD187" s="416"/>
      <c r="AE187" s="414"/>
      <c r="AF187" s="233"/>
    </row>
    <row r="188" spans="1:32">
      <c r="A188" s="225">
        <f t="shared" si="2"/>
        <v>179</v>
      </c>
      <c r="B188" s="227" t="s">
        <v>1321</v>
      </c>
      <c r="C188" s="227" t="s">
        <v>1763</v>
      </c>
      <c r="D188" s="228" t="s">
        <v>1764</v>
      </c>
      <c r="E188" s="363" t="s">
        <v>1920</v>
      </c>
      <c r="F188" s="342">
        <v>45106</v>
      </c>
      <c r="G188" s="230"/>
      <c r="H188" s="231"/>
      <c r="I188" s="231">
        <v>2742729</v>
      </c>
      <c r="J188" s="226" t="s">
        <v>2388</v>
      </c>
      <c r="K188" s="226"/>
      <c r="L188" s="345">
        <v>2742729</v>
      </c>
      <c r="M188" s="346">
        <v>0</v>
      </c>
      <c r="N188" s="226"/>
      <c r="O188" s="232"/>
      <c r="P188" s="232"/>
      <c r="Q188" s="232"/>
      <c r="R188" s="232"/>
      <c r="S188" s="414"/>
      <c r="T188" s="415"/>
      <c r="U188" s="414"/>
      <c r="V188" s="414"/>
      <c r="W188" s="414"/>
      <c r="X188" s="414"/>
      <c r="Y188" s="414"/>
      <c r="Z188" s="416"/>
      <c r="AA188" s="416"/>
      <c r="AB188" s="414"/>
      <c r="AC188" s="414"/>
      <c r="AD188" s="416"/>
      <c r="AE188" s="414"/>
      <c r="AF188" s="233"/>
    </row>
    <row r="189" spans="1:32">
      <c r="A189" s="225">
        <f t="shared" si="2"/>
        <v>180</v>
      </c>
      <c r="B189" s="227" t="s">
        <v>1327</v>
      </c>
      <c r="C189" s="227" t="s">
        <v>1774</v>
      </c>
      <c r="D189" s="228" t="s">
        <v>1775</v>
      </c>
      <c r="E189" s="363" t="s">
        <v>1921</v>
      </c>
      <c r="F189" s="342">
        <v>45105</v>
      </c>
      <c r="G189" s="230"/>
      <c r="H189" s="231"/>
      <c r="I189" s="231">
        <v>68046</v>
      </c>
      <c r="J189" s="226" t="s">
        <v>2388</v>
      </c>
      <c r="K189" s="226"/>
      <c r="L189" s="345">
        <v>68046</v>
      </c>
      <c r="M189" s="346">
        <v>0</v>
      </c>
      <c r="N189" s="226" t="s">
        <v>2394</v>
      </c>
      <c r="O189" s="232"/>
      <c r="P189" s="232"/>
      <c r="Q189" s="232"/>
      <c r="R189" s="232"/>
      <c r="S189" s="414"/>
      <c r="T189" s="415"/>
      <c r="U189" s="414"/>
      <c r="V189" s="414"/>
      <c r="W189" s="414"/>
      <c r="X189" s="414"/>
      <c r="Y189" s="414"/>
      <c r="Z189" s="416"/>
      <c r="AA189" s="416"/>
      <c r="AB189" s="414"/>
      <c r="AC189" s="414"/>
      <c r="AD189" s="416"/>
      <c r="AE189" s="414"/>
      <c r="AF189" s="233"/>
    </row>
    <row r="190" spans="1:32">
      <c r="A190" s="225">
        <f t="shared" si="2"/>
        <v>181</v>
      </c>
      <c r="B190" s="227" t="s">
        <v>1328</v>
      </c>
      <c r="C190" s="227" t="s">
        <v>1760</v>
      </c>
      <c r="D190" s="228" t="s">
        <v>1761</v>
      </c>
      <c r="E190" s="363" t="s">
        <v>1922</v>
      </c>
      <c r="F190" s="342">
        <v>45104</v>
      </c>
      <c r="G190" s="230"/>
      <c r="H190" s="231"/>
      <c r="I190" s="231">
        <v>1785692</v>
      </c>
      <c r="J190" s="226" t="s">
        <v>2388</v>
      </c>
      <c r="K190" s="226"/>
      <c r="L190" s="345">
        <v>1785692</v>
      </c>
      <c r="M190" s="346">
        <v>0</v>
      </c>
      <c r="N190" s="226"/>
      <c r="O190" s="232"/>
      <c r="P190" s="232"/>
      <c r="Q190" s="232"/>
      <c r="R190" s="232"/>
      <c r="S190" s="414"/>
      <c r="T190" s="415"/>
      <c r="U190" s="414"/>
      <c r="V190" s="414"/>
      <c r="W190" s="414"/>
      <c r="X190" s="414"/>
      <c r="Y190" s="414"/>
      <c r="Z190" s="416"/>
      <c r="AA190" s="416"/>
      <c r="AB190" s="414"/>
      <c r="AC190" s="414"/>
      <c r="AD190" s="416"/>
      <c r="AE190" s="414"/>
      <c r="AF190" s="233"/>
    </row>
    <row r="191" spans="1:32">
      <c r="A191" s="225">
        <f t="shared" si="2"/>
        <v>182</v>
      </c>
      <c r="B191" s="227" t="s">
        <v>1329</v>
      </c>
      <c r="C191" s="227" t="s">
        <v>1923</v>
      </c>
      <c r="D191" s="228" t="s">
        <v>1924</v>
      </c>
      <c r="E191" s="363" t="s">
        <v>1925</v>
      </c>
      <c r="F191" s="342">
        <v>45100</v>
      </c>
      <c r="G191" s="230"/>
      <c r="H191" s="231"/>
      <c r="I191" s="231">
        <v>445608</v>
      </c>
      <c r="J191" s="226" t="s">
        <v>2388</v>
      </c>
      <c r="K191" s="226"/>
      <c r="L191" s="345">
        <v>445608</v>
      </c>
      <c r="M191" s="346">
        <v>0</v>
      </c>
      <c r="N191" s="226"/>
      <c r="O191" s="232"/>
      <c r="P191" s="232"/>
      <c r="Q191" s="232"/>
      <c r="R191" s="232"/>
      <c r="S191" s="414"/>
      <c r="T191" s="415"/>
      <c r="U191" s="414"/>
      <c r="V191" s="414"/>
      <c r="W191" s="414"/>
      <c r="X191" s="414"/>
      <c r="Y191" s="414"/>
      <c r="Z191" s="416"/>
      <c r="AA191" s="416"/>
      <c r="AB191" s="414"/>
      <c r="AC191" s="414"/>
      <c r="AD191" s="416"/>
      <c r="AE191" s="414"/>
      <c r="AF191" s="233"/>
    </row>
    <row r="192" spans="1:32">
      <c r="A192" s="225">
        <f t="shared" si="2"/>
        <v>183</v>
      </c>
      <c r="B192" s="227" t="s">
        <v>1330</v>
      </c>
      <c r="C192" s="227" t="s">
        <v>1776</v>
      </c>
      <c r="D192" s="228" t="s">
        <v>1777</v>
      </c>
      <c r="E192" s="363">
        <v>231144</v>
      </c>
      <c r="F192" s="342">
        <v>45086</v>
      </c>
      <c r="G192" s="230"/>
      <c r="H192" s="231"/>
      <c r="I192" s="231">
        <v>319997</v>
      </c>
      <c r="J192" s="226" t="s">
        <v>2388</v>
      </c>
      <c r="K192" s="226"/>
      <c r="L192" s="345">
        <v>319997</v>
      </c>
      <c r="M192" s="346">
        <v>0</v>
      </c>
      <c r="N192" s="226"/>
      <c r="O192" s="232"/>
      <c r="P192" s="232"/>
      <c r="Q192" s="232"/>
      <c r="R192" s="232"/>
      <c r="S192" s="414"/>
      <c r="T192" s="415"/>
      <c r="U192" s="414"/>
      <c r="V192" s="414"/>
      <c r="W192" s="414"/>
      <c r="X192" s="414"/>
      <c r="Y192" s="414"/>
      <c r="Z192" s="416"/>
      <c r="AA192" s="416"/>
      <c r="AB192" s="414"/>
      <c r="AC192" s="414"/>
      <c r="AD192" s="416"/>
      <c r="AE192" s="414"/>
      <c r="AF192" s="233"/>
    </row>
    <row r="193" spans="1:32">
      <c r="A193" s="225">
        <f t="shared" si="2"/>
        <v>184</v>
      </c>
      <c r="B193" s="227" t="s">
        <v>1331</v>
      </c>
      <c r="C193" s="227" t="s">
        <v>1776</v>
      </c>
      <c r="D193" s="228" t="s">
        <v>1777</v>
      </c>
      <c r="E193" s="363">
        <v>231142</v>
      </c>
      <c r="F193" s="342">
        <v>45079</v>
      </c>
      <c r="G193" s="230"/>
      <c r="H193" s="231"/>
      <c r="I193" s="231">
        <v>2060000</v>
      </c>
      <c r="J193" s="226" t="s">
        <v>2388</v>
      </c>
      <c r="K193" s="226"/>
      <c r="L193" s="345">
        <v>2060000</v>
      </c>
      <c r="M193" s="346">
        <v>0</v>
      </c>
      <c r="N193" s="226"/>
      <c r="O193" s="232"/>
      <c r="P193" s="232"/>
      <c r="Q193" s="232"/>
      <c r="R193" s="232"/>
      <c r="S193" s="414"/>
      <c r="T193" s="415"/>
      <c r="U193" s="414"/>
      <c r="V193" s="414"/>
      <c r="W193" s="414"/>
      <c r="X193" s="414"/>
      <c r="Y193" s="414"/>
      <c r="Z193" s="416"/>
      <c r="AA193" s="416"/>
      <c r="AB193" s="414"/>
      <c r="AC193" s="414"/>
      <c r="AD193" s="416"/>
      <c r="AE193" s="414"/>
      <c r="AF193" s="233"/>
    </row>
    <row r="194" spans="1:32">
      <c r="A194" s="225">
        <f t="shared" si="2"/>
        <v>185</v>
      </c>
      <c r="B194" s="227" t="s">
        <v>1191</v>
      </c>
      <c r="C194" s="227" t="s">
        <v>1776</v>
      </c>
      <c r="D194" s="228" t="s">
        <v>1777</v>
      </c>
      <c r="E194" s="363">
        <v>230999</v>
      </c>
      <c r="F194" s="342">
        <v>45078</v>
      </c>
      <c r="G194" s="230"/>
      <c r="H194" s="231"/>
      <c r="I194" s="231">
        <v>206050</v>
      </c>
      <c r="J194" s="226" t="s">
        <v>2388</v>
      </c>
      <c r="K194" s="226"/>
      <c r="L194" s="345">
        <v>206050</v>
      </c>
      <c r="M194" s="346">
        <v>0</v>
      </c>
      <c r="N194" s="226"/>
      <c r="O194" s="232"/>
      <c r="P194" s="232"/>
      <c r="Q194" s="232"/>
      <c r="R194" s="232"/>
      <c r="S194" s="414"/>
      <c r="T194" s="415"/>
      <c r="U194" s="414"/>
      <c r="V194" s="414"/>
      <c r="W194" s="414"/>
      <c r="X194" s="414"/>
      <c r="Y194" s="414"/>
      <c r="Z194" s="416"/>
      <c r="AA194" s="416"/>
      <c r="AB194" s="414"/>
      <c r="AC194" s="414"/>
      <c r="AD194" s="416"/>
      <c r="AE194" s="414"/>
      <c r="AF194" s="233"/>
    </row>
    <row r="195" spans="1:32">
      <c r="A195" s="225">
        <f t="shared" si="2"/>
        <v>186</v>
      </c>
      <c r="B195" s="227" t="s">
        <v>1193</v>
      </c>
      <c r="C195" s="227" t="s">
        <v>1780</v>
      </c>
      <c r="D195" s="228" t="s">
        <v>1781</v>
      </c>
      <c r="E195" s="363">
        <v>8562</v>
      </c>
      <c r="F195" s="342">
        <v>45078</v>
      </c>
      <c r="G195" s="230"/>
      <c r="H195" s="231"/>
      <c r="I195" s="231">
        <v>4867</v>
      </c>
      <c r="J195" s="226" t="s">
        <v>2389</v>
      </c>
      <c r="K195" s="226"/>
      <c r="L195" s="345"/>
      <c r="M195" s="346">
        <v>4867</v>
      </c>
      <c r="N195" s="226"/>
      <c r="O195" s="232"/>
      <c r="P195" s="232"/>
      <c r="Q195" s="232"/>
      <c r="R195" s="232"/>
      <c r="S195" s="414"/>
      <c r="T195" s="415"/>
      <c r="U195" s="414"/>
      <c r="V195" s="414"/>
      <c r="W195" s="414"/>
      <c r="X195" s="414"/>
      <c r="Y195" s="414"/>
      <c r="Z195" s="416"/>
      <c r="AA195" s="416"/>
      <c r="AB195" s="414"/>
      <c r="AC195" s="414"/>
      <c r="AD195" s="416"/>
      <c r="AE195" s="414"/>
      <c r="AF195" s="233"/>
    </row>
    <row r="196" spans="1:32">
      <c r="A196" s="225">
        <f t="shared" si="2"/>
        <v>187</v>
      </c>
      <c r="B196" s="227" t="s">
        <v>1332</v>
      </c>
      <c r="C196" s="227" t="s">
        <v>1782</v>
      </c>
      <c r="D196" s="228" t="s">
        <v>1783</v>
      </c>
      <c r="E196" s="363" t="s">
        <v>1926</v>
      </c>
      <c r="F196" s="342">
        <v>45079</v>
      </c>
      <c r="G196" s="230"/>
      <c r="H196" s="231"/>
      <c r="I196" s="231">
        <v>562792</v>
      </c>
      <c r="J196" s="226" t="s">
        <v>2388</v>
      </c>
      <c r="K196" s="226"/>
      <c r="L196" s="345">
        <v>562792</v>
      </c>
      <c r="M196" s="346">
        <v>0</v>
      </c>
      <c r="N196" s="226" t="s">
        <v>2398</v>
      </c>
      <c r="O196" s="232"/>
      <c r="P196" s="232"/>
      <c r="Q196" s="232"/>
      <c r="R196" s="232"/>
      <c r="S196" s="414"/>
      <c r="T196" s="415"/>
      <c r="U196" s="414"/>
      <c r="V196" s="414"/>
      <c r="W196" s="414"/>
      <c r="X196" s="414"/>
      <c r="Y196" s="414"/>
      <c r="Z196" s="416"/>
      <c r="AA196" s="416"/>
      <c r="AB196" s="414"/>
      <c r="AC196" s="414"/>
      <c r="AD196" s="416"/>
      <c r="AE196" s="414"/>
      <c r="AF196" s="233"/>
    </row>
    <row r="197" spans="1:32">
      <c r="A197" s="225">
        <f t="shared" si="2"/>
        <v>188</v>
      </c>
      <c r="B197" s="227" t="s">
        <v>1333</v>
      </c>
      <c r="C197" s="227" t="s">
        <v>1789</v>
      </c>
      <c r="D197" s="228" t="s">
        <v>1790</v>
      </c>
      <c r="E197" s="363" t="s">
        <v>1927</v>
      </c>
      <c r="F197" s="342">
        <v>45101</v>
      </c>
      <c r="G197" s="230"/>
      <c r="H197" s="231"/>
      <c r="I197" s="231">
        <v>29707</v>
      </c>
      <c r="J197" s="226" t="s">
        <v>2388</v>
      </c>
      <c r="K197" s="226"/>
      <c r="L197" s="345">
        <v>29707</v>
      </c>
      <c r="M197" s="346">
        <v>0</v>
      </c>
      <c r="N197" s="226" t="s">
        <v>2395</v>
      </c>
      <c r="O197" s="232"/>
      <c r="P197" s="232"/>
      <c r="Q197" s="232"/>
      <c r="R197" s="232"/>
      <c r="S197" s="414"/>
      <c r="T197" s="415"/>
      <c r="U197" s="414"/>
      <c r="V197" s="414"/>
      <c r="W197" s="414"/>
      <c r="X197" s="414"/>
      <c r="Y197" s="414"/>
      <c r="Z197" s="416"/>
      <c r="AA197" s="416"/>
      <c r="AB197" s="414"/>
      <c r="AC197" s="414"/>
      <c r="AD197" s="416"/>
      <c r="AE197" s="414"/>
      <c r="AF197" s="233"/>
    </row>
    <row r="198" spans="1:32">
      <c r="A198" s="225">
        <f t="shared" si="2"/>
        <v>189</v>
      </c>
      <c r="B198" s="227" t="s">
        <v>1334</v>
      </c>
      <c r="C198" s="227" t="s">
        <v>1782</v>
      </c>
      <c r="D198" s="228" t="s">
        <v>1783</v>
      </c>
      <c r="E198" s="363" t="s">
        <v>1928</v>
      </c>
      <c r="F198" s="342">
        <v>45079</v>
      </c>
      <c r="G198" s="230"/>
      <c r="H198" s="231"/>
      <c r="I198" s="231">
        <v>521592</v>
      </c>
      <c r="J198" s="226" t="s">
        <v>2388</v>
      </c>
      <c r="K198" s="226"/>
      <c r="L198" s="345">
        <v>521592</v>
      </c>
      <c r="M198" s="346">
        <v>0</v>
      </c>
      <c r="N198" s="226" t="s">
        <v>2398</v>
      </c>
      <c r="O198" s="232"/>
      <c r="P198" s="232"/>
      <c r="Q198" s="232"/>
      <c r="R198" s="232"/>
      <c r="S198" s="414"/>
      <c r="T198" s="415"/>
      <c r="U198" s="414"/>
      <c r="V198" s="414"/>
      <c r="W198" s="414"/>
      <c r="X198" s="414"/>
      <c r="Y198" s="414"/>
      <c r="Z198" s="416"/>
      <c r="AA198" s="416"/>
      <c r="AB198" s="414"/>
      <c r="AC198" s="414"/>
      <c r="AD198" s="416"/>
      <c r="AE198" s="414"/>
      <c r="AF198" s="233"/>
    </row>
    <row r="199" spans="1:32">
      <c r="A199" s="225">
        <f t="shared" si="2"/>
        <v>190</v>
      </c>
      <c r="B199" s="227" t="s">
        <v>1335</v>
      </c>
      <c r="C199" s="227" t="s">
        <v>1789</v>
      </c>
      <c r="D199" s="228" t="s">
        <v>1790</v>
      </c>
      <c r="E199" s="363" t="s">
        <v>1929</v>
      </c>
      <c r="F199" s="342">
        <v>45096</v>
      </c>
      <c r="G199" s="230"/>
      <c r="H199" s="231"/>
      <c r="I199" s="231">
        <v>29635</v>
      </c>
      <c r="J199" s="226" t="s">
        <v>2388</v>
      </c>
      <c r="K199" s="226"/>
      <c r="L199" s="345">
        <v>29635</v>
      </c>
      <c r="M199" s="346">
        <v>0</v>
      </c>
      <c r="N199" s="226" t="s">
        <v>2395</v>
      </c>
      <c r="O199" s="232"/>
      <c r="P199" s="232"/>
      <c r="Q199" s="232"/>
      <c r="R199" s="232"/>
      <c r="S199" s="414"/>
      <c r="T199" s="415"/>
      <c r="U199" s="414"/>
      <c r="V199" s="414"/>
      <c r="W199" s="414"/>
      <c r="X199" s="414"/>
      <c r="Y199" s="414"/>
      <c r="Z199" s="416"/>
      <c r="AA199" s="416"/>
      <c r="AB199" s="414"/>
      <c r="AC199" s="414"/>
      <c r="AD199" s="416"/>
      <c r="AE199" s="414"/>
      <c r="AF199" s="233"/>
    </row>
    <row r="200" spans="1:32">
      <c r="A200" s="225">
        <f t="shared" si="2"/>
        <v>191</v>
      </c>
      <c r="B200" s="227" t="s">
        <v>1336</v>
      </c>
      <c r="C200" s="227" t="s">
        <v>1782</v>
      </c>
      <c r="D200" s="228" t="s">
        <v>1783</v>
      </c>
      <c r="E200" s="363" t="s">
        <v>1930</v>
      </c>
      <c r="F200" s="342">
        <v>45079</v>
      </c>
      <c r="G200" s="230"/>
      <c r="H200" s="231"/>
      <c r="I200" s="231">
        <v>521592</v>
      </c>
      <c r="J200" s="226" t="s">
        <v>2388</v>
      </c>
      <c r="K200" s="226"/>
      <c r="L200" s="345">
        <v>521592</v>
      </c>
      <c r="M200" s="346">
        <v>0</v>
      </c>
      <c r="N200" s="226" t="s">
        <v>2398</v>
      </c>
      <c r="O200" s="232"/>
      <c r="P200" s="232"/>
      <c r="Q200" s="232"/>
      <c r="R200" s="232"/>
      <c r="S200" s="414"/>
      <c r="T200" s="415"/>
      <c r="U200" s="414"/>
      <c r="V200" s="414"/>
      <c r="W200" s="414"/>
      <c r="X200" s="414"/>
      <c r="Y200" s="414"/>
      <c r="Z200" s="416"/>
      <c r="AA200" s="416"/>
      <c r="AB200" s="414"/>
      <c r="AC200" s="414"/>
      <c r="AD200" s="416"/>
      <c r="AE200" s="414"/>
      <c r="AF200" s="233"/>
    </row>
    <row r="201" spans="1:32">
      <c r="A201" s="225">
        <f t="shared" si="2"/>
        <v>192</v>
      </c>
      <c r="B201" s="227" t="s">
        <v>1337</v>
      </c>
      <c r="C201" s="227" t="s">
        <v>1789</v>
      </c>
      <c r="D201" s="228" t="s">
        <v>1790</v>
      </c>
      <c r="E201" s="363" t="s">
        <v>1931</v>
      </c>
      <c r="F201" s="342">
        <v>45087</v>
      </c>
      <c r="G201" s="230"/>
      <c r="H201" s="231"/>
      <c r="I201" s="231">
        <v>29729</v>
      </c>
      <c r="J201" s="226" t="s">
        <v>2388</v>
      </c>
      <c r="K201" s="226"/>
      <c r="L201" s="345">
        <v>29729</v>
      </c>
      <c r="M201" s="346">
        <v>0</v>
      </c>
      <c r="N201" s="226" t="s">
        <v>2395</v>
      </c>
      <c r="O201" s="232"/>
      <c r="P201" s="232"/>
      <c r="Q201" s="232"/>
      <c r="R201" s="232"/>
      <c r="S201" s="414"/>
      <c r="T201" s="415"/>
      <c r="U201" s="414"/>
      <c r="V201" s="414"/>
      <c r="W201" s="414"/>
      <c r="X201" s="414"/>
      <c r="Y201" s="414"/>
      <c r="Z201" s="416"/>
      <c r="AA201" s="416"/>
      <c r="AB201" s="414"/>
      <c r="AC201" s="414"/>
      <c r="AD201" s="416"/>
      <c r="AE201" s="414"/>
      <c r="AF201" s="233"/>
    </row>
    <row r="202" spans="1:32">
      <c r="A202" s="225">
        <f t="shared" si="2"/>
        <v>193</v>
      </c>
      <c r="B202" s="227" t="s">
        <v>1338</v>
      </c>
      <c r="C202" s="227" t="s">
        <v>1782</v>
      </c>
      <c r="D202" s="228" t="s">
        <v>1783</v>
      </c>
      <c r="E202" s="363" t="s">
        <v>1932</v>
      </c>
      <c r="F202" s="342">
        <v>45079</v>
      </c>
      <c r="G202" s="230"/>
      <c r="H202" s="231"/>
      <c r="I202" s="231">
        <v>521592</v>
      </c>
      <c r="J202" s="226" t="s">
        <v>2388</v>
      </c>
      <c r="K202" s="226"/>
      <c r="L202" s="345">
        <v>521592</v>
      </c>
      <c r="M202" s="346">
        <v>0</v>
      </c>
      <c r="N202" s="226" t="s">
        <v>2398</v>
      </c>
      <c r="O202" s="232"/>
      <c r="P202" s="232"/>
      <c r="Q202" s="232"/>
      <c r="R202" s="232"/>
      <c r="S202" s="414"/>
      <c r="T202" s="415"/>
      <c r="U202" s="414"/>
      <c r="V202" s="414"/>
      <c r="W202" s="414"/>
      <c r="X202" s="414"/>
      <c r="Y202" s="414"/>
      <c r="Z202" s="416"/>
      <c r="AA202" s="416"/>
      <c r="AB202" s="414"/>
      <c r="AC202" s="414"/>
      <c r="AD202" s="416"/>
      <c r="AE202" s="414"/>
      <c r="AF202" s="233"/>
    </row>
    <row r="203" spans="1:32">
      <c r="A203" s="225">
        <f t="shared" si="2"/>
        <v>194</v>
      </c>
      <c r="B203" s="227" t="s">
        <v>1339</v>
      </c>
      <c r="C203" s="227" t="s">
        <v>1789</v>
      </c>
      <c r="D203" s="228" t="s">
        <v>1790</v>
      </c>
      <c r="E203" s="363" t="s">
        <v>1933</v>
      </c>
      <c r="F203" s="342">
        <v>45087</v>
      </c>
      <c r="G203" s="230"/>
      <c r="H203" s="231"/>
      <c r="I203" s="231">
        <v>29729</v>
      </c>
      <c r="J203" s="226" t="s">
        <v>2388</v>
      </c>
      <c r="K203" s="226"/>
      <c r="L203" s="345">
        <v>29729</v>
      </c>
      <c r="M203" s="346">
        <v>0</v>
      </c>
      <c r="N203" s="226" t="s">
        <v>2395</v>
      </c>
      <c r="O203" s="232"/>
      <c r="P203" s="232"/>
      <c r="Q203" s="232"/>
      <c r="R203" s="232"/>
      <c r="S203" s="414"/>
      <c r="T203" s="415"/>
      <c r="U203" s="414"/>
      <c r="V203" s="414"/>
      <c r="W203" s="414"/>
      <c r="X203" s="414"/>
      <c r="Y203" s="414"/>
      <c r="Z203" s="416"/>
      <c r="AA203" s="416"/>
      <c r="AB203" s="414"/>
      <c r="AC203" s="414"/>
      <c r="AD203" s="416"/>
      <c r="AE203" s="414"/>
      <c r="AF203" s="233"/>
    </row>
    <row r="204" spans="1:32">
      <c r="A204" s="225">
        <f t="shared" ref="A204:A267" si="3">A203+1</f>
        <v>195</v>
      </c>
      <c r="B204" s="227" t="s">
        <v>1340</v>
      </c>
      <c r="C204" s="227" t="s">
        <v>1782</v>
      </c>
      <c r="D204" s="228" t="s">
        <v>1783</v>
      </c>
      <c r="E204" s="363" t="s">
        <v>1934</v>
      </c>
      <c r="F204" s="342">
        <v>45082</v>
      </c>
      <c r="G204" s="230"/>
      <c r="H204" s="231"/>
      <c r="I204" s="231">
        <v>522352</v>
      </c>
      <c r="J204" s="226" t="s">
        <v>2388</v>
      </c>
      <c r="K204" s="226"/>
      <c r="L204" s="345">
        <v>522352</v>
      </c>
      <c r="M204" s="346">
        <v>0</v>
      </c>
      <c r="N204" s="226" t="s">
        <v>2398</v>
      </c>
      <c r="O204" s="232"/>
      <c r="P204" s="232"/>
      <c r="Q204" s="232"/>
      <c r="R204" s="232"/>
      <c r="S204" s="414"/>
      <c r="T204" s="415"/>
      <c r="U204" s="414"/>
      <c r="V204" s="414"/>
      <c r="W204" s="414"/>
      <c r="X204" s="414"/>
      <c r="Y204" s="414"/>
      <c r="Z204" s="416"/>
      <c r="AA204" s="416"/>
      <c r="AB204" s="414"/>
      <c r="AC204" s="414"/>
      <c r="AD204" s="416"/>
      <c r="AE204" s="414"/>
      <c r="AF204" s="233"/>
    </row>
    <row r="205" spans="1:32">
      <c r="A205" s="225">
        <f t="shared" si="3"/>
        <v>196</v>
      </c>
      <c r="B205" s="227" t="s">
        <v>1341</v>
      </c>
      <c r="C205" s="227" t="s">
        <v>1789</v>
      </c>
      <c r="D205" s="228" t="s">
        <v>1790</v>
      </c>
      <c r="E205" s="363" t="s">
        <v>1935</v>
      </c>
      <c r="F205" s="342">
        <v>45080</v>
      </c>
      <c r="G205" s="230"/>
      <c r="H205" s="231"/>
      <c r="I205" s="231">
        <v>29664</v>
      </c>
      <c r="J205" s="226" t="s">
        <v>2388</v>
      </c>
      <c r="K205" s="226"/>
      <c r="L205" s="345">
        <v>29664</v>
      </c>
      <c r="M205" s="346">
        <v>0</v>
      </c>
      <c r="N205" s="226" t="s">
        <v>2395</v>
      </c>
      <c r="O205" s="232"/>
      <c r="P205" s="232"/>
      <c r="Q205" s="232"/>
      <c r="R205" s="232"/>
      <c r="S205" s="414"/>
      <c r="T205" s="415"/>
      <c r="U205" s="414"/>
      <c r="V205" s="414"/>
      <c r="W205" s="414"/>
      <c r="X205" s="414"/>
      <c r="Y205" s="414"/>
      <c r="Z205" s="416"/>
      <c r="AA205" s="416"/>
      <c r="AB205" s="414"/>
      <c r="AC205" s="414"/>
      <c r="AD205" s="416"/>
      <c r="AE205" s="414"/>
      <c r="AF205" s="233"/>
    </row>
    <row r="206" spans="1:32">
      <c r="A206" s="225">
        <f t="shared" si="3"/>
        <v>197</v>
      </c>
      <c r="B206" s="227" t="s">
        <v>1342</v>
      </c>
      <c r="C206" s="227" t="s">
        <v>1782</v>
      </c>
      <c r="D206" s="228" t="s">
        <v>1783</v>
      </c>
      <c r="E206" s="363" t="s">
        <v>1936</v>
      </c>
      <c r="F206" s="342">
        <v>45079</v>
      </c>
      <c r="G206" s="230"/>
      <c r="H206" s="231"/>
      <c r="I206" s="231">
        <v>484512</v>
      </c>
      <c r="J206" s="226" t="s">
        <v>2388</v>
      </c>
      <c r="K206" s="226"/>
      <c r="L206" s="345">
        <v>484512</v>
      </c>
      <c r="M206" s="346">
        <v>0</v>
      </c>
      <c r="N206" s="226" t="s">
        <v>2398</v>
      </c>
      <c r="O206" s="232"/>
      <c r="P206" s="232"/>
      <c r="Q206" s="232"/>
      <c r="R206" s="232"/>
      <c r="S206" s="414"/>
      <c r="T206" s="415"/>
      <c r="U206" s="414"/>
      <c r="V206" s="414"/>
      <c r="W206" s="414"/>
      <c r="X206" s="414"/>
      <c r="Y206" s="414"/>
      <c r="Z206" s="416"/>
      <c r="AA206" s="416"/>
      <c r="AB206" s="414"/>
      <c r="AC206" s="414"/>
      <c r="AD206" s="416"/>
      <c r="AE206" s="414"/>
      <c r="AF206" s="233"/>
    </row>
    <row r="207" spans="1:32">
      <c r="A207" s="225">
        <f t="shared" si="3"/>
        <v>198</v>
      </c>
      <c r="B207" s="227" t="s">
        <v>1343</v>
      </c>
      <c r="C207" s="227" t="s">
        <v>1789</v>
      </c>
      <c r="D207" s="228" t="s">
        <v>1790</v>
      </c>
      <c r="E207" s="363" t="s">
        <v>1937</v>
      </c>
      <c r="F207" s="342">
        <v>45080</v>
      </c>
      <c r="G207" s="230"/>
      <c r="H207" s="231"/>
      <c r="I207" s="231">
        <v>19776</v>
      </c>
      <c r="J207" s="226" t="s">
        <v>2388</v>
      </c>
      <c r="K207" s="226"/>
      <c r="L207" s="345">
        <v>19776</v>
      </c>
      <c r="M207" s="346">
        <v>0</v>
      </c>
      <c r="N207" s="226" t="s">
        <v>2395</v>
      </c>
      <c r="O207" s="232"/>
      <c r="P207" s="232"/>
      <c r="Q207" s="232"/>
      <c r="R207" s="232"/>
      <c r="S207" s="414"/>
      <c r="T207" s="415"/>
      <c r="U207" s="414"/>
      <c r="V207" s="414"/>
      <c r="W207" s="414"/>
      <c r="X207" s="414"/>
      <c r="Y207" s="414"/>
      <c r="Z207" s="416"/>
      <c r="AA207" s="416"/>
      <c r="AB207" s="414"/>
      <c r="AC207" s="414"/>
      <c r="AD207" s="416"/>
      <c r="AE207" s="414"/>
      <c r="AF207" s="233"/>
    </row>
    <row r="208" spans="1:32">
      <c r="A208" s="225">
        <f t="shared" si="3"/>
        <v>199</v>
      </c>
      <c r="B208" s="227" t="s">
        <v>1344</v>
      </c>
      <c r="C208" s="227" t="s">
        <v>1782</v>
      </c>
      <c r="D208" s="228" t="s">
        <v>1783</v>
      </c>
      <c r="E208" s="363" t="s">
        <v>1938</v>
      </c>
      <c r="F208" s="342">
        <v>45106</v>
      </c>
      <c r="G208" s="230"/>
      <c r="H208" s="231"/>
      <c r="I208" s="231">
        <v>579852</v>
      </c>
      <c r="J208" s="226" t="s">
        <v>2388</v>
      </c>
      <c r="K208" s="226"/>
      <c r="L208" s="345">
        <v>579852</v>
      </c>
      <c r="M208" s="346">
        <v>0</v>
      </c>
      <c r="N208" s="226" t="s">
        <v>2398</v>
      </c>
      <c r="O208" s="232"/>
      <c r="P208" s="232"/>
      <c r="Q208" s="232"/>
      <c r="R208" s="232"/>
      <c r="S208" s="414"/>
      <c r="T208" s="415"/>
      <c r="U208" s="414"/>
      <c r="V208" s="414"/>
      <c r="W208" s="414"/>
      <c r="X208" s="414"/>
      <c r="Y208" s="414"/>
      <c r="Z208" s="416"/>
      <c r="AA208" s="416"/>
      <c r="AB208" s="414"/>
      <c r="AC208" s="414"/>
      <c r="AD208" s="416"/>
      <c r="AE208" s="414"/>
      <c r="AF208" s="233"/>
    </row>
    <row r="209" spans="1:32">
      <c r="A209" s="225">
        <f t="shared" si="3"/>
        <v>200</v>
      </c>
      <c r="B209" s="227" t="s">
        <v>1345</v>
      </c>
      <c r="C209" s="227" t="s">
        <v>1789</v>
      </c>
      <c r="D209" s="228" t="s">
        <v>1790</v>
      </c>
      <c r="E209" s="363" t="s">
        <v>1939</v>
      </c>
      <c r="F209" s="342">
        <v>45103</v>
      </c>
      <c r="G209" s="230"/>
      <c r="H209" s="231"/>
      <c r="I209" s="231">
        <v>29700</v>
      </c>
      <c r="J209" s="226" t="s">
        <v>2388</v>
      </c>
      <c r="K209" s="226"/>
      <c r="L209" s="345">
        <v>29700</v>
      </c>
      <c r="M209" s="346">
        <v>0</v>
      </c>
      <c r="N209" s="226" t="s">
        <v>2395</v>
      </c>
      <c r="O209" s="232"/>
      <c r="P209" s="232"/>
      <c r="Q209" s="232"/>
      <c r="R209" s="232"/>
      <c r="S209" s="414"/>
      <c r="T209" s="415"/>
      <c r="U209" s="414"/>
      <c r="V209" s="414"/>
      <c r="W209" s="414"/>
      <c r="X209" s="414"/>
      <c r="Y209" s="414"/>
      <c r="Z209" s="416"/>
      <c r="AA209" s="416"/>
      <c r="AB209" s="414"/>
      <c r="AC209" s="414"/>
      <c r="AD209" s="416"/>
      <c r="AE209" s="414"/>
      <c r="AF209" s="233"/>
    </row>
    <row r="210" spans="1:32">
      <c r="A210" s="225">
        <f t="shared" si="3"/>
        <v>201</v>
      </c>
      <c r="B210" s="227" t="s">
        <v>1346</v>
      </c>
      <c r="C210" s="227" t="s">
        <v>1782</v>
      </c>
      <c r="D210" s="228" t="s">
        <v>1783</v>
      </c>
      <c r="E210" s="363" t="s">
        <v>1940</v>
      </c>
      <c r="F210" s="342">
        <v>45106</v>
      </c>
      <c r="G210" s="230"/>
      <c r="H210" s="231"/>
      <c r="I210" s="231">
        <v>1374877</v>
      </c>
      <c r="J210" s="226" t="s">
        <v>2388</v>
      </c>
      <c r="K210" s="226"/>
      <c r="L210" s="345">
        <v>1374877</v>
      </c>
      <c r="M210" s="346">
        <v>0</v>
      </c>
      <c r="N210" s="226" t="s">
        <v>2398</v>
      </c>
      <c r="O210" s="232"/>
      <c r="P210" s="232"/>
      <c r="Q210" s="232"/>
      <c r="R210" s="232"/>
      <c r="S210" s="414"/>
      <c r="T210" s="415"/>
      <c r="U210" s="414"/>
      <c r="V210" s="414"/>
      <c r="W210" s="414"/>
      <c r="X210" s="414"/>
      <c r="Y210" s="414"/>
      <c r="Z210" s="416"/>
      <c r="AA210" s="416"/>
      <c r="AB210" s="414"/>
      <c r="AC210" s="414"/>
      <c r="AD210" s="416"/>
      <c r="AE210" s="414"/>
      <c r="AF210" s="233"/>
    </row>
    <row r="211" spans="1:32">
      <c r="A211" s="225">
        <f t="shared" si="3"/>
        <v>202</v>
      </c>
      <c r="B211" s="227" t="s">
        <v>1347</v>
      </c>
      <c r="C211" s="227" t="s">
        <v>1789</v>
      </c>
      <c r="D211" s="228" t="s">
        <v>1790</v>
      </c>
      <c r="E211" s="363" t="s">
        <v>1941</v>
      </c>
      <c r="F211" s="342">
        <v>45096</v>
      </c>
      <c r="G211" s="230"/>
      <c r="H211" s="231"/>
      <c r="I211" s="231">
        <v>79027</v>
      </c>
      <c r="J211" s="226" t="s">
        <v>2388</v>
      </c>
      <c r="K211" s="226"/>
      <c r="L211" s="345">
        <v>79027</v>
      </c>
      <c r="M211" s="346">
        <v>0</v>
      </c>
      <c r="N211" s="226" t="s">
        <v>2395</v>
      </c>
      <c r="O211" s="232"/>
      <c r="P211" s="232"/>
      <c r="Q211" s="232"/>
      <c r="R211" s="232"/>
      <c r="S211" s="414"/>
      <c r="T211" s="415"/>
      <c r="U211" s="414"/>
      <c r="V211" s="414"/>
      <c r="W211" s="414"/>
      <c r="X211" s="414"/>
      <c r="Y211" s="414"/>
      <c r="Z211" s="416"/>
      <c r="AA211" s="416"/>
      <c r="AB211" s="414"/>
      <c r="AC211" s="414"/>
      <c r="AD211" s="416"/>
      <c r="AE211" s="414"/>
      <c r="AF211" s="233"/>
    </row>
    <row r="212" spans="1:32">
      <c r="A212" s="225">
        <f t="shared" si="3"/>
        <v>203</v>
      </c>
      <c r="B212" s="227" t="s">
        <v>1348</v>
      </c>
      <c r="C212" s="227" t="s">
        <v>1782</v>
      </c>
      <c r="D212" s="228" t="s">
        <v>1783</v>
      </c>
      <c r="E212" s="363" t="s">
        <v>1942</v>
      </c>
      <c r="F212" s="342">
        <v>45106</v>
      </c>
      <c r="G212" s="230"/>
      <c r="H212" s="231"/>
      <c r="I212" s="231">
        <v>579852</v>
      </c>
      <c r="J212" s="226" t="s">
        <v>2388</v>
      </c>
      <c r="K212" s="226"/>
      <c r="L212" s="345">
        <v>579852</v>
      </c>
      <c r="M212" s="346">
        <v>0</v>
      </c>
      <c r="N212" s="226" t="s">
        <v>2398</v>
      </c>
      <c r="O212" s="232"/>
      <c r="P212" s="232"/>
      <c r="Q212" s="232"/>
      <c r="R212" s="232"/>
      <c r="S212" s="414"/>
      <c r="T212" s="415"/>
      <c r="U212" s="414"/>
      <c r="V212" s="414"/>
      <c r="W212" s="414"/>
      <c r="X212" s="414"/>
      <c r="Y212" s="414"/>
      <c r="Z212" s="416"/>
      <c r="AA212" s="416"/>
      <c r="AB212" s="414"/>
      <c r="AC212" s="414"/>
      <c r="AD212" s="416"/>
      <c r="AE212" s="414"/>
      <c r="AF212" s="233"/>
    </row>
    <row r="213" spans="1:32">
      <c r="A213" s="225">
        <f t="shared" si="3"/>
        <v>204</v>
      </c>
      <c r="B213" s="227" t="s">
        <v>1229</v>
      </c>
      <c r="C213" s="227" t="s">
        <v>1789</v>
      </c>
      <c r="D213" s="228" t="s">
        <v>1790</v>
      </c>
      <c r="E213" s="363" t="s">
        <v>1943</v>
      </c>
      <c r="F213" s="342">
        <v>45082</v>
      </c>
      <c r="G213" s="230"/>
      <c r="H213" s="231"/>
      <c r="I213" s="231">
        <v>29707</v>
      </c>
      <c r="J213" s="226" t="s">
        <v>2388</v>
      </c>
      <c r="K213" s="226"/>
      <c r="L213" s="345">
        <v>29707</v>
      </c>
      <c r="M213" s="346">
        <v>0</v>
      </c>
      <c r="N213" s="226" t="s">
        <v>2395</v>
      </c>
      <c r="O213" s="232"/>
      <c r="P213" s="232"/>
      <c r="Q213" s="232"/>
      <c r="R213" s="232"/>
      <c r="S213" s="414"/>
      <c r="T213" s="415"/>
      <c r="U213" s="414"/>
      <c r="V213" s="414"/>
      <c r="W213" s="414"/>
      <c r="X213" s="414"/>
      <c r="Y213" s="414"/>
      <c r="Z213" s="416"/>
      <c r="AA213" s="416"/>
      <c r="AB213" s="414"/>
      <c r="AC213" s="414"/>
      <c r="AD213" s="416"/>
      <c r="AE213" s="414"/>
      <c r="AF213" s="233"/>
    </row>
    <row r="214" spans="1:32">
      <c r="A214" s="225">
        <f t="shared" si="3"/>
        <v>205</v>
      </c>
      <c r="B214" s="227" t="s">
        <v>1349</v>
      </c>
      <c r="C214" s="227" t="s">
        <v>1789</v>
      </c>
      <c r="D214" s="228" t="s">
        <v>1790</v>
      </c>
      <c r="E214" s="363" t="s">
        <v>1944</v>
      </c>
      <c r="F214" s="342">
        <v>45111</v>
      </c>
      <c r="G214" s="230"/>
      <c r="H214" s="231"/>
      <c r="I214" s="231">
        <v>19814</v>
      </c>
      <c r="J214" s="226" t="s">
        <v>2388</v>
      </c>
      <c r="K214" s="226"/>
      <c r="L214" s="345">
        <v>19814</v>
      </c>
      <c r="M214" s="346">
        <v>0</v>
      </c>
      <c r="N214" s="226" t="s">
        <v>2395</v>
      </c>
      <c r="O214" s="232"/>
      <c r="P214" s="232"/>
      <c r="Q214" s="232"/>
      <c r="R214" s="232"/>
      <c r="S214" s="414"/>
      <c r="T214" s="415"/>
      <c r="U214" s="414"/>
      <c r="V214" s="414"/>
      <c r="W214" s="414"/>
      <c r="X214" s="414"/>
      <c r="Y214" s="414"/>
      <c r="Z214" s="416"/>
      <c r="AA214" s="416"/>
      <c r="AB214" s="414"/>
      <c r="AC214" s="414"/>
      <c r="AD214" s="416"/>
      <c r="AE214" s="414"/>
      <c r="AF214" s="233"/>
    </row>
    <row r="215" spans="1:32">
      <c r="A215" s="225">
        <f t="shared" si="3"/>
        <v>206</v>
      </c>
      <c r="B215" s="227" t="s">
        <v>1350</v>
      </c>
      <c r="C215" s="227" t="s">
        <v>1789</v>
      </c>
      <c r="D215" s="228" t="s">
        <v>1790</v>
      </c>
      <c r="E215" s="363" t="s">
        <v>1945</v>
      </c>
      <c r="F215" s="342">
        <v>45111</v>
      </c>
      <c r="G215" s="230"/>
      <c r="H215" s="231"/>
      <c r="I215" s="231">
        <v>19814</v>
      </c>
      <c r="J215" s="226" t="s">
        <v>2388</v>
      </c>
      <c r="K215" s="226"/>
      <c r="L215" s="345">
        <v>19814</v>
      </c>
      <c r="M215" s="346">
        <v>0</v>
      </c>
      <c r="N215" s="226" t="s">
        <v>2395</v>
      </c>
      <c r="O215" s="232"/>
      <c r="P215" s="232"/>
      <c r="Q215" s="232"/>
      <c r="R215" s="232"/>
      <c r="S215" s="414"/>
      <c r="T215" s="415"/>
      <c r="U215" s="414"/>
      <c r="V215" s="414"/>
      <c r="W215" s="414"/>
      <c r="X215" s="414"/>
      <c r="Y215" s="414"/>
      <c r="Z215" s="416"/>
      <c r="AA215" s="416"/>
      <c r="AB215" s="414"/>
      <c r="AC215" s="414"/>
      <c r="AD215" s="416"/>
      <c r="AE215" s="414"/>
      <c r="AF215" s="233"/>
    </row>
    <row r="216" spans="1:32">
      <c r="A216" s="225">
        <f t="shared" si="3"/>
        <v>207</v>
      </c>
      <c r="B216" s="227" t="s">
        <v>1351</v>
      </c>
      <c r="C216" s="227" t="s">
        <v>1782</v>
      </c>
      <c r="D216" s="228" t="s">
        <v>1783</v>
      </c>
      <c r="E216" s="363" t="s">
        <v>1946</v>
      </c>
      <c r="F216" s="342">
        <v>45138</v>
      </c>
      <c r="G216" s="230"/>
      <c r="H216" s="231"/>
      <c r="I216" s="231">
        <v>510055</v>
      </c>
      <c r="J216" s="226" t="s">
        <v>2388</v>
      </c>
      <c r="K216" s="226"/>
      <c r="L216" s="345">
        <v>510055</v>
      </c>
      <c r="M216" s="346">
        <v>0</v>
      </c>
      <c r="N216" s="226" t="s">
        <v>2398</v>
      </c>
      <c r="O216" s="232"/>
      <c r="P216" s="232"/>
      <c r="Q216" s="232"/>
      <c r="R216" s="232"/>
      <c r="S216" s="414"/>
      <c r="T216" s="415"/>
      <c r="U216" s="414"/>
      <c r="V216" s="414"/>
      <c r="W216" s="414"/>
      <c r="X216" s="414"/>
      <c r="Y216" s="414"/>
      <c r="Z216" s="416"/>
      <c r="AA216" s="416"/>
      <c r="AB216" s="414"/>
      <c r="AC216" s="414"/>
      <c r="AD216" s="416"/>
      <c r="AE216" s="414"/>
      <c r="AF216" s="233"/>
    </row>
    <row r="217" spans="1:32">
      <c r="A217" s="225">
        <f t="shared" si="3"/>
        <v>208</v>
      </c>
      <c r="B217" s="227" t="s">
        <v>1352</v>
      </c>
      <c r="C217" s="227" t="s">
        <v>1789</v>
      </c>
      <c r="D217" s="228" t="s">
        <v>1790</v>
      </c>
      <c r="E217" s="363" t="s">
        <v>1947</v>
      </c>
      <c r="F217" s="342">
        <v>45135</v>
      </c>
      <c r="G217" s="230"/>
      <c r="H217" s="231"/>
      <c r="I217" s="231">
        <v>29722</v>
      </c>
      <c r="J217" s="226" t="s">
        <v>2388</v>
      </c>
      <c r="K217" s="226"/>
      <c r="L217" s="345">
        <v>29722</v>
      </c>
      <c r="M217" s="346">
        <v>0</v>
      </c>
      <c r="N217" s="226" t="s">
        <v>2395</v>
      </c>
      <c r="O217" s="232"/>
      <c r="P217" s="232"/>
      <c r="Q217" s="232"/>
      <c r="R217" s="232"/>
      <c r="S217" s="414"/>
      <c r="T217" s="415"/>
      <c r="U217" s="414"/>
      <c r="V217" s="414"/>
      <c r="W217" s="414"/>
      <c r="X217" s="414"/>
      <c r="Y217" s="414"/>
      <c r="Z217" s="416"/>
      <c r="AA217" s="416"/>
      <c r="AB217" s="414"/>
      <c r="AC217" s="414"/>
      <c r="AD217" s="416"/>
      <c r="AE217" s="414"/>
      <c r="AF217" s="233"/>
    </row>
    <row r="218" spans="1:32">
      <c r="A218" s="225">
        <f t="shared" si="3"/>
        <v>209</v>
      </c>
      <c r="B218" s="227" t="s">
        <v>1353</v>
      </c>
      <c r="C218" s="227" t="s">
        <v>1782</v>
      </c>
      <c r="D218" s="228" t="s">
        <v>1783</v>
      </c>
      <c r="E218" s="363" t="s">
        <v>1948</v>
      </c>
      <c r="F218" s="342">
        <v>45138</v>
      </c>
      <c r="G218" s="230"/>
      <c r="H218" s="231"/>
      <c r="I218" s="231">
        <v>630238</v>
      </c>
      <c r="J218" s="226" t="s">
        <v>2388</v>
      </c>
      <c r="K218" s="226"/>
      <c r="L218" s="345">
        <v>630238</v>
      </c>
      <c r="M218" s="346">
        <v>0</v>
      </c>
      <c r="N218" s="226" t="s">
        <v>2398</v>
      </c>
      <c r="O218" s="232"/>
      <c r="P218" s="232"/>
      <c r="Q218" s="232"/>
      <c r="R218" s="232"/>
      <c r="S218" s="414"/>
      <c r="T218" s="415"/>
      <c r="U218" s="414"/>
      <c r="V218" s="414"/>
      <c r="W218" s="414"/>
      <c r="X218" s="414"/>
      <c r="Y218" s="414"/>
      <c r="Z218" s="416"/>
      <c r="AA218" s="416"/>
      <c r="AB218" s="414"/>
      <c r="AC218" s="414"/>
      <c r="AD218" s="416"/>
      <c r="AE218" s="414"/>
      <c r="AF218" s="233"/>
    </row>
    <row r="219" spans="1:32">
      <c r="A219" s="225">
        <f t="shared" si="3"/>
        <v>210</v>
      </c>
      <c r="B219" s="227" t="s">
        <v>1354</v>
      </c>
      <c r="C219" s="227" t="s">
        <v>1789</v>
      </c>
      <c r="D219" s="228" t="s">
        <v>1790</v>
      </c>
      <c r="E219" s="363" t="s">
        <v>1949</v>
      </c>
      <c r="F219" s="342">
        <v>45135</v>
      </c>
      <c r="G219" s="230"/>
      <c r="H219" s="231"/>
      <c r="I219" s="231">
        <v>29722</v>
      </c>
      <c r="J219" s="226" t="s">
        <v>2390</v>
      </c>
      <c r="K219" s="226"/>
      <c r="L219" s="345"/>
      <c r="M219" s="346">
        <v>29722</v>
      </c>
      <c r="N219" s="226" t="s">
        <v>2395</v>
      </c>
      <c r="O219" s="232"/>
      <c r="P219" s="232"/>
      <c r="Q219" s="232"/>
      <c r="R219" s="232"/>
      <c r="S219" s="414"/>
      <c r="T219" s="415"/>
      <c r="U219" s="414"/>
      <c r="V219" s="414"/>
      <c r="W219" s="414"/>
      <c r="X219" s="414"/>
      <c r="Y219" s="414"/>
      <c r="Z219" s="416"/>
      <c r="AA219" s="416"/>
      <c r="AB219" s="414"/>
      <c r="AC219" s="414"/>
      <c r="AD219" s="416"/>
      <c r="AE219" s="414"/>
      <c r="AF219" s="233"/>
    </row>
    <row r="220" spans="1:32">
      <c r="A220" s="225">
        <f t="shared" si="3"/>
        <v>211</v>
      </c>
      <c r="B220" s="227" t="s">
        <v>1355</v>
      </c>
      <c r="C220" s="227" t="s">
        <v>1782</v>
      </c>
      <c r="D220" s="228" t="s">
        <v>1783</v>
      </c>
      <c r="E220" s="363" t="s">
        <v>1950</v>
      </c>
      <c r="F220" s="342">
        <v>45113</v>
      </c>
      <c r="G220" s="230"/>
      <c r="H220" s="231"/>
      <c r="I220" s="231">
        <v>564021</v>
      </c>
      <c r="J220" s="226" t="s">
        <v>2388</v>
      </c>
      <c r="K220" s="226"/>
      <c r="L220" s="345">
        <v>564021</v>
      </c>
      <c r="M220" s="346">
        <v>0</v>
      </c>
      <c r="N220" s="226" t="s">
        <v>2398</v>
      </c>
      <c r="O220" s="232"/>
      <c r="P220" s="232"/>
      <c r="Q220" s="232"/>
      <c r="R220" s="232"/>
      <c r="S220" s="414"/>
      <c r="T220" s="415"/>
      <c r="U220" s="414"/>
      <c r="V220" s="414"/>
      <c r="W220" s="414"/>
      <c r="X220" s="414"/>
      <c r="Y220" s="414"/>
      <c r="Z220" s="416"/>
      <c r="AA220" s="416"/>
      <c r="AB220" s="414"/>
      <c r="AC220" s="414"/>
      <c r="AD220" s="416"/>
      <c r="AE220" s="414"/>
      <c r="AF220" s="233"/>
    </row>
    <row r="221" spans="1:32">
      <c r="A221" s="225">
        <f t="shared" si="3"/>
        <v>212</v>
      </c>
      <c r="B221" s="227" t="s">
        <v>1356</v>
      </c>
      <c r="C221" s="227" t="s">
        <v>1789</v>
      </c>
      <c r="D221" s="228" t="s">
        <v>1790</v>
      </c>
      <c r="E221" s="363" t="s">
        <v>1951</v>
      </c>
      <c r="F221" s="342">
        <v>45135</v>
      </c>
      <c r="G221" s="230"/>
      <c r="H221" s="231"/>
      <c r="I221" s="231">
        <v>29722</v>
      </c>
      <c r="J221" s="226" t="s">
        <v>2388</v>
      </c>
      <c r="K221" s="226"/>
      <c r="L221" s="345">
        <v>29722</v>
      </c>
      <c r="M221" s="346">
        <v>0</v>
      </c>
      <c r="N221" s="226" t="s">
        <v>2395</v>
      </c>
      <c r="O221" s="232"/>
      <c r="P221" s="232"/>
      <c r="Q221" s="232"/>
      <c r="R221" s="232"/>
      <c r="S221" s="414"/>
      <c r="T221" s="415"/>
      <c r="U221" s="414"/>
      <c r="V221" s="414"/>
      <c r="W221" s="414"/>
      <c r="X221" s="414"/>
      <c r="Y221" s="414"/>
      <c r="Z221" s="416"/>
      <c r="AA221" s="416"/>
      <c r="AB221" s="414"/>
      <c r="AC221" s="414"/>
      <c r="AD221" s="416"/>
      <c r="AE221" s="414"/>
      <c r="AF221" s="233"/>
    </row>
    <row r="222" spans="1:32">
      <c r="A222" s="225">
        <f t="shared" si="3"/>
        <v>213</v>
      </c>
      <c r="B222" s="227" t="s">
        <v>1357</v>
      </c>
      <c r="C222" s="227" t="s">
        <v>1782</v>
      </c>
      <c r="D222" s="228" t="s">
        <v>1783</v>
      </c>
      <c r="E222" s="363" t="s">
        <v>1952</v>
      </c>
      <c r="F222" s="342">
        <v>45119</v>
      </c>
      <c r="G222" s="230"/>
      <c r="H222" s="231"/>
      <c r="I222" s="231">
        <v>854907</v>
      </c>
      <c r="J222" s="226" t="s">
        <v>2388</v>
      </c>
      <c r="K222" s="226"/>
      <c r="L222" s="345">
        <v>854907</v>
      </c>
      <c r="M222" s="346">
        <v>0</v>
      </c>
      <c r="N222" s="226" t="s">
        <v>2398</v>
      </c>
      <c r="O222" s="232"/>
      <c r="P222" s="232"/>
      <c r="Q222" s="232"/>
      <c r="R222" s="232"/>
      <c r="S222" s="414"/>
      <c r="T222" s="415"/>
      <c r="U222" s="414"/>
      <c r="V222" s="414"/>
      <c r="W222" s="414"/>
      <c r="X222" s="414"/>
      <c r="Y222" s="414"/>
      <c r="Z222" s="416"/>
      <c r="AA222" s="416"/>
      <c r="AB222" s="414"/>
      <c r="AC222" s="414"/>
      <c r="AD222" s="416"/>
      <c r="AE222" s="414"/>
      <c r="AF222" s="233"/>
    </row>
    <row r="223" spans="1:32">
      <c r="A223" s="225">
        <f t="shared" si="3"/>
        <v>214</v>
      </c>
      <c r="B223" s="227" t="s">
        <v>1358</v>
      </c>
      <c r="C223" s="227" t="s">
        <v>1789</v>
      </c>
      <c r="D223" s="228" t="s">
        <v>1790</v>
      </c>
      <c r="E223" s="363" t="s">
        <v>1953</v>
      </c>
      <c r="F223" s="342">
        <v>45121</v>
      </c>
      <c r="G223" s="230"/>
      <c r="H223" s="231"/>
      <c r="I223" s="231">
        <v>49524</v>
      </c>
      <c r="J223" s="226" t="s">
        <v>2388</v>
      </c>
      <c r="K223" s="226"/>
      <c r="L223" s="345">
        <v>49524</v>
      </c>
      <c r="M223" s="346">
        <v>0</v>
      </c>
      <c r="N223" s="226" t="s">
        <v>2395</v>
      </c>
      <c r="O223" s="232"/>
      <c r="P223" s="232"/>
      <c r="Q223" s="232"/>
      <c r="R223" s="232"/>
      <c r="S223" s="414"/>
      <c r="T223" s="415"/>
      <c r="U223" s="414"/>
      <c r="V223" s="414"/>
      <c r="W223" s="414"/>
      <c r="X223" s="414"/>
      <c r="Y223" s="414"/>
      <c r="Z223" s="416"/>
      <c r="AA223" s="416"/>
      <c r="AB223" s="414"/>
      <c r="AC223" s="414"/>
      <c r="AD223" s="416"/>
      <c r="AE223" s="414"/>
      <c r="AF223" s="233"/>
    </row>
    <row r="224" spans="1:32">
      <c r="A224" s="225">
        <f t="shared" si="3"/>
        <v>215</v>
      </c>
      <c r="B224" s="227" t="s">
        <v>1359</v>
      </c>
      <c r="C224" s="227" t="s">
        <v>1782</v>
      </c>
      <c r="D224" s="228" t="s">
        <v>1783</v>
      </c>
      <c r="E224" s="363" t="s">
        <v>1954</v>
      </c>
      <c r="F224" s="342">
        <v>45119</v>
      </c>
      <c r="G224" s="230"/>
      <c r="H224" s="231"/>
      <c r="I224" s="231">
        <v>522352</v>
      </c>
      <c r="J224" s="226" t="s">
        <v>2388</v>
      </c>
      <c r="K224" s="226"/>
      <c r="L224" s="345">
        <v>522352</v>
      </c>
      <c r="M224" s="346">
        <v>0</v>
      </c>
      <c r="N224" s="226" t="s">
        <v>2398</v>
      </c>
      <c r="O224" s="232"/>
      <c r="P224" s="232"/>
      <c r="Q224" s="232"/>
      <c r="R224" s="232"/>
      <c r="S224" s="414"/>
      <c r="T224" s="415"/>
      <c r="U224" s="414"/>
      <c r="V224" s="414"/>
      <c r="W224" s="414"/>
      <c r="X224" s="414"/>
      <c r="Y224" s="414"/>
      <c r="Z224" s="416"/>
      <c r="AA224" s="416"/>
      <c r="AB224" s="414"/>
      <c r="AC224" s="414"/>
      <c r="AD224" s="416"/>
      <c r="AE224" s="414"/>
      <c r="AF224" s="233"/>
    </row>
    <row r="225" spans="1:32">
      <c r="A225" s="225">
        <f t="shared" si="3"/>
        <v>216</v>
      </c>
      <c r="B225" s="227" t="s">
        <v>1360</v>
      </c>
      <c r="C225" s="227" t="s">
        <v>1789</v>
      </c>
      <c r="D225" s="228" t="s">
        <v>1790</v>
      </c>
      <c r="E225" s="363" t="s">
        <v>1955</v>
      </c>
      <c r="F225" s="342">
        <v>45115</v>
      </c>
      <c r="G225" s="230"/>
      <c r="H225" s="231"/>
      <c r="I225" s="231">
        <v>29729</v>
      </c>
      <c r="J225" s="226" t="s">
        <v>2388</v>
      </c>
      <c r="K225" s="226"/>
      <c r="L225" s="345">
        <v>29729</v>
      </c>
      <c r="M225" s="346">
        <v>0</v>
      </c>
      <c r="N225" s="226" t="s">
        <v>2395</v>
      </c>
      <c r="O225" s="232"/>
      <c r="P225" s="232"/>
      <c r="Q225" s="232"/>
      <c r="R225" s="232"/>
      <c r="S225" s="414"/>
      <c r="T225" s="415"/>
      <c r="U225" s="414"/>
      <c r="V225" s="414"/>
      <c r="W225" s="414"/>
      <c r="X225" s="414"/>
      <c r="Y225" s="414"/>
      <c r="Z225" s="416"/>
      <c r="AA225" s="416"/>
      <c r="AB225" s="414"/>
      <c r="AC225" s="414"/>
      <c r="AD225" s="416"/>
      <c r="AE225" s="414"/>
      <c r="AF225" s="233"/>
    </row>
    <row r="226" spans="1:32">
      <c r="A226" s="225">
        <f t="shared" si="3"/>
        <v>217</v>
      </c>
      <c r="B226" s="227" t="s">
        <v>1361</v>
      </c>
      <c r="C226" s="227" t="s">
        <v>1782</v>
      </c>
      <c r="D226" s="228" t="s">
        <v>1783</v>
      </c>
      <c r="E226" s="363" t="s">
        <v>1956</v>
      </c>
      <c r="F226" s="342">
        <v>45119</v>
      </c>
      <c r="G226" s="230"/>
      <c r="H226" s="231"/>
      <c r="I226" s="231">
        <v>522352</v>
      </c>
      <c r="J226" s="226" t="s">
        <v>2388</v>
      </c>
      <c r="K226" s="226"/>
      <c r="L226" s="345">
        <v>522352</v>
      </c>
      <c r="M226" s="346">
        <v>0</v>
      </c>
      <c r="N226" s="226" t="s">
        <v>2398</v>
      </c>
      <c r="O226" s="232"/>
      <c r="P226" s="232"/>
      <c r="Q226" s="232"/>
      <c r="R226" s="232"/>
      <c r="S226" s="414"/>
      <c r="T226" s="415"/>
      <c r="U226" s="414"/>
      <c r="V226" s="414"/>
      <c r="W226" s="414"/>
      <c r="X226" s="414"/>
      <c r="Y226" s="414"/>
      <c r="Z226" s="416"/>
      <c r="AA226" s="416"/>
      <c r="AB226" s="414"/>
      <c r="AC226" s="414"/>
      <c r="AD226" s="416"/>
      <c r="AE226" s="414"/>
      <c r="AF226" s="233"/>
    </row>
    <row r="227" spans="1:32">
      <c r="A227" s="225">
        <f t="shared" si="3"/>
        <v>218</v>
      </c>
      <c r="B227" s="227" t="s">
        <v>1362</v>
      </c>
      <c r="C227" s="227" t="s">
        <v>1789</v>
      </c>
      <c r="D227" s="228" t="s">
        <v>1790</v>
      </c>
      <c r="E227" s="363" t="s">
        <v>1957</v>
      </c>
      <c r="F227" s="342">
        <v>45115</v>
      </c>
      <c r="G227" s="230"/>
      <c r="H227" s="231"/>
      <c r="I227" s="231">
        <v>29729</v>
      </c>
      <c r="J227" s="226" t="s">
        <v>2388</v>
      </c>
      <c r="K227" s="226"/>
      <c r="L227" s="345">
        <v>29729</v>
      </c>
      <c r="M227" s="346">
        <v>0</v>
      </c>
      <c r="N227" s="226" t="s">
        <v>2395</v>
      </c>
      <c r="O227" s="232"/>
      <c r="P227" s="232"/>
      <c r="Q227" s="232"/>
      <c r="R227" s="232"/>
      <c r="S227" s="414"/>
      <c r="T227" s="415"/>
      <c r="U227" s="414"/>
      <c r="V227" s="414"/>
      <c r="W227" s="414"/>
      <c r="X227" s="414"/>
      <c r="Y227" s="414"/>
      <c r="Z227" s="416"/>
      <c r="AA227" s="416"/>
      <c r="AB227" s="414"/>
      <c r="AC227" s="414"/>
      <c r="AD227" s="416"/>
      <c r="AE227" s="414"/>
      <c r="AF227" s="233"/>
    </row>
    <row r="228" spans="1:32">
      <c r="A228" s="225">
        <f t="shared" si="3"/>
        <v>219</v>
      </c>
      <c r="B228" s="227" t="s">
        <v>1363</v>
      </c>
      <c r="C228" s="227" t="s">
        <v>1782</v>
      </c>
      <c r="D228" s="228" t="s">
        <v>1783</v>
      </c>
      <c r="E228" s="363" t="s">
        <v>1958</v>
      </c>
      <c r="F228" s="342">
        <v>45113</v>
      </c>
      <c r="G228" s="230"/>
      <c r="H228" s="231"/>
      <c r="I228" s="231">
        <v>572279</v>
      </c>
      <c r="J228" s="226" t="s">
        <v>2388</v>
      </c>
      <c r="K228" s="226"/>
      <c r="L228" s="345">
        <v>572279</v>
      </c>
      <c r="M228" s="346">
        <v>0</v>
      </c>
      <c r="N228" s="226" t="s">
        <v>2398</v>
      </c>
      <c r="O228" s="232"/>
      <c r="P228" s="232"/>
      <c r="Q228" s="232"/>
      <c r="R228" s="232"/>
      <c r="S228" s="414"/>
      <c r="T228" s="415"/>
      <c r="U228" s="414"/>
      <c r="V228" s="414"/>
      <c r="W228" s="414"/>
      <c r="X228" s="414"/>
      <c r="Y228" s="414"/>
      <c r="Z228" s="416"/>
      <c r="AA228" s="416"/>
      <c r="AB228" s="414"/>
      <c r="AC228" s="414"/>
      <c r="AD228" s="416"/>
      <c r="AE228" s="414"/>
      <c r="AF228" s="233"/>
    </row>
    <row r="229" spans="1:32">
      <c r="A229" s="225">
        <f t="shared" si="3"/>
        <v>220</v>
      </c>
      <c r="B229" s="227" t="s">
        <v>1364</v>
      </c>
      <c r="C229" s="227" t="s">
        <v>1782</v>
      </c>
      <c r="D229" s="228" t="s">
        <v>1783</v>
      </c>
      <c r="E229" s="363" t="s">
        <v>1959</v>
      </c>
      <c r="F229" s="342">
        <v>45113</v>
      </c>
      <c r="G229" s="230"/>
      <c r="H229" s="231"/>
      <c r="I229" s="231">
        <v>572279</v>
      </c>
      <c r="J229" s="226" t="s">
        <v>2388</v>
      </c>
      <c r="K229" s="226"/>
      <c r="L229" s="345">
        <v>572279</v>
      </c>
      <c r="M229" s="346">
        <v>0</v>
      </c>
      <c r="N229" s="226" t="s">
        <v>2398</v>
      </c>
      <c r="O229" s="232"/>
      <c r="P229" s="232"/>
      <c r="Q229" s="232"/>
      <c r="R229" s="232"/>
      <c r="S229" s="414"/>
      <c r="T229" s="415"/>
      <c r="U229" s="414"/>
      <c r="V229" s="414"/>
      <c r="W229" s="414"/>
      <c r="X229" s="414"/>
      <c r="Y229" s="414"/>
      <c r="Z229" s="416"/>
      <c r="AA229" s="416"/>
      <c r="AB229" s="414"/>
      <c r="AC229" s="414"/>
      <c r="AD229" s="416"/>
      <c r="AE229" s="414"/>
      <c r="AF229" s="233"/>
    </row>
    <row r="230" spans="1:32">
      <c r="A230" s="225">
        <f t="shared" si="3"/>
        <v>221</v>
      </c>
      <c r="B230" s="227" t="s">
        <v>1365</v>
      </c>
      <c r="C230" s="227" t="s">
        <v>1782</v>
      </c>
      <c r="D230" s="228" t="s">
        <v>1783</v>
      </c>
      <c r="E230" s="363" t="s">
        <v>1960</v>
      </c>
      <c r="F230" s="342">
        <v>45138</v>
      </c>
      <c r="G230" s="230"/>
      <c r="H230" s="231"/>
      <c r="I230" s="231">
        <v>598850</v>
      </c>
      <c r="J230" s="226" t="s">
        <v>2388</v>
      </c>
      <c r="K230" s="226"/>
      <c r="L230" s="345">
        <v>598850</v>
      </c>
      <c r="M230" s="346">
        <v>0</v>
      </c>
      <c r="N230" s="226" t="s">
        <v>2398</v>
      </c>
      <c r="O230" s="232"/>
      <c r="P230" s="232"/>
      <c r="Q230" s="232"/>
      <c r="R230" s="232"/>
      <c r="S230" s="414"/>
      <c r="T230" s="415"/>
      <c r="U230" s="414"/>
      <c r="V230" s="414"/>
      <c r="W230" s="414"/>
      <c r="X230" s="414"/>
      <c r="Y230" s="414"/>
      <c r="Z230" s="416"/>
      <c r="AA230" s="416"/>
      <c r="AB230" s="414"/>
      <c r="AC230" s="414"/>
      <c r="AD230" s="416"/>
      <c r="AE230" s="414"/>
      <c r="AF230" s="233"/>
    </row>
    <row r="231" spans="1:32">
      <c r="A231" s="225">
        <f t="shared" si="3"/>
        <v>222</v>
      </c>
      <c r="B231" s="227" t="s">
        <v>1366</v>
      </c>
      <c r="C231" s="227" t="s">
        <v>1785</v>
      </c>
      <c r="D231" s="228" t="s">
        <v>1786</v>
      </c>
      <c r="E231" s="363">
        <v>111897</v>
      </c>
      <c r="F231" s="342">
        <v>45119</v>
      </c>
      <c r="G231" s="230"/>
      <c r="H231" s="231"/>
      <c r="I231" s="231">
        <v>23518</v>
      </c>
      <c r="J231" s="226" t="s">
        <v>2390</v>
      </c>
      <c r="K231" s="226"/>
      <c r="L231" s="345"/>
      <c r="M231" s="346">
        <v>23518</v>
      </c>
      <c r="N231" s="226"/>
      <c r="O231" s="232"/>
      <c r="P231" s="232"/>
      <c r="Q231" s="232"/>
      <c r="R231" s="232"/>
      <c r="S231" s="414"/>
      <c r="T231" s="415"/>
      <c r="U231" s="414"/>
      <c r="V231" s="414"/>
      <c r="W231" s="414"/>
      <c r="X231" s="414"/>
      <c r="Y231" s="414"/>
      <c r="Z231" s="416"/>
      <c r="AA231" s="416"/>
      <c r="AB231" s="414"/>
      <c r="AC231" s="414"/>
      <c r="AD231" s="416"/>
      <c r="AE231" s="414"/>
      <c r="AF231" s="233"/>
    </row>
    <row r="232" spans="1:32">
      <c r="A232" s="225">
        <f t="shared" si="3"/>
        <v>223</v>
      </c>
      <c r="B232" s="227" t="s">
        <v>1367</v>
      </c>
      <c r="C232" s="227" t="s">
        <v>1782</v>
      </c>
      <c r="D232" s="228" t="s">
        <v>1783</v>
      </c>
      <c r="E232" s="363" t="s">
        <v>1961</v>
      </c>
      <c r="F232" s="342">
        <v>45138</v>
      </c>
      <c r="G232" s="230"/>
      <c r="H232" s="231"/>
      <c r="I232" s="231">
        <v>685580</v>
      </c>
      <c r="J232" s="226" t="s">
        <v>2388</v>
      </c>
      <c r="K232" s="226"/>
      <c r="L232" s="345">
        <v>685580</v>
      </c>
      <c r="M232" s="346">
        <v>0</v>
      </c>
      <c r="N232" s="226" t="s">
        <v>2398</v>
      </c>
      <c r="O232" s="232"/>
      <c r="P232" s="232"/>
      <c r="Q232" s="232"/>
      <c r="R232" s="232"/>
      <c r="S232" s="414"/>
      <c r="T232" s="415"/>
      <c r="U232" s="414"/>
      <c r="V232" s="414"/>
      <c r="W232" s="414"/>
      <c r="X232" s="414"/>
      <c r="Y232" s="414"/>
      <c r="Z232" s="416"/>
      <c r="AA232" s="416"/>
      <c r="AB232" s="414"/>
      <c r="AC232" s="414"/>
      <c r="AD232" s="416"/>
      <c r="AE232" s="414"/>
      <c r="AF232" s="233"/>
    </row>
    <row r="233" spans="1:32">
      <c r="A233" s="225">
        <f t="shared" si="3"/>
        <v>224</v>
      </c>
      <c r="B233" s="227" t="s">
        <v>1368</v>
      </c>
      <c r="C233" s="227" t="s">
        <v>1785</v>
      </c>
      <c r="D233" s="228" t="s">
        <v>1786</v>
      </c>
      <c r="E233" s="363">
        <v>107278</v>
      </c>
      <c r="F233" s="342">
        <v>45112</v>
      </c>
      <c r="G233" s="230"/>
      <c r="H233" s="231"/>
      <c r="I233" s="231">
        <v>35914</v>
      </c>
      <c r="J233" s="226" t="s">
        <v>2390</v>
      </c>
      <c r="K233" s="226"/>
      <c r="L233" s="345"/>
      <c r="M233" s="346">
        <v>35914</v>
      </c>
      <c r="N233" s="226"/>
      <c r="O233" s="232"/>
      <c r="P233" s="232"/>
      <c r="Q233" s="232"/>
      <c r="R233" s="232"/>
      <c r="S233" s="414"/>
      <c r="T233" s="415"/>
      <c r="U233" s="414"/>
      <c r="V233" s="414"/>
      <c r="W233" s="414"/>
      <c r="X233" s="414"/>
      <c r="Y233" s="414"/>
      <c r="Z233" s="416"/>
      <c r="AA233" s="416"/>
      <c r="AB233" s="414"/>
      <c r="AC233" s="414"/>
      <c r="AD233" s="416"/>
      <c r="AE233" s="414"/>
      <c r="AF233" s="233"/>
    </row>
    <row r="234" spans="1:32">
      <c r="A234" s="225">
        <f t="shared" si="3"/>
        <v>225</v>
      </c>
      <c r="B234" s="227" t="s">
        <v>1369</v>
      </c>
      <c r="C234" s="227" t="s">
        <v>1763</v>
      </c>
      <c r="D234" s="228" t="s">
        <v>1764</v>
      </c>
      <c r="E234" s="363" t="s">
        <v>1962</v>
      </c>
      <c r="F234" s="342">
        <v>45138</v>
      </c>
      <c r="G234" s="230"/>
      <c r="H234" s="231"/>
      <c r="I234" s="231">
        <v>4071953</v>
      </c>
      <c r="J234" s="226" t="s">
        <v>2388</v>
      </c>
      <c r="K234" s="226"/>
      <c r="L234" s="345">
        <v>4071953</v>
      </c>
      <c r="M234" s="346">
        <v>0</v>
      </c>
      <c r="N234" s="226"/>
      <c r="O234" s="232"/>
      <c r="P234" s="232"/>
      <c r="Q234" s="232"/>
      <c r="R234" s="232"/>
      <c r="S234" s="414"/>
      <c r="T234" s="415"/>
      <c r="U234" s="414"/>
      <c r="V234" s="414"/>
      <c r="W234" s="414"/>
      <c r="X234" s="414"/>
      <c r="Y234" s="414"/>
      <c r="Z234" s="416"/>
      <c r="AA234" s="416"/>
      <c r="AB234" s="414"/>
      <c r="AC234" s="414"/>
      <c r="AD234" s="416"/>
      <c r="AE234" s="414"/>
      <c r="AF234" s="233"/>
    </row>
    <row r="235" spans="1:32">
      <c r="A235" s="225">
        <f t="shared" si="3"/>
        <v>226</v>
      </c>
      <c r="B235" s="227" t="s">
        <v>1254</v>
      </c>
      <c r="C235" s="227" t="s">
        <v>1771</v>
      </c>
      <c r="D235" s="228" t="s">
        <v>1772</v>
      </c>
      <c r="E235" s="363" t="s">
        <v>1963</v>
      </c>
      <c r="F235" s="342">
        <v>45138</v>
      </c>
      <c r="G235" s="230"/>
      <c r="H235" s="231"/>
      <c r="I235" s="231">
        <v>82600</v>
      </c>
      <c r="J235" s="226" t="s">
        <v>2388</v>
      </c>
      <c r="K235" s="226"/>
      <c r="L235" s="345">
        <v>82600</v>
      </c>
      <c r="M235" s="346">
        <v>0</v>
      </c>
      <c r="N235" s="226"/>
      <c r="O235" s="232"/>
      <c r="P235" s="232"/>
      <c r="Q235" s="232"/>
      <c r="R235" s="232"/>
      <c r="S235" s="414"/>
      <c r="T235" s="415"/>
      <c r="U235" s="414"/>
      <c r="V235" s="414"/>
      <c r="W235" s="414"/>
      <c r="X235" s="414"/>
      <c r="Y235" s="414"/>
      <c r="Z235" s="416"/>
      <c r="AA235" s="416"/>
      <c r="AB235" s="414"/>
      <c r="AC235" s="414"/>
      <c r="AD235" s="416"/>
      <c r="AE235" s="414"/>
      <c r="AF235" s="233"/>
    </row>
    <row r="236" spans="1:32">
      <c r="A236" s="225">
        <f t="shared" si="3"/>
        <v>227</v>
      </c>
      <c r="B236" s="227" t="s">
        <v>1188</v>
      </c>
      <c r="C236" s="227" t="s">
        <v>1774</v>
      </c>
      <c r="D236" s="228" t="s">
        <v>1775</v>
      </c>
      <c r="E236" s="363" t="s">
        <v>1964</v>
      </c>
      <c r="F236" s="342">
        <v>45135</v>
      </c>
      <c r="G236" s="230"/>
      <c r="H236" s="231"/>
      <c r="I236" s="231">
        <v>68096</v>
      </c>
      <c r="J236" s="226" t="s">
        <v>2388</v>
      </c>
      <c r="K236" s="226"/>
      <c r="L236" s="345">
        <v>68096</v>
      </c>
      <c r="M236" s="346">
        <v>0</v>
      </c>
      <c r="N236" s="226" t="s">
        <v>2394</v>
      </c>
      <c r="O236" s="232"/>
      <c r="P236" s="232"/>
      <c r="Q236" s="232"/>
      <c r="R236" s="232"/>
      <c r="S236" s="414"/>
      <c r="T236" s="415"/>
      <c r="U236" s="414"/>
      <c r="V236" s="414"/>
      <c r="W236" s="414"/>
      <c r="X236" s="414"/>
      <c r="Y236" s="414"/>
      <c r="Z236" s="416"/>
      <c r="AA236" s="416"/>
      <c r="AB236" s="414"/>
      <c r="AC236" s="414"/>
      <c r="AD236" s="416"/>
      <c r="AE236" s="414"/>
      <c r="AF236" s="233"/>
    </row>
    <row r="237" spans="1:32">
      <c r="A237" s="225">
        <f t="shared" si="3"/>
        <v>228</v>
      </c>
      <c r="B237" s="227" t="s">
        <v>1185</v>
      </c>
      <c r="C237" s="227" t="s">
        <v>1766</v>
      </c>
      <c r="D237" s="228" t="s">
        <v>1767</v>
      </c>
      <c r="E237" s="363" t="s">
        <v>1965</v>
      </c>
      <c r="F237" s="342">
        <v>45134</v>
      </c>
      <c r="G237" s="230"/>
      <c r="H237" s="231"/>
      <c r="I237" s="231">
        <v>2888900</v>
      </c>
      <c r="J237" s="226" t="s">
        <v>2388</v>
      </c>
      <c r="K237" s="226"/>
      <c r="L237" s="345">
        <v>2888900</v>
      </c>
      <c r="M237" s="346">
        <v>0</v>
      </c>
      <c r="N237" s="226"/>
      <c r="O237" s="232"/>
      <c r="P237" s="232"/>
      <c r="Q237" s="232"/>
      <c r="R237" s="232"/>
      <c r="S237" s="414"/>
      <c r="T237" s="415"/>
      <c r="U237" s="414"/>
      <c r="V237" s="414"/>
      <c r="W237" s="414"/>
      <c r="X237" s="414"/>
      <c r="Y237" s="414"/>
      <c r="Z237" s="416"/>
      <c r="AA237" s="416"/>
      <c r="AB237" s="414"/>
      <c r="AC237" s="414"/>
      <c r="AD237" s="416"/>
      <c r="AE237" s="414"/>
      <c r="AF237" s="233"/>
    </row>
    <row r="238" spans="1:32">
      <c r="A238" s="225">
        <f t="shared" si="3"/>
        <v>229</v>
      </c>
      <c r="B238" s="227" t="s">
        <v>1276</v>
      </c>
      <c r="C238" s="227" t="s">
        <v>1869</v>
      </c>
      <c r="D238" s="228" t="s">
        <v>1870</v>
      </c>
      <c r="E238" s="363" t="s">
        <v>1966</v>
      </c>
      <c r="F238" s="342">
        <v>45133</v>
      </c>
      <c r="G238" s="230"/>
      <c r="H238" s="231"/>
      <c r="I238" s="231">
        <v>371520</v>
      </c>
      <c r="J238" s="226" t="s">
        <v>2388</v>
      </c>
      <c r="K238" s="226"/>
      <c r="L238" s="345">
        <v>371520</v>
      </c>
      <c r="M238" s="346">
        <v>0</v>
      </c>
      <c r="N238" s="226" t="s">
        <v>2399</v>
      </c>
      <c r="O238" s="232"/>
      <c r="P238" s="232"/>
      <c r="Q238" s="232"/>
      <c r="R238" s="232"/>
      <c r="S238" s="414"/>
      <c r="T238" s="415"/>
      <c r="U238" s="414"/>
      <c r="V238" s="414"/>
      <c r="W238" s="414"/>
      <c r="X238" s="414"/>
      <c r="Y238" s="414"/>
      <c r="Z238" s="416"/>
      <c r="AA238" s="416"/>
      <c r="AB238" s="414"/>
      <c r="AC238" s="414"/>
      <c r="AD238" s="416"/>
      <c r="AE238" s="414"/>
      <c r="AF238" s="233"/>
    </row>
    <row r="239" spans="1:32">
      <c r="A239" s="225">
        <f t="shared" si="3"/>
        <v>230</v>
      </c>
      <c r="B239" s="227" t="s">
        <v>1370</v>
      </c>
      <c r="C239" s="227" t="s">
        <v>1923</v>
      </c>
      <c r="D239" s="228" t="s">
        <v>1924</v>
      </c>
      <c r="E239" s="363" t="s">
        <v>1967</v>
      </c>
      <c r="F239" s="342">
        <v>45132</v>
      </c>
      <c r="G239" s="230"/>
      <c r="H239" s="231"/>
      <c r="I239" s="231">
        <v>445824</v>
      </c>
      <c r="J239" s="226" t="s">
        <v>2388</v>
      </c>
      <c r="K239" s="226"/>
      <c r="L239" s="345">
        <v>445824</v>
      </c>
      <c r="M239" s="346">
        <v>0</v>
      </c>
      <c r="N239" s="226"/>
      <c r="O239" s="232"/>
      <c r="P239" s="232"/>
      <c r="Q239" s="232"/>
      <c r="R239" s="232"/>
      <c r="S239" s="414"/>
      <c r="T239" s="415"/>
      <c r="U239" s="414"/>
      <c r="V239" s="414"/>
      <c r="W239" s="414"/>
      <c r="X239" s="414"/>
      <c r="Y239" s="414"/>
      <c r="Z239" s="416"/>
      <c r="AA239" s="416"/>
      <c r="AB239" s="414"/>
      <c r="AC239" s="414"/>
      <c r="AD239" s="416"/>
      <c r="AE239" s="414"/>
      <c r="AF239" s="233"/>
    </row>
    <row r="240" spans="1:32">
      <c r="A240" s="225">
        <f t="shared" si="3"/>
        <v>231</v>
      </c>
      <c r="B240" s="227" t="s">
        <v>1191</v>
      </c>
      <c r="C240" s="227" t="s">
        <v>1776</v>
      </c>
      <c r="D240" s="228" t="s">
        <v>1777</v>
      </c>
      <c r="E240" s="363">
        <v>231167</v>
      </c>
      <c r="F240" s="342">
        <v>45110</v>
      </c>
      <c r="G240" s="230"/>
      <c r="H240" s="231"/>
      <c r="I240" s="231">
        <v>206600</v>
      </c>
      <c r="J240" s="226" t="s">
        <v>2388</v>
      </c>
      <c r="K240" s="226"/>
      <c r="L240" s="345">
        <v>206600</v>
      </c>
      <c r="M240" s="346">
        <v>0</v>
      </c>
      <c r="N240" s="226"/>
      <c r="O240" s="232"/>
      <c r="P240" s="232"/>
      <c r="Q240" s="232"/>
      <c r="R240" s="232"/>
      <c r="S240" s="414"/>
      <c r="T240" s="415"/>
      <c r="U240" s="414"/>
      <c r="V240" s="414"/>
      <c r="W240" s="414"/>
      <c r="X240" s="414"/>
      <c r="Y240" s="414"/>
      <c r="Z240" s="416"/>
      <c r="AA240" s="416"/>
      <c r="AB240" s="414"/>
      <c r="AC240" s="414"/>
      <c r="AD240" s="416"/>
      <c r="AE240" s="414"/>
      <c r="AF240" s="233"/>
    </row>
    <row r="241" spans="1:32">
      <c r="A241" s="225">
        <f t="shared" si="3"/>
        <v>232</v>
      </c>
      <c r="B241" s="227" t="s">
        <v>1371</v>
      </c>
      <c r="C241" s="227" t="s">
        <v>1780</v>
      </c>
      <c r="D241" s="228" t="s">
        <v>1781</v>
      </c>
      <c r="E241" s="363">
        <v>8568</v>
      </c>
      <c r="F241" s="342">
        <v>45108</v>
      </c>
      <c r="G241" s="230"/>
      <c r="H241" s="231"/>
      <c r="I241" s="231">
        <v>5348</v>
      </c>
      <c r="J241" s="226" t="s">
        <v>2389</v>
      </c>
      <c r="K241" s="226"/>
      <c r="L241" s="345"/>
      <c r="M241" s="346">
        <v>5348</v>
      </c>
      <c r="N241" s="226"/>
      <c r="O241" s="232"/>
      <c r="P241" s="232"/>
      <c r="Q241" s="232"/>
      <c r="R241" s="232"/>
      <c r="S241" s="414"/>
      <c r="T241" s="415"/>
      <c r="U241" s="414"/>
      <c r="V241" s="414"/>
      <c r="W241" s="414"/>
      <c r="X241" s="414"/>
      <c r="Y241" s="414"/>
      <c r="Z241" s="416"/>
      <c r="AA241" s="416"/>
      <c r="AB241" s="414"/>
      <c r="AC241" s="414"/>
      <c r="AD241" s="416"/>
      <c r="AE241" s="414"/>
      <c r="AF241" s="233"/>
    </row>
    <row r="242" spans="1:32">
      <c r="A242" s="225">
        <f t="shared" si="3"/>
        <v>233</v>
      </c>
      <c r="B242" s="227" t="s">
        <v>1372</v>
      </c>
      <c r="C242" s="227" t="s">
        <v>1850</v>
      </c>
      <c r="D242" s="228" t="s">
        <v>1851</v>
      </c>
      <c r="E242" s="363">
        <v>212000529</v>
      </c>
      <c r="F242" s="342">
        <v>45126</v>
      </c>
      <c r="G242" s="230"/>
      <c r="H242" s="231"/>
      <c r="I242" s="231">
        <v>9868</v>
      </c>
      <c r="J242" s="226" t="s">
        <v>2388</v>
      </c>
      <c r="K242" s="226"/>
      <c r="L242" s="345">
        <v>9868</v>
      </c>
      <c r="M242" s="346">
        <v>0</v>
      </c>
      <c r="N242" s="226"/>
      <c r="O242" s="232"/>
      <c r="P242" s="232"/>
      <c r="Q242" s="232"/>
      <c r="R242" s="232"/>
      <c r="S242" s="414"/>
      <c r="T242" s="415"/>
      <c r="U242" s="414"/>
      <c r="V242" s="414"/>
      <c r="W242" s="414"/>
      <c r="X242" s="414"/>
      <c r="Y242" s="414"/>
      <c r="Z242" s="416"/>
      <c r="AA242" s="416"/>
      <c r="AB242" s="414"/>
      <c r="AC242" s="414"/>
      <c r="AD242" s="416"/>
      <c r="AE242" s="414"/>
      <c r="AF242" s="233"/>
    </row>
    <row r="243" spans="1:32">
      <c r="A243" s="225">
        <f t="shared" si="3"/>
        <v>234</v>
      </c>
      <c r="B243" s="227" t="s">
        <v>1373</v>
      </c>
      <c r="C243" s="227" t="s">
        <v>1782</v>
      </c>
      <c r="D243" s="228" t="s">
        <v>1783</v>
      </c>
      <c r="E243" s="363" t="s">
        <v>1968</v>
      </c>
      <c r="F243" s="342">
        <v>45167</v>
      </c>
      <c r="G243" s="230"/>
      <c r="H243" s="231"/>
      <c r="I243" s="231">
        <v>932124</v>
      </c>
      <c r="J243" s="226" t="s">
        <v>2388</v>
      </c>
      <c r="K243" s="226"/>
      <c r="L243" s="345">
        <v>932124</v>
      </c>
      <c r="M243" s="346">
        <v>0</v>
      </c>
      <c r="N243" s="226" t="s">
        <v>2398</v>
      </c>
      <c r="O243" s="232"/>
      <c r="P243" s="232"/>
      <c r="Q243" s="232"/>
      <c r="R243" s="232"/>
      <c r="S243" s="414"/>
      <c r="T243" s="415"/>
      <c r="U243" s="414"/>
      <c r="V243" s="414"/>
      <c r="W243" s="414"/>
      <c r="X243" s="414"/>
      <c r="Y243" s="414"/>
      <c r="Z243" s="416"/>
      <c r="AA243" s="416"/>
      <c r="AB243" s="414"/>
      <c r="AC243" s="414"/>
      <c r="AD243" s="416"/>
      <c r="AE243" s="414"/>
      <c r="AF243" s="233"/>
    </row>
    <row r="244" spans="1:32">
      <c r="A244" s="225">
        <f t="shared" si="3"/>
        <v>235</v>
      </c>
      <c r="B244" s="227" t="s">
        <v>1374</v>
      </c>
      <c r="C244" s="227" t="s">
        <v>1789</v>
      </c>
      <c r="D244" s="228" t="s">
        <v>1790</v>
      </c>
      <c r="E244" s="363" t="s">
        <v>1969</v>
      </c>
      <c r="F244" s="342">
        <v>45159</v>
      </c>
      <c r="G244" s="230"/>
      <c r="H244" s="231"/>
      <c r="I244" s="231">
        <v>49692</v>
      </c>
      <c r="J244" s="226" t="s">
        <v>2391</v>
      </c>
      <c r="K244" s="226"/>
      <c r="L244" s="345"/>
      <c r="M244" s="346">
        <v>49692</v>
      </c>
      <c r="N244" s="226" t="s">
        <v>2400</v>
      </c>
      <c r="O244" s="232"/>
      <c r="P244" s="232"/>
      <c r="Q244" s="232"/>
      <c r="R244" s="232"/>
      <c r="S244" s="414"/>
      <c r="T244" s="415"/>
      <c r="U244" s="414"/>
      <c r="V244" s="414"/>
      <c r="W244" s="414"/>
      <c r="X244" s="414"/>
      <c r="Y244" s="414"/>
      <c r="Z244" s="416"/>
      <c r="AA244" s="416"/>
      <c r="AB244" s="414"/>
      <c r="AC244" s="414"/>
      <c r="AD244" s="416"/>
      <c r="AE244" s="414"/>
      <c r="AF244" s="233"/>
    </row>
    <row r="245" spans="1:32">
      <c r="A245" s="225">
        <f t="shared" si="3"/>
        <v>236</v>
      </c>
      <c r="B245" s="227" t="s">
        <v>1375</v>
      </c>
      <c r="C245" s="227" t="s">
        <v>1782</v>
      </c>
      <c r="D245" s="228" t="s">
        <v>1783</v>
      </c>
      <c r="E245" s="363" t="s">
        <v>1970</v>
      </c>
      <c r="F245" s="342">
        <v>45167</v>
      </c>
      <c r="G245" s="230"/>
      <c r="H245" s="231"/>
      <c r="I245" s="231">
        <v>525643</v>
      </c>
      <c r="J245" s="226" t="s">
        <v>2388</v>
      </c>
      <c r="K245" s="226"/>
      <c r="L245" s="345">
        <v>525643</v>
      </c>
      <c r="M245" s="346">
        <v>0</v>
      </c>
      <c r="N245" s="226" t="s">
        <v>2398</v>
      </c>
      <c r="O245" s="232"/>
      <c r="P245" s="232"/>
      <c r="Q245" s="232"/>
      <c r="R245" s="232"/>
      <c r="S245" s="414"/>
      <c r="T245" s="415"/>
      <c r="U245" s="414"/>
      <c r="V245" s="414"/>
      <c r="W245" s="414"/>
      <c r="X245" s="414"/>
      <c r="Y245" s="414"/>
      <c r="Z245" s="416"/>
      <c r="AA245" s="416"/>
      <c r="AB245" s="414"/>
      <c r="AC245" s="414"/>
      <c r="AD245" s="416"/>
      <c r="AE245" s="414"/>
      <c r="AF245" s="233"/>
    </row>
    <row r="246" spans="1:32">
      <c r="A246" s="225">
        <f t="shared" si="3"/>
        <v>237</v>
      </c>
      <c r="B246" s="227" t="s">
        <v>1376</v>
      </c>
      <c r="C246" s="227" t="s">
        <v>1782</v>
      </c>
      <c r="D246" s="228" t="s">
        <v>1783</v>
      </c>
      <c r="E246" s="363" t="s">
        <v>1971</v>
      </c>
      <c r="F246" s="342">
        <v>45167</v>
      </c>
      <c r="G246" s="230"/>
      <c r="H246" s="231"/>
      <c r="I246" s="231">
        <v>475404</v>
      </c>
      <c r="J246" s="226" t="s">
        <v>2388</v>
      </c>
      <c r="K246" s="226"/>
      <c r="L246" s="345">
        <v>475404</v>
      </c>
      <c r="M246" s="346">
        <v>0</v>
      </c>
      <c r="N246" s="226" t="s">
        <v>2398</v>
      </c>
      <c r="O246" s="232"/>
      <c r="P246" s="232"/>
      <c r="Q246" s="232"/>
      <c r="R246" s="232"/>
      <c r="S246" s="414"/>
      <c r="T246" s="415"/>
      <c r="U246" s="414"/>
      <c r="V246" s="414"/>
      <c r="W246" s="414"/>
      <c r="X246" s="414"/>
      <c r="Y246" s="414"/>
      <c r="Z246" s="416"/>
      <c r="AA246" s="416"/>
      <c r="AB246" s="414"/>
      <c r="AC246" s="414"/>
      <c r="AD246" s="416"/>
      <c r="AE246" s="414"/>
      <c r="AF246" s="233"/>
    </row>
    <row r="247" spans="1:32">
      <c r="A247" s="225">
        <f t="shared" si="3"/>
        <v>238</v>
      </c>
      <c r="B247" s="227" t="s">
        <v>1377</v>
      </c>
      <c r="C247" s="227" t="s">
        <v>1782</v>
      </c>
      <c r="D247" s="228" t="s">
        <v>1783</v>
      </c>
      <c r="E247" s="363" t="s">
        <v>1972</v>
      </c>
      <c r="F247" s="342">
        <v>45161</v>
      </c>
      <c r="G247" s="230"/>
      <c r="H247" s="231"/>
      <c r="I247" s="231">
        <v>586790</v>
      </c>
      <c r="J247" s="226" t="s">
        <v>2388</v>
      </c>
      <c r="K247" s="226"/>
      <c r="L247" s="345">
        <v>586790</v>
      </c>
      <c r="M247" s="346">
        <v>0</v>
      </c>
      <c r="N247" s="226" t="s">
        <v>2398</v>
      </c>
      <c r="O247" s="232"/>
      <c r="P247" s="232"/>
      <c r="Q247" s="232"/>
      <c r="R247" s="232"/>
      <c r="S247" s="414"/>
      <c r="T247" s="415"/>
      <c r="U247" s="414"/>
      <c r="V247" s="414"/>
      <c r="W247" s="414"/>
      <c r="X247" s="414"/>
      <c r="Y247" s="414"/>
      <c r="Z247" s="416"/>
      <c r="AA247" s="416"/>
      <c r="AB247" s="414"/>
      <c r="AC247" s="414"/>
      <c r="AD247" s="416"/>
      <c r="AE247" s="414"/>
      <c r="AF247" s="233"/>
    </row>
    <row r="248" spans="1:32">
      <c r="A248" s="225">
        <f t="shared" si="3"/>
        <v>239</v>
      </c>
      <c r="B248" s="227" t="s">
        <v>1378</v>
      </c>
      <c r="C248" s="227" t="s">
        <v>1789</v>
      </c>
      <c r="D248" s="228" t="s">
        <v>1790</v>
      </c>
      <c r="E248" s="363" t="s">
        <v>1973</v>
      </c>
      <c r="F248" s="342">
        <v>45156</v>
      </c>
      <c r="G248" s="230"/>
      <c r="H248" s="231"/>
      <c r="I248" s="231">
        <v>29779</v>
      </c>
      <c r="J248" s="226" t="s">
        <v>2388</v>
      </c>
      <c r="K248" s="226"/>
      <c r="L248" s="345">
        <v>29779</v>
      </c>
      <c r="M248" s="346">
        <v>0</v>
      </c>
      <c r="N248" s="226" t="s">
        <v>2395</v>
      </c>
      <c r="O248" s="232"/>
      <c r="P248" s="232"/>
      <c r="Q248" s="232"/>
      <c r="R248" s="232"/>
      <c r="S248" s="414"/>
      <c r="T248" s="415"/>
      <c r="U248" s="414"/>
      <c r="V248" s="414"/>
      <c r="W248" s="414"/>
      <c r="X248" s="414"/>
      <c r="Y248" s="414"/>
      <c r="Z248" s="416"/>
      <c r="AA248" s="416"/>
      <c r="AB248" s="414"/>
      <c r="AC248" s="414"/>
      <c r="AD248" s="416"/>
      <c r="AE248" s="414"/>
      <c r="AF248" s="233"/>
    </row>
    <row r="249" spans="1:32">
      <c r="A249" s="225">
        <f t="shared" si="3"/>
        <v>240</v>
      </c>
      <c r="B249" s="227" t="s">
        <v>1379</v>
      </c>
      <c r="C249" s="227" t="s">
        <v>1782</v>
      </c>
      <c r="D249" s="228" t="s">
        <v>1783</v>
      </c>
      <c r="E249" s="363" t="s">
        <v>1974</v>
      </c>
      <c r="F249" s="342">
        <v>45161</v>
      </c>
      <c r="G249" s="230"/>
      <c r="H249" s="231"/>
      <c r="I249" s="231">
        <v>524630</v>
      </c>
      <c r="J249" s="226" t="s">
        <v>2388</v>
      </c>
      <c r="K249" s="226"/>
      <c r="L249" s="345">
        <v>524630</v>
      </c>
      <c r="M249" s="346">
        <v>0</v>
      </c>
      <c r="N249" s="226" t="s">
        <v>2398</v>
      </c>
      <c r="O249" s="232"/>
      <c r="P249" s="232"/>
      <c r="Q249" s="232"/>
      <c r="R249" s="232"/>
      <c r="S249" s="414"/>
      <c r="T249" s="415"/>
      <c r="U249" s="414"/>
      <c r="V249" s="414"/>
      <c r="W249" s="414"/>
      <c r="X249" s="414"/>
      <c r="Y249" s="414"/>
      <c r="Z249" s="416"/>
      <c r="AA249" s="416"/>
      <c r="AB249" s="414"/>
      <c r="AC249" s="414"/>
      <c r="AD249" s="416"/>
      <c r="AE249" s="414"/>
      <c r="AF249" s="233"/>
    </row>
    <row r="250" spans="1:32">
      <c r="A250" s="225">
        <f t="shared" si="3"/>
        <v>241</v>
      </c>
      <c r="B250" s="227" t="s">
        <v>1380</v>
      </c>
      <c r="C250" s="227" t="s">
        <v>1789</v>
      </c>
      <c r="D250" s="228" t="s">
        <v>1790</v>
      </c>
      <c r="E250" s="363" t="s">
        <v>1975</v>
      </c>
      <c r="F250" s="342">
        <v>45168</v>
      </c>
      <c r="G250" s="230"/>
      <c r="H250" s="231"/>
      <c r="I250" s="231">
        <v>2494</v>
      </c>
      <c r="J250" s="226" t="s">
        <v>2388</v>
      </c>
      <c r="K250" s="226"/>
      <c r="L250" s="345">
        <v>2494</v>
      </c>
      <c r="M250" s="346">
        <v>0</v>
      </c>
      <c r="N250" s="226" t="s">
        <v>2395</v>
      </c>
      <c r="O250" s="232"/>
      <c r="P250" s="232"/>
      <c r="Q250" s="232"/>
      <c r="R250" s="232"/>
      <c r="S250" s="414"/>
      <c r="T250" s="415"/>
      <c r="U250" s="414"/>
      <c r="V250" s="414"/>
      <c r="W250" s="414"/>
      <c r="X250" s="414"/>
      <c r="Y250" s="414"/>
      <c r="Z250" s="416"/>
      <c r="AA250" s="416"/>
      <c r="AB250" s="414"/>
      <c r="AC250" s="414"/>
      <c r="AD250" s="416"/>
      <c r="AE250" s="414"/>
      <c r="AF250" s="233"/>
    </row>
    <row r="251" spans="1:32">
      <c r="A251" s="225">
        <f t="shared" si="3"/>
        <v>242</v>
      </c>
      <c r="B251" s="227" t="s">
        <v>1381</v>
      </c>
      <c r="C251" s="227" t="s">
        <v>1789</v>
      </c>
      <c r="D251" s="228" t="s">
        <v>1790</v>
      </c>
      <c r="E251" s="363" t="s">
        <v>1976</v>
      </c>
      <c r="F251" s="342">
        <v>45156</v>
      </c>
      <c r="G251" s="230"/>
      <c r="H251" s="231"/>
      <c r="I251" s="231">
        <v>29779</v>
      </c>
      <c r="J251" s="226" t="s">
        <v>2388</v>
      </c>
      <c r="K251" s="226"/>
      <c r="L251" s="345">
        <v>29779</v>
      </c>
      <c r="M251" s="346">
        <v>0</v>
      </c>
      <c r="N251" s="226" t="s">
        <v>2395</v>
      </c>
      <c r="O251" s="232"/>
      <c r="P251" s="232"/>
      <c r="Q251" s="232"/>
      <c r="R251" s="232"/>
      <c r="S251" s="414"/>
      <c r="T251" s="415"/>
      <c r="U251" s="414"/>
      <c r="V251" s="414"/>
      <c r="W251" s="414"/>
      <c r="X251" s="414"/>
      <c r="Y251" s="414"/>
      <c r="Z251" s="416"/>
      <c r="AA251" s="416"/>
      <c r="AB251" s="414"/>
      <c r="AC251" s="414"/>
      <c r="AD251" s="416"/>
      <c r="AE251" s="414"/>
      <c r="AF251" s="233"/>
    </row>
    <row r="252" spans="1:32">
      <c r="A252" s="225">
        <f t="shared" si="3"/>
        <v>243</v>
      </c>
      <c r="B252" s="227" t="s">
        <v>1382</v>
      </c>
      <c r="C252" s="227" t="s">
        <v>1782</v>
      </c>
      <c r="D252" s="228" t="s">
        <v>1783</v>
      </c>
      <c r="E252" s="363" t="s">
        <v>1977</v>
      </c>
      <c r="F252" s="342">
        <v>45152</v>
      </c>
      <c r="G252" s="230"/>
      <c r="H252" s="231"/>
      <c r="I252" s="231">
        <v>564704</v>
      </c>
      <c r="J252" s="226" t="s">
        <v>2388</v>
      </c>
      <c r="K252" s="226"/>
      <c r="L252" s="345">
        <v>564704</v>
      </c>
      <c r="M252" s="346">
        <v>0</v>
      </c>
      <c r="N252" s="226" t="s">
        <v>2398</v>
      </c>
      <c r="O252" s="232"/>
      <c r="P252" s="232"/>
      <c r="Q252" s="232"/>
      <c r="R252" s="232"/>
      <c r="S252" s="414"/>
      <c r="T252" s="415"/>
      <c r="U252" s="414"/>
      <c r="V252" s="414"/>
      <c r="W252" s="414"/>
      <c r="X252" s="414"/>
      <c r="Y252" s="414"/>
      <c r="Z252" s="416"/>
      <c r="AA252" s="416"/>
      <c r="AB252" s="414"/>
      <c r="AC252" s="414"/>
      <c r="AD252" s="416"/>
      <c r="AE252" s="414"/>
      <c r="AF252" s="233"/>
    </row>
    <row r="253" spans="1:32">
      <c r="A253" s="225">
        <f t="shared" si="3"/>
        <v>244</v>
      </c>
      <c r="B253" s="227" t="s">
        <v>1383</v>
      </c>
      <c r="C253" s="227" t="s">
        <v>1789</v>
      </c>
      <c r="D253" s="228" t="s">
        <v>1790</v>
      </c>
      <c r="E253" s="363" t="s">
        <v>1978</v>
      </c>
      <c r="F253" s="342">
        <v>45152</v>
      </c>
      <c r="G253" s="230"/>
      <c r="H253" s="231"/>
      <c r="I253" s="231">
        <v>29765</v>
      </c>
      <c r="J253" s="226" t="s">
        <v>2388</v>
      </c>
      <c r="K253" s="226"/>
      <c r="L253" s="345">
        <v>29765</v>
      </c>
      <c r="M253" s="346">
        <v>0</v>
      </c>
      <c r="N253" s="226" t="s">
        <v>2395</v>
      </c>
      <c r="O253" s="232"/>
      <c r="P253" s="232"/>
      <c r="Q253" s="232"/>
      <c r="R253" s="232"/>
      <c r="S253" s="414"/>
      <c r="T253" s="415"/>
      <c r="U253" s="414"/>
      <c r="V253" s="414"/>
      <c r="W253" s="414"/>
      <c r="X253" s="414"/>
      <c r="Y253" s="414"/>
      <c r="Z253" s="416"/>
      <c r="AA253" s="416"/>
      <c r="AB253" s="414"/>
      <c r="AC253" s="414"/>
      <c r="AD253" s="416"/>
      <c r="AE253" s="414"/>
      <c r="AF253" s="233"/>
    </row>
    <row r="254" spans="1:32">
      <c r="A254" s="225">
        <f t="shared" si="3"/>
        <v>245</v>
      </c>
      <c r="B254" s="227" t="s">
        <v>1384</v>
      </c>
      <c r="C254" s="227" t="s">
        <v>1782</v>
      </c>
      <c r="D254" s="228" t="s">
        <v>1783</v>
      </c>
      <c r="E254" s="363" t="s">
        <v>1979</v>
      </c>
      <c r="F254" s="342">
        <v>45152</v>
      </c>
      <c r="G254" s="230"/>
      <c r="H254" s="231"/>
      <c r="I254" s="231">
        <v>551889</v>
      </c>
      <c r="J254" s="226" t="s">
        <v>2388</v>
      </c>
      <c r="K254" s="226"/>
      <c r="L254" s="345">
        <v>551889</v>
      </c>
      <c r="M254" s="346">
        <v>0</v>
      </c>
      <c r="N254" s="226" t="s">
        <v>2398</v>
      </c>
      <c r="O254" s="232"/>
      <c r="P254" s="232"/>
      <c r="Q254" s="232"/>
      <c r="R254" s="232"/>
      <c r="S254" s="414"/>
      <c r="T254" s="415"/>
      <c r="U254" s="414"/>
      <c r="V254" s="414"/>
      <c r="W254" s="414"/>
      <c r="X254" s="414"/>
      <c r="Y254" s="414"/>
      <c r="Z254" s="416"/>
      <c r="AA254" s="416"/>
      <c r="AB254" s="414"/>
      <c r="AC254" s="414"/>
      <c r="AD254" s="416"/>
      <c r="AE254" s="414"/>
      <c r="AF254" s="233"/>
    </row>
    <row r="255" spans="1:32">
      <c r="A255" s="225">
        <f t="shared" si="3"/>
        <v>246</v>
      </c>
      <c r="B255" s="227" t="s">
        <v>1385</v>
      </c>
      <c r="C255" s="227" t="s">
        <v>1789</v>
      </c>
      <c r="D255" s="228" t="s">
        <v>1790</v>
      </c>
      <c r="E255" s="363" t="s">
        <v>1980</v>
      </c>
      <c r="F255" s="342">
        <v>45152</v>
      </c>
      <c r="G255" s="230"/>
      <c r="H255" s="231"/>
      <c r="I255" s="231">
        <v>29765</v>
      </c>
      <c r="J255" s="226" t="s">
        <v>2388</v>
      </c>
      <c r="K255" s="226"/>
      <c r="L255" s="345">
        <v>29765</v>
      </c>
      <c r="M255" s="346">
        <v>0</v>
      </c>
      <c r="N255" s="226" t="s">
        <v>2395</v>
      </c>
      <c r="O255" s="232"/>
      <c r="P255" s="232"/>
      <c r="Q255" s="232"/>
      <c r="R255" s="232"/>
      <c r="S255" s="414"/>
      <c r="T255" s="415"/>
      <c r="U255" s="414"/>
      <c r="V255" s="414"/>
      <c r="W255" s="414"/>
      <c r="X255" s="414"/>
      <c r="Y255" s="414"/>
      <c r="Z255" s="416"/>
      <c r="AA255" s="416"/>
      <c r="AB255" s="414"/>
      <c r="AC255" s="414"/>
      <c r="AD255" s="416"/>
      <c r="AE255" s="414"/>
      <c r="AF255" s="233"/>
    </row>
    <row r="256" spans="1:32">
      <c r="A256" s="225">
        <f t="shared" si="3"/>
        <v>247</v>
      </c>
      <c r="B256" s="227" t="s">
        <v>1386</v>
      </c>
      <c r="C256" s="227" t="s">
        <v>1782</v>
      </c>
      <c r="D256" s="228" t="s">
        <v>1783</v>
      </c>
      <c r="E256" s="363" t="s">
        <v>1981</v>
      </c>
      <c r="F256" s="342">
        <v>45139</v>
      </c>
      <c r="G256" s="230"/>
      <c r="H256" s="231"/>
      <c r="I256" s="231">
        <v>472885</v>
      </c>
      <c r="J256" s="226" t="s">
        <v>2388</v>
      </c>
      <c r="K256" s="226"/>
      <c r="L256" s="345">
        <v>472885</v>
      </c>
      <c r="M256" s="346">
        <v>0</v>
      </c>
      <c r="N256" s="226" t="s">
        <v>2398</v>
      </c>
      <c r="O256" s="232"/>
      <c r="P256" s="232"/>
      <c r="Q256" s="232"/>
      <c r="R256" s="232"/>
      <c r="S256" s="414"/>
      <c r="T256" s="415"/>
      <c r="U256" s="414"/>
      <c r="V256" s="414"/>
      <c r="W256" s="414"/>
      <c r="X256" s="414"/>
      <c r="Y256" s="414"/>
      <c r="Z256" s="416"/>
      <c r="AA256" s="416"/>
      <c r="AB256" s="414"/>
      <c r="AC256" s="414"/>
      <c r="AD256" s="416"/>
      <c r="AE256" s="414"/>
      <c r="AF256" s="233"/>
    </row>
    <row r="257" spans="1:32">
      <c r="A257" s="225">
        <f t="shared" si="3"/>
        <v>248</v>
      </c>
      <c r="B257" s="227" t="s">
        <v>1387</v>
      </c>
      <c r="C257" s="227" t="s">
        <v>1789</v>
      </c>
      <c r="D257" s="228" t="s">
        <v>1790</v>
      </c>
      <c r="E257" s="363" t="s">
        <v>1982</v>
      </c>
      <c r="F257" s="342">
        <v>45143</v>
      </c>
      <c r="G257" s="230"/>
      <c r="H257" s="231"/>
      <c r="I257" s="231">
        <v>19848</v>
      </c>
      <c r="J257" s="226" t="s">
        <v>2388</v>
      </c>
      <c r="K257" s="226"/>
      <c r="L257" s="345">
        <v>19848</v>
      </c>
      <c r="M257" s="346">
        <v>0</v>
      </c>
      <c r="N257" s="226" t="s">
        <v>2395</v>
      </c>
      <c r="O257" s="232"/>
      <c r="P257" s="232"/>
      <c r="Q257" s="232"/>
      <c r="R257" s="232"/>
      <c r="S257" s="414"/>
      <c r="T257" s="415"/>
      <c r="U257" s="414"/>
      <c r="V257" s="414"/>
      <c r="W257" s="414"/>
      <c r="X257" s="414"/>
      <c r="Y257" s="414"/>
      <c r="Z257" s="416"/>
      <c r="AA257" s="416"/>
      <c r="AB257" s="414"/>
      <c r="AC257" s="414"/>
      <c r="AD257" s="416"/>
      <c r="AE257" s="414"/>
      <c r="AF257" s="233"/>
    </row>
    <row r="258" spans="1:32">
      <c r="A258" s="225">
        <f t="shared" si="3"/>
        <v>249</v>
      </c>
      <c r="B258" s="227" t="s">
        <v>1388</v>
      </c>
      <c r="C258" s="227" t="s">
        <v>1782</v>
      </c>
      <c r="D258" s="228" t="s">
        <v>1783</v>
      </c>
      <c r="E258" s="363" t="s">
        <v>1983</v>
      </c>
      <c r="F258" s="342">
        <v>45139</v>
      </c>
      <c r="G258" s="230"/>
      <c r="H258" s="231"/>
      <c r="I258" s="231">
        <v>630238</v>
      </c>
      <c r="J258" s="226" t="s">
        <v>2388</v>
      </c>
      <c r="K258" s="226"/>
      <c r="L258" s="345">
        <v>630238</v>
      </c>
      <c r="M258" s="346">
        <v>0</v>
      </c>
      <c r="N258" s="226" t="s">
        <v>2398</v>
      </c>
      <c r="O258" s="232"/>
      <c r="P258" s="232"/>
      <c r="Q258" s="232"/>
      <c r="R258" s="232"/>
      <c r="S258" s="414"/>
      <c r="T258" s="415"/>
      <c r="U258" s="414"/>
      <c r="V258" s="414"/>
      <c r="W258" s="414"/>
      <c r="X258" s="414"/>
      <c r="Y258" s="414"/>
      <c r="Z258" s="416"/>
      <c r="AA258" s="416"/>
      <c r="AB258" s="414"/>
      <c r="AC258" s="414"/>
      <c r="AD258" s="416"/>
      <c r="AE258" s="414"/>
      <c r="AF258" s="233"/>
    </row>
    <row r="259" spans="1:32">
      <c r="A259" s="225">
        <f t="shared" si="3"/>
        <v>250</v>
      </c>
      <c r="B259" s="227" t="s">
        <v>1389</v>
      </c>
      <c r="C259" s="227" t="s">
        <v>1789</v>
      </c>
      <c r="D259" s="228" t="s">
        <v>1790</v>
      </c>
      <c r="E259" s="363" t="s">
        <v>1984</v>
      </c>
      <c r="F259" s="342">
        <v>45143</v>
      </c>
      <c r="G259" s="230"/>
      <c r="H259" s="231"/>
      <c r="I259" s="231">
        <v>29772</v>
      </c>
      <c r="J259" s="226" t="s">
        <v>2388</v>
      </c>
      <c r="K259" s="226"/>
      <c r="L259" s="345">
        <v>29772</v>
      </c>
      <c r="M259" s="346">
        <v>0</v>
      </c>
      <c r="N259" s="226" t="s">
        <v>2395</v>
      </c>
      <c r="O259" s="232"/>
      <c r="P259" s="232"/>
      <c r="Q259" s="232"/>
      <c r="R259" s="232"/>
      <c r="S259" s="414"/>
      <c r="T259" s="415"/>
      <c r="U259" s="414"/>
      <c r="V259" s="414"/>
      <c r="W259" s="414"/>
      <c r="X259" s="414"/>
      <c r="Y259" s="414"/>
      <c r="Z259" s="416"/>
      <c r="AA259" s="416"/>
      <c r="AB259" s="414"/>
      <c r="AC259" s="414"/>
      <c r="AD259" s="416"/>
      <c r="AE259" s="414"/>
      <c r="AF259" s="233"/>
    </row>
    <row r="260" spans="1:32">
      <c r="A260" s="225">
        <f t="shared" si="3"/>
        <v>251</v>
      </c>
      <c r="B260" s="227" t="s">
        <v>1390</v>
      </c>
      <c r="C260" s="227" t="s">
        <v>1782</v>
      </c>
      <c r="D260" s="228" t="s">
        <v>1783</v>
      </c>
      <c r="E260" s="363" t="s">
        <v>1985</v>
      </c>
      <c r="F260" s="342">
        <v>45169</v>
      </c>
      <c r="G260" s="230"/>
      <c r="H260" s="231"/>
      <c r="I260" s="231">
        <v>41580</v>
      </c>
      <c r="J260" s="226" t="s">
        <v>2388</v>
      </c>
      <c r="K260" s="226"/>
      <c r="L260" s="345">
        <v>41580</v>
      </c>
      <c r="M260" s="346">
        <v>0</v>
      </c>
      <c r="N260" s="226" t="s">
        <v>2398</v>
      </c>
      <c r="O260" s="232"/>
      <c r="P260" s="232"/>
      <c r="Q260" s="232"/>
      <c r="R260" s="232"/>
      <c r="S260" s="414"/>
      <c r="T260" s="415"/>
      <c r="U260" s="414"/>
      <c r="V260" s="414"/>
      <c r="W260" s="414"/>
      <c r="X260" s="414"/>
      <c r="Y260" s="414"/>
      <c r="Z260" s="416"/>
      <c r="AA260" s="416"/>
      <c r="AB260" s="414"/>
      <c r="AC260" s="414"/>
      <c r="AD260" s="416"/>
      <c r="AE260" s="414"/>
      <c r="AF260" s="233"/>
    </row>
    <row r="261" spans="1:32">
      <c r="A261" s="225">
        <f t="shared" si="3"/>
        <v>252</v>
      </c>
      <c r="B261" s="227" t="s">
        <v>1391</v>
      </c>
      <c r="C261" s="227" t="s">
        <v>1869</v>
      </c>
      <c r="D261" s="228" t="s">
        <v>1870</v>
      </c>
      <c r="E261" s="363" t="s">
        <v>1986</v>
      </c>
      <c r="F261" s="342">
        <v>45163</v>
      </c>
      <c r="G261" s="230"/>
      <c r="H261" s="231"/>
      <c r="I261" s="231">
        <v>604262</v>
      </c>
      <c r="J261" s="226" t="s">
        <v>2388</v>
      </c>
      <c r="K261" s="226"/>
      <c r="L261" s="345">
        <v>604262</v>
      </c>
      <c r="M261" s="346">
        <v>0</v>
      </c>
      <c r="N261" s="226"/>
      <c r="O261" s="232"/>
      <c r="P261" s="232"/>
      <c r="Q261" s="232"/>
      <c r="R261" s="232"/>
      <c r="S261" s="414"/>
      <c r="T261" s="415"/>
      <c r="U261" s="414"/>
      <c r="V261" s="414"/>
      <c r="W261" s="414"/>
      <c r="X261" s="414"/>
      <c r="Y261" s="414"/>
      <c r="Z261" s="416"/>
      <c r="AA261" s="416"/>
      <c r="AB261" s="414"/>
      <c r="AC261" s="414"/>
      <c r="AD261" s="416"/>
      <c r="AE261" s="414"/>
      <c r="AF261" s="233"/>
    </row>
    <row r="262" spans="1:32">
      <c r="A262" s="225">
        <f t="shared" si="3"/>
        <v>253</v>
      </c>
      <c r="B262" s="227" t="s">
        <v>1392</v>
      </c>
      <c r="C262" s="227" t="s">
        <v>1760</v>
      </c>
      <c r="D262" s="228" t="s">
        <v>1761</v>
      </c>
      <c r="E262" s="363" t="s">
        <v>1987</v>
      </c>
      <c r="F262" s="342">
        <v>45163</v>
      </c>
      <c r="G262" s="230"/>
      <c r="H262" s="231"/>
      <c r="I262" s="231">
        <v>980108</v>
      </c>
      <c r="J262" s="226" t="s">
        <v>2388</v>
      </c>
      <c r="K262" s="226"/>
      <c r="L262" s="345">
        <v>980108</v>
      </c>
      <c r="M262" s="346">
        <v>0</v>
      </c>
      <c r="N262" s="226"/>
      <c r="O262" s="232"/>
      <c r="P262" s="232"/>
      <c r="Q262" s="232"/>
      <c r="R262" s="232"/>
      <c r="S262" s="414"/>
      <c r="T262" s="415"/>
      <c r="U262" s="414"/>
      <c r="V262" s="414"/>
      <c r="W262" s="414"/>
      <c r="X262" s="414"/>
      <c r="Y262" s="414"/>
      <c r="Z262" s="416"/>
      <c r="AA262" s="416"/>
      <c r="AB262" s="414"/>
      <c r="AC262" s="414"/>
      <c r="AD262" s="416"/>
      <c r="AE262" s="414"/>
      <c r="AF262" s="233"/>
    </row>
    <row r="263" spans="1:32">
      <c r="A263" s="225">
        <f t="shared" si="3"/>
        <v>254</v>
      </c>
      <c r="B263" s="227" t="s">
        <v>1393</v>
      </c>
      <c r="C263" s="227" t="s">
        <v>1763</v>
      </c>
      <c r="D263" s="228" t="s">
        <v>1764</v>
      </c>
      <c r="E263" s="363" t="s">
        <v>1988</v>
      </c>
      <c r="F263" s="342">
        <v>45169</v>
      </c>
      <c r="G263" s="230"/>
      <c r="H263" s="231"/>
      <c r="I263" s="231">
        <v>2835777</v>
      </c>
      <c r="J263" s="226" t="s">
        <v>2388</v>
      </c>
      <c r="K263" s="226"/>
      <c r="L263" s="345">
        <v>2835777</v>
      </c>
      <c r="M263" s="346">
        <v>0</v>
      </c>
      <c r="N263" s="226"/>
      <c r="O263" s="232"/>
      <c r="P263" s="232"/>
      <c r="Q263" s="232"/>
      <c r="R263" s="232"/>
      <c r="S263" s="414"/>
      <c r="T263" s="415"/>
      <c r="U263" s="414"/>
      <c r="V263" s="414"/>
      <c r="W263" s="414"/>
      <c r="X263" s="414"/>
      <c r="Y263" s="414"/>
      <c r="Z263" s="416"/>
      <c r="AA263" s="416"/>
      <c r="AB263" s="414"/>
      <c r="AC263" s="414"/>
      <c r="AD263" s="416"/>
      <c r="AE263" s="414"/>
      <c r="AF263" s="233"/>
    </row>
    <row r="264" spans="1:32">
      <c r="A264" s="225">
        <f t="shared" si="3"/>
        <v>255</v>
      </c>
      <c r="B264" s="227" t="s">
        <v>1394</v>
      </c>
      <c r="C264" s="227" t="s">
        <v>1766</v>
      </c>
      <c r="D264" s="228" t="s">
        <v>1767</v>
      </c>
      <c r="E264" s="363" t="s">
        <v>1989</v>
      </c>
      <c r="F264" s="342">
        <v>45168</v>
      </c>
      <c r="G264" s="230"/>
      <c r="H264" s="231"/>
      <c r="I264" s="231">
        <v>2909200</v>
      </c>
      <c r="J264" s="226" t="s">
        <v>2388</v>
      </c>
      <c r="K264" s="226"/>
      <c r="L264" s="345">
        <v>2909200</v>
      </c>
      <c r="M264" s="346">
        <v>0</v>
      </c>
      <c r="N264" s="226"/>
      <c r="O264" s="232"/>
      <c r="P264" s="232"/>
      <c r="Q264" s="232"/>
      <c r="R264" s="232"/>
      <c r="S264" s="414"/>
      <c r="T264" s="415"/>
      <c r="U264" s="414"/>
      <c r="V264" s="414"/>
      <c r="W264" s="414"/>
      <c r="X264" s="414"/>
      <c r="Y264" s="414"/>
      <c r="Z264" s="416"/>
      <c r="AA264" s="416"/>
      <c r="AB264" s="414"/>
      <c r="AC264" s="414"/>
      <c r="AD264" s="416"/>
      <c r="AE264" s="414"/>
      <c r="AF264" s="233"/>
    </row>
    <row r="265" spans="1:32">
      <c r="A265" s="225">
        <f t="shared" si="3"/>
        <v>256</v>
      </c>
      <c r="B265" s="227" t="s">
        <v>1395</v>
      </c>
      <c r="C265" s="227" t="s">
        <v>1771</v>
      </c>
      <c r="D265" s="228" t="s">
        <v>1772</v>
      </c>
      <c r="E265" s="363" t="s">
        <v>1990</v>
      </c>
      <c r="F265" s="342">
        <v>45168</v>
      </c>
      <c r="G265" s="230"/>
      <c r="H265" s="231"/>
      <c r="I265" s="231">
        <v>83120</v>
      </c>
      <c r="J265" s="226" t="s">
        <v>2388</v>
      </c>
      <c r="K265" s="226"/>
      <c r="L265" s="345">
        <v>83120</v>
      </c>
      <c r="M265" s="346">
        <v>0</v>
      </c>
      <c r="N265" s="226"/>
      <c r="O265" s="232"/>
      <c r="P265" s="232"/>
      <c r="Q265" s="232"/>
      <c r="R265" s="232"/>
      <c r="S265" s="414"/>
      <c r="T265" s="415"/>
      <c r="U265" s="414"/>
      <c r="V265" s="414"/>
      <c r="W265" s="414"/>
      <c r="X265" s="414"/>
      <c r="Y265" s="414"/>
      <c r="Z265" s="416"/>
      <c r="AA265" s="416"/>
      <c r="AB265" s="414"/>
      <c r="AC265" s="414"/>
      <c r="AD265" s="416"/>
      <c r="AE265" s="414"/>
      <c r="AF265" s="233"/>
    </row>
    <row r="266" spans="1:32">
      <c r="A266" s="225">
        <f t="shared" si="3"/>
        <v>257</v>
      </c>
      <c r="B266" s="227" t="s">
        <v>1396</v>
      </c>
      <c r="C266" s="227" t="s">
        <v>1774</v>
      </c>
      <c r="D266" s="228" t="s">
        <v>1775</v>
      </c>
      <c r="E266" s="363" t="s">
        <v>1991</v>
      </c>
      <c r="F266" s="342">
        <v>45166</v>
      </c>
      <c r="G266" s="230"/>
      <c r="H266" s="231"/>
      <c r="I266" s="231">
        <v>68525</v>
      </c>
      <c r="J266" s="226" t="s">
        <v>2391</v>
      </c>
      <c r="K266" s="226"/>
      <c r="L266" s="345"/>
      <c r="M266" s="346">
        <v>68525</v>
      </c>
      <c r="N266" s="226" t="s">
        <v>2401</v>
      </c>
      <c r="O266" s="232"/>
      <c r="P266" s="232"/>
      <c r="Q266" s="232"/>
      <c r="R266" s="232"/>
      <c r="S266" s="414"/>
      <c r="T266" s="415"/>
      <c r="U266" s="414"/>
      <c r="V266" s="414"/>
      <c r="W266" s="414"/>
      <c r="X266" s="414"/>
      <c r="Y266" s="414"/>
      <c r="Z266" s="416"/>
      <c r="AA266" s="416"/>
      <c r="AB266" s="414"/>
      <c r="AC266" s="414"/>
      <c r="AD266" s="416"/>
      <c r="AE266" s="414"/>
      <c r="AF266" s="233"/>
    </row>
    <row r="267" spans="1:32">
      <c r="A267" s="225">
        <f t="shared" si="3"/>
        <v>258</v>
      </c>
      <c r="B267" s="227" t="s">
        <v>1397</v>
      </c>
      <c r="C267" s="227" t="s">
        <v>1923</v>
      </c>
      <c r="D267" s="228" t="s">
        <v>1924</v>
      </c>
      <c r="E267" s="363" t="s">
        <v>1992</v>
      </c>
      <c r="F267" s="342">
        <v>45161</v>
      </c>
      <c r="G267" s="230"/>
      <c r="H267" s="231"/>
      <c r="I267" s="231">
        <v>447552</v>
      </c>
      <c r="J267" s="226" t="s">
        <v>2388</v>
      </c>
      <c r="K267" s="226"/>
      <c r="L267" s="345">
        <v>447552</v>
      </c>
      <c r="M267" s="346">
        <v>0</v>
      </c>
      <c r="N267" s="226"/>
      <c r="O267" s="232"/>
      <c r="P267" s="232"/>
      <c r="Q267" s="232"/>
      <c r="R267" s="232"/>
      <c r="S267" s="414"/>
      <c r="T267" s="415"/>
      <c r="U267" s="414"/>
      <c r="V267" s="414"/>
      <c r="W267" s="414"/>
      <c r="X267" s="414"/>
      <c r="Y267" s="414"/>
      <c r="Z267" s="416"/>
      <c r="AA267" s="416"/>
      <c r="AB267" s="414"/>
      <c r="AC267" s="414"/>
      <c r="AD267" s="416"/>
      <c r="AE267" s="414"/>
      <c r="AF267" s="233"/>
    </row>
    <row r="268" spans="1:32">
      <c r="A268" s="225">
        <f t="shared" ref="A268:A331" si="4">A267+1</f>
        <v>259</v>
      </c>
      <c r="B268" s="227" t="s">
        <v>1398</v>
      </c>
      <c r="C268" s="227" t="s">
        <v>1776</v>
      </c>
      <c r="D268" s="228" t="s">
        <v>1777</v>
      </c>
      <c r="E268" s="363">
        <v>231332</v>
      </c>
      <c r="F268" s="342">
        <v>45139</v>
      </c>
      <c r="G268" s="230"/>
      <c r="H268" s="231"/>
      <c r="I268" s="231">
        <v>206500</v>
      </c>
      <c r="J268" s="226" t="s">
        <v>2388</v>
      </c>
      <c r="K268" s="226"/>
      <c r="L268" s="345">
        <v>206500</v>
      </c>
      <c r="M268" s="346">
        <v>0</v>
      </c>
      <c r="N268" s="226"/>
      <c r="O268" s="232"/>
      <c r="P268" s="232"/>
      <c r="Q268" s="232"/>
      <c r="R268" s="232"/>
      <c r="S268" s="414"/>
      <c r="T268" s="415"/>
      <c r="U268" s="414"/>
      <c r="V268" s="414"/>
      <c r="W268" s="414"/>
      <c r="X268" s="414"/>
      <c r="Y268" s="414"/>
      <c r="Z268" s="416"/>
      <c r="AA268" s="416"/>
      <c r="AB268" s="414"/>
      <c r="AC268" s="414"/>
      <c r="AD268" s="416"/>
      <c r="AE268" s="414"/>
      <c r="AF268" s="233"/>
    </row>
    <row r="269" spans="1:32">
      <c r="A269" s="225">
        <f t="shared" si="4"/>
        <v>260</v>
      </c>
      <c r="B269" s="227" t="s">
        <v>1193</v>
      </c>
      <c r="C269" s="227" t="s">
        <v>1780</v>
      </c>
      <c r="D269" s="228" t="s">
        <v>1781</v>
      </c>
      <c r="E269" s="363">
        <v>8574</v>
      </c>
      <c r="F269" s="342">
        <v>45139</v>
      </c>
      <c r="G269" s="230"/>
      <c r="H269" s="231"/>
      <c r="I269" s="231">
        <v>3688</v>
      </c>
      <c r="J269" s="226" t="s">
        <v>2389</v>
      </c>
      <c r="K269" s="226"/>
      <c r="L269" s="345"/>
      <c r="M269" s="346">
        <v>3688</v>
      </c>
      <c r="N269" s="226"/>
      <c r="O269" s="232"/>
      <c r="P269" s="232"/>
      <c r="Q269" s="232"/>
      <c r="R269" s="232"/>
      <c r="S269" s="414"/>
      <c r="T269" s="415"/>
      <c r="U269" s="414"/>
      <c r="V269" s="414"/>
      <c r="W269" s="414"/>
      <c r="X269" s="414"/>
      <c r="Y269" s="414"/>
      <c r="Z269" s="416"/>
      <c r="AA269" s="416"/>
      <c r="AB269" s="414"/>
      <c r="AC269" s="414"/>
      <c r="AD269" s="416"/>
      <c r="AE269" s="414"/>
      <c r="AF269" s="233"/>
    </row>
    <row r="270" spans="1:32">
      <c r="A270" s="225">
        <f t="shared" si="4"/>
        <v>261</v>
      </c>
      <c r="B270" s="227" t="s">
        <v>1254</v>
      </c>
      <c r="C270" s="227" t="s">
        <v>1771</v>
      </c>
      <c r="D270" s="228" t="s">
        <v>1772</v>
      </c>
      <c r="E270" s="363" t="s">
        <v>1993</v>
      </c>
      <c r="F270" s="342">
        <v>45199</v>
      </c>
      <c r="G270" s="230"/>
      <c r="H270" s="231"/>
      <c r="I270" s="231">
        <v>80379</v>
      </c>
      <c r="J270" s="226" t="s">
        <v>2388</v>
      </c>
      <c r="K270" s="226"/>
      <c r="L270" s="345">
        <v>80379</v>
      </c>
      <c r="M270" s="346">
        <v>0</v>
      </c>
      <c r="N270" s="226"/>
      <c r="O270" s="232"/>
      <c r="P270" s="232"/>
      <c r="Q270" s="232"/>
      <c r="R270" s="232"/>
      <c r="S270" s="414"/>
      <c r="T270" s="415"/>
      <c r="U270" s="414"/>
      <c r="V270" s="414"/>
      <c r="W270" s="414"/>
      <c r="X270" s="414"/>
      <c r="Y270" s="414"/>
      <c r="Z270" s="416"/>
      <c r="AA270" s="416"/>
      <c r="AB270" s="414"/>
      <c r="AC270" s="414"/>
      <c r="AD270" s="416"/>
      <c r="AE270" s="414"/>
      <c r="AF270" s="233"/>
    </row>
    <row r="271" spans="1:32">
      <c r="A271" s="225">
        <f t="shared" si="4"/>
        <v>262</v>
      </c>
      <c r="B271" s="227" t="s">
        <v>1393</v>
      </c>
      <c r="C271" s="227" t="s">
        <v>1763</v>
      </c>
      <c r="D271" s="228" t="s">
        <v>1764</v>
      </c>
      <c r="E271" s="363" t="s">
        <v>1994</v>
      </c>
      <c r="F271" s="342">
        <v>45198</v>
      </c>
      <c r="G271" s="230"/>
      <c r="H271" s="231"/>
      <c r="I271" s="231">
        <v>2582074</v>
      </c>
      <c r="J271" s="226" t="s">
        <v>2388</v>
      </c>
      <c r="K271" s="226"/>
      <c r="L271" s="345">
        <v>2582074</v>
      </c>
      <c r="M271" s="346">
        <v>0</v>
      </c>
      <c r="N271" s="226"/>
      <c r="O271" s="232"/>
      <c r="P271" s="232"/>
      <c r="Q271" s="232"/>
      <c r="R271" s="232"/>
      <c r="S271" s="414"/>
      <c r="T271" s="415"/>
      <c r="U271" s="414"/>
      <c r="V271" s="414"/>
      <c r="W271" s="414"/>
      <c r="X271" s="414"/>
      <c r="Y271" s="414"/>
      <c r="Z271" s="416"/>
      <c r="AA271" s="416"/>
      <c r="AB271" s="414"/>
      <c r="AC271" s="414"/>
      <c r="AD271" s="416"/>
      <c r="AE271" s="414"/>
      <c r="AF271" s="233"/>
    </row>
    <row r="272" spans="1:32">
      <c r="A272" s="225">
        <f t="shared" si="4"/>
        <v>263</v>
      </c>
      <c r="B272" s="227" t="s">
        <v>1188</v>
      </c>
      <c r="C272" s="227" t="s">
        <v>1774</v>
      </c>
      <c r="D272" s="228" t="s">
        <v>1775</v>
      </c>
      <c r="E272" s="363" t="s">
        <v>1995</v>
      </c>
      <c r="F272" s="342">
        <v>45197</v>
      </c>
      <c r="G272" s="230"/>
      <c r="H272" s="231"/>
      <c r="I272" s="231">
        <v>67914</v>
      </c>
      <c r="J272" s="226" t="s">
        <v>2388</v>
      </c>
      <c r="K272" s="226"/>
      <c r="L272" s="345">
        <v>67914</v>
      </c>
      <c r="M272" s="346">
        <v>0</v>
      </c>
      <c r="N272" s="226" t="s">
        <v>2394</v>
      </c>
      <c r="O272" s="232"/>
      <c r="P272" s="232"/>
      <c r="Q272" s="232"/>
      <c r="R272" s="232"/>
      <c r="S272" s="414"/>
      <c r="T272" s="415"/>
      <c r="U272" s="414"/>
      <c r="V272" s="414"/>
      <c r="W272" s="414"/>
      <c r="X272" s="414"/>
      <c r="Y272" s="414"/>
      <c r="Z272" s="416"/>
      <c r="AA272" s="416"/>
      <c r="AB272" s="414"/>
      <c r="AC272" s="414"/>
      <c r="AD272" s="416"/>
      <c r="AE272" s="414"/>
      <c r="AF272" s="233"/>
    </row>
    <row r="273" spans="1:32">
      <c r="A273" s="225">
        <f t="shared" si="4"/>
        <v>264</v>
      </c>
      <c r="B273" s="227" t="s">
        <v>1185</v>
      </c>
      <c r="C273" s="227" t="s">
        <v>1766</v>
      </c>
      <c r="D273" s="228" t="s">
        <v>1767</v>
      </c>
      <c r="E273" s="363" t="s">
        <v>1996</v>
      </c>
      <c r="F273" s="342">
        <v>45197</v>
      </c>
      <c r="G273" s="230"/>
      <c r="H273" s="231"/>
      <c r="I273" s="231">
        <v>2882600</v>
      </c>
      <c r="J273" s="226" t="s">
        <v>2388</v>
      </c>
      <c r="K273" s="226"/>
      <c r="L273" s="345">
        <v>2882600</v>
      </c>
      <c r="M273" s="346">
        <v>0</v>
      </c>
      <c r="N273" s="226"/>
      <c r="O273" s="232"/>
      <c r="P273" s="232"/>
      <c r="Q273" s="232"/>
      <c r="R273" s="232"/>
      <c r="S273" s="414"/>
      <c r="T273" s="415"/>
      <c r="U273" s="414"/>
      <c r="V273" s="414"/>
      <c r="W273" s="414"/>
      <c r="X273" s="414"/>
      <c r="Y273" s="414"/>
      <c r="Z273" s="416"/>
      <c r="AA273" s="416"/>
      <c r="AB273" s="414"/>
      <c r="AC273" s="414"/>
      <c r="AD273" s="416"/>
      <c r="AE273" s="414"/>
      <c r="AF273" s="233"/>
    </row>
    <row r="274" spans="1:32">
      <c r="A274" s="225">
        <f t="shared" si="4"/>
        <v>265</v>
      </c>
      <c r="B274" s="227" t="s">
        <v>1190</v>
      </c>
      <c r="C274" s="227" t="s">
        <v>1923</v>
      </c>
      <c r="D274" s="228" t="s">
        <v>1924</v>
      </c>
      <c r="E274" s="363" t="s">
        <v>1997</v>
      </c>
      <c r="F274" s="342">
        <v>45194</v>
      </c>
      <c r="G274" s="230"/>
      <c r="H274" s="231"/>
      <c r="I274" s="231">
        <v>444528</v>
      </c>
      <c r="J274" s="226" t="s">
        <v>2388</v>
      </c>
      <c r="K274" s="226"/>
      <c r="L274" s="345">
        <v>444528</v>
      </c>
      <c r="M274" s="346">
        <v>0</v>
      </c>
      <c r="N274" s="226"/>
      <c r="O274" s="232"/>
      <c r="P274" s="232"/>
      <c r="Q274" s="232"/>
      <c r="R274" s="232"/>
      <c r="S274" s="414"/>
      <c r="T274" s="415"/>
      <c r="U274" s="414"/>
      <c r="V274" s="414"/>
      <c r="W274" s="414"/>
      <c r="X274" s="414"/>
      <c r="Y274" s="414"/>
      <c r="Z274" s="416"/>
      <c r="AA274" s="416"/>
      <c r="AB274" s="414"/>
      <c r="AC274" s="414"/>
      <c r="AD274" s="416"/>
      <c r="AE274" s="414"/>
      <c r="AF274" s="233"/>
    </row>
    <row r="275" spans="1:32">
      <c r="A275" s="225">
        <f t="shared" si="4"/>
        <v>266</v>
      </c>
      <c r="B275" s="227" t="s">
        <v>1399</v>
      </c>
      <c r="C275" s="227" t="s">
        <v>1760</v>
      </c>
      <c r="D275" s="228" t="s">
        <v>1761</v>
      </c>
      <c r="E275" s="363" t="s">
        <v>1998</v>
      </c>
      <c r="F275" s="342">
        <v>45194</v>
      </c>
      <c r="G275" s="230"/>
      <c r="H275" s="231"/>
      <c r="I275" s="231">
        <v>1029000</v>
      </c>
      <c r="J275" s="226" t="s">
        <v>2388</v>
      </c>
      <c r="K275" s="226"/>
      <c r="L275" s="345">
        <v>1029000</v>
      </c>
      <c r="M275" s="346">
        <v>0</v>
      </c>
      <c r="N275" s="226"/>
      <c r="O275" s="232"/>
      <c r="P275" s="232"/>
      <c r="Q275" s="232"/>
      <c r="R275" s="232"/>
      <c r="S275" s="414"/>
      <c r="T275" s="415"/>
      <c r="U275" s="414"/>
      <c r="V275" s="414"/>
      <c r="W275" s="414"/>
      <c r="X275" s="414"/>
      <c r="Y275" s="414"/>
      <c r="Z275" s="416"/>
      <c r="AA275" s="416"/>
      <c r="AB275" s="414"/>
      <c r="AC275" s="414"/>
      <c r="AD275" s="416"/>
      <c r="AE275" s="414"/>
      <c r="AF275" s="233"/>
    </row>
    <row r="276" spans="1:32">
      <c r="A276" s="225">
        <f t="shared" si="4"/>
        <v>267</v>
      </c>
      <c r="B276" s="227" t="s">
        <v>1400</v>
      </c>
      <c r="C276" s="227" t="s">
        <v>1789</v>
      </c>
      <c r="D276" s="228" t="s">
        <v>1790</v>
      </c>
      <c r="E276" s="363" t="s">
        <v>1999</v>
      </c>
      <c r="F276" s="342">
        <v>45171</v>
      </c>
      <c r="G276" s="230"/>
      <c r="H276" s="231"/>
      <c r="I276" s="231">
        <v>19963</v>
      </c>
      <c r="J276" s="226" t="s">
        <v>2388</v>
      </c>
      <c r="K276" s="226"/>
      <c r="L276" s="345">
        <v>19963</v>
      </c>
      <c r="M276" s="346">
        <v>0</v>
      </c>
      <c r="N276" s="226" t="s">
        <v>2395</v>
      </c>
      <c r="O276" s="232"/>
      <c r="P276" s="232"/>
      <c r="Q276" s="232"/>
      <c r="R276" s="232"/>
      <c r="S276" s="414"/>
      <c r="T276" s="415"/>
      <c r="U276" s="414"/>
      <c r="V276" s="414"/>
      <c r="W276" s="414"/>
      <c r="X276" s="414"/>
      <c r="Y276" s="414"/>
      <c r="Z276" s="416"/>
      <c r="AA276" s="416"/>
      <c r="AB276" s="414"/>
      <c r="AC276" s="414"/>
      <c r="AD276" s="416"/>
      <c r="AE276" s="414"/>
      <c r="AF276" s="233"/>
    </row>
    <row r="277" spans="1:32">
      <c r="A277" s="225">
        <f t="shared" si="4"/>
        <v>268</v>
      </c>
      <c r="B277" s="227" t="s">
        <v>1401</v>
      </c>
      <c r="C277" s="227" t="s">
        <v>1789</v>
      </c>
      <c r="D277" s="228" t="s">
        <v>1790</v>
      </c>
      <c r="E277" s="363" t="s">
        <v>2000</v>
      </c>
      <c r="F277" s="342">
        <v>45171</v>
      </c>
      <c r="G277" s="230"/>
      <c r="H277" s="231"/>
      <c r="I277" s="231">
        <v>29945</v>
      </c>
      <c r="J277" s="226" t="s">
        <v>2388</v>
      </c>
      <c r="K277" s="226"/>
      <c r="L277" s="345">
        <v>29945</v>
      </c>
      <c r="M277" s="346">
        <v>0</v>
      </c>
      <c r="N277" s="226" t="s">
        <v>2395</v>
      </c>
      <c r="O277" s="232"/>
      <c r="P277" s="232"/>
      <c r="Q277" s="232"/>
      <c r="R277" s="232"/>
      <c r="S277" s="414"/>
      <c r="T277" s="415"/>
      <c r="U277" s="414"/>
      <c r="V277" s="414"/>
      <c r="W277" s="414"/>
      <c r="X277" s="414"/>
      <c r="Y277" s="414"/>
      <c r="Z277" s="416"/>
      <c r="AA277" s="416"/>
      <c r="AB277" s="414"/>
      <c r="AC277" s="414"/>
      <c r="AD277" s="416"/>
      <c r="AE277" s="414"/>
      <c r="AF277" s="233"/>
    </row>
    <row r="278" spans="1:32">
      <c r="A278" s="225">
        <f t="shared" si="4"/>
        <v>269</v>
      </c>
      <c r="B278" s="227" t="s">
        <v>1191</v>
      </c>
      <c r="C278" s="227" t="s">
        <v>1776</v>
      </c>
      <c r="D278" s="228" t="s">
        <v>1777</v>
      </c>
      <c r="E278" s="363">
        <v>231504</v>
      </c>
      <c r="F278" s="342">
        <v>45170</v>
      </c>
      <c r="G278" s="230"/>
      <c r="H278" s="231"/>
      <c r="I278" s="231">
        <v>249540</v>
      </c>
      <c r="J278" s="226" t="s">
        <v>2388</v>
      </c>
      <c r="K278" s="226"/>
      <c r="L278" s="345">
        <v>249540</v>
      </c>
      <c r="M278" s="346">
        <v>0</v>
      </c>
      <c r="N278" s="226"/>
      <c r="O278" s="232"/>
      <c r="P278" s="232"/>
      <c r="Q278" s="232"/>
      <c r="R278" s="232"/>
      <c r="S278" s="414"/>
      <c r="T278" s="415"/>
      <c r="U278" s="414"/>
      <c r="V278" s="414"/>
      <c r="W278" s="414"/>
      <c r="X278" s="414"/>
      <c r="Y278" s="414"/>
      <c r="Z278" s="416"/>
      <c r="AA278" s="416"/>
      <c r="AB278" s="414"/>
      <c r="AC278" s="414"/>
      <c r="AD278" s="416"/>
      <c r="AE278" s="414"/>
      <c r="AF278" s="233"/>
    </row>
    <row r="279" spans="1:32">
      <c r="A279" s="225">
        <f t="shared" si="4"/>
        <v>270</v>
      </c>
      <c r="B279" s="227" t="s">
        <v>1402</v>
      </c>
      <c r="C279" s="227" t="s">
        <v>1780</v>
      </c>
      <c r="D279" s="228" t="s">
        <v>1781</v>
      </c>
      <c r="E279" s="363">
        <v>8580</v>
      </c>
      <c r="F279" s="342">
        <v>45170</v>
      </c>
      <c r="G279" s="230"/>
      <c r="H279" s="231"/>
      <c r="I279" s="231">
        <v>2525</v>
      </c>
      <c r="J279" s="226" t="s">
        <v>2389</v>
      </c>
      <c r="K279" s="226"/>
      <c r="L279" s="345"/>
      <c r="M279" s="346">
        <v>2525</v>
      </c>
      <c r="N279" s="226"/>
      <c r="O279" s="232"/>
      <c r="P279" s="232"/>
      <c r="Q279" s="232"/>
      <c r="R279" s="232"/>
      <c r="S279" s="414"/>
      <c r="T279" s="415"/>
      <c r="U279" s="414"/>
      <c r="V279" s="414"/>
      <c r="W279" s="414"/>
      <c r="X279" s="414"/>
      <c r="Y279" s="414"/>
      <c r="Z279" s="416"/>
      <c r="AA279" s="416"/>
      <c r="AB279" s="414"/>
      <c r="AC279" s="414"/>
      <c r="AD279" s="416"/>
      <c r="AE279" s="414"/>
      <c r="AF279" s="233"/>
    </row>
    <row r="280" spans="1:32">
      <c r="A280" s="225">
        <f t="shared" si="4"/>
        <v>271</v>
      </c>
      <c r="B280" s="227" t="s">
        <v>1403</v>
      </c>
      <c r="C280" s="227" t="s">
        <v>1782</v>
      </c>
      <c r="D280" s="228" t="s">
        <v>1783</v>
      </c>
      <c r="E280" s="363" t="s">
        <v>2001</v>
      </c>
      <c r="F280" s="342">
        <v>45196</v>
      </c>
      <c r="G280" s="230"/>
      <c r="H280" s="231"/>
      <c r="I280" s="231">
        <v>549486</v>
      </c>
      <c r="J280" s="226" t="s">
        <v>2388</v>
      </c>
      <c r="K280" s="226"/>
      <c r="L280" s="345">
        <v>549486</v>
      </c>
      <c r="M280" s="346">
        <v>0</v>
      </c>
      <c r="N280" s="226" t="s">
        <v>2398</v>
      </c>
      <c r="O280" s="232"/>
      <c r="P280" s="232"/>
      <c r="Q280" s="232"/>
      <c r="R280" s="232"/>
      <c r="S280" s="414"/>
      <c r="T280" s="415"/>
      <c r="U280" s="414"/>
      <c r="V280" s="414"/>
      <c r="W280" s="414"/>
      <c r="X280" s="414"/>
      <c r="Y280" s="414"/>
      <c r="Z280" s="416"/>
      <c r="AA280" s="416"/>
      <c r="AB280" s="414"/>
      <c r="AC280" s="414"/>
      <c r="AD280" s="416"/>
      <c r="AE280" s="414"/>
      <c r="AF280" s="233"/>
    </row>
    <row r="281" spans="1:32">
      <c r="A281" s="225">
        <f t="shared" si="4"/>
        <v>272</v>
      </c>
      <c r="B281" s="227" t="s">
        <v>1404</v>
      </c>
      <c r="C281" s="227" t="s">
        <v>1789</v>
      </c>
      <c r="D281" s="228" t="s">
        <v>1790</v>
      </c>
      <c r="E281" s="363" t="s">
        <v>2002</v>
      </c>
      <c r="F281" s="342">
        <v>45192</v>
      </c>
      <c r="G281" s="230"/>
      <c r="H281" s="231"/>
      <c r="I281" s="231">
        <v>29628</v>
      </c>
      <c r="J281" s="226" t="s">
        <v>2388</v>
      </c>
      <c r="K281" s="226"/>
      <c r="L281" s="345">
        <v>29628</v>
      </c>
      <c r="M281" s="346">
        <v>0</v>
      </c>
      <c r="N281" s="226" t="s">
        <v>2395</v>
      </c>
      <c r="O281" s="232"/>
      <c r="P281" s="232"/>
      <c r="Q281" s="232"/>
      <c r="R281" s="232"/>
      <c r="S281" s="414"/>
      <c r="T281" s="415"/>
      <c r="U281" s="414"/>
      <c r="V281" s="414"/>
      <c r="W281" s="414"/>
      <c r="X281" s="414"/>
      <c r="Y281" s="414"/>
      <c r="Z281" s="416"/>
      <c r="AA281" s="416"/>
      <c r="AB281" s="414"/>
      <c r="AC281" s="414"/>
      <c r="AD281" s="416"/>
      <c r="AE281" s="414"/>
      <c r="AF281" s="233"/>
    </row>
    <row r="282" spans="1:32">
      <c r="A282" s="225">
        <f t="shared" si="4"/>
        <v>273</v>
      </c>
      <c r="B282" s="227" t="s">
        <v>1405</v>
      </c>
      <c r="C282" s="227" t="s">
        <v>1782</v>
      </c>
      <c r="D282" s="228" t="s">
        <v>1783</v>
      </c>
      <c r="E282" s="363" t="s">
        <v>2003</v>
      </c>
      <c r="F282" s="342">
        <v>45196</v>
      </c>
      <c r="G282" s="230"/>
      <c r="H282" s="231"/>
      <c r="I282" s="231">
        <v>508326</v>
      </c>
      <c r="J282" s="226" t="s">
        <v>2388</v>
      </c>
      <c r="K282" s="226"/>
      <c r="L282" s="345">
        <v>508326</v>
      </c>
      <c r="M282" s="346">
        <v>0</v>
      </c>
      <c r="N282" s="226" t="s">
        <v>2398</v>
      </c>
      <c r="O282" s="232"/>
      <c r="P282" s="232"/>
      <c r="Q282" s="232"/>
      <c r="R282" s="232"/>
      <c r="S282" s="414"/>
      <c r="T282" s="415"/>
      <c r="U282" s="414"/>
      <c r="V282" s="414"/>
      <c r="W282" s="414"/>
      <c r="X282" s="414"/>
      <c r="Y282" s="414"/>
      <c r="Z282" s="416"/>
      <c r="AA282" s="416"/>
      <c r="AB282" s="414"/>
      <c r="AC282" s="414"/>
      <c r="AD282" s="416"/>
      <c r="AE282" s="414"/>
      <c r="AF282" s="233"/>
    </row>
    <row r="283" spans="1:32">
      <c r="A283" s="225">
        <f t="shared" si="4"/>
        <v>274</v>
      </c>
      <c r="B283" s="227" t="s">
        <v>1406</v>
      </c>
      <c r="C283" s="227" t="s">
        <v>1789</v>
      </c>
      <c r="D283" s="228" t="s">
        <v>1790</v>
      </c>
      <c r="E283" s="363" t="s">
        <v>2004</v>
      </c>
      <c r="F283" s="342">
        <v>45192</v>
      </c>
      <c r="G283" s="230"/>
      <c r="H283" s="231"/>
      <c r="I283" s="231">
        <v>29628</v>
      </c>
      <c r="J283" s="226" t="s">
        <v>2388</v>
      </c>
      <c r="K283" s="226"/>
      <c r="L283" s="345">
        <v>29628</v>
      </c>
      <c r="M283" s="346">
        <v>0</v>
      </c>
      <c r="N283" s="226" t="s">
        <v>2395</v>
      </c>
      <c r="O283" s="232"/>
      <c r="P283" s="232"/>
      <c r="Q283" s="232"/>
      <c r="R283" s="232"/>
      <c r="S283" s="414"/>
      <c r="T283" s="415"/>
      <c r="U283" s="414"/>
      <c r="V283" s="414"/>
      <c r="W283" s="414"/>
      <c r="X283" s="414"/>
      <c r="Y283" s="414"/>
      <c r="Z283" s="416"/>
      <c r="AA283" s="416"/>
      <c r="AB283" s="414"/>
      <c r="AC283" s="414"/>
      <c r="AD283" s="416"/>
      <c r="AE283" s="414"/>
      <c r="AF283" s="233"/>
    </row>
    <row r="284" spans="1:32">
      <c r="A284" s="225">
        <f t="shared" si="4"/>
        <v>275</v>
      </c>
      <c r="B284" s="227" t="s">
        <v>1407</v>
      </c>
      <c r="C284" s="227" t="s">
        <v>1782</v>
      </c>
      <c r="D284" s="228" t="s">
        <v>1783</v>
      </c>
      <c r="E284" s="363" t="s">
        <v>2005</v>
      </c>
      <c r="F284" s="342">
        <v>45196</v>
      </c>
      <c r="G284" s="230"/>
      <c r="H284" s="231"/>
      <c r="I284" s="231">
        <v>549486</v>
      </c>
      <c r="J284" s="226" t="s">
        <v>2388</v>
      </c>
      <c r="K284" s="226"/>
      <c r="L284" s="345">
        <v>549486</v>
      </c>
      <c r="M284" s="346">
        <v>0</v>
      </c>
      <c r="N284" s="226" t="s">
        <v>2398</v>
      </c>
      <c r="O284" s="232"/>
      <c r="P284" s="232"/>
      <c r="Q284" s="232"/>
      <c r="R284" s="232"/>
      <c r="S284" s="414"/>
      <c r="T284" s="415"/>
      <c r="U284" s="414"/>
      <c r="V284" s="414"/>
      <c r="W284" s="414"/>
      <c r="X284" s="414"/>
      <c r="Y284" s="414"/>
      <c r="Z284" s="416"/>
      <c r="AA284" s="416"/>
      <c r="AB284" s="414"/>
      <c r="AC284" s="414"/>
      <c r="AD284" s="416"/>
      <c r="AE284" s="414"/>
      <c r="AF284" s="233"/>
    </row>
    <row r="285" spans="1:32">
      <c r="A285" s="225">
        <f t="shared" si="4"/>
        <v>276</v>
      </c>
      <c r="B285" s="227" t="s">
        <v>1408</v>
      </c>
      <c r="C285" s="227" t="s">
        <v>1789</v>
      </c>
      <c r="D285" s="228" t="s">
        <v>1790</v>
      </c>
      <c r="E285" s="363" t="s">
        <v>2006</v>
      </c>
      <c r="F285" s="342">
        <v>45178</v>
      </c>
      <c r="G285" s="230"/>
      <c r="H285" s="231"/>
      <c r="I285" s="231">
        <v>29844</v>
      </c>
      <c r="J285" s="226" t="s">
        <v>2388</v>
      </c>
      <c r="K285" s="226"/>
      <c r="L285" s="345">
        <v>29844</v>
      </c>
      <c r="M285" s="346">
        <v>0</v>
      </c>
      <c r="N285" s="226" t="s">
        <v>2395</v>
      </c>
      <c r="O285" s="232"/>
      <c r="P285" s="232"/>
      <c r="Q285" s="232"/>
      <c r="R285" s="232"/>
      <c r="S285" s="414"/>
      <c r="T285" s="415"/>
      <c r="U285" s="414"/>
      <c r="V285" s="414"/>
      <c r="W285" s="414"/>
      <c r="X285" s="414"/>
      <c r="Y285" s="414"/>
      <c r="Z285" s="416"/>
      <c r="AA285" s="416"/>
      <c r="AB285" s="414"/>
      <c r="AC285" s="414"/>
      <c r="AD285" s="416"/>
      <c r="AE285" s="414"/>
      <c r="AF285" s="233"/>
    </row>
    <row r="286" spans="1:32">
      <c r="A286" s="225">
        <f t="shared" si="4"/>
        <v>277</v>
      </c>
      <c r="B286" s="227" t="s">
        <v>1409</v>
      </c>
      <c r="C286" s="227" t="s">
        <v>1782</v>
      </c>
      <c r="D286" s="228" t="s">
        <v>1783</v>
      </c>
      <c r="E286" s="363" t="s">
        <v>2007</v>
      </c>
      <c r="F286" s="342">
        <v>45196</v>
      </c>
      <c r="G286" s="230"/>
      <c r="H286" s="231"/>
      <c r="I286" s="231">
        <v>508326</v>
      </c>
      <c r="J286" s="226" t="s">
        <v>2388</v>
      </c>
      <c r="K286" s="226"/>
      <c r="L286" s="345">
        <v>508326</v>
      </c>
      <c r="M286" s="346">
        <v>0</v>
      </c>
      <c r="N286" s="226" t="s">
        <v>2398</v>
      </c>
      <c r="O286" s="232"/>
      <c r="P286" s="232"/>
      <c r="Q286" s="232"/>
      <c r="R286" s="232"/>
      <c r="S286" s="414"/>
      <c r="T286" s="415"/>
      <c r="U286" s="414"/>
      <c r="V286" s="414"/>
      <c r="W286" s="414"/>
      <c r="X286" s="414"/>
      <c r="Y286" s="414"/>
      <c r="Z286" s="416"/>
      <c r="AA286" s="416"/>
      <c r="AB286" s="414"/>
      <c r="AC286" s="414"/>
      <c r="AD286" s="416"/>
      <c r="AE286" s="414"/>
      <c r="AF286" s="233"/>
    </row>
    <row r="287" spans="1:32">
      <c r="A287" s="225">
        <f t="shared" si="4"/>
        <v>278</v>
      </c>
      <c r="B287" s="227" t="s">
        <v>1410</v>
      </c>
      <c r="C287" s="227" t="s">
        <v>1789</v>
      </c>
      <c r="D287" s="228" t="s">
        <v>1790</v>
      </c>
      <c r="E287" s="363" t="s">
        <v>2008</v>
      </c>
      <c r="F287" s="342">
        <v>45178</v>
      </c>
      <c r="G287" s="230"/>
      <c r="H287" s="231"/>
      <c r="I287" s="231">
        <v>29844</v>
      </c>
      <c r="J287" s="226" t="s">
        <v>2388</v>
      </c>
      <c r="K287" s="226"/>
      <c r="L287" s="345">
        <v>29844</v>
      </c>
      <c r="M287" s="346">
        <v>0</v>
      </c>
      <c r="N287" s="226" t="s">
        <v>2395</v>
      </c>
      <c r="O287" s="232"/>
      <c r="P287" s="232"/>
      <c r="Q287" s="232"/>
      <c r="R287" s="232"/>
      <c r="S287" s="414"/>
      <c r="T287" s="415"/>
      <c r="U287" s="414"/>
      <c r="V287" s="414"/>
      <c r="W287" s="414"/>
      <c r="X287" s="414"/>
      <c r="Y287" s="414"/>
      <c r="Z287" s="416"/>
      <c r="AA287" s="416"/>
      <c r="AB287" s="414"/>
      <c r="AC287" s="414"/>
      <c r="AD287" s="416"/>
      <c r="AE287" s="414"/>
      <c r="AF287" s="233"/>
    </row>
    <row r="288" spans="1:32">
      <c r="A288" s="225">
        <f t="shared" si="4"/>
        <v>279</v>
      </c>
      <c r="B288" s="227" t="s">
        <v>1411</v>
      </c>
      <c r="C288" s="227" t="s">
        <v>1782</v>
      </c>
      <c r="D288" s="228" t="s">
        <v>1783</v>
      </c>
      <c r="E288" s="363" t="s">
        <v>2009</v>
      </c>
      <c r="F288" s="342">
        <v>45196</v>
      </c>
      <c r="G288" s="230"/>
      <c r="H288" s="231"/>
      <c r="I288" s="231">
        <v>508326</v>
      </c>
      <c r="J288" s="226" t="s">
        <v>2388</v>
      </c>
      <c r="K288" s="226"/>
      <c r="L288" s="345">
        <v>508326</v>
      </c>
      <c r="M288" s="346">
        <v>0</v>
      </c>
      <c r="N288" s="226" t="s">
        <v>2398</v>
      </c>
      <c r="O288" s="232"/>
      <c r="P288" s="232"/>
      <c r="Q288" s="232"/>
      <c r="R288" s="232"/>
      <c r="S288" s="414"/>
      <c r="T288" s="415"/>
      <c r="U288" s="414"/>
      <c r="V288" s="414"/>
      <c r="W288" s="414"/>
      <c r="X288" s="414"/>
      <c r="Y288" s="414"/>
      <c r="Z288" s="416"/>
      <c r="AA288" s="416"/>
      <c r="AB288" s="414"/>
      <c r="AC288" s="414"/>
      <c r="AD288" s="416"/>
      <c r="AE288" s="414"/>
      <c r="AF288" s="233"/>
    </row>
    <row r="289" spans="1:32">
      <c r="A289" s="225">
        <f t="shared" si="4"/>
        <v>280</v>
      </c>
      <c r="B289" s="227" t="s">
        <v>1412</v>
      </c>
      <c r="C289" s="227" t="s">
        <v>1789</v>
      </c>
      <c r="D289" s="228" t="s">
        <v>1790</v>
      </c>
      <c r="E289" s="363" t="s">
        <v>2010</v>
      </c>
      <c r="F289" s="342">
        <v>45178</v>
      </c>
      <c r="G289" s="230"/>
      <c r="H289" s="231"/>
      <c r="I289" s="231">
        <v>29844</v>
      </c>
      <c r="J289" s="226" t="s">
        <v>2388</v>
      </c>
      <c r="K289" s="226"/>
      <c r="L289" s="345">
        <v>29844</v>
      </c>
      <c r="M289" s="346">
        <v>0</v>
      </c>
      <c r="N289" s="226" t="s">
        <v>2395</v>
      </c>
      <c r="O289" s="232"/>
      <c r="P289" s="232"/>
      <c r="Q289" s="232"/>
      <c r="R289" s="232"/>
      <c r="S289" s="414"/>
      <c r="T289" s="415"/>
      <c r="U289" s="414"/>
      <c r="V289" s="414"/>
      <c r="W289" s="414"/>
      <c r="X289" s="414"/>
      <c r="Y289" s="414"/>
      <c r="Z289" s="416"/>
      <c r="AA289" s="416"/>
      <c r="AB289" s="414"/>
      <c r="AC289" s="414"/>
      <c r="AD289" s="416"/>
      <c r="AE289" s="414"/>
      <c r="AF289" s="233"/>
    </row>
    <row r="290" spans="1:32">
      <c r="A290" s="225">
        <f t="shared" si="4"/>
        <v>281</v>
      </c>
      <c r="B290" s="227" t="s">
        <v>1413</v>
      </c>
      <c r="C290" s="227" t="s">
        <v>1782</v>
      </c>
      <c r="D290" s="228" t="s">
        <v>1783</v>
      </c>
      <c r="E290" s="363" t="s">
        <v>2011</v>
      </c>
      <c r="F290" s="342">
        <v>45196</v>
      </c>
      <c r="G290" s="230"/>
      <c r="H290" s="231"/>
      <c r="I290" s="231">
        <v>592704</v>
      </c>
      <c r="J290" s="226" t="s">
        <v>2388</v>
      </c>
      <c r="K290" s="226"/>
      <c r="L290" s="345">
        <v>592704</v>
      </c>
      <c r="M290" s="346">
        <v>0</v>
      </c>
      <c r="N290" s="226" t="s">
        <v>2398</v>
      </c>
      <c r="O290" s="232"/>
      <c r="P290" s="232"/>
      <c r="Q290" s="232"/>
      <c r="R290" s="232"/>
      <c r="S290" s="414"/>
      <c r="T290" s="415"/>
      <c r="U290" s="414"/>
      <c r="V290" s="414"/>
      <c r="W290" s="414"/>
      <c r="X290" s="414"/>
      <c r="Y290" s="414"/>
      <c r="Z290" s="416"/>
      <c r="AA290" s="416"/>
      <c r="AB290" s="414"/>
      <c r="AC290" s="414"/>
      <c r="AD290" s="416"/>
      <c r="AE290" s="414"/>
      <c r="AF290" s="233"/>
    </row>
    <row r="291" spans="1:32">
      <c r="A291" s="225">
        <f t="shared" si="4"/>
        <v>282</v>
      </c>
      <c r="B291" s="227" t="s">
        <v>1414</v>
      </c>
      <c r="C291" s="227" t="s">
        <v>1785</v>
      </c>
      <c r="D291" s="228" t="s">
        <v>1786</v>
      </c>
      <c r="E291" s="363">
        <v>157113</v>
      </c>
      <c r="F291" s="342">
        <v>45191</v>
      </c>
      <c r="G291" s="230"/>
      <c r="H291" s="231"/>
      <c r="I291" s="231">
        <v>23455</v>
      </c>
      <c r="J291" s="226" t="s">
        <v>2390</v>
      </c>
      <c r="K291" s="226"/>
      <c r="L291" s="345"/>
      <c r="M291" s="346">
        <v>23455</v>
      </c>
      <c r="N291" s="226"/>
      <c r="O291" s="232"/>
      <c r="P291" s="232"/>
      <c r="Q291" s="232"/>
      <c r="R291" s="232"/>
      <c r="S291" s="414"/>
      <c r="T291" s="415"/>
      <c r="U291" s="414"/>
      <c r="V291" s="414"/>
      <c r="W291" s="414"/>
      <c r="X291" s="414"/>
      <c r="Y291" s="414"/>
      <c r="Z291" s="416"/>
      <c r="AA291" s="416"/>
      <c r="AB291" s="414"/>
      <c r="AC291" s="414"/>
      <c r="AD291" s="416"/>
      <c r="AE291" s="414"/>
      <c r="AF291" s="233"/>
    </row>
    <row r="292" spans="1:32">
      <c r="A292" s="225">
        <f t="shared" si="4"/>
        <v>283</v>
      </c>
      <c r="B292" s="227" t="s">
        <v>1415</v>
      </c>
      <c r="C292" s="227" t="s">
        <v>1782</v>
      </c>
      <c r="D292" s="228" t="s">
        <v>1783</v>
      </c>
      <c r="E292" s="363" t="s">
        <v>2012</v>
      </c>
      <c r="F292" s="342">
        <v>45196</v>
      </c>
      <c r="G292" s="230"/>
      <c r="H292" s="231"/>
      <c r="I292" s="231">
        <v>580356</v>
      </c>
      <c r="J292" s="226" t="s">
        <v>2388</v>
      </c>
      <c r="K292" s="226"/>
      <c r="L292" s="345">
        <v>580356</v>
      </c>
      <c r="M292" s="346">
        <v>0</v>
      </c>
      <c r="N292" s="226" t="s">
        <v>2398</v>
      </c>
      <c r="O292" s="232"/>
      <c r="P292" s="232"/>
      <c r="Q292" s="232"/>
      <c r="R292" s="232"/>
      <c r="S292" s="414"/>
      <c r="T292" s="415"/>
      <c r="U292" s="414"/>
      <c r="V292" s="414"/>
      <c r="W292" s="414"/>
      <c r="X292" s="414"/>
      <c r="Y292" s="414"/>
      <c r="Z292" s="416"/>
      <c r="AA292" s="416"/>
      <c r="AB292" s="414"/>
      <c r="AC292" s="414"/>
      <c r="AD292" s="416"/>
      <c r="AE292" s="414"/>
      <c r="AF292" s="233"/>
    </row>
    <row r="293" spans="1:32">
      <c r="A293" s="225">
        <f t="shared" si="4"/>
        <v>284</v>
      </c>
      <c r="B293" s="227" t="s">
        <v>1416</v>
      </c>
      <c r="C293" s="227" t="s">
        <v>1785</v>
      </c>
      <c r="D293" s="228" t="s">
        <v>1786</v>
      </c>
      <c r="E293" s="363">
        <v>150692</v>
      </c>
      <c r="F293" s="342">
        <v>45182</v>
      </c>
      <c r="G293" s="230"/>
      <c r="H293" s="231"/>
      <c r="I293" s="231">
        <v>23444</v>
      </c>
      <c r="J293" s="226" t="s">
        <v>2390</v>
      </c>
      <c r="K293" s="226"/>
      <c r="L293" s="345"/>
      <c r="M293" s="346">
        <v>23444</v>
      </c>
      <c r="N293" s="226"/>
      <c r="O293" s="232"/>
      <c r="P293" s="232"/>
      <c r="Q293" s="232"/>
      <c r="R293" s="232"/>
      <c r="S293" s="414"/>
      <c r="T293" s="415"/>
      <c r="U293" s="414"/>
      <c r="V293" s="414"/>
      <c r="W293" s="414"/>
      <c r="X293" s="414"/>
      <c r="Y293" s="414"/>
      <c r="Z293" s="416"/>
      <c r="AA293" s="416"/>
      <c r="AB293" s="414"/>
      <c r="AC293" s="414"/>
      <c r="AD293" s="416"/>
      <c r="AE293" s="414"/>
      <c r="AF293" s="233"/>
    </row>
    <row r="294" spans="1:32">
      <c r="A294" s="225">
        <f t="shared" si="4"/>
        <v>285</v>
      </c>
      <c r="B294" s="227" t="s">
        <v>1417</v>
      </c>
      <c r="C294" s="227" t="s">
        <v>1782</v>
      </c>
      <c r="D294" s="228" t="s">
        <v>1783</v>
      </c>
      <c r="E294" s="363" t="s">
        <v>2013</v>
      </c>
      <c r="F294" s="342">
        <v>45196</v>
      </c>
      <c r="G294" s="230"/>
      <c r="H294" s="231"/>
      <c r="I294" s="231">
        <v>605052</v>
      </c>
      <c r="J294" s="226" t="s">
        <v>2388</v>
      </c>
      <c r="K294" s="226"/>
      <c r="L294" s="345">
        <v>605052</v>
      </c>
      <c r="M294" s="346">
        <v>0</v>
      </c>
      <c r="N294" s="226" t="s">
        <v>2398</v>
      </c>
      <c r="O294" s="232"/>
      <c r="P294" s="232"/>
      <c r="Q294" s="232"/>
      <c r="R294" s="232"/>
      <c r="S294" s="414"/>
      <c r="T294" s="415"/>
      <c r="U294" s="414"/>
      <c r="V294" s="414"/>
      <c r="W294" s="414"/>
      <c r="X294" s="414"/>
      <c r="Y294" s="414"/>
      <c r="Z294" s="416"/>
      <c r="AA294" s="416"/>
      <c r="AB294" s="414"/>
      <c r="AC294" s="414"/>
      <c r="AD294" s="416"/>
      <c r="AE294" s="414"/>
      <c r="AF294" s="233"/>
    </row>
    <row r="295" spans="1:32">
      <c r="A295" s="225">
        <f t="shared" si="4"/>
        <v>286</v>
      </c>
      <c r="B295" s="227" t="s">
        <v>1418</v>
      </c>
      <c r="C295" s="227" t="s">
        <v>1785</v>
      </c>
      <c r="D295" s="228" t="s">
        <v>1786</v>
      </c>
      <c r="E295" s="363">
        <v>148918</v>
      </c>
      <c r="F295" s="342">
        <v>45178</v>
      </c>
      <c r="G295" s="230"/>
      <c r="H295" s="231"/>
      <c r="I295" s="231">
        <v>36061</v>
      </c>
      <c r="J295" s="226" t="s">
        <v>2390</v>
      </c>
      <c r="K295" s="226"/>
      <c r="L295" s="345"/>
      <c r="M295" s="346">
        <v>36061</v>
      </c>
      <c r="N295" s="226" t="s">
        <v>2402</v>
      </c>
      <c r="O295" s="232"/>
      <c r="P295" s="232"/>
      <c r="Q295" s="232"/>
      <c r="R295" s="232"/>
      <c r="S295" s="414"/>
      <c r="T295" s="415"/>
      <c r="U295" s="414"/>
      <c r="V295" s="414"/>
      <c r="W295" s="414"/>
      <c r="X295" s="414"/>
      <c r="Y295" s="414"/>
      <c r="Z295" s="416"/>
      <c r="AA295" s="416"/>
      <c r="AB295" s="414"/>
      <c r="AC295" s="414"/>
      <c r="AD295" s="416"/>
      <c r="AE295" s="414"/>
      <c r="AF295" s="233"/>
    </row>
    <row r="296" spans="1:32">
      <c r="A296" s="225">
        <f t="shared" si="4"/>
        <v>287</v>
      </c>
      <c r="B296" s="227" t="s">
        <v>1419</v>
      </c>
      <c r="C296" s="227" t="s">
        <v>1782</v>
      </c>
      <c r="D296" s="228" t="s">
        <v>1783</v>
      </c>
      <c r="E296" s="363" t="s">
        <v>2014</v>
      </c>
      <c r="F296" s="342">
        <v>45230</v>
      </c>
      <c r="G296" s="230"/>
      <c r="H296" s="231"/>
      <c r="I296" s="231">
        <v>119915</v>
      </c>
      <c r="J296" s="226" t="s">
        <v>2388</v>
      </c>
      <c r="K296" s="226"/>
      <c r="L296" s="345">
        <v>119915</v>
      </c>
      <c r="M296" s="346">
        <v>0</v>
      </c>
      <c r="N296" s="226" t="s">
        <v>2398</v>
      </c>
      <c r="O296" s="232"/>
      <c r="P296" s="232"/>
      <c r="Q296" s="232"/>
      <c r="R296" s="232"/>
      <c r="S296" s="414"/>
      <c r="T296" s="415"/>
      <c r="U296" s="414"/>
      <c r="V296" s="414"/>
      <c r="W296" s="414"/>
      <c r="X296" s="414"/>
      <c r="Y296" s="414"/>
      <c r="Z296" s="416"/>
      <c r="AA296" s="416"/>
      <c r="AB296" s="414"/>
      <c r="AC296" s="414"/>
      <c r="AD296" s="416"/>
      <c r="AE296" s="414"/>
      <c r="AF296" s="233"/>
    </row>
    <row r="297" spans="1:32">
      <c r="A297" s="225">
        <f t="shared" si="4"/>
        <v>288</v>
      </c>
      <c r="B297" s="227" t="s">
        <v>1420</v>
      </c>
      <c r="C297" s="227" t="s">
        <v>1782</v>
      </c>
      <c r="D297" s="228" t="s">
        <v>1783</v>
      </c>
      <c r="E297" s="363" t="s">
        <v>2015</v>
      </c>
      <c r="F297" s="342">
        <v>45204</v>
      </c>
      <c r="G297" s="230"/>
      <c r="H297" s="231"/>
      <c r="I297" s="231">
        <v>522605</v>
      </c>
      <c r="J297" s="226" t="s">
        <v>2388</v>
      </c>
      <c r="K297" s="226"/>
      <c r="L297" s="345">
        <v>522605</v>
      </c>
      <c r="M297" s="346">
        <v>0</v>
      </c>
      <c r="N297" s="226" t="s">
        <v>2398</v>
      </c>
      <c r="O297" s="232"/>
      <c r="P297" s="232"/>
      <c r="Q297" s="232"/>
      <c r="R297" s="232"/>
      <c r="S297" s="414"/>
      <c r="T297" s="415"/>
      <c r="U297" s="414"/>
      <c r="V297" s="414"/>
      <c r="W297" s="414"/>
      <c r="X297" s="414"/>
      <c r="Y297" s="414"/>
      <c r="Z297" s="416"/>
      <c r="AA297" s="416"/>
      <c r="AB297" s="414"/>
      <c r="AC297" s="414"/>
      <c r="AD297" s="416"/>
      <c r="AE297" s="414"/>
      <c r="AF297" s="233"/>
    </row>
    <row r="298" spans="1:32">
      <c r="A298" s="225">
        <f t="shared" si="4"/>
        <v>289</v>
      </c>
      <c r="B298" s="227" t="s">
        <v>1421</v>
      </c>
      <c r="C298" s="227" t="s">
        <v>1782</v>
      </c>
      <c r="D298" s="228" t="s">
        <v>1783</v>
      </c>
      <c r="E298" s="363" t="s">
        <v>2016</v>
      </c>
      <c r="F298" s="342">
        <v>45230</v>
      </c>
      <c r="G298" s="230"/>
      <c r="H298" s="231"/>
      <c r="I298" s="231">
        <v>659533</v>
      </c>
      <c r="J298" s="226" t="s">
        <v>2388</v>
      </c>
      <c r="K298" s="226"/>
      <c r="L298" s="345">
        <v>659533</v>
      </c>
      <c r="M298" s="346">
        <v>0</v>
      </c>
      <c r="N298" s="226" t="s">
        <v>2398</v>
      </c>
      <c r="O298" s="232"/>
      <c r="P298" s="232"/>
      <c r="Q298" s="232"/>
      <c r="R298" s="232"/>
      <c r="S298" s="414"/>
      <c r="T298" s="415"/>
      <c r="U298" s="414"/>
      <c r="V298" s="414"/>
      <c r="W298" s="414"/>
      <c r="X298" s="414"/>
      <c r="Y298" s="414"/>
      <c r="Z298" s="416"/>
      <c r="AA298" s="416"/>
      <c r="AB298" s="414"/>
      <c r="AC298" s="414"/>
      <c r="AD298" s="416"/>
      <c r="AE298" s="414"/>
      <c r="AF298" s="233"/>
    </row>
    <row r="299" spans="1:32">
      <c r="A299" s="225">
        <f t="shared" si="4"/>
        <v>290</v>
      </c>
      <c r="B299" s="227" t="s">
        <v>1422</v>
      </c>
      <c r="C299" s="227" t="s">
        <v>1789</v>
      </c>
      <c r="D299" s="228" t="s">
        <v>1790</v>
      </c>
      <c r="E299" s="363" t="s">
        <v>2017</v>
      </c>
      <c r="F299" s="342">
        <v>45227</v>
      </c>
      <c r="G299" s="230"/>
      <c r="H299" s="231"/>
      <c r="I299" s="231">
        <v>29786</v>
      </c>
      <c r="J299" s="226" t="s">
        <v>2388</v>
      </c>
      <c r="K299" s="226"/>
      <c r="L299" s="345">
        <v>29786</v>
      </c>
      <c r="M299" s="346">
        <v>0</v>
      </c>
      <c r="N299" s="226" t="s">
        <v>2395</v>
      </c>
      <c r="O299" s="232"/>
      <c r="P299" s="232"/>
      <c r="Q299" s="232"/>
      <c r="R299" s="232"/>
      <c r="S299" s="414"/>
      <c r="T299" s="415"/>
      <c r="U299" s="414"/>
      <c r="V299" s="414"/>
      <c r="W299" s="414"/>
      <c r="X299" s="414"/>
      <c r="Y299" s="414"/>
      <c r="Z299" s="416"/>
      <c r="AA299" s="416"/>
      <c r="AB299" s="414"/>
      <c r="AC299" s="414"/>
      <c r="AD299" s="416"/>
      <c r="AE299" s="414"/>
      <c r="AF299" s="233"/>
    </row>
    <row r="300" spans="1:32">
      <c r="A300" s="225">
        <f t="shared" si="4"/>
        <v>291</v>
      </c>
      <c r="B300" s="227" t="s">
        <v>1423</v>
      </c>
      <c r="C300" s="227" t="s">
        <v>1782</v>
      </c>
      <c r="D300" s="228" t="s">
        <v>1783</v>
      </c>
      <c r="E300" s="363" t="s">
        <v>2018</v>
      </c>
      <c r="F300" s="342">
        <v>45204</v>
      </c>
      <c r="G300" s="230"/>
      <c r="H300" s="231"/>
      <c r="I300" s="231">
        <v>509808</v>
      </c>
      <c r="J300" s="226" t="s">
        <v>2388</v>
      </c>
      <c r="K300" s="226"/>
      <c r="L300" s="345">
        <v>509808</v>
      </c>
      <c r="M300" s="346">
        <v>0</v>
      </c>
      <c r="N300" s="226" t="s">
        <v>2398</v>
      </c>
      <c r="O300" s="232"/>
      <c r="P300" s="232"/>
      <c r="Q300" s="232"/>
      <c r="R300" s="232"/>
      <c r="S300" s="414"/>
      <c r="T300" s="415"/>
      <c r="U300" s="414"/>
      <c r="V300" s="414"/>
      <c r="W300" s="414"/>
      <c r="X300" s="414"/>
      <c r="Y300" s="414"/>
      <c r="Z300" s="416"/>
      <c r="AA300" s="416"/>
      <c r="AB300" s="414"/>
      <c r="AC300" s="414"/>
      <c r="AD300" s="416"/>
      <c r="AE300" s="414"/>
      <c r="AF300" s="233"/>
    </row>
    <row r="301" spans="1:32">
      <c r="A301" s="225">
        <f t="shared" si="4"/>
        <v>292</v>
      </c>
      <c r="B301" s="227" t="s">
        <v>1424</v>
      </c>
      <c r="C301" s="227" t="s">
        <v>1789</v>
      </c>
      <c r="D301" s="228" t="s">
        <v>1790</v>
      </c>
      <c r="E301" s="363" t="s">
        <v>2019</v>
      </c>
      <c r="F301" s="342">
        <v>45220</v>
      </c>
      <c r="G301" s="230"/>
      <c r="H301" s="231"/>
      <c r="I301" s="231">
        <v>29750</v>
      </c>
      <c r="J301" s="226" t="s">
        <v>2388</v>
      </c>
      <c r="K301" s="226"/>
      <c r="L301" s="345">
        <v>29750</v>
      </c>
      <c r="M301" s="346">
        <v>0</v>
      </c>
      <c r="N301" s="226" t="s">
        <v>2395</v>
      </c>
      <c r="O301" s="232"/>
      <c r="P301" s="232"/>
      <c r="Q301" s="232"/>
      <c r="R301" s="232"/>
      <c r="S301" s="414"/>
      <c r="T301" s="415"/>
      <c r="U301" s="414"/>
      <c r="V301" s="414"/>
      <c r="W301" s="414"/>
      <c r="X301" s="414"/>
      <c r="Y301" s="414"/>
      <c r="Z301" s="416"/>
      <c r="AA301" s="416"/>
      <c r="AB301" s="414"/>
      <c r="AC301" s="414"/>
      <c r="AD301" s="416"/>
      <c r="AE301" s="414"/>
      <c r="AF301" s="233"/>
    </row>
    <row r="302" spans="1:32">
      <c r="A302" s="225">
        <f t="shared" si="4"/>
        <v>293</v>
      </c>
      <c r="B302" s="227" t="s">
        <v>1425</v>
      </c>
      <c r="C302" s="227" t="s">
        <v>1782</v>
      </c>
      <c r="D302" s="228" t="s">
        <v>1783</v>
      </c>
      <c r="E302" s="363" t="s">
        <v>2020</v>
      </c>
      <c r="F302" s="342">
        <v>45204</v>
      </c>
      <c r="G302" s="230"/>
      <c r="H302" s="231"/>
      <c r="I302" s="231">
        <v>671213</v>
      </c>
      <c r="J302" s="226" t="s">
        <v>2388</v>
      </c>
      <c r="K302" s="226"/>
      <c r="L302" s="345">
        <v>671213</v>
      </c>
      <c r="M302" s="346">
        <v>0</v>
      </c>
      <c r="N302" s="226" t="s">
        <v>2398</v>
      </c>
      <c r="O302" s="232"/>
      <c r="P302" s="232"/>
      <c r="Q302" s="232"/>
      <c r="R302" s="232"/>
      <c r="S302" s="414"/>
      <c r="T302" s="415"/>
      <c r="U302" s="414"/>
      <c r="V302" s="414"/>
      <c r="W302" s="414"/>
      <c r="X302" s="414"/>
      <c r="Y302" s="414"/>
      <c r="Z302" s="416"/>
      <c r="AA302" s="416"/>
      <c r="AB302" s="414"/>
      <c r="AC302" s="414"/>
      <c r="AD302" s="416"/>
      <c r="AE302" s="414"/>
      <c r="AF302" s="233"/>
    </row>
    <row r="303" spans="1:32">
      <c r="A303" s="225">
        <f t="shared" si="4"/>
        <v>294</v>
      </c>
      <c r="B303" s="227" t="s">
        <v>1426</v>
      </c>
      <c r="C303" s="227" t="s">
        <v>1789</v>
      </c>
      <c r="D303" s="228" t="s">
        <v>1790</v>
      </c>
      <c r="E303" s="363" t="s">
        <v>2021</v>
      </c>
      <c r="F303" s="342">
        <v>45220</v>
      </c>
      <c r="G303" s="230"/>
      <c r="H303" s="231"/>
      <c r="I303" s="231">
        <v>29750</v>
      </c>
      <c r="J303" s="226" t="s">
        <v>2388</v>
      </c>
      <c r="K303" s="226"/>
      <c r="L303" s="345">
        <v>29750</v>
      </c>
      <c r="M303" s="346">
        <v>0</v>
      </c>
      <c r="N303" s="226" t="s">
        <v>2395</v>
      </c>
      <c r="O303" s="232"/>
      <c r="P303" s="232"/>
      <c r="Q303" s="232"/>
      <c r="R303" s="232"/>
      <c r="S303" s="414"/>
      <c r="T303" s="415"/>
      <c r="U303" s="414"/>
      <c r="V303" s="414"/>
      <c r="W303" s="414"/>
      <c r="X303" s="414"/>
      <c r="Y303" s="414"/>
      <c r="Z303" s="416"/>
      <c r="AA303" s="416"/>
      <c r="AB303" s="414"/>
      <c r="AC303" s="414"/>
      <c r="AD303" s="416"/>
      <c r="AE303" s="414"/>
      <c r="AF303" s="233"/>
    </row>
    <row r="304" spans="1:32">
      <c r="A304" s="225">
        <f t="shared" si="4"/>
        <v>295</v>
      </c>
      <c r="B304" s="227" t="s">
        <v>1427</v>
      </c>
      <c r="C304" s="227" t="s">
        <v>1782</v>
      </c>
      <c r="D304" s="228" t="s">
        <v>1783</v>
      </c>
      <c r="E304" s="363" t="s">
        <v>2022</v>
      </c>
      <c r="F304" s="342">
        <v>45204</v>
      </c>
      <c r="G304" s="230"/>
      <c r="H304" s="231"/>
      <c r="I304" s="231">
        <v>563885</v>
      </c>
      <c r="J304" s="226" t="s">
        <v>2388</v>
      </c>
      <c r="K304" s="226"/>
      <c r="L304" s="345">
        <v>563885</v>
      </c>
      <c r="M304" s="346">
        <v>0</v>
      </c>
      <c r="N304" s="226" t="s">
        <v>2398</v>
      </c>
      <c r="O304" s="232"/>
      <c r="P304" s="232"/>
      <c r="Q304" s="232"/>
      <c r="R304" s="232"/>
      <c r="S304" s="414"/>
      <c r="T304" s="415"/>
      <c r="U304" s="414"/>
      <c r="V304" s="414"/>
      <c r="W304" s="414"/>
      <c r="X304" s="414"/>
      <c r="Y304" s="414"/>
      <c r="Z304" s="416"/>
      <c r="AA304" s="416"/>
      <c r="AB304" s="414"/>
      <c r="AC304" s="414"/>
      <c r="AD304" s="416"/>
      <c r="AE304" s="414"/>
      <c r="AF304" s="233"/>
    </row>
    <row r="305" spans="1:32">
      <c r="A305" s="225">
        <f t="shared" si="4"/>
        <v>296</v>
      </c>
      <c r="B305" s="227" t="s">
        <v>1428</v>
      </c>
      <c r="C305" s="227" t="s">
        <v>1789</v>
      </c>
      <c r="D305" s="228" t="s">
        <v>1790</v>
      </c>
      <c r="E305" s="363" t="s">
        <v>2023</v>
      </c>
      <c r="F305" s="342">
        <v>45211</v>
      </c>
      <c r="G305" s="230"/>
      <c r="H305" s="231"/>
      <c r="I305" s="231">
        <v>29743</v>
      </c>
      <c r="J305" s="226" t="s">
        <v>2388</v>
      </c>
      <c r="K305" s="226"/>
      <c r="L305" s="345">
        <v>29743</v>
      </c>
      <c r="M305" s="346">
        <v>0</v>
      </c>
      <c r="N305" s="226" t="s">
        <v>2395</v>
      </c>
      <c r="O305" s="232"/>
      <c r="P305" s="232"/>
      <c r="Q305" s="232"/>
      <c r="R305" s="232"/>
      <c r="S305" s="414"/>
      <c r="T305" s="415"/>
      <c r="U305" s="414"/>
      <c r="V305" s="414"/>
      <c r="W305" s="414"/>
      <c r="X305" s="414"/>
      <c r="Y305" s="414"/>
      <c r="Z305" s="416"/>
      <c r="AA305" s="416"/>
      <c r="AB305" s="414"/>
      <c r="AC305" s="414"/>
      <c r="AD305" s="416"/>
      <c r="AE305" s="414"/>
      <c r="AF305" s="233"/>
    </row>
    <row r="306" spans="1:32">
      <c r="A306" s="225">
        <f t="shared" si="4"/>
        <v>297</v>
      </c>
      <c r="B306" s="227" t="s">
        <v>1429</v>
      </c>
      <c r="C306" s="227" t="s">
        <v>1782</v>
      </c>
      <c r="D306" s="228" t="s">
        <v>1783</v>
      </c>
      <c r="E306" s="363" t="s">
        <v>2024</v>
      </c>
      <c r="F306" s="342">
        <v>45223</v>
      </c>
      <c r="G306" s="230"/>
      <c r="H306" s="231"/>
      <c r="I306" s="231">
        <v>486394</v>
      </c>
      <c r="J306" s="226" t="s">
        <v>2388</v>
      </c>
      <c r="K306" s="226"/>
      <c r="L306" s="345">
        <v>486394</v>
      </c>
      <c r="M306" s="346">
        <v>0</v>
      </c>
      <c r="N306" s="226" t="s">
        <v>2398</v>
      </c>
      <c r="O306" s="232"/>
      <c r="P306" s="232"/>
      <c r="Q306" s="232"/>
      <c r="R306" s="232"/>
      <c r="S306" s="414"/>
      <c r="T306" s="415"/>
      <c r="U306" s="414"/>
      <c r="V306" s="414"/>
      <c r="W306" s="414"/>
      <c r="X306" s="414"/>
      <c r="Y306" s="414"/>
      <c r="Z306" s="416"/>
      <c r="AA306" s="416"/>
      <c r="AB306" s="414"/>
      <c r="AC306" s="414"/>
      <c r="AD306" s="416"/>
      <c r="AE306" s="414"/>
      <c r="AF306" s="233"/>
    </row>
    <row r="307" spans="1:32">
      <c r="A307" s="225">
        <f t="shared" si="4"/>
        <v>298</v>
      </c>
      <c r="B307" s="227" t="s">
        <v>1430</v>
      </c>
      <c r="C307" s="227" t="s">
        <v>1789</v>
      </c>
      <c r="D307" s="228" t="s">
        <v>1790</v>
      </c>
      <c r="E307" s="363" t="s">
        <v>2025</v>
      </c>
      <c r="F307" s="342">
        <v>45206</v>
      </c>
      <c r="G307" s="230"/>
      <c r="H307" s="231"/>
      <c r="I307" s="231">
        <v>19810</v>
      </c>
      <c r="J307" s="226" t="s">
        <v>2388</v>
      </c>
      <c r="K307" s="226"/>
      <c r="L307" s="345">
        <v>19810</v>
      </c>
      <c r="M307" s="346">
        <v>0</v>
      </c>
      <c r="N307" s="226" t="s">
        <v>2395</v>
      </c>
      <c r="O307" s="232"/>
      <c r="P307" s="232"/>
      <c r="Q307" s="232"/>
      <c r="R307" s="232"/>
      <c r="S307" s="414"/>
      <c r="T307" s="415"/>
      <c r="U307" s="414"/>
      <c r="V307" s="414"/>
      <c r="W307" s="414"/>
      <c r="X307" s="414"/>
      <c r="Y307" s="414"/>
      <c r="Z307" s="416"/>
      <c r="AA307" s="416"/>
      <c r="AB307" s="414"/>
      <c r="AC307" s="414"/>
      <c r="AD307" s="416"/>
      <c r="AE307" s="414"/>
      <c r="AF307" s="233"/>
    </row>
    <row r="308" spans="1:32">
      <c r="A308" s="225">
        <f t="shared" si="4"/>
        <v>299</v>
      </c>
      <c r="B308" s="227" t="s">
        <v>1431</v>
      </c>
      <c r="C308" s="227" t="s">
        <v>1782</v>
      </c>
      <c r="D308" s="228" t="s">
        <v>1783</v>
      </c>
      <c r="E308" s="363" t="s">
        <v>2026</v>
      </c>
      <c r="F308" s="342">
        <v>45204</v>
      </c>
      <c r="G308" s="230"/>
      <c r="H308" s="231"/>
      <c r="I308" s="231">
        <v>522605</v>
      </c>
      <c r="J308" s="226" t="s">
        <v>2388</v>
      </c>
      <c r="K308" s="226"/>
      <c r="L308" s="345">
        <v>522605</v>
      </c>
      <c r="M308" s="346">
        <v>0</v>
      </c>
      <c r="N308" s="226" t="s">
        <v>2398</v>
      </c>
      <c r="O308" s="232"/>
      <c r="P308" s="232"/>
      <c r="Q308" s="232"/>
      <c r="R308" s="232"/>
      <c r="S308" s="414"/>
      <c r="T308" s="415"/>
      <c r="U308" s="414"/>
      <c r="V308" s="414"/>
      <c r="W308" s="414"/>
      <c r="X308" s="414"/>
      <c r="Y308" s="414"/>
      <c r="Z308" s="416"/>
      <c r="AA308" s="416"/>
      <c r="AB308" s="414"/>
      <c r="AC308" s="414"/>
      <c r="AD308" s="416"/>
      <c r="AE308" s="414"/>
      <c r="AF308" s="233"/>
    </row>
    <row r="309" spans="1:32">
      <c r="A309" s="225">
        <f t="shared" si="4"/>
        <v>300</v>
      </c>
      <c r="B309" s="227" t="s">
        <v>1432</v>
      </c>
      <c r="C309" s="227" t="s">
        <v>1789</v>
      </c>
      <c r="D309" s="228" t="s">
        <v>1790</v>
      </c>
      <c r="E309" s="363" t="s">
        <v>2027</v>
      </c>
      <c r="F309" s="342">
        <v>45206</v>
      </c>
      <c r="G309" s="230"/>
      <c r="H309" s="231"/>
      <c r="I309" s="231">
        <v>29714</v>
      </c>
      <c r="J309" s="226" t="s">
        <v>2388</v>
      </c>
      <c r="K309" s="226"/>
      <c r="L309" s="345">
        <v>29714</v>
      </c>
      <c r="M309" s="346">
        <v>0</v>
      </c>
      <c r="N309" s="226" t="s">
        <v>2395</v>
      </c>
      <c r="O309" s="232"/>
      <c r="P309" s="232"/>
      <c r="Q309" s="232"/>
      <c r="R309" s="232"/>
      <c r="S309" s="414"/>
      <c r="T309" s="415"/>
      <c r="U309" s="414"/>
      <c r="V309" s="414"/>
      <c r="W309" s="414"/>
      <c r="X309" s="414"/>
      <c r="Y309" s="414"/>
      <c r="Z309" s="416"/>
      <c r="AA309" s="416"/>
      <c r="AB309" s="414"/>
      <c r="AC309" s="414"/>
      <c r="AD309" s="416"/>
      <c r="AE309" s="414"/>
      <c r="AF309" s="233"/>
    </row>
    <row r="310" spans="1:32">
      <c r="A310" s="225">
        <f t="shared" si="4"/>
        <v>301</v>
      </c>
      <c r="B310" s="227" t="s">
        <v>1433</v>
      </c>
      <c r="C310" s="227" t="s">
        <v>1782</v>
      </c>
      <c r="D310" s="228" t="s">
        <v>1783</v>
      </c>
      <c r="E310" s="363" t="s">
        <v>2028</v>
      </c>
      <c r="F310" s="342">
        <v>45230</v>
      </c>
      <c r="G310" s="230"/>
      <c r="H310" s="231"/>
      <c r="I310" s="231">
        <v>1117691</v>
      </c>
      <c r="J310" s="226" t="s">
        <v>2388</v>
      </c>
      <c r="K310" s="226"/>
      <c r="L310" s="345">
        <v>1117691</v>
      </c>
      <c r="M310" s="346">
        <v>0</v>
      </c>
      <c r="N310" s="226" t="s">
        <v>2398</v>
      </c>
      <c r="O310" s="232"/>
      <c r="P310" s="232"/>
      <c r="Q310" s="232"/>
      <c r="R310" s="232"/>
      <c r="S310" s="414"/>
      <c r="T310" s="415"/>
      <c r="U310" s="414"/>
      <c r="V310" s="414"/>
      <c r="W310" s="414"/>
      <c r="X310" s="414"/>
      <c r="Y310" s="414"/>
      <c r="Z310" s="416"/>
      <c r="AA310" s="416"/>
      <c r="AB310" s="414"/>
      <c r="AC310" s="414"/>
      <c r="AD310" s="416"/>
      <c r="AE310" s="414"/>
      <c r="AF310" s="233"/>
    </row>
    <row r="311" spans="1:32">
      <c r="A311" s="225">
        <f t="shared" si="4"/>
        <v>302</v>
      </c>
      <c r="B311" s="227" t="s">
        <v>1434</v>
      </c>
      <c r="C311" s="227" t="s">
        <v>1789</v>
      </c>
      <c r="D311" s="228" t="s">
        <v>1790</v>
      </c>
      <c r="E311" s="363" t="s">
        <v>2029</v>
      </c>
      <c r="F311" s="342">
        <v>45209</v>
      </c>
      <c r="G311" s="230"/>
      <c r="H311" s="231"/>
      <c r="I311" s="231">
        <v>59472</v>
      </c>
      <c r="J311" s="226" t="s">
        <v>2388</v>
      </c>
      <c r="K311" s="226"/>
      <c r="L311" s="345">
        <v>59472</v>
      </c>
      <c r="M311" s="346">
        <v>0</v>
      </c>
      <c r="N311" s="226" t="s">
        <v>2395</v>
      </c>
      <c r="O311" s="232"/>
      <c r="P311" s="232"/>
      <c r="Q311" s="232"/>
      <c r="R311" s="232"/>
      <c r="S311" s="414"/>
      <c r="T311" s="415"/>
      <c r="U311" s="414"/>
      <c r="V311" s="414"/>
      <c r="W311" s="414"/>
      <c r="X311" s="414"/>
      <c r="Y311" s="414"/>
      <c r="Z311" s="416"/>
      <c r="AA311" s="416"/>
      <c r="AB311" s="414"/>
      <c r="AC311" s="414"/>
      <c r="AD311" s="416"/>
      <c r="AE311" s="414"/>
      <c r="AF311" s="233"/>
    </row>
    <row r="312" spans="1:32">
      <c r="A312" s="225">
        <f t="shared" si="4"/>
        <v>303</v>
      </c>
      <c r="B312" s="227" t="s">
        <v>1435</v>
      </c>
      <c r="C312" s="227" t="s">
        <v>1760</v>
      </c>
      <c r="D312" s="228" t="s">
        <v>1761</v>
      </c>
      <c r="E312" s="363" t="s">
        <v>2030</v>
      </c>
      <c r="F312" s="342">
        <v>45230</v>
      </c>
      <c r="G312" s="230"/>
      <c r="H312" s="231"/>
      <c r="I312" s="231">
        <v>620250</v>
      </c>
      <c r="J312" s="226" t="s">
        <v>2388</v>
      </c>
      <c r="K312" s="226"/>
      <c r="L312" s="345">
        <v>620250</v>
      </c>
      <c r="M312" s="346">
        <v>0</v>
      </c>
      <c r="N312" s="226"/>
      <c r="O312" s="232"/>
      <c r="P312" s="232"/>
      <c r="Q312" s="232"/>
      <c r="R312" s="232"/>
      <c r="S312" s="414"/>
      <c r="T312" s="415"/>
      <c r="U312" s="414"/>
      <c r="V312" s="414"/>
      <c r="W312" s="414"/>
      <c r="X312" s="414"/>
      <c r="Y312" s="414"/>
      <c r="Z312" s="416"/>
      <c r="AA312" s="416"/>
      <c r="AB312" s="414"/>
      <c r="AC312" s="414"/>
      <c r="AD312" s="416"/>
      <c r="AE312" s="414"/>
      <c r="AF312" s="233"/>
    </row>
    <row r="313" spans="1:32">
      <c r="A313" s="225">
        <f t="shared" si="4"/>
        <v>304</v>
      </c>
      <c r="B313" s="227" t="s">
        <v>1436</v>
      </c>
      <c r="C313" s="227" t="s">
        <v>1869</v>
      </c>
      <c r="D313" s="228" t="s">
        <v>1870</v>
      </c>
      <c r="E313" s="363" t="s">
        <v>2031</v>
      </c>
      <c r="F313" s="342">
        <v>45222</v>
      </c>
      <c r="G313" s="230"/>
      <c r="H313" s="231"/>
      <c r="I313" s="231">
        <v>186075</v>
      </c>
      <c r="J313" s="226" t="s">
        <v>2388</v>
      </c>
      <c r="K313" s="226"/>
      <c r="L313" s="345">
        <v>186075</v>
      </c>
      <c r="M313" s="346">
        <v>0</v>
      </c>
      <c r="N313" s="226"/>
      <c r="O313" s="232"/>
      <c r="P313" s="232"/>
      <c r="Q313" s="232"/>
      <c r="R313" s="232"/>
      <c r="S313" s="414"/>
      <c r="T313" s="415"/>
      <c r="U313" s="414"/>
      <c r="V313" s="414"/>
      <c r="W313" s="414"/>
      <c r="X313" s="414"/>
      <c r="Y313" s="414"/>
      <c r="Z313" s="416"/>
      <c r="AA313" s="416"/>
      <c r="AB313" s="414"/>
      <c r="AC313" s="414"/>
      <c r="AD313" s="416"/>
      <c r="AE313" s="414"/>
      <c r="AF313" s="233"/>
    </row>
    <row r="314" spans="1:32">
      <c r="A314" s="225">
        <f t="shared" si="4"/>
        <v>305</v>
      </c>
      <c r="B314" s="227" t="s">
        <v>1437</v>
      </c>
      <c r="C314" s="227" t="s">
        <v>1766</v>
      </c>
      <c r="D314" s="228" t="s">
        <v>1767</v>
      </c>
      <c r="E314" s="363" t="s">
        <v>2032</v>
      </c>
      <c r="F314" s="342">
        <v>45226</v>
      </c>
      <c r="G314" s="230"/>
      <c r="H314" s="231"/>
      <c r="I314" s="231">
        <v>2895900</v>
      </c>
      <c r="J314" s="226" t="s">
        <v>2388</v>
      </c>
      <c r="K314" s="226"/>
      <c r="L314" s="345">
        <v>2895900</v>
      </c>
      <c r="M314" s="346">
        <v>0</v>
      </c>
      <c r="N314" s="226"/>
      <c r="O314" s="232"/>
      <c r="P314" s="232"/>
      <c r="Q314" s="232"/>
      <c r="R314" s="232"/>
      <c r="S314" s="414"/>
      <c r="T314" s="415"/>
      <c r="U314" s="414"/>
      <c r="V314" s="414"/>
      <c r="W314" s="414"/>
      <c r="X314" s="414"/>
      <c r="Y314" s="414"/>
      <c r="Z314" s="416"/>
      <c r="AA314" s="416"/>
      <c r="AB314" s="414"/>
      <c r="AC314" s="414"/>
      <c r="AD314" s="416"/>
      <c r="AE314" s="414"/>
      <c r="AF314" s="233"/>
    </row>
    <row r="315" spans="1:32">
      <c r="A315" s="225">
        <f t="shared" si="4"/>
        <v>306</v>
      </c>
      <c r="B315" s="227" t="s">
        <v>1438</v>
      </c>
      <c r="C315" s="227" t="s">
        <v>1923</v>
      </c>
      <c r="D315" s="228" t="s">
        <v>1924</v>
      </c>
      <c r="E315" s="363" t="s">
        <v>2033</v>
      </c>
      <c r="F315" s="342">
        <v>45224</v>
      </c>
      <c r="G315" s="230"/>
      <c r="H315" s="231"/>
      <c r="I315" s="231">
        <v>335259</v>
      </c>
      <c r="J315" s="226" t="s">
        <v>2388</v>
      </c>
      <c r="K315" s="226"/>
      <c r="L315" s="345">
        <v>335259</v>
      </c>
      <c r="M315" s="346">
        <v>0</v>
      </c>
      <c r="N315" s="226"/>
      <c r="O315" s="232"/>
      <c r="P315" s="232"/>
      <c r="Q315" s="232"/>
      <c r="R315" s="232"/>
      <c r="S315" s="414"/>
      <c r="T315" s="415"/>
      <c r="U315" s="414"/>
      <c r="V315" s="414"/>
      <c r="W315" s="414"/>
      <c r="X315" s="414"/>
      <c r="Y315" s="414"/>
      <c r="Z315" s="416"/>
      <c r="AA315" s="416"/>
      <c r="AB315" s="414"/>
      <c r="AC315" s="414"/>
      <c r="AD315" s="416"/>
      <c r="AE315" s="414"/>
      <c r="AF315" s="233"/>
    </row>
    <row r="316" spans="1:32">
      <c r="A316" s="225">
        <f t="shared" si="4"/>
        <v>307</v>
      </c>
      <c r="B316" s="227" t="s">
        <v>1187</v>
      </c>
      <c r="C316" s="227" t="s">
        <v>1771</v>
      </c>
      <c r="D316" s="228" t="s">
        <v>1772</v>
      </c>
      <c r="E316" s="363" t="s">
        <v>2034</v>
      </c>
      <c r="F316" s="342">
        <v>45229</v>
      </c>
      <c r="G316" s="230"/>
      <c r="H316" s="231"/>
      <c r="I316" s="231">
        <v>80672</v>
      </c>
      <c r="J316" s="226" t="s">
        <v>2388</v>
      </c>
      <c r="K316" s="226"/>
      <c r="L316" s="345">
        <v>80672</v>
      </c>
      <c r="M316" s="346">
        <v>0</v>
      </c>
      <c r="N316" s="226"/>
      <c r="O316" s="232"/>
      <c r="P316" s="232"/>
      <c r="Q316" s="232"/>
      <c r="R316" s="232"/>
      <c r="S316" s="414"/>
      <c r="T316" s="415"/>
      <c r="U316" s="414"/>
      <c r="V316" s="414"/>
      <c r="W316" s="414"/>
      <c r="X316" s="414"/>
      <c r="Y316" s="414"/>
      <c r="Z316" s="416"/>
      <c r="AA316" s="416"/>
      <c r="AB316" s="414"/>
      <c r="AC316" s="414"/>
      <c r="AD316" s="416"/>
      <c r="AE316" s="414"/>
      <c r="AF316" s="233"/>
    </row>
    <row r="317" spans="1:32">
      <c r="A317" s="225">
        <f t="shared" si="4"/>
        <v>308</v>
      </c>
      <c r="B317" s="227" t="s">
        <v>1188</v>
      </c>
      <c r="C317" s="227" t="s">
        <v>1774</v>
      </c>
      <c r="D317" s="228" t="s">
        <v>1775</v>
      </c>
      <c r="E317" s="363" t="s">
        <v>2035</v>
      </c>
      <c r="F317" s="342">
        <v>45227</v>
      </c>
      <c r="G317" s="230"/>
      <c r="H317" s="231"/>
      <c r="I317" s="231">
        <v>68261</v>
      </c>
      <c r="J317" s="226" t="s">
        <v>2391</v>
      </c>
      <c r="K317" s="226"/>
      <c r="L317" s="345"/>
      <c r="M317" s="346">
        <v>68261</v>
      </c>
      <c r="N317" s="226" t="s">
        <v>2403</v>
      </c>
      <c r="O317" s="232"/>
      <c r="P317" s="232"/>
      <c r="Q317" s="232"/>
      <c r="R317" s="232"/>
      <c r="S317" s="414"/>
      <c r="T317" s="415"/>
      <c r="U317" s="414"/>
      <c r="V317" s="414"/>
      <c r="W317" s="414"/>
      <c r="X317" s="414"/>
      <c r="Y317" s="414"/>
      <c r="Z317" s="416"/>
      <c r="AA317" s="416"/>
      <c r="AB317" s="414"/>
      <c r="AC317" s="414"/>
      <c r="AD317" s="416"/>
      <c r="AE317" s="414"/>
      <c r="AF317" s="233"/>
    </row>
    <row r="318" spans="1:32">
      <c r="A318" s="225">
        <f t="shared" si="4"/>
        <v>309</v>
      </c>
      <c r="B318" s="227" t="s">
        <v>1393</v>
      </c>
      <c r="C318" s="227" t="s">
        <v>1763</v>
      </c>
      <c r="D318" s="228" t="s">
        <v>1764</v>
      </c>
      <c r="E318" s="363" t="s">
        <v>2036</v>
      </c>
      <c r="F318" s="342">
        <v>45226</v>
      </c>
      <c r="G318" s="230"/>
      <c r="H318" s="231"/>
      <c r="I318" s="231">
        <v>2983472</v>
      </c>
      <c r="J318" s="226" t="s">
        <v>2388</v>
      </c>
      <c r="K318" s="226"/>
      <c r="L318" s="345">
        <v>2983472</v>
      </c>
      <c r="M318" s="346">
        <v>0</v>
      </c>
      <c r="N318" s="226"/>
      <c r="O318" s="232"/>
      <c r="P318" s="232"/>
      <c r="Q318" s="232"/>
      <c r="R318" s="232"/>
      <c r="S318" s="414"/>
      <c r="T318" s="415"/>
      <c r="U318" s="414"/>
      <c r="V318" s="414"/>
      <c r="W318" s="414"/>
      <c r="X318" s="414"/>
      <c r="Y318" s="414"/>
      <c r="Z318" s="416"/>
      <c r="AA318" s="416"/>
      <c r="AB318" s="414"/>
      <c r="AC318" s="414"/>
      <c r="AD318" s="416"/>
      <c r="AE318" s="414"/>
      <c r="AF318" s="233"/>
    </row>
    <row r="319" spans="1:32">
      <c r="A319" s="225">
        <f t="shared" si="4"/>
        <v>310</v>
      </c>
      <c r="B319" s="227" t="s">
        <v>1439</v>
      </c>
      <c r="C319" s="227" t="s">
        <v>1776</v>
      </c>
      <c r="D319" s="228" t="s">
        <v>1777</v>
      </c>
      <c r="E319" s="363">
        <v>231836</v>
      </c>
      <c r="F319" s="342">
        <v>45217</v>
      </c>
      <c r="G319" s="230"/>
      <c r="H319" s="231"/>
      <c r="I319" s="231">
        <v>1650800</v>
      </c>
      <c r="J319" s="226" t="s">
        <v>2388</v>
      </c>
      <c r="K319" s="226"/>
      <c r="L319" s="345">
        <v>1650800</v>
      </c>
      <c r="M319" s="346">
        <v>0</v>
      </c>
      <c r="N319" s="226"/>
      <c r="O319" s="232"/>
      <c r="P319" s="232"/>
      <c r="Q319" s="232"/>
      <c r="R319" s="232"/>
      <c r="S319" s="414"/>
      <c r="T319" s="415"/>
      <c r="U319" s="414"/>
      <c r="V319" s="414"/>
      <c r="W319" s="414"/>
      <c r="X319" s="414"/>
      <c r="Y319" s="414"/>
      <c r="Z319" s="416"/>
      <c r="AA319" s="416"/>
      <c r="AB319" s="414"/>
      <c r="AC319" s="414"/>
      <c r="AD319" s="416"/>
      <c r="AE319" s="414"/>
      <c r="AF319" s="233"/>
    </row>
    <row r="320" spans="1:32">
      <c r="A320" s="225">
        <f t="shared" si="4"/>
        <v>311</v>
      </c>
      <c r="B320" s="227" t="s">
        <v>1440</v>
      </c>
      <c r="C320" s="227" t="s">
        <v>1776</v>
      </c>
      <c r="D320" s="228" t="s">
        <v>1777</v>
      </c>
      <c r="E320" s="363">
        <v>231672</v>
      </c>
      <c r="F320" s="342">
        <v>45201</v>
      </c>
      <c r="G320" s="230"/>
      <c r="H320" s="231"/>
      <c r="I320" s="231">
        <v>247380</v>
      </c>
      <c r="J320" s="226" t="s">
        <v>2388</v>
      </c>
      <c r="K320" s="226"/>
      <c r="L320" s="345">
        <v>247380</v>
      </c>
      <c r="M320" s="346">
        <v>0</v>
      </c>
      <c r="N320" s="226"/>
      <c r="O320" s="232"/>
      <c r="P320" s="232"/>
      <c r="Q320" s="232"/>
      <c r="R320" s="232"/>
      <c r="S320" s="414"/>
      <c r="T320" s="415"/>
      <c r="U320" s="414"/>
      <c r="V320" s="414"/>
      <c r="W320" s="414"/>
      <c r="X320" s="414"/>
      <c r="Y320" s="414"/>
      <c r="Z320" s="416"/>
      <c r="AA320" s="416"/>
      <c r="AB320" s="414"/>
      <c r="AC320" s="414"/>
      <c r="AD320" s="416"/>
      <c r="AE320" s="414"/>
      <c r="AF320" s="233"/>
    </row>
    <row r="321" spans="1:32">
      <c r="A321" s="225">
        <f t="shared" si="4"/>
        <v>312</v>
      </c>
      <c r="B321" s="227" t="s">
        <v>1441</v>
      </c>
      <c r="C321" s="227" t="s">
        <v>1780</v>
      </c>
      <c r="D321" s="228" t="s">
        <v>1781</v>
      </c>
      <c r="E321" s="363">
        <v>8586</v>
      </c>
      <c r="F321" s="342">
        <v>45200</v>
      </c>
      <c r="G321" s="230"/>
      <c r="H321" s="231"/>
      <c r="I321" s="231">
        <v>4423</v>
      </c>
      <c r="J321" s="226" t="s">
        <v>2389</v>
      </c>
      <c r="K321" s="226"/>
      <c r="L321" s="345"/>
      <c r="M321" s="346">
        <v>4423</v>
      </c>
      <c r="N321" s="226"/>
      <c r="O321" s="232"/>
      <c r="P321" s="232"/>
      <c r="Q321" s="232"/>
      <c r="R321" s="232"/>
      <c r="S321" s="414"/>
      <c r="T321" s="415"/>
      <c r="U321" s="414"/>
      <c r="V321" s="414"/>
      <c r="W321" s="414"/>
      <c r="X321" s="414"/>
      <c r="Y321" s="414"/>
      <c r="Z321" s="416"/>
      <c r="AA321" s="416"/>
      <c r="AB321" s="414"/>
      <c r="AC321" s="414"/>
      <c r="AD321" s="416"/>
      <c r="AE321" s="414"/>
      <c r="AF321" s="233"/>
    </row>
    <row r="322" spans="1:32">
      <c r="A322" s="225">
        <f t="shared" si="4"/>
        <v>313</v>
      </c>
      <c r="B322" s="227" t="s">
        <v>1303</v>
      </c>
      <c r="C322" s="227" t="s">
        <v>2037</v>
      </c>
      <c r="D322" s="228" t="s">
        <v>2038</v>
      </c>
      <c r="E322" s="363" t="s">
        <v>2039</v>
      </c>
      <c r="F322" s="342">
        <v>45226</v>
      </c>
      <c r="G322" s="230"/>
      <c r="H322" s="231"/>
      <c r="I322" s="231">
        <v>98254</v>
      </c>
      <c r="J322" s="226" t="s">
        <v>2388</v>
      </c>
      <c r="K322" s="226"/>
      <c r="L322" s="345">
        <v>98254</v>
      </c>
      <c r="M322" s="346">
        <v>0</v>
      </c>
      <c r="N322" s="226"/>
      <c r="O322" s="232"/>
      <c r="P322" s="232"/>
      <c r="Q322" s="232"/>
      <c r="R322" s="232"/>
      <c r="S322" s="414"/>
      <c r="T322" s="415"/>
      <c r="U322" s="414"/>
      <c r="V322" s="414"/>
      <c r="W322" s="414"/>
      <c r="X322" s="414"/>
      <c r="Y322" s="414"/>
      <c r="Z322" s="416"/>
      <c r="AA322" s="416"/>
      <c r="AB322" s="414"/>
      <c r="AC322" s="414"/>
      <c r="AD322" s="416"/>
      <c r="AE322" s="414"/>
      <c r="AF322" s="233"/>
    </row>
    <row r="323" spans="1:32">
      <c r="A323" s="225">
        <f t="shared" si="4"/>
        <v>314</v>
      </c>
      <c r="B323" s="227" t="s">
        <v>1303</v>
      </c>
      <c r="C323" s="227" t="s">
        <v>2040</v>
      </c>
      <c r="D323" s="228" t="s">
        <v>2041</v>
      </c>
      <c r="E323" s="363" t="s">
        <v>2042</v>
      </c>
      <c r="F323" s="342">
        <v>45225</v>
      </c>
      <c r="G323" s="230"/>
      <c r="H323" s="231"/>
      <c r="I323" s="231">
        <v>50380</v>
      </c>
      <c r="J323" s="226" t="s">
        <v>2388</v>
      </c>
      <c r="K323" s="226"/>
      <c r="L323" s="345">
        <v>50380</v>
      </c>
      <c r="M323" s="346">
        <v>0</v>
      </c>
      <c r="N323" s="226"/>
      <c r="O323" s="232"/>
      <c r="P323" s="232"/>
      <c r="Q323" s="232"/>
      <c r="R323" s="232"/>
      <c r="S323" s="414"/>
      <c r="T323" s="415"/>
      <c r="U323" s="414"/>
      <c r="V323" s="414"/>
      <c r="W323" s="414"/>
      <c r="X323" s="414"/>
      <c r="Y323" s="414"/>
      <c r="Z323" s="416"/>
      <c r="AA323" s="416"/>
      <c r="AB323" s="414"/>
      <c r="AC323" s="414"/>
      <c r="AD323" s="416"/>
      <c r="AE323" s="414"/>
      <c r="AF323" s="233"/>
    </row>
    <row r="324" spans="1:32">
      <c r="A324" s="225">
        <f t="shared" si="4"/>
        <v>315</v>
      </c>
      <c r="B324" s="227" t="s">
        <v>1442</v>
      </c>
      <c r="C324" s="227" t="s">
        <v>1782</v>
      </c>
      <c r="D324" s="228" t="s">
        <v>1783</v>
      </c>
      <c r="E324" s="363" t="s">
        <v>2043</v>
      </c>
      <c r="F324" s="342">
        <v>45236</v>
      </c>
      <c r="G324" s="230"/>
      <c r="H324" s="231"/>
      <c r="I324" s="231">
        <v>1027793</v>
      </c>
      <c r="J324" s="226" t="s">
        <v>2388</v>
      </c>
      <c r="K324" s="226"/>
      <c r="L324" s="345">
        <v>1027793</v>
      </c>
      <c r="M324" s="346">
        <v>0</v>
      </c>
      <c r="N324" s="226" t="s">
        <v>2398</v>
      </c>
      <c r="O324" s="232"/>
      <c r="P324" s="232"/>
      <c r="Q324" s="232"/>
      <c r="R324" s="232"/>
      <c r="S324" s="414"/>
      <c r="T324" s="415"/>
      <c r="U324" s="414"/>
      <c r="V324" s="414"/>
      <c r="W324" s="414"/>
      <c r="X324" s="414"/>
      <c r="Y324" s="414"/>
      <c r="Z324" s="416"/>
      <c r="AA324" s="416"/>
      <c r="AB324" s="414"/>
      <c r="AC324" s="414"/>
      <c r="AD324" s="416"/>
      <c r="AE324" s="414"/>
      <c r="AF324" s="233"/>
    </row>
    <row r="325" spans="1:32">
      <c r="A325" s="225">
        <f t="shared" si="4"/>
        <v>316</v>
      </c>
      <c r="B325" s="227" t="s">
        <v>1443</v>
      </c>
      <c r="C325" s="227" t="s">
        <v>1789</v>
      </c>
      <c r="D325" s="228" t="s">
        <v>1790</v>
      </c>
      <c r="E325" s="363" t="s">
        <v>2044</v>
      </c>
      <c r="F325" s="342">
        <v>45259</v>
      </c>
      <c r="G325" s="230"/>
      <c r="H325" s="231"/>
      <c r="I325" s="231">
        <v>59256</v>
      </c>
      <c r="J325" s="226" t="s">
        <v>2388</v>
      </c>
      <c r="K325" s="226"/>
      <c r="L325" s="345">
        <v>59256</v>
      </c>
      <c r="M325" s="346">
        <v>0</v>
      </c>
      <c r="N325" s="226" t="s">
        <v>2395</v>
      </c>
      <c r="O325" s="232"/>
      <c r="P325" s="232"/>
      <c r="Q325" s="232"/>
      <c r="R325" s="232"/>
      <c r="S325" s="414"/>
      <c r="T325" s="415"/>
      <c r="U325" s="414"/>
      <c r="V325" s="414"/>
      <c r="W325" s="414"/>
      <c r="X325" s="414"/>
      <c r="Y325" s="414"/>
      <c r="Z325" s="416"/>
      <c r="AA325" s="416"/>
      <c r="AB325" s="414"/>
      <c r="AC325" s="414"/>
      <c r="AD325" s="416"/>
      <c r="AE325" s="414"/>
      <c r="AF325" s="233"/>
    </row>
    <row r="326" spans="1:32">
      <c r="A326" s="225">
        <f t="shared" si="4"/>
        <v>317</v>
      </c>
      <c r="B326" s="227" t="s">
        <v>1444</v>
      </c>
      <c r="C326" s="227" t="s">
        <v>1782</v>
      </c>
      <c r="D326" s="228" t="s">
        <v>1783</v>
      </c>
      <c r="E326" s="363" t="s">
        <v>2045</v>
      </c>
      <c r="F326" s="342">
        <v>45236</v>
      </c>
      <c r="G326" s="230"/>
      <c r="H326" s="231"/>
      <c r="I326" s="231">
        <v>510179</v>
      </c>
      <c r="J326" s="226" t="s">
        <v>2388</v>
      </c>
      <c r="K326" s="226"/>
      <c r="L326" s="345">
        <v>510179</v>
      </c>
      <c r="M326" s="346">
        <v>0</v>
      </c>
      <c r="N326" s="226" t="s">
        <v>2398</v>
      </c>
      <c r="O326" s="232"/>
      <c r="P326" s="232"/>
      <c r="Q326" s="232"/>
      <c r="R326" s="232"/>
      <c r="S326" s="414"/>
      <c r="T326" s="415"/>
      <c r="U326" s="414"/>
      <c r="V326" s="414"/>
      <c r="W326" s="414"/>
      <c r="X326" s="414"/>
      <c r="Y326" s="414"/>
      <c r="Z326" s="416"/>
      <c r="AA326" s="416"/>
      <c r="AB326" s="414"/>
      <c r="AC326" s="414"/>
      <c r="AD326" s="416"/>
      <c r="AE326" s="414"/>
      <c r="AF326" s="233"/>
    </row>
    <row r="327" spans="1:32">
      <c r="A327" s="225">
        <f t="shared" si="4"/>
        <v>318</v>
      </c>
      <c r="B327" s="227" t="s">
        <v>1445</v>
      </c>
      <c r="C327" s="227" t="s">
        <v>1789</v>
      </c>
      <c r="D327" s="228" t="s">
        <v>1790</v>
      </c>
      <c r="E327" s="363" t="s">
        <v>2046</v>
      </c>
      <c r="F327" s="342">
        <v>45247</v>
      </c>
      <c r="G327" s="230"/>
      <c r="H327" s="231"/>
      <c r="I327" s="231">
        <v>29664</v>
      </c>
      <c r="J327" s="226" t="s">
        <v>2388</v>
      </c>
      <c r="K327" s="226"/>
      <c r="L327" s="345">
        <v>29664</v>
      </c>
      <c r="M327" s="346">
        <v>0</v>
      </c>
      <c r="N327" s="226" t="s">
        <v>2395</v>
      </c>
      <c r="O327" s="232"/>
      <c r="P327" s="232"/>
      <c r="Q327" s="232"/>
      <c r="R327" s="232"/>
      <c r="S327" s="414"/>
      <c r="T327" s="415"/>
      <c r="U327" s="414"/>
      <c r="V327" s="414"/>
      <c r="W327" s="414"/>
      <c r="X327" s="414"/>
      <c r="Y327" s="414"/>
      <c r="Z327" s="416"/>
      <c r="AA327" s="416"/>
      <c r="AB327" s="414"/>
      <c r="AC327" s="414"/>
      <c r="AD327" s="416"/>
      <c r="AE327" s="414"/>
      <c r="AF327" s="233"/>
    </row>
    <row r="328" spans="1:32">
      <c r="A328" s="225">
        <f t="shared" si="4"/>
        <v>319</v>
      </c>
      <c r="B328" s="227" t="s">
        <v>1446</v>
      </c>
      <c r="C328" s="227" t="s">
        <v>1782</v>
      </c>
      <c r="D328" s="228" t="s">
        <v>1783</v>
      </c>
      <c r="E328" s="363" t="s">
        <v>2047</v>
      </c>
      <c r="F328" s="342">
        <v>45236</v>
      </c>
      <c r="G328" s="230"/>
      <c r="H328" s="231"/>
      <c r="I328" s="231">
        <v>855943</v>
      </c>
      <c r="J328" s="226" t="s">
        <v>2388</v>
      </c>
      <c r="K328" s="226"/>
      <c r="L328" s="345">
        <v>855943</v>
      </c>
      <c r="M328" s="346">
        <v>0</v>
      </c>
      <c r="N328" s="226" t="s">
        <v>2398</v>
      </c>
      <c r="O328" s="232"/>
      <c r="P328" s="232"/>
      <c r="Q328" s="232"/>
      <c r="R328" s="232"/>
      <c r="S328" s="414"/>
      <c r="T328" s="415"/>
      <c r="U328" s="414"/>
      <c r="V328" s="414"/>
      <c r="W328" s="414"/>
      <c r="X328" s="414"/>
      <c r="Y328" s="414"/>
      <c r="Z328" s="416"/>
      <c r="AA328" s="416"/>
      <c r="AB328" s="414"/>
      <c r="AC328" s="414"/>
      <c r="AD328" s="416"/>
      <c r="AE328" s="414"/>
      <c r="AF328" s="233"/>
    </row>
    <row r="329" spans="1:32">
      <c r="A329" s="225">
        <f t="shared" si="4"/>
        <v>320</v>
      </c>
      <c r="B329" s="227" t="s">
        <v>1447</v>
      </c>
      <c r="C329" s="227" t="s">
        <v>1789</v>
      </c>
      <c r="D329" s="228" t="s">
        <v>1790</v>
      </c>
      <c r="E329" s="363" t="s">
        <v>2048</v>
      </c>
      <c r="F329" s="342">
        <v>45234</v>
      </c>
      <c r="G329" s="230"/>
      <c r="H329" s="231"/>
      <c r="I329" s="231">
        <v>49572</v>
      </c>
      <c r="J329" s="226" t="s">
        <v>2388</v>
      </c>
      <c r="K329" s="226"/>
      <c r="L329" s="345">
        <v>49572</v>
      </c>
      <c r="M329" s="346">
        <v>0</v>
      </c>
      <c r="N329" s="226" t="s">
        <v>2395</v>
      </c>
      <c r="O329" s="232"/>
      <c r="P329" s="232"/>
      <c r="Q329" s="232"/>
      <c r="R329" s="232"/>
      <c r="S329" s="414"/>
      <c r="T329" s="415"/>
      <c r="U329" s="414"/>
      <c r="V329" s="414"/>
      <c r="W329" s="414"/>
      <c r="X329" s="414"/>
      <c r="Y329" s="414"/>
      <c r="Z329" s="416"/>
      <c r="AA329" s="416"/>
      <c r="AB329" s="414"/>
      <c r="AC329" s="414"/>
      <c r="AD329" s="416"/>
      <c r="AE329" s="414"/>
      <c r="AF329" s="233"/>
    </row>
    <row r="330" spans="1:32">
      <c r="A330" s="225">
        <f t="shared" si="4"/>
        <v>321</v>
      </c>
      <c r="B330" s="227" t="s">
        <v>1448</v>
      </c>
      <c r="C330" s="227" t="s">
        <v>1782</v>
      </c>
      <c r="D330" s="228" t="s">
        <v>1783</v>
      </c>
      <c r="E330" s="363" t="s">
        <v>2049</v>
      </c>
      <c r="F330" s="342">
        <v>45236</v>
      </c>
      <c r="G330" s="230"/>
      <c r="H330" s="231"/>
      <c r="I330" s="231">
        <v>522985</v>
      </c>
      <c r="J330" s="226" t="s">
        <v>2388</v>
      </c>
      <c r="K330" s="226"/>
      <c r="L330" s="345">
        <v>522985</v>
      </c>
      <c r="M330" s="346">
        <v>0</v>
      </c>
      <c r="N330" s="226" t="s">
        <v>2398</v>
      </c>
      <c r="O330" s="232"/>
      <c r="P330" s="232"/>
      <c r="Q330" s="232"/>
      <c r="R330" s="232"/>
      <c r="S330" s="414"/>
      <c r="T330" s="415"/>
      <c r="U330" s="414"/>
      <c r="V330" s="414"/>
      <c r="W330" s="414"/>
      <c r="X330" s="414"/>
      <c r="Y330" s="414"/>
      <c r="Z330" s="416"/>
      <c r="AA330" s="416"/>
      <c r="AB330" s="414"/>
      <c r="AC330" s="414"/>
      <c r="AD330" s="416"/>
      <c r="AE330" s="414"/>
      <c r="AF330" s="233"/>
    </row>
    <row r="331" spans="1:32">
      <c r="A331" s="225">
        <f t="shared" si="4"/>
        <v>322</v>
      </c>
      <c r="B331" s="227" t="s">
        <v>1449</v>
      </c>
      <c r="C331" s="227" t="s">
        <v>1789</v>
      </c>
      <c r="D331" s="228" t="s">
        <v>1790</v>
      </c>
      <c r="E331" s="363" t="s">
        <v>2050</v>
      </c>
      <c r="F331" s="342">
        <v>45234</v>
      </c>
      <c r="G331" s="230"/>
      <c r="H331" s="231"/>
      <c r="I331" s="231">
        <v>29743</v>
      </c>
      <c r="J331" s="226" t="s">
        <v>2388</v>
      </c>
      <c r="K331" s="226"/>
      <c r="L331" s="345">
        <v>29743</v>
      </c>
      <c r="M331" s="346">
        <v>0</v>
      </c>
      <c r="N331" s="226" t="s">
        <v>2395</v>
      </c>
      <c r="O331" s="232"/>
      <c r="P331" s="232"/>
      <c r="Q331" s="232"/>
      <c r="R331" s="232"/>
      <c r="S331" s="414"/>
      <c r="T331" s="415"/>
      <c r="U331" s="414"/>
      <c r="V331" s="414"/>
      <c r="W331" s="414"/>
      <c r="X331" s="414"/>
      <c r="Y331" s="414"/>
      <c r="Z331" s="416"/>
      <c r="AA331" s="416"/>
      <c r="AB331" s="414"/>
      <c r="AC331" s="414"/>
      <c r="AD331" s="416"/>
      <c r="AE331" s="414"/>
      <c r="AF331" s="233"/>
    </row>
    <row r="332" spans="1:32">
      <c r="A332" s="225">
        <f t="shared" ref="A332:A395" si="5">A331+1</f>
        <v>323</v>
      </c>
      <c r="B332" s="227" t="s">
        <v>1450</v>
      </c>
      <c r="C332" s="227" t="s">
        <v>1766</v>
      </c>
      <c r="D332" s="228" t="s">
        <v>1767</v>
      </c>
      <c r="E332" s="363" t="s">
        <v>2051</v>
      </c>
      <c r="F332" s="342">
        <v>45260</v>
      </c>
      <c r="G332" s="230"/>
      <c r="H332" s="231"/>
      <c r="I332" s="231">
        <v>2880500</v>
      </c>
      <c r="J332" s="226" t="s">
        <v>2388</v>
      </c>
      <c r="K332" s="226"/>
      <c r="L332" s="345">
        <v>2880500</v>
      </c>
      <c r="M332" s="346">
        <v>0</v>
      </c>
      <c r="N332" s="226"/>
      <c r="O332" s="232"/>
      <c r="P332" s="232"/>
      <c r="Q332" s="232"/>
      <c r="R332" s="232"/>
      <c r="S332" s="414"/>
      <c r="T332" s="415"/>
      <c r="U332" s="414"/>
      <c r="V332" s="414"/>
      <c r="W332" s="414"/>
      <c r="X332" s="414"/>
      <c r="Y332" s="414"/>
      <c r="Z332" s="416"/>
      <c r="AA332" s="416"/>
      <c r="AB332" s="414"/>
      <c r="AC332" s="414"/>
      <c r="AD332" s="416"/>
      <c r="AE332" s="414"/>
      <c r="AF332" s="233"/>
    </row>
    <row r="333" spans="1:32">
      <c r="A333" s="225">
        <f t="shared" si="5"/>
        <v>324</v>
      </c>
      <c r="B333" s="227" t="s">
        <v>1393</v>
      </c>
      <c r="C333" s="227" t="s">
        <v>1763</v>
      </c>
      <c r="D333" s="228" t="s">
        <v>1764</v>
      </c>
      <c r="E333" s="363" t="s">
        <v>2052</v>
      </c>
      <c r="F333" s="342">
        <v>45260</v>
      </c>
      <c r="G333" s="230"/>
      <c r="H333" s="231"/>
      <c r="I333" s="231">
        <v>2219915</v>
      </c>
      <c r="J333" s="226" t="s">
        <v>2388</v>
      </c>
      <c r="K333" s="226"/>
      <c r="L333" s="345">
        <v>2219915</v>
      </c>
      <c r="M333" s="346">
        <v>0</v>
      </c>
      <c r="N333" s="226"/>
      <c r="O333" s="232"/>
      <c r="P333" s="232"/>
      <c r="Q333" s="232"/>
      <c r="R333" s="232"/>
      <c r="S333" s="414"/>
      <c r="T333" s="415"/>
      <c r="U333" s="414"/>
      <c r="V333" s="414"/>
      <c r="W333" s="414"/>
      <c r="X333" s="414"/>
      <c r="Y333" s="414"/>
      <c r="Z333" s="416"/>
      <c r="AA333" s="416"/>
      <c r="AB333" s="414"/>
      <c r="AC333" s="414"/>
      <c r="AD333" s="416"/>
      <c r="AE333" s="414"/>
      <c r="AF333" s="233"/>
    </row>
    <row r="334" spans="1:32">
      <c r="A334" s="225">
        <f t="shared" si="5"/>
        <v>325</v>
      </c>
      <c r="B334" s="227" t="s">
        <v>1451</v>
      </c>
      <c r="C334" s="227" t="s">
        <v>1771</v>
      </c>
      <c r="D334" s="228" t="s">
        <v>1772</v>
      </c>
      <c r="E334" s="363" t="s">
        <v>2053</v>
      </c>
      <c r="F334" s="342">
        <v>45260</v>
      </c>
      <c r="G334" s="230"/>
      <c r="H334" s="231"/>
      <c r="I334" s="231">
        <v>80243</v>
      </c>
      <c r="J334" s="226" t="s">
        <v>2388</v>
      </c>
      <c r="K334" s="226"/>
      <c r="L334" s="345">
        <v>80243</v>
      </c>
      <c r="M334" s="346">
        <v>0</v>
      </c>
      <c r="N334" s="226"/>
      <c r="O334" s="232"/>
      <c r="P334" s="232"/>
      <c r="Q334" s="232"/>
      <c r="R334" s="232"/>
      <c r="S334" s="414"/>
      <c r="T334" s="415"/>
      <c r="U334" s="414"/>
      <c r="V334" s="414"/>
      <c r="W334" s="414"/>
      <c r="X334" s="414"/>
      <c r="Y334" s="414"/>
      <c r="Z334" s="416"/>
      <c r="AA334" s="416"/>
      <c r="AB334" s="414"/>
      <c r="AC334" s="414"/>
      <c r="AD334" s="416"/>
      <c r="AE334" s="414"/>
      <c r="AF334" s="233"/>
    </row>
    <row r="335" spans="1:32">
      <c r="A335" s="225">
        <f t="shared" si="5"/>
        <v>326</v>
      </c>
      <c r="B335" s="227" t="s">
        <v>1188</v>
      </c>
      <c r="C335" s="227" t="s">
        <v>1774</v>
      </c>
      <c r="D335" s="228" t="s">
        <v>1775</v>
      </c>
      <c r="E335" s="363" t="s">
        <v>2054</v>
      </c>
      <c r="F335" s="342">
        <v>45258</v>
      </c>
      <c r="G335" s="230"/>
      <c r="H335" s="231"/>
      <c r="I335" s="231">
        <v>67898</v>
      </c>
      <c r="J335" s="226" t="s">
        <v>2388</v>
      </c>
      <c r="K335" s="226"/>
      <c r="L335" s="345">
        <v>67898</v>
      </c>
      <c r="M335" s="346">
        <v>0</v>
      </c>
      <c r="N335" s="226" t="s">
        <v>2394</v>
      </c>
      <c r="O335" s="232"/>
      <c r="P335" s="232"/>
      <c r="Q335" s="232"/>
      <c r="R335" s="232"/>
      <c r="S335" s="414"/>
      <c r="T335" s="415"/>
      <c r="U335" s="414"/>
      <c r="V335" s="414"/>
      <c r="W335" s="414"/>
      <c r="X335" s="414"/>
      <c r="Y335" s="414"/>
      <c r="Z335" s="416"/>
      <c r="AA335" s="416"/>
      <c r="AB335" s="414"/>
      <c r="AC335" s="414"/>
      <c r="AD335" s="416"/>
      <c r="AE335" s="414"/>
      <c r="AF335" s="233"/>
    </row>
    <row r="336" spans="1:32">
      <c r="A336" s="225">
        <f t="shared" si="5"/>
        <v>327</v>
      </c>
      <c r="B336" s="227" t="s">
        <v>1190</v>
      </c>
      <c r="C336" s="227" t="s">
        <v>1923</v>
      </c>
      <c r="D336" s="228" t="s">
        <v>1924</v>
      </c>
      <c r="E336" s="363" t="s">
        <v>2055</v>
      </c>
      <c r="F336" s="342">
        <v>45254</v>
      </c>
      <c r="G336" s="230"/>
      <c r="H336" s="231"/>
      <c r="I336" s="231">
        <v>333315</v>
      </c>
      <c r="J336" s="226" t="s">
        <v>2388</v>
      </c>
      <c r="K336" s="226"/>
      <c r="L336" s="345">
        <v>333315</v>
      </c>
      <c r="M336" s="346">
        <v>0</v>
      </c>
      <c r="N336" s="226"/>
      <c r="O336" s="232"/>
      <c r="P336" s="232"/>
      <c r="Q336" s="232"/>
      <c r="R336" s="232"/>
      <c r="S336" s="414"/>
      <c r="T336" s="415"/>
      <c r="U336" s="414"/>
      <c r="V336" s="414"/>
      <c r="W336" s="414"/>
      <c r="X336" s="414"/>
      <c r="Y336" s="414"/>
      <c r="Z336" s="416"/>
      <c r="AA336" s="416"/>
      <c r="AB336" s="414"/>
      <c r="AC336" s="414"/>
      <c r="AD336" s="416"/>
      <c r="AE336" s="414"/>
      <c r="AF336" s="233"/>
    </row>
    <row r="337" spans="1:32">
      <c r="A337" s="225">
        <f t="shared" si="5"/>
        <v>328</v>
      </c>
      <c r="B337" s="227" t="s">
        <v>1452</v>
      </c>
      <c r="C337" s="227" t="s">
        <v>1789</v>
      </c>
      <c r="D337" s="228" t="s">
        <v>1790</v>
      </c>
      <c r="E337" s="363" t="s">
        <v>2056</v>
      </c>
      <c r="F337" s="342">
        <v>45240</v>
      </c>
      <c r="G337" s="230"/>
      <c r="H337" s="231"/>
      <c r="I337" s="231">
        <v>29686</v>
      </c>
      <c r="J337" s="226" t="s">
        <v>2388</v>
      </c>
      <c r="K337" s="226"/>
      <c r="L337" s="345">
        <v>29686</v>
      </c>
      <c r="M337" s="346">
        <v>0</v>
      </c>
      <c r="N337" s="226" t="s">
        <v>2395</v>
      </c>
      <c r="O337" s="232"/>
      <c r="P337" s="232"/>
      <c r="Q337" s="232"/>
      <c r="R337" s="232"/>
      <c r="S337" s="414"/>
      <c r="T337" s="415"/>
      <c r="U337" s="414"/>
      <c r="V337" s="414"/>
      <c r="W337" s="414"/>
      <c r="X337" s="414"/>
      <c r="Y337" s="414"/>
      <c r="Z337" s="416"/>
      <c r="AA337" s="416"/>
      <c r="AB337" s="414"/>
      <c r="AC337" s="414"/>
      <c r="AD337" s="416"/>
      <c r="AE337" s="414"/>
      <c r="AF337" s="233"/>
    </row>
    <row r="338" spans="1:32">
      <c r="A338" s="225">
        <f t="shared" si="5"/>
        <v>329</v>
      </c>
      <c r="B338" s="227" t="s">
        <v>1193</v>
      </c>
      <c r="C338" s="227" t="s">
        <v>1780</v>
      </c>
      <c r="D338" s="228" t="s">
        <v>1781</v>
      </c>
      <c r="E338" s="363">
        <v>8592</v>
      </c>
      <c r="F338" s="342">
        <v>45231</v>
      </c>
      <c r="G338" s="230"/>
      <c r="H338" s="231"/>
      <c r="I338" s="231">
        <v>4712</v>
      </c>
      <c r="J338" s="226" t="s">
        <v>2389</v>
      </c>
      <c r="K338" s="226"/>
      <c r="L338" s="345"/>
      <c r="M338" s="346">
        <v>4712</v>
      </c>
      <c r="N338" s="226"/>
      <c r="O338" s="232"/>
      <c r="P338" s="232"/>
      <c r="Q338" s="232"/>
      <c r="R338" s="232"/>
      <c r="S338" s="414"/>
      <c r="T338" s="415"/>
      <c r="U338" s="414"/>
      <c r="V338" s="414"/>
      <c r="W338" s="414"/>
      <c r="X338" s="414"/>
      <c r="Y338" s="414"/>
      <c r="Z338" s="416"/>
      <c r="AA338" s="416"/>
      <c r="AB338" s="414"/>
      <c r="AC338" s="414"/>
      <c r="AD338" s="416"/>
      <c r="AE338" s="414"/>
      <c r="AF338" s="233"/>
    </row>
    <row r="339" spans="1:32">
      <c r="A339" s="225">
        <f t="shared" si="5"/>
        <v>330</v>
      </c>
      <c r="B339" s="227" t="s">
        <v>1191</v>
      </c>
      <c r="C339" s="227" t="s">
        <v>1776</v>
      </c>
      <c r="D339" s="228" t="s">
        <v>1777</v>
      </c>
      <c r="E339" s="363">
        <v>231862</v>
      </c>
      <c r="F339" s="342">
        <v>45231</v>
      </c>
      <c r="G339" s="230"/>
      <c r="H339" s="231"/>
      <c r="I339" s="231">
        <v>247980</v>
      </c>
      <c r="J339" s="226" t="s">
        <v>2388</v>
      </c>
      <c r="K339" s="226"/>
      <c r="L339" s="345">
        <v>247980</v>
      </c>
      <c r="M339" s="346">
        <v>0</v>
      </c>
      <c r="N339" s="226"/>
      <c r="O339" s="232"/>
      <c r="P339" s="232"/>
      <c r="Q339" s="232"/>
      <c r="R339" s="232"/>
      <c r="S339" s="414"/>
      <c r="T339" s="415"/>
      <c r="U339" s="414"/>
      <c r="V339" s="414"/>
      <c r="W339" s="414"/>
      <c r="X339" s="414"/>
      <c r="Y339" s="414"/>
      <c r="Z339" s="416"/>
      <c r="AA339" s="416"/>
      <c r="AB339" s="414"/>
      <c r="AC339" s="414"/>
      <c r="AD339" s="416"/>
      <c r="AE339" s="414"/>
      <c r="AF339" s="233"/>
    </row>
    <row r="340" spans="1:32">
      <c r="A340" s="225">
        <f t="shared" si="5"/>
        <v>331</v>
      </c>
      <c r="B340" s="227" t="s">
        <v>1303</v>
      </c>
      <c r="C340" s="227" t="s">
        <v>2040</v>
      </c>
      <c r="D340" s="228" t="s">
        <v>2041</v>
      </c>
      <c r="E340" s="363" t="s">
        <v>2057</v>
      </c>
      <c r="F340" s="342">
        <v>45288</v>
      </c>
      <c r="G340" s="230"/>
      <c r="H340" s="231"/>
      <c r="I340" s="231">
        <v>3266</v>
      </c>
      <c r="J340" s="226" t="s">
        <v>2388</v>
      </c>
      <c r="K340" s="226"/>
      <c r="L340" s="345">
        <v>3266</v>
      </c>
      <c r="M340" s="346">
        <v>0</v>
      </c>
      <c r="N340" s="226"/>
      <c r="O340" s="232"/>
      <c r="P340" s="232"/>
      <c r="Q340" s="232"/>
      <c r="R340" s="232"/>
      <c r="S340" s="414"/>
      <c r="T340" s="415"/>
      <c r="U340" s="414"/>
      <c r="V340" s="414"/>
      <c r="W340" s="414"/>
      <c r="X340" s="414"/>
      <c r="Y340" s="414"/>
      <c r="Z340" s="416"/>
      <c r="AA340" s="416"/>
      <c r="AB340" s="414"/>
      <c r="AC340" s="414"/>
      <c r="AD340" s="416"/>
      <c r="AE340" s="414"/>
      <c r="AF340" s="233"/>
    </row>
    <row r="341" spans="1:32">
      <c r="A341" s="225">
        <f t="shared" si="5"/>
        <v>332</v>
      </c>
      <c r="B341" s="227" t="s">
        <v>1369</v>
      </c>
      <c r="C341" s="227" t="s">
        <v>1763</v>
      </c>
      <c r="D341" s="228" t="s">
        <v>1764</v>
      </c>
      <c r="E341" s="363" t="s">
        <v>2058</v>
      </c>
      <c r="F341" s="342">
        <v>45290</v>
      </c>
      <c r="G341" s="230"/>
      <c r="H341" s="231"/>
      <c r="I341" s="231">
        <v>3251603</v>
      </c>
      <c r="J341" s="226" t="s">
        <v>2388</v>
      </c>
      <c r="K341" s="226"/>
      <c r="L341" s="345">
        <v>3251603</v>
      </c>
      <c r="M341" s="346">
        <v>0</v>
      </c>
      <c r="N341" s="226"/>
      <c r="O341" s="232"/>
      <c r="P341" s="232"/>
      <c r="Q341" s="232"/>
      <c r="R341" s="232"/>
      <c r="S341" s="414"/>
      <c r="T341" s="415"/>
      <c r="U341" s="414"/>
      <c r="V341" s="414"/>
      <c r="W341" s="414"/>
      <c r="X341" s="414"/>
      <c r="Y341" s="414"/>
      <c r="Z341" s="416"/>
      <c r="AA341" s="416"/>
      <c r="AB341" s="414"/>
      <c r="AC341" s="414"/>
      <c r="AD341" s="416"/>
      <c r="AE341" s="414"/>
      <c r="AF341" s="233"/>
    </row>
    <row r="342" spans="1:32">
      <c r="A342" s="225">
        <f t="shared" si="5"/>
        <v>333</v>
      </c>
      <c r="B342" s="227" t="s">
        <v>1453</v>
      </c>
      <c r="C342" s="227" t="s">
        <v>1771</v>
      </c>
      <c r="D342" s="228" t="s">
        <v>1772</v>
      </c>
      <c r="E342" s="363" t="s">
        <v>2059</v>
      </c>
      <c r="F342" s="342">
        <v>45289</v>
      </c>
      <c r="G342" s="230"/>
      <c r="H342" s="231"/>
      <c r="I342" s="231">
        <v>117240</v>
      </c>
      <c r="J342" s="226" t="s">
        <v>2388</v>
      </c>
      <c r="K342" s="226"/>
      <c r="L342" s="345">
        <v>117240</v>
      </c>
      <c r="M342" s="346">
        <v>0</v>
      </c>
      <c r="N342" s="226"/>
      <c r="O342" s="232"/>
      <c r="P342" s="232"/>
      <c r="Q342" s="232"/>
      <c r="R342" s="232"/>
      <c r="S342" s="414"/>
      <c r="T342" s="415"/>
      <c r="U342" s="414"/>
      <c r="V342" s="414"/>
      <c r="W342" s="414"/>
      <c r="X342" s="414"/>
      <c r="Y342" s="414"/>
      <c r="Z342" s="416"/>
      <c r="AA342" s="416"/>
      <c r="AB342" s="414"/>
      <c r="AC342" s="414"/>
      <c r="AD342" s="416"/>
      <c r="AE342" s="414"/>
      <c r="AF342" s="233"/>
    </row>
    <row r="343" spans="1:32">
      <c r="A343" s="225">
        <f t="shared" si="5"/>
        <v>334</v>
      </c>
      <c r="B343" s="227" t="s">
        <v>1454</v>
      </c>
      <c r="C343" s="227" t="s">
        <v>1774</v>
      </c>
      <c r="D343" s="228" t="s">
        <v>1775</v>
      </c>
      <c r="E343" s="363" t="s">
        <v>2060</v>
      </c>
      <c r="F343" s="342">
        <v>45288</v>
      </c>
      <c r="G343" s="230"/>
      <c r="H343" s="231"/>
      <c r="I343" s="231">
        <v>67551</v>
      </c>
      <c r="J343" s="226" t="s">
        <v>2388</v>
      </c>
      <c r="K343" s="226"/>
      <c r="L343" s="345">
        <v>67551</v>
      </c>
      <c r="M343" s="346">
        <v>0</v>
      </c>
      <c r="N343" s="226" t="s">
        <v>2394</v>
      </c>
      <c r="O343" s="232"/>
      <c r="P343" s="232"/>
      <c r="Q343" s="232"/>
      <c r="R343" s="232"/>
      <c r="S343" s="414"/>
      <c r="T343" s="415"/>
      <c r="U343" s="414"/>
      <c r="V343" s="414"/>
      <c r="W343" s="414"/>
      <c r="X343" s="414"/>
      <c r="Y343" s="414"/>
      <c r="Z343" s="416"/>
      <c r="AA343" s="416"/>
      <c r="AB343" s="414"/>
      <c r="AC343" s="414"/>
      <c r="AD343" s="416"/>
      <c r="AE343" s="414"/>
      <c r="AF343" s="233"/>
    </row>
    <row r="344" spans="1:32">
      <c r="A344" s="225">
        <f t="shared" si="5"/>
        <v>335</v>
      </c>
      <c r="B344" s="227" t="s">
        <v>1455</v>
      </c>
      <c r="C344" s="227" t="s">
        <v>1869</v>
      </c>
      <c r="D344" s="228" t="s">
        <v>1870</v>
      </c>
      <c r="E344" s="363" t="s">
        <v>2061</v>
      </c>
      <c r="F344" s="342">
        <v>45287</v>
      </c>
      <c r="G344" s="230"/>
      <c r="H344" s="231"/>
      <c r="I344" s="231">
        <v>779907</v>
      </c>
      <c r="J344" s="226" t="s">
        <v>2388</v>
      </c>
      <c r="K344" s="226"/>
      <c r="L344" s="345">
        <v>779907</v>
      </c>
      <c r="M344" s="346">
        <v>0</v>
      </c>
      <c r="N344" s="226"/>
      <c r="O344" s="232"/>
      <c r="P344" s="232"/>
      <c r="Q344" s="232"/>
      <c r="R344" s="232"/>
      <c r="S344" s="414"/>
      <c r="T344" s="415"/>
      <c r="U344" s="414"/>
      <c r="V344" s="414"/>
      <c r="W344" s="414"/>
      <c r="X344" s="414"/>
      <c r="Y344" s="414"/>
      <c r="Z344" s="416"/>
      <c r="AA344" s="416"/>
      <c r="AB344" s="414"/>
      <c r="AC344" s="414"/>
      <c r="AD344" s="416"/>
      <c r="AE344" s="414"/>
      <c r="AF344" s="233"/>
    </row>
    <row r="345" spans="1:32">
      <c r="A345" s="225">
        <f t="shared" si="5"/>
        <v>336</v>
      </c>
      <c r="B345" s="227" t="s">
        <v>1190</v>
      </c>
      <c r="C345" s="227" t="s">
        <v>1923</v>
      </c>
      <c r="D345" s="228" t="s">
        <v>1924</v>
      </c>
      <c r="E345" s="363" t="s">
        <v>2062</v>
      </c>
      <c r="F345" s="342">
        <v>45285</v>
      </c>
      <c r="G345" s="230"/>
      <c r="H345" s="231"/>
      <c r="I345" s="231">
        <v>332100</v>
      </c>
      <c r="J345" s="226" t="s">
        <v>2388</v>
      </c>
      <c r="K345" s="226"/>
      <c r="L345" s="345">
        <v>332100</v>
      </c>
      <c r="M345" s="346">
        <v>0</v>
      </c>
      <c r="N345" s="226"/>
      <c r="O345" s="232"/>
      <c r="P345" s="232"/>
      <c r="Q345" s="232"/>
      <c r="R345" s="232"/>
      <c r="S345" s="414"/>
      <c r="T345" s="415"/>
      <c r="U345" s="414"/>
      <c r="V345" s="414"/>
      <c r="W345" s="414"/>
      <c r="X345" s="414"/>
      <c r="Y345" s="414"/>
      <c r="Z345" s="416"/>
      <c r="AA345" s="416"/>
      <c r="AB345" s="414"/>
      <c r="AC345" s="414"/>
      <c r="AD345" s="416"/>
      <c r="AE345" s="414"/>
      <c r="AF345" s="233"/>
    </row>
    <row r="346" spans="1:32">
      <c r="A346" s="225">
        <f t="shared" si="5"/>
        <v>337</v>
      </c>
      <c r="B346" s="227" t="s">
        <v>1456</v>
      </c>
      <c r="C346" s="227" t="s">
        <v>1760</v>
      </c>
      <c r="D346" s="228" t="s">
        <v>1761</v>
      </c>
      <c r="E346" s="363" t="s">
        <v>2063</v>
      </c>
      <c r="F346" s="342">
        <v>45285</v>
      </c>
      <c r="G346" s="230"/>
      <c r="H346" s="231"/>
      <c r="I346" s="231">
        <v>738000</v>
      </c>
      <c r="J346" s="226" t="s">
        <v>2388</v>
      </c>
      <c r="K346" s="226"/>
      <c r="L346" s="345">
        <v>738000</v>
      </c>
      <c r="M346" s="346">
        <v>0</v>
      </c>
      <c r="N346" s="226"/>
      <c r="O346" s="232"/>
      <c r="P346" s="232"/>
      <c r="Q346" s="232"/>
      <c r="R346" s="232"/>
      <c r="S346" s="414"/>
      <c r="T346" s="415"/>
      <c r="U346" s="414"/>
      <c r="V346" s="414"/>
      <c r="W346" s="414"/>
      <c r="X346" s="414"/>
      <c r="Y346" s="414"/>
      <c r="Z346" s="416"/>
      <c r="AA346" s="416"/>
      <c r="AB346" s="414"/>
      <c r="AC346" s="414"/>
      <c r="AD346" s="416"/>
      <c r="AE346" s="414"/>
      <c r="AF346" s="233"/>
    </row>
    <row r="347" spans="1:32">
      <c r="A347" s="225">
        <f t="shared" si="5"/>
        <v>338</v>
      </c>
      <c r="B347" s="227" t="s">
        <v>1457</v>
      </c>
      <c r="C347" s="227" t="s">
        <v>1776</v>
      </c>
      <c r="D347" s="228" t="s">
        <v>1777</v>
      </c>
      <c r="E347" s="363">
        <v>232185</v>
      </c>
      <c r="F347" s="342">
        <v>45275</v>
      </c>
      <c r="G347" s="230"/>
      <c r="H347" s="231"/>
      <c r="I347" s="231">
        <v>411000</v>
      </c>
      <c r="J347" s="226" t="s">
        <v>2388</v>
      </c>
      <c r="K347" s="226"/>
      <c r="L347" s="345">
        <v>411000</v>
      </c>
      <c r="M347" s="346">
        <v>0</v>
      </c>
      <c r="N347" s="226"/>
      <c r="O347" s="232"/>
      <c r="P347" s="232"/>
      <c r="Q347" s="232"/>
      <c r="R347" s="232"/>
      <c r="S347" s="414"/>
      <c r="T347" s="415"/>
      <c r="U347" s="414"/>
      <c r="V347" s="414"/>
      <c r="W347" s="414"/>
      <c r="X347" s="414"/>
      <c r="Y347" s="414"/>
      <c r="Z347" s="416"/>
      <c r="AA347" s="416"/>
      <c r="AB347" s="414"/>
      <c r="AC347" s="414"/>
      <c r="AD347" s="416"/>
      <c r="AE347" s="414"/>
      <c r="AF347" s="233"/>
    </row>
    <row r="348" spans="1:32">
      <c r="A348" s="225">
        <f t="shared" si="5"/>
        <v>339</v>
      </c>
      <c r="B348" s="227" t="s">
        <v>1185</v>
      </c>
      <c r="C348" s="227" t="s">
        <v>1766</v>
      </c>
      <c r="D348" s="228" t="s">
        <v>1767</v>
      </c>
      <c r="E348" s="363" t="s">
        <v>2064</v>
      </c>
      <c r="F348" s="342">
        <v>45268</v>
      </c>
      <c r="G348" s="230"/>
      <c r="H348" s="231"/>
      <c r="I348" s="231">
        <v>2880500</v>
      </c>
      <c r="J348" s="226" t="s">
        <v>2388</v>
      </c>
      <c r="K348" s="226"/>
      <c r="L348" s="345">
        <v>2880500</v>
      </c>
      <c r="M348" s="346">
        <v>0</v>
      </c>
      <c r="N348" s="226"/>
      <c r="O348" s="232"/>
      <c r="P348" s="232"/>
      <c r="Q348" s="232"/>
      <c r="R348" s="232"/>
      <c r="S348" s="414"/>
      <c r="T348" s="415"/>
      <c r="U348" s="414"/>
      <c r="V348" s="414"/>
      <c r="W348" s="414"/>
      <c r="X348" s="414"/>
      <c r="Y348" s="414"/>
      <c r="Z348" s="416"/>
      <c r="AA348" s="416"/>
      <c r="AB348" s="414"/>
      <c r="AC348" s="414"/>
      <c r="AD348" s="416"/>
      <c r="AE348" s="414"/>
      <c r="AF348" s="233"/>
    </row>
    <row r="349" spans="1:32">
      <c r="A349" s="225">
        <f t="shared" si="5"/>
        <v>340</v>
      </c>
      <c r="B349" s="227" t="s">
        <v>1458</v>
      </c>
      <c r="C349" s="227" t="s">
        <v>2065</v>
      </c>
      <c r="D349" s="228" t="s">
        <v>2066</v>
      </c>
      <c r="E349" s="363">
        <v>44</v>
      </c>
      <c r="F349" s="342">
        <v>45266</v>
      </c>
      <c r="G349" s="230"/>
      <c r="H349" s="231"/>
      <c r="I349" s="231">
        <v>226270</v>
      </c>
      <c r="J349" s="226" t="s">
        <v>2388</v>
      </c>
      <c r="K349" s="226"/>
      <c r="L349" s="345">
        <v>226270</v>
      </c>
      <c r="M349" s="346">
        <v>0</v>
      </c>
      <c r="N349" s="226"/>
      <c r="O349" s="232"/>
      <c r="P349" s="232"/>
      <c r="Q349" s="232"/>
      <c r="R349" s="232"/>
      <c r="S349" s="414"/>
      <c r="T349" s="415"/>
      <c r="U349" s="414"/>
      <c r="V349" s="414"/>
      <c r="W349" s="414"/>
      <c r="X349" s="414"/>
      <c r="Y349" s="414"/>
      <c r="Z349" s="416"/>
      <c r="AA349" s="416"/>
      <c r="AB349" s="414"/>
      <c r="AC349" s="414"/>
      <c r="AD349" s="416"/>
      <c r="AE349" s="414"/>
      <c r="AF349" s="233"/>
    </row>
    <row r="350" spans="1:32">
      <c r="A350" s="225">
        <f t="shared" si="5"/>
        <v>341</v>
      </c>
      <c r="B350" s="227" t="s">
        <v>1458</v>
      </c>
      <c r="C350" s="227" t="s">
        <v>2065</v>
      </c>
      <c r="D350" s="228" t="s">
        <v>2066</v>
      </c>
      <c r="E350" s="363">
        <v>45</v>
      </c>
      <c r="F350" s="342">
        <v>45266</v>
      </c>
      <c r="G350" s="230"/>
      <c r="H350" s="231"/>
      <c r="I350" s="231">
        <v>74052</v>
      </c>
      <c r="J350" s="226" t="s">
        <v>2388</v>
      </c>
      <c r="K350" s="226"/>
      <c r="L350" s="345">
        <v>74052</v>
      </c>
      <c r="M350" s="346">
        <v>0</v>
      </c>
      <c r="N350" s="226"/>
      <c r="O350" s="232"/>
      <c r="P350" s="232"/>
      <c r="Q350" s="232"/>
      <c r="R350" s="232"/>
      <c r="S350" s="414"/>
      <c r="T350" s="415"/>
      <c r="U350" s="414"/>
      <c r="V350" s="414"/>
      <c r="W350" s="414"/>
      <c r="X350" s="414"/>
      <c r="Y350" s="414"/>
      <c r="Z350" s="416"/>
      <c r="AA350" s="416"/>
      <c r="AB350" s="414"/>
      <c r="AC350" s="414"/>
      <c r="AD350" s="416"/>
      <c r="AE350" s="414"/>
      <c r="AF350" s="233"/>
    </row>
    <row r="351" spans="1:32">
      <c r="A351" s="225">
        <f t="shared" si="5"/>
        <v>342</v>
      </c>
      <c r="B351" s="227" t="s">
        <v>1193</v>
      </c>
      <c r="C351" s="227" t="s">
        <v>1780</v>
      </c>
      <c r="D351" s="228" t="s">
        <v>1781</v>
      </c>
      <c r="E351" s="363">
        <v>8598</v>
      </c>
      <c r="F351" s="342">
        <v>45261</v>
      </c>
      <c r="G351" s="230"/>
      <c r="H351" s="231"/>
      <c r="I351" s="231">
        <v>6403</v>
      </c>
      <c r="J351" s="226" t="s">
        <v>2389</v>
      </c>
      <c r="K351" s="226"/>
      <c r="L351" s="345"/>
      <c r="M351" s="346">
        <v>6403</v>
      </c>
      <c r="N351" s="226"/>
      <c r="O351" s="232"/>
      <c r="P351" s="232"/>
      <c r="Q351" s="232"/>
      <c r="R351" s="232"/>
      <c r="S351" s="414"/>
      <c r="T351" s="415"/>
      <c r="U351" s="414"/>
      <c r="V351" s="414"/>
      <c r="W351" s="414"/>
      <c r="X351" s="414"/>
      <c r="Y351" s="414"/>
      <c r="Z351" s="416"/>
      <c r="AA351" s="416"/>
      <c r="AB351" s="414"/>
      <c r="AC351" s="414"/>
      <c r="AD351" s="416"/>
      <c r="AE351" s="414"/>
      <c r="AF351" s="233"/>
    </row>
    <row r="352" spans="1:32">
      <c r="A352" s="225">
        <f t="shared" si="5"/>
        <v>343</v>
      </c>
      <c r="B352" s="227" t="s">
        <v>1191</v>
      </c>
      <c r="C352" s="227" t="s">
        <v>1776</v>
      </c>
      <c r="D352" s="228" t="s">
        <v>1777</v>
      </c>
      <c r="E352" s="363">
        <v>232034</v>
      </c>
      <c r="F352" s="342">
        <v>45261</v>
      </c>
      <c r="G352" s="230"/>
      <c r="H352" s="231"/>
      <c r="I352" s="231">
        <v>246900</v>
      </c>
      <c r="J352" s="226" t="s">
        <v>2388</v>
      </c>
      <c r="K352" s="226"/>
      <c r="L352" s="345">
        <v>246900</v>
      </c>
      <c r="M352" s="346">
        <v>0</v>
      </c>
      <c r="N352" s="226"/>
      <c r="O352" s="232"/>
      <c r="P352" s="232"/>
      <c r="Q352" s="232"/>
      <c r="R352" s="232"/>
      <c r="S352" s="414"/>
      <c r="T352" s="415"/>
      <c r="U352" s="414"/>
      <c r="V352" s="414"/>
      <c r="W352" s="414"/>
      <c r="X352" s="414"/>
      <c r="Y352" s="414"/>
      <c r="Z352" s="416"/>
      <c r="AA352" s="416"/>
      <c r="AB352" s="414"/>
      <c r="AC352" s="414"/>
      <c r="AD352" s="416"/>
      <c r="AE352" s="414"/>
      <c r="AF352" s="233"/>
    </row>
    <row r="353" spans="1:32">
      <c r="A353" s="225">
        <f t="shared" si="5"/>
        <v>344</v>
      </c>
      <c r="B353" s="227" t="s">
        <v>1459</v>
      </c>
      <c r="C353" s="227" t="s">
        <v>2067</v>
      </c>
      <c r="D353" s="228" t="s">
        <v>2068</v>
      </c>
      <c r="E353" s="363" t="s">
        <v>2069</v>
      </c>
      <c r="F353" s="342">
        <v>45290</v>
      </c>
      <c r="G353" s="230"/>
      <c r="H353" s="231"/>
      <c r="I353" s="231">
        <v>558011</v>
      </c>
      <c r="J353" s="226" t="s">
        <v>2388</v>
      </c>
      <c r="K353" s="226"/>
      <c r="L353" s="345">
        <v>558011</v>
      </c>
      <c r="M353" s="346">
        <v>0</v>
      </c>
      <c r="N353" s="226"/>
      <c r="O353" s="232"/>
      <c r="P353" s="232"/>
      <c r="Q353" s="232"/>
      <c r="R353" s="232"/>
      <c r="S353" s="414"/>
      <c r="T353" s="415"/>
      <c r="U353" s="414"/>
      <c r="V353" s="414"/>
      <c r="W353" s="414"/>
      <c r="X353" s="414"/>
      <c r="Y353" s="414"/>
      <c r="Z353" s="416"/>
      <c r="AA353" s="416"/>
      <c r="AB353" s="414"/>
      <c r="AC353" s="414"/>
      <c r="AD353" s="416"/>
      <c r="AE353" s="414"/>
      <c r="AF353" s="233"/>
    </row>
    <row r="354" spans="1:32">
      <c r="A354" s="225">
        <f t="shared" si="5"/>
        <v>345</v>
      </c>
      <c r="B354" s="227" t="s">
        <v>1460</v>
      </c>
      <c r="C354" s="227" t="s">
        <v>2067</v>
      </c>
      <c r="D354" s="228" t="s">
        <v>2068</v>
      </c>
      <c r="E354" s="363" t="s">
        <v>2070</v>
      </c>
      <c r="F354" s="342">
        <v>45290</v>
      </c>
      <c r="G354" s="230"/>
      <c r="H354" s="231"/>
      <c r="I354" s="231">
        <v>467733</v>
      </c>
      <c r="J354" s="226" t="s">
        <v>2388</v>
      </c>
      <c r="K354" s="226"/>
      <c r="L354" s="345">
        <v>467733</v>
      </c>
      <c r="M354" s="346">
        <v>0</v>
      </c>
      <c r="N354" s="226"/>
      <c r="O354" s="232"/>
      <c r="P354" s="232"/>
      <c r="Q354" s="232"/>
      <c r="R354" s="232"/>
      <c r="S354" s="414"/>
      <c r="T354" s="415"/>
      <c r="U354" s="414"/>
      <c r="V354" s="414"/>
      <c r="W354" s="414"/>
      <c r="X354" s="414"/>
      <c r="Y354" s="414"/>
      <c r="Z354" s="416"/>
      <c r="AA354" s="416"/>
      <c r="AB354" s="414"/>
      <c r="AC354" s="414"/>
      <c r="AD354" s="416"/>
      <c r="AE354" s="414"/>
      <c r="AF354" s="233"/>
    </row>
    <row r="355" spans="1:32">
      <c r="A355" s="225">
        <f t="shared" si="5"/>
        <v>346</v>
      </c>
      <c r="B355" s="227" t="s">
        <v>1461</v>
      </c>
      <c r="C355" s="227" t="s">
        <v>1789</v>
      </c>
      <c r="D355" s="228" t="s">
        <v>1790</v>
      </c>
      <c r="E355" s="363" t="s">
        <v>2071</v>
      </c>
      <c r="F355" s="342">
        <v>45283</v>
      </c>
      <c r="G355" s="230"/>
      <c r="H355" s="231"/>
      <c r="I355" s="231">
        <v>19690</v>
      </c>
      <c r="J355" s="226" t="s">
        <v>2388</v>
      </c>
      <c r="K355" s="226"/>
      <c r="L355" s="345">
        <v>19690</v>
      </c>
      <c r="M355" s="346">
        <v>0</v>
      </c>
      <c r="N355" s="226" t="s">
        <v>2395</v>
      </c>
      <c r="O355" s="232"/>
      <c r="P355" s="232"/>
      <c r="Q355" s="232"/>
      <c r="R355" s="232"/>
      <c r="S355" s="414"/>
      <c r="T355" s="415"/>
      <c r="U355" s="414"/>
      <c r="V355" s="414"/>
      <c r="W355" s="414"/>
      <c r="X355" s="414"/>
      <c r="Y355" s="414"/>
      <c r="Z355" s="416"/>
      <c r="AA355" s="416"/>
      <c r="AB355" s="414"/>
      <c r="AC355" s="414"/>
      <c r="AD355" s="416"/>
      <c r="AE355" s="414"/>
      <c r="AF355" s="233"/>
    </row>
    <row r="356" spans="1:32">
      <c r="A356" s="225">
        <f t="shared" si="5"/>
        <v>347</v>
      </c>
      <c r="B356" s="227" t="s">
        <v>1462</v>
      </c>
      <c r="C356" s="227" t="s">
        <v>2067</v>
      </c>
      <c r="D356" s="228" t="s">
        <v>2068</v>
      </c>
      <c r="E356" s="363" t="s">
        <v>2072</v>
      </c>
      <c r="F356" s="342">
        <v>45290</v>
      </c>
      <c r="G356" s="230"/>
      <c r="H356" s="231"/>
      <c r="I356" s="231">
        <v>664221</v>
      </c>
      <c r="J356" s="226" t="s">
        <v>2388</v>
      </c>
      <c r="K356" s="226"/>
      <c r="L356" s="345">
        <v>664221</v>
      </c>
      <c r="M356" s="346">
        <v>0</v>
      </c>
      <c r="N356" s="226"/>
      <c r="O356" s="232"/>
      <c r="P356" s="232"/>
      <c r="Q356" s="232"/>
      <c r="R356" s="232"/>
      <c r="S356" s="414"/>
      <c r="T356" s="415"/>
      <c r="U356" s="414"/>
      <c r="V356" s="414"/>
      <c r="W356" s="414"/>
      <c r="X356" s="414"/>
      <c r="Y356" s="414"/>
      <c r="Z356" s="416"/>
      <c r="AA356" s="416"/>
      <c r="AB356" s="414"/>
      <c r="AC356" s="414"/>
      <c r="AD356" s="416"/>
      <c r="AE356" s="414"/>
      <c r="AF356" s="233"/>
    </row>
    <row r="357" spans="1:32">
      <c r="A357" s="225">
        <f t="shared" si="5"/>
        <v>348</v>
      </c>
      <c r="B357" s="227" t="s">
        <v>1463</v>
      </c>
      <c r="C357" s="227" t="s">
        <v>1789</v>
      </c>
      <c r="D357" s="228" t="s">
        <v>1790</v>
      </c>
      <c r="E357" s="363" t="s">
        <v>2073</v>
      </c>
      <c r="F357" s="342">
        <v>45283</v>
      </c>
      <c r="G357" s="230"/>
      <c r="H357" s="231"/>
      <c r="I357" s="231">
        <v>29534</v>
      </c>
      <c r="J357" s="226" t="s">
        <v>2388</v>
      </c>
      <c r="K357" s="226"/>
      <c r="L357" s="345">
        <v>29534</v>
      </c>
      <c r="M357" s="346">
        <v>0</v>
      </c>
      <c r="N357" s="226" t="s">
        <v>2395</v>
      </c>
      <c r="O357" s="232"/>
      <c r="P357" s="232"/>
      <c r="Q357" s="232"/>
      <c r="R357" s="232"/>
      <c r="S357" s="414"/>
      <c r="T357" s="415"/>
      <c r="U357" s="414"/>
      <c r="V357" s="414"/>
      <c r="W357" s="414"/>
      <c r="X357" s="414"/>
      <c r="Y357" s="414"/>
      <c r="Z357" s="416"/>
      <c r="AA357" s="416"/>
      <c r="AB357" s="414"/>
      <c r="AC357" s="414"/>
      <c r="AD357" s="416"/>
      <c r="AE357" s="414"/>
      <c r="AF357" s="233"/>
    </row>
    <row r="358" spans="1:32">
      <c r="A358" s="225">
        <f t="shared" si="5"/>
        <v>349</v>
      </c>
      <c r="B358" s="227" t="s">
        <v>1464</v>
      </c>
      <c r="C358" s="227" t="s">
        <v>2067</v>
      </c>
      <c r="D358" s="228" t="s">
        <v>2068</v>
      </c>
      <c r="E358" s="363" t="s">
        <v>2074</v>
      </c>
      <c r="F358" s="342">
        <v>45290</v>
      </c>
      <c r="G358" s="230"/>
      <c r="H358" s="231"/>
      <c r="I358" s="231">
        <v>558011</v>
      </c>
      <c r="J358" s="226" t="s">
        <v>2388</v>
      </c>
      <c r="K358" s="226"/>
      <c r="L358" s="345">
        <v>558011</v>
      </c>
      <c r="M358" s="346">
        <v>0</v>
      </c>
      <c r="N358" s="226"/>
      <c r="O358" s="232"/>
      <c r="P358" s="232"/>
      <c r="Q358" s="232"/>
      <c r="R358" s="232"/>
      <c r="S358" s="414"/>
      <c r="T358" s="415"/>
      <c r="U358" s="414"/>
      <c r="V358" s="414"/>
      <c r="W358" s="414"/>
      <c r="X358" s="414"/>
      <c r="Y358" s="414"/>
      <c r="Z358" s="416"/>
      <c r="AA358" s="416"/>
      <c r="AB358" s="414"/>
      <c r="AC358" s="414"/>
      <c r="AD358" s="416"/>
      <c r="AE358" s="414"/>
      <c r="AF358" s="233"/>
    </row>
    <row r="359" spans="1:32">
      <c r="A359" s="225">
        <f t="shared" si="5"/>
        <v>350</v>
      </c>
      <c r="B359" s="227" t="s">
        <v>1465</v>
      </c>
      <c r="C359" s="227" t="s">
        <v>1789</v>
      </c>
      <c r="D359" s="228" t="s">
        <v>1790</v>
      </c>
      <c r="E359" s="363" t="s">
        <v>2075</v>
      </c>
      <c r="F359" s="342">
        <v>45276</v>
      </c>
      <c r="G359" s="230"/>
      <c r="H359" s="231"/>
      <c r="I359" s="231">
        <v>29592</v>
      </c>
      <c r="J359" s="226" t="s">
        <v>2388</v>
      </c>
      <c r="K359" s="226"/>
      <c r="L359" s="345">
        <v>29592</v>
      </c>
      <c r="M359" s="346">
        <v>0</v>
      </c>
      <c r="N359" s="226" t="s">
        <v>2395</v>
      </c>
      <c r="O359" s="232"/>
      <c r="P359" s="232"/>
      <c r="Q359" s="232"/>
      <c r="R359" s="232"/>
      <c r="S359" s="414"/>
      <c r="T359" s="415"/>
      <c r="U359" s="414"/>
      <c r="V359" s="414"/>
      <c r="W359" s="414"/>
      <c r="X359" s="414"/>
      <c r="Y359" s="414"/>
      <c r="Z359" s="416"/>
      <c r="AA359" s="416"/>
      <c r="AB359" s="414"/>
      <c r="AC359" s="414"/>
      <c r="AD359" s="416"/>
      <c r="AE359" s="414"/>
      <c r="AF359" s="233"/>
    </row>
    <row r="360" spans="1:32">
      <c r="A360" s="225">
        <f t="shared" si="5"/>
        <v>351</v>
      </c>
      <c r="B360" s="227" t="s">
        <v>1466</v>
      </c>
      <c r="C360" s="227" t="s">
        <v>2067</v>
      </c>
      <c r="D360" s="228" t="s">
        <v>2068</v>
      </c>
      <c r="E360" s="363" t="s">
        <v>2076</v>
      </c>
      <c r="F360" s="342">
        <v>45290</v>
      </c>
      <c r="G360" s="230"/>
      <c r="H360" s="231"/>
      <c r="I360" s="231">
        <v>517161</v>
      </c>
      <c r="J360" s="226" t="s">
        <v>2388</v>
      </c>
      <c r="K360" s="226"/>
      <c r="L360" s="345">
        <v>517161</v>
      </c>
      <c r="M360" s="346">
        <v>0</v>
      </c>
      <c r="N360" s="226"/>
      <c r="O360" s="232"/>
      <c r="P360" s="232"/>
      <c r="Q360" s="232"/>
      <c r="R360" s="232"/>
      <c r="S360" s="414"/>
      <c r="T360" s="415"/>
      <c r="U360" s="414"/>
      <c r="V360" s="414"/>
      <c r="W360" s="414"/>
      <c r="X360" s="414"/>
      <c r="Y360" s="414"/>
      <c r="Z360" s="416"/>
      <c r="AA360" s="416"/>
      <c r="AB360" s="414"/>
      <c r="AC360" s="414"/>
      <c r="AD360" s="416"/>
      <c r="AE360" s="414"/>
      <c r="AF360" s="233"/>
    </row>
    <row r="361" spans="1:32">
      <c r="A361" s="225">
        <f t="shared" si="5"/>
        <v>352</v>
      </c>
      <c r="B361" s="227" t="s">
        <v>1467</v>
      </c>
      <c r="C361" s="227" t="s">
        <v>1789</v>
      </c>
      <c r="D361" s="228" t="s">
        <v>1790</v>
      </c>
      <c r="E361" s="363" t="s">
        <v>2077</v>
      </c>
      <c r="F361" s="342">
        <v>45275</v>
      </c>
      <c r="G361" s="230"/>
      <c r="H361" s="231"/>
      <c r="I361" s="231">
        <v>4932</v>
      </c>
      <c r="J361" s="226" t="s">
        <v>2388</v>
      </c>
      <c r="K361" s="226"/>
      <c r="L361" s="345">
        <v>4932</v>
      </c>
      <c r="M361" s="346">
        <v>0</v>
      </c>
      <c r="N361" s="226" t="s">
        <v>2395</v>
      </c>
      <c r="O361" s="232"/>
      <c r="P361" s="232"/>
      <c r="Q361" s="232"/>
      <c r="R361" s="232"/>
      <c r="S361" s="414"/>
      <c r="T361" s="415"/>
      <c r="U361" s="414"/>
      <c r="V361" s="414"/>
      <c r="W361" s="414"/>
      <c r="X361" s="414"/>
      <c r="Y361" s="414"/>
      <c r="Z361" s="416"/>
      <c r="AA361" s="416"/>
      <c r="AB361" s="414"/>
      <c r="AC361" s="414"/>
      <c r="AD361" s="416"/>
      <c r="AE361" s="414"/>
      <c r="AF361" s="233"/>
    </row>
    <row r="362" spans="1:32">
      <c r="A362" s="225">
        <f t="shared" si="5"/>
        <v>353</v>
      </c>
      <c r="B362" s="227" t="s">
        <v>1468</v>
      </c>
      <c r="C362" s="227" t="s">
        <v>1789</v>
      </c>
      <c r="D362" s="228" t="s">
        <v>1790</v>
      </c>
      <c r="E362" s="363" t="s">
        <v>2078</v>
      </c>
      <c r="F362" s="342">
        <v>45271</v>
      </c>
      <c r="G362" s="230"/>
      <c r="H362" s="231"/>
      <c r="I362" s="231">
        <v>29621</v>
      </c>
      <c r="J362" s="226" t="s">
        <v>2388</v>
      </c>
      <c r="K362" s="226"/>
      <c r="L362" s="345">
        <v>29621</v>
      </c>
      <c r="M362" s="346">
        <v>0</v>
      </c>
      <c r="N362" s="226" t="s">
        <v>2395</v>
      </c>
      <c r="O362" s="232"/>
      <c r="P362" s="232"/>
      <c r="Q362" s="232"/>
      <c r="R362" s="232"/>
      <c r="S362" s="414"/>
      <c r="T362" s="415"/>
      <c r="U362" s="414"/>
      <c r="V362" s="414"/>
      <c r="W362" s="414"/>
      <c r="X362" s="414"/>
      <c r="Y362" s="414"/>
      <c r="Z362" s="416"/>
      <c r="AA362" s="416"/>
      <c r="AB362" s="414"/>
      <c r="AC362" s="414"/>
      <c r="AD362" s="416"/>
      <c r="AE362" s="414"/>
      <c r="AF362" s="233"/>
    </row>
    <row r="363" spans="1:32">
      <c r="A363" s="225">
        <f t="shared" si="5"/>
        <v>354</v>
      </c>
      <c r="B363" s="227" t="s">
        <v>1469</v>
      </c>
      <c r="C363" s="227" t="s">
        <v>2067</v>
      </c>
      <c r="D363" s="228" t="s">
        <v>2068</v>
      </c>
      <c r="E363" s="363" t="s">
        <v>2079</v>
      </c>
      <c r="F363" s="342">
        <v>45290</v>
      </c>
      <c r="G363" s="230"/>
      <c r="H363" s="231"/>
      <c r="I363" s="231">
        <v>600495</v>
      </c>
      <c r="J363" s="226" t="s">
        <v>2388</v>
      </c>
      <c r="K363" s="226"/>
      <c r="L363" s="345">
        <v>600495</v>
      </c>
      <c r="M363" s="346">
        <v>0</v>
      </c>
      <c r="N363" s="226"/>
      <c r="O363" s="232"/>
      <c r="P363" s="232"/>
      <c r="Q363" s="232"/>
      <c r="R363" s="232"/>
      <c r="S363" s="414"/>
      <c r="T363" s="415"/>
      <c r="U363" s="414"/>
      <c r="V363" s="414"/>
      <c r="W363" s="414"/>
      <c r="X363" s="414"/>
      <c r="Y363" s="414"/>
      <c r="Z363" s="416"/>
      <c r="AA363" s="416"/>
      <c r="AB363" s="414"/>
      <c r="AC363" s="414"/>
      <c r="AD363" s="416"/>
      <c r="AE363" s="414"/>
      <c r="AF363" s="233"/>
    </row>
    <row r="364" spans="1:32">
      <c r="A364" s="225">
        <f t="shared" si="5"/>
        <v>355</v>
      </c>
      <c r="B364" s="227" t="s">
        <v>1470</v>
      </c>
      <c r="C364" s="227" t="s">
        <v>1785</v>
      </c>
      <c r="D364" s="228" t="s">
        <v>1786</v>
      </c>
      <c r="E364" s="363">
        <v>208733</v>
      </c>
      <c r="F364" s="342">
        <v>45274</v>
      </c>
      <c r="G364" s="230"/>
      <c r="H364" s="231"/>
      <c r="I364" s="231">
        <v>35748</v>
      </c>
      <c r="J364" s="226" t="s">
        <v>2390</v>
      </c>
      <c r="K364" s="226"/>
      <c r="L364" s="345"/>
      <c r="M364" s="346">
        <v>35748</v>
      </c>
      <c r="N364" s="226"/>
      <c r="O364" s="232"/>
      <c r="P364" s="232"/>
      <c r="Q364" s="232"/>
      <c r="R364" s="232"/>
      <c r="S364" s="414"/>
      <c r="T364" s="415"/>
      <c r="U364" s="414"/>
      <c r="V364" s="414"/>
      <c r="W364" s="414"/>
      <c r="X364" s="414"/>
      <c r="Y364" s="414"/>
      <c r="Z364" s="416"/>
      <c r="AA364" s="416"/>
      <c r="AB364" s="414"/>
      <c r="AC364" s="414"/>
      <c r="AD364" s="416"/>
      <c r="AE364" s="414"/>
      <c r="AF364" s="233"/>
    </row>
    <row r="365" spans="1:32">
      <c r="A365" s="225">
        <f t="shared" si="5"/>
        <v>356</v>
      </c>
      <c r="B365" s="227" t="s">
        <v>1471</v>
      </c>
      <c r="C365" s="227" t="s">
        <v>2067</v>
      </c>
      <c r="D365" s="228" t="s">
        <v>2068</v>
      </c>
      <c r="E365" s="363" t="s">
        <v>2080</v>
      </c>
      <c r="F365" s="342">
        <v>45321</v>
      </c>
      <c r="G365" s="230"/>
      <c r="H365" s="231"/>
      <c r="I365" s="231">
        <v>572972</v>
      </c>
      <c r="J365" s="226" t="s">
        <v>2388</v>
      </c>
      <c r="K365" s="226"/>
      <c r="L365" s="345">
        <v>572972</v>
      </c>
      <c r="M365" s="346">
        <v>0</v>
      </c>
      <c r="N365" s="226"/>
      <c r="O365" s="232"/>
      <c r="P365" s="232"/>
      <c r="Q365" s="232"/>
      <c r="R365" s="232"/>
      <c r="S365" s="414"/>
      <c r="T365" s="415"/>
      <c r="U365" s="414"/>
      <c r="V365" s="414"/>
      <c r="W365" s="414"/>
      <c r="X365" s="414"/>
      <c r="Y365" s="414"/>
      <c r="Z365" s="416"/>
      <c r="AA365" s="416"/>
      <c r="AB365" s="414"/>
      <c r="AC365" s="414"/>
      <c r="AD365" s="416"/>
      <c r="AE365" s="414"/>
      <c r="AF365" s="233"/>
    </row>
    <row r="366" spans="1:32">
      <c r="A366" s="225">
        <f t="shared" si="5"/>
        <v>357</v>
      </c>
      <c r="B366" s="227" t="s">
        <v>1472</v>
      </c>
      <c r="C366" s="227" t="s">
        <v>1789</v>
      </c>
      <c r="D366" s="228" t="s">
        <v>1790</v>
      </c>
      <c r="E366" s="363" t="s">
        <v>2081</v>
      </c>
      <c r="F366" s="342">
        <v>45307</v>
      </c>
      <c r="G366" s="230"/>
      <c r="H366" s="231"/>
      <c r="I366" s="231">
        <v>28581</v>
      </c>
      <c r="J366" s="226" t="s">
        <v>2388</v>
      </c>
      <c r="K366" s="226"/>
      <c r="L366" s="345">
        <v>28581</v>
      </c>
      <c r="M366" s="346">
        <v>0</v>
      </c>
      <c r="N366" s="226" t="s">
        <v>2395</v>
      </c>
      <c r="O366" s="232"/>
      <c r="P366" s="232"/>
      <c r="Q366" s="232"/>
      <c r="R366" s="232"/>
      <c r="S366" s="414"/>
      <c r="T366" s="415"/>
      <c r="U366" s="414"/>
      <c r="V366" s="414"/>
      <c r="W366" s="414"/>
      <c r="X366" s="414"/>
      <c r="Y366" s="414"/>
      <c r="Z366" s="416"/>
      <c r="AA366" s="416"/>
      <c r="AB366" s="414"/>
      <c r="AC366" s="414"/>
      <c r="AD366" s="416"/>
      <c r="AE366" s="414"/>
      <c r="AF366" s="233"/>
    </row>
    <row r="367" spans="1:32">
      <c r="A367" s="225">
        <f t="shared" si="5"/>
        <v>358</v>
      </c>
      <c r="B367" s="227" t="s">
        <v>1473</v>
      </c>
      <c r="C367" s="227" t="s">
        <v>2067</v>
      </c>
      <c r="D367" s="228" t="s">
        <v>2068</v>
      </c>
      <c r="E367" s="363" t="s">
        <v>2082</v>
      </c>
      <c r="F367" s="342">
        <v>45322</v>
      </c>
      <c r="G367" s="230"/>
      <c r="H367" s="231"/>
      <c r="I367" s="231">
        <v>694110</v>
      </c>
      <c r="J367" s="226" t="s">
        <v>2388</v>
      </c>
      <c r="K367" s="226"/>
      <c r="L367" s="345">
        <v>694110</v>
      </c>
      <c r="M367" s="346">
        <v>0</v>
      </c>
      <c r="N367" s="226"/>
      <c r="O367" s="232"/>
      <c r="P367" s="232"/>
      <c r="Q367" s="232"/>
      <c r="R367" s="232"/>
      <c r="S367" s="414"/>
      <c r="T367" s="415"/>
      <c r="U367" s="414"/>
      <c r="V367" s="414"/>
      <c r="W367" s="414"/>
      <c r="X367" s="414"/>
      <c r="Y367" s="414"/>
      <c r="Z367" s="416"/>
      <c r="AA367" s="416"/>
      <c r="AB367" s="414"/>
      <c r="AC367" s="414"/>
      <c r="AD367" s="416"/>
      <c r="AE367" s="414"/>
      <c r="AF367" s="233"/>
    </row>
    <row r="368" spans="1:32">
      <c r="A368" s="225">
        <f t="shared" si="5"/>
        <v>359</v>
      </c>
      <c r="B368" s="227" t="s">
        <v>1474</v>
      </c>
      <c r="C368" s="227" t="s">
        <v>1785</v>
      </c>
      <c r="D368" s="228" t="s">
        <v>1786</v>
      </c>
      <c r="E368" s="363">
        <v>2177</v>
      </c>
      <c r="F368" s="342">
        <v>45295</v>
      </c>
      <c r="G368" s="230"/>
      <c r="H368" s="231"/>
      <c r="I368" s="231">
        <v>35548</v>
      </c>
      <c r="J368" s="226" t="s">
        <v>2390</v>
      </c>
      <c r="K368" s="226"/>
      <c r="L368" s="345"/>
      <c r="M368" s="346">
        <v>35548</v>
      </c>
      <c r="N368" s="226" t="s">
        <v>2404</v>
      </c>
      <c r="O368" s="232"/>
      <c r="P368" s="232"/>
      <c r="Q368" s="232"/>
      <c r="R368" s="232"/>
      <c r="S368" s="414"/>
      <c r="T368" s="415"/>
      <c r="U368" s="414"/>
      <c r="V368" s="414"/>
      <c r="W368" s="414"/>
      <c r="X368" s="414"/>
      <c r="Y368" s="414"/>
      <c r="Z368" s="416"/>
      <c r="AA368" s="416"/>
      <c r="AB368" s="414"/>
      <c r="AC368" s="414"/>
      <c r="AD368" s="416"/>
      <c r="AE368" s="414"/>
      <c r="AF368" s="233"/>
    </row>
    <row r="369" spans="1:32">
      <c r="A369" s="225">
        <f t="shared" si="5"/>
        <v>360</v>
      </c>
      <c r="B369" s="227" t="s">
        <v>1475</v>
      </c>
      <c r="C369" s="227" t="s">
        <v>2067</v>
      </c>
      <c r="D369" s="228" t="s">
        <v>2068</v>
      </c>
      <c r="E369" s="363" t="s">
        <v>2083</v>
      </c>
      <c r="F369" s="342">
        <v>45322</v>
      </c>
      <c r="G369" s="230"/>
      <c r="H369" s="231"/>
      <c r="I369" s="231">
        <v>559371</v>
      </c>
      <c r="J369" s="226" t="s">
        <v>2388</v>
      </c>
      <c r="K369" s="226"/>
      <c r="L369" s="345">
        <v>559371</v>
      </c>
      <c r="M369" s="346">
        <v>0</v>
      </c>
      <c r="N369" s="226"/>
      <c r="O369" s="232"/>
      <c r="P369" s="232"/>
      <c r="Q369" s="232"/>
      <c r="R369" s="232"/>
      <c r="S369" s="414"/>
      <c r="T369" s="415"/>
      <c r="U369" s="414"/>
      <c r="V369" s="414"/>
      <c r="W369" s="414"/>
      <c r="X369" s="414"/>
      <c r="Y369" s="414"/>
      <c r="Z369" s="416"/>
      <c r="AA369" s="416"/>
      <c r="AB369" s="414"/>
      <c r="AC369" s="414"/>
      <c r="AD369" s="416"/>
      <c r="AE369" s="414"/>
      <c r="AF369" s="233"/>
    </row>
    <row r="370" spans="1:32">
      <c r="A370" s="225">
        <f t="shared" si="5"/>
        <v>361</v>
      </c>
      <c r="B370" s="227" t="s">
        <v>1476</v>
      </c>
      <c r="C370" s="227" t="s">
        <v>1785</v>
      </c>
      <c r="D370" s="228" t="s">
        <v>1786</v>
      </c>
      <c r="E370" s="363">
        <v>1749</v>
      </c>
      <c r="F370" s="342">
        <v>45295</v>
      </c>
      <c r="G370" s="230"/>
      <c r="H370" s="231"/>
      <c r="I370" s="231">
        <v>23290</v>
      </c>
      <c r="J370" s="226" t="s">
        <v>2390</v>
      </c>
      <c r="K370" s="226"/>
      <c r="L370" s="345"/>
      <c r="M370" s="346">
        <v>23290</v>
      </c>
      <c r="N370" s="226"/>
      <c r="O370" s="232"/>
      <c r="P370" s="232"/>
      <c r="Q370" s="232"/>
      <c r="R370" s="232"/>
      <c r="S370" s="414"/>
      <c r="T370" s="415"/>
      <c r="U370" s="414"/>
      <c r="V370" s="414"/>
      <c r="W370" s="414"/>
      <c r="X370" s="414"/>
      <c r="Y370" s="414"/>
      <c r="Z370" s="416"/>
      <c r="AA370" s="416"/>
      <c r="AB370" s="414"/>
      <c r="AC370" s="414"/>
      <c r="AD370" s="416"/>
      <c r="AE370" s="414"/>
      <c r="AF370" s="233"/>
    </row>
    <row r="371" spans="1:32">
      <c r="A371" s="225">
        <f t="shared" si="5"/>
        <v>362</v>
      </c>
      <c r="B371" s="227" t="s">
        <v>1477</v>
      </c>
      <c r="C371" s="227" t="s">
        <v>2067</v>
      </c>
      <c r="D371" s="228" t="s">
        <v>2068</v>
      </c>
      <c r="E371" s="363" t="s">
        <v>2084</v>
      </c>
      <c r="F371" s="342">
        <v>45322</v>
      </c>
      <c r="G371" s="230"/>
      <c r="H371" s="231"/>
      <c r="I371" s="231">
        <v>557738</v>
      </c>
      <c r="J371" s="226" t="s">
        <v>2388</v>
      </c>
      <c r="K371" s="226"/>
      <c r="L371" s="345">
        <v>557738</v>
      </c>
      <c r="M371" s="346">
        <v>0</v>
      </c>
      <c r="N371" s="226"/>
      <c r="O371" s="232"/>
      <c r="P371" s="232"/>
      <c r="Q371" s="232"/>
      <c r="R371" s="232"/>
      <c r="S371" s="414"/>
      <c r="T371" s="415"/>
      <c r="U371" s="414"/>
      <c r="V371" s="414"/>
      <c r="W371" s="414"/>
      <c r="X371" s="414"/>
      <c r="Y371" s="414"/>
      <c r="Z371" s="416"/>
      <c r="AA371" s="416"/>
      <c r="AB371" s="414"/>
      <c r="AC371" s="414"/>
      <c r="AD371" s="416"/>
      <c r="AE371" s="414"/>
      <c r="AF371" s="233"/>
    </row>
    <row r="372" spans="1:32">
      <c r="A372" s="225">
        <f t="shared" si="5"/>
        <v>363</v>
      </c>
      <c r="B372" s="227" t="s">
        <v>1478</v>
      </c>
      <c r="C372" s="227" t="s">
        <v>2067</v>
      </c>
      <c r="D372" s="228" t="s">
        <v>2068</v>
      </c>
      <c r="E372" s="363" t="s">
        <v>2085</v>
      </c>
      <c r="F372" s="342">
        <v>45322</v>
      </c>
      <c r="G372" s="230"/>
      <c r="H372" s="231"/>
      <c r="I372" s="231">
        <v>557738</v>
      </c>
      <c r="J372" s="226" t="s">
        <v>2388</v>
      </c>
      <c r="K372" s="226"/>
      <c r="L372" s="345">
        <v>557738</v>
      </c>
      <c r="M372" s="346">
        <v>0</v>
      </c>
      <c r="N372" s="226"/>
      <c r="O372" s="232"/>
      <c r="P372" s="232"/>
      <c r="Q372" s="232"/>
      <c r="R372" s="232"/>
      <c r="S372" s="414"/>
      <c r="T372" s="415"/>
      <c r="U372" s="414"/>
      <c r="V372" s="414"/>
      <c r="W372" s="414"/>
      <c r="X372" s="414"/>
      <c r="Y372" s="414"/>
      <c r="Z372" s="416"/>
      <c r="AA372" s="416"/>
      <c r="AB372" s="414"/>
      <c r="AC372" s="414"/>
      <c r="AD372" s="416"/>
      <c r="AE372" s="414"/>
      <c r="AF372" s="233"/>
    </row>
    <row r="373" spans="1:32">
      <c r="A373" s="225">
        <f t="shared" si="5"/>
        <v>364</v>
      </c>
      <c r="B373" s="227" t="s">
        <v>1479</v>
      </c>
      <c r="C373" s="227" t="s">
        <v>1789</v>
      </c>
      <c r="D373" s="228" t="s">
        <v>1790</v>
      </c>
      <c r="E373" s="363" t="s">
        <v>2086</v>
      </c>
      <c r="F373" s="342">
        <v>45318</v>
      </c>
      <c r="G373" s="230"/>
      <c r="H373" s="231"/>
      <c r="I373" s="231">
        <v>57134</v>
      </c>
      <c r="J373" s="226" t="s">
        <v>2388</v>
      </c>
      <c r="K373" s="226"/>
      <c r="L373" s="345">
        <v>57134</v>
      </c>
      <c r="M373" s="346">
        <v>0</v>
      </c>
      <c r="N373" s="226" t="s">
        <v>2395</v>
      </c>
      <c r="O373" s="232"/>
      <c r="P373" s="232"/>
      <c r="Q373" s="232"/>
      <c r="R373" s="232"/>
      <c r="S373" s="414"/>
      <c r="T373" s="415"/>
      <c r="U373" s="414"/>
      <c r="V373" s="414"/>
      <c r="W373" s="414"/>
      <c r="X373" s="414"/>
      <c r="Y373" s="414"/>
      <c r="Z373" s="416"/>
      <c r="AA373" s="416"/>
      <c r="AB373" s="414"/>
      <c r="AC373" s="414"/>
      <c r="AD373" s="416"/>
      <c r="AE373" s="414"/>
      <c r="AF373" s="233"/>
    </row>
    <row r="374" spans="1:32">
      <c r="A374" s="225">
        <f t="shared" si="5"/>
        <v>365</v>
      </c>
      <c r="B374" s="227" t="s">
        <v>1480</v>
      </c>
      <c r="C374" s="227" t="s">
        <v>2067</v>
      </c>
      <c r="D374" s="228" t="s">
        <v>2068</v>
      </c>
      <c r="E374" s="363" t="s">
        <v>2087</v>
      </c>
      <c r="F374" s="342">
        <v>45321</v>
      </c>
      <c r="G374" s="230"/>
      <c r="H374" s="231"/>
      <c r="I374" s="231">
        <v>557465</v>
      </c>
      <c r="J374" s="226" t="s">
        <v>2388</v>
      </c>
      <c r="K374" s="226"/>
      <c r="L374" s="345">
        <v>557465</v>
      </c>
      <c r="M374" s="346">
        <v>0</v>
      </c>
      <c r="N374" s="226"/>
      <c r="O374" s="232"/>
      <c r="P374" s="232"/>
      <c r="Q374" s="232"/>
      <c r="R374" s="232"/>
      <c r="S374" s="414"/>
      <c r="T374" s="415"/>
      <c r="U374" s="414"/>
      <c r="V374" s="414"/>
      <c r="W374" s="414"/>
      <c r="X374" s="414"/>
      <c r="Y374" s="414"/>
      <c r="Z374" s="416"/>
      <c r="AA374" s="416"/>
      <c r="AB374" s="414"/>
      <c r="AC374" s="414"/>
      <c r="AD374" s="416"/>
      <c r="AE374" s="414"/>
      <c r="AF374" s="233"/>
    </row>
    <row r="375" spans="1:32">
      <c r="A375" s="225">
        <f t="shared" si="5"/>
        <v>366</v>
      </c>
      <c r="B375" s="227" t="s">
        <v>1294</v>
      </c>
      <c r="C375" s="227" t="s">
        <v>1789</v>
      </c>
      <c r="D375" s="228" t="s">
        <v>1790</v>
      </c>
      <c r="E375" s="363" t="s">
        <v>2088</v>
      </c>
      <c r="F375" s="342">
        <v>45314</v>
      </c>
      <c r="G375" s="230"/>
      <c r="H375" s="231"/>
      <c r="I375" s="231">
        <v>28532</v>
      </c>
      <c r="J375" s="226" t="s">
        <v>2388</v>
      </c>
      <c r="K375" s="226"/>
      <c r="L375" s="345">
        <v>28532</v>
      </c>
      <c r="M375" s="346">
        <v>0</v>
      </c>
      <c r="N375" s="226" t="s">
        <v>2395</v>
      </c>
      <c r="O375" s="232"/>
      <c r="P375" s="232"/>
      <c r="Q375" s="232"/>
      <c r="R375" s="232"/>
      <c r="S375" s="414"/>
      <c r="T375" s="415"/>
      <c r="U375" s="414"/>
      <c r="V375" s="414"/>
      <c r="W375" s="414"/>
      <c r="X375" s="414"/>
      <c r="Y375" s="414"/>
      <c r="Z375" s="416"/>
      <c r="AA375" s="416"/>
      <c r="AB375" s="414"/>
      <c r="AC375" s="414"/>
      <c r="AD375" s="416"/>
      <c r="AE375" s="414"/>
      <c r="AF375" s="233"/>
    </row>
    <row r="376" spans="1:32">
      <c r="A376" s="225">
        <f t="shared" si="5"/>
        <v>367</v>
      </c>
      <c r="B376" s="227" t="s">
        <v>1481</v>
      </c>
      <c r="C376" s="227" t="s">
        <v>2067</v>
      </c>
      <c r="D376" s="228" t="s">
        <v>2068</v>
      </c>
      <c r="E376" s="363" t="s">
        <v>2089</v>
      </c>
      <c r="F376" s="342">
        <v>45308</v>
      </c>
      <c r="G376" s="230"/>
      <c r="H376" s="231"/>
      <c r="I376" s="231">
        <v>684478</v>
      </c>
      <c r="J376" s="226" t="s">
        <v>2388</v>
      </c>
      <c r="K376" s="226"/>
      <c r="L376" s="345">
        <v>684478</v>
      </c>
      <c r="M376" s="346">
        <v>0</v>
      </c>
      <c r="N376" s="226"/>
      <c r="O376" s="232"/>
      <c r="P376" s="232"/>
      <c r="Q376" s="232"/>
      <c r="R376" s="232"/>
      <c r="S376" s="414"/>
      <c r="T376" s="415"/>
      <c r="U376" s="414"/>
      <c r="V376" s="414"/>
      <c r="W376" s="414"/>
      <c r="X376" s="414"/>
      <c r="Y376" s="414"/>
      <c r="Z376" s="416"/>
      <c r="AA376" s="416"/>
      <c r="AB376" s="414"/>
      <c r="AC376" s="414"/>
      <c r="AD376" s="416"/>
      <c r="AE376" s="414"/>
      <c r="AF376" s="233"/>
    </row>
    <row r="377" spans="1:32">
      <c r="A377" s="225">
        <f t="shared" si="5"/>
        <v>368</v>
      </c>
      <c r="B377" s="227" t="s">
        <v>1482</v>
      </c>
      <c r="C377" s="227" t="s">
        <v>1789</v>
      </c>
      <c r="D377" s="228" t="s">
        <v>1790</v>
      </c>
      <c r="E377" s="363" t="s">
        <v>2090</v>
      </c>
      <c r="F377" s="342">
        <v>45309</v>
      </c>
      <c r="G377" s="230"/>
      <c r="H377" s="231"/>
      <c r="I377" s="231">
        <v>28567</v>
      </c>
      <c r="J377" s="226" t="s">
        <v>2388</v>
      </c>
      <c r="K377" s="226"/>
      <c r="L377" s="345">
        <v>28567</v>
      </c>
      <c r="M377" s="346">
        <v>0</v>
      </c>
      <c r="N377" s="226" t="s">
        <v>2395</v>
      </c>
      <c r="O377" s="232"/>
      <c r="P377" s="232"/>
      <c r="Q377" s="232"/>
      <c r="R377" s="232"/>
      <c r="S377" s="414"/>
      <c r="T377" s="415"/>
      <c r="U377" s="414"/>
      <c r="V377" s="414"/>
      <c r="W377" s="414"/>
      <c r="X377" s="414"/>
      <c r="Y377" s="414"/>
      <c r="Z377" s="416"/>
      <c r="AA377" s="416"/>
      <c r="AB377" s="414"/>
      <c r="AC377" s="414"/>
      <c r="AD377" s="416"/>
      <c r="AE377" s="414"/>
      <c r="AF377" s="233"/>
    </row>
    <row r="378" spans="1:32">
      <c r="A378" s="225">
        <f t="shared" si="5"/>
        <v>369</v>
      </c>
      <c r="B378" s="227" t="s">
        <v>1483</v>
      </c>
      <c r="C378" s="227" t="s">
        <v>2067</v>
      </c>
      <c r="D378" s="228" t="s">
        <v>2068</v>
      </c>
      <c r="E378" s="363" t="s">
        <v>2091</v>
      </c>
      <c r="F378" s="342">
        <v>45308</v>
      </c>
      <c r="G378" s="230"/>
      <c r="H378" s="231"/>
      <c r="I378" s="231">
        <v>944221</v>
      </c>
      <c r="J378" s="226" t="s">
        <v>2388</v>
      </c>
      <c r="K378" s="226"/>
      <c r="L378" s="345">
        <v>944221</v>
      </c>
      <c r="M378" s="346">
        <v>0</v>
      </c>
      <c r="N378" s="226"/>
      <c r="O378" s="232"/>
      <c r="P378" s="232"/>
      <c r="Q378" s="232"/>
      <c r="R378" s="232"/>
      <c r="S378" s="414"/>
      <c r="T378" s="415"/>
      <c r="U378" s="414"/>
      <c r="V378" s="414"/>
      <c r="W378" s="414"/>
      <c r="X378" s="414"/>
      <c r="Y378" s="414"/>
      <c r="Z378" s="416"/>
      <c r="AA378" s="416"/>
      <c r="AB378" s="414"/>
      <c r="AC378" s="414"/>
      <c r="AD378" s="416"/>
      <c r="AE378" s="414"/>
      <c r="AF378" s="233"/>
    </row>
    <row r="379" spans="1:32">
      <c r="A379" s="225">
        <f t="shared" si="5"/>
        <v>370</v>
      </c>
      <c r="B379" s="227" t="s">
        <v>1484</v>
      </c>
      <c r="C379" s="227" t="s">
        <v>1789</v>
      </c>
      <c r="D379" s="228" t="s">
        <v>1790</v>
      </c>
      <c r="E379" s="363" t="s">
        <v>2092</v>
      </c>
      <c r="F379" s="342">
        <v>45309</v>
      </c>
      <c r="G379" s="230"/>
      <c r="H379" s="231"/>
      <c r="I379" s="231">
        <v>57134</v>
      </c>
      <c r="J379" s="226" t="s">
        <v>2388</v>
      </c>
      <c r="K379" s="226"/>
      <c r="L379" s="345">
        <v>57134</v>
      </c>
      <c r="M379" s="346">
        <v>0</v>
      </c>
      <c r="N379" s="226" t="s">
        <v>2395</v>
      </c>
      <c r="O379" s="232"/>
      <c r="P379" s="232"/>
      <c r="Q379" s="232"/>
      <c r="R379" s="232"/>
      <c r="S379" s="414"/>
      <c r="T379" s="415"/>
      <c r="U379" s="414"/>
      <c r="V379" s="414"/>
      <c r="W379" s="414"/>
      <c r="X379" s="414"/>
      <c r="Y379" s="414"/>
      <c r="Z379" s="416"/>
      <c r="AA379" s="416"/>
      <c r="AB379" s="414"/>
      <c r="AC379" s="414"/>
      <c r="AD379" s="416"/>
      <c r="AE379" s="414"/>
      <c r="AF379" s="233"/>
    </row>
    <row r="380" spans="1:32">
      <c r="A380" s="225">
        <f t="shared" si="5"/>
        <v>371</v>
      </c>
      <c r="B380" s="227" t="s">
        <v>1321</v>
      </c>
      <c r="C380" s="227" t="s">
        <v>1763</v>
      </c>
      <c r="D380" s="228" t="s">
        <v>1764</v>
      </c>
      <c r="E380" s="363" t="s">
        <v>2093</v>
      </c>
      <c r="F380" s="342">
        <v>45322</v>
      </c>
      <c r="G380" s="230"/>
      <c r="H380" s="231"/>
      <c r="I380" s="231">
        <v>2859652</v>
      </c>
      <c r="J380" s="226" t="s">
        <v>2388</v>
      </c>
      <c r="K380" s="226"/>
      <c r="L380" s="345">
        <v>2859652</v>
      </c>
      <c r="M380" s="346">
        <v>0</v>
      </c>
      <c r="N380" s="226"/>
      <c r="O380" s="232"/>
      <c r="P380" s="232"/>
      <c r="Q380" s="232"/>
      <c r="R380" s="232"/>
      <c r="S380" s="414"/>
      <c r="T380" s="415"/>
      <c r="U380" s="414"/>
      <c r="V380" s="414"/>
      <c r="W380" s="414"/>
      <c r="X380" s="414"/>
      <c r="Y380" s="414"/>
      <c r="Z380" s="416"/>
      <c r="AA380" s="416"/>
      <c r="AB380" s="414"/>
      <c r="AC380" s="414"/>
      <c r="AD380" s="416"/>
      <c r="AE380" s="414"/>
      <c r="AF380" s="233"/>
    </row>
    <row r="381" spans="1:32">
      <c r="A381" s="225">
        <f t="shared" si="5"/>
        <v>372</v>
      </c>
      <c r="B381" s="227" t="s">
        <v>1485</v>
      </c>
      <c r="C381" s="227" t="s">
        <v>1766</v>
      </c>
      <c r="D381" s="228" t="s">
        <v>1767</v>
      </c>
      <c r="E381" s="363" t="s">
        <v>2094</v>
      </c>
      <c r="F381" s="342">
        <v>45322</v>
      </c>
      <c r="G381" s="230"/>
      <c r="H381" s="231"/>
      <c r="I381" s="231">
        <v>2858100</v>
      </c>
      <c r="J381" s="226" t="s">
        <v>2388</v>
      </c>
      <c r="K381" s="226"/>
      <c r="L381" s="345">
        <v>2858100</v>
      </c>
      <c r="M381" s="346">
        <v>0</v>
      </c>
      <c r="N381" s="226"/>
      <c r="O381" s="232"/>
      <c r="P381" s="232"/>
      <c r="Q381" s="232"/>
      <c r="R381" s="232"/>
      <c r="S381" s="414"/>
      <c r="T381" s="415"/>
      <c r="U381" s="414"/>
      <c r="V381" s="414"/>
      <c r="W381" s="414"/>
      <c r="X381" s="414"/>
      <c r="Y381" s="414"/>
      <c r="Z381" s="416"/>
      <c r="AA381" s="416"/>
      <c r="AB381" s="414"/>
      <c r="AC381" s="414"/>
      <c r="AD381" s="416"/>
      <c r="AE381" s="414"/>
      <c r="AF381" s="233"/>
    </row>
    <row r="382" spans="1:32">
      <c r="A382" s="225">
        <f t="shared" si="5"/>
        <v>373</v>
      </c>
      <c r="B382" s="227" t="s">
        <v>1486</v>
      </c>
      <c r="C382" s="227" t="s">
        <v>1771</v>
      </c>
      <c r="D382" s="228" t="s">
        <v>1772</v>
      </c>
      <c r="E382" s="363" t="s">
        <v>2095</v>
      </c>
      <c r="F382" s="342">
        <v>45322</v>
      </c>
      <c r="G382" s="230"/>
      <c r="H382" s="231"/>
      <c r="I382" s="231">
        <v>81660</v>
      </c>
      <c r="J382" s="226" t="s">
        <v>2388</v>
      </c>
      <c r="K382" s="226"/>
      <c r="L382" s="345">
        <v>81660</v>
      </c>
      <c r="M382" s="346">
        <v>0</v>
      </c>
      <c r="N382" s="226"/>
      <c r="O382" s="232"/>
      <c r="P382" s="232"/>
      <c r="Q382" s="232"/>
      <c r="R382" s="232"/>
      <c r="S382" s="414"/>
      <c r="T382" s="415"/>
      <c r="U382" s="414"/>
      <c r="V382" s="414"/>
      <c r="W382" s="414"/>
      <c r="X382" s="414"/>
      <c r="Y382" s="414"/>
      <c r="Z382" s="416"/>
      <c r="AA382" s="416"/>
      <c r="AB382" s="414"/>
      <c r="AC382" s="414"/>
      <c r="AD382" s="416"/>
      <c r="AE382" s="414"/>
      <c r="AF382" s="233"/>
    </row>
    <row r="383" spans="1:32">
      <c r="A383" s="225">
        <f t="shared" si="5"/>
        <v>374</v>
      </c>
      <c r="B383" s="227" t="s">
        <v>1487</v>
      </c>
      <c r="C383" s="227" t="s">
        <v>1869</v>
      </c>
      <c r="D383" s="228" t="s">
        <v>1870</v>
      </c>
      <c r="E383" s="363" t="s">
        <v>2096</v>
      </c>
      <c r="F383" s="342">
        <v>45320</v>
      </c>
      <c r="G383" s="230"/>
      <c r="H383" s="231"/>
      <c r="I383" s="231">
        <v>244860</v>
      </c>
      <c r="J383" s="226" t="s">
        <v>2388</v>
      </c>
      <c r="K383" s="226"/>
      <c r="L383" s="345">
        <v>244860</v>
      </c>
      <c r="M383" s="346">
        <v>0</v>
      </c>
      <c r="N383" s="226" t="s">
        <v>2405</v>
      </c>
      <c r="O383" s="232"/>
      <c r="P383" s="232"/>
      <c r="Q383" s="232"/>
      <c r="R383" s="232"/>
      <c r="S383" s="414"/>
      <c r="T383" s="415"/>
      <c r="U383" s="414"/>
      <c r="V383" s="414"/>
      <c r="W383" s="414"/>
      <c r="X383" s="414"/>
      <c r="Y383" s="414"/>
      <c r="Z383" s="416"/>
      <c r="AA383" s="416"/>
      <c r="AB383" s="414"/>
      <c r="AC383" s="414"/>
      <c r="AD383" s="416"/>
      <c r="AE383" s="414"/>
      <c r="AF383" s="233"/>
    </row>
    <row r="384" spans="1:32">
      <c r="A384" s="225">
        <f t="shared" si="5"/>
        <v>375</v>
      </c>
      <c r="B384" s="227" t="s">
        <v>1488</v>
      </c>
      <c r="C384" s="227" t="s">
        <v>1760</v>
      </c>
      <c r="D384" s="228" t="s">
        <v>1761</v>
      </c>
      <c r="E384" s="363" t="s">
        <v>2097</v>
      </c>
      <c r="F384" s="342">
        <v>45320</v>
      </c>
      <c r="G384" s="230"/>
      <c r="H384" s="231"/>
      <c r="I384" s="231">
        <v>1656886</v>
      </c>
      <c r="J384" s="226" t="s">
        <v>2388</v>
      </c>
      <c r="K384" s="226"/>
      <c r="L384" s="345">
        <v>1656886</v>
      </c>
      <c r="M384" s="346">
        <v>0</v>
      </c>
      <c r="N384" s="226"/>
      <c r="O384" s="232"/>
      <c r="P384" s="232"/>
      <c r="Q384" s="232"/>
      <c r="R384" s="232"/>
      <c r="S384" s="414"/>
      <c r="T384" s="415"/>
      <c r="U384" s="414"/>
      <c r="V384" s="414"/>
      <c r="W384" s="414"/>
      <c r="X384" s="414"/>
      <c r="Y384" s="414"/>
      <c r="Z384" s="416"/>
      <c r="AA384" s="416"/>
      <c r="AB384" s="414"/>
      <c r="AC384" s="414"/>
      <c r="AD384" s="416"/>
      <c r="AE384" s="414"/>
      <c r="AF384" s="233"/>
    </row>
    <row r="385" spans="1:32">
      <c r="A385" s="225">
        <f t="shared" si="5"/>
        <v>376</v>
      </c>
      <c r="B385" s="227" t="s">
        <v>1278</v>
      </c>
      <c r="C385" s="227" t="s">
        <v>1774</v>
      </c>
      <c r="D385" s="228" t="s">
        <v>1775</v>
      </c>
      <c r="E385" s="363" t="s">
        <v>2098</v>
      </c>
      <c r="F385" s="342">
        <v>45319</v>
      </c>
      <c r="G385" s="230"/>
      <c r="H385" s="231"/>
      <c r="I385" s="231">
        <v>67337</v>
      </c>
      <c r="J385" s="226" t="s">
        <v>2388</v>
      </c>
      <c r="K385" s="226"/>
      <c r="L385" s="345">
        <v>67337</v>
      </c>
      <c r="M385" s="346">
        <v>0</v>
      </c>
      <c r="N385" s="226" t="s">
        <v>2394</v>
      </c>
      <c r="O385" s="232"/>
      <c r="P385" s="232"/>
      <c r="Q385" s="232"/>
      <c r="R385" s="232"/>
      <c r="S385" s="414"/>
      <c r="T385" s="415"/>
      <c r="U385" s="414"/>
      <c r="V385" s="414"/>
      <c r="W385" s="414"/>
      <c r="X385" s="414"/>
      <c r="Y385" s="414"/>
      <c r="Z385" s="416"/>
      <c r="AA385" s="416"/>
      <c r="AB385" s="414"/>
      <c r="AC385" s="414"/>
      <c r="AD385" s="416"/>
      <c r="AE385" s="414"/>
      <c r="AF385" s="233"/>
    </row>
    <row r="386" spans="1:32">
      <c r="A386" s="225">
        <f t="shared" si="5"/>
        <v>377</v>
      </c>
      <c r="B386" s="227" t="s">
        <v>1489</v>
      </c>
      <c r="C386" s="227" t="s">
        <v>1923</v>
      </c>
      <c r="D386" s="228" t="s">
        <v>1924</v>
      </c>
      <c r="E386" s="363" t="s">
        <v>2099</v>
      </c>
      <c r="F386" s="342">
        <v>45316</v>
      </c>
      <c r="G386" s="230"/>
      <c r="H386" s="231"/>
      <c r="I386" s="231">
        <v>330399</v>
      </c>
      <c r="J386" s="226" t="s">
        <v>2388</v>
      </c>
      <c r="K386" s="226"/>
      <c r="L386" s="345">
        <v>330399</v>
      </c>
      <c r="M386" s="346">
        <v>0</v>
      </c>
      <c r="N386" s="226"/>
      <c r="O386" s="232"/>
      <c r="P386" s="232"/>
      <c r="Q386" s="232"/>
      <c r="R386" s="232"/>
      <c r="S386" s="414"/>
      <c r="T386" s="415"/>
      <c r="U386" s="414"/>
      <c r="V386" s="414"/>
      <c r="W386" s="414"/>
      <c r="X386" s="414"/>
      <c r="Y386" s="414"/>
      <c r="Z386" s="416"/>
      <c r="AA386" s="416"/>
      <c r="AB386" s="414"/>
      <c r="AC386" s="414"/>
      <c r="AD386" s="416"/>
      <c r="AE386" s="414"/>
      <c r="AF386" s="233"/>
    </row>
    <row r="387" spans="1:32">
      <c r="A387" s="225">
        <f t="shared" si="5"/>
        <v>378</v>
      </c>
      <c r="B387" s="227" t="s">
        <v>1490</v>
      </c>
      <c r="C387" s="227" t="s">
        <v>2100</v>
      </c>
      <c r="D387" s="228" t="s">
        <v>2101</v>
      </c>
      <c r="E387" s="363" t="s">
        <v>2102</v>
      </c>
      <c r="F387" s="342">
        <v>45299</v>
      </c>
      <c r="G387" s="230"/>
      <c r="H387" s="231"/>
      <c r="I387" s="231">
        <v>24204</v>
      </c>
      <c r="J387" s="226" t="s">
        <v>2388</v>
      </c>
      <c r="K387" s="226"/>
      <c r="L387" s="345">
        <v>24204</v>
      </c>
      <c r="M387" s="346">
        <v>0</v>
      </c>
      <c r="N387" s="226"/>
      <c r="O387" s="232"/>
      <c r="P387" s="232"/>
      <c r="Q387" s="232"/>
      <c r="R387" s="232"/>
      <c r="S387" s="414"/>
      <c r="T387" s="415"/>
      <c r="U387" s="414"/>
      <c r="V387" s="414"/>
      <c r="W387" s="414"/>
      <c r="X387" s="414"/>
      <c r="Y387" s="414"/>
      <c r="Z387" s="416"/>
      <c r="AA387" s="416"/>
      <c r="AB387" s="414"/>
      <c r="AC387" s="414"/>
      <c r="AD387" s="416"/>
      <c r="AE387" s="414"/>
      <c r="AF387" s="233"/>
    </row>
    <row r="388" spans="1:32">
      <c r="A388" s="225">
        <f t="shared" si="5"/>
        <v>379</v>
      </c>
      <c r="B388" s="227" t="s">
        <v>1491</v>
      </c>
      <c r="C388" s="227" t="s">
        <v>1789</v>
      </c>
      <c r="D388" s="228" t="s">
        <v>1790</v>
      </c>
      <c r="E388" s="363" t="s">
        <v>2103</v>
      </c>
      <c r="F388" s="342">
        <v>45294</v>
      </c>
      <c r="G388" s="230"/>
      <c r="H388" s="231"/>
      <c r="I388" s="231">
        <v>29390</v>
      </c>
      <c r="J388" s="226" t="s">
        <v>2388</v>
      </c>
      <c r="K388" s="226"/>
      <c r="L388" s="345">
        <v>29390</v>
      </c>
      <c r="M388" s="346">
        <v>0</v>
      </c>
      <c r="N388" s="226" t="s">
        <v>2395</v>
      </c>
      <c r="O388" s="232"/>
      <c r="P388" s="232"/>
      <c r="Q388" s="232"/>
      <c r="R388" s="232"/>
      <c r="S388" s="414"/>
      <c r="T388" s="415"/>
      <c r="U388" s="414"/>
      <c r="V388" s="414"/>
      <c r="W388" s="414"/>
      <c r="X388" s="414"/>
      <c r="Y388" s="414"/>
      <c r="Z388" s="416"/>
      <c r="AA388" s="416"/>
      <c r="AB388" s="414"/>
      <c r="AC388" s="414"/>
      <c r="AD388" s="416"/>
      <c r="AE388" s="414"/>
      <c r="AF388" s="233"/>
    </row>
    <row r="389" spans="1:32">
      <c r="A389" s="225">
        <f t="shared" si="5"/>
        <v>380</v>
      </c>
      <c r="B389" s="227" t="s">
        <v>1492</v>
      </c>
      <c r="C389" s="227" t="s">
        <v>1776</v>
      </c>
      <c r="D389" s="228" t="s">
        <v>1777</v>
      </c>
      <c r="E389" s="363">
        <v>240015</v>
      </c>
      <c r="F389" s="342">
        <v>45293</v>
      </c>
      <c r="G389" s="230"/>
      <c r="H389" s="231"/>
      <c r="I389" s="231">
        <v>244860</v>
      </c>
      <c r="J389" s="226" t="s">
        <v>2388</v>
      </c>
      <c r="K389" s="226"/>
      <c r="L389" s="345">
        <v>244860</v>
      </c>
      <c r="M389" s="346">
        <v>0</v>
      </c>
      <c r="N389" s="226"/>
      <c r="O389" s="232"/>
      <c r="P389" s="232"/>
      <c r="Q389" s="232"/>
      <c r="R389" s="232"/>
      <c r="S389" s="414"/>
      <c r="T389" s="415"/>
      <c r="U389" s="414"/>
      <c r="V389" s="414"/>
      <c r="W389" s="414"/>
      <c r="X389" s="414"/>
      <c r="Y389" s="414"/>
      <c r="Z389" s="416"/>
      <c r="AA389" s="416"/>
      <c r="AB389" s="414"/>
      <c r="AC389" s="414"/>
      <c r="AD389" s="416"/>
      <c r="AE389" s="414"/>
      <c r="AF389" s="233"/>
    </row>
    <row r="390" spans="1:32">
      <c r="A390" s="225">
        <f t="shared" si="5"/>
        <v>381</v>
      </c>
      <c r="B390" s="227" t="s">
        <v>1193</v>
      </c>
      <c r="C390" s="227" t="s">
        <v>1780</v>
      </c>
      <c r="D390" s="228" t="s">
        <v>1781</v>
      </c>
      <c r="E390" s="363">
        <v>8604</v>
      </c>
      <c r="F390" s="342">
        <v>45292</v>
      </c>
      <c r="G390" s="230"/>
      <c r="H390" s="231"/>
      <c r="I390" s="231">
        <v>6540</v>
      </c>
      <c r="J390" s="226" t="s">
        <v>2389</v>
      </c>
      <c r="K390" s="226"/>
      <c r="L390" s="345"/>
      <c r="M390" s="346">
        <v>6540</v>
      </c>
      <c r="N390" s="226"/>
      <c r="O390" s="232"/>
      <c r="P390" s="232"/>
      <c r="Q390" s="232"/>
      <c r="R390" s="232"/>
      <c r="S390" s="414"/>
      <c r="T390" s="415"/>
      <c r="U390" s="414"/>
      <c r="V390" s="414"/>
      <c r="W390" s="414"/>
      <c r="X390" s="414"/>
      <c r="Y390" s="414"/>
      <c r="Z390" s="416"/>
      <c r="AA390" s="416"/>
      <c r="AB390" s="414"/>
      <c r="AC390" s="414"/>
      <c r="AD390" s="416"/>
      <c r="AE390" s="414"/>
      <c r="AF390" s="233"/>
    </row>
    <row r="391" spans="1:32">
      <c r="A391" s="225">
        <f t="shared" si="5"/>
        <v>382</v>
      </c>
      <c r="B391" s="227" t="s">
        <v>1493</v>
      </c>
      <c r="C391" s="227" t="s">
        <v>2067</v>
      </c>
      <c r="D391" s="228" t="s">
        <v>2068</v>
      </c>
      <c r="E391" s="363" t="s">
        <v>2104</v>
      </c>
      <c r="F391" s="342">
        <v>45351</v>
      </c>
      <c r="G391" s="230"/>
      <c r="H391" s="231"/>
      <c r="I391" s="231">
        <v>581867</v>
      </c>
      <c r="J391" s="226" t="s">
        <v>2388</v>
      </c>
      <c r="K391" s="226"/>
      <c r="L391" s="345">
        <v>581867</v>
      </c>
      <c r="M391" s="346">
        <v>0</v>
      </c>
      <c r="N391" s="226"/>
      <c r="O391" s="232"/>
      <c r="P391" s="232"/>
      <c r="Q391" s="232"/>
      <c r="R391" s="232"/>
      <c r="S391" s="414"/>
      <c r="T391" s="415"/>
      <c r="U391" s="414"/>
      <c r="V391" s="414"/>
      <c r="W391" s="414"/>
      <c r="X391" s="414"/>
      <c r="Y391" s="414"/>
      <c r="Z391" s="416"/>
      <c r="AA391" s="416"/>
      <c r="AB391" s="414"/>
      <c r="AC391" s="414"/>
      <c r="AD391" s="416"/>
      <c r="AE391" s="414"/>
      <c r="AF391" s="233"/>
    </row>
    <row r="392" spans="1:32">
      <c r="A392" s="225">
        <f t="shared" si="5"/>
        <v>383</v>
      </c>
      <c r="B392" s="227" t="s">
        <v>1494</v>
      </c>
      <c r="C392" s="227" t="s">
        <v>1785</v>
      </c>
      <c r="D392" s="228" t="s">
        <v>1786</v>
      </c>
      <c r="E392" s="363">
        <v>37934</v>
      </c>
      <c r="F392" s="342">
        <v>45350</v>
      </c>
      <c r="G392" s="230"/>
      <c r="H392" s="231"/>
      <c r="I392" s="231">
        <v>35418</v>
      </c>
      <c r="J392" s="226" t="s">
        <v>2390</v>
      </c>
      <c r="K392" s="226"/>
      <c r="L392" s="345"/>
      <c r="M392" s="346">
        <v>35418</v>
      </c>
      <c r="N392" s="226"/>
      <c r="O392" s="232"/>
      <c r="P392" s="232"/>
      <c r="Q392" s="232"/>
      <c r="R392" s="232"/>
      <c r="S392" s="414"/>
      <c r="T392" s="415"/>
      <c r="U392" s="414"/>
      <c r="V392" s="414"/>
      <c r="W392" s="414"/>
      <c r="X392" s="414"/>
      <c r="Y392" s="414"/>
      <c r="Z392" s="416"/>
      <c r="AA392" s="416"/>
      <c r="AB392" s="414"/>
      <c r="AC392" s="414"/>
      <c r="AD392" s="416"/>
      <c r="AE392" s="414"/>
      <c r="AF392" s="233"/>
    </row>
    <row r="393" spans="1:32">
      <c r="A393" s="225">
        <f t="shared" si="5"/>
        <v>384</v>
      </c>
      <c r="B393" s="227" t="s">
        <v>1495</v>
      </c>
      <c r="C393" s="227" t="s">
        <v>2067</v>
      </c>
      <c r="D393" s="228" t="s">
        <v>2068</v>
      </c>
      <c r="E393" s="363" t="s">
        <v>2105</v>
      </c>
      <c r="F393" s="342">
        <v>45351</v>
      </c>
      <c r="G393" s="230"/>
      <c r="H393" s="231"/>
      <c r="I393" s="231">
        <v>1012367</v>
      </c>
      <c r="J393" s="226" t="s">
        <v>2388</v>
      </c>
      <c r="K393" s="226"/>
      <c r="L393" s="345">
        <v>1012367</v>
      </c>
      <c r="M393" s="346">
        <v>0</v>
      </c>
      <c r="N393" s="226"/>
      <c r="O393" s="232"/>
      <c r="P393" s="232"/>
      <c r="Q393" s="232"/>
      <c r="R393" s="232"/>
      <c r="S393" s="414"/>
      <c r="T393" s="415"/>
      <c r="U393" s="414"/>
      <c r="V393" s="414"/>
      <c r="W393" s="414"/>
      <c r="X393" s="414"/>
      <c r="Y393" s="414"/>
      <c r="Z393" s="416"/>
      <c r="AA393" s="416"/>
      <c r="AB393" s="414"/>
      <c r="AC393" s="414"/>
      <c r="AD393" s="416"/>
      <c r="AE393" s="414"/>
      <c r="AF393" s="233"/>
    </row>
    <row r="394" spans="1:32">
      <c r="A394" s="225">
        <f t="shared" si="5"/>
        <v>385</v>
      </c>
      <c r="B394" s="227" t="s">
        <v>1496</v>
      </c>
      <c r="C394" s="227" t="s">
        <v>1789</v>
      </c>
      <c r="D394" s="228" t="s">
        <v>1790</v>
      </c>
      <c r="E394" s="363" t="s">
        <v>2106</v>
      </c>
      <c r="F394" s="342">
        <v>45328</v>
      </c>
      <c r="G394" s="230"/>
      <c r="H394" s="231"/>
      <c r="I394" s="231">
        <v>57134</v>
      </c>
      <c r="J394" s="226" t="s">
        <v>2388</v>
      </c>
      <c r="K394" s="226"/>
      <c r="L394" s="345">
        <v>57134</v>
      </c>
      <c r="M394" s="346">
        <v>0</v>
      </c>
      <c r="N394" s="226" t="s">
        <v>2395</v>
      </c>
      <c r="O394" s="232"/>
      <c r="P394" s="232"/>
      <c r="Q394" s="232"/>
      <c r="R394" s="232"/>
      <c r="S394" s="414"/>
      <c r="T394" s="415"/>
      <c r="U394" s="414"/>
      <c r="V394" s="414"/>
      <c r="W394" s="414"/>
      <c r="X394" s="414"/>
      <c r="Y394" s="414"/>
      <c r="Z394" s="416"/>
      <c r="AA394" s="416"/>
      <c r="AB394" s="414"/>
      <c r="AC394" s="414"/>
      <c r="AD394" s="416"/>
      <c r="AE394" s="414"/>
      <c r="AF394" s="233"/>
    </row>
    <row r="395" spans="1:32">
      <c r="A395" s="225">
        <f t="shared" si="5"/>
        <v>386</v>
      </c>
      <c r="B395" s="227" t="s">
        <v>1497</v>
      </c>
      <c r="C395" s="227" t="s">
        <v>2067</v>
      </c>
      <c r="D395" s="228" t="s">
        <v>2068</v>
      </c>
      <c r="E395" s="363" t="s">
        <v>2107</v>
      </c>
      <c r="F395" s="342">
        <v>45351</v>
      </c>
      <c r="G395" s="230"/>
      <c r="H395" s="231"/>
      <c r="I395" s="231">
        <v>474445</v>
      </c>
      <c r="J395" s="226" t="s">
        <v>2388</v>
      </c>
      <c r="K395" s="226"/>
      <c r="L395" s="345">
        <v>474445</v>
      </c>
      <c r="M395" s="346">
        <v>0</v>
      </c>
      <c r="N395" s="226"/>
      <c r="O395" s="232"/>
      <c r="P395" s="232"/>
      <c r="Q395" s="232"/>
      <c r="R395" s="232"/>
      <c r="S395" s="414"/>
      <c r="T395" s="415"/>
      <c r="U395" s="414"/>
      <c r="V395" s="414"/>
      <c r="W395" s="414"/>
      <c r="X395" s="414"/>
      <c r="Y395" s="414"/>
      <c r="Z395" s="416"/>
      <c r="AA395" s="416"/>
      <c r="AB395" s="414"/>
      <c r="AC395" s="414"/>
      <c r="AD395" s="416"/>
      <c r="AE395" s="414"/>
      <c r="AF395" s="233"/>
    </row>
    <row r="396" spans="1:32">
      <c r="A396" s="225">
        <f t="shared" ref="A396:A459" si="6">A395+1</f>
        <v>387</v>
      </c>
      <c r="B396" s="227" t="s">
        <v>1498</v>
      </c>
      <c r="C396" s="227" t="s">
        <v>1789</v>
      </c>
      <c r="D396" s="228" t="s">
        <v>1790</v>
      </c>
      <c r="E396" s="363" t="s">
        <v>2108</v>
      </c>
      <c r="F396" s="342">
        <v>45346</v>
      </c>
      <c r="G396" s="230"/>
      <c r="H396" s="231"/>
      <c r="I396" s="231">
        <v>28525</v>
      </c>
      <c r="J396" s="226" t="s">
        <v>2388</v>
      </c>
      <c r="K396" s="226"/>
      <c r="L396" s="345">
        <v>28525</v>
      </c>
      <c r="M396" s="346">
        <v>0</v>
      </c>
      <c r="N396" s="226" t="s">
        <v>2395</v>
      </c>
      <c r="O396" s="232"/>
      <c r="P396" s="232"/>
      <c r="Q396" s="232"/>
      <c r="R396" s="232"/>
      <c r="S396" s="414"/>
      <c r="T396" s="415"/>
      <c r="U396" s="414"/>
      <c r="V396" s="414"/>
      <c r="W396" s="414"/>
      <c r="X396" s="414"/>
      <c r="Y396" s="414"/>
      <c r="Z396" s="416"/>
      <c r="AA396" s="416"/>
      <c r="AB396" s="414"/>
      <c r="AC396" s="414"/>
      <c r="AD396" s="416"/>
      <c r="AE396" s="414"/>
      <c r="AF396" s="233"/>
    </row>
    <row r="397" spans="1:32">
      <c r="A397" s="225">
        <f t="shared" si="6"/>
        <v>388</v>
      </c>
      <c r="B397" s="227" t="s">
        <v>1499</v>
      </c>
      <c r="C397" s="227" t="s">
        <v>2067</v>
      </c>
      <c r="D397" s="228" t="s">
        <v>2068</v>
      </c>
      <c r="E397" s="363" t="s">
        <v>2109</v>
      </c>
      <c r="F397" s="342">
        <v>45351</v>
      </c>
      <c r="G397" s="230"/>
      <c r="H397" s="231"/>
      <c r="I397" s="231">
        <v>474445</v>
      </c>
      <c r="J397" s="226" t="s">
        <v>2388</v>
      </c>
      <c r="K397" s="226"/>
      <c r="L397" s="345">
        <v>474445</v>
      </c>
      <c r="M397" s="346">
        <v>0</v>
      </c>
      <c r="N397" s="226"/>
      <c r="O397" s="232"/>
      <c r="P397" s="232"/>
      <c r="Q397" s="232"/>
      <c r="R397" s="232"/>
      <c r="S397" s="414"/>
      <c r="T397" s="415"/>
      <c r="U397" s="414"/>
      <c r="V397" s="414"/>
      <c r="W397" s="414"/>
      <c r="X397" s="414"/>
      <c r="Y397" s="414"/>
      <c r="Z397" s="416"/>
      <c r="AA397" s="416"/>
      <c r="AB397" s="414"/>
      <c r="AC397" s="414"/>
      <c r="AD397" s="416"/>
      <c r="AE397" s="414"/>
      <c r="AF397" s="233"/>
    </row>
    <row r="398" spans="1:32">
      <c r="A398" s="225">
        <f t="shared" si="6"/>
        <v>389</v>
      </c>
      <c r="B398" s="227" t="s">
        <v>1500</v>
      </c>
      <c r="C398" s="227" t="s">
        <v>1789</v>
      </c>
      <c r="D398" s="228" t="s">
        <v>1790</v>
      </c>
      <c r="E398" s="363" t="s">
        <v>2110</v>
      </c>
      <c r="F398" s="342">
        <v>45346</v>
      </c>
      <c r="G398" s="230"/>
      <c r="H398" s="231"/>
      <c r="I398" s="231">
        <v>28525</v>
      </c>
      <c r="J398" s="226" t="s">
        <v>2388</v>
      </c>
      <c r="K398" s="226"/>
      <c r="L398" s="345">
        <v>28525</v>
      </c>
      <c r="M398" s="346">
        <v>0</v>
      </c>
      <c r="N398" s="226" t="s">
        <v>2395</v>
      </c>
      <c r="O398" s="232"/>
      <c r="P398" s="232"/>
      <c r="Q398" s="232"/>
      <c r="R398" s="232"/>
      <c r="S398" s="414"/>
      <c r="T398" s="415"/>
      <c r="U398" s="414"/>
      <c r="V398" s="414"/>
      <c r="W398" s="414"/>
      <c r="X398" s="414"/>
      <c r="Y398" s="414"/>
      <c r="Z398" s="416"/>
      <c r="AA398" s="416"/>
      <c r="AB398" s="414"/>
      <c r="AC398" s="414"/>
      <c r="AD398" s="416"/>
      <c r="AE398" s="414"/>
      <c r="AF398" s="233"/>
    </row>
    <row r="399" spans="1:32">
      <c r="A399" s="225">
        <f t="shared" si="6"/>
        <v>390</v>
      </c>
      <c r="B399" s="227" t="s">
        <v>1501</v>
      </c>
      <c r="C399" s="227" t="s">
        <v>2067</v>
      </c>
      <c r="D399" s="228" t="s">
        <v>2068</v>
      </c>
      <c r="E399" s="363" t="s">
        <v>2111</v>
      </c>
      <c r="F399" s="342">
        <v>45351</v>
      </c>
      <c r="G399" s="230"/>
      <c r="H399" s="231"/>
      <c r="I399" s="231">
        <v>494790</v>
      </c>
      <c r="J399" s="226" t="s">
        <v>2388</v>
      </c>
      <c r="K399" s="226"/>
      <c r="L399" s="345">
        <v>494790</v>
      </c>
      <c r="M399" s="346">
        <v>0</v>
      </c>
      <c r="N399" s="226"/>
      <c r="O399" s="232"/>
      <c r="P399" s="232"/>
      <c r="Q399" s="232"/>
      <c r="R399" s="232"/>
      <c r="S399" s="414"/>
      <c r="T399" s="415"/>
      <c r="U399" s="414"/>
      <c r="V399" s="414"/>
      <c r="W399" s="414"/>
      <c r="X399" s="414"/>
      <c r="Y399" s="414"/>
      <c r="Z399" s="416"/>
      <c r="AA399" s="416"/>
      <c r="AB399" s="414"/>
      <c r="AC399" s="414"/>
      <c r="AD399" s="416"/>
      <c r="AE399" s="414"/>
      <c r="AF399" s="233"/>
    </row>
    <row r="400" spans="1:32">
      <c r="A400" s="225">
        <f t="shared" si="6"/>
        <v>391</v>
      </c>
      <c r="B400" s="227" t="s">
        <v>1502</v>
      </c>
      <c r="C400" s="227" t="s">
        <v>1789</v>
      </c>
      <c r="D400" s="228" t="s">
        <v>1790</v>
      </c>
      <c r="E400" s="363" t="s">
        <v>2112</v>
      </c>
      <c r="F400" s="342">
        <v>45334</v>
      </c>
      <c r="G400" s="230"/>
      <c r="H400" s="231"/>
      <c r="I400" s="231">
        <v>28546</v>
      </c>
      <c r="J400" s="226" t="s">
        <v>2388</v>
      </c>
      <c r="K400" s="226"/>
      <c r="L400" s="345">
        <v>28546</v>
      </c>
      <c r="M400" s="346">
        <v>0</v>
      </c>
      <c r="N400" s="226" t="s">
        <v>2395</v>
      </c>
      <c r="O400" s="232"/>
      <c r="P400" s="232"/>
      <c r="Q400" s="232"/>
      <c r="R400" s="232"/>
      <c r="S400" s="414"/>
      <c r="T400" s="415"/>
      <c r="U400" s="414"/>
      <c r="V400" s="414"/>
      <c r="W400" s="414"/>
      <c r="X400" s="414"/>
      <c r="Y400" s="414"/>
      <c r="Z400" s="416"/>
      <c r="AA400" s="416"/>
      <c r="AB400" s="414"/>
      <c r="AC400" s="414"/>
      <c r="AD400" s="416"/>
      <c r="AE400" s="414"/>
      <c r="AF400" s="233"/>
    </row>
    <row r="401" spans="1:32">
      <c r="A401" s="225">
        <f t="shared" si="6"/>
        <v>392</v>
      </c>
      <c r="B401" s="227" t="s">
        <v>1503</v>
      </c>
      <c r="C401" s="227" t="s">
        <v>2067</v>
      </c>
      <c r="D401" s="228" t="s">
        <v>2068</v>
      </c>
      <c r="E401" s="363" t="s">
        <v>2113</v>
      </c>
      <c r="F401" s="342">
        <v>45351</v>
      </c>
      <c r="G401" s="230"/>
      <c r="H401" s="231"/>
      <c r="I401" s="231">
        <v>494790</v>
      </c>
      <c r="J401" s="226" t="s">
        <v>2388</v>
      </c>
      <c r="K401" s="226"/>
      <c r="L401" s="345">
        <v>494790</v>
      </c>
      <c r="M401" s="346">
        <v>0</v>
      </c>
      <c r="N401" s="226"/>
      <c r="O401" s="232"/>
      <c r="P401" s="232"/>
      <c r="Q401" s="232"/>
      <c r="R401" s="232"/>
      <c r="S401" s="414"/>
      <c r="T401" s="415"/>
      <c r="U401" s="414"/>
      <c r="V401" s="414"/>
      <c r="W401" s="414"/>
      <c r="X401" s="414"/>
      <c r="Y401" s="414"/>
      <c r="Z401" s="416"/>
      <c r="AA401" s="416"/>
      <c r="AB401" s="414"/>
      <c r="AC401" s="414"/>
      <c r="AD401" s="416"/>
      <c r="AE401" s="414"/>
      <c r="AF401" s="233"/>
    </row>
    <row r="402" spans="1:32">
      <c r="A402" s="225">
        <f t="shared" si="6"/>
        <v>393</v>
      </c>
      <c r="B402" s="227" t="s">
        <v>1504</v>
      </c>
      <c r="C402" s="227" t="s">
        <v>1789</v>
      </c>
      <c r="D402" s="228" t="s">
        <v>1790</v>
      </c>
      <c r="E402" s="363" t="s">
        <v>2114</v>
      </c>
      <c r="F402" s="342">
        <v>45325</v>
      </c>
      <c r="G402" s="230"/>
      <c r="H402" s="231"/>
      <c r="I402" s="231">
        <v>28602</v>
      </c>
      <c r="J402" s="226" t="s">
        <v>2388</v>
      </c>
      <c r="K402" s="226"/>
      <c r="L402" s="345">
        <v>28602</v>
      </c>
      <c r="M402" s="346">
        <v>0</v>
      </c>
      <c r="N402" s="226" t="s">
        <v>2395</v>
      </c>
      <c r="O402" s="232"/>
      <c r="P402" s="232"/>
      <c r="Q402" s="232"/>
      <c r="R402" s="232"/>
      <c r="S402" s="414"/>
      <c r="T402" s="415"/>
      <c r="U402" s="414"/>
      <c r="V402" s="414"/>
      <c r="W402" s="414"/>
      <c r="X402" s="414"/>
      <c r="Y402" s="414"/>
      <c r="Z402" s="416"/>
      <c r="AA402" s="416"/>
      <c r="AB402" s="414"/>
      <c r="AC402" s="414"/>
      <c r="AD402" s="416"/>
      <c r="AE402" s="414"/>
      <c r="AF402" s="233"/>
    </row>
    <row r="403" spans="1:32">
      <c r="A403" s="225">
        <f t="shared" si="6"/>
        <v>394</v>
      </c>
      <c r="B403" s="227" t="s">
        <v>1393</v>
      </c>
      <c r="C403" s="227" t="s">
        <v>1763</v>
      </c>
      <c r="D403" s="228" t="s">
        <v>1764</v>
      </c>
      <c r="E403" s="363" t="s">
        <v>2115</v>
      </c>
      <c r="F403" s="342">
        <v>45351</v>
      </c>
      <c r="G403" s="230"/>
      <c r="H403" s="231"/>
      <c r="I403" s="231">
        <v>4002610</v>
      </c>
      <c r="J403" s="226" t="s">
        <v>2388</v>
      </c>
      <c r="K403" s="226"/>
      <c r="L403" s="345">
        <v>4002610</v>
      </c>
      <c r="M403" s="346">
        <v>0</v>
      </c>
      <c r="N403" s="226"/>
      <c r="O403" s="232"/>
      <c r="P403" s="232"/>
      <c r="Q403" s="232"/>
      <c r="R403" s="232"/>
      <c r="S403" s="414"/>
      <c r="T403" s="415"/>
      <c r="U403" s="414"/>
      <c r="V403" s="414"/>
      <c r="W403" s="414"/>
      <c r="X403" s="414"/>
      <c r="Y403" s="414"/>
      <c r="Z403" s="416"/>
      <c r="AA403" s="416"/>
      <c r="AB403" s="414"/>
      <c r="AC403" s="414"/>
      <c r="AD403" s="416"/>
      <c r="AE403" s="414"/>
      <c r="AF403" s="233"/>
    </row>
    <row r="404" spans="1:32">
      <c r="A404" s="225">
        <f t="shared" si="6"/>
        <v>395</v>
      </c>
      <c r="B404" s="227" t="s">
        <v>1505</v>
      </c>
      <c r="C404" s="227" t="s">
        <v>1774</v>
      </c>
      <c r="D404" s="228" t="s">
        <v>1775</v>
      </c>
      <c r="E404" s="363" t="s">
        <v>2116</v>
      </c>
      <c r="F404" s="342">
        <v>45350</v>
      </c>
      <c r="G404" s="230"/>
      <c r="H404" s="231"/>
      <c r="I404" s="231">
        <v>67172</v>
      </c>
      <c r="J404" s="226" t="s">
        <v>2388</v>
      </c>
      <c r="K404" s="226"/>
      <c r="L404" s="345">
        <v>67172</v>
      </c>
      <c r="M404" s="346">
        <v>0</v>
      </c>
      <c r="N404" s="226" t="s">
        <v>2394</v>
      </c>
      <c r="O404" s="232"/>
      <c r="P404" s="232"/>
      <c r="Q404" s="232"/>
      <c r="R404" s="232"/>
      <c r="S404" s="414"/>
      <c r="T404" s="415"/>
      <c r="U404" s="414"/>
      <c r="V404" s="414"/>
      <c r="W404" s="414"/>
      <c r="X404" s="414"/>
      <c r="Y404" s="414"/>
      <c r="Z404" s="416"/>
      <c r="AA404" s="416"/>
      <c r="AB404" s="414"/>
      <c r="AC404" s="414"/>
      <c r="AD404" s="416"/>
      <c r="AE404" s="414"/>
      <c r="AF404" s="233"/>
    </row>
    <row r="405" spans="1:32">
      <c r="A405" s="225">
        <f t="shared" si="6"/>
        <v>396</v>
      </c>
      <c r="B405" s="227" t="s">
        <v>1506</v>
      </c>
      <c r="C405" s="227" t="s">
        <v>1766</v>
      </c>
      <c r="D405" s="228" t="s">
        <v>1767</v>
      </c>
      <c r="E405" s="363" t="s">
        <v>2117</v>
      </c>
      <c r="F405" s="342">
        <v>45350</v>
      </c>
      <c r="G405" s="230"/>
      <c r="H405" s="231"/>
      <c r="I405" s="231">
        <v>2849700</v>
      </c>
      <c r="J405" s="226" t="s">
        <v>2388</v>
      </c>
      <c r="K405" s="226"/>
      <c r="L405" s="345">
        <v>2849700</v>
      </c>
      <c r="M405" s="346">
        <v>0</v>
      </c>
      <c r="N405" s="226"/>
      <c r="O405" s="232"/>
      <c r="P405" s="232"/>
      <c r="Q405" s="232"/>
      <c r="R405" s="232"/>
      <c r="S405" s="414"/>
      <c r="T405" s="415"/>
      <c r="U405" s="414"/>
      <c r="V405" s="414"/>
      <c r="W405" s="414"/>
      <c r="X405" s="414"/>
      <c r="Y405" s="414"/>
      <c r="Z405" s="416"/>
      <c r="AA405" s="416"/>
      <c r="AB405" s="414"/>
      <c r="AC405" s="414"/>
      <c r="AD405" s="416"/>
      <c r="AE405" s="414"/>
      <c r="AF405" s="233"/>
    </row>
    <row r="406" spans="1:32">
      <c r="A406" s="225">
        <f t="shared" si="6"/>
        <v>397</v>
      </c>
      <c r="B406" s="227" t="s">
        <v>1507</v>
      </c>
      <c r="C406" s="227" t="s">
        <v>1771</v>
      </c>
      <c r="D406" s="228" t="s">
        <v>1772</v>
      </c>
      <c r="E406" s="363" t="s">
        <v>2118</v>
      </c>
      <c r="F406" s="342">
        <v>45350</v>
      </c>
      <c r="G406" s="230"/>
      <c r="H406" s="231"/>
      <c r="I406" s="231">
        <v>126608</v>
      </c>
      <c r="J406" s="226" t="s">
        <v>2388</v>
      </c>
      <c r="K406" s="226"/>
      <c r="L406" s="345">
        <v>126608</v>
      </c>
      <c r="M406" s="346">
        <v>0</v>
      </c>
      <c r="N406" s="226"/>
      <c r="O406" s="232"/>
      <c r="P406" s="232"/>
      <c r="Q406" s="232"/>
      <c r="R406" s="232"/>
      <c r="S406" s="414"/>
      <c r="T406" s="415"/>
      <c r="U406" s="414"/>
      <c r="V406" s="414"/>
      <c r="W406" s="414"/>
      <c r="X406" s="414"/>
      <c r="Y406" s="414"/>
      <c r="Z406" s="416"/>
      <c r="AA406" s="416"/>
      <c r="AB406" s="414"/>
      <c r="AC406" s="414"/>
      <c r="AD406" s="416"/>
      <c r="AE406" s="414"/>
      <c r="AF406" s="233"/>
    </row>
    <row r="407" spans="1:32">
      <c r="A407" s="225">
        <f t="shared" si="6"/>
        <v>398</v>
      </c>
      <c r="B407" s="227" t="s">
        <v>1508</v>
      </c>
      <c r="C407" s="227" t="s">
        <v>1923</v>
      </c>
      <c r="D407" s="228" t="s">
        <v>1924</v>
      </c>
      <c r="E407" s="363" t="s">
        <v>2119</v>
      </c>
      <c r="F407" s="342">
        <v>45348</v>
      </c>
      <c r="G407" s="230"/>
      <c r="H407" s="231"/>
      <c r="I407" s="231">
        <v>330075</v>
      </c>
      <c r="J407" s="226" t="s">
        <v>2391</v>
      </c>
      <c r="K407" s="226"/>
      <c r="L407" s="345"/>
      <c r="M407" s="346">
        <v>330075</v>
      </c>
      <c r="N407" s="226" t="s">
        <v>2406</v>
      </c>
      <c r="O407" s="232"/>
      <c r="P407" s="232"/>
      <c r="Q407" s="232"/>
      <c r="R407" s="232"/>
      <c r="S407" s="414"/>
      <c r="T407" s="415"/>
      <c r="U407" s="414"/>
      <c r="V407" s="414"/>
      <c r="W407" s="414"/>
      <c r="X407" s="414"/>
      <c r="Y407" s="414"/>
      <c r="Z407" s="416"/>
      <c r="AA407" s="416"/>
      <c r="AB407" s="414"/>
      <c r="AC407" s="414"/>
      <c r="AD407" s="416"/>
      <c r="AE407" s="414"/>
      <c r="AF407" s="233"/>
    </row>
    <row r="408" spans="1:32">
      <c r="A408" s="225">
        <f t="shared" si="6"/>
        <v>399</v>
      </c>
      <c r="B408" s="227" t="s">
        <v>1509</v>
      </c>
      <c r="C408" s="227" t="s">
        <v>2120</v>
      </c>
      <c r="D408" s="228" t="s">
        <v>2121</v>
      </c>
      <c r="E408" s="363">
        <v>33</v>
      </c>
      <c r="F408" s="342">
        <v>45344</v>
      </c>
      <c r="G408" s="230"/>
      <c r="H408" s="231"/>
      <c r="I408" s="231">
        <v>451213</v>
      </c>
      <c r="J408" s="226" t="s">
        <v>2388</v>
      </c>
      <c r="K408" s="226"/>
      <c r="L408" s="345">
        <v>451213</v>
      </c>
      <c r="M408" s="346">
        <v>0</v>
      </c>
      <c r="N408" s="226" t="s">
        <v>2407</v>
      </c>
      <c r="O408" s="232"/>
      <c r="P408" s="232"/>
      <c r="Q408" s="232"/>
      <c r="R408" s="232"/>
      <c r="S408" s="414"/>
      <c r="T408" s="415"/>
      <c r="U408" s="414"/>
      <c r="V408" s="414"/>
      <c r="W408" s="414"/>
      <c r="X408" s="414"/>
      <c r="Y408" s="414"/>
      <c r="Z408" s="416"/>
      <c r="AA408" s="416"/>
      <c r="AB408" s="414"/>
      <c r="AC408" s="414"/>
      <c r="AD408" s="416"/>
      <c r="AE408" s="414"/>
      <c r="AF408" s="233"/>
    </row>
    <row r="409" spans="1:32">
      <c r="A409" s="225">
        <f t="shared" si="6"/>
        <v>400</v>
      </c>
      <c r="B409" s="227" t="s">
        <v>1510</v>
      </c>
      <c r="C409" s="227" t="s">
        <v>1789</v>
      </c>
      <c r="D409" s="228" t="s">
        <v>1790</v>
      </c>
      <c r="E409" s="363" t="s">
        <v>2122</v>
      </c>
      <c r="F409" s="342">
        <v>45331</v>
      </c>
      <c r="G409" s="230"/>
      <c r="H409" s="231"/>
      <c r="I409" s="231">
        <v>18763</v>
      </c>
      <c r="J409" s="226" t="s">
        <v>2388</v>
      </c>
      <c r="K409" s="226"/>
      <c r="L409" s="345">
        <v>18763</v>
      </c>
      <c r="M409" s="346">
        <v>0</v>
      </c>
      <c r="N409" s="226" t="s">
        <v>2395</v>
      </c>
      <c r="O409" s="232"/>
      <c r="P409" s="232"/>
      <c r="Q409" s="232"/>
      <c r="R409" s="232"/>
      <c r="S409" s="414"/>
      <c r="T409" s="415"/>
      <c r="U409" s="414"/>
      <c r="V409" s="414"/>
      <c r="W409" s="414"/>
      <c r="X409" s="414"/>
      <c r="Y409" s="414"/>
      <c r="Z409" s="416"/>
      <c r="AA409" s="416"/>
      <c r="AB409" s="414"/>
      <c r="AC409" s="414"/>
      <c r="AD409" s="416"/>
      <c r="AE409" s="414"/>
      <c r="AF409" s="233"/>
    </row>
    <row r="410" spans="1:32">
      <c r="A410" s="225">
        <f t="shared" si="6"/>
        <v>401</v>
      </c>
      <c r="B410" s="227" t="s">
        <v>1511</v>
      </c>
      <c r="C410" s="227" t="s">
        <v>1789</v>
      </c>
      <c r="D410" s="228" t="s">
        <v>1790</v>
      </c>
      <c r="E410" s="363" t="s">
        <v>2123</v>
      </c>
      <c r="F410" s="342">
        <v>45327</v>
      </c>
      <c r="G410" s="230"/>
      <c r="H410" s="231"/>
      <c r="I410" s="231">
        <v>28588</v>
      </c>
      <c r="J410" s="226" t="s">
        <v>2388</v>
      </c>
      <c r="K410" s="226"/>
      <c r="L410" s="345">
        <v>28588</v>
      </c>
      <c r="M410" s="346">
        <v>0</v>
      </c>
      <c r="N410" s="226" t="s">
        <v>2395</v>
      </c>
      <c r="O410" s="232"/>
      <c r="P410" s="232"/>
      <c r="Q410" s="232"/>
      <c r="R410" s="232"/>
      <c r="S410" s="414"/>
      <c r="T410" s="415"/>
      <c r="U410" s="414"/>
      <c r="V410" s="414"/>
      <c r="W410" s="414"/>
      <c r="X410" s="414"/>
      <c r="Y410" s="414"/>
      <c r="Z410" s="416"/>
      <c r="AA410" s="416"/>
      <c r="AB410" s="414"/>
      <c r="AC410" s="414"/>
      <c r="AD410" s="416"/>
      <c r="AE410" s="414"/>
      <c r="AF410" s="233"/>
    </row>
    <row r="411" spans="1:32">
      <c r="A411" s="225">
        <f t="shared" si="6"/>
        <v>402</v>
      </c>
      <c r="B411" s="227" t="s">
        <v>1512</v>
      </c>
      <c r="C411" s="227" t="s">
        <v>2120</v>
      </c>
      <c r="D411" s="228" t="s">
        <v>2121</v>
      </c>
      <c r="E411" s="363">
        <v>30</v>
      </c>
      <c r="F411" s="342">
        <v>45343</v>
      </c>
      <c r="G411" s="230"/>
      <c r="H411" s="231"/>
      <c r="I411" s="231">
        <v>675393</v>
      </c>
      <c r="J411" s="226" t="s">
        <v>2388</v>
      </c>
      <c r="K411" s="226"/>
      <c r="L411" s="345">
        <v>675393</v>
      </c>
      <c r="M411" s="346">
        <v>0</v>
      </c>
      <c r="N411" s="226" t="s">
        <v>2407</v>
      </c>
      <c r="O411" s="232"/>
      <c r="P411" s="232"/>
      <c r="Q411" s="232"/>
      <c r="R411" s="232"/>
      <c r="S411" s="414"/>
      <c r="T411" s="415"/>
      <c r="U411" s="414"/>
      <c r="V411" s="414"/>
      <c r="W411" s="414"/>
      <c r="X411" s="414"/>
      <c r="Y411" s="414"/>
      <c r="Z411" s="416"/>
      <c r="AA411" s="416"/>
      <c r="AB411" s="414"/>
      <c r="AC411" s="414"/>
      <c r="AD411" s="416"/>
      <c r="AE411" s="414"/>
      <c r="AF411" s="233"/>
    </row>
    <row r="412" spans="1:32">
      <c r="A412" s="225">
        <f t="shared" si="6"/>
        <v>403</v>
      </c>
      <c r="B412" s="227" t="s">
        <v>1193</v>
      </c>
      <c r="C412" s="227" t="s">
        <v>1780</v>
      </c>
      <c r="D412" s="228" t="s">
        <v>1781</v>
      </c>
      <c r="E412" s="363">
        <v>8610</v>
      </c>
      <c r="F412" s="342">
        <v>45323</v>
      </c>
      <c r="G412" s="230"/>
      <c r="H412" s="231"/>
      <c r="I412" s="231">
        <v>7296</v>
      </c>
      <c r="J412" s="226" t="s">
        <v>2389</v>
      </c>
      <c r="K412" s="226"/>
      <c r="L412" s="345"/>
      <c r="M412" s="346">
        <v>7296</v>
      </c>
      <c r="N412" s="226"/>
      <c r="O412" s="232"/>
      <c r="P412" s="232"/>
      <c r="Q412" s="232"/>
      <c r="R412" s="232"/>
      <c r="S412" s="414"/>
      <c r="T412" s="415"/>
      <c r="U412" s="414"/>
      <c r="V412" s="414"/>
      <c r="W412" s="414"/>
      <c r="X412" s="414"/>
      <c r="Y412" s="414"/>
      <c r="Z412" s="416"/>
      <c r="AA412" s="416"/>
      <c r="AB412" s="414"/>
      <c r="AC412" s="414"/>
      <c r="AD412" s="416"/>
      <c r="AE412" s="414"/>
      <c r="AF412" s="233"/>
    </row>
    <row r="413" spans="1:32">
      <c r="A413" s="225">
        <f t="shared" si="6"/>
        <v>404</v>
      </c>
      <c r="B413" s="227" t="s">
        <v>1513</v>
      </c>
      <c r="C413" s="227" t="s">
        <v>1776</v>
      </c>
      <c r="D413" s="228" t="s">
        <v>1777</v>
      </c>
      <c r="E413" s="363">
        <v>240180</v>
      </c>
      <c r="F413" s="342">
        <v>45323</v>
      </c>
      <c r="G413" s="230"/>
      <c r="H413" s="231"/>
      <c r="I413" s="231">
        <v>245100</v>
      </c>
      <c r="J413" s="226" t="s">
        <v>2388</v>
      </c>
      <c r="K413" s="226"/>
      <c r="L413" s="345">
        <v>245100</v>
      </c>
      <c r="M413" s="346">
        <v>0</v>
      </c>
      <c r="N413" s="226"/>
      <c r="O413" s="232"/>
      <c r="P413" s="232"/>
      <c r="Q413" s="232"/>
      <c r="R413" s="232"/>
      <c r="S413" s="414"/>
      <c r="T413" s="415"/>
      <c r="U413" s="414"/>
      <c r="V413" s="414"/>
      <c r="W413" s="414"/>
      <c r="X413" s="414"/>
      <c r="Y413" s="414"/>
      <c r="Z413" s="416"/>
      <c r="AA413" s="416"/>
      <c r="AB413" s="414"/>
      <c r="AC413" s="414"/>
      <c r="AD413" s="416"/>
      <c r="AE413" s="414"/>
      <c r="AF413" s="233"/>
    </row>
    <row r="414" spans="1:32">
      <c r="A414" s="225">
        <f t="shared" si="6"/>
        <v>405</v>
      </c>
      <c r="B414" s="227" t="s">
        <v>1514</v>
      </c>
      <c r="C414" s="227" t="s">
        <v>2124</v>
      </c>
      <c r="D414" s="228" t="s">
        <v>2125</v>
      </c>
      <c r="E414" s="363" t="s">
        <v>2126</v>
      </c>
      <c r="F414" s="342">
        <v>45348</v>
      </c>
      <c r="G414" s="230"/>
      <c r="H414" s="231"/>
      <c r="I414" s="231">
        <v>5949500</v>
      </c>
      <c r="J414" s="226" t="s">
        <v>2388</v>
      </c>
      <c r="K414" s="226"/>
      <c r="L414" s="345">
        <v>5949500</v>
      </c>
      <c r="M414" s="346">
        <v>0</v>
      </c>
      <c r="N414" s="226"/>
      <c r="O414" s="232"/>
      <c r="P414" s="232"/>
      <c r="Q414" s="232"/>
      <c r="R414" s="232"/>
      <c r="S414" s="414"/>
      <c r="T414" s="415"/>
      <c r="U414" s="414"/>
      <c r="V414" s="414"/>
      <c r="W414" s="414"/>
      <c r="X414" s="414"/>
      <c r="Y414" s="414"/>
      <c r="Z414" s="416"/>
      <c r="AA414" s="416"/>
      <c r="AB414" s="414"/>
      <c r="AC414" s="414"/>
      <c r="AD414" s="416"/>
      <c r="AE414" s="414"/>
      <c r="AF414" s="233"/>
    </row>
    <row r="415" spans="1:32">
      <c r="A415" s="225">
        <f t="shared" si="6"/>
        <v>406</v>
      </c>
      <c r="B415" s="227" t="s">
        <v>1303</v>
      </c>
      <c r="C415" s="227" t="s">
        <v>1850</v>
      </c>
      <c r="D415" s="228" t="s">
        <v>1851</v>
      </c>
      <c r="E415" s="363">
        <v>2211000126</v>
      </c>
      <c r="F415" s="342">
        <v>45324</v>
      </c>
      <c r="G415" s="230"/>
      <c r="H415" s="231"/>
      <c r="I415" s="231">
        <v>19015</v>
      </c>
      <c r="J415" s="226" t="s">
        <v>2388</v>
      </c>
      <c r="K415" s="226"/>
      <c r="L415" s="345">
        <v>19015</v>
      </c>
      <c r="M415" s="346">
        <v>0</v>
      </c>
      <c r="N415" s="226"/>
      <c r="O415" s="232"/>
      <c r="P415" s="232"/>
      <c r="Q415" s="232"/>
      <c r="R415" s="232"/>
      <c r="S415" s="414"/>
      <c r="T415" s="415"/>
      <c r="U415" s="414"/>
      <c r="V415" s="414"/>
      <c r="W415" s="414"/>
      <c r="X415" s="414"/>
      <c r="Y415" s="414"/>
      <c r="Z415" s="416"/>
      <c r="AA415" s="416"/>
      <c r="AB415" s="414"/>
      <c r="AC415" s="414"/>
      <c r="AD415" s="416"/>
      <c r="AE415" s="414"/>
      <c r="AF415" s="233"/>
    </row>
    <row r="416" spans="1:32">
      <c r="A416" s="225">
        <f t="shared" si="6"/>
        <v>407</v>
      </c>
      <c r="B416" s="227" t="s">
        <v>1303</v>
      </c>
      <c r="C416" s="227" t="s">
        <v>1850</v>
      </c>
      <c r="D416" s="228" t="s">
        <v>1851</v>
      </c>
      <c r="E416" s="363">
        <v>2211000125</v>
      </c>
      <c r="F416" s="342">
        <v>45324</v>
      </c>
      <c r="G416" s="230"/>
      <c r="H416" s="231"/>
      <c r="I416" s="231">
        <v>333421</v>
      </c>
      <c r="J416" s="226" t="s">
        <v>2388</v>
      </c>
      <c r="K416" s="226"/>
      <c r="L416" s="345">
        <v>333421</v>
      </c>
      <c r="M416" s="346">
        <v>0</v>
      </c>
      <c r="N416" s="226"/>
      <c r="O416" s="232"/>
      <c r="P416" s="232"/>
      <c r="Q416" s="232"/>
      <c r="R416" s="232"/>
      <c r="S416" s="414"/>
      <c r="T416" s="415"/>
      <c r="U416" s="414"/>
      <c r="V416" s="414"/>
      <c r="W416" s="414"/>
      <c r="X416" s="414"/>
      <c r="Y416" s="414"/>
      <c r="Z416" s="416"/>
      <c r="AA416" s="416"/>
      <c r="AB416" s="414"/>
      <c r="AC416" s="414"/>
      <c r="AD416" s="416"/>
      <c r="AE416" s="414"/>
      <c r="AF416" s="233"/>
    </row>
    <row r="417" spans="1:32">
      <c r="A417" s="225">
        <f t="shared" si="6"/>
        <v>408</v>
      </c>
      <c r="B417" s="227" t="s">
        <v>1254</v>
      </c>
      <c r="C417" s="227" t="s">
        <v>1771</v>
      </c>
      <c r="D417" s="228" t="s">
        <v>1772</v>
      </c>
      <c r="E417" s="363" t="s">
        <v>2127</v>
      </c>
      <c r="F417" s="342">
        <v>45380</v>
      </c>
      <c r="G417" s="230"/>
      <c r="H417" s="231"/>
      <c r="I417" s="231">
        <v>86639</v>
      </c>
      <c r="J417" s="226" t="s">
        <v>2388</v>
      </c>
      <c r="K417" s="226"/>
      <c r="L417" s="345">
        <v>86639</v>
      </c>
      <c r="M417" s="346">
        <v>0</v>
      </c>
      <c r="N417" s="226"/>
      <c r="O417" s="232"/>
      <c r="P417" s="232"/>
      <c r="Q417" s="232"/>
      <c r="R417" s="232"/>
      <c r="S417" s="414"/>
      <c r="T417" s="415"/>
      <c r="U417" s="414"/>
      <c r="V417" s="414"/>
      <c r="W417" s="414"/>
      <c r="X417" s="414"/>
      <c r="Y417" s="414"/>
      <c r="Z417" s="416"/>
      <c r="AA417" s="416"/>
      <c r="AB417" s="414"/>
      <c r="AC417" s="414"/>
      <c r="AD417" s="416"/>
      <c r="AE417" s="414"/>
      <c r="AF417" s="233"/>
    </row>
    <row r="418" spans="1:32">
      <c r="A418" s="225">
        <f t="shared" si="6"/>
        <v>409</v>
      </c>
      <c r="B418" s="227" t="s">
        <v>1515</v>
      </c>
      <c r="C418" s="227" t="s">
        <v>2067</v>
      </c>
      <c r="D418" s="228" t="s">
        <v>2068</v>
      </c>
      <c r="E418" s="363" t="s">
        <v>2128</v>
      </c>
      <c r="F418" s="342">
        <v>45366</v>
      </c>
      <c r="G418" s="230"/>
      <c r="H418" s="231"/>
      <c r="I418" s="231">
        <v>469973</v>
      </c>
      <c r="J418" s="226" t="s">
        <v>2388</v>
      </c>
      <c r="K418" s="226"/>
      <c r="L418" s="345">
        <v>469973</v>
      </c>
      <c r="M418" s="346">
        <v>0</v>
      </c>
      <c r="N418" s="226"/>
      <c r="O418" s="232"/>
      <c r="P418" s="232"/>
      <c r="Q418" s="232"/>
      <c r="R418" s="232"/>
      <c r="S418" s="414"/>
      <c r="T418" s="415"/>
      <c r="U418" s="414"/>
      <c r="V418" s="414"/>
      <c r="W418" s="414"/>
      <c r="X418" s="414"/>
      <c r="Y418" s="414"/>
      <c r="Z418" s="416"/>
      <c r="AA418" s="416"/>
      <c r="AB418" s="414"/>
      <c r="AC418" s="414"/>
      <c r="AD418" s="416"/>
      <c r="AE418" s="414"/>
      <c r="AF418" s="233"/>
    </row>
    <row r="419" spans="1:32">
      <c r="A419" s="225">
        <f t="shared" si="6"/>
        <v>410</v>
      </c>
      <c r="B419" s="227" t="s">
        <v>1387</v>
      </c>
      <c r="C419" s="227" t="s">
        <v>1789</v>
      </c>
      <c r="D419" s="228" t="s">
        <v>1790</v>
      </c>
      <c r="E419" s="363" t="s">
        <v>2129</v>
      </c>
      <c r="F419" s="342">
        <v>45381</v>
      </c>
      <c r="G419" s="230"/>
      <c r="H419" s="231"/>
      <c r="I419" s="231">
        <v>28287</v>
      </c>
      <c r="J419" s="226" t="s">
        <v>2388</v>
      </c>
      <c r="K419" s="226"/>
      <c r="L419" s="345">
        <v>28287</v>
      </c>
      <c r="M419" s="346">
        <v>0</v>
      </c>
      <c r="N419" s="226" t="s">
        <v>2395</v>
      </c>
      <c r="O419" s="232"/>
      <c r="P419" s="232"/>
      <c r="Q419" s="232"/>
      <c r="R419" s="232"/>
      <c r="S419" s="414"/>
      <c r="T419" s="415"/>
      <c r="U419" s="414"/>
      <c r="V419" s="414"/>
      <c r="W419" s="414"/>
      <c r="X419" s="414"/>
      <c r="Y419" s="414"/>
      <c r="Z419" s="416"/>
      <c r="AA419" s="416"/>
      <c r="AB419" s="414"/>
      <c r="AC419" s="414"/>
      <c r="AD419" s="416"/>
      <c r="AE419" s="414"/>
      <c r="AF419" s="233"/>
    </row>
    <row r="420" spans="1:32">
      <c r="A420" s="225">
        <f t="shared" si="6"/>
        <v>411</v>
      </c>
      <c r="B420" s="227" t="s">
        <v>1516</v>
      </c>
      <c r="C420" s="227" t="s">
        <v>2067</v>
      </c>
      <c r="D420" s="228" t="s">
        <v>2068</v>
      </c>
      <c r="E420" s="363" t="s">
        <v>2130</v>
      </c>
      <c r="F420" s="342">
        <v>45366</v>
      </c>
      <c r="G420" s="230"/>
      <c r="H420" s="231"/>
      <c r="I420" s="231">
        <v>455400</v>
      </c>
      <c r="J420" s="226" t="s">
        <v>2388</v>
      </c>
      <c r="K420" s="226"/>
      <c r="L420" s="345">
        <v>455400</v>
      </c>
      <c r="M420" s="346">
        <v>0</v>
      </c>
      <c r="N420" s="226"/>
      <c r="O420" s="232"/>
      <c r="P420" s="232"/>
      <c r="Q420" s="232"/>
      <c r="R420" s="232"/>
      <c r="S420" s="414"/>
      <c r="T420" s="415"/>
      <c r="U420" s="414"/>
      <c r="V420" s="414"/>
      <c r="W420" s="414"/>
      <c r="X420" s="414"/>
      <c r="Y420" s="414"/>
      <c r="Z420" s="416"/>
      <c r="AA420" s="416"/>
      <c r="AB420" s="414"/>
      <c r="AC420" s="414"/>
      <c r="AD420" s="416"/>
      <c r="AE420" s="414"/>
      <c r="AF420" s="233"/>
    </row>
    <row r="421" spans="1:32">
      <c r="A421" s="225">
        <f t="shared" si="6"/>
        <v>412</v>
      </c>
      <c r="B421" s="227" t="s">
        <v>1517</v>
      </c>
      <c r="C421" s="227" t="s">
        <v>1789</v>
      </c>
      <c r="D421" s="228" t="s">
        <v>1790</v>
      </c>
      <c r="E421" s="363" t="s">
        <v>2131</v>
      </c>
      <c r="F421" s="342">
        <v>45381</v>
      </c>
      <c r="G421" s="230"/>
      <c r="H421" s="231"/>
      <c r="I421" s="231">
        <v>28287</v>
      </c>
      <c r="J421" s="226" t="s">
        <v>2388</v>
      </c>
      <c r="K421" s="226"/>
      <c r="L421" s="345">
        <v>28287</v>
      </c>
      <c r="M421" s="346">
        <v>0</v>
      </c>
      <c r="N421" s="226" t="s">
        <v>2395</v>
      </c>
      <c r="O421" s="232"/>
      <c r="P421" s="232"/>
      <c r="Q421" s="232"/>
      <c r="R421" s="232"/>
      <c r="S421" s="414"/>
      <c r="T421" s="415"/>
      <c r="U421" s="414"/>
      <c r="V421" s="414"/>
      <c r="W421" s="414"/>
      <c r="X421" s="414"/>
      <c r="Y421" s="414"/>
      <c r="Z421" s="416"/>
      <c r="AA421" s="416"/>
      <c r="AB421" s="414"/>
      <c r="AC421" s="414"/>
      <c r="AD421" s="416"/>
      <c r="AE421" s="414"/>
      <c r="AF421" s="233"/>
    </row>
    <row r="422" spans="1:32">
      <c r="A422" s="225">
        <f t="shared" si="6"/>
        <v>413</v>
      </c>
      <c r="B422" s="227" t="s">
        <v>1518</v>
      </c>
      <c r="C422" s="227" t="s">
        <v>2067</v>
      </c>
      <c r="D422" s="228" t="s">
        <v>2068</v>
      </c>
      <c r="E422" s="363" t="s">
        <v>2132</v>
      </c>
      <c r="F422" s="342">
        <v>45366</v>
      </c>
      <c r="G422" s="230"/>
      <c r="H422" s="231"/>
      <c r="I422" s="231">
        <v>465925</v>
      </c>
      <c r="J422" s="226" t="s">
        <v>2388</v>
      </c>
      <c r="K422" s="226"/>
      <c r="L422" s="345">
        <v>465925</v>
      </c>
      <c r="M422" s="346">
        <v>0</v>
      </c>
      <c r="N422" s="226"/>
      <c r="O422" s="232"/>
      <c r="P422" s="232"/>
      <c r="Q422" s="232"/>
      <c r="R422" s="232"/>
      <c r="S422" s="414"/>
      <c r="T422" s="415"/>
      <c r="U422" s="414"/>
      <c r="V422" s="414"/>
      <c r="W422" s="414"/>
      <c r="X422" s="414"/>
      <c r="Y422" s="414"/>
      <c r="Z422" s="416"/>
      <c r="AA422" s="416"/>
      <c r="AB422" s="414"/>
      <c r="AC422" s="414"/>
      <c r="AD422" s="416"/>
      <c r="AE422" s="414"/>
      <c r="AF422" s="233"/>
    </row>
    <row r="423" spans="1:32">
      <c r="A423" s="225">
        <f t="shared" si="6"/>
        <v>414</v>
      </c>
      <c r="B423" s="227" t="s">
        <v>1519</v>
      </c>
      <c r="C423" s="227" t="s">
        <v>1789</v>
      </c>
      <c r="D423" s="228" t="s">
        <v>1790</v>
      </c>
      <c r="E423" s="363" t="s">
        <v>2133</v>
      </c>
      <c r="F423" s="342">
        <v>45374</v>
      </c>
      <c r="G423" s="230"/>
      <c r="H423" s="231"/>
      <c r="I423" s="231">
        <v>28336</v>
      </c>
      <c r="J423" s="226" t="s">
        <v>2388</v>
      </c>
      <c r="K423" s="226"/>
      <c r="L423" s="345">
        <v>28336</v>
      </c>
      <c r="M423" s="346">
        <v>0</v>
      </c>
      <c r="N423" s="226" t="s">
        <v>2395</v>
      </c>
      <c r="O423" s="232"/>
      <c r="P423" s="232"/>
      <c r="Q423" s="232"/>
      <c r="R423" s="232"/>
      <c r="S423" s="414"/>
      <c r="T423" s="415"/>
      <c r="U423" s="414"/>
      <c r="V423" s="414"/>
      <c r="W423" s="414"/>
      <c r="X423" s="414"/>
      <c r="Y423" s="414"/>
      <c r="Z423" s="416"/>
      <c r="AA423" s="416"/>
      <c r="AB423" s="414"/>
      <c r="AC423" s="414"/>
      <c r="AD423" s="416"/>
      <c r="AE423" s="414"/>
      <c r="AF423" s="233"/>
    </row>
    <row r="424" spans="1:32">
      <c r="A424" s="225">
        <f t="shared" si="6"/>
        <v>415</v>
      </c>
      <c r="B424" s="227" t="s">
        <v>1520</v>
      </c>
      <c r="C424" s="227" t="s">
        <v>2067</v>
      </c>
      <c r="D424" s="228" t="s">
        <v>2068</v>
      </c>
      <c r="E424" s="363" t="s">
        <v>2134</v>
      </c>
      <c r="F424" s="342">
        <v>45366</v>
      </c>
      <c r="G424" s="230"/>
      <c r="H424" s="231"/>
      <c r="I424" s="231">
        <v>506405</v>
      </c>
      <c r="J424" s="226" t="s">
        <v>2388</v>
      </c>
      <c r="K424" s="226"/>
      <c r="L424" s="345">
        <v>506405</v>
      </c>
      <c r="M424" s="346">
        <v>0</v>
      </c>
      <c r="N424" s="226"/>
      <c r="O424" s="232"/>
      <c r="P424" s="232"/>
      <c r="Q424" s="232"/>
      <c r="R424" s="232"/>
      <c r="S424" s="414"/>
      <c r="T424" s="415"/>
      <c r="U424" s="414"/>
      <c r="V424" s="414"/>
      <c r="W424" s="414"/>
      <c r="X424" s="414"/>
      <c r="Y424" s="414"/>
      <c r="Z424" s="416"/>
      <c r="AA424" s="416"/>
      <c r="AB424" s="414"/>
      <c r="AC424" s="414"/>
      <c r="AD424" s="416"/>
      <c r="AE424" s="414"/>
      <c r="AF424" s="233"/>
    </row>
    <row r="425" spans="1:32">
      <c r="A425" s="225">
        <f t="shared" si="6"/>
        <v>416</v>
      </c>
      <c r="B425" s="227" t="s">
        <v>1521</v>
      </c>
      <c r="C425" s="227" t="s">
        <v>1789</v>
      </c>
      <c r="D425" s="228" t="s">
        <v>1790</v>
      </c>
      <c r="E425" s="363" t="s">
        <v>2135</v>
      </c>
      <c r="F425" s="342">
        <v>45369</v>
      </c>
      <c r="G425" s="230"/>
      <c r="H425" s="231"/>
      <c r="I425" s="231">
        <v>28399</v>
      </c>
      <c r="J425" s="226" t="s">
        <v>2388</v>
      </c>
      <c r="K425" s="226"/>
      <c r="L425" s="345">
        <v>28399</v>
      </c>
      <c r="M425" s="346">
        <v>0</v>
      </c>
      <c r="N425" s="226" t="s">
        <v>2395</v>
      </c>
      <c r="O425" s="232"/>
      <c r="P425" s="232"/>
      <c r="Q425" s="232"/>
      <c r="R425" s="232"/>
      <c r="S425" s="414"/>
      <c r="T425" s="415"/>
      <c r="U425" s="414"/>
      <c r="V425" s="414"/>
      <c r="W425" s="414"/>
      <c r="X425" s="414"/>
      <c r="Y425" s="414"/>
      <c r="Z425" s="416"/>
      <c r="AA425" s="416"/>
      <c r="AB425" s="414"/>
      <c r="AC425" s="414"/>
      <c r="AD425" s="416"/>
      <c r="AE425" s="414"/>
      <c r="AF425" s="233"/>
    </row>
    <row r="426" spans="1:32">
      <c r="A426" s="225">
        <f t="shared" si="6"/>
        <v>417</v>
      </c>
      <c r="B426" s="227" t="s">
        <v>1522</v>
      </c>
      <c r="C426" s="227" t="s">
        <v>2067</v>
      </c>
      <c r="D426" s="228" t="s">
        <v>2068</v>
      </c>
      <c r="E426" s="363" t="s">
        <v>2136</v>
      </c>
      <c r="F426" s="342">
        <v>45366</v>
      </c>
      <c r="G426" s="230"/>
      <c r="H426" s="231"/>
      <c r="I426" s="231">
        <v>516525</v>
      </c>
      <c r="J426" s="226" t="s">
        <v>2388</v>
      </c>
      <c r="K426" s="226"/>
      <c r="L426" s="345">
        <v>516525</v>
      </c>
      <c r="M426" s="346">
        <v>0</v>
      </c>
      <c r="N426" s="226"/>
      <c r="O426" s="232"/>
      <c r="P426" s="232"/>
      <c r="Q426" s="232"/>
      <c r="R426" s="232"/>
      <c r="S426" s="414"/>
      <c r="T426" s="415"/>
      <c r="U426" s="414"/>
      <c r="V426" s="414"/>
      <c r="W426" s="414"/>
      <c r="X426" s="414"/>
      <c r="Y426" s="414"/>
      <c r="Z426" s="416"/>
      <c r="AA426" s="416"/>
      <c r="AB426" s="414"/>
      <c r="AC426" s="414"/>
      <c r="AD426" s="416"/>
      <c r="AE426" s="414"/>
      <c r="AF426" s="233"/>
    </row>
    <row r="427" spans="1:32">
      <c r="A427" s="225">
        <f t="shared" si="6"/>
        <v>418</v>
      </c>
      <c r="B427" s="227" t="s">
        <v>1523</v>
      </c>
      <c r="C427" s="227" t="s">
        <v>1789</v>
      </c>
      <c r="D427" s="228" t="s">
        <v>1790</v>
      </c>
      <c r="E427" s="363" t="s">
        <v>2137</v>
      </c>
      <c r="F427" s="342">
        <v>45362</v>
      </c>
      <c r="G427" s="230"/>
      <c r="H427" s="231"/>
      <c r="I427" s="231">
        <v>28385</v>
      </c>
      <c r="J427" s="226" t="s">
        <v>2388</v>
      </c>
      <c r="K427" s="226"/>
      <c r="L427" s="345">
        <v>28385</v>
      </c>
      <c r="M427" s="346">
        <v>0</v>
      </c>
      <c r="N427" s="226" t="s">
        <v>2395</v>
      </c>
      <c r="O427" s="232"/>
      <c r="P427" s="232"/>
      <c r="Q427" s="232"/>
      <c r="R427" s="232"/>
      <c r="S427" s="414"/>
      <c r="T427" s="415"/>
      <c r="U427" s="414"/>
      <c r="V427" s="414"/>
      <c r="W427" s="414"/>
      <c r="X427" s="414"/>
      <c r="Y427" s="414"/>
      <c r="Z427" s="416"/>
      <c r="AA427" s="416"/>
      <c r="AB427" s="414"/>
      <c r="AC427" s="414"/>
      <c r="AD427" s="416"/>
      <c r="AE427" s="414"/>
      <c r="AF427" s="233"/>
    </row>
    <row r="428" spans="1:32">
      <c r="A428" s="225">
        <f t="shared" si="6"/>
        <v>419</v>
      </c>
      <c r="B428" s="227" t="s">
        <v>1524</v>
      </c>
      <c r="C428" s="227" t="s">
        <v>2067</v>
      </c>
      <c r="D428" s="228" t="s">
        <v>2068</v>
      </c>
      <c r="E428" s="363" t="s">
        <v>2138</v>
      </c>
      <c r="F428" s="342">
        <v>45366</v>
      </c>
      <c r="G428" s="230"/>
      <c r="H428" s="231"/>
      <c r="I428" s="231">
        <v>447709</v>
      </c>
      <c r="J428" s="226" t="s">
        <v>2388</v>
      </c>
      <c r="K428" s="226"/>
      <c r="L428" s="345">
        <v>447709</v>
      </c>
      <c r="M428" s="346">
        <v>0</v>
      </c>
      <c r="N428" s="226"/>
      <c r="O428" s="232"/>
      <c r="P428" s="232"/>
      <c r="Q428" s="232"/>
      <c r="R428" s="232"/>
      <c r="S428" s="414"/>
      <c r="T428" s="415"/>
      <c r="U428" s="414"/>
      <c r="V428" s="414"/>
      <c r="W428" s="414"/>
      <c r="X428" s="414"/>
      <c r="Y428" s="414"/>
      <c r="Z428" s="416"/>
      <c r="AA428" s="416"/>
      <c r="AB428" s="414"/>
      <c r="AC428" s="414"/>
      <c r="AD428" s="416"/>
      <c r="AE428" s="414"/>
      <c r="AF428" s="233"/>
    </row>
    <row r="429" spans="1:32">
      <c r="A429" s="225">
        <f t="shared" si="6"/>
        <v>420</v>
      </c>
      <c r="B429" s="227" t="s">
        <v>1525</v>
      </c>
      <c r="C429" s="227" t="s">
        <v>1789</v>
      </c>
      <c r="D429" s="228" t="s">
        <v>1790</v>
      </c>
      <c r="E429" s="363" t="s">
        <v>2139</v>
      </c>
      <c r="F429" s="342">
        <v>45353</v>
      </c>
      <c r="G429" s="230"/>
      <c r="H429" s="231"/>
      <c r="I429" s="231">
        <v>18708</v>
      </c>
      <c r="J429" s="226" t="s">
        <v>2388</v>
      </c>
      <c r="K429" s="226"/>
      <c r="L429" s="345">
        <v>18708</v>
      </c>
      <c r="M429" s="346">
        <v>0</v>
      </c>
      <c r="N429" s="226" t="s">
        <v>2395</v>
      </c>
      <c r="O429" s="232"/>
      <c r="P429" s="232"/>
      <c r="Q429" s="232"/>
      <c r="R429" s="232"/>
      <c r="S429" s="414"/>
      <c r="T429" s="415"/>
      <c r="U429" s="414"/>
      <c r="V429" s="414"/>
      <c r="W429" s="414"/>
      <c r="X429" s="414"/>
      <c r="Y429" s="414"/>
      <c r="Z429" s="416"/>
      <c r="AA429" s="416"/>
      <c r="AB429" s="414"/>
      <c r="AC429" s="414"/>
      <c r="AD429" s="416"/>
      <c r="AE429" s="414"/>
      <c r="AF429" s="233"/>
    </row>
    <row r="430" spans="1:32">
      <c r="A430" s="225">
        <f t="shared" si="6"/>
        <v>421</v>
      </c>
      <c r="B430" s="227" t="s">
        <v>1526</v>
      </c>
      <c r="C430" s="227" t="s">
        <v>1789</v>
      </c>
      <c r="D430" s="228" t="s">
        <v>1790</v>
      </c>
      <c r="E430" s="363" t="s">
        <v>2140</v>
      </c>
      <c r="F430" s="342">
        <v>45371</v>
      </c>
      <c r="G430" s="230"/>
      <c r="H430" s="231"/>
      <c r="I430" s="231">
        <v>28336</v>
      </c>
      <c r="J430" s="226" t="s">
        <v>2388</v>
      </c>
      <c r="K430" s="226"/>
      <c r="L430" s="345">
        <v>28336</v>
      </c>
      <c r="M430" s="346">
        <v>0</v>
      </c>
      <c r="N430" s="226" t="s">
        <v>2395</v>
      </c>
      <c r="O430" s="232"/>
      <c r="P430" s="232"/>
      <c r="Q430" s="232"/>
      <c r="R430" s="232"/>
      <c r="S430" s="414"/>
      <c r="T430" s="415"/>
      <c r="U430" s="414"/>
      <c r="V430" s="414"/>
      <c r="W430" s="414"/>
      <c r="X430" s="414"/>
      <c r="Y430" s="414"/>
      <c r="Z430" s="416"/>
      <c r="AA430" s="416"/>
      <c r="AB430" s="414"/>
      <c r="AC430" s="414"/>
      <c r="AD430" s="416"/>
      <c r="AE430" s="414"/>
      <c r="AF430" s="233"/>
    </row>
    <row r="431" spans="1:32">
      <c r="A431" s="225">
        <f t="shared" si="6"/>
        <v>422</v>
      </c>
      <c r="B431" s="227" t="s">
        <v>1527</v>
      </c>
      <c r="C431" s="227" t="s">
        <v>2067</v>
      </c>
      <c r="D431" s="228" t="s">
        <v>2068</v>
      </c>
      <c r="E431" s="363" t="s">
        <v>2141</v>
      </c>
      <c r="F431" s="342">
        <v>45366</v>
      </c>
      <c r="G431" s="230"/>
      <c r="H431" s="231"/>
      <c r="I431" s="231">
        <v>552147</v>
      </c>
      <c r="J431" s="226" t="s">
        <v>2388</v>
      </c>
      <c r="K431" s="226"/>
      <c r="L431" s="345">
        <v>552147</v>
      </c>
      <c r="M431" s="346">
        <v>0</v>
      </c>
      <c r="N431" s="226"/>
      <c r="O431" s="232"/>
      <c r="P431" s="232"/>
      <c r="Q431" s="232"/>
      <c r="R431" s="232"/>
      <c r="S431" s="414"/>
      <c r="T431" s="415"/>
      <c r="U431" s="414"/>
      <c r="V431" s="414"/>
      <c r="W431" s="414"/>
      <c r="X431" s="414"/>
      <c r="Y431" s="414"/>
      <c r="Z431" s="416"/>
      <c r="AA431" s="416"/>
      <c r="AB431" s="414"/>
      <c r="AC431" s="414"/>
      <c r="AD431" s="416"/>
      <c r="AE431" s="414"/>
      <c r="AF431" s="233"/>
    </row>
    <row r="432" spans="1:32">
      <c r="A432" s="225">
        <f t="shared" si="6"/>
        <v>423</v>
      </c>
      <c r="B432" s="227" t="s">
        <v>1528</v>
      </c>
      <c r="C432" s="227" t="s">
        <v>2067</v>
      </c>
      <c r="D432" s="228" t="s">
        <v>2068</v>
      </c>
      <c r="E432" s="363" t="s">
        <v>2142</v>
      </c>
      <c r="F432" s="342">
        <v>45366</v>
      </c>
      <c r="G432" s="230"/>
      <c r="H432" s="231"/>
      <c r="I432" s="231">
        <v>1027382</v>
      </c>
      <c r="J432" s="226" t="s">
        <v>2388</v>
      </c>
      <c r="K432" s="226"/>
      <c r="L432" s="345">
        <v>1027382</v>
      </c>
      <c r="M432" s="346">
        <v>0</v>
      </c>
      <c r="N432" s="226"/>
      <c r="O432" s="232"/>
      <c r="P432" s="232"/>
      <c r="Q432" s="232"/>
      <c r="R432" s="232"/>
      <c r="S432" s="414"/>
      <c r="T432" s="415"/>
      <c r="U432" s="414"/>
      <c r="V432" s="414"/>
      <c r="W432" s="414"/>
      <c r="X432" s="414"/>
      <c r="Y432" s="414"/>
      <c r="Z432" s="416"/>
      <c r="AA432" s="416"/>
      <c r="AB432" s="414"/>
      <c r="AC432" s="414"/>
      <c r="AD432" s="416"/>
      <c r="AE432" s="414"/>
      <c r="AF432" s="233"/>
    </row>
    <row r="433" spans="1:40">
      <c r="A433" s="225">
        <f t="shared" si="6"/>
        <v>424</v>
      </c>
      <c r="B433" s="227" t="s">
        <v>1529</v>
      </c>
      <c r="C433" s="227" t="s">
        <v>1789</v>
      </c>
      <c r="D433" s="228" t="s">
        <v>1790</v>
      </c>
      <c r="E433" s="363" t="s">
        <v>2143</v>
      </c>
      <c r="F433" s="342">
        <v>45355</v>
      </c>
      <c r="G433" s="230"/>
      <c r="H433" s="231"/>
      <c r="I433" s="231">
        <v>56938</v>
      </c>
      <c r="J433" s="226" t="s">
        <v>2388</v>
      </c>
      <c r="K433" s="226"/>
      <c r="L433" s="345">
        <v>56938</v>
      </c>
      <c r="M433" s="346">
        <v>0</v>
      </c>
      <c r="N433" s="226" t="s">
        <v>2395</v>
      </c>
      <c r="O433" s="232"/>
      <c r="P433" s="232"/>
      <c r="Q433" s="232"/>
      <c r="R433" s="232"/>
      <c r="S433" s="414"/>
      <c r="T433" s="415"/>
      <c r="U433" s="414"/>
      <c r="V433" s="414"/>
      <c r="W433" s="414"/>
      <c r="X433" s="414"/>
      <c r="Y433" s="414"/>
      <c r="Z433" s="416"/>
      <c r="AA433" s="416"/>
      <c r="AB433" s="414"/>
      <c r="AC433" s="414"/>
      <c r="AD433" s="416"/>
      <c r="AE433" s="414"/>
      <c r="AF433" s="233"/>
    </row>
    <row r="434" spans="1:40">
      <c r="A434" s="225">
        <f t="shared" si="6"/>
        <v>425</v>
      </c>
      <c r="B434" s="227" t="s">
        <v>1530</v>
      </c>
      <c r="C434" s="227" t="s">
        <v>2120</v>
      </c>
      <c r="D434" s="228" t="s">
        <v>2121</v>
      </c>
      <c r="E434" s="363">
        <v>46</v>
      </c>
      <c r="F434" s="342">
        <v>45369</v>
      </c>
      <c r="G434" s="230"/>
      <c r="H434" s="231"/>
      <c r="I434" s="231">
        <v>449110</v>
      </c>
      <c r="J434" s="226" t="s">
        <v>2388</v>
      </c>
      <c r="K434" s="226"/>
      <c r="L434" s="345">
        <v>449110</v>
      </c>
      <c r="M434" s="346">
        <v>0</v>
      </c>
      <c r="N434" s="226" t="s">
        <v>2407</v>
      </c>
      <c r="O434" s="232"/>
      <c r="P434" s="232"/>
      <c r="Q434" s="232"/>
      <c r="R434" s="232"/>
      <c r="S434" s="414"/>
      <c r="T434" s="415"/>
      <c r="U434" s="414"/>
      <c r="V434" s="414"/>
      <c r="W434" s="414"/>
      <c r="X434" s="414"/>
      <c r="Y434" s="414"/>
      <c r="Z434" s="416"/>
      <c r="AA434" s="416"/>
      <c r="AB434" s="414"/>
      <c r="AC434" s="414"/>
      <c r="AD434" s="416"/>
      <c r="AE434" s="414"/>
      <c r="AF434" s="233"/>
    </row>
    <row r="435" spans="1:40">
      <c r="A435" s="225">
        <f t="shared" si="6"/>
        <v>426</v>
      </c>
      <c r="B435" s="227" t="s">
        <v>1531</v>
      </c>
      <c r="C435" s="227" t="s">
        <v>1789</v>
      </c>
      <c r="D435" s="228" t="s">
        <v>1790</v>
      </c>
      <c r="E435" s="363" t="s">
        <v>2144</v>
      </c>
      <c r="F435" s="342">
        <v>45352</v>
      </c>
      <c r="G435" s="230"/>
      <c r="H435" s="231"/>
      <c r="I435" s="231">
        <v>18708</v>
      </c>
      <c r="J435" s="226" t="s">
        <v>2388</v>
      </c>
      <c r="K435" s="226"/>
      <c r="L435" s="345">
        <v>18708</v>
      </c>
      <c r="M435" s="346">
        <v>0</v>
      </c>
      <c r="N435" s="226" t="s">
        <v>2395</v>
      </c>
      <c r="O435" s="232"/>
      <c r="P435" s="232"/>
      <c r="Q435" s="232"/>
      <c r="R435" s="232"/>
      <c r="S435" s="414"/>
      <c r="T435" s="415"/>
      <c r="U435" s="414"/>
      <c r="V435" s="414"/>
      <c r="W435" s="414"/>
      <c r="X435" s="414"/>
      <c r="Y435" s="414"/>
      <c r="Z435" s="416"/>
      <c r="AA435" s="416"/>
      <c r="AB435" s="414"/>
      <c r="AC435" s="414"/>
      <c r="AD435" s="416"/>
      <c r="AE435" s="414"/>
      <c r="AF435" s="233"/>
    </row>
    <row r="436" spans="1:40" ht="23.4" thickBot="1">
      <c r="A436" s="225">
        <f t="shared" si="6"/>
        <v>427</v>
      </c>
      <c r="B436" s="227" t="s">
        <v>1532</v>
      </c>
      <c r="C436" s="227" t="s">
        <v>1760</v>
      </c>
      <c r="D436" s="228" t="s">
        <v>1761</v>
      </c>
      <c r="E436" s="363" t="s">
        <v>2145</v>
      </c>
      <c r="F436" s="342">
        <v>45380</v>
      </c>
      <c r="G436" s="230"/>
      <c r="H436" s="231"/>
      <c r="I436" s="231">
        <v>1834614</v>
      </c>
      <c r="J436" s="226" t="s">
        <v>2388</v>
      </c>
      <c r="K436" s="226"/>
      <c r="L436" s="345">
        <v>1834614</v>
      </c>
      <c r="M436" s="346">
        <v>0</v>
      </c>
      <c r="N436" s="226"/>
      <c r="O436" s="232"/>
      <c r="P436" s="232"/>
      <c r="Q436" s="232"/>
      <c r="R436" s="232"/>
      <c r="S436" s="414"/>
      <c r="T436" s="415"/>
      <c r="U436" s="414"/>
      <c r="V436" s="414"/>
      <c r="W436" s="414"/>
      <c r="X436" s="414"/>
      <c r="Y436" s="414"/>
      <c r="Z436" s="416"/>
      <c r="AA436" s="416"/>
      <c r="AB436" s="414"/>
      <c r="AC436" s="414"/>
      <c r="AD436" s="416"/>
      <c r="AE436" s="414"/>
      <c r="AF436" s="233"/>
    </row>
    <row r="437" spans="1:40" ht="23.4" thickBot="1">
      <c r="A437" s="225">
        <f t="shared" si="6"/>
        <v>428</v>
      </c>
      <c r="B437" s="227" t="s">
        <v>1193</v>
      </c>
      <c r="C437" s="227" t="s">
        <v>1780</v>
      </c>
      <c r="D437" s="228" t="s">
        <v>1781</v>
      </c>
      <c r="E437" s="363">
        <v>8616</v>
      </c>
      <c r="F437" s="342">
        <v>45352</v>
      </c>
      <c r="G437" s="230"/>
      <c r="H437" s="231"/>
      <c r="I437" s="231">
        <v>6519</v>
      </c>
      <c r="J437" s="226" t="s">
        <v>2389</v>
      </c>
      <c r="K437" s="226"/>
      <c r="L437" s="345"/>
      <c r="M437" s="346">
        <v>6519</v>
      </c>
      <c r="N437" s="226"/>
      <c r="O437" s="232"/>
      <c r="P437" s="232"/>
      <c r="Q437" s="232"/>
      <c r="R437" s="232"/>
      <c r="S437" s="414"/>
      <c r="T437" s="421"/>
      <c r="U437" s="422"/>
      <c r="V437" s="422"/>
      <c r="W437" s="422"/>
      <c r="X437" s="423"/>
      <c r="Y437" s="424"/>
      <c r="Z437" s="425"/>
      <c r="AA437" s="425"/>
      <c r="AB437" s="425"/>
      <c r="AC437" s="426"/>
      <c r="AD437" s="425"/>
      <c r="AE437" s="425"/>
      <c r="AF437" s="425"/>
      <c r="AG437" s="425"/>
      <c r="AH437" s="425"/>
      <c r="AI437" s="425"/>
      <c r="AJ437" s="425"/>
      <c r="AK437" s="425"/>
      <c r="AL437" s="427"/>
      <c r="AM437" s="426"/>
      <c r="AN437" s="424"/>
    </row>
    <row r="438" spans="1:40" ht="23.4" thickBot="1">
      <c r="A438" s="225">
        <f t="shared" si="6"/>
        <v>429</v>
      </c>
      <c r="B438" s="227" t="s">
        <v>1533</v>
      </c>
      <c r="C438" s="227" t="s">
        <v>1774</v>
      </c>
      <c r="D438" s="228" t="s">
        <v>1775</v>
      </c>
      <c r="E438" s="363" t="s">
        <v>2146</v>
      </c>
      <c r="F438" s="342">
        <v>45379</v>
      </c>
      <c r="G438" s="230"/>
      <c r="H438" s="231"/>
      <c r="I438" s="231">
        <v>66693</v>
      </c>
      <c r="J438" s="226" t="s">
        <v>2388</v>
      </c>
      <c r="K438" s="226"/>
      <c r="L438" s="345">
        <v>66693</v>
      </c>
      <c r="M438" s="346">
        <v>0</v>
      </c>
      <c r="N438" s="226" t="s">
        <v>2394</v>
      </c>
      <c r="O438" s="232"/>
      <c r="P438" s="232"/>
      <c r="Q438" s="232"/>
      <c r="R438" s="232"/>
      <c r="S438" s="414"/>
      <c r="T438" s="421"/>
      <c r="U438" s="422"/>
      <c r="V438" s="422"/>
      <c r="W438" s="422"/>
      <c r="X438" s="423"/>
      <c r="Y438" s="424"/>
      <c r="Z438" s="425"/>
      <c r="AA438" s="425"/>
      <c r="AB438" s="425"/>
      <c r="AC438" s="426"/>
      <c r="AD438" s="425"/>
      <c r="AE438" s="425"/>
      <c r="AF438" s="425"/>
      <c r="AG438" s="425"/>
      <c r="AH438" s="425"/>
      <c r="AI438" s="425"/>
      <c r="AJ438" s="425"/>
      <c r="AK438" s="425"/>
      <c r="AL438" s="427"/>
      <c r="AM438" s="426"/>
      <c r="AN438" s="424"/>
    </row>
    <row r="439" spans="1:40">
      <c r="A439" s="225">
        <f t="shared" si="6"/>
        <v>430</v>
      </c>
      <c r="B439" s="227" t="s">
        <v>1534</v>
      </c>
      <c r="C439" s="227" t="s">
        <v>1869</v>
      </c>
      <c r="D439" s="228" t="s">
        <v>1870</v>
      </c>
      <c r="E439" s="363" t="s">
        <v>2147</v>
      </c>
      <c r="F439" s="342">
        <v>45379</v>
      </c>
      <c r="G439" s="230"/>
      <c r="H439" s="231"/>
      <c r="I439" s="231">
        <v>951891</v>
      </c>
      <c r="J439" s="226" t="s">
        <v>2388</v>
      </c>
      <c r="K439" s="226"/>
      <c r="L439" s="345">
        <v>951891</v>
      </c>
      <c r="M439" s="346">
        <v>0</v>
      </c>
      <c r="N439" s="226"/>
      <c r="O439" s="232"/>
      <c r="P439" s="232"/>
      <c r="Q439" s="232"/>
      <c r="R439" s="232"/>
      <c r="S439" s="414"/>
      <c r="T439" s="415"/>
      <c r="U439" s="414"/>
      <c r="V439" s="414"/>
      <c r="W439" s="414"/>
      <c r="X439" s="414"/>
      <c r="Y439" s="414"/>
      <c r="Z439" s="416"/>
      <c r="AA439" s="416"/>
      <c r="AB439" s="414"/>
      <c r="AC439" s="414"/>
      <c r="AD439" s="416"/>
      <c r="AE439" s="414"/>
      <c r="AF439" s="233"/>
    </row>
    <row r="440" spans="1:40">
      <c r="A440" s="225">
        <f t="shared" si="6"/>
        <v>431</v>
      </c>
      <c r="B440" s="227" t="s">
        <v>1535</v>
      </c>
      <c r="C440" s="227" t="s">
        <v>1766</v>
      </c>
      <c r="D440" s="228" t="s">
        <v>1767</v>
      </c>
      <c r="E440" s="363" t="s">
        <v>2148</v>
      </c>
      <c r="F440" s="342">
        <v>45378</v>
      </c>
      <c r="G440" s="230"/>
      <c r="H440" s="231"/>
      <c r="I440" s="231">
        <v>2829400</v>
      </c>
      <c r="J440" s="226" t="s">
        <v>2388</v>
      </c>
      <c r="K440" s="226"/>
      <c r="L440" s="345">
        <v>2829400</v>
      </c>
      <c r="M440" s="346">
        <v>0</v>
      </c>
      <c r="N440" s="226"/>
      <c r="O440" s="232"/>
      <c r="P440" s="232"/>
      <c r="Q440" s="232"/>
      <c r="R440" s="232"/>
      <c r="S440" s="414"/>
      <c r="T440" s="415"/>
      <c r="U440" s="414"/>
      <c r="V440" s="414"/>
      <c r="W440" s="414"/>
      <c r="X440" s="414"/>
      <c r="Y440" s="414"/>
      <c r="Z440" s="416"/>
      <c r="AA440" s="416"/>
      <c r="AB440" s="414"/>
      <c r="AC440" s="414"/>
      <c r="AD440" s="416"/>
      <c r="AE440" s="414"/>
      <c r="AF440" s="233"/>
    </row>
    <row r="441" spans="1:40">
      <c r="A441" s="225">
        <f t="shared" si="6"/>
        <v>432</v>
      </c>
      <c r="B441" s="227" t="s">
        <v>1536</v>
      </c>
      <c r="C441" s="227" t="s">
        <v>1923</v>
      </c>
      <c r="D441" s="228" t="s">
        <v>1924</v>
      </c>
      <c r="E441" s="363" t="s">
        <v>2149</v>
      </c>
      <c r="F441" s="342">
        <v>45376</v>
      </c>
      <c r="G441" s="230"/>
      <c r="H441" s="231"/>
      <c r="I441" s="231">
        <v>327645</v>
      </c>
      <c r="J441" s="226" t="s">
        <v>2388</v>
      </c>
      <c r="K441" s="226"/>
      <c r="L441" s="345">
        <v>327645</v>
      </c>
      <c r="M441" s="346">
        <v>0</v>
      </c>
      <c r="N441" s="226"/>
      <c r="O441" s="232"/>
      <c r="P441" s="232"/>
      <c r="Q441" s="232"/>
      <c r="R441" s="232"/>
      <c r="S441" s="414"/>
      <c r="T441" s="415"/>
      <c r="U441" s="414"/>
      <c r="V441" s="414"/>
      <c r="W441" s="414"/>
      <c r="X441" s="414"/>
      <c r="Y441" s="414"/>
      <c r="Z441" s="416"/>
      <c r="AA441" s="416"/>
      <c r="AB441" s="414"/>
      <c r="AC441" s="414"/>
      <c r="AD441" s="416"/>
      <c r="AE441" s="414"/>
      <c r="AF441" s="233"/>
    </row>
    <row r="442" spans="1:40">
      <c r="A442" s="225">
        <f t="shared" si="6"/>
        <v>433</v>
      </c>
      <c r="B442" s="227" t="s">
        <v>1537</v>
      </c>
      <c r="C442" s="227" t="s">
        <v>1776</v>
      </c>
      <c r="D442" s="228" t="s">
        <v>1777</v>
      </c>
      <c r="E442" s="363">
        <v>240599</v>
      </c>
      <c r="F442" s="342">
        <v>45366</v>
      </c>
      <c r="G442" s="230"/>
      <c r="H442" s="231"/>
      <c r="I442" s="231">
        <v>2428800</v>
      </c>
      <c r="J442" s="226" t="s">
        <v>2388</v>
      </c>
      <c r="K442" s="226"/>
      <c r="L442" s="345">
        <v>2428800</v>
      </c>
      <c r="M442" s="346">
        <v>0</v>
      </c>
      <c r="N442" s="226"/>
      <c r="O442" s="232"/>
      <c r="P442" s="232"/>
      <c r="Q442" s="232"/>
      <c r="R442" s="232"/>
      <c r="S442" s="414"/>
      <c r="T442" s="415"/>
      <c r="U442" s="414"/>
      <c r="V442" s="414"/>
      <c r="W442" s="414"/>
      <c r="X442" s="414"/>
      <c r="Y442" s="414"/>
      <c r="Z442" s="416"/>
      <c r="AA442" s="416"/>
      <c r="AB442" s="414"/>
      <c r="AC442" s="414"/>
      <c r="AD442" s="416"/>
      <c r="AE442" s="414"/>
      <c r="AF442" s="233"/>
    </row>
    <row r="443" spans="1:40">
      <c r="A443" s="225">
        <f t="shared" si="6"/>
        <v>434</v>
      </c>
      <c r="B443" s="227" t="s">
        <v>1538</v>
      </c>
      <c r="C443" s="227" t="s">
        <v>1776</v>
      </c>
      <c r="D443" s="228" t="s">
        <v>1777</v>
      </c>
      <c r="E443" s="363">
        <v>240595</v>
      </c>
      <c r="F443" s="342">
        <v>45362</v>
      </c>
      <c r="G443" s="230"/>
      <c r="H443" s="231"/>
      <c r="I443" s="231">
        <v>486600</v>
      </c>
      <c r="J443" s="226" t="s">
        <v>2388</v>
      </c>
      <c r="K443" s="226"/>
      <c r="L443" s="345">
        <v>486600</v>
      </c>
      <c r="M443" s="346">
        <v>0</v>
      </c>
      <c r="N443" s="226"/>
      <c r="O443" s="232"/>
      <c r="P443" s="232"/>
      <c r="Q443" s="232"/>
      <c r="R443" s="232"/>
      <c r="S443" s="414"/>
      <c r="T443" s="415"/>
      <c r="U443" s="414"/>
      <c r="V443" s="414"/>
      <c r="W443" s="414"/>
      <c r="X443" s="414"/>
      <c r="Y443" s="414"/>
      <c r="Z443" s="416"/>
      <c r="AA443" s="416"/>
      <c r="AB443" s="414"/>
      <c r="AC443" s="414"/>
      <c r="AD443" s="416"/>
      <c r="AE443" s="414"/>
      <c r="AF443" s="233"/>
    </row>
    <row r="444" spans="1:40">
      <c r="A444" s="225">
        <f t="shared" si="6"/>
        <v>435</v>
      </c>
      <c r="B444" s="227" t="s">
        <v>1539</v>
      </c>
      <c r="C444" s="227" t="s">
        <v>1776</v>
      </c>
      <c r="D444" s="228" t="s">
        <v>1777</v>
      </c>
      <c r="E444" s="363">
        <v>240411</v>
      </c>
      <c r="F444" s="342">
        <v>45352</v>
      </c>
      <c r="G444" s="230"/>
      <c r="H444" s="231"/>
      <c r="I444" s="231">
        <v>244020</v>
      </c>
      <c r="J444" s="226" t="s">
        <v>2388</v>
      </c>
      <c r="K444" s="226"/>
      <c r="L444" s="345">
        <v>244020</v>
      </c>
      <c r="M444" s="346">
        <v>0</v>
      </c>
      <c r="N444" s="226"/>
      <c r="O444" s="232"/>
      <c r="P444" s="232"/>
      <c r="Q444" s="232"/>
      <c r="R444" s="232"/>
      <c r="S444" s="414"/>
      <c r="T444" s="415"/>
      <c r="U444" s="414"/>
      <c r="V444" s="414"/>
      <c r="W444" s="414"/>
      <c r="X444" s="414"/>
      <c r="Y444" s="414"/>
      <c r="Z444" s="416"/>
      <c r="AA444" s="416"/>
      <c r="AB444" s="414"/>
      <c r="AC444" s="414"/>
      <c r="AD444" s="416"/>
      <c r="AE444" s="414"/>
      <c r="AF444" s="233"/>
    </row>
    <row r="445" spans="1:40">
      <c r="A445" s="225">
        <f t="shared" si="6"/>
        <v>436</v>
      </c>
      <c r="B445" s="227" t="s">
        <v>1540</v>
      </c>
      <c r="C445" s="227" t="s">
        <v>2065</v>
      </c>
      <c r="D445" s="228" t="s">
        <v>2066</v>
      </c>
      <c r="E445" s="363">
        <v>9</v>
      </c>
      <c r="F445" s="342">
        <v>45373</v>
      </c>
      <c r="G445" s="230"/>
      <c r="H445" s="231"/>
      <c r="I445" s="231">
        <v>93104</v>
      </c>
      <c r="J445" s="226" t="s">
        <v>2388</v>
      </c>
      <c r="K445" s="226"/>
      <c r="L445" s="345">
        <v>93104</v>
      </c>
      <c r="M445" s="346">
        <v>0</v>
      </c>
      <c r="N445" s="226"/>
      <c r="O445" s="232"/>
      <c r="P445" s="232"/>
      <c r="Q445" s="232"/>
      <c r="R445" s="232"/>
      <c r="S445" s="414"/>
      <c r="T445" s="415"/>
      <c r="U445" s="414"/>
      <c r="V445" s="414"/>
      <c r="W445" s="414"/>
      <c r="X445" s="414"/>
      <c r="Y445" s="414"/>
      <c r="Z445" s="416"/>
      <c r="AA445" s="416"/>
      <c r="AB445" s="414"/>
      <c r="AC445" s="414"/>
      <c r="AD445" s="416"/>
      <c r="AE445" s="414"/>
      <c r="AF445" s="233"/>
    </row>
    <row r="446" spans="1:40">
      <c r="A446" s="225">
        <f t="shared" si="6"/>
        <v>437</v>
      </c>
      <c r="B446" s="227" t="s">
        <v>1541</v>
      </c>
      <c r="C446" s="227" t="s">
        <v>2067</v>
      </c>
      <c r="D446" s="228" t="s">
        <v>2068</v>
      </c>
      <c r="E446" s="363" t="s">
        <v>2150</v>
      </c>
      <c r="F446" s="342">
        <v>45383</v>
      </c>
      <c r="G446" s="230"/>
      <c r="H446" s="231"/>
      <c r="I446" s="231">
        <v>992540</v>
      </c>
      <c r="J446" s="226" t="s">
        <v>2388</v>
      </c>
      <c r="K446" s="226"/>
      <c r="L446" s="345">
        <v>992540</v>
      </c>
      <c r="M446" s="346">
        <v>0</v>
      </c>
      <c r="N446" s="226"/>
      <c r="O446" s="232"/>
      <c r="P446" s="232"/>
      <c r="Q446" s="232"/>
      <c r="R446" s="232"/>
      <c r="S446" s="414"/>
      <c r="T446" s="415"/>
      <c r="U446" s="414"/>
      <c r="V446" s="414"/>
      <c r="W446" s="414"/>
      <c r="X446" s="414"/>
      <c r="Y446" s="414"/>
      <c r="Z446" s="416"/>
      <c r="AA446" s="416"/>
      <c r="AB446" s="414"/>
      <c r="AC446" s="414"/>
      <c r="AD446" s="416"/>
      <c r="AE446" s="414"/>
      <c r="AF446" s="233"/>
    </row>
    <row r="447" spans="1:40">
      <c r="A447" s="225">
        <f t="shared" si="6"/>
        <v>438</v>
      </c>
      <c r="B447" s="227" t="s">
        <v>1542</v>
      </c>
      <c r="C447" s="227" t="s">
        <v>1789</v>
      </c>
      <c r="D447" s="228" t="s">
        <v>1790</v>
      </c>
      <c r="E447" s="363" t="s">
        <v>2151</v>
      </c>
      <c r="F447" s="342">
        <v>45405</v>
      </c>
      <c r="G447" s="230"/>
      <c r="H447" s="231"/>
      <c r="I447" s="231">
        <v>56868</v>
      </c>
      <c r="J447" s="226" t="s">
        <v>2388</v>
      </c>
      <c r="K447" s="226"/>
      <c r="L447" s="345">
        <v>56868</v>
      </c>
      <c r="M447" s="346">
        <v>0</v>
      </c>
      <c r="N447" s="226" t="s">
        <v>2395</v>
      </c>
      <c r="O447" s="232"/>
      <c r="P447" s="232"/>
      <c r="Q447" s="232"/>
      <c r="R447" s="232"/>
      <c r="S447" s="414"/>
      <c r="T447" s="415"/>
      <c r="U447" s="414"/>
      <c r="V447" s="414"/>
      <c r="W447" s="414"/>
      <c r="X447" s="414"/>
      <c r="Y447" s="414"/>
      <c r="Z447" s="416"/>
      <c r="AA447" s="416"/>
      <c r="AB447" s="414"/>
      <c r="AC447" s="414"/>
      <c r="AD447" s="416"/>
      <c r="AE447" s="414"/>
      <c r="AF447" s="233"/>
    </row>
    <row r="448" spans="1:40">
      <c r="A448" s="225">
        <f t="shared" si="6"/>
        <v>439</v>
      </c>
      <c r="B448" s="227" t="s">
        <v>1543</v>
      </c>
      <c r="C448" s="227" t="s">
        <v>2067</v>
      </c>
      <c r="D448" s="228" t="s">
        <v>2068</v>
      </c>
      <c r="E448" s="363" t="s">
        <v>2152</v>
      </c>
      <c r="F448" s="342">
        <v>45383</v>
      </c>
      <c r="G448" s="230"/>
      <c r="H448" s="231"/>
      <c r="I448" s="231">
        <v>535035</v>
      </c>
      <c r="J448" s="226" t="s">
        <v>2388</v>
      </c>
      <c r="K448" s="226"/>
      <c r="L448" s="345">
        <v>535035</v>
      </c>
      <c r="M448" s="346">
        <v>0</v>
      </c>
      <c r="N448" s="226"/>
      <c r="O448" s="232"/>
      <c r="P448" s="232"/>
      <c r="Q448" s="232"/>
      <c r="R448" s="232"/>
      <c r="S448" s="414"/>
      <c r="T448" s="415"/>
      <c r="U448" s="414"/>
      <c r="V448" s="414"/>
      <c r="W448" s="414"/>
      <c r="X448" s="414"/>
      <c r="Y448" s="414"/>
      <c r="Z448" s="416"/>
      <c r="AA448" s="416"/>
      <c r="AB448" s="414"/>
      <c r="AC448" s="414"/>
      <c r="AD448" s="416"/>
      <c r="AE448" s="414"/>
      <c r="AF448" s="233"/>
    </row>
    <row r="449" spans="1:32">
      <c r="A449" s="225">
        <f t="shared" si="6"/>
        <v>440</v>
      </c>
      <c r="B449" s="227" t="s">
        <v>1544</v>
      </c>
      <c r="C449" s="227" t="s">
        <v>1785</v>
      </c>
      <c r="D449" s="228" t="s">
        <v>1786</v>
      </c>
      <c r="E449" s="363">
        <v>65430</v>
      </c>
      <c r="F449" s="342">
        <v>45394</v>
      </c>
      <c r="G449" s="230"/>
      <c r="H449" s="231"/>
      <c r="I449" s="231">
        <v>23034</v>
      </c>
      <c r="J449" s="226" t="s">
        <v>2390</v>
      </c>
      <c r="K449" s="226"/>
      <c r="L449" s="345"/>
      <c r="M449" s="346">
        <v>23034</v>
      </c>
      <c r="N449" s="226"/>
      <c r="O449" s="232"/>
      <c r="P449" s="232"/>
      <c r="Q449" s="232"/>
      <c r="R449" s="232"/>
      <c r="S449" s="414"/>
      <c r="T449" s="415"/>
      <c r="U449" s="414"/>
      <c r="V449" s="414"/>
      <c r="W449" s="414"/>
      <c r="X449" s="414"/>
      <c r="Y449" s="414"/>
      <c r="Z449" s="416"/>
      <c r="AA449" s="416"/>
      <c r="AB449" s="414"/>
      <c r="AC449" s="414"/>
      <c r="AD449" s="416"/>
      <c r="AE449" s="414"/>
      <c r="AF449" s="233"/>
    </row>
    <row r="450" spans="1:32">
      <c r="A450" s="225">
        <f t="shared" si="6"/>
        <v>441</v>
      </c>
      <c r="B450" s="227" t="s">
        <v>1545</v>
      </c>
      <c r="C450" s="227" t="s">
        <v>2067</v>
      </c>
      <c r="D450" s="228" t="s">
        <v>2068</v>
      </c>
      <c r="E450" s="363" t="s">
        <v>2153</v>
      </c>
      <c r="F450" s="342">
        <v>45383</v>
      </c>
      <c r="G450" s="230"/>
      <c r="H450" s="231"/>
      <c r="I450" s="231">
        <v>563301</v>
      </c>
      <c r="J450" s="226" t="s">
        <v>2388</v>
      </c>
      <c r="K450" s="226"/>
      <c r="L450" s="345">
        <v>563301</v>
      </c>
      <c r="M450" s="346">
        <v>0</v>
      </c>
      <c r="N450" s="226"/>
      <c r="O450" s="232"/>
      <c r="P450" s="232"/>
      <c r="Q450" s="232"/>
      <c r="R450" s="232"/>
      <c r="S450" s="414"/>
      <c r="T450" s="415"/>
      <c r="U450" s="414"/>
      <c r="V450" s="414"/>
      <c r="W450" s="414"/>
      <c r="X450" s="414"/>
      <c r="Y450" s="414"/>
      <c r="Z450" s="416"/>
      <c r="AA450" s="416"/>
      <c r="AB450" s="414"/>
      <c r="AC450" s="414"/>
      <c r="AD450" s="416"/>
      <c r="AE450" s="414"/>
      <c r="AF450" s="233"/>
    </row>
    <row r="451" spans="1:32">
      <c r="A451" s="225">
        <f t="shared" si="6"/>
        <v>442</v>
      </c>
      <c r="B451" s="227" t="s">
        <v>1546</v>
      </c>
      <c r="C451" s="227" t="s">
        <v>1785</v>
      </c>
      <c r="D451" s="228" t="s">
        <v>1786</v>
      </c>
      <c r="E451" s="363">
        <v>61740</v>
      </c>
      <c r="F451" s="342">
        <v>45388</v>
      </c>
      <c r="G451" s="230"/>
      <c r="H451" s="231"/>
      <c r="I451" s="231">
        <v>23034</v>
      </c>
      <c r="J451" s="226" t="s">
        <v>2390</v>
      </c>
      <c r="K451" s="226"/>
      <c r="L451" s="345"/>
      <c r="M451" s="346">
        <v>23034</v>
      </c>
      <c r="N451" s="226"/>
      <c r="O451" s="232"/>
      <c r="P451" s="232"/>
      <c r="Q451" s="232"/>
      <c r="R451" s="232"/>
      <c r="S451" s="414"/>
      <c r="T451" s="415"/>
      <c r="U451" s="414"/>
      <c r="V451" s="414"/>
      <c r="W451" s="414"/>
      <c r="X451" s="414"/>
      <c r="Y451" s="414"/>
      <c r="Z451" s="416"/>
      <c r="AA451" s="416"/>
      <c r="AB451" s="414"/>
      <c r="AC451" s="414"/>
      <c r="AD451" s="416"/>
      <c r="AE451" s="414"/>
      <c r="AF451" s="233"/>
    </row>
    <row r="452" spans="1:32">
      <c r="A452" s="225">
        <f t="shared" si="6"/>
        <v>443</v>
      </c>
      <c r="B452" s="227" t="s">
        <v>1547</v>
      </c>
      <c r="C452" s="227" t="s">
        <v>2067</v>
      </c>
      <c r="D452" s="228" t="s">
        <v>2068</v>
      </c>
      <c r="E452" s="363" t="s">
        <v>2154</v>
      </c>
      <c r="F452" s="342">
        <v>45383</v>
      </c>
      <c r="G452" s="230"/>
      <c r="H452" s="231"/>
      <c r="I452" s="231">
        <v>432470</v>
      </c>
      <c r="J452" s="226" t="s">
        <v>2388</v>
      </c>
      <c r="K452" s="226"/>
      <c r="L452" s="345">
        <v>432470</v>
      </c>
      <c r="M452" s="346">
        <v>0</v>
      </c>
      <c r="N452" s="226"/>
      <c r="O452" s="232"/>
      <c r="P452" s="232"/>
      <c r="Q452" s="232"/>
      <c r="R452" s="232"/>
      <c r="S452" s="414"/>
      <c r="T452" s="415"/>
      <c r="U452" s="414"/>
      <c r="V452" s="414"/>
      <c r="W452" s="414"/>
      <c r="X452" s="414"/>
      <c r="Y452" s="414"/>
      <c r="Z452" s="416"/>
      <c r="AA452" s="416"/>
      <c r="AB452" s="414"/>
      <c r="AC452" s="414"/>
      <c r="AD452" s="416"/>
      <c r="AE452" s="414"/>
      <c r="AF452" s="233"/>
    </row>
    <row r="453" spans="1:32">
      <c r="A453" s="225">
        <f t="shared" si="6"/>
        <v>444</v>
      </c>
      <c r="B453" s="227" t="s">
        <v>1548</v>
      </c>
      <c r="C453" s="227" t="s">
        <v>1789</v>
      </c>
      <c r="D453" s="228" t="s">
        <v>1790</v>
      </c>
      <c r="E453" s="363" t="s">
        <v>2155</v>
      </c>
      <c r="F453" s="342">
        <v>45388</v>
      </c>
      <c r="G453" s="230"/>
      <c r="H453" s="231"/>
      <c r="I453" s="231">
        <v>18589</v>
      </c>
      <c r="J453" s="226" t="s">
        <v>2388</v>
      </c>
      <c r="K453" s="226"/>
      <c r="L453" s="345">
        <v>18589</v>
      </c>
      <c r="M453" s="346">
        <v>0</v>
      </c>
      <c r="N453" s="226" t="s">
        <v>2395</v>
      </c>
      <c r="O453" s="232"/>
      <c r="P453" s="232"/>
      <c r="Q453" s="232"/>
      <c r="R453" s="232"/>
      <c r="S453" s="414"/>
      <c r="T453" s="415"/>
      <c r="U453" s="414"/>
      <c r="V453" s="414"/>
      <c r="W453" s="414"/>
      <c r="X453" s="414"/>
      <c r="Y453" s="414"/>
      <c r="Z453" s="416"/>
      <c r="AA453" s="416"/>
      <c r="AB453" s="414"/>
      <c r="AC453" s="414"/>
      <c r="AD453" s="416"/>
      <c r="AE453" s="414"/>
      <c r="AF453" s="233"/>
    </row>
    <row r="454" spans="1:32">
      <c r="A454" s="225">
        <f t="shared" si="6"/>
        <v>445</v>
      </c>
      <c r="B454" s="227" t="s">
        <v>1549</v>
      </c>
      <c r="C454" s="227" t="s">
        <v>2067</v>
      </c>
      <c r="D454" s="228" t="s">
        <v>2068</v>
      </c>
      <c r="E454" s="363" t="s">
        <v>2156</v>
      </c>
      <c r="F454" s="342">
        <v>45383</v>
      </c>
      <c r="G454" s="230"/>
      <c r="H454" s="231"/>
      <c r="I454" s="231">
        <v>573800</v>
      </c>
      <c r="J454" s="226" t="s">
        <v>2388</v>
      </c>
      <c r="K454" s="226"/>
      <c r="L454" s="345">
        <v>573800</v>
      </c>
      <c r="M454" s="346">
        <v>0</v>
      </c>
      <c r="N454" s="226"/>
      <c r="O454" s="232"/>
      <c r="P454" s="232"/>
      <c r="Q454" s="232"/>
      <c r="R454" s="232"/>
      <c r="S454" s="414"/>
      <c r="T454" s="415"/>
      <c r="U454" s="414"/>
      <c r="V454" s="414"/>
      <c r="W454" s="414"/>
      <c r="X454" s="414"/>
      <c r="Y454" s="414"/>
      <c r="Z454" s="416"/>
      <c r="AA454" s="416"/>
      <c r="AB454" s="414"/>
      <c r="AC454" s="414"/>
      <c r="AD454" s="416"/>
      <c r="AE454" s="414"/>
      <c r="AF454" s="233"/>
    </row>
    <row r="455" spans="1:32">
      <c r="A455" s="225">
        <f t="shared" si="6"/>
        <v>446</v>
      </c>
      <c r="B455" s="227" t="s">
        <v>1550</v>
      </c>
      <c r="C455" s="227" t="s">
        <v>1789</v>
      </c>
      <c r="D455" s="228" t="s">
        <v>1790</v>
      </c>
      <c r="E455" s="363" t="s">
        <v>2157</v>
      </c>
      <c r="F455" s="342">
        <v>45388</v>
      </c>
      <c r="G455" s="230"/>
      <c r="H455" s="231"/>
      <c r="I455" s="231">
        <v>28287</v>
      </c>
      <c r="J455" s="226" t="s">
        <v>2388</v>
      </c>
      <c r="K455" s="226"/>
      <c r="L455" s="345">
        <v>28287</v>
      </c>
      <c r="M455" s="346">
        <v>0</v>
      </c>
      <c r="N455" s="226" t="s">
        <v>2395</v>
      </c>
      <c r="O455" s="232"/>
      <c r="P455" s="232"/>
      <c r="Q455" s="232"/>
      <c r="R455" s="232"/>
      <c r="S455" s="414"/>
      <c r="T455" s="415"/>
      <c r="U455" s="414"/>
      <c r="V455" s="414"/>
      <c r="W455" s="414"/>
      <c r="X455" s="414"/>
      <c r="Y455" s="414"/>
      <c r="Z455" s="416"/>
      <c r="AA455" s="416"/>
      <c r="AB455" s="414"/>
      <c r="AC455" s="414"/>
      <c r="AD455" s="416"/>
      <c r="AE455" s="414"/>
      <c r="AF455" s="233"/>
    </row>
    <row r="456" spans="1:32">
      <c r="A456" s="225">
        <f t="shared" si="6"/>
        <v>447</v>
      </c>
      <c r="B456" s="227" t="s">
        <v>1551</v>
      </c>
      <c r="C456" s="227" t="s">
        <v>1789</v>
      </c>
      <c r="D456" s="228" t="s">
        <v>1790</v>
      </c>
      <c r="E456" s="363" t="s">
        <v>2158</v>
      </c>
      <c r="F456" s="342">
        <v>45394</v>
      </c>
      <c r="G456" s="230"/>
      <c r="H456" s="231"/>
      <c r="I456" s="231">
        <v>28287</v>
      </c>
      <c r="J456" s="226" t="s">
        <v>2388</v>
      </c>
      <c r="K456" s="226"/>
      <c r="L456" s="345">
        <v>28287</v>
      </c>
      <c r="M456" s="346">
        <v>0</v>
      </c>
      <c r="N456" s="226" t="s">
        <v>2395</v>
      </c>
      <c r="O456" s="232"/>
      <c r="P456" s="232"/>
      <c r="Q456" s="232"/>
      <c r="R456" s="232"/>
      <c r="S456" s="414"/>
      <c r="T456" s="415"/>
      <c r="U456" s="414"/>
      <c r="V456" s="414"/>
      <c r="W456" s="414"/>
      <c r="X456" s="414"/>
      <c r="Y456" s="414"/>
      <c r="Z456" s="416"/>
      <c r="AA456" s="416"/>
      <c r="AB456" s="414"/>
      <c r="AC456" s="414"/>
      <c r="AD456" s="416"/>
      <c r="AE456" s="414"/>
      <c r="AF456" s="233"/>
    </row>
    <row r="457" spans="1:32">
      <c r="A457" s="225">
        <f t="shared" si="6"/>
        <v>448</v>
      </c>
      <c r="B457" s="227" t="s">
        <v>1552</v>
      </c>
      <c r="C457" s="227" t="s">
        <v>2067</v>
      </c>
      <c r="D457" s="228" t="s">
        <v>2068</v>
      </c>
      <c r="E457" s="363" t="s">
        <v>2159</v>
      </c>
      <c r="F457" s="342">
        <v>45383</v>
      </c>
      <c r="G457" s="230"/>
      <c r="H457" s="231"/>
      <c r="I457" s="231">
        <v>489002</v>
      </c>
      <c r="J457" s="226" t="s">
        <v>2388</v>
      </c>
      <c r="K457" s="226"/>
      <c r="L457" s="345">
        <v>489002</v>
      </c>
      <c r="M457" s="346">
        <v>0</v>
      </c>
      <c r="N457" s="226"/>
      <c r="O457" s="232"/>
      <c r="P457" s="232"/>
      <c r="Q457" s="232"/>
      <c r="R457" s="232"/>
      <c r="S457" s="414"/>
      <c r="T457" s="415"/>
      <c r="U457" s="414"/>
      <c r="V457" s="414"/>
      <c r="W457" s="414"/>
      <c r="X457" s="414"/>
      <c r="Y457" s="414"/>
      <c r="Z457" s="416"/>
      <c r="AA457" s="416"/>
      <c r="AB457" s="414"/>
      <c r="AC457" s="414"/>
      <c r="AD457" s="416"/>
      <c r="AE457" s="414"/>
      <c r="AF457" s="233"/>
    </row>
    <row r="458" spans="1:32">
      <c r="A458" s="225">
        <f t="shared" si="6"/>
        <v>449</v>
      </c>
      <c r="B458" s="227" t="s">
        <v>1553</v>
      </c>
      <c r="C458" s="227" t="s">
        <v>1789</v>
      </c>
      <c r="D458" s="228" t="s">
        <v>1790</v>
      </c>
      <c r="E458" s="363" t="s">
        <v>2160</v>
      </c>
      <c r="F458" s="342">
        <v>45402</v>
      </c>
      <c r="G458" s="230"/>
      <c r="H458" s="231"/>
      <c r="I458" s="231">
        <v>28441</v>
      </c>
      <c r="J458" s="226" t="s">
        <v>2388</v>
      </c>
      <c r="K458" s="226"/>
      <c r="L458" s="345">
        <v>28441</v>
      </c>
      <c r="M458" s="346">
        <v>0</v>
      </c>
      <c r="N458" s="226" t="s">
        <v>2395</v>
      </c>
      <c r="O458" s="232"/>
      <c r="P458" s="232"/>
      <c r="Q458" s="232"/>
      <c r="R458" s="232"/>
      <c r="S458" s="414"/>
      <c r="T458" s="415"/>
      <c r="U458" s="414"/>
      <c r="V458" s="414"/>
      <c r="W458" s="414"/>
      <c r="X458" s="414"/>
      <c r="Y458" s="414"/>
      <c r="Z458" s="416"/>
      <c r="AA458" s="416"/>
      <c r="AB458" s="414"/>
      <c r="AC458" s="414"/>
      <c r="AD458" s="416"/>
      <c r="AE458" s="414"/>
      <c r="AF458" s="233"/>
    </row>
    <row r="459" spans="1:32">
      <c r="A459" s="225">
        <f t="shared" si="6"/>
        <v>450</v>
      </c>
      <c r="B459" s="227" t="s">
        <v>1554</v>
      </c>
      <c r="C459" s="227" t="s">
        <v>2067</v>
      </c>
      <c r="D459" s="228" t="s">
        <v>2068</v>
      </c>
      <c r="E459" s="363" t="s">
        <v>2161</v>
      </c>
      <c r="F459" s="342">
        <v>45383</v>
      </c>
      <c r="G459" s="230"/>
      <c r="H459" s="231"/>
      <c r="I459" s="231">
        <v>489002</v>
      </c>
      <c r="J459" s="226" t="s">
        <v>2388</v>
      </c>
      <c r="K459" s="226"/>
      <c r="L459" s="345">
        <v>489002</v>
      </c>
      <c r="M459" s="346">
        <v>0</v>
      </c>
      <c r="N459" s="226"/>
      <c r="O459" s="232"/>
      <c r="P459" s="232"/>
      <c r="Q459" s="232"/>
      <c r="R459" s="232"/>
      <c r="S459" s="414"/>
      <c r="T459" s="415"/>
      <c r="U459" s="414"/>
      <c r="V459" s="414"/>
      <c r="W459" s="414"/>
      <c r="X459" s="414"/>
      <c r="Y459" s="414"/>
      <c r="Z459" s="416"/>
      <c r="AA459" s="416"/>
      <c r="AB459" s="414"/>
      <c r="AC459" s="414"/>
      <c r="AD459" s="416"/>
      <c r="AE459" s="414"/>
      <c r="AF459" s="233"/>
    </row>
    <row r="460" spans="1:32">
      <c r="A460" s="225">
        <f t="shared" ref="A460:A523" si="7">A459+1</f>
        <v>451</v>
      </c>
      <c r="B460" s="227" t="s">
        <v>1555</v>
      </c>
      <c r="C460" s="227" t="s">
        <v>1789</v>
      </c>
      <c r="D460" s="228" t="s">
        <v>1790</v>
      </c>
      <c r="E460" s="363" t="s">
        <v>2162</v>
      </c>
      <c r="F460" s="342">
        <v>45409</v>
      </c>
      <c r="G460" s="230"/>
      <c r="H460" s="231"/>
      <c r="I460" s="231">
        <v>28427</v>
      </c>
      <c r="J460" s="226" t="s">
        <v>2388</v>
      </c>
      <c r="K460" s="226"/>
      <c r="L460" s="345">
        <v>28427</v>
      </c>
      <c r="M460" s="346">
        <v>0</v>
      </c>
      <c r="N460" s="226" t="s">
        <v>2395</v>
      </c>
      <c r="O460" s="232"/>
      <c r="P460" s="232"/>
      <c r="Q460" s="232"/>
      <c r="R460" s="232"/>
      <c r="S460" s="414"/>
      <c r="T460" s="415"/>
      <c r="U460" s="414"/>
      <c r="V460" s="414"/>
      <c r="W460" s="414"/>
      <c r="X460" s="414"/>
      <c r="Y460" s="414"/>
      <c r="Z460" s="416"/>
      <c r="AA460" s="416"/>
      <c r="AB460" s="414"/>
      <c r="AC460" s="414"/>
      <c r="AD460" s="416"/>
      <c r="AE460" s="414"/>
      <c r="AF460" s="233"/>
    </row>
    <row r="461" spans="1:32">
      <c r="A461" s="225">
        <f t="shared" si="7"/>
        <v>452</v>
      </c>
      <c r="B461" s="227" t="s">
        <v>1556</v>
      </c>
      <c r="C461" s="227" t="s">
        <v>1763</v>
      </c>
      <c r="D461" s="228" t="s">
        <v>1764</v>
      </c>
      <c r="E461" s="363" t="s">
        <v>2163</v>
      </c>
      <c r="F461" s="342">
        <v>45412</v>
      </c>
      <c r="G461" s="230"/>
      <c r="H461" s="231"/>
      <c r="I461" s="231">
        <v>3562616</v>
      </c>
      <c r="J461" s="226" t="s">
        <v>2388</v>
      </c>
      <c r="K461" s="226"/>
      <c r="L461" s="345">
        <v>3562616</v>
      </c>
      <c r="M461" s="346">
        <v>0</v>
      </c>
      <c r="N461" s="226"/>
      <c r="O461" s="232"/>
      <c r="P461" s="232"/>
      <c r="Q461" s="232"/>
      <c r="R461" s="232"/>
      <c r="S461" s="414"/>
      <c r="T461" s="415"/>
      <c r="U461" s="414"/>
      <c r="V461" s="414"/>
      <c r="W461" s="414"/>
      <c r="X461" s="414"/>
      <c r="Y461" s="414"/>
      <c r="Z461" s="416"/>
      <c r="AA461" s="416"/>
      <c r="AB461" s="414"/>
      <c r="AC461" s="414"/>
      <c r="AD461" s="416"/>
      <c r="AE461" s="414"/>
      <c r="AF461" s="233"/>
    </row>
    <row r="462" spans="1:32">
      <c r="A462" s="225">
        <f t="shared" si="7"/>
        <v>453</v>
      </c>
      <c r="B462" s="227" t="s">
        <v>1557</v>
      </c>
      <c r="C462" s="227" t="s">
        <v>2120</v>
      </c>
      <c r="D462" s="228" t="s">
        <v>2121</v>
      </c>
      <c r="E462" s="363">
        <v>88</v>
      </c>
      <c r="F462" s="342">
        <v>45406</v>
      </c>
      <c r="G462" s="230"/>
      <c r="H462" s="231"/>
      <c r="I462" s="231">
        <v>490163</v>
      </c>
      <c r="J462" s="226" t="s">
        <v>2388</v>
      </c>
      <c r="K462" s="226"/>
      <c r="L462" s="345">
        <v>490163</v>
      </c>
      <c r="M462" s="346">
        <v>0</v>
      </c>
      <c r="N462" s="226" t="s">
        <v>2407</v>
      </c>
      <c r="O462" s="232"/>
      <c r="P462" s="232"/>
      <c r="Q462" s="232"/>
      <c r="R462" s="232"/>
      <c r="S462" s="414"/>
      <c r="T462" s="415"/>
      <c r="U462" s="414"/>
      <c r="V462" s="414"/>
      <c r="W462" s="414"/>
      <c r="X462" s="414"/>
      <c r="Y462" s="414"/>
      <c r="Z462" s="416"/>
      <c r="AA462" s="416"/>
      <c r="AB462" s="414"/>
      <c r="AC462" s="414"/>
      <c r="AD462" s="416"/>
      <c r="AE462" s="414"/>
      <c r="AF462" s="233"/>
    </row>
    <row r="463" spans="1:32">
      <c r="A463" s="225">
        <f t="shared" si="7"/>
        <v>454</v>
      </c>
      <c r="B463" s="227" t="s">
        <v>1451</v>
      </c>
      <c r="C463" s="227" t="s">
        <v>1771</v>
      </c>
      <c r="D463" s="228" t="s">
        <v>1772</v>
      </c>
      <c r="E463" s="363" t="s">
        <v>2164</v>
      </c>
      <c r="F463" s="342">
        <v>45412</v>
      </c>
      <c r="G463" s="230"/>
      <c r="H463" s="231"/>
      <c r="I463" s="231">
        <v>81280</v>
      </c>
      <c r="J463" s="226" t="s">
        <v>2388</v>
      </c>
      <c r="K463" s="226"/>
      <c r="L463" s="345">
        <v>81280</v>
      </c>
      <c r="M463" s="346">
        <v>0</v>
      </c>
      <c r="N463" s="226"/>
      <c r="O463" s="232"/>
      <c r="P463" s="232"/>
      <c r="Q463" s="232"/>
      <c r="R463" s="232"/>
      <c r="S463" s="414"/>
      <c r="T463" s="415"/>
      <c r="U463" s="414"/>
      <c r="V463" s="414"/>
      <c r="W463" s="414"/>
      <c r="X463" s="414"/>
      <c r="Y463" s="414"/>
      <c r="Z463" s="416"/>
      <c r="AA463" s="416"/>
      <c r="AB463" s="414"/>
      <c r="AC463" s="414"/>
      <c r="AD463" s="416"/>
      <c r="AE463" s="414"/>
      <c r="AF463" s="233"/>
    </row>
    <row r="464" spans="1:32">
      <c r="A464" s="225">
        <f t="shared" si="7"/>
        <v>455</v>
      </c>
      <c r="B464" s="227" t="s">
        <v>1185</v>
      </c>
      <c r="C464" s="227" t="s">
        <v>1766</v>
      </c>
      <c r="D464" s="228" t="s">
        <v>1767</v>
      </c>
      <c r="E464" s="363" t="s">
        <v>2165</v>
      </c>
      <c r="F464" s="342">
        <v>45411</v>
      </c>
      <c r="G464" s="230"/>
      <c r="H464" s="231"/>
      <c r="I464" s="231">
        <v>2843400</v>
      </c>
      <c r="J464" s="226" t="s">
        <v>2388</v>
      </c>
      <c r="K464" s="226"/>
      <c r="L464" s="345">
        <v>2843400</v>
      </c>
      <c r="M464" s="346">
        <v>0</v>
      </c>
      <c r="N464" s="226"/>
      <c r="O464" s="232"/>
      <c r="P464" s="232"/>
      <c r="Q464" s="232"/>
      <c r="R464" s="232"/>
      <c r="S464" s="414"/>
      <c r="T464" s="415"/>
      <c r="U464" s="414"/>
      <c r="V464" s="414"/>
      <c r="W464" s="414"/>
      <c r="X464" s="414"/>
      <c r="Y464" s="414"/>
      <c r="Z464" s="416"/>
      <c r="AA464" s="416"/>
      <c r="AB464" s="414"/>
      <c r="AC464" s="414"/>
      <c r="AD464" s="416"/>
      <c r="AE464" s="414"/>
      <c r="AF464" s="233"/>
    </row>
    <row r="465" spans="1:32">
      <c r="A465" s="225">
        <f t="shared" si="7"/>
        <v>456</v>
      </c>
      <c r="B465" s="227" t="s">
        <v>1278</v>
      </c>
      <c r="C465" s="227" t="s">
        <v>1774</v>
      </c>
      <c r="D465" s="228" t="s">
        <v>1775</v>
      </c>
      <c r="E465" s="363" t="s">
        <v>2166</v>
      </c>
      <c r="F465" s="342">
        <v>45410</v>
      </c>
      <c r="G465" s="230"/>
      <c r="H465" s="231"/>
      <c r="I465" s="231">
        <v>67007</v>
      </c>
      <c r="J465" s="226" t="s">
        <v>2388</v>
      </c>
      <c r="K465" s="226"/>
      <c r="L465" s="345">
        <v>67007</v>
      </c>
      <c r="M465" s="346">
        <v>0</v>
      </c>
      <c r="N465" s="226" t="s">
        <v>2394</v>
      </c>
      <c r="O465" s="232"/>
      <c r="P465" s="232"/>
      <c r="Q465" s="232"/>
      <c r="R465" s="232"/>
      <c r="S465" s="414"/>
      <c r="T465" s="415"/>
      <c r="U465" s="414"/>
      <c r="V465" s="414"/>
      <c r="W465" s="414"/>
      <c r="X465" s="414"/>
      <c r="Y465" s="414"/>
      <c r="Z465" s="416"/>
      <c r="AA465" s="416"/>
      <c r="AB465" s="414"/>
      <c r="AC465" s="414"/>
      <c r="AD465" s="416"/>
      <c r="AE465" s="414"/>
      <c r="AF465" s="233"/>
    </row>
    <row r="466" spans="1:32">
      <c r="A466" s="225">
        <f t="shared" si="7"/>
        <v>457</v>
      </c>
      <c r="B466" s="227" t="s">
        <v>1558</v>
      </c>
      <c r="C466" s="227" t="s">
        <v>1923</v>
      </c>
      <c r="D466" s="228" t="s">
        <v>1924</v>
      </c>
      <c r="E466" s="363" t="s">
        <v>2167</v>
      </c>
      <c r="F466" s="342">
        <v>45407</v>
      </c>
      <c r="G466" s="230"/>
      <c r="H466" s="231"/>
      <c r="I466" s="231">
        <v>328860</v>
      </c>
      <c r="J466" s="226" t="s">
        <v>2388</v>
      </c>
      <c r="K466" s="226"/>
      <c r="L466" s="345">
        <v>328860</v>
      </c>
      <c r="M466" s="346">
        <v>0</v>
      </c>
      <c r="N466" s="226"/>
      <c r="O466" s="232"/>
      <c r="P466" s="232"/>
      <c r="Q466" s="232"/>
      <c r="R466" s="232"/>
      <c r="S466" s="414"/>
      <c r="T466" s="415"/>
      <c r="U466" s="414"/>
      <c r="V466" s="414"/>
      <c r="W466" s="414"/>
      <c r="X466" s="414"/>
      <c r="Y466" s="414"/>
      <c r="Z466" s="416"/>
      <c r="AA466" s="416"/>
      <c r="AB466" s="414"/>
      <c r="AC466" s="414"/>
      <c r="AD466" s="416"/>
      <c r="AE466" s="414"/>
      <c r="AF466" s="233"/>
    </row>
    <row r="467" spans="1:32">
      <c r="A467" s="225">
        <f t="shared" si="7"/>
        <v>458</v>
      </c>
      <c r="B467" s="227" t="s">
        <v>1559</v>
      </c>
      <c r="C467" s="227" t="s">
        <v>1776</v>
      </c>
      <c r="D467" s="228" t="s">
        <v>1777</v>
      </c>
      <c r="E467" s="363">
        <v>240824</v>
      </c>
      <c r="F467" s="342">
        <v>45401</v>
      </c>
      <c r="G467" s="230"/>
      <c r="H467" s="231"/>
      <c r="I467" s="231">
        <v>487560</v>
      </c>
      <c r="J467" s="226" t="s">
        <v>2388</v>
      </c>
      <c r="K467" s="226"/>
      <c r="L467" s="345">
        <v>487560</v>
      </c>
      <c r="M467" s="346">
        <v>0</v>
      </c>
      <c r="N467" s="226"/>
      <c r="O467" s="232"/>
      <c r="P467" s="232"/>
      <c r="Q467" s="232"/>
      <c r="R467" s="232"/>
      <c r="S467" s="414"/>
      <c r="T467" s="415"/>
      <c r="U467" s="414"/>
      <c r="V467" s="414"/>
      <c r="W467" s="414"/>
      <c r="X467" s="414"/>
      <c r="Y467" s="414"/>
      <c r="Z467" s="416"/>
      <c r="AA467" s="416"/>
      <c r="AB467" s="414"/>
      <c r="AC467" s="414"/>
      <c r="AD467" s="416"/>
      <c r="AE467" s="414"/>
      <c r="AF467" s="233"/>
    </row>
    <row r="468" spans="1:32">
      <c r="A468" s="225">
        <f t="shared" si="7"/>
        <v>459</v>
      </c>
      <c r="B468" s="227" t="s">
        <v>1560</v>
      </c>
      <c r="C468" s="227" t="s">
        <v>1780</v>
      </c>
      <c r="D468" s="228" t="s">
        <v>1781</v>
      </c>
      <c r="E468" s="363">
        <v>8622</v>
      </c>
      <c r="F468" s="342">
        <v>45383</v>
      </c>
      <c r="G468" s="230"/>
      <c r="H468" s="231"/>
      <c r="I468" s="231">
        <v>7842</v>
      </c>
      <c r="J468" s="226" t="s">
        <v>2389</v>
      </c>
      <c r="K468" s="226"/>
      <c r="L468" s="345"/>
      <c r="M468" s="346">
        <v>7842</v>
      </c>
      <c r="N468" s="226"/>
      <c r="O468" s="232"/>
      <c r="P468" s="232"/>
      <c r="Q468" s="232"/>
      <c r="R468" s="232"/>
      <c r="S468" s="414"/>
      <c r="T468" s="415"/>
      <c r="U468" s="414"/>
      <c r="V468" s="414"/>
      <c r="W468" s="414"/>
      <c r="X468" s="414"/>
      <c r="Y468" s="414"/>
      <c r="Z468" s="416"/>
      <c r="AA468" s="416"/>
      <c r="AB468" s="414"/>
      <c r="AC468" s="414"/>
      <c r="AD468" s="416"/>
      <c r="AE468" s="414"/>
      <c r="AF468" s="233"/>
    </row>
    <row r="469" spans="1:32">
      <c r="A469" s="225">
        <f t="shared" si="7"/>
        <v>460</v>
      </c>
      <c r="B469" s="227" t="s">
        <v>1561</v>
      </c>
      <c r="C469" s="227" t="s">
        <v>1776</v>
      </c>
      <c r="D469" s="228" t="s">
        <v>1777</v>
      </c>
      <c r="E469" s="363">
        <v>240660</v>
      </c>
      <c r="F469" s="342">
        <v>45383</v>
      </c>
      <c r="G469" s="230"/>
      <c r="H469" s="231"/>
      <c r="I469" s="231">
        <v>242280</v>
      </c>
      <c r="J469" s="226" t="s">
        <v>2388</v>
      </c>
      <c r="K469" s="226"/>
      <c r="L469" s="345">
        <v>242280</v>
      </c>
      <c r="M469" s="346">
        <v>0</v>
      </c>
      <c r="N469" s="226"/>
      <c r="O469" s="232"/>
      <c r="P469" s="232"/>
      <c r="Q469" s="232"/>
      <c r="R469" s="232"/>
      <c r="S469" s="414"/>
      <c r="T469" s="415"/>
      <c r="U469" s="414"/>
      <c r="V469" s="414"/>
      <c r="W469" s="414"/>
      <c r="X469" s="414"/>
      <c r="Y469" s="414"/>
      <c r="Z469" s="416"/>
      <c r="AA469" s="416"/>
      <c r="AB469" s="414"/>
      <c r="AC469" s="414"/>
      <c r="AD469" s="416"/>
      <c r="AE469" s="414"/>
      <c r="AF469" s="233"/>
    </row>
    <row r="470" spans="1:32">
      <c r="A470" s="225">
        <f t="shared" si="7"/>
        <v>461</v>
      </c>
      <c r="B470" s="227" t="s">
        <v>1458</v>
      </c>
      <c r="C470" s="227" t="s">
        <v>2065</v>
      </c>
      <c r="D470" s="228" t="s">
        <v>2066</v>
      </c>
      <c r="E470" s="363">
        <v>15</v>
      </c>
      <c r="F470" s="342">
        <v>45390</v>
      </c>
      <c r="G470" s="230"/>
      <c r="H470" s="231"/>
      <c r="I470" s="231">
        <v>48480</v>
      </c>
      <c r="J470" s="226" t="s">
        <v>2388</v>
      </c>
      <c r="K470" s="226"/>
      <c r="L470" s="345">
        <v>48480</v>
      </c>
      <c r="M470" s="346">
        <v>0</v>
      </c>
      <c r="N470" s="226"/>
      <c r="O470" s="232"/>
      <c r="P470" s="232"/>
      <c r="Q470" s="232"/>
      <c r="R470" s="232"/>
      <c r="S470" s="414"/>
      <c r="T470" s="415"/>
      <c r="U470" s="414"/>
      <c r="V470" s="414"/>
      <c r="W470" s="414"/>
      <c r="X470" s="414"/>
      <c r="Y470" s="414"/>
      <c r="Z470" s="416"/>
      <c r="AA470" s="416"/>
      <c r="AB470" s="414"/>
      <c r="AC470" s="414"/>
      <c r="AD470" s="416"/>
      <c r="AE470" s="414"/>
      <c r="AF470" s="233"/>
    </row>
    <row r="471" spans="1:32">
      <c r="A471" s="225">
        <f t="shared" si="7"/>
        <v>462</v>
      </c>
      <c r="B471" s="227" t="s">
        <v>1562</v>
      </c>
      <c r="C471" s="227" t="s">
        <v>1789</v>
      </c>
      <c r="D471" s="228" t="s">
        <v>1790</v>
      </c>
      <c r="E471" s="363" t="s">
        <v>2168</v>
      </c>
      <c r="F471" s="342">
        <v>45443</v>
      </c>
      <c r="G471" s="230"/>
      <c r="H471" s="231"/>
      <c r="I471" s="231">
        <v>18828</v>
      </c>
      <c r="J471" s="226" t="s">
        <v>2388</v>
      </c>
      <c r="K471" s="226"/>
      <c r="L471" s="345">
        <v>18828</v>
      </c>
      <c r="M471" s="346">
        <v>0</v>
      </c>
      <c r="N471" s="226" t="s">
        <v>2395</v>
      </c>
      <c r="O471" s="232"/>
      <c r="P471" s="232"/>
      <c r="Q471" s="232"/>
      <c r="R471" s="232"/>
      <c r="S471" s="414"/>
      <c r="T471" s="415"/>
      <c r="U471" s="414"/>
      <c r="V471" s="414"/>
      <c r="W471" s="414"/>
      <c r="X471" s="414"/>
      <c r="Y471" s="414"/>
      <c r="Z471" s="416"/>
      <c r="AA471" s="416"/>
      <c r="AB471" s="414"/>
      <c r="AC471" s="414"/>
      <c r="AD471" s="416"/>
      <c r="AE471" s="414"/>
      <c r="AF471" s="233"/>
    </row>
    <row r="472" spans="1:32">
      <c r="A472" s="225">
        <f t="shared" si="7"/>
        <v>463</v>
      </c>
      <c r="B472" s="227" t="s">
        <v>1563</v>
      </c>
      <c r="C472" s="227" t="s">
        <v>1763</v>
      </c>
      <c r="D472" s="228" t="s">
        <v>1764</v>
      </c>
      <c r="E472" s="363" t="s">
        <v>2169</v>
      </c>
      <c r="F472" s="342">
        <v>45443</v>
      </c>
      <c r="G472" s="230"/>
      <c r="H472" s="231"/>
      <c r="I472" s="231">
        <v>2043668</v>
      </c>
      <c r="J472" s="226" t="s">
        <v>2391</v>
      </c>
      <c r="K472" s="226"/>
      <c r="L472" s="345"/>
      <c r="M472" s="346">
        <v>2043668</v>
      </c>
      <c r="N472" s="226" t="s">
        <v>2408</v>
      </c>
      <c r="O472" s="232"/>
      <c r="P472" s="232"/>
      <c r="Q472" s="232"/>
      <c r="R472" s="232"/>
      <c r="S472" s="414"/>
      <c r="T472" s="415"/>
      <c r="U472" s="414"/>
      <c r="V472" s="414"/>
      <c r="W472" s="414"/>
      <c r="X472" s="414"/>
      <c r="Y472" s="414"/>
      <c r="Z472" s="416"/>
      <c r="AA472" s="416"/>
      <c r="AB472" s="414"/>
      <c r="AC472" s="414"/>
      <c r="AD472" s="416"/>
      <c r="AE472" s="414"/>
      <c r="AF472" s="233"/>
    </row>
    <row r="473" spans="1:32">
      <c r="A473" s="225">
        <f t="shared" si="7"/>
        <v>464</v>
      </c>
      <c r="B473" s="227" t="s">
        <v>1564</v>
      </c>
      <c r="C473" s="227" t="s">
        <v>1760</v>
      </c>
      <c r="D473" s="228" t="s">
        <v>1761</v>
      </c>
      <c r="E473" s="363" t="s">
        <v>2170</v>
      </c>
      <c r="F473" s="342">
        <v>45442</v>
      </c>
      <c r="G473" s="230"/>
      <c r="H473" s="231"/>
      <c r="I473" s="231">
        <v>1636000</v>
      </c>
      <c r="J473" s="226" t="s">
        <v>2388</v>
      </c>
      <c r="K473" s="226"/>
      <c r="L473" s="345">
        <v>1636000</v>
      </c>
      <c r="M473" s="346">
        <v>0</v>
      </c>
      <c r="N473" s="226"/>
      <c r="O473" s="232"/>
      <c r="P473" s="232"/>
      <c r="Q473" s="232"/>
      <c r="R473" s="232"/>
      <c r="S473" s="414"/>
      <c r="T473" s="415"/>
      <c r="U473" s="414"/>
      <c r="V473" s="414"/>
      <c r="W473" s="414"/>
      <c r="X473" s="414"/>
      <c r="Y473" s="414"/>
      <c r="Z473" s="416"/>
      <c r="AA473" s="416"/>
      <c r="AB473" s="414"/>
      <c r="AC473" s="414"/>
      <c r="AD473" s="416"/>
      <c r="AE473" s="414"/>
      <c r="AF473" s="233"/>
    </row>
    <row r="474" spans="1:32">
      <c r="A474" s="225">
        <f t="shared" si="7"/>
        <v>465</v>
      </c>
      <c r="B474" s="227" t="s">
        <v>1565</v>
      </c>
      <c r="C474" s="227" t="s">
        <v>1771</v>
      </c>
      <c r="D474" s="228" t="s">
        <v>1772</v>
      </c>
      <c r="E474" s="363" t="s">
        <v>2171</v>
      </c>
      <c r="F474" s="342">
        <v>45442</v>
      </c>
      <c r="G474" s="230"/>
      <c r="H474" s="231"/>
      <c r="I474" s="231">
        <v>81800</v>
      </c>
      <c r="J474" s="226" t="s">
        <v>2388</v>
      </c>
      <c r="K474" s="226"/>
      <c r="L474" s="345">
        <v>81800</v>
      </c>
      <c r="M474" s="346">
        <v>0</v>
      </c>
      <c r="N474" s="226"/>
      <c r="O474" s="232"/>
      <c r="P474" s="232"/>
      <c r="Q474" s="232"/>
      <c r="R474" s="232"/>
      <c r="S474" s="414"/>
      <c r="T474" s="415"/>
      <c r="U474" s="414"/>
      <c r="V474" s="414"/>
      <c r="W474" s="414"/>
      <c r="X474" s="414"/>
      <c r="Y474" s="414"/>
      <c r="Z474" s="416"/>
      <c r="AA474" s="416"/>
      <c r="AB474" s="414"/>
      <c r="AC474" s="414"/>
      <c r="AD474" s="416"/>
      <c r="AE474" s="414"/>
      <c r="AF474" s="233"/>
    </row>
    <row r="475" spans="1:32">
      <c r="A475" s="225">
        <f t="shared" si="7"/>
        <v>466</v>
      </c>
      <c r="B475" s="227" t="s">
        <v>1566</v>
      </c>
      <c r="C475" s="227" t="s">
        <v>1766</v>
      </c>
      <c r="D475" s="228" t="s">
        <v>1767</v>
      </c>
      <c r="E475" s="363" t="s">
        <v>2172</v>
      </c>
      <c r="F475" s="342">
        <v>45441</v>
      </c>
      <c r="G475" s="230"/>
      <c r="H475" s="231"/>
      <c r="I475" s="231">
        <v>2859500</v>
      </c>
      <c r="J475" s="226" t="s">
        <v>2388</v>
      </c>
      <c r="K475" s="226"/>
      <c r="L475" s="345">
        <v>2859500</v>
      </c>
      <c r="M475" s="346">
        <v>0</v>
      </c>
      <c r="N475" s="226"/>
      <c r="O475" s="232"/>
      <c r="P475" s="232"/>
      <c r="Q475" s="232"/>
      <c r="R475" s="232"/>
      <c r="S475" s="414"/>
      <c r="T475" s="415"/>
      <c r="U475" s="414"/>
      <c r="V475" s="414"/>
      <c r="W475" s="414"/>
      <c r="X475" s="414"/>
      <c r="Y475" s="414"/>
      <c r="Z475" s="416"/>
      <c r="AA475" s="416"/>
      <c r="AB475" s="414"/>
      <c r="AC475" s="414"/>
      <c r="AD475" s="416"/>
      <c r="AE475" s="414"/>
      <c r="AF475" s="233"/>
    </row>
    <row r="476" spans="1:32">
      <c r="A476" s="225">
        <f t="shared" si="7"/>
        <v>467</v>
      </c>
      <c r="B476" s="227" t="s">
        <v>1567</v>
      </c>
      <c r="C476" s="227" t="s">
        <v>1774</v>
      </c>
      <c r="D476" s="228" t="s">
        <v>1775</v>
      </c>
      <c r="E476" s="363" t="s">
        <v>2173</v>
      </c>
      <c r="F476" s="342">
        <v>45440</v>
      </c>
      <c r="G476" s="230"/>
      <c r="H476" s="231"/>
      <c r="I476" s="231">
        <v>67370</v>
      </c>
      <c r="J476" s="226" t="s">
        <v>2388</v>
      </c>
      <c r="K476" s="226"/>
      <c r="L476" s="345">
        <v>67370</v>
      </c>
      <c r="M476" s="346">
        <v>0</v>
      </c>
      <c r="N476" s="226" t="s">
        <v>2394</v>
      </c>
      <c r="O476" s="232"/>
      <c r="P476" s="232"/>
      <c r="Q476" s="232"/>
      <c r="R476" s="232"/>
      <c r="S476" s="414"/>
      <c r="T476" s="415"/>
      <c r="U476" s="414"/>
      <c r="V476" s="414"/>
      <c r="W476" s="414"/>
      <c r="X476" s="414"/>
      <c r="Y476" s="414"/>
      <c r="Z476" s="416"/>
      <c r="AA476" s="416"/>
      <c r="AB476" s="414"/>
      <c r="AC476" s="414"/>
      <c r="AD476" s="416"/>
      <c r="AE476" s="414"/>
      <c r="AF476" s="233"/>
    </row>
    <row r="477" spans="1:32">
      <c r="A477" s="225">
        <f t="shared" si="7"/>
        <v>468</v>
      </c>
      <c r="B477" s="227" t="s">
        <v>1276</v>
      </c>
      <c r="C477" s="227" t="s">
        <v>1869</v>
      </c>
      <c r="D477" s="228" t="s">
        <v>1870</v>
      </c>
      <c r="E477" s="363" t="s">
        <v>2174</v>
      </c>
      <c r="F477" s="342">
        <v>45439</v>
      </c>
      <c r="G477" s="230"/>
      <c r="H477" s="231"/>
      <c r="I477" s="231">
        <v>367290</v>
      </c>
      <c r="J477" s="226" t="s">
        <v>2388</v>
      </c>
      <c r="K477" s="226"/>
      <c r="L477" s="345">
        <v>367290</v>
      </c>
      <c r="M477" s="346">
        <v>0</v>
      </c>
      <c r="N477" s="226"/>
      <c r="O477" s="232"/>
      <c r="P477" s="232"/>
      <c r="Q477" s="232"/>
      <c r="R477" s="232"/>
      <c r="S477" s="414"/>
      <c r="T477" s="415"/>
      <c r="U477" s="414"/>
      <c r="V477" s="414"/>
      <c r="W477" s="414"/>
      <c r="X477" s="414"/>
      <c r="Y477" s="414"/>
      <c r="Z477" s="416"/>
      <c r="AA477" s="416"/>
      <c r="AB477" s="414"/>
      <c r="AC477" s="414"/>
      <c r="AD477" s="416"/>
      <c r="AE477" s="414"/>
      <c r="AF477" s="233"/>
    </row>
    <row r="478" spans="1:32">
      <c r="A478" s="225">
        <f t="shared" si="7"/>
        <v>469</v>
      </c>
      <c r="B478" s="227" t="s">
        <v>1568</v>
      </c>
      <c r="C478" s="227" t="s">
        <v>1923</v>
      </c>
      <c r="D478" s="228" t="s">
        <v>1924</v>
      </c>
      <c r="E478" s="363" t="s">
        <v>2175</v>
      </c>
      <c r="F478" s="342">
        <v>45436</v>
      </c>
      <c r="G478" s="230"/>
      <c r="H478" s="231"/>
      <c r="I478" s="231">
        <v>330399</v>
      </c>
      <c r="J478" s="226" t="s">
        <v>2388</v>
      </c>
      <c r="K478" s="226"/>
      <c r="L478" s="345">
        <v>330399</v>
      </c>
      <c r="M478" s="346">
        <v>0</v>
      </c>
      <c r="N478" s="226"/>
      <c r="O478" s="232"/>
      <c r="P478" s="232"/>
      <c r="Q478" s="232"/>
      <c r="R478" s="232"/>
      <c r="S478" s="414"/>
      <c r="T478" s="415"/>
      <c r="U478" s="414"/>
      <c r="V478" s="414"/>
      <c r="W478" s="414"/>
      <c r="X478" s="414"/>
      <c r="Y478" s="414"/>
      <c r="Z478" s="416"/>
      <c r="AA478" s="416"/>
      <c r="AB478" s="414"/>
      <c r="AC478" s="414"/>
      <c r="AD478" s="416"/>
      <c r="AE478" s="414"/>
      <c r="AF478" s="233"/>
    </row>
    <row r="479" spans="1:32">
      <c r="A479" s="225">
        <f t="shared" si="7"/>
        <v>470</v>
      </c>
      <c r="B479" s="227" t="s">
        <v>1569</v>
      </c>
      <c r="C479" s="227" t="s">
        <v>1776</v>
      </c>
      <c r="D479" s="228" t="s">
        <v>1777</v>
      </c>
      <c r="E479" s="363">
        <v>240984</v>
      </c>
      <c r="F479" s="342">
        <v>45433</v>
      </c>
      <c r="G479" s="230"/>
      <c r="H479" s="231"/>
      <c r="I479" s="231">
        <v>315967</v>
      </c>
      <c r="J479" s="226" t="s">
        <v>2388</v>
      </c>
      <c r="K479" s="226"/>
      <c r="L479" s="345">
        <v>315967</v>
      </c>
      <c r="M479" s="346">
        <v>0</v>
      </c>
      <c r="N479" s="226"/>
      <c r="O479" s="232"/>
      <c r="P479" s="232"/>
      <c r="Q479" s="232"/>
      <c r="R479" s="232"/>
      <c r="S479" s="414"/>
      <c r="T479" s="415"/>
      <c r="U479" s="414"/>
      <c r="V479" s="414"/>
      <c r="W479" s="414"/>
      <c r="X479" s="414"/>
      <c r="Y479" s="414"/>
      <c r="Z479" s="416"/>
      <c r="AA479" s="416"/>
      <c r="AB479" s="414"/>
      <c r="AC479" s="414"/>
      <c r="AD479" s="416"/>
      <c r="AE479" s="414"/>
      <c r="AF479" s="233"/>
    </row>
    <row r="480" spans="1:32">
      <c r="A480" s="225">
        <f t="shared" si="7"/>
        <v>471</v>
      </c>
      <c r="B480" s="227" t="s">
        <v>1191</v>
      </c>
      <c r="C480" s="227" t="s">
        <v>1776</v>
      </c>
      <c r="D480" s="228" t="s">
        <v>1777</v>
      </c>
      <c r="E480" s="363">
        <v>240846</v>
      </c>
      <c r="F480" s="342">
        <v>45414</v>
      </c>
      <c r="G480" s="230"/>
      <c r="H480" s="231"/>
      <c r="I480" s="231">
        <v>243960</v>
      </c>
      <c r="J480" s="226" t="s">
        <v>2388</v>
      </c>
      <c r="K480" s="226"/>
      <c r="L480" s="345">
        <v>243960</v>
      </c>
      <c r="M480" s="346">
        <v>0</v>
      </c>
      <c r="N480" s="226"/>
      <c r="O480" s="232"/>
      <c r="P480" s="232"/>
      <c r="Q480" s="232"/>
      <c r="R480" s="232"/>
      <c r="S480" s="414"/>
      <c r="T480" s="415"/>
      <c r="U480" s="414"/>
      <c r="V480" s="414"/>
      <c r="W480" s="414"/>
      <c r="X480" s="414"/>
      <c r="Y480" s="414"/>
      <c r="Z480" s="416"/>
      <c r="AA480" s="416"/>
      <c r="AB480" s="414"/>
      <c r="AC480" s="414"/>
      <c r="AD480" s="416"/>
      <c r="AE480" s="414"/>
      <c r="AF480" s="233"/>
    </row>
    <row r="481" spans="1:32">
      <c r="A481" s="225">
        <f t="shared" si="7"/>
        <v>472</v>
      </c>
      <c r="B481" s="227" t="s">
        <v>1193</v>
      </c>
      <c r="C481" s="227" t="s">
        <v>1780</v>
      </c>
      <c r="D481" s="228" t="s">
        <v>1781</v>
      </c>
      <c r="E481" s="363">
        <v>8628</v>
      </c>
      <c r="F481" s="342">
        <v>45413</v>
      </c>
      <c r="G481" s="230"/>
      <c r="H481" s="231"/>
      <c r="I481" s="231">
        <v>8599</v>
      </c>
      <c r="J481" s="226" t="s">
        <v>2389</v>
      </c>
      <c r="K481" s="226"/>
      <c r="L481" s="345"/>
      <c r="M481" s="346">
        <v>8599</v>
      </c>
      <c r="N481" s="226"/>
      <c r="O481" s="232"/>
      <c r="P481" s="232"/>
      <c r="Q481" s="232"/>
      <c r="R481" s="232"/>
      <c r="S481" s="414"/>
      <c r="T481" s="415"/>
      <c r="U481" s="414"/>
      <c r="V481" s="414"/>
      <c r="W481" s="414"/>
      <c r="X481" s="414"/>
      <c r="Y481" s="414"/>
      <c r="Z481" s="416"/>
      <c r="AA481" s="416"/>
      <c r="AB481" s="414"/>
      <c r="AC481" s="414"/>
      <c r="AD481" s="416"/>
      <c r="AE481" s="414"/>
      <c r="AF481" s="233"/>
    </row>
    <row r="482" spans="1:32">
      <c r="A482" s="225">
        <f t="shared" si="7"/>
        <v>473</v>
      </c>
      <c r="B482" s="227" t="s">
        <v>1570</v>
      </c>
      <c r="C482" s="227" t="s">
        <v>2067</v>
      </c>
      <c r="D482" s="228" t="s">
        <v>2068</v>
      </c>
      <c r="E482" s="363" t="s">
        <v>2176</v>
      </c>
      <c r="F482" s="342">
        <v>45414</v>
      </c>
      <c r="G482" s="230"/>
      <c r="H482" s="231"/>
      <c r="I482" s="231">
        <v>472063</v>
      </c>
      <c r="J482" s="226" t="s">
        <v>2388</v>
      </c>
      <c r="K482" s="226"/>
      <c r="L482" s="345">
        <v>472063</v>
      </c>
      <c r="M482" s="346">
        <v>0</v>
      </c>
      <c r="N482" s="226"/>
      <c r="O482" s="232"/>
      <c r="P482" s="232"/>
      <c r="Q482" s="232"/>
      <c r="R482" s="232"/>
      <c r="S482" s="414"/>
      <c r="T482" s="415"/>
      <c r="U482" s="414"/>
      <c r="V482" s="414"/>
      <c r="W482" s="414"/>
      <c r="X482" s="414"/>
      <c r="Y482" s="414"/>
      <c r="Z482" s="416"/>
      <c r="AA482" s="416"/>
      <c r="AB482" s="414"/>
      <c r="AC482" s="414"/>
      <c r="AD482" s="416"/>
      <c r="AE482" s="414"/>
      <c r="AF482" s="233"/>
    </row>
    <row r="483" spans="1:32">
      <c r="A483" s="225">
        <f t="shared" si="7"/>
        <v>474</v>
      </c>
      <c r="B483" s="227" t="s">
        <v>1571</v>
      </c>
      <c r="C483" s="227" t="s">
        <v>1789</v>
      </c>
      <c r="D483" s="228" t="s">
        <v>1790</v>
      </c>
      <c r="E483" s="363" t="s">
        <v>2177</v>
      </c>
      <c r="F483" s="342">
        <v>45441</v>
      </c>
      <c r="G483" s="230"/>
      <c r="H483" s="231"/>
      <c r="I483" s="231">
        <v>28595</v>
      </c>
      <c r="J483" s="226" t="s">
        <v>2388</v>
      </c>
      <c r="K483" s="226"/>
      <c r="L483" s="345">
        <v>28595</v>
      </c>
      <c r="M483" s="346">
        <v>0</v>
      </c>
      <c r="N483" s="226" t="s">
        <v>2395</v>
      </c>
      <c r="O483" s="232"/>
      <c r="P483" s="232"/>
      <c r="Q483" s="232"/>
      <c r="R483" s="232"/>
      <c r="S483" s="414"/>
      <c r="T483" s="415"/>
      <c r="U483" s="414"/>
      <c r="V483" s="414"/>
      <c r="W483" s="414"/>
      <c r="X483" s="414"/>
      <c r="Y483" s="414"/>
      <c r="Z483" s="416"/>
      <c r="AA483" s="416"/>
      <c r="AB483" s="414"/>
      <c r="AC483" s="414"/>
      <c r="AD483" s="416"/>
      <c r="AE483" s="414"/>
      <c r="AF483" s="233"/>
    </row>
    <row r="484" spans="1:32">
      <c r="A484" s="225">
        <f t="shared" si="7"/>
        <v>475</v>
      </c>
      <c r="B484" s="227" t="s">
        <v>1572</v>
      </c>
      <c r="C484" s="227" t="s">
        <v>2178</v>
      </c>
      <c r="D484" s="228" t="s">
        <v>2179</v>
      </c>
      <c r="E484" s="363" t="s">
        <v>2180</v>
      </c>
      <c r="F484" s="342">
        <v>45442</v>
      </c>
      <c r="G484" s="230"/>
      <c r="H484" s="231"/>
      <c r="I484" s="231">
        <v>116565</v>
      </c>
      <c r="J484" s="226" t="s">
        <v>2388</v>
      </c>
      <c r="K484" s="226"/>
      <c r="L484" s="345">
        <v>116565</v>
      </c>
      <c r="M484" s="346">
        <v>0</v>
      </c>
      <c r="N484" s="226" t="s">
        <v>2394</v>
      </c>
      <c r="O484" s="232"/>
      <c r="P484" s="232"/>
      <c r="Q484" s="232"/>
      <c r="R484" s="232"/>
      <c r="S484" s="414"/>
      <c r="T484" s="415"/>
      <c r="U484" s="414"/>
      <c r="V484" s="414"/>
      <c r="W484" s="414"/>
      <c r="X484" s="414"/>
      <c r="Y484" s="414"/>
      <c r="Z484" s="416"/>
      <c r="AA484" s="416"/>
      <c r="AB484" s="414"/>
      <c r="AC484" s="414"/>
      <c r="AD484" s="416"/>
      <c r="AE484" s="414"/>
      <c r="AF484" s="233"/>
    </row>
    <row r="485" spans="1:32">
      <c r="A485" s="225">
        <f t="shared" si="7"/>
        <v>476</v>
      </c>
      <c r="B485" s="227" t="s">
        <v>1573</v>
      </c>
      <c r="C485" s="227" t="s">
        <v>2067</v>
      </c>
      <c r="D485" s="228" t="s">
        <v>2068</v>
      </c>
      <c r="E485" s="363" t="s">
        <v>2181</v>
      </c>
      <c r="F485" s="342">
        <v>45414</v>
      </c>
      <c r="G485" s="230"/>
      <c r="H485" s="231"/>
      <c r="I485" s="231">
        <v>337478</v>
      </c>
      <c r="J485" s="226" t="s">
        <v>2388</v>
      </c>
      <c r="K485" s="226"/>
      <c r="L485" s="345">
        <v>337478</v>
      </c>
      <c r="M485" s="346">
        <v>0</v>
      </c>
      <c r="N485" s="226"/>
      <c r="O485" s="232"/>
      <c r="P485" s="232"/>
      <c r="Q485" s="232"/>
      <c r="R485" s="232"/>
      <c r="S485" s="414"/>
      <c r="T485" s="415"/>
      <c r="U485" s="414"/>
      <c r="V485" s="414"/>
      <c r="W485" s="414"/>
      <c r="X485" s="414"/>
      <c r="Y485" s="414"/>
      <c r="Z485" s="416"/>
      <c r="AA485" s="416"/>
      <c r="AB485" s="414"/>
      <c r="AC485" s="414"/>
      <c r="AD485" s="416"/>
      <c r="AE485" s="414"/>
      <c r="AF485" s="233"/>
    </row>
    <row r="486" spans="1:32">
      <c r="A486" s="225">
        <f t="shared" si="7"/>
        <v>477</v>
      </c>
      <c r="B486" s="227" t="s">
        <v>1574</v>
      </c>
      <c r="C486" s="227" t="s">
        <v>1789</v>
      </c>
      <c r="D486" s="228" t="s">
        <v>1790</v>
      </c>
      <c r="E486" s="363" t="s">
        <v>2182</v>
      </c>
      <c r="F486" s="342">
        <v>45441</v>
      </c>
      <c r="G486" s="230"/>
      <c r="H486" s="231"/>
      <c r="I486" s="231">
        <v>18791</v>
      </c>
      <c r="J486" s="226" t="s">
        <v>2388</v>
      </c>
      <c r="K486" s="226"/>
      <c r="L486" s="345">
        <v>18791</v>
      </c>
      <c r="M486" s="346">
        <v>0</v>
      </c>
      <c r="N486" s="226" t="s">
        <v>2395</v>
      </c>
      <c r="O486" s="232"/>
      <c r="P486" s="232"/>
      <c r="Q486" s="232"/>
      <c r="R486" s="232"/>
      <c r="S486" s="414"/>
      <c r="T486" s="415"/>
      <c r="U486" s="414"/>
      <c r="V486" s="414"/>
      <c r="W486" s="414"/>
      <c r="X486" s="414"/>
      <c r="Y486" s="414"/>
      <c r="Z486" s="416"/>
      <c r="AA486" s="416"/>
      <c r="AB486" s="414"/>
      <c r="AC486" s="414"/>
      <c r="AD486" s="416"/>
      <c r="AE486" s="414"/>
      <c r="AF486" s="233"/>
    </row>
    <row r="487" spans="1:32">
      <c r="A487" s="225">
        <f t="shared" si="7"/>
        <v>478</v>
      </c>
      <c r="B487" s="227" t="s">
        <v>1575</v>
      </c>
      <c r="C487" s="227" t="s">
        <v>2067</v>
      </c>
      <c r="D487" s="228" t="s">
        <v>2068</v>
      </c>
      <c r="E487" s="363" t="s">
        <v>2183</v>
      </c>
      <c r="F487" s="342">
        <v>45414</v>
      </c>
      <c r="G487" s="230"/>
      <c r="H487" s="231"/>
      <c r="I487" s="231">
        <v>472063</v>
      </c>
      <c r="J487" s="226" t="s">
        <v>2388</v>
      </c>
      <c r="K487" s="226"/>
      <c r="L487" s="345">
        <v>472063</v>
      </c>
      <c r="M487" s="346">
        <v>0</v>
      </c>
      <c r="N487" s="226"/>
      <c r="O487" s="232"/>
      <c r="P487" s="232"/>
      <c r="Q487" s="232"/>
      <c r="R487" s="232"/>
      <c r="S487" s="414"/>
      <c r="T487" s="415"/>
      <c r="U487" s="414"/>
      <c r="V487" s="414"/>
      <c r="W487" s="414"/>
      <c r="X487" s="414"/>
      <c r="Y487" s="414"/>
      <c r="Z487" s="416"/>
      <c r="AA487" s="416"/>
      <c r="AB487" s="414"/>
      <c r="AC487" s="414"/>
      <c r="AD487" s="416"/>
      <c r="AE487" s="414"/>
      <c r="AF487" s="233"/>
    </row>
    <row r="488" spans="1:32">
      <c r="A488" s="225">
        <f t="shared" si="7"/>
        <v>479</v>
      </c>
      <c r="B488" s="227" t="s">
        <v>1576</v>
      </c>
      <c r="C488" s="227" t="s">
        <v>1789</v>
      </c>
      <c r="D488" s="228" t="s">
        <v>1790</v>
      </c>
      <c r="E488" s="363" t="s">
        <v>2184</v>
      </c>
      <c r="F488" s="342">
        <v>45441</v>
      </c>
      <c r="G488" s="230"/>
      <c r="H488" s="231"/>
      <c r="I488" s="231">
        <v>28595</v>
      </c>
      <c r="J488" s="226" t="s">
        <v>2388</v>
      </c>
      <c r="K488" s="226"/>
      <c r="L488" s="345">
        <v>28595</v>
      </c>
      <c r="M488" s="346">
        <v>0</v>
      </c>
      <c r="N488" s="226" t="s">
        <v>2395</v>
      </c>
      <c r="O488" s="232"/>
      <c r="P488" s="232"/>
      <c r="Q488" s="232"/>
      <c r="R488" s="232"/>
      <c r="S488" s="414"/>
      <c r="T488" s="415"/>
      <c r="U488" s="414"/>
      <c r="V488" s="414"/>
      <c r="W488" s="414"/>
      <c r="X488" s="414"/>
      <c r="Y488" s="414"/>
      <c r="Z488" s="416"/>
      <c r="AA488" s="416"/>
      <c r="AB488" s="414"/>
      <c r="AC488" s="414"/>
      <c r="AD488" s="416"/>
      <c r="AE488" s="414"/>
      <c r="AF488" s="233"/>
    </row>
    <row r="489" spans="1:32">
      <c r="A489" s="225">
        <f t="shared" si="7"/>
        <v>480</v>
      </c>
      <c r="B489" s="227" t="s">
        <v>1577</v>
      </c>
      <c r="C489" s="227" t="s">
        <v>2067</v>
      </c>
      <c r="D489" s="228" t="s">
        <v>2068</v>
      </c>
      <c r="E489" s="363" t="s">
        <v>2185</v>
      </c>
      <c r="F489" s="342">
        <v>45414</v>
      </c>
      <c r="G489" s="230"/>
      <c r="H489" s="231"/>
      <c r="I489" s="231">
        <v>577779</v>
      </c>
      <c r="J489" s="226" t="s">
        <v>2388</v>
      </c>
      <c r="K489" s="226"/>
      <c r="L489" s="345">
        <v>577779</v>
      </c>
      <c r="M489" s="346">
        <v>0</v>
      </c>
      <c r="N489" s="226"/>
      <c r="O489" s="232"/>
      <c r="P489" s="232"/>
      <c r="Q489" s="232"/>
      <c r="R489" s="232"/>
      <c r="S489" s="414"/>
      <c r="T489" s="415"/>
      <c r="U489" s="414"/>
      <c r="V489" s="414"/>
      <c r="W489" s="414"/>
      <c r="X489" s="414"/>
      <c r="Y489" s="414"/>
      <c r="Z489" s="416"/>
      <c r="AA489" s="416"/>
      <c r="AB489" s="414"/>
      <c r="AC489" s="414"/>
      <c r="AD489" s="416"/>
      <c r="AE489" s="414"/>
      <c r="AF489" s="233"/>
    </row>
    <row r="490" spans="1:32">
      <c r="A490" s="225">
        <f t="shared" si="7"/>
        <v>481</v>
      </c>
      <c r="B490" s="227" t="s">
        <v>1578</v>
      </c>
      <c r="C490" s="227" t="s">
        <v>2067</v>
      </c>
      <c r="D490" s="228" t="s">
        <v>2068</v>
      </c>
      <c r="E490" s="363" t="s">
        <v>2186</v>
      </c>
      <c r="F490" s="342">
        <v>45414</v>
      </c>
      <c r="G490" s="230"/>
      <c r="H490" s="231"/>
      <c r="I490" s="231">
        <v>472063</v>
      </c>
      <c r="J490" s="226" t="s">
        <v>2388</v>
      </c>
      <c r="K490" s="226"/>
      <c r="L490" s="345">
        <v>472063</v>
      </c>
      <c r="M490" s="346">
        <v>0</v>
      </c>
      <c r="N490" s="226"/>
      <c r="O490" s="232"/>
      <c r="P490" s="232"/>
      <c r="Q490" s="232"/>
      <c r="R490" s="232"/>
      <c r="S490" s="414"/>
      <c r="T490" s="415"/>
      <c r="U490" s="414"/>
      <c r="V490" s="414"/>
      <c r="W490" s="414"/>
      <c r="X490" s="414"/>
      <c r="Y490" s="414"/>
      <c r="Z490" s="416"/>
      <c r="AA490" s="416"/>
      <c r="AB490" s="414"/>
      <c r="AC490" s="414"/>
      <c r="AD490" s="416"/>
      <c r="AE490" s="414"/>
      <c r="AF490" s="233"/>
    </row>
    <row r="491" spans="1:32">
      <c r="A491" s="225">
        <f t="shared" si="7"/>
        <v>482</v>
      </c>
      <c r="B491" s="227" t="s">
        <v>1579</v>
      </c>
      <c r="C491" s="227" t="s">
        <v>1789</v>
      </c>
      <c r="D491" s="228" t="s">
        <v>1790</v>
      </c>
      <c r="E491" s="363" t="s">
        <v>2187</v>
      </c>
      <c r="F491" s="342">
        <v>45425</v>
      </c>
      <c r="G491" s="230"/>
      <c r="H491" s="231"/>
      <c r="I491" s="231">
        <v>57078</v>
      </c>
      <c r="J491" s="226" t="s">
        <v>2388</v>
      </c>
      <c r="K491" s="226"/>
      <c r="L491" s="345">
        <v>57078</v>
      </c>
      <c r="M491" s="346">
        <v>0</v>
      </c>
      <c r="N491" s="226" t="s">
        <v>2395</v>
      </c>
      <c r="O491" s="232"/>
      <c r="P491" s="232"/>
      <c r="Q491" s="232"/>
      <c r="R491" s="232"/>
      <c r="S491" s="414"/>
      <c r="T491" s="415"/>
      <c r="U491" s="414"/>
      <c r="V491" s="414"/>
      <c r="W491" s="414"/>
      <c r="X491" s="414"/>
      <c r="Y491" s="414"/>
      <c r="Z491" s="416"/>
      <c r="AA491" s="416"/>
      <c r="AB491" s="414"/>
      <c r="AC491" s="414"/>
      <c r="AD491" s="416"/>
      <c r="AE491" s="414"/>
      <c r="AF491" s="233"/>
    </row>
    <row r="492" spans="1:32">
      <c r="A492" s="225">
        <f t="shared" si="7"/>
        <v>483</v>
      </c>
      <c r="B492" s="227" t="s">
        <v>1580</v>
      </c>
      <c r="C492" s="227" t="s">
        <v>2067</v>
      </c>
      <c r="D492" s="228" t="s">
        <v>2068</v>
      </c>
      <c r="E492" s="363" t="s">
        <v>2188</v>
      </c>
      <c r="F492" s="342">
        <v>45414</v>
      </c>
      <c r="G492" s="230"/>
      <c r="H492" s="231"/>
      <c r="I492" s="231">
        <v>577779</v>
      </c>
      <c r="J492" s="226" t="s">
        <v>2388</v>
      </c>
      <c r="K492" s="226"/>
      <c r="L492" s="345">
        <v>577779</v>
      </c>
      <c r="M492" s="346">
        <v>0</v>
      </c>
      <c r="N492" s="226"/>
      <c r="O492" s="232"/>
      <c r="P492" s="232"/>
      <c r="Q492" s="232"/>
      <c r="R492" s="232"/>
      <c r="S492" s="414"/>
      <c r="T492" s="415"/>
      <c r="U492" s="414"/>
      <c r="V492" s="414"/>
      <c r="W492" s="414"/>
      <c r="X492" s="414"/>
      <c r="Y492" s="414"/>
      <c r="Z492" s="416"/>
      <c r="AA492" s="416"/>
      <c r="AB492" s="414"/>
      <c r="AC492" s="414"/>
      <c r="AD492" s="416"/>
      <c r="AE492" s="414"/>
      <c r="AF492" s="233"/>
    </row>
    <row r="493" spans="1:32">
      <c r="A493" s="225">
        <f t="shared" si="7"/>
        <v>484</v>
      </c>
      <c r="B493" s="227" t="s">
        <v>1581</v>
      </c>
      <c r="C493" s="227" t="s">
        <v>1789</v>
      </c>
      <c r="D493" s="228" t="s">
        <v>1790</v>
      </c>
      <c r="E493" s="363" t="s">
        <v>2189</v>
      </c>
      <c r="F493" s="342">
        <v>45425</v>
      </c>
      <c r="G493" s="230"/>
      <c r="H493" s="231"/>
      <c r="I493" s="231">
        <v>28539</v>
      </c>
      <c r="J493" s="226" t="s">
        <v>2388</v>
      </c>
      <c r="K493" s="226"/>
      <c r="L493" s="345">
        <v>28539</v>
      </c>
      <c r="M493" s="346">
        <v>0</v>
      </c>
      <c r="N493" s="226" t="s">
        <v>2395</v>
      </c>
      <c r="O493" s="232"/>
      <c r="P493" s="232"/>
      <c r="Q493" s="232"/>
      <c r="R493" s="232"/>
      <c r="S493" s="414"/>
      <c r="T493" s="415"/>
      <c r="U493" s="414"/>
      <c r="V493" s="414"/>
      <c r="W493" s="414"/>
      <c r="X493" s="414"/>
      <c r="Y493" s="414"/>
      <c r="Z493" s="416"/>
      <c r="AA493" s="416"/>
      <c r="AB493" s="414"/>
      <c r="AC493" s="414"/>
      <c r="AD493" s="416"/>
      <c r="AE493" s="414"/>
      <c r="AF493" s="233"/>
    </row>
    <row r="494" spans="1:32">
      <c r="A494" s="225">
        <f t="shared" si="7"/>
        <v>485</v>
      </c>
      <c r="B494" s="227" t="s">
        <v>1582</v>
      </c>
      <c r="C494" s="227" t="s">
        <v>2067</v>
      </c>
      <c r="D494" s="228" t="s">
        <v>2068</v>
      </c>
      <c r="E494" s="363" t="s">
        <v>2190</v>
      </c>
      <c r="F494" s="342">
        <v>45414</v>
      </c>
      <c r="G494" s="230"/>
      <c r="H494" s="231"/>
      <c r="I494" s="231">
        <v>581438</v>
      </c>
      <c r="J494" s="226" t="s">
        <v>2388</v>
      </c>
      <c r="K494" s="226"/>
      <c r="L494" s="345">
        <v>581438</v>
      </c>
      <c r="M494" s="346">
        <v>0</v>
      </c>
      <c r="N494" s="226"/>
      <c r="O494" s="232"/>
      <c r="P494" s="232"/>
      <c r="Q494" s="232"/>
      <c r="R494" s="232"/>
      <c r="S494" s="414"/>
      <c r="T494" s="415"/>
      <c r="U494" s="414"/>
      <c r="V494" s="414"/>
      <c r="W494" s="414"/>
      <c r="X494" s="414"/>
      <c r="Y494" s="414"/>
      <c r="Z494" s="416"/>
      <c r="AA494" s="416"/>
      <c r="AB494" s="414"/>
      <c r="AC494" s="414"/>
      <c r="AD494" s="416"/>
      <c r="AE494" s="414"/>
      <c r="AF494" s="233"/>
    </row>
    <row r="495" spans="1:32">
      <c r="A495" s="225">
        <f t="shared" si="7"/>
        <v>486</v>
      </c>
      <c r="B495" s="227" t="s">
        <v>1583</v>
      </c>
      <c r="C495" s="227" t="s">
        <v>1785</v>
      </c>
      <c r="D495" s="228" t="s">
        <v>1786</v>
      </c>
      <c r="E495" s="363">
        <v>92912</v>
      </c>
      <c r="F495" s="342">
        <v>45430</v>
      </c>
      <c r="G495" s="230"/>
      <c r="H495" s="231"/>
      <c r="I495" s="231">
        <v>35479</v>
      </c>
      <c r="J495" s="226" t="s">
        <v>2388</v>
      </c>
      <c r="K495" s="226"/>
      <c r="L495" s="345">
        <v>35479</v>
      </c>
      <c r="M495" s="346">
        <v>0</v>
      </c>
      <c r="N495" s="226"/>
      <c r="O495" s="232"/>
      <c r="P495" s="232"/>
      <c r="Q495" s="232"/>
      <c r="R495" s="232"/>
      <c r="S495" s="414"/>
      <c r="T495" s="415"/>
      <c r="U495" s="414"/>
      <c r="V495" s="414"/>
      <c r="W495" s="414"/>
      <c r="X495" s="414"/>
      <c r="Y495" s="414"/>
      <c r="Z495" s="416"/>
      <c r="AA495" s="416"/>
      <c r="AB495" s="414"/>
      <c r="AC495" s="414"/>
      <c r="AD495" s="416"/>
      <c r="AE495" s="414"/>
      <c r="AF495" s="233"/>
    </row>
    <row r="496" spans="1:32">
      <c r="A496" s="225">
        <f t="shared" si="7"/>
        <v>487</v>
      </c>
      <c r="B496" s="227" t="s">
        <v>1584</v>
      </c>
      <c r="C496" s="227" t="s">
        <v>2065</v>
      </c>
      <c r="D496" s="228" t="s">
        <v>2066</v>
      </c>
      <c r="E496" s="363">
        <v>24</v>
      </c>
      <c r="F496" s="342">
        <v>45442</v>
      </c>
      <c r="G496" s="230"/>
      <c r="H496" s="231"/>
      <c r="I496" s="231">
        <v>224950</v>
      </c>
      <c r="J496" s="226" t="s">
        <v>2388</v>
      </c>
      <c r="K496" s="226"/>
      <c r="L496" s="345">
        <v>224950</v>
      </c>
      <c r="M496" s="346">
        <v>0</v>
      </c>
      <c r="N496" s="226"/>
      <c r="O496" s="232"/>
      <c r="P496" s="232"/>
      <c r="Q496" s="232"/>
      <c r="R496" s="232"/>
      <c r="S496" s="414"/>
      <c r="T496" s="415"/>
      <c r="U496" s="414"/>
      <c r="V496" s="414"/>
      <c r="W496" s="414"/>
      <c r="X496" s="414"/>
      <c r="Y496" s="414"/>
      <c r="Z496" s="416"/>
      <c r="AA496" s="416"/>
      <c r="AB496" s="414"/>
      <c r="AC496" s="414"/>
      <c r="AD496" s="416"/>
      <c r="AE496" s="414"/>
      <c r="AF496" s="233"/>
    </row>
    <row r="497" spans="1:32">
      <c r="A497" s="225">
        <f t="shared" si="7"/>
        <v>488</v>
      </c>
      <c r="B497" s="227" t="s">
        <v>1584</v>
      </c>
      <c r="C497" s="227" t="s">
        <v>2065</v>
      </c>
      <c r="D497" s="228" t="s">
        <v>2066</v>
      </c>
      <c r="E497" s="363">
        <v>25</v>
      </c>
      <c r="F497" s="342">
        <v>45442</v>
      </c>
      <c r="G497" s="230"/>
      <c r="H497" s="231"/>
      <c r="I497" s="231">
        <v>224950</v>
      </c>
      <c r="J497" s="226" t="s">
        <v>2388</v>
      </c>
      <c r="K497" s="226"/>
      <c r="L497" s="345">
        <v>224950</v>
      </c>
      <c r="M497" s="346">
        <v>0</v>
      </c>
      <c r="N497" s="226"/>
      <c r="O497" s="232"/>
      <c r="P497" s="232"/>
      <c r="Q497" s="232"/>
      <c r="R497" s="232"/>
      <c r="S497" s="414"/>
      <c r="T497" s="415"/>
      <c r="U497" s="414"/>
      <c r="V497" s="414"/>
      <c r="W497" s="414"/>
      <c r="X497" s="414"/>
      <c r="Y497" s="414"/>
      <c r="Z497" s="416"/>
      <c r="AA497" s="416"/>
      <c r="AB497" s="414"/>
      <c r="AC497" s="414"/>
      <c r="AD497" s="416"/>
      <c r="AE497" s="414"/>
      <c r="AF497" s="233"/>
    </row>
    <row r="498" spans="1:32">
      <c r="A498" s="225">
        <f t="shared" si="7"/>
        <v>489</v>
      </c>
      <c r="B498" s="227" t="s">
        <v>1585</v>
      </c>
      <c r="C498" s="227" t="s">
        <v>2067</v>
      </c>
      <c r="D498" s="228" t="s">
        <v>2068</v>
      </c>
      <c r="E498" s="363" t="s">
        <v>2191</v>
      </c>
      <c r="F498" s="342">
        <v>45447</v>
      </c>
      <c r="G498" s="230"/>
      <c r="H498" s="231"/>
      <c r="I498" s="231">
        <v>2601936</v>
      </c>
      <c r="J498" s="226" t="s">
        <v>2388</v>
      </c>
      <c r="K498" s="226"/>
      <c r="L498" s="345">
        <v>2601936</v>
      </c>
      <c r="M498" s="346">
        <v>0</v>
      </c>
      <c r="N498" s="226"/>
      <c r="O498" s="232"/>
      <c r="P498" s="232"/>
      <c r="Q498" s="232"/>
      <c r="R498" s="232"/>
      <c r="S498" s="414"/>
      <c r="T498" s="415"/>
      <c r="U498" s="414"/>
      <c r="V498" s="414"/>
      <c r="W498" s="414"/>
      <c r="X498" s="414"/>
      <c r="Y498" s="414"/>
      <c r="Z498" s="416"/>
      <c r="AA498" s="416"/>
      <c r="AB498" s="414"/>
      <c r="AC498" s="414"/>
      <c r="AD498" s="416"/>
      <c r="AE498" s="414"/>
      <c r="AF498" s="233"/>
    </row>
    <row r="499" spans="1:32">
      <c r="A499" s="225">
        <f t="shared" si="7"/>
        <v>490</v>
      </c>
      <c r="B499" s="227" t="s">
        <v>1586</v>
      </c>
      <c r="C499" s="227" t="s">
        <v>2067</v>
      </c>
      <c r="D499" s="228" t="s">
        <v>2068</v>
      </c>
      <c r="E499" s="363" t="s">
        <v>2192</v>
      </c>
      <c r="F499" s="342">
        <v>45447</v>
      </c>
      <c r="G499" s="230"/>
      <c r="H499" s="231"/>
      <c r="I499" s="231">
        <v>808488</v>
      </c>
      <c r="J499" s="226" t="s">
        <v>2388</v>
      </c>
      <c r="K499" s="226"/>
      <c r="L499" s="345">
        <v>808488</v>
      </c>
      <c r="M499" s="346">
        <v>0</v>
      </c>
      <c r="N499" s="226"/>
      <c r="O499" s="232"/>
      <c r="P499" s="232"/>
      <c r="Q499" s="232"/>
      <c r="R499" s="232"/>
      <c r="S499" s="414"/>
      <c r="T499" s="415"/>
      <c r="U499" s="414"/>
      <c r="V499" s="414"/>
      <c r="W499" s="414"/>
      <c r="X499" s="414"/>
      <c r="Y499" s="414"/>
      <c r="Z499" s="416"/>
      <c r="AA499" s="416"/>
      <c r="AB499" s="414"/>
      <c r="AC499" s="414"/>
      <c r="AD499" s="416"/>
      <c r="AE499" s="414"/>
      <c r="AF499" s="233"/>
    </row>
    <row r="500" spans="1:32">
      <c r="A500" s="225">
        <f t="shared" si="7"/>
        <v>491</v>
      </c>
      <c r="B500" s="227" t="s">
        <v>1587</v>
      </c>
      <c r="C500" s="227" t="s">
        <v>2067</v>
      </c>
      <c r="D500" s="228" t="s">
        <v>2068</v>
      </c>
      <c r="E500" s="363" t="s">
        <v>2193</v>
      </c>
      <c r="F500" s="342">
        <v>45447</v>
      </c>
      <c r="G500" s="230"/>
      <c r="H500" s="231"/>
      <c r="I500" s="231">
        <v>114912</v>
      </c>
      <c r="J500" s="226" t="s">
        <v>2388</v>
      </c>
      <c r="K500" s="226"/>
      <c r="L500" s="345">
        <v>114912</v>
      </c>
      <c r="M500" s="346">
        <v>0</v>
      </c>
      <c r="N500" s="226"/>
      <c r="O500" s="232"/>
      <c r="P500" s="232"/>
      <c r="Q500" s="232"/>
      <c r="R500" s="232"/>
      <c r="S500" s="414"/>
      <c r="T500" s="415"/>
      <c r="U500" s="414"/>
      <c r="V500" s="414"/>
      <c r="W500" s="414"/>
      <c r="X500" s="414"/>
      <c r="Y500" s="414"/>
      <c r="Z500" s="416"/>
      <c r="AA500" s="416"/>
      <c r="AB500" s="414"/>
      <c r="AC500" s="414"/>
      <c r="AD500" s="416"/>
      <c r="AE500" s="414"/>
      <c r="AF500" s="233"/>
    </row>
    <row r="501" spans="1:32">
      <c r="A501" s="225">
        <f t="shared" si="7"/>
        <v>492</v>
      </c>
      <c r="B501" s="227" t="s">
        <v>1588</v>
      </c>
      <c r="C501" s="227" t="s">
        <v>1785</v>
      </c>
      <c r="D501" s="228" t="s">
        <v>1786</v>
      </c>
      <c r="E501" s="363">
        <v>112405</v>
      </c>
      <c r="F501" s="342">
        <v>45455</v>
      </c>
      <c r="G501" s="230"/>
      <c r="H501" s="231"/>
      <c r="I501" s="231">
        <v>35818</v>
      </c>
      <c r="J501" s="226" t="s">
        <v>2388</v>
      </c>
      <c r="K501" s="226"/>
      <c r="L501" s="345">
        <v>35818</v>
      </c>
      <c r="M501" s="346">
        <v>0</v>
      </c>
      <c r="N501" s="226"/>
      <c r="O501" s="232"/>
      <c r="P501" s="232"/>
      <c r="Q501" s="232"/>
      <c r="R501" s="232"/>
      <c r="S501" s="414"/>
      <c r="T501" s="415"/>
      <c r="U501" s="414"/>
      <c r="V501" s="414"/>
      <c r="W501" s="414"/>
      <c r="X501" s="414"/>
      <c r="Y501" s="414"/>
      <c r="Z501" s="416"/>
      <c r="AA501" s="416"/>
      <c r="AB501" s="414"/>
      <c r="AC501" s="414"/>
      <c r="AD501" s="416"/>
      <c r="AE501" s="414"/>
      <c r="AF501" s="233"/>
    </row>
    <row r="502" spans="1:32">
      <c r="A502" s="225">
        <f t="shared" si="7"/>
        <v>493</v>
      </c>
      <c r="B502" s="227" t="s">
        <v>1589</v>
      </c>
      <c r="C502" s="227" t="s">
        <v>1785</v>
      </c>
      <c r="D502" s="228" t="s">
        <v>1786</v>
      </c>
      <c r="E502" s="363">
        <v>116266</v>
      </c>
      <c r="F502" s="342">
        <v>45460</v>
      </c>
      <c r="G502" s="230"/>
      <c r="H502" s="231"/>
      <c r="I502" s="231">
        <v>143411</v>
      </c>
      <c r="J502" s="226" t="s">
        <v>2388</v>
      </c>
      <c r="K502" s="362"/>
      <c r="L502" s="345">
        <v>143411</v>
      </c>
      <c r="M502" s="346">
        <v>0</v>
      </c>
      <c r="N502" s="226"/>
      <c r="O502" s="232"/>
      <c r="P502" s="232"/>
      <c r="Q502" s="232"/>
      <c r="R502" s="232"/>
      <c r="S502" s="414"/>
      <c r="T502" s="415"/>
      <c r="U502" s="414"/>
      <c r="V502" s="414"/>
      <c r="W502" s="414"/>
      <c r="X502" s="414"/>
      <c r="Y502" s="414"/>
      <c r="Z502" s="416"/>
      <c r="AA502" s="416"/>
      <c r="AB502" s="414"/>
      <c r="AC502" s="414"/>
      <c r="AD502" s="416"/>
      <c r="AE502" s="414"/>
      <c r="AF502" s="233"/>
    </row>
    <row r="503" spans="1:32">
      <c r="A503" s="225">
        <f t="shared" si="7"/>
        <v>494</v>
      </c>
      <c r="B503" s="227" t="s">
        <v>1590</v>
      </c>
      <c r="C503" s="227" t="s">
        <v>2067</v>
      </c>
      <c r="D503" s="228" t="s">
        <v>2068</v>
      </c>
      <c r="E503" s="363" t="s">
        <v>2194</v>
      </c>
      <c r="F503" s="342">
        <v>45447</v>
      </c>
      <c r="G503" s="230"/>
      <c r="H503" s="231"/>
      <c r="I503" s="231">
        <v>599594</v>
      </c>
      <c r="J503" s="226" t="s">
        <v>2388</v>
      </c>
      <c r="K503" s="362"/>
      <c r="L503" s="345">
        <v>599594</v>
      </c>
      <c r="M503" s="346">
        <v>0</v>
      </c>
      <c r="N503" s="226"/>
      <c r="O503" s="232"/>
      <c r="P503" s="232"/>
      <c r="Q503" s="232"/>
      <c r="R503" s="232"/>
      <c r="S503" s="414"/>
      <c r="T503" s="415"/>
      <c r="U503" s="414"/>
      <c r="V503" s="414"/>
      <c r="W503" s="414"/>
      <c r="X503" s="414"/>
      <c r="Y503" s="414"/>
      <c r="Z503" s="416"/>
      <c r="AA503" s="416"/>
      <c r="AB503" s="414"/>
      <c r="AC503" s="414"/>
      <c r="AD503" s="416"/>
      <c r="AE503" s="414"/>
      <c r="AF503" s="233"/>
    </row>
    <row r="504" spans="1:32">
      <c r="A504" s="225">
        <f t="shared" si="7"/>
        <v>495</v>
      </c>
      <c r="B504" s="227" t="s">
        <v>1591</v>
      </c>
      <c r="C504" s="227" t="s">
        <v>2067</v>
      </c>
      <c r="D504" s="228" t="s">
        <v>2068</v>
      </c>
      <c r="E504" s="363" t="s">
        <v>2195</v>
      </c>
      <c r="F504" s="342">
        <v>45447</v>
      </c>
      <c r="G504" s="230"/>
      <c r="H504" s="231"/>
      <c r="I504" s="231">
        <v>492890</v>
      </c>
      <c r="J504" s="226" t="s">
        <v>2388</v>
      </c>
      <c r="K504" s="362"/>
      <c r="L504" s="345">
        <v>492890</v>
      </c>
      <c r="M504" s="346">
        <v>0</v>
      </c>
      <c r="N504" s="226"/>
      <c r="O504" s="232"/>
      <c r="P504" s="232"/>
      <c r="Q504" s="232"/>
      <c r="R504" s="232"/>
      <c r="S504" s="414"/>
      <c r="T504" s="415"/>
      <c r="U504" s="414"/>
      <c r="V504" s="414"/>
      <c r="W504" s="414"/>
      <c r="X504" s="414"/>
      <c r="Y504" s="414"/>
      <c r="Z504" s="416"/>
      <c r="AA504" s="416"/>
      <c r="AB504" s="414"/>
      <c r="AC504" s="414"/>
      <c r="AD504" s="416"/>
      <c r="AE504" s="414"/>
      <c r="AF504" s="233"/>
    </row>
    <row r="505" spans="1:32">
      <c r="A505" s="225">
        <f t="shared" si="7"/>
        <v>496</v>
      </c>
      <c r="B505" s="227" t="s">
        <v>1592</v>
      </c>
      <c r="C505" s="227" t="s">
        <v>1789</v>
      </c>
      <c r="D505" s="228" t="s">
        <v>1790</v>
      </c>
      <c r="E505" s="363" t="s">
        <v>2196</v>
      </c>
      <c r="F505" s="342">
        <v>45472</v>
      </c>
      <c r="G505" s="230"/>
      <c r="H505" s="231"/>
      <c r="I505" s="231">
        <v>57540</v>
      </c>
      <c r="J505" s="226" t="s">
        <v>2388</v>
      </c>
      <c r="K505" s="362"/>
      <c r="L505" s="345">
        <v>57540</v>
      </c>
      <c r="M505" s="346">
        <v>0</v>
      </c>
      <c r="N505" s="226" t="s">
        <v>2395</v>
      </c>
      <c r="O505" s="232"/>
      <c r="P505" s="232"/>
      <c r="Q505" s="232"/>
      <c r="R505" s="232"/>
      <c r="S505" s="414"/>
      <c r="T505" s="415"/>
      <c r="U505" s="414"/>
      <c r="V505" s="414"/>
      <c r="W505" s="414"/>
      <c r="X505" s="414"/>
      <c r="Y505" s="414"/>
      <c r="Z505" s="416"/>
      <c r="AA505" s="416"/>
      <c r="AB505" s="414"/>
      <c r="AC505" s="414"/>
      <c r="AD505" s="416"/>
      <c r="AE505" s="414"/>
      <c r="AF505" s="233"/>
    </row>
    <row r="506" spans="1:32">
      <c r="A506" s="225">
        <f t="shared" si="7"/>
        <v>497</v>
      </c>
      <c r="B506" s="227" t="s">
        <v>1593</v>
      </c>
      <c r="C506" s="227" t="s">
        <v>2067</v>
      </c>
      <c r="D506" s="228" t="s">
        <v>2068</v>
      </c>
      <c r="E506" s="363" t="s">
        <v>2197</v>
      </c>
      <c r="F506" s="342">
        <v>45447</v>
      </c>
      <c r="G506" s="230"/>
      <c r="H506" s="231"/>
      <c r="I506" s="231">
        <v>521618</v>
      </c>
      <c r="J506" s="226" t="s">
        <v>2388</v>
      </c>
      <c r="K506" s="362"/>
      <c r="L506" s="345">
        <v>521618</v>
      </c>
      <c r="M506" s="346">
        <v>0</v>
      </c>
      <c r="N506" s="226"/>
      <c r="O506" s="232"/>
      <c r="P506" s="232"/>
      <c r="Q506" s="232"/>
      <c r="R506" s="232"/>
      <c r="S506" s="414"/>
      <c r="T506" s="415"/>
      <c r="U506" s="414"/>
      <c r="V506" s="414"/>
      <c r="W506" s="414"/>
      <c r="X506" s="414"/>
      <c r="Y506" s="414"/>
      <c r="Z506" s="416"/>
      <c r="AA506" s="416"/>
      <c r="AB506" s="414"/>
      <c r="AC506" s="414"/>
      <c r="AD506" s="416"/>
      <c r="AE506" s="414"/>
      <c r="AF506" s="233"/>
    </row>
    <row r="507" spans="1:32">
      <c r="A507" s="225">
        <f t="shared" si="7"/>
        <v>498</v>
      </c>
      <c r="B507" s="227" t="s">
        <v>1594</v>
      </c>
      <c r="C507" s="227" t="s">
        <v>1789</v>
      </c>
      <c r="D507" s="228" t="s">
        <v>1790</v>
      </c>
      <c r="E507" s="363" t="s">
        <v>2198</v>
      </c>
      <c r="F507" s="342">
        <v>45465</v>
      </c>
      <c r="G507" s="230"/>
      <c r="H507" s="231"/>
      <c r="I507" s="231">
        <v>18961</v>
      </c>
      <c r="J507" s="226" t="s">
        <v>2388</v>
      </c>
      <c r="K507" s="362"/>
      <c r="L507" s="345">
        <v>18961</v>
      </c>
      <c r="M507" s="346">
        <v>0</v>
      </c>
      <c r="N507" s="226" t="s">
        <v>2395</v>
      </c>
      <c r="O507" s="232"/>
      <c r="P507" s="232"/>
      <c r="Q507" s="232"/>
      <c r="R507" s="232"/>
      <c r="S507" s="414"/>
      <c r="T507" s="415"/>
      <c r="U507" s="414"/>
      <c r="V507" s="414"/>
      <c r="W507" s="414"/>
      <c r="X507" s="414"/>
      <c r="Y507" s="414"/>
      <c r="Z507" s="416"/>
      <c r="AA507" s="416"/>
      <c r="AB507" s="414"/>
      <c r="AC507" s="414"/>
      <c r="AD507" s="416"/>
      <c r="AE507" s="414"/>
      <c r="AF507" s="233"/>
    </row>
    <row r="508" spans="1:32">
      <c r="A508" s="225">
        <f t="shared" si="7"/>
        <v>499</v>
      </c>
      <c r="B508" s="227" t="s">
        <v>1595</v>
      </c>
      <c r="C508" s="227" t="s">
        <v>2120</v>
      </c>
      <c r="D508" s="228" t="s">
        <v>2121</v>
      </c>
      <c r="E508" s="363">
        <v>181</v>
      </c>
      <c r="F508" s="342">
        <v>45472</v>
      </c>
      <c r="G508" s="230"/>
      <c r="H508" s="231"/>
      <c r="I508" s="231">
        <v>1100247</v>
      </c>
      <c r="J508" s="226" t="s">
        <v>2388</v>
      </c>
      <c r="K508" s="362"/>
      <c r="L508" s="345">
        <v>1100247</v>
      </c>
      <c r="M508" s="346">
        <v>0</v>
      </c>
      <c r="N508" s="226" t="s">
        <v>2407</v>
      </c>
      <c r="O508" s="232"/>
      <c r="P508" s="232"/>
      <c r="Q508" s="232"/>
      <c r="R508" s="232"/>
      <c r="S508" s="414"/>
      <c r="T508" s="415"/>
      <c r="U508" s="414"/>
      <c r="V508" s="414"/>
      <c r="W508" s="414"/>
      <c r="X508" s="414"/>
      <c r="Y508" s="414"/>
      <c r="Z508" s="416"/>
      <c r="AA508" s="416"/>
      <c r="AB508" s="414"/>
      <c r="AC508" s="414"/>
      <c r="AD508" s="416"/>
      <c r="AE508" s="414"/>
      <c r="AF508" s="233"/>
    </row>
    <row r="509" spans="1:32">
      <c r="A509" s="225">
        <f t="shared" si="7"/>
        <v>500</v>
      </c>
      <c r="B509" s="227" t="s">
        <v>1596</v>
      </c>
      <c r="C509" s="227" t="s">
        <v>1789</v>
      </c>
      <c r="D509" s="228" t="s">
        <v>1790</v>
      </c>
      <c r="E509" s="363" t="s">
        <v>2199</v>
      </c>
      <c r="F509" s="342">
        <v>45458</v>
      </c>
      <c r="G509" s="230"/>
      <c r="H509" s="231"/>
      <c r="I509" s="231">
        <v>18947</v>
      </c>
      <c r="J509" s="226" t="s">
        <v>2388</v>
      </c>
      <c r="K509" s="362"/>
      <c r="L509" s="345">
        <v>18947</v>
      </c>
      <c r="M509" s="346">
        <v>0</v>
      </c>
      <c r="N509" s="226" t="s">
        <v>2395</v>
      </c>
      <c r="O509" s="232"/>
      <c r="P509" s="232"/>
      <c r="Q509" s="232"/>
      <c r="R509" s="232"/>
      <c r="S509" s="414"/>
      <c r="T509" s="415"/>
      <c r="U509" s="414"/>
      <c r="V509" s="414"/>
      <c r="W509" s="414"/>
      <c r="X509" s="414"/>
      <c r="Y509" s="414"/>
      <c r="Z509" s="416"/>
      <c r="AA509" s="416"/>
      <c r="AB509" s="414"/>
      <c r="AC509" s="414"/>
      <c r="AD509" s="416"/>
      <c r="AE509" s="414"/>
      <c r="AF509" s="233"/>
    </row>
    <row r="510" spans="1:32">
      <c r="A510" s="225">
        <f t="shared" si="7"/>
        <v>501</v>
      </c>
      <c r="B510" s="227" t="s">
        <v>1597</v>
      </c>
      <c r="C510" s="227" t="s">
        <v>2120</v>
      </c>
      <c r="D510" s="228" t="s">
        <v>2121</v>
      </c>
      <c r="E510" s="363">
        <v>180</v>
      </c>
      <c r="F510" s="342">
        <v>45472</v>
      </c>
      <c r="G510" s="230"/>
      <c r="H510" s="231"/>
      <c r="I510" s="231">
        <v>625542</v>
      </c>
      <c r="J510" s="226" t="s">
        <v>2388</v>
      </c>
      <c r="K510" s="362"/>
      <c r="L510" s="345">
        <v>625542</v>
      </c>
      <c r="M510" s="346">
        <v>0</v>
      </c>
      <c r="N510" s="226" t="s">
        <v>2407</v>
      </c>
      <c r="O510" s="232"/>
      <c r="P510" s="232"/>
      <c r="Q510" s="232"/>
      <c r="R510" s="232"/>
      <c r="S510" s="414"/>
      <c r="T510" s="415"/>
      <c r="U510" s="414"/>
      <c r="V510" s="414"/>
      <c r="W510" s="414"/>
      <c r="X510" s="414"/>
      <c r="Y510" s="414"/>
      <c r="Z510" s="416"/>
      <c r="AA510" s="416"/>
      <c r="AB510" s="414"/>
      <c r="AC510" s="414"/>
      <c r="AD510" s="416"/>
      <c r="AE510" s="414"/>
      <c r="AF510" s="233"/>
    </row>
    <row r="511" spans="1:32">
      <c r="A511" s="225">
        <f t="shared" si="7"/>
        <v>502</v>
      </c>
      <c r="B511" s="227" t="s">
        <v>1598</v>
      </c>
      <c r="C511" s="227" t="s">
        <v>1789</v>
      </c>
      <c r="D511" s="228" t="s">
        <v>1790</v>
      </c>
      <c r="E511" s="363" t="s">
        <v>2200</v>
      </c>
      <c r="F511" s="342">
        <v>45458</v>
      </c>
      <c r="G511" s="230"/>
      <c r="H511" s="231"/>
      <c r="I511" s="231">
        <v>28833</v>
      </c>
      <c r="J511" s="226" t="s">
        <v>2388</v>
      </c>
      <c r="K511" s="362"/>
      <c r="L511" s="345">
        <v>28833</v>
      </c>
      <c r="M511" s="346">
        <v>0</v>
      </c>
      <c r="N511" s="226" t="s">
        <v>2395</v>
      </c>
      <c r="O511" s="232"/>
      <c r="P511" s="232"/>
      <c r="Q511" s="232"/>
      <c r="R511" s="232"/>
      <c r="S511" s="414"/>
      <c r="T511" s="415"/>
      <c r="U511" s="414"/>
      <c r="V511" s="414"/>
      <c r="W511" s="414"/>
      <c r="X511" s="414"/>
      <c r="Y511" s="414"/>
      <c r="Z511" s="416"/>
      <c r="AA511" s="416"/>
      <c r="AB511" s="414"/>
      <c r="AC511" s="414"/>
      <c r="AD511" s="416"/>
      <c r="AE511" s="414"/>
      <c r="AF511" s="233"/>
    </row>
    <row r="512" spans="1:32">
      <c r="A512" s="225">
        <f t="shared" si="7"/>
        <v>503</v>
      </c>
      <c r="B512" s="227" t="s">
        <v>1599</v>
      </c>
      <c r="C512" s="227" t="s">
        <v>2067</v>
      </c>
      <c r="D512" s="228" t="s">
        <v>2068</v>
      </c>
      <c r="E512" s="363" t="s">
        <v>2201</v>
      </c>
      <c r="F512" s="342">
        <v>45447</v>
      </c>
      <c r="G512" s="230"/>
      <c r="H512" s="231"/>
      <c r="I512" s="231">
        <v>492890</v>
      </c>
      <c r="J512" s="226" t="s">
        <v>2388</v>
      </c>
      <c r="K512" s="362"/>
      <c r="L512" s="345">
        <v>492890</v>
      </c>
      <c r="M512" s="346">
        <v>0</v>
      </c>
      <c r="N512" s="226"/>
      <c r="O512" s="232"/>
      <c r="P512" s="232"/>
      <c r="Q512" s="232"/>
      <c r="R512" s="232"/>
      <c r="S512" s="414"/>
      <c r="T512" s="415"/>
      <c r="U512" s="414"/>
      <c r="V512" s="414"/>
      <c r="W512" s="414"/>
      <c r="X512" s="414"/>
      <c r="Y512" s="414"/>
      <c r="Z512" s="416"/>
      <c r="AA512" s="416"/>
      <c r="AB512" s="414"/>
      <c r="AC512" s="414"/>
      <c r="AD512" s="416"/>
      <c r="AE512" s="414"/>
      <c r="AF512" s="233"/>
    </row>
    <row r="513" spans="1:32">
      <c r="A513" s="225">
        <f t="shared" si="7"/>
        <v>504</v>
      </c>
      <c r="B513" s="227" t="s">
        <v>1600</v>
      </c>
      <c r="C513" s="227" t="s">
        <v>1789</v>
      </c>
      <c r="D513" s="228" t="s">
        <v>1790</v>
      </c>
      <c r="E513" s="363" t="s">
        <v>2202</v>
      </c>
      <c r="F513" s="342">
        <v>45458</v>
      </c>
      <c r="G513" s="230"/>
      <c r="H513" s="231"/>
      <c r="I513" s="231">
        <v>28833</v>
      </c>
      <c r="J513" s="226" t="s">
        <v>2388</v>
      </c>
      <c r="K513" s="362"/>
      <c r="L513" s="345">
        <v>28833</v>
      </c>
      <c r="M513" s="346">
        <v>0</v>
      </c>
      <c r="N513" s="226" t="s">
        <v>2395</v>
      </c>
      <c r="O513" s="232"/>
      <c r="P513" s="232"/>
      <c r="Q513" s="232"/>
      <c r="R513" s="232"/>
      <c r="S513" s="414"/>
      <c r="T513" s="415"/>
      <c r="U513" s="414"/>
      <c r="V513" s="414"/>
      <c r="W513" s="414"/>
      <c r="X513" s="414"/>
      <c r="Y513" s="414"/>
      <c r="Z513" s="416"/>
      <c r="AA513" s="416"/>
      <c r="AB513" s="414"/>
      <c r="AC513" s="414"/>
      <c r="AD513" s="416"/>
      <c r="AE513" s="414"/>
      <c r="AF513" s="233"/>
    </row>
    <row r="514" spans="1:32">
      <c r="A514" s="225">
        <f t="shared" si="7"/>
        <v>505</v>
      </c>
      <c r="B514" s="227" t="s">
        <v>1601</v>
      </c>
      <c r="C514" s="227" t="s">
        <v>2067</v>
      </c>
      <c r="D514" s="228" t="s">
        <v>2068</v>
      </c>
      <c r="E514" s="363" t="s">
        <v>2203</v>
      </c>
      <c r="F514" s="342">
        <v>45447</v>
      </c>
      <c r="G514" s="230"/>
      <c r="H514" s="231"/>
      <c r="I514" s="231">
        <v>496994</v>
      </c>
      <c r="J514" s="226" t="s">
        <v>2388</v>
      </c>
      <c r="K514" s="362"/>
      <c r="L514" s="345">
        <v>496994</v>
      </c>
      <c r="M514" s="346">
        <v>0</v>
      </c>
      <c r="N514" s="226"/>
      <c r="O514" s="232"/>
      <c r="P514" s="232"/>
      <c r="Q514" s="232"/>
      <c r="R514" s="232"/>
      <c r="S514" s="414"/>
      <c r="T514" s="415"/>
      <c r="U514" s="414"/>
      <c r="V514" s="414"/>
      <c r="W514" s="414"/>
      <c r="X514" s="414"/>
      <c r="Y514" s="414"/>
      <c r="Z514" s="416"/>
      <c r="AA514" s="416"/>
      <c r="AB514" s="414"/>
      <c r="AC514" s="414"/>
      <c r="AD514" s="416"/>
      <c r="AE514" s="414"/>
      <c r="AF514" s="233"/>
    </row>
    <row r="515" spans="1:32">
      <c r="A515" s="225">
        <f t="shared" si="7"/>
        <v>506</v>
      </c>
      <c r="B515" s="227" t="s">
        <v>1602</v>
      </c>
      <c r="C515" s="227" t="s">
        <v>1789</v>
      </c>
      <c r="D515" s="228" t="s">
        <v>1790</v>
      </c>
      <c r="E515" s="363" t="s">
        <v>2204</v>
      </c>
      <c r="F515" s="342">
        <v>45457</v>
      </c>
      <c r="G515" s="230"/>
      <c r="H515" s="231"/>
      <c r="I515" s="231">
        <v>28833</v>
      </c>
      <c r="J515" s="226" t="s">
        <v>2388</v>
      </c>
      <c r="K515" s="362"/>
      <c r="L515" s="345">
        <v>28833</v>
      </c>
      <c r="M515" s="346">
        <v>0</v>
      </c>
      <c r="N515" s="226" t="s">
        <v>2395</v>
      </c>
      <c r="O515" s="232"/>
      <c r="P515" s="232"/>
      <c r="Q515" s="232"/>
      <c r="R515" s="232"/>
      <c r="S515" s="414"/>
      <c r="T515" s="415"/>
      <c r="U515" s="414"/>
      <c r="V515" s="414"/>
      <c r="W515" s="414"/>
      <c r="X515" s="414"/>
      <c r="Y515" s="414"/>
      <c r="Z515" s="416"/>
      <c r="AA515" s="416"/>
      <c r="AB515" s="414"/>
      <c r="AC515" s="414"/>
      <c r="AD515" s="416"/>
      <c r="AE515" s="414"/>
      <c r="AF515" s="233"/>
    </row>
    <row r="516" spans="1:32">
      <c r="A516" s="225">
        <f t="shared" si="7"/>
        <v>507</v>
      </c>
      <c r="B516" s="227" t="s">
        <v>1603</v>
      </c>
      <c r="C516" s="227" t="s">
        <v>2120</v>
      </c>
      <c r="D516" s="228" t="s">
        <v>2121</v>
      </c>
      <c r="E516" s="363">
        <v>179</v>
      </c>
      <c r="F516" s="342">
        <v>45472</v>
      </c>
      <c r="G516" s="230"/>
      <c r="H516" s="231"/>
      <c r="I516" s="231">
        <v>578277</v>
      </c>
      <c r="J516" s="226" t="s">
        <v>2388</v>
      </c>
      <c r="K516" s="362"/>
      <c r="L516" s="345">
        <v>578277</v>
      </c>
      <c r="M516" s="346">
        <v>0</v>
      </c>
      <c r="N516" s="226" t="s">
        <v>2407</v>
      </c>
      <c r="O516" s="232"/>
      <c r="P516" s="232"/>
      <c r="Q516" s="232"/>
      <c r="R516" s="232"/>
      <c r="S516" s="414"/>
      <c r="T516" s="415"/>
      <c r="U516" s="414"/>
      <c r="V516" s="414"/>
      <c r="W516" s="414"/>
      <c r="X516" s="414"/>
      <c r="Y516" s="414"/>
      <c r="Z516" s="416"/>
      <c r="AA516" s="416"/>
      <c r="AB516" s="414"/>
      <c r="AC516" s="414"/>
      <c r="AD516" s="416"/>
      <c r="AE516" s="414"/>
      <c r="AF516" s="233"/>
    </row>
    <row r="517" spans="1:32">
      <c r="A517" s="225">
        <f t="shared" si="7"/>
        <v>508</v>
      </c>
      <c r="B517" s="227" t="s">
        <v>1604</v>
      </c>
      <c r="C517" s="227" t="s">
        <v>2067</v>
      </c>
      <c r="D517" s="228" t="s">
        <v>2068</v>
      </c>
      <c r="E517" s="363" t="s">
        <v>2205</v>
      </c>
      <c r="F517" s="342">
        <v>45447</v>
      </c>
      <c r="G517" s="230"/>
      <c r="H517" s="231"/>
      <c r="I517" s="231">
        <v>439538</v>
      </c>
      <c r="J517" s="226" t="s">
        <v>2388</v>
      </c>
      <c r="K517" s="362"/>
      <c r="L517" s="345">
        <v>439538</v>
      </c>
      <c r="M517" s="346">
        <v>0</v>
      </c>
      <c r="N517" s="226"/>
      <c r="O517" s="232"/>
      <c r="P517" s="232"/>
      <c r="Q517" s="232"/>
      <c r="R517" s="232"/>
      <c r="S517" s="414"/>
      <c r="T517" s="415"/>
      <c r="U517" s="414"/>
      <c r="V517" s="414"/>
      <c r="W517" s="414"/>
      <c r="X517" s="414"/>
      <c r="Y517" s="414"/>
      <c r="Z517" s="416"/>
      <c r="AA517" s="416"/>
      <c r="AB517" s="414"/>
      <c r="AC517" s="414"/>
      <c r="AD517" s="416"/>
      <c r="AE517" s="414"/>
      <c r="AF517" s="233"/>
    </row>
    <row r="518" spans="1:32">
      <c r="A518" s="225">
        <f t="shared" si="7"/>
        <v>509</v>
      </c>
      <c r="B518" s="227" t="s">
        <v>1605</v>
      </c>
      <c r="C518" s="227" t="s">
        <v>1789</v>
      </c>
      <c r="D518" s="228" t="s">
        <v>1790</v>
      </c>
      <c r="E518" s="363" t="s">
        <v>2206</v>
      </c>
      <c r="F518" s="342">
        <v>45444</v>
      </c>
      <c r="G518" s="230"/>
      <c r="H518" s="231"/>
      <c r="I518" s="231">
        <v>18828</v>
      </c>
      <c r="J518" s="226" t="s">
        <v>2388</v>
      </c>
      <c r="K518" s="362"/>
      <c r="L518" s="345">
        <v>18828</v>
      </c>
      <c r="M518" s="346">
        <v>0</v>
      </c>
      <c r="N518" s="226" t="s">
        <v>2395</v>
      </c>
      <c r="O518" s="232"/>
      <c r="P518" s="232"/>
      <c r="Q518" s="232"/>
      <c r="R518" s="232"/>
      <c r="S518" s="414"/>
      <c r="T518" s="415"/>
      <c r="U518" s="414"/>
      <c r="V518" s="414"/>
      <c r="W518" s="414"/>
      <c r="X518" s="414"/>
      <c r="Y518" s="414"/>
      <c r="Z518" s="416"/>
      <c r="AA518" s="416"/>
      <c r="AB518" s="414"/>
      <c r="AC518" s="414"/>
      <c r="AD518" s="416"/>
      <c r="AE518" s="414"/>
      <c r="AF518" s="233"/>
    </row>
    <row r="519" spans="1:32">
      <c r="A519" s="225">
        <f t="shared" si="7"/>
        <v>510</v>
      </c>
      <c r="B519" s="227" t="s">
        <v>1606</v>
      </c>
      <c r="C519" s="227" t="s">
        <v>2067</v>
      </c>
      <c r="D519" s="228" t="s">
        <v>2068</v>
      </c>
      <c r="E519" s="363" t="s">
        <v>2207</v>
      </c>
      <c r="F519" s="342">
        <v>45447</v>
      </c>
      <c r="G519" s="230"/>
      <c r="H519" s="231"/>
      <c r="I519" s="231">
        <v>439538</v>
      </c>
      <c r="J519" s="226" t="s">
        <v>2388</v>
      </c>
      <c r="K519" s="362"/>
      <c r="L519" s="345">
        <v>439538</v>
      </c>
      <c r="M519" s="346">
        <v>0</v>
      </c>
      <c r="N519" s="226"/>
      <c r="O519" s="232"/>
      <c r="P519" s="232"/>
      <c r="Q519" s="232"/>
      <c r="R519" s="232"/>
      <c r="S519" s="414"/>
      <c r="T519" s="415"/>
      <c r="U519" s="414"/>
      <c r="V519" s="414"/>
      <c r="W519" s="414"/>
      <c r="X519" s="414"/>
      <c r="Y519" s="414"/>
      <c r="Z519" s="416"/>
      <c r="AA519" s="416"/>
      <c r="AB519" s="414"/>
      <c r="AC519" s="414"/>
      <c r="AD519" s="416"/>
      <c r="AE519" s="414"/>
      <c r="AF519" s="233"/>
    </row>
    <row r="520" spans="1:32">
      <c r="A520" s="225">
        <f t="shared" si="7"/>
        <v>511</v>
      </c>
      <c r="B520" s="227" t="s">
        <v>1321</v>
      </c>
      <c r="C520" s="227" t="s">
        <v>1763</v>
      </c>
      <c r="D520" s="228" t="s">
        <v>1764</v>
      </c>
      <c r="E520" s="363" t="s">
        <v>2208</v>
      </c>
      <c r="F520" s="342">
        <v>45471</v>
      </c>
      <c r="G520" s="230"/>
      <c r="H520" s="231"/>
      <c r="I520" s="231">
        <v>2802453</v>
      </c>
      <c r="J520" s="226" t="s">
        <v>2388</v>
      </c>
      <c r="K520" s="362"/>
      <c r="L520" s="345">
        <v>2802453</v>
      </c>
      <c r="M520" s="346">
        <v>0</v>
      </c>
      <c r="N520" s="226"/>
      <c r="O520" s="232"/>
      <c r="P520" s="232"/>
      <c r="Q520" s="232"/>
      <c r="R520" s="232"/>
      <c r="S520" s="414"/>
      <c r="T520" s="415"/>
      <c r="U520" s="414"/>
      <c r="V520" s="414"/>
      <c r="W520" s="414"/>
      <c r="X520" s="414"/>
      <c r="Y520" s="414"/>
      <c r="Z520" s="416"/>
      <c r="AA520" s="416"/>
      <c r="AB520" s="414"/>
      <c r="AC520" s="414"/>
      <c r="AD520" s="416"/>
      <c r="AE520" s="414"/>
      <c r="AF520" s="233"/>
    </row>
    <row r="521" spans="1:32">
      <c r="A521" s="225">
        <f t="shared" si="7"/>
        <v>512</v>
      </c>
      <c r="B521" s="227" t="s">
        <v>1451</v>
      </c>
      <c r="C521" s="227" t="s">
        <v>1771</v>
      </c>
      <c r="D521" s="228" t="s">
        <v>1772</v>
      </c>
      <c r="E521" s="363" t="s">
        <v>2209</v>
      </c>
      <c r="F521" s="342">
        <v>45472</v>
      </c>
      <c r="G521" s="230"/>
      <c r="H521" s="231"/>
      <c r="I521" s="231">
        <v>101928</v>
      </c>
      <c r="J521" s="226" t="s">
        <v>2388</v>
      </c>
      <c r="K521" s="362"/>
      <c r="L521" s="345">
        <v>101928</v>
      </c>
      <c r="M521" s="346">
        <v>0</v>
      </c>
      <c r="N521" s="226"/>
      <c r="O521" s="232"/>
      <c r="P521" s="232"/>
      <c r="Q521" s="232"/>
      <c r="R521" s="232"/>
      <c r="S521" s="414"/>
      <c r="T521" s="415"/>
      <c r="U521" s="414"/>
      <c r="V521" s="414"/>
      <c r="W521" s="414"/>
      <c r="X521" s="414"/>
      <c r="Y521" s="414"/>
      <c r="Z521" s="416"/>
      <c r="AA521" s="416"/>
      <c r="AB521" s="414"/>
      <c r="AC521" s="414"/>
      <c r="AD521" s="416"/>
      <c r="AE521" s="414"/>
      <c r="AF521" s="233"/>
    </row>
    <row r="522" spans="1:32">
      <c r="A522" s="225">
        <f t="shared" si="7"/>
        <v>513</v>
      </c>
      <c r="B522" s="227" t="s">
        <v>1278</v>
      </c>
      <c r="C522" s="227" t="s">
        <v>1774</v>
      </c>
      <c r="D522" s="228" t="s">
        <v>1775</v>
      </c>
      <c r="E522" s="363" t="s">
        <v>2210</v>
      </c>
      <c r="F522" s="342">
        <v>45471</v>
      </c>
      <c r="G522" s="230"/>
      <c r="H522" s="231"/>
      <c r="I522" s="231">
        <v>67815</v>
      </c>
      <c r="J522" s="226" t="s">
        <v>2388</v>
      </c>
      <c r="K522" s="362"/>
      <c r="L522" s="345">
        <v>67815</v>
      </c>
      <c r="M522" s="346">
        <v>0</v>
      </c>
      <c r="N522" s="226" t="s">
        <v>2394</v>
      </c>
      <c r="O522" s="232"/>
      <c r="P522" s="232"/>
      <c r="Q522" s="232"/>
      <c r="R522" s="232"/>
      <c r="S522" s="414"/>
      <c r="T522" s="415"/>
      <c r="U522" s="414"/>
      <c r="V522" s="414"/>
      <c r="W522" s="414"/>
      <c r="X522" s="414"/>
      <c r="Y522" s="414"/>
      <c r="Z522" s="416"/>
      <c r="AA522" s="416"/>
      <c r="AB522" s="414"/>
      <c r="AC522" s="414"/>
      <c r="AD522" s="416"/>
      <c r="AE522" s="414"/>
      <c r="AF522" s="233"/>
    </row>
    <row r="523" spans="1:32">
      <c r="A523" s="225">
        <f t="shared" si="7"/>
        <v>514</v>
      </c>
      <c r="B523" s="227" t="s">
        <v>1607</v>
      </c>
      <c r="C523" s="227" t="s">
        <v>1869</v>
      </c>
      <c r="D523" s="228" t="s">
        <v>1870</v>
      </c>
      <c r="E523" s="363" t="s">
        <v>2211</v>
      </c>
      <c r="F523" s="342">
        <v>45471</v>
      </c>
      <c r="G523" s="230"/>
      <c r="H523" s="231"/>
      <c r="I523" s="231">
        <v>598005</v>
      </c>
      <c r="J523" s="226" t="s">
        <v>2388</v>
      </c>
      <c r="K523" s="362"/>
      <c r="L523" s="345">
        <v>598005</v>
      </c>
      <c r="M523" s="346">
        <v>0</v>
      </c>
      <c r="N523" s="226"/>
      <c r="O523" s="232"/>
      <c r="P523" s="232"/>
      <c r="Q523" s="232"/>
      <c r="R523" s="232"/>
      <c r="S523" s="414"/>
      <c r="T523" s="415"/>
      <c r="U523" s="414"/>
      <c r="V523" s="414"/>
      <c r="W523" s="414"/>
      <c r="X523" s="414"/>
      <c r="Y523" s="414"/>
      <c r="Z523" s="416"/>
      <c r="AA523" s="416"/>
      <c r="AB523" s="414"/>
      <c r="AC523" s="414"/>
      <c r="AD523" s="416"/>
      <c r="AE523" s="414"/>
      <c r="AF523" s="233"/>
    </row>
    <row r="524" spans="1:32">
      <c r="A524" s="225">
        <f t="shared" ref="A524:A587" si="8">A523+1</f>
        <v>515</v>
      </c>
      <c r="B524" s="227" t="s">
        <v>1190</v>
      </c>
      <c r="C524" s="227" t="s">
        <v>1923</v>
      </c>
      <c r="D524" s="228" t="s">
        <v>1924</v>
      </c>
      <c r="E524" s="363" t="s">
        <v>2212</v>
      </c>
      <c r="F524" s="342">
        <v>45471</v>
      </c>
      <c r="G524" s="230"/>
      <c r="H524" s="231"/>
      <c r="I524" s="231">
        <v>332910</v>
      </c>
      <c r="J524" s="226" t="s">
        <v>2388</v>
      </c>
      <c r="K524" s="362"/>
      <c r="L524" s="345">
        <v>332910</v>
      </c>
      <c r="M524" s="346">
        <v>0</v>
      </c>
      <c r="N524" s="226"/>
      <c r="O524" s="232"/>
      <c r="P524" s="232"/>
      <c r="Q524" s="232"/>
      <c r="R524" s="232"/>
      <c r="S524" s="414"/>
      <c r="T524" s="415"/>
      <c r="U524" s="414"/>
      <c r="V524" s="414"/>
      <c r="W524" s="414"/>
      <c r="X524" s="414"/>
      <c r="Y524" s="414"/>
      <c r="Z524" s="416"/>
      <c r="AA524" s="416"/>
      <c r="AB524" s="414"/>
      <c r="AC524" s="414"/>
      <c r="AD524" s="416"/>
      <c r="AE524" s="414"/>
      <c r="AF524" s="233"/>
    </row>
    <row r="525" spans="1:32">
      <c r="A525" s="225">
        <f t="shared" si="8"/>
        <v>516</v>
      </c>
      <c r="B525" s="227" t="s">
        <v>1185</v>
      </c>
      <c r="C525" s="227" t="s">
        <v>1766</v>
      </c>
      <c r="D525" s="228" t="s">
        <v>1767</v>
      </c>
      <c r="E525" s="363" t="s">
        <v>2213</v>
      </c>
      <c r="F525" s="342">
        <v>45462</v>
      </c>
      <c r="G525" s="230"/>
      <c r="H525" s="231"/>
      <c r="I525" s="231">
        <v>2884000</v>
      </c>
      <c r="J525" s="226" t="s">
        <v>2388</v>
      </c>
      <c r="K525" s="362"/>
      <c r="L525" s="345">
        <v>2884000</v>
      </c>
      <c r="M525" s="346">
        <v>0</v>
      </c>
      <c r="N525" s="226"/>
      <c r="O525" s="232"/>
      <c r="P525" s="232"/>
      <c r="Q525" s="232"/>
      <c r="R525" s="232"/>
      <c r="S525" s="414"/>
      <c r="T525" s="415"/>
      <c r="U525" s="414"/>
      <c r="V525" s="414"/>
      <c r="W525" s="414"/>
      <c r="X525" s="414"/>
      <c r="Y525" s="414"/>
      <c r="Z525" s="416"/>
      <c r="AA525" s="416"/>
      <c r="AB525" s="414"/>
      <c r="AC525" s="414"/>
      <c r="AD525" s="416"/>
      <c r="AE525" s="414"/>
      <c r="AF525" s="233"/>
    </row>
    <row r="526" spans="1:32">
      <c r="A526" s="225">
        <f t="shared" si="8"/>
        <v>517</v>
      </c>
      <c r="B526" s="227" t="s">
        <v>1608</v>
      </c>
      <c r="C526" s="227" t="s">
        <v>1776</v>
      </c>
      <c r="D526" s="228" t="s">
        <v>1777</v>
      </c>
      <c r="E526" s="363">
        <v>241019</v>
      </c>
      <c r="F526" s="342">
        <v>45446</v>
      </c>
      <c r="G526" s="230"/>
      <c r="H526" s="231"/>
      <c r="I526" s="231">
        <v>245940</v>
      </c>
      <c r="J526" s="226" t="s">
        <v>2388</v>
      </c>
      <c r="K526" s="362"/>
      <c r="L526" s="345">
        <v>245940</v>
      </c>
      <c r="M526" s="346">
        <v>0</v>
      </c>
      <c r="N526" s="226"/>
      <c r="O526" s="232"/>
      <c r="P526" s="232"/>
      <c r="Q526" s="232"/>
      <c r="R526" s="232"/>
      <c r="S526" s="414"/>
      <c r="T526" s="415"/>
      <c r="U526" s="414"/>
      <c r="V526" s="414"/>
      <c r="W526" s="414"/>
      <c r="X526" s="414"/>
      <c r="Y526" s="414"/>
      <c r="Z526" s="416"/>
      <c r="AA526" s="416"/>
      <c r="AB526" s="414"/>
      <c r="AC526" s="414"/>
      <c r="AD526" s="416"/>
      <c r="AE526" s="414"/>
      <c r="AF526" s="233"/>
    </row>
    <row r="527" spans="1:32">
      <c r="A527" s="225">
        <f t="shared" si="8"/>
        <v>518</v>
      </c>
      <c r="B527" s="227" t="s">
        <v>1609</v>
      </c>
      <c r="C527" s="227" t="s">
        <v>1789</v>
      </c>
      <c r="D527" s="228" t="s">
        <v>1790</v>
      </c>
      <c r="E527" s="363" t="s">
        <v>2214</v>
      </c>
      <c r="F527" s="342">
        <v>45444</v>
      </c>
      <c r="G527" s="230"/>
      <c r="H527" s="231"/>
      <c r="I527" s="231">
        <v>18828</v>
      </c>
      <c r="J527" s="226" t="s">
        <v>2388</v>
      </c>
      <c r="K527" s="362"/>
      <c r="L527" s="345">
        <v>18828</v>
      </c>
      <c r="M527" s="346">
        <v>0</v>
      </c>
      <c r="N527" s="226" t="s">
        <v>2395</v>
      </c>
      <c r="O527" s="232"/>
      <c r="P527" s="232"/>
      <c r="Q527" s="232"/>
      <c r="R527" s="232"/>
      <c r="S527" s="414"/>
      <c r="T527" s="415"/>
      <c r="U527" s="414"/>
      <c r="V527" s="414"/>
      <c r="W527" s="414"/>
      <c r="X527" s="414"/>
      <c r="Y527" s="414"/>
      <c r="Z527" s="416"/>
      <c r="AA527" s="416"/>
      <c r="AB527" s="414"/>
      <c r="AC527" s="414"/>
      <c r="AD527" s="416"/>
      <c r="AE527" s="414"/>
      <c r="AF527" s="233"/>
    </row>
    <row r="528" spans="1:32">
      <c r="A528" s="225">
        <f t="shared" si="8"/>
        <v>519</v>
      </c>
      <c r="B528" s="227" t="s">
        <v>1193</v>
      </c>
      <c r="C528" s="227" t="s">
        <v>1780</v>
      </c>
      <c r="D528" s="228" t="s">
        <v>1781</v>
      </c>
      <c r="E528" s="363">
        <v>8634</v>
      </c>
      <c r="F528" s="342">
        <v>45444</v>
      </c>
      <c r="G528" s="230"/>
      <c r="H528" s="231"/>
      <c r="I528" s="231">
        <v>9443</v>
      </c>
      <c r="J528" s="226" t="s">
        <v>2389</v>
      </c>
      <c r="K528" s="362"/>
      <c r="L528" s="345"/>
      <c r="M528" s="346">
        <v>9443</v>
      </c>
      <c r="N528" s="226"/>
      <c r="O528" s="232"/>
      <c r="P528" s="232"/>
      <c r="Q528" s="232"/>
      <c r="R528" s="232"/>
      <c r="S528" s="414"/>
      <c r="T528" s="415"/>
      <c r="U528" s="414"/>
      <c r="V528" s="414"/>
      <c r="W528" s="414"/>
      <c r="X528" s="414"/>
      <c r="Y528" s="414"/>
      <c r="Z528" s="416"/>
      <c r="AA528" s="416"/>
      <c r="AB528" s="414"/>
      <c r="AC528" s="414"/>
      <c r="AD528" s="416"/>
      <c r="AE528" s="414"/>
      <c r="AF528" s="233"/>
    </row>
    <row r="529" spans="1:32">
      <c r="A529" s="225">
        <f t="shared" si="8"/>
        <v>520</v>
      </c>
      <c r="B529" s="227" t="s">
        <v>1451</v>
      </c>
      <c r="C529" s="227" t="s">
        <v>1771</v>
      </c>
      <c r="D529" s="228" t="s">
        <v>1772</v>
      </c>
      <c r="E529" s="363" t="s">
        <v>2215</v>
      </c>
      <c r="F529" s="342">
        <v>45503</v>
      </c>
      <c r="G529" s="230"/>
      <c r="H529" s="231"/>
      <c r="I529" s="231">
        <v>93229</v>
      </c>
      <c r="J529" s="226" t="s">
        <v>2388</v>
      </c>
      <c r="K529" s="362"/>
      <c r="L529" s="345">
        <v>93229</v>
      </c>
      <c r="M529" s="346">
        <v>0</v>
      </c>
      <c r="N529" s="226"/>
      <c r="O529" s="232"/>
      <c r="P529" s="232"/>
      <c r="Q529" s="232"/>
      <c r="R529" s="232"/>
      <c r="S529" s="414"/>
      <c r="T529" s="415"/>
      <c r="U529" s="414"/>
      <c r="V529" s="414"/>
      <c r="W529" s="414"/>
      <c r="X529" s="414"/>
      <c r="Y529" s="414"/>
      <c r="Z529" s="416"/>
      <c r="AA529" s="416"/>
      <c r="AB529" s="414"/>
      <c r="AC529" s="414"/>
      <c r="AD529" s="416"/>
      <c r="AE529" s="414"/>
      <c r="AF529" s="233"/>
    </row>
    <row r="530" spans="1:32">
      <c r="A530" s="225">
        <f t="shared" si="8"/>
        <v>521</v>
      </c>
      <c r="B530" s="227" t="s">
        <v>1610</v>
      </c>
      <c r="C530" s="227" t="s">
        <v>1785</v>
      </c>
      <c r="D530" s="228" t="s">
        <v>1786</v>
      </c>
      <c r="E530" s="363">
        <v>147889</v>
      </c>
      <c r="F530" s="342">
        <v>45497</v>
      </c>
      <c r="G530" s="230"/>
      <c r="H530" s="231"/>
      <c r="I530" s="231">
        <v>35731</v>
      </c>
      <c r="J530" s="226" t="s">
        <v>2388</v>
      </c>
      <c r="K530" s="362"/>
      <c r="L530" s="345">
        <v>35731</v>
      </c>
      <c r="M530" s="346">
        <v>0</v>
      </c>
      <c r="N530" s="226"/>
      <c r="O530" s="232"/>
      <c r="P530" s="232"/>
      <c r="Q530" s="232"/>
      <c r="R530" s="232"/>
      <c r="S530" s="414"/>
      <c r="T530" s="415"/>
      <c r="U530" s="414"/>
      <c r="V530" s="414"/>
      <c r="W530" s="414"/>
      <c r="X530" s="414"/>
      <c r="Y530" s="414"/>
      <c r="Z530" s="416"/>
      <c r="AA530" s="416"/>
      <c r="AB530" s="414"/>
      <c r="AC530" s="414"/>
      <c r="AD530" s="416"/>
      <c r="AE530" s="414"/>
      <c r="AF530" s="233"/>
    </row>
    <row r="531" spans="1:32">
      <c r="A531" s="225">
        <f t="shared" si="8"/>
        <v>522</v>
      </c>
      <c r="B531" s="227" t="s">
        <v>1611</v>
      </c>
      <c r="C531" s="227" t="s">
        <v>2067</v>
      </c>
      <c r="D531" s="228" t="s">
        <v>2068</v>
      </c>
      <c r="E531" s="363" t="s">
        <v>2216</v>
      </c>
      <c r="F531" s="342">
        <v>45476</v>
      </c>
      <c r="G531" s="230"/>
      <c r="H531" s="231"/>
      <c r="I531" s="231">
        <v>718591</v>
      </c>
      <c r="J531" s="226" t="s">
        <v>2388</v>
      </c>
      <c r="K531" s="362"/>
      <c r="L531" s="345">
        <v>718591</v>
      </c>
      <c r="M531" s="346">
        <v>0</v>
      </c>
      <c r="N531" s="226"/>
      <c r="O531" s="232"/>
      <c r="P531" s="232"/>
      <c r="Q531" s="232"/>
      <c r="R531" s="232"/>
      <c r="S531" s="414"/>
      <c r="T531" s="415"/>
      <c r="U531" s="414"/>
      <c r="V531" s="414"/>
      <c r="W531" s="414"/>
      <c r="X531" s="414"/>
      <c r="Y531" s="414"/>
      <c r="Z531" s="416"/>
      <c r="AA531" s="416"/>
      <c r="AB531" s="414"/>
      <c r="AC531" s="414"/>
      <c r="AD531" s="416"/>
      <c r="AE531" s="414"/>
      <c r="AF531" s="233"/>
    </row>
    <row r="532" spans="1:32">
      <c r="A532" s="225">
        <f t="shared" si="8"/>
        <v>523</v>
      </c>
      <c r="B532" s="227" t="s">
        <v>1612</v>
      </c>
      <c r="C532" s="227" t="s">
        <v>2067</v>
      </c>
      <c r="D532" s="228" t="s">
        <v>2068</v>
      </c>
      <c r="E532" s="363" t="s">
        <v>2217</v>
      </c>
      <c r="F532" s="342">
        <v>45491</v>
      </c>
      <c r="G532" s="230"/>
      <c r="H532" s="231"/>
      <c r="I532" s="231">
        <v>591408</v>
      </c>
      <c r="J532" s="226" t="s">
        <v>2388</v>
      </c>
      <c r="K532" s="362"/>
      <c r="L532" s="345">
        <v>591408</v>
      </c>
      <c r="M532" s="346">
        <v>0</v>
      </c>
      <c r="N532" s="226"/>
      <c r="O532" s="232"/>
      <c r="P532" s="232"/>
      <c r="Q532" s="232"/>
      <c r="R532" s="232"/>
      <c r="S532" s="414"/>
      <c r="T532" s="415"/>
      <c r="U532" s="414"/>
      <c r="V532" s="414"/>
      <c r="W532" s="414"/>
      <c r="X532" s="414"/>
      <c r="Y532" s="414"/>
      <c r="Z532" s="416"/>
      <c r="AA532" s="416"/>
      <c r="AB532" s="414"/>
      <c r="AC532" s="414"/>
      <c r="AD532" s="416"/>
      <c r="AE532" s="414"/>
      <c r="AF532" s="233"/>
    </row>
    <row r="533" spans="1:32">
      <c r="A533" s="225">
        <f t="shared" si="8"/>
        <v>524</v>
      </c>
      <c r="B533" s="227" t="s">
        <v>1613</v>
      </c>
      <c r="C533" s="227" t="s">
        <v>1785</v>
      </c>
      <c r="D533" s="228" t="s">
        <v>1786</v>
      </c>
      <c r="E533" s="363">
        <v>138992</v>
      </c>
      <c r="F533" s="342">
        <v>45486</v>
      </c>
      <c r="G533" s="230"/>
      <c r="H533" s="231"/>
      <c r="I533" s="231">
        <v>35722</v>
      </c>
      <c r="J533" s="226" t="s">
        <v>2388</v>
      </c>
      <c r="K533" s="362"/>
      <c r="L533" s="345">
        <v>35722</v>
      </c>
      <c r="M533" s="346">
        <v>0</v>
      </c>
      <c r="N533" s="226"/>
      <c r="O533" s="232"/>
      <c r="P533" s="232"/>
      <c r="Q533" s="232"/>
      <c r="R533" s="232"/>
      <c r="S533" s="414"/>
      <c r="T533" s="415"/>
      <c r="U533" s="414"/>
      <c r="V533" s="414"/>
      <c r="W533" s="414"/>
      <c r="X533" s="414"/>
      <c r="Y533" s="414"/>
      <c r="Z533" s="416"/>
      <c r="AA533" s="416"/>
      <c r="AB533" s="414"/>
      <c r="AC533" s="414"/>
      <c r="AD533" s="416"/>
      <c r="AE533" s="414"/>
      <c r="AF533" s="233"/>
    </row>
    <row r="534" spans="1:32">
      <c r="A534" s="225">
        <f t="shared" si="8"/>
        <v>525</v>
      </c>
      <c r="B534" s="227" t="s">
        <v>1614</v>
      </c>
      <c r="C534" s="227" t="s">
        <v>2067</v>
      </c>
      <c r="D534" s="228" t="s">
        <v>2068</v>
      </c>
      <c r="E534" s="363" t="s">
        <v>2218</v>
      </c>
      <c r="F534" s="342">
        <v>45502</v>
      </c>
      <c r="G534" s="230"/>
      <c r="H534" s="231"/>
      <c r="I534" s="231">
        <v>365256</v>
      </c>
      <c r="J534" s="226" t="s">
        <v>2388</v>
      </c>
      <c r="K534" s="362"/>
      <c r="L534" s="345">
        <v>365256</v>
      </c>
      <c r="M534" s="346">
        <v>0</v>
      </c>
      <c r="N534" s="226"/>
      <c r="O534" s="232"/>
      <c r="P534" s="232"/>
      <c r="Q534" s="232"/>
      <c r="R534" s="232"/>
      <c r="S534" s="414"/>
      <c r="T534" s="415"/>
      <c r="U534" s="414"/>
      <c r="V534" s="414"/>
      <c r="W534" s="414"/>
      <c r="X534" s="414"/>
      <c r="Y534" s="414"/>
      <c r="Z534" s="416"/>
      <c r="AA534" s="416"/>
      <c r="AB534" s="414"/>
      <c r="AC534" s="414"/>
      <c r="AD534" s="416"/>
      <c r="AE534" s="414"/>
      <c r="AF534" s="233"/>
    </row>
    <row r="535" spans="1:32">
      <c r="A535" s="225">
        <f t="shared" si="8"/>
        <v>526</v>
      </c>
      <c r="B535" s="227" t="s">
        <v>1615</v>
      </c>
      <c r="C535" s="227" t="s">
        <v>1789</v>
      </c>
      <c r="D535" s="228" t="s">
        <v>1790</v>
      </c>
      <c r="E535" s="363" t="s">
        <v>2219</v>
      </c>
      <c r="F535" s="342">
        <v>45500</v>
      </c>
      <c r="G535" s="230"/>
      <c r="H535" s="231"/>
      <c r="I535" s="231">
        <v>28714</v>
      </c>
      <c r="J535" s="226" t="s">
        <v>2388</v>
      </c>
      <c r="K535" s="362"/>
      <c r="L535" s="345">
        <v>28714</v>
      </c>
      <c r="M535" s="346">
        <v>0</v>
      </c>
      <c r="N535" s="226" t="s">
        <v>2395</v>
      </c>
      <c r="O535" s="232"/>
      <c r="P535" s="232"/>
      <c r="Q535" s="232"/>
      <c r="R535" s="232"/>
      <c r="S535" s="414"/>
      <c r="T535" s="415"/>
      <c r="U535" s="414"/>
      <c r="V535" s="414"/>
      <c r="W535" s="414"/>
      <c r="X535" s="414"/>
      <c r="Y535" s="414"/>
      <c r="Z535" s="416"/>
      <c r="AA535" s="416"/>
      <c r="AB535" s="414"/>
      <c r="AC535" s="414"/>
      <c r="AD535" s="416"/>
      <c r="AE535" s="414"/>
      <c r="AF535" s="233"/>
    </row>
    <row r="536" spans="1:32">
      <c r="A536" s="225">
        <f t="shared" si="8"/>
        <v>527</v>
      </c>
      <c r="B536" s="227" t="s">
        <v>1616</v>
      </c>
      <c r="C536" s="227" t="s">
        <v>2067</v>
      </c>
      <c r="D536" s="228" t="s">
        <v>2068</v>
      </c>
      <c r="E536" s="363" t="s">
        <v>2220</v>
      </c>
      <c r="F536" s="342">
        <v>45502</v>
      </c>
      <c r="G536" s="230"/>
      <c r="H536" s="231"/>
      <c r="I536" s="231">
        <v>344736</v>
      </c>
      <c r="J536" s="226" t="s">
        <v>2388</v>
      </c>
      <c r="K536" s="362"/>
      <c r="L536" s="345">
        <v>344736</v>
      </c>
      <c r="M536" s="346">
        <v>0</v>
      </c>
      <c r="N536" s="226"/>
      <c r="O536" s="232"/>
      <c r="P536" s="232"/>
      <c r="Q536" s="232"/>
      <c r="R536" s="232"/>
      <c r="S536" s="414"/>
      <c r="T536" s="415"/>
      <c r="U536" s="414"/>
      <c r="V536" s="414"/>
      <c r="W536" s="414"/>
      <c r="X536" s="414"/>
      <c r="Y536" s="414"/>
      <c r="Z536" s="416"/>
      <c r="AA536" s="416"/>
      <c r="AB536" s="414"/>
      <c r="AC536" s="414"/>
      <c r="AD536" s="416"/>
      <c r="AE536" s="414"/>
      <c r="AF536" s="233"/>
    </row>
    <row r="537" spans="1:32">
      <c r="A537" s="225">
        <f t="shared" si="8"/>
        <v>528</v>
      </c>
      <c r="B537" s="227" t="s">
        <v>1617</v>
      </c>
      <c r="C537" s="227" t="s">
        <v>2067</v>
      </c>
      <c r="D537" s="228" t="s">
        <v>2068</v>
      </c>
      <c r="E537" s="363" t="s">
        <v>2221</v>
      </c>
      <c r="F537" s="342">
        <v>45476</v>
      </c>
      <c r="G537" s="230"/>
      <c r="H537" s="231"/>
      <c r="I537" s="231">
        <v>473570</v>
      </c>
      <c r="J537" s="226" t="s">
        <v>2388</v>
      </c>
      <c r="K537" s="362"/>
      <c r="L537" s="345">
        <v>473570</v>
      </c>
      <c r="M537" s="346">
        <v>0</v>
      </c>
      <c r="N537" s="226"/>
      <c r="O537" s="232"/>
      <c r="P537" s="232"/>
      <c r="Q537" s="232"/>
      <c r="R537" s="232"/>
      <c r="S537" s="414"/>
      <c r="T537" s="415"/>
      <c r="U537" s="414"/>
      <c r="V537" s="414"/>
      <c r="W537" s="414"/>
      <c r="X537" s="414"/>
      <c r="Y537" s="414"/>
      <c r="Z537" s="416"/>
      <c r="AA537" s="416"/>
      <c r="AB537" s="414"/>
      <c r="AC537" s="414"/>
      <c r="AD537" s="416"/>
      <c r="AE537" s="414"/>
      <c r="AF537" s="233"/>
    </row>
    <row r="538" spans="1:32">
      <c r="A538" s="225">
        <f t="shared" si="8"/>
        <v>529</v>
      </c>
      <c r="B538" s="227" t="s">
        <v>1618</v>
      </c>
      <c r="C538" s="227" t="s">
        <v>1789</v>
      </c>
      <c r="D538" s="228" t="s">
        <v>1790</v>
      </c>
      <c r="E538" s="363" t="s">
        <v>2222</v>
      </c>
      <c r="F538" s="342">
        <v>45486</v>
      </c>
      <c r="G538" s="230"/>
      <c r="H538" s="231"/>
      <c r="I538" s="231">
        <v>28742</v>
      </c>
      <c r="J538" s="226" t="s">
        <v>2388</v>
      </c>
      <c r="K538" s="362"/>
      <c r="L538" s="345">
        <v>28742</v>
      </c>
      <c r="M538" s="346">
        <v>0</v>
      </c>
      <c r="N538" s="226" t="s">
        <v>2395</v>
      </c>
      <c r="O538" s="232"/>
      <c r="P538" s="232"/>
      <c r="Q538" s="232"/>
      <c r="R538" s="232"/>
      <c r="S538" s="414"/>
      <c r="T538" s="415"/>
      <c r="U538" s="414"/>
      <c r="V538" s="414"/>
      <c r="W538" s="414"/>
      <c r="X538" s="414"/>
      <c r="Y538" s="414"/>
      <c r="Z538" s="416"/>
      <c r="AA538" s="416"/>
      <c r="AB538" s="414"/>
      <c r="AC538" s="414"/>
      <c r="AD538" s="416"/>
      <c r="AE538" s="414"/>
      <c r="AF538" s="233"/>
    </row>
    <row r="539" spans="1:32">
      <c r="A539" s="225">
        <f t="shared" si="8"/>
        <v>530</v>
      </c>
      <c r="B539" s="227" t="s">
        <v>1619</v>
      </c>
      <c r="C539" s="227" t="s">
        <v>2067</v>
      </c>
      <c r="D539" s="228" t="s">
        <v>2068</v>
      </c>
      <c r="E539" s="363" t="s">
        <v>2223</v>
      </c>
      <c r="F539" s="342">
        <v>45476</v>
      </c>
      <c r="G539" s="230"/>
      <c r="H539" s="231"/>
      <c r="I539" s="231">
        <v>366502</v>
      </c>
      <c r="J539" s="226" t="s">
        <v>2388</v>
      </c>
      <c r="K539" s="362"/>
      <c r="L539" s="345">
        <v>366502</v>
      </c>
      <c r="M539" s="346">
        <v>0</v>
      </c>
      <c r="N539" s="226"/>
      <c r="O539" s="232"/>
      <c r="P539" s="232"/>
      <c r="Q539" s="232"/>
      <c r="R539" s="232"/>
      <c r="S539" s="414"/>
      <c r="T539" s="415"/>
      <c r="U539" s="414"/>
      <c r="V539" s="414"/>
      <c r="W539" s="414"/>
      <c r="X539" s="414"/>
      <c r="Y539" s="414"/>
      <c r="Z539" s="416"/>
      <c r="AA539" s="416"/>
      <c r="AB539" s="414"/>
      <c r="AC539" s="414"/>
      <c r="AD539" s="416"/>
      <c r="AE539" s="414"/>
      <c r="AF539" s="233"/>
    </row>
    <row r="540" spans="1:32">
      <c r="A540" s="225">
        <f t="shared" si="8"/>
        <v>531</v>
      </c>
      <c r="B540" s="227" t="s">
        <v>1620</v>
      </c>
      <c r="C540" s="227" t="s">
        <v>1789</v>
      </c>
      <c r="D540" s="228" t="s">
        <v>1790</v>
      </c>
      <c r="E540" s="363" t="s">
        <v>2224</v>
      </c>
      <c r="F540" s="342">
        <v>45486</v>
      </c>
      <c r="G540" s="230"/>
      <c r="H540" s="231"/>
      <c r="I540" s="231">
        <v>28742</v>
      </c>
      <c r="J540" s="226" t="s">
        <v>2388</v>
      </c>
      <c r="K540" s="362"/>
      <c r="L540" s="345">
        <v>28742</v>
      </c>
      <c r="M540" s="346">
        <v>0</v>
      </c>
      <c r="N540" s="226" t="s">
        <v>2395</v>
      </c>
      <c r="O540" s="232"/>
      <c r="P540" s="232"/>
      <c r="Q540" s="232"/>
      <c r="R540" s="232"/>
      <c r="S540" s="414"/>
      <c r="T540" s="415"/>
      <c r="U540" s="414"/>
      <c r="V540" s="414"/>
      <c r="W540" s="414"/>
      <c r="X540" s="414"/>
      <c r="Y540" s="414"/>
      <c r="Z540" s="416"/>
      <c r="AA540" s="416"/>
      <c r="AB540" s="414"/>
      <c r="AC540" s="414"/>
      <c r="AD540" s="416"/>
      <c r="AE540" s="414"/>
      <c r="AF540" s="233"/>
    </row>
    <row r="541" spans="1:32">
      <c r="A541" s="225">
        <f t="shared" si="8"/>
        <v>532</v>
      </c>
      <c r="B541" s="227" t="s">
        <v>1621</v>
      </c>
      <c r="C541" s="227" t="s">
        <v>2067</v>
      </c>
      <c r="D541" s="228" t="s">
        <v>2068</v>
      </c>
      <c r="E541" s="363" t="s">
        <v>2225</v>
      </c>
      <c r="F541" s="342">
        <v>45476</v>
      </c>
      <c r="G541" s="230"/>
      <c r="H541" s="231"/>
      <c r="I541" s="231">
        <v>473570</v>
      </c>
      <c r="J541" s="226" t="s">
        <v>2388</v>
      </c>
      <c r="K541" s="362"/>
      <c r="L541" s="345">
        <v>473570</v>
      </c>
      <c r="M541" s="346">
        <v>0</v>
      </c>
      <c r="N541" s="226"/>
      <c r="O541" s="232"/>
      <c r="P541" s="232"/>
      <c r="Q541" s="232"/>
      <c r="R541" s="232"/>
      <c r="S541" s="414"/>
      <c r="T541" s="415"/>
      <c r="U541" s="414"/>
      <c r="V541" s="414"/>
      <c r="W541" s="414"/>
      <c r="X541" s="414"/>
      <c r="Y541" s="414"/>
      <c r="Z541" s="416"/>
      <c r="AA541" s="416"/>
      <c r="AB541" s="414"/>
      <c r="AC541" s="414"/>
      <c r="AD541" s="416"/>
      <c r="AE541" s="414"/>
      <c r="AF541" s="233"/>
    </row>
    <row r="542" spans="1:32">
      <c r="A542" s="225">
        <f t="shared" si="8"/>
        <v>533</v>
      </c>
      <c r="B542" s="227" t="s">
        <v>1622</v>
      </c>
      <c r="C542" s="227" t="s">
        <v>1789</v>
      </c>
      <c r="D542" s="228" t="s">
        <v>1790</v>
      </c>
      <c r="E542" s="363" t="s">
        <v>2226</v>
      </c>
      <c r="F542" s="342">
        <v>45484</v>
      </c>
      <c r="G542" s="230"/>
      <c r="H542" s="231"/>
      <c r="I542" s="231">
        <v>28770</v>
      </c>
      <c r="J542" s="226" t="s">
        <v>2388</v>
      </c>
      <c r="K542" s="362"/>
      <c r="L542" s="345">
        <v>28770</v>
      </c>
      <c r="M542" s="346">
        <v>0</v>
      </c>
      <c r="N542" s="226" t="s">
        <v>2395</v>
      </c>
      <c r="O542" s="232"/>
      <c r="P542" s="232"/>
      <c r="Q542" s="232"/>
      <c r="R542" s="232"/>
      <c r="S542" s="414"/>
      <c r="T542" s="415"/>
      <c r="U542" s="414"/>
      <c r="V542" s="414"/>
      <c r="W542" s="414"/>
      <c r="X542" s="414"/>
      <c r="Y542" s="414"/>
      <c r="Z542" s="416"/>
      <c r="AA542" s="416"/>
      <c r="AB542" s="414"/>
      <c r="AC542" s="414"/>
      <c r="AD542" s="416"/>
      <c r="AE542" s="414"/>
      <c r="AF542" s="233"/>
    </row>
    <row r="543" spans="1:32">
      <c r="A543" s="225">
        <f t="shared" si="8"/>
        <v>534</v>
      </c>
      <c r="B543" s="227" t="s">
        <v>1623</v>
      </c>
      <c r="C543" s="227" t="s">
        <v>1766</v>
      </c>
      <c r="D543" s="228" t="s">
        <v>1767</v>
      </c>
      <c r="E543" s="363" t="s">
        <v>2227</v>
      </c>
      <c r="F543" s="342">
        <v>45504</v>
      </c>
      <c r="G543" s="230"/>
      <c r="H543" s="231"/>
      <c r="I543" s="231">
        <v>2875600</v>
      </c>
      <c r="J543" s="226" t="s">
        <v>2388</v>
      </c>
      <c r="K543" s="362"/>
      <c r="L543" s="345">
        <v>2875600</v>
      </c>
      <c r="M543" s="346">
        <v>0</v>
      </c>
      <c r="N543" s="226"/>
      <c r="O543" s="232"/>
      <c r="P543" s="232"/>
      <c r="Q543" s="232"/>
      <c r="R543" s="232"/>
      <c r="S543" s="414"/>
      <c r="T543" s="415"/>
      <c r="U543" s="414"/>
      <c r="V543" s="414"/>
      <c r="W543" s="414"/>
      <c r="X543" s="414"/>
      <c r="Y543" s="414"/>
      <c r="Z543" s="416"/>
      <c r="AA543" s="416"/>
      <c r="AB543" s="414"/>
      <c r="AC543" s="414"/>
      <c r="AD543" s="416"/>
      <c r="AE543" s="414"/>
      <c r="AF543" s="233"/>
    </row>
    <row r="544" spans="1:32">
      <c r="A544" s="225">
        <f t="shared" si="8"/>
        <v>535</v>
      </c>
      <c r="B544" s="227" t="s">
        <v>1624</v>
      </c>
      <c r="C544" s="227" t="s">
        <v>2178</v>
      </c>
      <c r="D544" s="228" t="s">
        <v>2179</v>
      </c>
      <c r="E544" s="363" t="s">
        <v>2228</v>
      </c>
      <c r="F544" s="342">
        <v>45504</v>
      </c>
      <c r="G544" s="230"/>
      <c r="H544" s="231"/>
      <c r="I544" s="231">
        <v>141726</v>
      </c>
      <c r="J544" s="226" t="s">
        <v>2388</v>
      </c>
      <c r="K544" s="362"/>
      <c r="L544" s="345">
        <v>141726</v>
      </c>
      <c r="M544" s="346">
        <v>0</v>
      </c>
      <c r="N544" s="226" t="s">
        <v>2394</v>
      </c>
      <c r="O544" s="232"/>
      <c r="P544" s="232"/>
      <c r="Q544" s="232"/>
      <c r="R544" s="232"/>
      <c r="S544" s="414"/>
      <c r="T544" s="415"/>
      <c r="U544" s="414"/>
      <c r="V544" s="414"/>
      <c r="W544" s="414"/>
      <c r="X544" s="414"/>
      <c r="Y544" s="414"/>
      <c r="Z544" s="416"/>
      <c r="AA544" s="416"/>
      <c r="AB544" s="414"/>
      <c r="AC544" s="414"/>
      <c r="AD544" s="416"/>
      <c r="AE544" s="414"/>
      <c r="AF544" s="233"/>
    </row>
    <row r="545" spans="1:32">
      <c r="A545" s="225">
        <f t="shared" si="8"/>
        <v>536</v>
      </c>
      <c r="B545" s="227" t="s">
        <v>1624</v>
      </c>
      <c r="C545" s="227" t="s">
        <v>2178</v>
      </c>
      <c r="D545" s="228" t="s">
        <v>2179</v>
      </c>
      <c r="E545" s="363" t="s">
        <v>2229</v>
      </c>
      <c r="F545" s="342">
        <v>45504</v>
      </c>
      <c r="G545" s="230"/>
      <c r="H545" s="231"/>
      <c r="I545" s="231">
        <v>141726</v>
      </c>
      <c r="J545" s="226" t="s">
        <v>2388</v>
      </c>
      <c r="K545" s="362"/>
      <c r="L545" s="345">
        <v>141726</v>
      </c>
      <c r="M545" s="346">
        <v>0</v>
      </c>
      <c r="N545" s="226" t="s">
        <v>2394</v>
      </c>
      <c r="O545" s="232"/>
      <c r="P545" s="232"/>
      <c r="Q545" s="232"/>
      <c r="R545" s="232"/>
      <c r="S545" s="414"/>
      <c r="T545" s="415"/>
      <c r="U545" s="414"/>
      <c r="V545" s="414"/>
      <c r="W545" s="414"/>
      <c r="X545" s="414"/>
      <c r="Y545" s="414"/>
      <c r="Z545" s="416"/>
      <c r="AA545" s="416"/>
      <c r="AB545" s="414"/>
      <c r="AC545" s="414"/>
      <c r="AD545" s="416"/>
      <c r="AE545" s="414"/>
      <c r="AF545" s="233"/>
    </row>
    <row r="546" spans="1:32">
      <c r="A546" s="225">
        <f t="shared" si="8"/>
        <v>537</v>
      </c>
      <c r="B546" s="227" t="s">
        <v>1624</v>
      </c>
      <c r="C546" s="227" t="s">
        <v>2178</v>
      </c>
      <c r="D546" s="228" t="s">
        <v>2179</v>
      </c>
      <c r="E546" s="363" t="s">
        <v>2230</v>
      </c>
      <c r="F546" s="342">
        <v>45504</v>
      </c>
      <c r="G546" s="230"/>
      <c r="H546" s="231"/>
      <c r="I546" s="231">
        <v>141726</v>
      </c>
      <c r="J546" s="226" t="s">
        <v>2388</v>
      </c>
      <c r="K546" s="362"/>
      <c r="L546" s="345">
        <v>141726</v>
      </c>
      <c r="M546" s="346">
        <v>0</v>
      </c>
      <c r="N546" s="226" t="s">
        <v>2394</v>
      </c>
      <c r="O546" s="232"/>
      <c r="P546" s="232"/>
      <c r="Q546" s="232"/>
      <c r="R546" s="232"/>
      <c r="S546" s="414"/>
      <c r="T546" s="415"/>
      <c r="U546" s="414"/>
      <c r="V546" s="414"/>
      <c r="W546" s="414"/>
      <c r="X546" s="414"/>
      <c r="Y546" s="414"/>
      <c r="Z546" s="416"/>
      <c r="AA546" s="416"/>
      <c r="AB546" s="414"/>
      <c r="AC546" s="414"/>
      <c r="AD546" s="416"/>
      <c r="AE546" s="414"/>
      <c r="AF546" s="233"/>
    </row>
    <row r="547" spans="1:32">
      <c r="A547" s="225">
        <f t="shared" si="8"/>
        <v>538</v>
      </c>
      <c r="B547" s="227" t="s">
        <v>1624</v>
      </c>
      <c r="C547" s="227" t="s">
        <v>2178</v>
      </c>
      <c r="D547" s="228" t="s">
        <v>2179</v>
      </c>
      <c r="E547" s="363" t="s">
        <v>2231</v>
      </c>
      <c r="F547" s="342">
        <v>45504</v>
      </c>
      <c r="G547" s="230"/>
      <c r="H547" s="231"/>
      <c r="I547" s="231">
        <v>141726</v>
      </c>
      <c r="J547" s="226" t="s">
        <v>2388</v>
      </c>
      <c r="K547" s="362"/>
      <c r="L547" s="345">
        <v>141726</v>
      </c>
      <c r="M547" s="346">
        <v>0</v>
      </c>
      <c r="N547" s="226" t="s">
        <v>2394</v>
      </c>
      <c r="O547" s="232"/>
      <c r="P547" s="232"/>
      <c r="Q547" s="232"/>
      <c r="R547" s="232"/>
      <c r="S547" s="414"/>
      <c r="T547" s="415"/>
      <c r="U547" s="414"/>
      <c r="V547" s="414"/>
      <c r="W547" s="414"/>
      <c r="X547" s="414"/>
      <c r="Y547" s="414"/>
      <c r="Z547" s="416"/>
      <c r="AA547" s="416"/>
      <c r="AB547" s="414"/>
      <c r="AC547" s="414"/>
      <c r="AD547" s="416"/>
      <c r="AE547" s="414"/>
      <c r="AF547" s="233"/>
    </row>
    <row r="548" spans="1:32">
      <c r="A548" s="225">
        <f t="shared" si="8"/>
        <v>539</v>
      </c>
      <c r="B548" s="227" t="s">
        <v>1625</v>
      </c>
      <c r="C548" s="227" t="s">
        <v>2178</v>
      </c>
      <c r="D548" s="228" t="s">
        <v>2179</v>
      </c>
      <c r="E548" s="363" t="s">
        <v>2232</v>
      </c>
      <c r="F548" s="342">
        <v>45504</v>
      </c>
      <c r="G548" s="230"/>
      <c r="H548" s="231"/>
      <c r="I548" s="231">
        <v>141726</v>
      </c>
      <c r="J548" s="226" t="s">
        <v>2388</v>
      </c>
      <c r="K548" s="362"/>
      <c r="L548" s="345">
        <v>141726</v>
      </c>
      <c r="M548" s="346">
        <v>0</v>
      </c>
      <c r="N548" s="226" t="s">
        <v>2394</v>
      </c>
      <c r="O548" s="232"/>
      <c r="P548" s="232"/>
      <c r="Q548" s="232"/>
      <c r="R548" s="232"/>
      <c r="S548" s="414"/>
      <c r="T548" s="415"/>
      <c r="U548" s="414"/>
      <c r="V548" s="414"/>
      <c r="W548" s="414"/>
      <c r="X548" s="414"/>
      <c r="Y548" s="414"/>
      <c r="Z548" s="416"/>
      <c r="AA548" s="416"/>
      <c r="AB548" s="414"/>
      <c r="AC548" s="414"/>
      <c r="AD548" s="416"/>
      <c r="AE548" s="414"/>
      <c r="AF548" s="233"/>
    </row>
    <row r="549" spans="1:32">
      <c r="A549" s="225">
        <f t="shared" si="8"/>
        <v>540</v>
      </c>
      <c r="B549" s="227" t="s">
        <v>1302</v>
      </c>
      <c r="C549" s="227" t="s">
        <v>1763</v>
      </c>
      <c r="D549" s="228" t="s">
        <v>1764</v>
      </c>
      <c r="E549" s="363" t="s">
        <v>2233</v>
      </c>
      <c r="F549" s="342">
        <v>45503</v>
      </c>
      <c r="G549" s="230"/>
      <c r="H549" s="231"/>
      <c r="I549" s="231">
        <v>2806260</v>
      </c>
      <c r="J549" s="226" t="s">
        <v>2388</v>
      </c>
      <c r="K549" s="362"/>
      <c r="L549" s="345">
        <v>2806260</v>
      </c>
      <c r="M549" s="346">
        <v>0</v>
      </c>
      <c r="N549" s="226"/>
      <c r="O549" s="232"/>
      <c r="P549" s="232"/>
      <c r="Q549" s="232"/>
      <c r="R549" s="232"/>
      <c r="S549" s="414"/>
      <c r="T549" s="415"/>
      <c r="U549" s="414"/>
      <c r="V549" s="414"/>
      <c r="W549" s="414"/>
      <c r="X549" s="414"/>
      <c r="Y549" s="414"/>
      <c r="Z549" s="416"/>
      <c r="AA549" s="416"/>
      <c r="AB549" s="414"/>
      <c r="AC549" s="414"/>
      <c r="AD549" s="416"/>
      <c r="AE549" s="414"/>
      <c r="AF549" s="233"/>
    </row>
    <row r="550" spans="1:32">
      <c r="A550" s="225">
        <f t="shared" si="8"/>
        <v>541</v>
      </c>
      <c r="B550" s="227" t="s">
        <v>1626</v>
      </c>
      <c r="C550" s="227" t="s">
        <v>1774</v>
      </c>
      <c r="D550" s="228" t="s">
        <v>1775</v>
      </c>
      <c r="E550" s="363" t="s">
        <v>2234</v>
      </c>
      <c r="F550" s="342">
        <v>45501</v>
      </c>
      <c r="G550" s="230"/>
      <c r="H550" s="231"/>
      <c r="I550" s="231">
        <v>67683</v>
      </c>
      <c r="J550" s="226" t="s">
        <v>2388</v>
      </c>
      <c r="K550" s="362"/>
      <c r="L550" s="345">
        <v>67683</v>
      </c>
      <c r="M550" s="346">
        <v>0</v>
      </c>
      <c r="N550" s="226" t="s">
        <v>2394</v>
      </c>
      <c r="O550" s="232"/>
      <c r="P550" s="232"/>
      <c r="Q550" s="232"/>
      <c r="R550" s="232"/>
      <c r="S550" s="414"/>
      <c r="T550" s="415"/>
      <c r="U550" s="414"/>
      <c r="V550" s="414"/>
      <c r="W550" s="414"/>
      <c r="X550" s="414"/>
      <c r="Y550" s="414"/>
      <c r="Z550" s="416"/>
      <c r="AA550" s="416"/>
      <c r="AB550" s="414"/>
      <c r="AC550" s="414"/>
      <c r="AD550" s="416"/>
      <c r="AE550" s="414"/>
      <c r="AF550" s="233"/>
    </row>
    <row r="551" spans="1:32">
      <c r="A551" s="225">
        <f t="shared" si="8"/>
        <v>542</v>
      </c>
      <c r="B551" s="227" t="s">
        <v>1627</v>
      </c>
      <c r="C551" s="227" t="s">
        <v>1760</v>
      </c>
      <c r="D551" s="228" t="s">
        <v>1761</v>
      </c>
      <c r="E551" s="363" t="s">
        <v>2235</v>
      </c>
      <c r="F551" s="342">
        <v>45500</v>
      </c>
      <c r="G551" s="230"/>
      <c r="H551" s="231"/>
      <c r="I551" s="231">
        <v>246120</v>
      </c>
      <c r="J551" s="226" t="s">
        <v>2388</v>
      </c>
      <c r="K551" s="362"/>
      <c r="L551" s="345">
        <v>246120</v>
      </c>
      <c r="M551" s="346">
        <v>0</v>
      </c>
      <c r="N551" s="226"/>
      <c r="O551" s="232"/>
      <c r="P551" s="232"/>
      <c r="Q551" s="232"/>
      <c r="R551" s="232"/>
      <c r="S551" s="414"/>
      <c r="T551" s="415"/>
      <c r="U551" s="414"/>
      <c r="V551" s="414"/>
      <c r="W551" s="414"/>
      <c r="X551" s="414"/>
      <c r="Y551" s="414"/>
      <c r="Z551" s="416"/>
      <c r="AA551" s="416"/>
      <c r="AB551" s="414"/>
      <c r="AC551" s="414"/>
      <c r="AD551" s="416"/>
      <c r="AE551" s="414"/>
      <c r="AF551" s="233"/>
    </row>
    <row r="552" spans="1:32">
      <c r="A552" s="225">
        <f t="shared" si="8"/>
        <v>543</v>
      </c>
      <c r="B552" s="227" t="s">
        <v>1628</v>
      </c>
      <c r="C552" s="227" t="s">
        <v>2236</v>
      </c>
      <c r="D552" s="228" t="s">
        <v>2237</v>
      </c>
      <c r="E552" s="363" t="s">
        <v>2238</v>
      </c>
      <c r="F552" s="342">
        <v>45497</v>
      </c>
      <c r="G552" s="230"/>
      <c r="H552" s="231"/>
      <c r="I552" s="231">
        <v>344988</v>
      </c>
      <c r="J552" s="226" t="s">
        <v>2388</v>
      </c>
      <c r="K552" s="362"/>
      <c r="L552" s="345">
        <v>344988</v>
      </c>
      <c r="M552" s="346">
        <v>0</v>
      </c>
      <c r="N552" s="226"/>
      <c r="O552" s="232"/>
      <c r="P552" s="232"/>
      <c r="Q552" s="232"/>
      <c r="R552" s="232"/>
      <c r="S552" s="414"/>
      <c r="T552" s="415"/>
      <c r="U552" s="414"/>
      <c r="V552" s="414"/>
      <c r="W552" s="414"/>
      <c r="X552" s="414"/>
      <c r="Y552" s="414"/>
      <c r="Z552" s="416"/>
      <c r="AA552" s="416"/>
      <c r="AB552" s="414"/>
      <c r="AC552" s="414"/>
      <c r="AD552" s="416"/>
      <c r="AE552" s="414"/>
      <c r="AF552" s="233"/>
    </row>
    <row r="553" spans="1:32">
      <c r="A553" s="225">
        <f t="shared" si="8"/>
        <v>544</v>
      </c>
      <c r="B553" s="227" t="s">
        <v>1629</v>
      </c>
      <c r="C553" s="227" t="s">
        <v>1776</v>
      </c>
      <c r="D553" s="228" t="s">
        <v>1777</v>
      </c>
      <c r="E553" s="363">
        <v>241175</v>
      </c>
      <c r="F553" s="342">
        <v>45474</v>
      </c>
      <c r="G553" s="230"/>
      <c r="H553" s="231"/>
      <c r="I553" s="231">
        <v>246720</v>
      </c>
      <c r="J553" s="226" t="s">
        <v>2388</v>
      </c>
      <c r="K553" s="362"/>
      <c r="L553" s="345">
        <v>246720</v>
      </c>
      <c r="M553" s="346">
        <v>0</v>
      </c>
      <c r="N553" s="226"/>
      <c r="O553" s="232"/>
      <c r="P553" s="232"/>
      <c r="Q553" s="232"/>
      <c r="R553" s="232"/>
      <c r="S553" s="414"/>
      <c r="T553" s="415"/>
      <c r="U553" s="414"/>
      <c r="V553" s="414"/>
      <c r="W553" s="414"/>
      <c r="X553" s="414"/>
      <c r="Y553" s="414"/>
      <c r="Z553" s="416"/>
      <c r="AA553" s="416"/>
      <c r="AB553" s="414"/>
      <c r="AC553" s="414"/>
      <c r="AD553" s="416"/>
      <c r="AE553" s="414"/>
      <c r="AF553" s="233"/>
    </row>
    <row r="554" spans="1:32">
      <c r="A554" s="225">
        <f t="shared" si="8"/>
        <v>545</v>
      </c>
      <c r="B554" s="227" t="s">
        <v>1630</v>
      </c>
      <c r="C554" s="227" t="s">
        <v>1780</v>
      </c>
      <c r="D554" s="228" t="s">
        <v>1781</v>
      </c>
      <c r="E554" s="363">
        <v>8640</v>
      </c>
      <c r="F554" s="342">
        <v>45474</v>
      </c>
      <c r="G554" s="230"/>
      <c r="H554" s="231"/>
      <c r="I554" s="231">
        <v>8261</v>
      </c>
      <c r="J554" s="226" t="s">
        <v>2389</v>
      </c>
      <c r="K554" s="362"/>
      <c r="L554" s="345"/>
      <c r="M554" s="346">
        <v>8261</v>
      </c>
      <c r="N554" s="226"/>
      <c r="O554" s="232"/>
      <c r="P554" s="232"/>
      <c r="Q554" s="232"/>
      <c r="R554" s="232"/>
      <c r="S554" s="414"/>
      <c r="T554" s="415"/>
      <c r="U554" s="414"/>
      <c r="V554" s="418"/>
      <c r="W554" s="414"/>
      <c r="X554" s="414"/>
      <c r="Y554" s="414"/>
      <c r="Z554" s="416"/>
      <c r="AA554" s="416"/>
      <c r="AB554" s="414"/>
      <c r="AC554" s="414"/>
      <c r="AD554" s="416"/>
      <c r="AE554" s="414"/>
      <c r="AF554" s="233"/>
    </row>
    <row r="555" spans="1:32">
      <c r="A555" s="225">
        <f t="shared" si="8"/>
        <v>546</v>
      </c>
      <c r="B555" s="227" t="s">
        <v>1631</v>
      </c>
      <c r="C555" s="227" t="s">
        <v>2239</v>
      </c>
      <c r="D555" s="228" t="s">
        <v>2240</v>
      </c>
      <c r="E555" s="363" t="s">
        <v>2241</v>
      </c>
      <c r="F555" s="342">
        <v>45475</v>
      </c>
      <c r="G555" s="230"/>
      <c r="H555" s="231"/>
      <c r="I555" s="231">
        <v>6170</v>
      </c>
      <c r="J555" s="226" t="s">
        <v>2388</v>
      </c>
      <c r="K555" s="362"/>
      <c r="L555" s="345">
        <v>6170</v>
      </c>
      <c r="M555" s="346">
        <v>0</v>
      </c>
      <c r="N555" s="226"/>
      <c r="O555" s="232"/>
      <c r="P555" s="232"/>
      <c r="Q555" s="232"/>
      <c r="R555" s="232"/>
      <c r="S555" s="414"/>
      <c r="T555" s="415"/>
      <c r="U555" s="414"/>
      <c r="V555" s="414"/>
      <c r="W555" s="414"/>
      <c r="X555" s="414"/>
      <c r="Y555" s="414"/>
      <c r="Z555" s="416"/>
      <c r="AA555" s="416"/>
      <c r="AB555" s="414"/>
      <c r="AC555" s="414"/>
      <c r="AD555" s="416"/>
      <c r="AE555" s="414"/>
      <c r="AF555" s="233"/>
    </row>
    <row r="556" spans="1:32">
      <c r="A556" s="225">
        <f t="shared" si="8"/>
        <v>547</v>
      </c>
      <c r="B556" s="227" t="s">
        <v>1631</v>
      </c>
      <c r="C556" s="227" t="s">
        <v>2239</v>
      </c>
      <c r="D556" s="228" t="s">
        <v>2240</v>
      </c>
      <c r="E556" s="363" t="s">
        <v>2242</v>
      </c>
      <c r="F556" s="342">
        <v>45482</v>
      </c>
      <c r="G556" s="230"/>
      <c r="H556" s="231"/>
      <c r="I556" s="231">
        <v>6174</v>
      </c>
      <c r="J556" s="226" t="s">
        <v>2388</v>
      </c>
      <c r="K556" s="362"/>
      <c r="L556" s="345">
        <v>6174</v>
      </c>
      <c r="M556" s="346">
        <v>0</v>
      </c>
      <c r="N556" s="226"/>
      <c r="O556" s="232"/>
      <c r="P556" s="232"/>
      <c r="Q556" s="232"/>
      <c r="R556" s="232"/>
      <c r="S556" s="414"/>
      <c r="T556" s="415"/>
      <c r="U556" s="414"/>
      <c r="V556" s="414"/>
      <c r="W556" s="414"/>
      <c r="X556" s="414"/>
      <c r="Y556" s="414"/>
      <c r="Z556" s="416"/>
      <c r="AA556" s="416"/>
      <c r="AB556" s="414"/>
      <c r="AC556" s="414"/>
      <c r="AD556" s="416"/>
      <c r="AE556" s="414"/>
      <c r="AF556" s="233"/>
    </row>
    <row r="557" spans="1:32">
      <c r="A557" s="225">
        <f t="shared" si="8"/>
        <v>548</v>
      </c>
      <c r="B557" s="227" t="s">
        <v>1632</v>
      </c>
      <c r="C557" s="227" t="s">
        <v>2065</v>
      </c>
      <c r="D557" s="228" t="s">
        <v>2066</v>
      </c>
      <c r="E557" s="363">
        <v>30</v>
      </c>
      <c r="F557" s="342">
        <v>45481</v>
      </c>
      <c r="G557" s="230"/>
      <c r="H557" s="231"/>
      <c r="I557" s="231">
        <v>82380</v>
      </c>
      <c r="J557" s="226" t="s">
        <v>2388</v>
      </c>
      <c r="K557" s="362"/>
      <c r="L557" s="345">
        <v>82380</v>
      </c>
      <c r="M557" s="346">
        <v>0</v>
      </c>
      <c r="N557" s="226"/>
      <c r="O557" s="232"/>
      <c r="P557" s="232"/>
      <c r="Q557" s="232"/>
      <c r="R557" s="232"/>
      <c r="S557" s="414"/>
      <c r="T557" s="415"/>
      <c r="U557" s="414"/>
      <c r="V557" s="414"/>
      <c r="W557" s="414"/>
      <c r="X557" s="414"/>
      <c r="Y557" s="414"/>
      <c r="Z557" s="416"/>
      <c r="AA557" s="416"/>
      <c r="AB557" s="414"/>
      <c r="AC557" s="414"/>
      <c r="AD557" s="416"/>
      <c r="AE557" s="414"/>
      <c r="AF557" s="233"/>
    </row>
    <row r="558" spans="1:32">
      <c r="A558" s="225">
        <f t="shared" si="8"/>
        <v>549</v>
      </c>
      <c r="B558" s="227" t="s">
        <v>1633</v>
      </c>
      <c r="C558" s="227" t="s">
        <v>2065</v>
      </c>
      <c r="D558" s="228" t="s">
        <v>2066</v>
      </c>
      <c r="E558" s="363">
        <v>31</v>
      </c>
      <c r="F558" s="342">
        <v>45481</v>
      </c>
      <c r="G558" s="230"/>
      <c r="H558" s="231"/>
      <c r="I558" s="231">
        <v>80321</v>
      </c>
      <c r="J558" s="226" t="s">
        <v>2388</v>
      </c>
      <c r="K558" s="362"/>
      <c r="L558" s="345">
        <v>80321</v>
      </c>
      <c r="M558" s="346">
        <v>0</v>
      </c>
      <c r="N558" s="226"/>
      <c r="O558" s="232"/>
      <c r="P558" s="232"/>
      <c r="Q558" s="232"/>
      <c r="R558" s="232"/>
      <c r="S558" s="414"/>
      <c r="T558" s="415"/>
      <c r="U558" s="414"/>
      <c r="V558" s="414"/>
      <c r="W558" s="414"/>
      <c r="X558" s="414"/>
      <c r="Y558" s="414"/>
      <c r="Z558" s="416"/>
      <c r="AA558" s="416"/>
      <c r="AB558" s="414"/>
      <c r="AC558" s="414"/>
      <c r="AD558" s="416"/>
      <c r="AE558" s="414"/>
      <c r="AF558" s="233"/>
    </row>
    <row r="559" spans="1:32">
      <c r="A559" s="225">
        <f t="shared" si="8"/>
        <v>550</v>
      </c>
      <c r="B559" s="227" t="s">
        <v>1634</v>
      </c>
      <c r="C559" s="227" t="s">
        <v>2067</v>
      </c>
      <c r="D559" s="228" t="s">
        <v>2068</v>
      </c>
      <c r="E559" s="363" t="s">
        <v>2243</v>
      </c>
      <c r="F559" s="342">
        <v>45535</v>
      </c>
      <c r="G559" s="230"/>
      <c r="H559" s="231"/>
      <c r="I559" s="231">
        <v>1399665</v>
      </c>
      <c r="J559" s="226" t="s">
        <v>2388</v>
      </c>
      <c r="K559" s="362"/>
      <c r="L559" s="345">
        <v>1399665</v>
      </c>
      <c r="M559" s="346">
        <v>0</v>
      </c>
      <c r="N559" s="226"/>
      <c r="O559" s="232"/>
      <c r="P559" s="232"/>
      <c r="Q559" s="232"/>
      <c r="R559" s="232"/>
      <c r="S559" s="414"/>
      <c r="T559" s="415"/>
      <c r="U559" s="414"/>
      <c r="V559" s="414"/>
      <c r="W559" s="414"/>
      <c r="X559" s="414"/>
      <c r="Y559" s="414"/>
      <c r="Z559" s="416"/>
      <c r="AA559" s="416"/>
      <c r="AB559" s="414"/>
      <c r="AC559" s="414"/>
      <c r="AD559" s="416"/>
      <c r="AE559" s="414"/>
      <c r="AF559" s="233"/>
    </row>
    <row r="560" spans="1:32">
      <c r="A560" s="225">
        <f t="shared" si="8"/>
        <v>551</v>
      </c>
      <c r="B560" s="227" t="s">
        <v>1635</v>
      </c>
      <c r="C560" s="227" t="s">
        <v>1785</v>
      </c>
      <c r="D560" s="228" t="s">
        <v>1786</v>
      </c>
      <c r="E560" s="363">
        <v>178670</v>
      </c>
      <c r="F560" s="342">
        <v>45534</v>
      </c>
      <c r="G560" s="230"/>
      <c r="H560" s="231"/>
      <c r="I560" s="231">
        <v>70592</v>
      </c>
      <c r="J560" s="226" t="s">
        <v>2388</v>
      </c>
      <c r="K560" s="362"/>
      <c r="L560" s="345">
        <v>70592</v>
      </c>
      <c r="M560" s="346">
        <v>0</v>
      </c>
      <c r="N560" s="226"/>
      <c r="O560" s="232"/>
      <c r="P560" s="232"/>
      <c r="Q560" s="232"/>
      <c r="R560" s="232"/>
      <c r="S560" s="414"/>
      <c r="T560" s="415"/>
      <c r="U560" s="414"/>
      <c r="V560" s="414"/>
      <c r="W560" s="414"/>
      <c r="X560" s="414"/>
      <c r="Y560" s="414"/>
      <c r="Z560" s="416"/>
      <c r="AA560" s="416"/>
      <c r="AB560" s="414"/>
      <c r="AC560" s="414"/>
      <c r="AD560" s="416"/>
      <c r="AE560" s="414"/>
      <c r="AF560" s="233"/>
    </row>
    <row r="561" spans="1:32">
      <c r="A561" s="225">
        <f t="shared" si="8"/>
        <v>552</v>
      </c>
      <c r="B561" s="227" t="s">
        <v>1636</v>
      </c>
      <c r="C561" s="227" t="s">
        <v>2067</v>
      </c>
      <c r="D561" s="228" t="s">
        <v>2068</v>
      </c>
      <c r="E561" s="363" t="s">
        <v>2244</v>
      </c>
      <c r="F561" s="342">
        <v>45535</v>
      </c>
      <c r="G561" s="230"/>
      <c r="H561" s="231"/>
      <c r="I561" s="231">
        <v>785030</v>
      </c>
      <c r="J561" s="226" t="s">
        <v>2388</v>
      </c>
      <c r="K561" s="362"/>
      <c r="L561" s="345">
        <v>785030</v>
      </c>
      <c r="M561" s="346">
        <v>0</v>
      </c>
      <c r="N561" s="226"/>
      <c r="O561" s="232"/>
      <c r="P561" s="232"/>
      <c r="Q561" s="232"/>
      <c r="R561" s="232"/>
      <c r="S561" s="414"/>
      <c r="T561" s="415"/>
      <c r="U561" s="414"/>
      <c r="V561" s="414"/>
      <c r="W561" s="414"/>
      <c r="X561" s="414"/>
      <c r="Y561" s="414"/>
      <c r="Z561" s="416"/>
      <c r="AA561" s="416"/>
      <c r="AB561" s="414"/>
      <c r="AC561" s="414"/>
      <c r="AD561" s="416"/>
      <c r="AE561" s="414"/>
      <c r="AF561" s="233"/>
    </row>
    <row r="562" spans="1:32">
      <c r="A562" s="225">
        <f t="shared" si="8"/>
        <v>553</v>
      </c>
      <c r="B562" s="227" t="s">
        <v>1637</v>
      </c>
      <c r="C562" s="227" t="s">
        <v>1785</v>
      </c>
      <c r="D562" s="228" t="s">
        <v>1786</v>
      </c>
      <c r="E562" s="363">
        <v>173354</v>
      </c>
      <c r="F562" s="342">
        <v>45527</v>
      </c>
      <c r="G562" s="230"/>
      <c r="H562" s="231"/>
      <c r="I562" s="231">
        <v>35522</v>
      </c>
      <c r="J562" s="226" t="s">
        <v>2388</v>
      </c>
      <c r="K562" s="362"/>
      <c r="L562" s="345">
        <v>35522</v>
      </c>
      <c r="M562" s="346">
        <v>0</v>
      </c>
      <c r="N562" s="226"/>
      <c r="O562" s="232"/>
      <c r="P562" s="232"/>
      <c r="Q562" s="232"/>
      <c r="R562" s="232"/>
      <c r="S562" s="414"/>
      <c r="T562" s="415"/>
      <c r="U562" s="414"/>
      <c r="V562" s="414"/>
      <c r="W562" s="414"/>
      <c r="X562" s="414"/>
      <c r="Y562" s="414"/>
      <c r="Z562" s="416"/>
      <c r="AA562" s="416"/>
      <c r="AB562" s="414"/>
      <c r="AC562" s="414"/>
      <c r="AD562" s="416"/>
      <c r="AE562" s="414"/>
      <c r="AF562" s="233"/>
    </row>
    <row r="563" spans="1:32">
      <c r="A563" s="225">
        <f t="shared" si="8"/>
        <v>554</v>
      </c>
      <c r="B563" s="227" t="s">
        <v>1638</v>
      </c>
      <c r="C563" s="227" t="s">
        <v>2067</v>
      </c>
      <c r="D563" s="228" t="s">
        <v>2068</v>
      </c>
      <c r="E563" s="363" t="s">
        <v>2245</v>
      </c>
      <c r="F563" s="342">
        <v>45535</v>
      </c>
      <c r="G563" s="230"/>
      <c r="H563" s="231"/>
      <c r="I563" s="231">
        <v>557838</v>
      </c>
      <c r="J563" s="226" t="s">
        <v>2388</v>
      </c>
      <c r="K563" s="362"/>
      <c r="L563" s="345">
        <v>557838</v>
      </c>
      <c r="M563" s="346">
        <v>0</v>
      </c>
      <c r="N563" s="226"/>
      <c r="O563" s="232"/>
      <c r="P563" s="232"/>
      <c r="Q563" s="232"/>
      <c r="R563" s="232"/>
      <c r="S563" s="414"/>
      <c r="T563" s="415"/>
      <c r="U563" s="414"/>
      <c r="V563" s="414"/>
      <c r="W563" s="414"/>
      <c r="X563" s="414"/>
      <c r="Y563" s="414"/>
      <c r="Z563" s="416"/>
      <c r="AA563" s="416"/>
      <c r="AB563" s="414"/>
      <c r="AC563" s="414"/>
      <c r="AD563" s="416"/>
      <c r="AE563" s="414"/>
      <c r="AF563" s="233"/>
    </row>
    <row r="564" spans="1:32">
      <c r="A564" s="225">
        <f t="shared" si="8"/>
        <v>555</v>
      </c>
      <c r="B564" s="227" t="s">
        <v>1639</v>
      </c>
      <c r="C564" s="227" t="s">
        <v>1785</v>
      </c>
      <c r="D564" s="228" t="s">
        <v>1786</v>
      </c>
      <c r="E564" s="363">
        <v>158529</v>
      </c>
      <c r="F564" s="342">
        <v>45511</v>
      </c>
      <c r="G564" s="230"/>
      <c r="H564" s="231"/>
      <c r="I564" s="231">
        <v>23416</v>
      </c>
      <c r="J564" s="226" t="s">
        <v>2388</v>
      </c>
      <c r="K564" s="362"/>
      <c r="L564" s="345">
        <v>23416</v>
      </c>
      <c r="M564" s="346">
        <v>0</v>
      </c>
      <c r="N564" s="226"/>
      <c r="O564" s="232"/>
      <c r="P564" s="232"/>
      <c r="Q564" s="232"/>
      <c r="R564" s="232"/>
      <c r="S564" s="414"/>
      <c r="T564" s="415"/>
      <c r="U564" s="414"/>
      <c r="V564" s="414"/>
      <c r="W564" s="414"/>
      <c r="X564" s="414"/>
      <c r="Y564" s="414"/>
      <c r="Z564" s="416"/>
      <c r="AA564" s="416"/>
      <c r="AB564" s="414"/>
      <c r="AC564" s="414"/>
      <c r="AD564" s="416"/>
      <c r="AE564" s="414"/>
      <c r="AF564" s="233"/>
    </row>
    <row r="565" spans="1:32">
      <c r="A565" s="225">
        <f t="shared" si="8"/>
        <v>556</v>
      </c>
      <c r="B565" s="227" t="s">
        <v>1640</v>
      </c>
      <c r="C565" s="227" t="s">
        <v>2067</v>
      </c>
      <c r="D565" s="228" t="s">
        <v>2068</v>
      </c>
      <c r="E565" s="363" t="s">
        <v>2246</v>
      </c>
      <c r="F565" s="342">
        <v>45535</v>
      </c>
      <c r="G565" s="230"/>
      <c r="H565" s="231"/>
      <c r="I565" s="231">
        <v>470612</v>
      </c>
      <c r="J565" s="226" t="s">
        <v>2388</v>
      </c>
      <c r="K565" s="362"/>
      <c r="L565" s="345">
        <v>470612</v>
      </c>
      <c r="M565" s="346">
        <v>0</v>
      </c>
      <c r="N565" s="226"/>
      <c r="O565" s="232"/>
      <c r="P565" s="232"/>
      <c r="Q565" s="232"/>
      <c r="R565" s="232"/>
      <c r="S565" s="414"/>
      <c r="T565" s="415"/>
      <c r="U565" s="414"/>
      <c r="V565" s="414"/>
      <c r="W565" s="414"/>
      <c r="X565" s="414"/>
      <c r="Y565" s="414"/>
      <c r="Z565" s="416"/>
      <c r="AA565" s="416"/>
      <c r="AB565" s="414"/>
      <c r="AC565" s="414"/>
      <c r="AD565" s="416"/>
      <c r="AE565" s="414"/>
      <c r="AF565" s="233"/>
    </row>
    <row r="566" spans="1:32">
      <c r="A566" s="225">
        <f t="shared" si="8"/>
        <v>557</v>
      </c>
      <c r="B566" s="227" t="s">
        <v>1641</v>
      </c>
      <c r="C566" s="227" t="s">
        <v>2067</v>
      </c>
      <c r="D566" s="228" t="s">
        <v>2068</v>
      </c>
      <c r="E566" s="363" t="s">
        <v>2247</v>
      </c>
      <c r="F566" s="342">
        <v>45535</v>
      </c>
      <c r="G566" s="230"/>
      <c r="H566" s="231"/>
      <c r="I566" s="231">
        <v>361073</v>
      </c>
      <c r="J566" s="226" t="s">
        <v>2388</v>
      </c>
      <c r="K566" s="362"/>
      <c r="L566" s="345">
        <v>361073</v>
      </c>
      <c r="M566" s="346">
        <v>0</v>
      </c>
      <c r="N566" s="226"/>
      <c r="O566" s="232"/>
      <c r="P566" s="232"/>
      <c r="Q566" s="232"/>
      <c r="R566" s="232"/>
      <c r="S566" s="414"/>
      <c r="T566" s="415"/>
      <c r="U566" s="414"/>
      <c r="V566" s="414"/>
      <c r="W566" s="414"/>
      <c r="X566" s="414"/>
      <c r="Y566" s="414"/>
      <c r="Z566" s="416"/>
      <c r="AA566" s="416"/>
      <c r="AB566" s="414"/>
      <c r="AC566" s="414"/>
      <c r="AD566" s="416"/>
      <c r="AE566" s="414"/>
      <c r="AF566" s="233"/>
    </row>
    <row r="567" spans="1:32">
      <c r="A567" s="225">
        <f t="shared" si="8"/>
        <v>558</v>
      </c>
      <c r="B567" s="227" t="s">
        <v>1642</v>
      </c>
      <c r="C567" s="227" t="s">
        <v>2067</v>
      </c>
      <c r="D567" s="228" t="s">
        <v>2068</v>
      </c>
      <c r="E567" s="363" t="s">
        <v>2248</v>
      </c>
      <c r="F567" s="342">
        <v>45516</v>
      </c>
      <c r="G567" s="230"/>
      <c r="H567" s="231"/>
      <c r="I567" s="231">
        <v>364633</v>
      </c>
      <c r="J567" s="226" t="s">
        <v>2388</v>
      </c>
      <c r="K567" s="362"/>
      <c r="L567" s="345">
        <v>364633</v>
      </c>
      <c r="M567" s="346">
        <v>0</v>
      </c>
      <c r="N567" s="226"/>
      <c r="O567" s="232"/>
      <c r="P567" s="232"/>
      <c r="Q567" s="232"/>
      <c r="R567" s="232"/>
      <c r="S567" s="414"/>
      <c r="T567" s="415"/>
      <c r="U567" s="414"/>
      <c r="V567" s="414"/>
      <c r="W567" s="414"/>
      <c r="X567" s="414"/>
      <c r="Y567" s="414"/>
      <c r="Z567" s="416"/>
      <c r="AA567" s="416"/>
      <c r="AB567" s="414"/>
      <c r="AC567" s="414"/>
      <c r="AD567" s="416"/>
      <c r="AE567" s="414"/>
      <c r="AF567" s="233"/>
    </row>
    <row r="568" spans="1:32">
      <c r="A568" s="225">
        <f t="shared" si="8"/>
        <v>559</v>
      </c>
      <c r="B568" s="227" t="s">
        <v>1643</v>
      </c>
      <c r="C568" s="227" t="s">
        <v>2178</v>
      </c>
      <c r="D568" s="228" t="s">
        <v>2179</v>
      </c>
      <c r="E568" s="363" t="s">
        <v>2249</v>
      </c>
      <c r="F568" s="342">
        <v>45535</v>
      </c>
      <c r="G568" s="230"/>
      <c r="H568" s="231"/>
      <c r="I568" s="231">
        <v>139967</v>
      </c>
      <c r="J568" s="226" t="s">
        <v>2388</v>
      </c>
      <c r="K568" s="362"/>
      <c r="L568" s="345">
        <v>139967</v>
      </c>
      <c r="M568" s="346">
        <v>0</v>
      </c>
      <c r="N568" s="226" t="s">
        <v>2394</v>
      </c>
      <c r="O568" s="232"/>
      <c r="P568" s="232"/>
      <c r="Q568" s="232"/>
      <c r="R568" s="232"/>
      <c r="S568" s="414"/>
      <c r="T568" s="415"/>
      <c r="U568" s="414"/>
      <c r="V568" s="414"/>
      <c r="W568" s="414"/>
      <c r="X568" s="414"/>
      <c r="Y568" s="414"/>
      <c r="Z568" s="416"/>
      <c r="AA568" s="416"/>
      <c r="AB568" s="414"/>
      <c r="AC568" s="414"/>
      <c r="AD568" s="416"/>
      <c r="AE568" s="414"/>
      <c r="AF568" s="233"/>
    </row>
    <row r="569" spans="1:32">
      <c r="A569" s="225">
        <f t="shared" si="8"/>
        <v>560</v>
      </c>
      <c r="B569" s="227" t="s">
        <v>1644</v>
      </c>
      <c r="C569" s="227" t="s">
        <v>2067</v>
      </c>
      <c r="D569" s="228" t="s">
        <v>2068</v>
      </c>
      <c r="E569" s="363" t="s">
        <v>2250</v>
      </c>
      <c r="F569" s="342">
        <v>45516</v>
      </c>
      <c r="G569" s="230"/>
      <c r="H569" s="231"/>
      <c r="I569" s="231">
        <v>790721</v>
      </c>
      <c r="J569" s="226" t="s">
        <v>2388</v>
      </c>
      <c r="K569" s="362"/>
      <c r="L569" s="345">
        <v>790721</v>
      </c>
      <c r="M569" s="346">
        <v>0</v>
      </c>
      <c r="N569" s="226"/>
      <c r="O569" s="232"/>
      <c r="P569" s="232"/>
      <c r="Q569" s="232"/>
      <c r="R569" s="232"/>
      <c r="S569" s="414"/>
      <c r="T569" s="415"/>
      <c r="U569" s="414"/>
      <c r="V569" s="414"/>
      <c r="W569" s="414"/>
      <c r="X569" s="414"/>
      <c r="Y569" s="414"/>
      <c r="Z569" s="416"/>
      <c r="AA569" s="416"/>
      <c r="AB569" s="414"/>
      <c r="AC569" s="414"/>
      <c r="AD569" s="416"/>
      <c r="AE569" s="414"/>
      <c r="AF569" s="233"/>
    </row>
    <row r="570" spans="1:32">
      <c r="A570" s="225">
        <f t="shared" si="8"/>
        <v>561</v>
      </c>
      <c r="B570" s="227" t="s">
        <v>1645</v>
      </c>
      <c r="C570" s="227" t="s">
        <v>2178</v>
      </c>
      <c r="D570" s="228" t="s">
        <v>2179</v>
      </c>
      <c r="E570" s="363" t="s">
        <v>2251</v>
      </c>
      <c r="F570" s="342">
        <v>45535</v>
      </c>
      <c r="G570" s="230"/>
      <c r="H570" s="231"/>
      <c r="I570" s="231">
        <v>241392</v>
      </c>
      <c r="J570" s="226" t="s">
        <v>2388</v>
      </c>
      <c r="K570" s="362"/>
      <c r="L570" s="345">
        <v>241392</v>
      </c>
      <c r="M570" s="346">
        <v>0</v>
      </c>
      <c r="N570" s="226" t="s">
        <v>2394</v>
      </c>
      <c r="O570" s="232"/>
      <c r="P570" s="232"/>
      <c r="Q570" s="232"/>
      <c r="R570" s="232"/>
      <c r="S570" s="414"/>
      <c r="T570" s="415"/>
      <c r="U570" s="414"/>
      <c r="V570" s="414"/>
      <c r="W570" s="414"/>
      <c r="X570" s="414"/>
      <c r="Y570" s="414"/>
      <c r="Z570" s="416"/>
      <c r="AA570" s="416"/>
      <c r="AB570" s="414"/>
      <c r="AC570" s="414"/>
      <c r="AD570" s="416"/>
      <c r="AE570" s="414"/>
      <c r="AF570" s="233"/>
    </row>
    <row r="571" spans="1:32">
      <c r="A571" s="225">
        <f t="shared" si="8"/>
        <v>562</v>
      </c>
      <c r="B571" s="227" t="s">
        <v>1646</v>
      </c>
      <c r="C571" s="227" t="s">
        <v>2067</v>
      </c>
      <c r="D571" s="228" t="s">
        <v>2068</v>
      </c>
      <c r="E571" s="363" t="s">
        <v>2252</v>
      </c>
      <c r="F571" s="342">
        <v>45516</v>
      </c>
      <c r="G571" s="230"/>
      <c r="H571" s="231"/>
      <c r="I571" s="231">
        <v>430185</v>
      </c>
      <c r="J571" s="226" t="s">
        <v>2388</v>
      </c>
      <c r="K571" s="362"/>
      <c r="L571" s="345">
        <v>430185</v>
      </c>
      <c r="M571" s="346">
        <v>0</v>
      </c>
      <c r="N571" s="226"/>
      <c r="O571" s="232"/>
      <c r="P571" s="232"/>
      <c r="Q571" s="232"/>
      <c r="R571" s="232"/>
      <c r="S571" s="414"/>
      <c r="T571" s="415"/>
      <c r="U571" s="414"/>
      <c r="V571" s="414"/>
      <c r="W571" s="414"/>
      <c r="X571" s="414"/>
      <c r="Y571" s="414"/>
      <c r="Z571" s="416"/>
      <c r="AA571" s="416"/>
      <c r="AB571" s="414"/>
      <c r="AC571" s="414"/>
      <c r="AD571" s="416"/>
      <c r="AE571" s="414"/>
      <c r="AF571" s="233"/>
    </row>
    <row r="572" spans="1:32">
      <c r="A572" s="225">
        <f t="shared" si="8"/>
        <v>563</v>
      </c>
      <c r="B572" s="227" t="s">
        <v>1647</v>
      </c>
      <c r="C572" s="227" t="s">
        <v>2178</v>
      </c>
      <c r="D572" s="228" t="s">
        <v>2179</v>
      </c>
      <c r="E572" s="363" t="s">
        <v>2253</v>
      </c>
      <c r="F572" s="342">
        <v>45535</v>
      </c>
      <c r="G572" s="230"/>
      <c r="H572" s="231"/>
      <c r="I572" s="231">
        <v>139967</v>
      </c>
      <c r="J572" s="226" t="s">
        <v>2388</v>
      </c>
      <c r="K572" s="362"/>
      <c r="L572" s="345">
        <v>139967</v>
      </c>
      <c r="M572" s="346">
        <v>0</v>
      </c>
      <c r="N572" s="226" t="s">
        <v>2394</v>
      </c>
      <c r="O572" s="232"/>
      <c r="P572" s="232"/>
      <c r="Q572" s="232"/>
      <c r="R572" s="232"/>
      <c r="S572" s="414"/>
      <c r="T572" s="415"/>
      <c r="U572" s="414"/>
      <c r="V572" s="414"/>
      <c r="W572" s="414"/>
      <c r="X572" s="414"/>
      <c r="Y572" s="414"/>
      <c r="Z572" s="416"/>
      <c r="AA572" s="416"/>
      <c r="AB572" s="414"/>
      <c r="AC572" s="414"/>
      <c r="AD572" s="416"/>
      <c r="AE572" s="414"/>
      <c r="AF572" s="233"/>
    </row>
    <row r="573" spans="1:32">
      <c r="A573" s="225">
        <f t="shared" si="8"/>
        <v>564</v>
      </c>
      <c r="B573" s="227" t="s">
        <v>1648</v>
      </c>
      <c r="C573" s="227" t="s">
        <v>1789</v>
      </c>
      <c r="D573" s="228" t="s">
        <v>1790</v>
      </c>
      <c r="E573" s="363" t="s">
        <v>2254</v>
      </c>
      <c r="F573" s="342">
        <v>45516</v>
      </c>
      <c r="G573" s="230"/>
      <c r="H573" s="231"/>
      <c r="I573" s="231">
        <v>28679</v>
      </c>
      <c r="J573" s="226" t="s">
        <v>2388</v>
      </c>
      <c r="K573" s="362"/>
      <c r="L573" s="345">
        <v>28679</v>
      </c>
      <c r="M573" s="346">
        <v>0</v>
      </c>
      <c r="N573" s="226" t="s">
        <v>2395</v>
      </c>
      <c r="O573" s="232"/>
      <c r="P573" s="232"/>
      <c r="Q573" s="232"/>
      <c r="R573" s="232"/>
      <c r="S573" s="414"/>
      <c r="T573" s="415"/>
      <c r="U573" s="414"/>
      <c r="V573" s="414"/>
      <c r="W573" s="414"/>
      <c r="X573" s="414"/>
      <c r="Y573" s="414"/>
      <c r="Z573" s="416"/>
      <c r="AA573" s="416"/>
      <c r="AB573" s="414"/>
      <c r="AC573" s="414"/>
      <c r="AD573" s="416"/>
      <c r="AE573" s="414"/>
      <c r="AF573" s="233"/>
    </row>
    <row r="574" spans="1:32">
      <c r="A574" s="225">
        <f t="shared" si="8"/>
        <v>565</v>
      </c>
      <c r="B574" s="227" t="s">
        <v>1649</v>
      </c>
      <c r="C574" s="227" t="s">
        <v>2067</v>
      </c>
      <c r="D574" s="228" t="s">
        <v>2068</v>
      </c>
      <c r="E574" s="363" t="s">
        <v>2255</v>
      </c>
      <c r="F574" s="342">
        <v>45516</v>
      </c>
      <c r="G574" s="230"/>
      <c r="H574" s="231"/>
      <c r="I574" s="231">
        <v>434692</v>
      </c>
      <c r="J574" s="226" t="s">
        <v>2388</v>
      </c>
      <c r="K574" s="362"/>
      <c r="L574" s="345">
        <v>434692</v>
      </c>
      <c r="M574" s="346">
        <v>0</v>
      </c>
      <c r="N574" s="226"/>
      <c r="O574" s="232"/>
      <c r="P574" s="232"/>
      <c r="Q574" s="232"/>
      <c r="R574" s="232"/>
      <c r="S574" s="414"/>
      <c r="T574" s="415"/>
      <c r="U574" s="414"/>
      <c r="V574" s="414"/>
      <c r="W574" s="414"/>
      <c r="X574" s="414"/>
      <c r="Y574" s="414"/>
      <c r="Z574" s="416"/>
      <c r="AA574" s="416"/>
      <c r="AB574" s="414"/>
      <c r="AC574" s="414"/>
      <c r="AD574" s="416"/>
      <c r="AE574" s="414"/>
      <c r="AF574" s="233"/>
    </row>
    <row r="575" spans="1:32">
      <c r="A575" s="225">
        <f t="shared" si="8"/>
        <v>566</v>
      </c>
      <c r="B575" s="227" t="s">
        <v>1650</v>
      </c>
      <c r="C575" s="227" t="s">
        <v>1789</v>
      </c>
      <c r="D575" s="228" t="s">
        <v>1790</v>
      </c>
      <c r="E575" s="363" t="s">
        <v>2256</v>
      </c>
      <c r="F575" s="342">
        <v>45507</v>
      </c>
      <c r="G575" s="230"/>
      <c r="H575" s="231"/>
      <c r="I575" s="231">
        <v>18897</v>
      </c>
      <c r="J575" s="226" t="s">
        <v>2388</v>
      </c>
      <c r="K575" s="362"/>
      <c r="L575" s="345">
        <v>18897</v>
      </c>
      <c r="M575" s="346">
        <v>0</v>
      </c>
      <c r="N575" s="226" t="s">
        <v>2395</v>
      </c>
      <c r="O575" s="232"/>
      <c r="P575" s="232"/>
      <c r="Q575" s="232"/>
      <c r="R575" s="232"/>
      <c r="S575" s="414"/>
      <c r="T575" s="415"/>
      <c r="U575" s="414"/>
      <c r="V575" s="414"/>
      <c r="W575" s="414"/>
      <c r="X575" s="414"/>
      <c r="Y575" s="414"/>
      <c r="Z575" s="416"/>
      <c r="AA575" s="416"/>
      <c r="AB575" s="414"/>
      <c r="AC575" s="414"/>
      <c r="AD575" s="416"/>
      <c r="AE575" s="414"/>
      <c r="AF575" s="233"/>
    </row>
    <row r="576" spans="1:32">
      <c r="A576" s="225">
        <f t="shared" si="8"/>
        <v>567</v>
      </c>
      <c r="B576" s="227" t="s">
        <v>1651</v>
      </c>
      <c r="C576" s="227" t="s">
        <v>2120</v>
      </c>
      <c r="D576" s="228" t="s">
        <v>2121</v>
      </c>
      <c r="E576" s="363">
        <v>233</v>
      </c>
      <c r="F576" s="342">
        <v>45516</v>
      </c>
      <c r="G576" s="230"/>
      <c r="H576" s="231"/>
      <c r="I576" s="231">
        <v>456815</v>
      </c>
      <c r="J576" s="226" t="s">
        <v>2388</v>
      </c>
      <c r="K576" s="362"/>
      <c r="L576" s="345">
        <v>456815</v>
      </c>
      <c r="M576" s="346">
        <v>0</v>
      </c>
      <c r="N576" s="226" t="s">
        <v>2407</v>
      </c>
      <c r="O576" s="232"/>
      <c r="P576" s="232"/>
      <c r="Q576" s="232"/>
      <c r="R576" s="232"/>
      <c r="S576" s="414"/>
      <c r="T576" s="415"/>
      <c r="U576" s="414"/>
      <c r="V576" s="414"/>
      <c r="W576" s="414"/>
      <c r="X576" s="414"/>
      <c r="Y576" s="414"/>
      <c r="Z576" s="416"/>
      <c r="AA576" s="416"/>
      <c r="AB576" s="414"/>
      <c r="AC576" s="414"/>
      <c r="AD576" s="416"/>
      <c r="AE576" s="414"/>
      <c r="AF576" s="233"/>
    </row>
    <row r="577" spans="1:32">
      <c r="A577" s="225">
        <f t="shared" si="8"/>
        <v>568</v>
      </c>
      <c r="B577" s="227" t="s">
        <v>1652</v>
      </c>
      <c r="C577" s="227" t="s">
        <v>1789</v>
      </c>
      <c r="D577" s="228" t="s">
        <v>1790</v>
      </c>
      <c r="E577" s="363" t="s">
        <v>2257</v>
      </c>
      <c r="F577" s="342">
        <v>45506</v>
      </c>
      <c r="G577" s="230"/>
      <c r="H577" s="231"/>
      <c r="I577" s="231">
        <v>18897</v>
      </c>
      <c r="J577" s="226" t="s">
        <v>2388</v>
      </c>
      <c r="K577" s="362"/>
      <c r="L577" s="345">
        <v>18897</v>
      </c>
      <c r="M577" s="346">
        <v>0</v>
      </c>
      <c r="N577" s="226" t="s">
        <v>2395</v>
      </c>
      <c r="O577" s="232"/>
      <c r="P577" s="232"/>
      <c r="Q577" s="232"/>
      <c r="R577" s="232"/>
      <c r="S577" s="414"/>
      <c r="T577" s="415"/>
      <c r="U577" s="414"/>
      <c r="V577" s="414"/>
      <c r="W577" s="414"/>
      <c r="X577" s="414"/>
      <c r="Y577" s="414"/>
      <c r="Z577" s="416"/>
      <c r="AA577" s="416"/>
      <c r="AB577" s="414"/>
      <c r="AC577" s="414"/>
      <c r="AD577" s="416"/>
      <c r="AE577" s="414"/>
      <c r="AF577" s="233"/>
    </row>
    <row r="578" spans="1:32">
      <c r="A578" s="225">
        <f t="shared" si="8"/>
        <v>569</v>
      </c>
      <c r="B578" s="227" t="s">
        <v>1653</v>
      </c>
      <c r="C578" s="227" t="s">
        <v>1760</v>
      </c>
      <c r="D578" s="228" t="s">
        <v>1761</v>
      </c>
      <c r="E578" s="363" t="s">
        <v>2258</v>
      </c>
      <c r="F578" s="342">
        <v>45534</v>
      </c>
      <c r="G578" s="230"/>
      <c r="H578" s="231"/>
      <c r="I578" s="231">
        <v>1647142</v>
      </c>
      <c r="J578" s="226" t="s">
        <v>2388</v>
      </c>
      <c r="K578" s="362"/>
      <c r="L578" s="345">
        <v>1647142</v>
      </c>
      <c r="M578" s="346">
        <v>0</v>
      </c>
      <c r="N578" s="226"/>
      <c r="O578" s="232"/>
      <c r="P578" s="232"/>
      <c r="Q578" s="232"/>
      <c r="R578" s="232"/>
      <c r="S578" s="414"/>
      <c r="T578" s="415"/>
      <c r="U578" s="414"/>
      <c r="V578" s="414"/>
      <c r="W578" s="414"/>
      <c r="X578" s="414"/>
      <c r="Y578" s="414"/>
      <c r="Z578" s="416"/>
      <c r="AA578" s="416"/>
      <c r="AB578" s="414"/>
      <c r="AC578" s="414"/>
      <c r="AD578" s="416"/>
      <c r="AE578" s="414"/>
      <c r="AF578" s="233"/>
    </row>
    <row r="579" spans="1:32">
      <c r="A579" s="225">
        <f t="shared" si="8"/>
        <v>570</v>
      </c>
      <c r="B579" s="227" t="s">
        <v>1321</v>
      </c>
      <c r="C579" s="227" t="s">
        <v>1763</v>
      </c>
      <c r="D579" s="228" t="s">
        <v>1764</v>
      </c>
      <c r="E579" s="363" t="s">
        <v>2259</v>
      </c>
      <c r="F579" s="342">
        <v>45534</v>
      </c>
      <c r="G579" s="230"/>
      <c r="H579" s="231"/>
      <c r="I579" s="231">
        <v>2257201</v>
      </c>
      <c r="J579" s="226" t="s">
        <v>2388</v>
      </c>
      <c r="K579" s="362"/>
      <c r="L579" s="345">
        <v>2257201</v>
      </c>
      <c r="M579" s="346">
        <v>0</v>
      </c>
      <c r="N579" s="226"/>
      <c r="O579" s="232"/>
      <c r="P579" s="232"/>
      <c r="Q579" s="232"/>
      <c r="R579" s="232"/>
      <c r="S579" s="414"/>
      <c r="T579" s="415"/>
      <c r="U579" s="414"/>
      <c r="V579" s="414"/>
      <c r="W579" s="414"/>
      <c r="X579" s="414"/>
      <c r="Y579" s="414"/>
      <c r="Z579" s="416"/>
      <c r="AA579" s="416"/>
      <c r="AB579" s="414"/>
      <c r="AC579" s="414"/>
      <c r="AD579" s="416"/>
      <c r="AE579" s="414"/>
      <c r="AF579" s="233"/>
    </row>
    <row r="580" spans="1:32">
      <c r="A580" s="225">
        <f t="shared" si="8"/>
        <v>571</v>
      </c>
      <c r="B580" s="227" t="s">
        <v>1654</v>
      </c>
      <c r="C580" s="227" t="s">
        <v>1771</v>
      </c>
      <c r="D580" s="228" t="s">
        <v>1772</v>
      </c>
      <c r="E580" s="363" t="s">
        <v>2260</v>
      </c>
      <c r="F580" s="342">
        <v>45534</v>
      </c>
      <c r="G580" s="230"/>
      <c r="H580" s="231"/>
      <c r="I580" s="231">
        <v>81140</v>
      </c>
      <c r="J580" s="226" t="s">
        <v>2388</v>
      </c>
      <c r="K580" s="362"/>
      <c r="L580" s="345">
        <v>81140</v>
      </c>
      <c r="M580" s="346">
        <v>0</v>
      </c>
      <c r="N580" s="226"/>
      <c r="O580" s="232"/>
      <c r="P580" s="232"/>
      <c r="Q580" s="232"/>
      <c r="R580" s="232"/>
      <c r="S580" s="414"/>
      <c r="T580" s="415"/>
      <c r="U580" s="414"/>
      <c r="V580" s="414"/>
      <c r="W580" s="414"/>
      <c r="X580" s="414"/>
      <c r="Y580" s="414"/>
      <c r="Z580" s="416"/>
      <c r="AA580" s="416"/>
      <c r="AB580" s="414"/>
      <c r="AC580" s="414"/>
      <c r="AD580" s="416"/>
      <c r="AE580" s="414"/>
      <c r="AF580" s="233"/>
    </row>
    <row r="581" spans="1:32">
      <c r="A581" s="225">
        <f t="shared" si="8"/>
        <v>572</v>
      </c>
      <c r="B581" s="227" t="s">
        <v>1655</v>
      </c>
      <c r="C581" s="227" t="s">
        <v>1869</v>
      </c>
      <c r="D581" s="228" t="s">
        <v>1870</v>
      </c>
      <c r="E581" s="363" t="s">
        <v>2261</v>
      </c>
      <c r="F581" s="342">
        <v>45533</v>
      </c>
      <c r="G581" s="230"/>
      <c r="H581" s="231"/>
      <c r="I581" s="231">
        <v>365490</v>
      </c>
      <c r="J581" s="226" t="s">
        <v>2388</v>
      </c>
      <c r="K581" s="362"/>
      <c r="L581" s="345">
        <v>365490</v>
      </c>
      <c r="M581" s="346">
        <v>0</v>
      </c>
      <c r="N581" s="226"/>
      <c r="O581" s="232"/>
      <c r="P581" s="232"/>
      <c r="Q581" s="232"/>
      <c r="R581" s="232"/>
      <c r="S581" s="414"/>
      <c r="T581" s="415"/>
      <c r="U581" s="414"/>
      <c r="V581" s="414"/>
      <c r="W581" s="414"/>
      <c r="X581" s="414"/>
      <c r="Y581" s="414"/>
      <c r="Z581" s="416"/>
      <c r="AA581" s="416"/>
      <c r="AB581" s="414"/>
      <c r="AC581" s="414"/>
      <c r="AD581" s="416"/>
      <c r="AE581" s="414"/>
      <c r="AF581" s="233"/>
    </row>
    <row r="582" spans="1:32">
      <c r="A582" s="225">
        <f t="shared" si="8"/>
        <v>573</v>
      </c>
      <c r="B582" s="227" t="s">
        <v>1185</v>
      </c>
      <c r="C582" s="227" t="s">
        <v>1766</v>
      </c>
      <c r="D582" s="228" t="s">
        <v>1767</v>
      </c>
      <c r="E582" s="363" t="s">
        <v>2262</v>
      </c>
      <c r="F582" s="342">
        <v>45532</v>
      </c>
      <c r="G582" s="230"/>
      <c r="H582" s="231"/>
      <c r="I582" s="231">
        <v>2846200</v>
      </c>
      <c r="J582" s="226" t="s">
        <v>2388</v>
      </c>
      <c r="K582" s="362"/>
      <c r="L582" s="345">
        <v>2846200</v>
      </c>
      <c r="M582" s="346">
        <v>0</v>
      </c>
      <c r="N582" s="226"/>
      <c r="O582" s="232"/>
      <c r="P582" s="232"/>
      <c r="Q582" s="232"/>
      <c r="R582" s="232"/>
      <c r="S582" s="414"/>
      <c r="T582" s="415"/>
      <c r="U582" s="414"/>
      <c r="V582" s="414"/>
      <c r="W582" s="414"/>
      <c r="X582" s="414"/>
      <c r="Y582" s="414"/>
      <c r="Z582" s="416"/>
      <c r="AA582" s="416"/>
      <c r="AB582" s="414"/>
      <c r="AC582" s="414"/>
      <c r="AD582" s="416"/>
      <c r="AE582" s="414"/>
      <c r="AF582" s="233"/>
    </row>
    <row r="583" spans="1:32">
      <c r="A583" s="225">
        <f t="shared" si="8"/>
        <v>574</v>
      </c>
      <c r="B583" s="227" t="s">
        <v>1278</v>
      </c>
      <c r="C583" s="227" t="s">
        <v>1774</v>
      </c>
      <c r="D583" s="228" t="s">
        <v>1775</v>
      </c>
      <c r="E583" s="363" t="s">
        <v>2263</v>
      </c>
      <c r="F583" s="342">
        <v>45532</v>
      </c>
      <c r="G583" s="230"/>
      <c r="H583" s="231"/>
      <c r="I583" s="231">
        <v>67089</v>
      </c>
      <c r="J583" s="226" t="s">
        <v>2388</v>
      </c>
      <c r="K583" s="362"/>
      <c r="L583" s="345">
        <v>67089</v>
      </c>
      <c r="M583" s="346">
        <v>0</v>
      </c>
      <c r="N583" s="226" t="s">
        <v>2394</v>
      </c>
      <c r="O583" s="232"/>
      <c r="P583" s="232"/>
      <c r="Q583" s="232"/>
      <c r="R583" s="232"/>
      <c r="S583" s="414"/>
      <c r="T583" s="415"/>
      <c r="U583" s="414"/>
      <c r="V583" s="414"/>
      <c r="W583" s="414"/>
      <c r="X583" s="414"/>
      <c r="Y583" s="414"/>
      <c r="Z583" s="416"/>
      <c r="AA583" s="416"/>
      <c r="AB583" s="414"/>
      <c r="AC583" s="414"/>
      <c r="AD583" s="416"/>
      <c r="AE583" s="414"/>
      <c r="AF583" s="233"/>
    </row>
    <row r="584" spans="1:32">
      <c r="A584" s="225">
        <f t="shared" si="8"/>
        <v>575</v>
      </c>
      <c r="B584" s="227" t="s">
        <v>1656</v>
      </c>
      <c r="C584" s="227" t="s">
        <v>2236</v>
      </c>
      <c r="D584" s="228" t="s">
        <v>2237</v>
      </c>
      <c r="E584" s="363" t="s">
        <v>2264</v>
      </c>
      <c r="F584" s="342">
        <v>45527</v>
      </c>
      <c r="G584" s="230"/>
      <c r="H584" s="231"/>
      <c r="I584" s="231">
        <v>342972</v>
      </c>
      <c r="J584" s="226" t="s">
        <v>2388</v>
      </c>
      <c r="K584" s="362"/>
      <c r="L584" s="345">
        <v>342972</v>
      </c>
      <c r="M584" s="346">
        <v>0</v>
      </c>
      <c r="N584" s="226"/>
      <c r="O584" s="232"/>
      <c r="P584" s="232"/>
      <c r="Q584" s="232"/>
      <c r="R584" s="232"/>
      <c r="S584" s="414"/>
      <c r="T584" s="415"/>
      <c r="U584" s="414"/>
      <c r="V584" s="414"/>
      <c r="W584" s="414"/>
      <c r="X584" s="414"/>
      <c r="Y584" s="414"/>
      <c r="Z584" s="416"/>
      <c r="AA584" s="416"/>
      <c r="AB584" s="414"/>
      <c r="AC584" s="414"/>
      <c r="AD584" s="416"/>
      <c r="AE584" s="414"/>
      <c r="AF584" s="233"/>
    </row>
    <row r="585" spans="1:32">
      <c r="A585" s="225">
        <f t="shared" si="8"/>
        <v>576</v>
      </c>
      <c r="B585" s="227" t="s">
        <v>1657</v>
      </c>
      <c r="C585" s="227" t="s">
        <v>1789</v>
      </c>
      <c r="D585" s="228" t="s">
        <v>1790</v>
      </c>
      <c r="E585" s="363" t="s">
        <v>2265</v>
      </c>
      <c r="F585" s="342">
        <v>45516</v>
      </c>
      <c r="G585" s="230"/>
      <c r="H585" s="231"/>
      <c r="I585" s="231">
        <v>28679</v>
      </c>
      <c r="J585" s="226" t="s">
        <v>2388</v>
      </c>
      <c r="K585" s="362"/>
      <c r="L585" s="345">
        <v>28679</v>
      </c>
      <c r="M585" s="346">
        <v>0</v>
      </c>
      <c r="N585" s="226" t="s">
        <v>2395</v>
      </c>
      <c r="O585" s="232"/>
      <c r="P585" s="232"/>
      <c r="Q585" s="232"/>
      <c r="R585" s="232"/>
      <c r="S585" s="414"/>
      <c r="T585" s="415"/>
      <c r="U585" s="414"/>
      <c r="V585" s="414"/>
      <c r="W585" s="414"/>
      <c r="X585" s="414"/>
      <c r="Y585" s="414"/>
      <c r="Z585" s="416"/>
      <c r="AA585" s="416"/>
      <c r="AB585" s="414"/>
      <c r="AC585" s="414"/>
      <c r="AD585" s="416"/>
      <c r="AE585" s="414"/>
      <c r="AF585" s="233"/>
    </row>
    <row r="586" spans="1:32">
      <c r="A586" s="225">
        <f t="shared" si="8"/>
        <v>577</v>
      </c>
      <c r="B586" s="227" t="s">
        <v>1193</v>
      </c>
      <c r="C586" s="227" t="s">
        <v>1780</v>
      </c>
      <c r="D586" s="228" t="s">
        <v>1781</v>
      </c>
      <c r="E586" s="363">
        <v>8646</v>
      </c>
      <c r="F586" s="342">
        <v>45505</v>
      </c>
      <c r="G586" s="230"/>
      <c r="H586" s="231"/>
      <c r="I586" s="231">
        <v>9309</v>
      </c>
      <c r="J586" s="226" t="s">
        <v>2389</v>
      </c>
      <c r="K586" s="362"/>
      <c r="L586" s="345"/>
      <c r="M586" s="346">
        <v>9309</v>
      </c>
      <c r="N586" s="226"/>
      <c r="O586" s="232"/>
      <c r="P586" s="232"/>
      <c r="Q586" s="232"/>
      <c r="R586" s="232"/>
      <c r="S586" s="414"/>
      <c r="T586" s="415"/>
      <c r="U586" s="414"/>
      <c r="V586" s="414"/>
      <c r="W586" s="414"/>
      <c r="X586" s="414"/>
      <c r="Y586" s="414"/>
      <c r="Z586" s="416"/>
      <c r="AA586" s="416"/>
      <c r="AB586" s="414"/>
      <c r="AC586" s="414"/>
      <c r="AD586" s="416"/>
      <c r="AE586" s="414"/>
      <c r="AF586" s="233"/>
    </row>
    <row r="587" spans="1:32">
      <c r="A587" s="225">
        <f t="shared" si="8"/>
        <v>578</v>
      </c>
      <c r="B587" s="227" t="s">
        <v>1191</v>
      </c>
      <c r="C587" s="227" t="s">
        <v>1776</v>
      </c>
      <c r="D587" s="228" t="s">
        <v>1777</v>
      </c>
      <c r="E587" s="363">
        <v>241322</v>
      </c>
      <c r="F587" s="342">
        <v>45505</v>
      </c>
      <c r="G587" s="230"/>
      <c r="H587" s="231"/>
      <c r="I587" s="231">
        <v>246540</v>
      </c>
      <c r="J587" s="226" t="s">
        <v>2388</v>
      </c>
      <c r="K587" s="362"/>
      <c r="L587" s="345">
        <v>246540</v>
      </c>
      <c r="M587" s="346">
        <v>0</v>
      </c>
      <c r="N587" s="226"/>
      <c r="O587" s="232"/>
      <c r="P587" s="232"/>
      <c r="Q587" s="232"/>
      <c r="R587" s="232"/>
      <c r="S587" s="414"/>
      <c r="T587" s="415"/>
      <c r="U587" s="414"/>
      <c r="V587" s="414"/>
      <c r="W587" s="414"/>
      <c r="X587" s="414"/>
      <c r="Y587" s="414"/>
      <c r="Z587" s="416"/>
      <c r="AA587" s="416"/>
      <c r="AB587" s="414"/>
      <c r="AC587" s="414"/>
      <c r="AD587" s="416"/>
      <c r="AE587" s="414"/>
      <c r="AF587" s="233"/>
    </row>
    <row r="588" spans="1:32">
      <c r="A588" s="225">
        <f t="shared" ref="A588:A651" si="9">A587+1</f>
        <v>579</v>
      </c>
      <c r="B588" s="227" t="s">
        <v>1658</v>
      </c>
      <c r="C588" s="227" t="s">
        <v>2067</v>
      </c>
      <c r="D588" s="228" t="s">
        <v>2068</v>
      </c>
      <c r="E588" s="363" t="s">
        <v>2266</v>
      </c>
      <c r="F588" s="342">
        <v>45548</v>
      </c>
      <c r="G588" s="230"/>
      <c r="H588" s="231"/>
      <c r="I588" s="231">
        <v>361073</v>
      </c>
      <c r="J588" s="226" t="s">
        <v>2388</v>
      </c>
      <c r="K588" s="362"/>
      <c r="L588" s="345">
        <v>361073</v>
      </c>
      <c r="M588" s="346">
        <v>0</v>
      </c>
      <c r="N588" s="226"/>
      <c r="O588" s="232"/>
      <c r="P588" s="232"/>
      <c r="Q588" s="232"/>
      <c r="R588" s="232"/>
      <c r="S588" s="414"/>
      <c r="T588" s="415"/>
      <c r="U588" s="414"/>
      <c r="V588" s="414"/>
      <c r="W588" s="414"/>
      <c r="X588" s="414"/>
      <c r="Y588" s="414"/>
      <c r="Z588" s="416"/>
      <c r="AA588" s="416"/>
      <c r="AB588" s="414"/>
      <c r="AC588" s="414"/>
      <c r="AD588" s="416"/>
      <c r="AE588" s="414"/>
      <c r="AF588" s="233"/>
    </row>
    <row r="589" spans="1:32">
      <c r="A589" s="225">
        <f t="shared" si="9"/>
        <v>580</v>
      </c>
      <c r="B589" s="227" t="s">
        <v>1659</v>
      </c>
      <c r="C589" s="227" t="s">
        <v>2067</v>
      </c>
      <c r="D589" s="228" t="s">
        <v>2068</v>
      </c>
      <c r="E589" s="363" t="s">
        <v>2267</v>
      </c>
      <c r="F589" s="342">
        <v>45548</v>
      </c>
      <c r="G589" s="230"/>
      <c r="H589" s="231"/>
      <c r="I589" s="231">
        <v>184358</v>
      </c>
      <c r="J589" s="226" t="s">
        <v>2388</v>
      </c>
      <c r="K589" s="362"/>
      <c r="L589" s="345">
        <v>184358</v>
      </c>
      <c r="M589" s="346">
        <v>0</v>
      </c>
      <c r="N589" s="226"/>
      <c r="O589" s="232"/>
      <c r="P589" s="232"/>
      <c r="Q589" s="232"/>
      <c r="R589" s="232"/>
      <c r="S589" s="414"/>
      <c r="T589" s="415"/>
      <c r="U589" s="414"/>
      <c r="V589" s="414"/>
      <c r="W589" s="414"/>
      <c r="X589" s="414"/>
      <c r="Y589" s="414"/>
      <c r="Z589" s="416"/>
      <c r="AA589" s="416"/>
      <c r="AB589" s="414"/>
      <c r="AC589" s="414"/>
      <c r="AD589" s="416"/>
      <c r="AE589" s="414"/>
      <c r="AF589" s="233"/>
    </row>
    <row r="590" spans="1:32">
      <c r="A590" s="225">
        <f t="shared" si="9"/>
        <v>581</v>
      </c>
      <c r="B590" s="227" t="s">
        <v>1660</v>
      </c>
      <c r="C590" s="227" t="s">
        <v>2067</v>
      </c>
      <c r="D590" s="228" t="s">
        <v>2068</v>
      </c>
      <c r="E590" s="363" t="s">
        <v>2268</v>
      </c>
      <c r="F590" s="342">
        <v>45548</v>
      </c>
      <c r="G590" s="230"/>
      <c r="H590" s="231"/>
      <c r="I590" s="231">
        <v>1529489</v>
      </c>
      <c r="J590" s="226" t="s">
        <v>2388</v>
      </c>
      <c r="K590" s="362"/>
      <c r="L590" s="345">
        <v>1529489</v>
      </c>
      <c r="M590" s="346">
        <v>0</v>
      </c>
      <c r="N590" s="226"/>
      <c r="O590" s="232"/>
      <c r="P590" s="232"/>
      <c r="Q590" s="232"/>
      <c r="R590" s="232"/>
      <c r="S590" s="414"/>
      <c r="T590" s="415"/>
      <c r="U590" s="414"/>
      <c r="V590" s="414"/>
      <c r="W590" s="414"/>
      <c r="X590" s="414"/>
      <c r="Y590" s="414"/>
      <c r="Z590" s="416"/>
      <c r="AA590" s="416"/>
      <c r="AB590" s="414"/>
      <c r="AC590" s="414"/>
      <c r="AD590" s="416"/>
      <c r="AE590" s="414"/>
      <c r="AF590" s="233"/>
    </row>
    <row r="591" spans="1:32">
      <c r="A591" s="225">
        <f t="shared" si="9"/>
        <v>582</v>
      </c>
      <c r="B591" s="227" t="s">
        <v>1661</v>
      </c>
      <c r="C591" s="227" t="s">
        <v>1789</v>
      </c>
      <c r="D591" s="228" t="s">
        <v>1790</v>
      </c>
      <c r="E591" s="363" t="s">
        <v>2269</v>
      </c>
      <c r="F591" s="342">
        <v>45563</v>
      </c>
      <c r="G591" s="230"/>
      <c r="H591" s="231"/>
      <c r="I591" s="231">
        <v>28427</v>
      </c>
      <c r="J591" s="226" t="s">
        <v>2388</v>
      </c>
      <c r="K591" s="362"/>
      <c r="L591" s="345">
        <v>28427</v>
      </c>
      <c r="M591" s="346">
        <v>0</v>
      </c>
      <c r="N591" s="226" t="s">
        <v>2395</v>
      </c>
      <c r="O591" s="232"/>
      <c r="P591" s="232"/>
      <c r="Q591" s="232"/>
      <c r="R591" s="232"/>
      <c r="S591" s="414"/>
      <c r="T591" s="415"/>
      <c r="U591" s="414"/>
      <c r="V591" s="414"/>
      <c r="W591" s="414"/>
      <c r="X591" s="414"/>
      <c r="Y591" s="414"/>
      <c r="Z591" s="416"/>
      <c r="AA591" s="416"/>
      <c r="AB591" s="414"/>
      <c r="AC591" s="414"/>
      <c r="AD591" s="416"/>
      <c r="AE591" s="414"/>
      <c r="AF591" s="233"/>
    </row>
    <row r="592" spans="1:32">
      <c r="A592" s="225">
        <f t="shared" si="9"/>
        <v>583</v>
      </c>
      <c r="B592" s="227" t="s">
        <v>1662</v>
      </c>
      <c r="C592" s="227" t="s">
        <v>2067</v>
      </c>
      <c r="D592" s="228" t="s">
        <v>2068</v>
      </c>
      <c r="E592" s="363" t="s">
        <v>2270</v>
      </c>
      <c r="F592" s="342">
        <v>45548</v>
      </c>
      <c r="G592" s="230"/>
      <c r="H592" s="231"/>
      <c r="I592" s="231">
        <v>434099</v>
      </c>
      <c r="J592" s="226" t="s">
        <v>2388</v>
      </c>
      <c r="K592" s="362"/>
      <c r="L592" s="345">
        <v>434099</v>
      </c>
      <c r="M592" s="346">
        <v>0</v>
      </c>
      <c r="N592" s="226"/>
      <c r="O592" s="232"/>
      <c r="P592" s="232"/>
      <c r="Q592" s="232"/>
      <c r="R592" s="232"/>
      <c r="S592" s="414"/>
      <c r="T592" s="415"/>
      <c r="U592" s="414"/>
      <c r="V592" s="414"/>
      <c r="W592" s="414"/>
      <c r="X592" s="414"/>
      <c r="Y592" s="414"/>
      <c r="Z592" s="416"/>
      <c r="AA592" s="416"/>
      <c r="AB592" s="414"/>
      <c r="AC592" s="414"/>
      <c r="AD592" s="416"/>
      <c r="AE592" s="414"/>
      <c r="AF592" s="233"/>
    </row>
    <row r="593" spans="1:32">
      <c r="A593" s="225">
        <f t="shared" si="9"/>
        <v>584</v>
      </c>
      <c r="B593" s="227" t="s">
        <v>1663</v>
      </c>
      <c r="C593" s="227" t="s">
        <v>1789</v>
      </c>
      <c r="D593" s="228" t="s">
        <v>1790</v>
      </c>
      <c r="E593" s="363" t="s">
        <v>2271</v>
      </c>
      <c r="F593" s="342">
        <v>45556</v>
      </c>
      <c r="G593" s="230"/>
      <c r="H593" s="231"/>
      <c r="I593" s="231">
        <v>18681</v>
      </c>
      <c r="J593" s="226" t="s">
        <v>2388</v>
      </c>
      <c r="K593" s="362"/>
      <c r="L593" s="345">
        <v>18681</v>
      </c>
      <c r="M593" s="346">
        <v>0</v>
      </c>
      <c r="N593" s="226" t="s">
        <v>2395</v>
      </c>
      <c r="O593" s="232"/>
      <c r="P593" s="232"/>
      <c r="Q593" s="232"/>
      <c r="R593" s="232"/>
      <c r="S593" s="414"/>
      <c r="T593" s="415"/>
      <c r="U593" s="414"/>
      <c r="V593" s="414"/>
      <c r="W593" s="414"/>
      <c r="X593" s="414"/>
      <c r="Y593" s="414"/>
      <c r="Z593" s="416"/>
      <c r="AA593" s="416"/>
      <c r="AB593" s="414"/>
      <c r="AC593" s="414"/>
      <c r="AD593" s="416"/>
      <c r="AE593" s="414"/>
      <c r="AF593" s="233"/>
    </row>
    <row r="594" spans="1:32">
      <c r="A594" s="225">
        <f t="shared" si="9"/>
        <v>585</v>
      </c>
      <c r="B594" s="227" t="s">
        <v>1664</v>
      </c>
      <c r="C594" s="227" t="s">
        <v>2067</v>
      </c>
      <c r="D594" s="228" t="s">
        <v>2068</v>
      </c>
      <c r="E594" s="363" t="s">
        <v>2272</v>
      </c>
      <c r="F594" s="342">
        <v>45548</v>
      </c>
      <c r="G594" s="230"/>
      <c r="H594" s="231"/>
      <c r="I594" s="231">
        <v>340788</v>
      </c>
      <c r="J594" s="226" t="s">
        <v>2388</v>
      </c>
      <c r="K594" s="362"/>
      <c r="L594" s="345">
        <v>340788</v>
      </c>
      <c r="M594" s="346">
        <v>0</v>
      </c>
      <c r="N594" s="226"/>
      <c r="O594" s="232"/>
      <c r="P594" s="232"/>
      <c r="Q594" s="232"/>
      <c r="R594" s="232"/>
      <c r="S594" s="414"/>
      <c r="T594" s="415"/>
      <c r="U594" s="414"/>
      <c r="V594" s="414"/>
      <c r="W594" s="414"/>
      <c r="X594" s="414"/>
      <c r="Y594" s="414"/>
      <c r="Z594" s="416"/>
      <c r="AA594" s="416"/>
      <c r="AB594" s="414"/>
      <c r="AC594" s="414"/>
      <c r="AD594" s="416"/>
      <c r="AE594" s="414"/>
      <c r="AF594" s="233"/>
    </row>
    <row r="595" spans="1:32">
      <c r="A595" s="225">
        <f t="shared" si="9"/>
        <v>586</v>
      </c>
      <c r="B595" s="227" t="s">
        <v>1665</v>
      </c>
      <c r="C595" s="227" t="s">
        <v>1789</v>
      </c>
      <c r="D595" s="228" t="s">
        <v>1790</v>
      </c>
      <c r="E595" s="363" t="s">
        <v>2273</v>
      </c>
      <c r="F595" s="342">
        <v>45556</v>
      </c>
      <c r="G595" s="230"/>
      <c r="H595" s="231"/>
      <c r="I595" s="231">
        <v>28427</v>
      </c>
      <c r="J595" s="226" t="s">
        <v>2388</v>
      </c>
      <c r="K595" s="362"/>
      <c r="L595" s="345">
        <v>28427</v>
      </c>
      <c r="M595" s="346">
        <v>0</v>
      </c>
      <c r="N595" s="226" t="s">
        <v>2395</v>
      </c>
      <c r="O595" s="232"/>
      <c r="P595" s="232"/>
      <c r="Q595" s="232"/>
      <c r="R595" s="232"/>
      <c r="S595" s="414"/>
      <c r="T595" s="415"/>
      <c r="U595" s="414"/>
      <c r="V595" s="414"/>
      <c r="W595" s="414"/>
      <c r="X595" s="414"/>
      <c r="Y595" s="414"/>
      <c r="Z595" s="416"/>
      <c r="AA595" s="416"/>
      <c r="AB595" s="414"/>
      <c r="AC595" s="414"/>
      <c r="AD595" s="416"/>
      <c r="AE595" s="414"/>
      <c r="AF595" s="233"/>
    </row>
    <row r="596" spans="1:32">
      <c r="A596" s="225">
        <f t="shared" si="9"/>
        <v>587</v>
      </c>
      <c r="B596" s="227" t="s">
        <v>1666</v>
      </c>
      <c r="C596" s="227" t="s">
        <v>2120</v>
      </c>
      <c r="D596" s="228" t="s">
        <v>2121</v>
      </c>
      <c r="E596" s="363">
        <v>272</v>
      </c>
      <c r="F596" s="342">
        <v>45554</v>
      </c>
      <c r="G596" s="230"/>
      <c r="H596" s="231"/>
      <c r="I596" s="231">
        <v>509404</v>
      </c>
      <c r="J596" s="226" t="s">
        <v>2388</v>
      </c>
      <c r="K596" s="362"/>
      <c r="L596" s="345">
        <v>509404</v>
      </c>
      <c r="M596" s="346">
        <v>0</v>
      </c>
      <c r="N596" s="226" t="s">
        <v>2407</v>
      </c>
      <c r="O596" s="232"/>
      <c r="P596" s="232"/>
      <c r="Q596" s="232"/>
      <c r="R596" s="232"/>
      <c r="S596" s="414"/>
      <c r="T596" s="415"/>
      <c r="U596" s="414"/>
      <c r="V596" s="414"/>
      <c r="W596" s="414"/>
      <c r="X596" s="414"/>
      <c r="Y596" s="414"/>
      <c r="Z596" s="416"/>
      <c r="AA596" s="416"/>
      <c r="AB596" s="414"/>
      <c r="AC596" s="414"/>
      <c r="AD596" s="416"/>
      <c r="AE596" s="414"/>
      <c r="AF596" s="233"/>
    </row>
    <row r="597" spans="1:32">
      <c r="A597" s="225">
        <f t="shared" si="9"/>
        <v>588</v>
      </c>
      <c r="B597" s="227" t="s">
        <v>1667</v>
      </c>
      <c r="C597" s="227" t="s">
        <v>1789</v>
      </c>
      <c r="D597" s="228" t="s">
        <v>1790</v>
      </c>
      <c r="E597" s="363" t="s">
        <v>2274</v>
      </c>
      <c r="F597" s="342">
        <v>45545</v>
      </c>
      <c r="G597" s="230"/>
      <c r="H597" s="231"/>
      <c r="I597" s="231">
        <v>28469</v>
      </c>
      <c r="J597" s="226" t="s">
        <v>2388</v>
      </c>
      <c r="K597" s="362"/>
      <c r="L597" s="345">
        <v>28469</v>
      </c>
      <c r="M597" s="346">
        <v>0</v>
      </c>
      <c r="N597" s="226" t="s">
        <v>2395</v>
      </c>
      <c r="O597" s="232"/>
      <c r="P597" s="232"/>
      <c r="Q597" s="232"/>
      <c r="R597" s="232"/>
      <c r="S597" s="414"/>
      <c r="T597" s="415"/>
      <c r="U597" s="414"/>
      <c r="V597" s="414"/>
      <c r="W597" s="414"/>
      <c r="X597" s="414"/>
      <c r="Y597" s="414"/>
      <c r="Z597" s="416"/>
      <c r="AA597" s="416"/>
      <c r="AB597" s="414"/>
      <c r="AC597" s="414"/>
      <c r="AD597" s="416"/>
      <c r="AE597" s="414"/>
      <c r="AF597" s="233"/>
    </row>
    <row r="598" spans="1:32">
      <c r="A598" s="225">
        <f t="shared" si="9"/>
        <v>589</v>
      </c>
      <c r="B598" s="227" t="s">
        <v>1668</v>
      </c>
      <c r="C598" s="227" t="s">
        <v>2067</v>
      </c>
      <c r="D598" s="228" t="s">
        <v>2068</v>
      </c>
      <c r="E598" s="363" t="s">
        <v>2275</v>
      </c>
      <c r="F598" s="342">
        <v>45548</v>
      </c>
      <c r="G598" s="230"/>
      <c r="H598" s="231"/>
      <c r="I598" s="231">
        <v>361073</v>
      </c>
      <c r="J598" s="226" t="s">
        <v>2388</v>
      </c>
      <c r="K598" s="362"/>
      <c r="L598" s="345">
        <v>361073</v>
      </c>
      <c r="M598" s="346">
        <v>0</v>
      </c>
      <c r="N598" s="226"/>
      <c r="O598" s="232"/>
      <c r="P598" s="232"/>
      <c r="Q598" s="232"/>
      <c r="R598" s="232"/>
      <c r="S598" s="414"/>
      <c r="T598" s="415"/>
      <c r="U598" s="414"/>
      <c r="V598" s="414"/>
      <c r="W598" s="414"/>
      <c r="X598" s="414"/>
      <c r="Y598" s="414"/>
      <c r="Z598" s="416"/>
      <c r="AA598" s="416"/>
      <c r="AB598" s="414"/>
      <c r="AC598" s="414"/>
      <c r="AD598" s="416"/>
      <c r="AE598" s="414"/>
      <c r="AF598" s="233"/>
    </row>
    <row r="599" spans="1:32">
      <c r="A599" s="225">
        <f t="shared" si="9"/>
        <v>590</v>
      </c>
      <c r="B599" s="227" t="s">
        <v>1669</v>
      </c>
      <c r="C599" s="227" t="s">
        <v>1789</v>
      </c>
      <c r="D599" s="228" t="s">
        <v>1790</v>
      </c>
      <c r="E599" s="363" t="s">
        <v>2276</v>
      </c>
      <c r="F599" s="342">
        <v>45555</v>
      </c>
      <c r="G599" s="230"/>
      <c r="H599" s="231"/>
      <c r="I599" s="231">
        <v>2437</v>
      </c>
      <c r="J599" s="226" t="s">
        <v>2388</v>
      </c>
      <c r="K599" s="362"/>
      <c r="L599" s="345">
        <v>2437</v>
      </c>
      <c r="M599" s="346">
        <v>0</v>
      </c>
      <c r="N599" s="226" t="s">
        <v>2395</v>
      </c>
      <c r="O599" s="232"/>
      <c r="P599" s="232"/>
      <c r="Q599" s="232"/>
      <c r="R599" s="232"/>
      <c r="S599" s="414"/>
      <c r="T599" s="415"/>
      <c r="U599" s="414"/>
      <c r="V599" s="414"/>
      <c r="W599" s="414"/>
      <c r="X599" s="414"/>
      <c r="Y599" s="414"/>
      <c r="Z599" s="416"/>
      <c r="AA599" s="416"/>
      <c r="AB599" s="414"/>
      <c r="AC599" s="414"/>
      <c r="AD599" s="416"/>
      <c r="AE599" s="414"/>
      <c r="AF599" s="233"/>
    </row>
    <row r="600" spans="1:32">
      <c r="A600" s="225">
        <f t="shared" si="9"/>
        <v>591</v>
      </c>
      <c r="B600" s="227" t="s">
        <v>1670</v>
      </c>
      <c r="C600" s="227" t="s">
        <v>1789</v>
      </c>
      <c r="D600" s="228" t="s">
        <v>1790</v>
      </c>
      <c r="E600" s="363" t="s">
        <v>2277</v>
      </c>
      <c r="F600" s="342">
        <v>45542</v>
      </c>
      <c r="G600" s="230"/>
      <c r="H600" s="231"/>
      <c r="I600" s="231">
        <v>28518</v>
      </c>
      <c r="J600" s="226" t="s">
        <v>2388</v>
      </c>
      <c r="K600" s="362"/>
      <c r="L600" s="345">
        <v>28518</v>
      </c>
      <c r="M600" s="346">
        <v>0</v>
      </c>
      <c r="N600" s="226" t="s">
        <v>2395</v>
      </c>
      <c r="O600" s="232"/>
      <c r="P600" s="232"/>
      <c r="Q600" s="232"/>
      <c r="R600" s="232"/>
      <c r="S600" s="414"/>
      <c r="T600" s="415"/>
      <c r="U600" s="414"/>
      <c r="V600" s="414"/>
      <c r="W600" s="414"/>
      <c r="X600" s="414"/>
      <c r="Y600" s="414"/>
      <c r="Z600" s="416"/>
      <c r="AA600" s="416"/>
      <c r="AB600" s="414"/>
      <c r="AC600" s="414"/>
      <c r="AD600" s="416"/>
      <c r="AE600" s="414"/>
      <c r="AF600" s="233"/>
    </row>
    <row r="601" spans="1:32">
      <c r="A601" s="225">
        <f t="shared" si="9"/>
        <v>592</v>
      </c>
      <c r="B601" s="227" t="s">
        <v>1671</v>
      </c>
      <c r="C601" s="227" t="s">
        <v>2178</v>
      </c>
      <c r="D601" s="228" t="s">
        <v>2179</v>
      </c>
      <c r="E601" s="363" t="s">
        <v>2278</v>
      </c>
      <c r="F601" s="342">
        <v>45565</v>
      </c>
      <c r="G601" s="230"/>
      <c r="H601" s="231"/>
      <c r="I601" s="231">
        <v>140104</v>
      </c>
      <c r="J601" s="226" t="s">
        <v>2388</v>
      </c>
      <c r="K601" s="362"/>
      <c r="L601" s="345">
        <v>140104</v>
      </c>
      <c r="M601" s="346">
        <v>0</v>
      </c>
      <c r="N601" s="226" t="s">
        <v>2394</v>
      </c>
      <c r="O601" s="232"/>
      <c r="P601" s="232"/>
      <c r="Q601" s="232"/>
      <c r="R601" s="232"/>
      <c r="S601" s="414"/>
      <c r="T601" s="415"/>
      <c r="U601" s="414"/>
      <c r="V601" s="414"/>
      <c r="W601" s="414"/>
      <c r="X601" s="414"/>
      <c r="Y601" s="414"/>
      <c r="Z601" s="416"/>
      <c r="AA601" s="416"/>
      <c r="AB601" s="414"/>
      <c r="AC601" s="414"/>
      <c r="AD601" s="416"/>
      <c r="AE601" s="414"/>
      <c r="AF601" s="233"/>
    </row>
    <row r="602" spans="1:32">
      <c r="A602" s="225">
        <f t="shared" si="9"/>
        <v>593</v>
      </c>
      <c r="B602" s="227" t="s">
        <v>1672</v>
      </c>
      <c r="C602" s="227" t="s">
        <v>2178</v>
      </c>
      <c r="D602" s="228" t="s">
        <v>2179</v>
      </c>
      <c r="E602" s="363" t="s">
        <v>2279</v>
      </c>
      <c r="F602" s="342">
        <v>45561</v>
      </c>
      <c r="G602" s="230"/>
      <c r="H602" s="231"/>
      <c r="I602" s="231">
        <v>140173</v>
      </c>
      <c r="J602" s="226" t="s">
        <v>2392</v>
      </c>
      <c r="K602" s="362"/>
      <c r="L602" s="345">
        <v>131950</v>
      </c>
      <c r="M602" s="346">
        <v>8223</v>
      </c>
      <c r="N602" s="226" t="s">
        <v>2394</v>
      </c>
      <c r="O602" s="232"/>
      <c r="P602" s="232"/>
      <c r="Q602" s="232"/>
      <c r="R602" s="232"/>
      <c r="S602" s="414"/>
      <c r="T602" s="415"/>
      <c r="U602" s="414"/>
      <c r="V602" s="414"/>
      <c r="W602" s="414"/>
      <c r="X602" s="414"/>
      <c r="Y602" s="414"/>
      <c r="Z602" s="416"/>
      <c r="AA602" s="416"/>
      <c r="AB602" s="414"/>
      <c r="AC602" s="414"/>
      <c r="AD602" s="416"/>
      <c r="AE602" s="414"/>
      <c r="AF602" s="233"/>
    </row>
    <row r="603" spans="1:32">
      <c r="A603" s="225">
        <f t="shared" si="9"/>
        <v>594</v>
      </c>
      <c r="B603" s="227" t="s">
        <v>1673</v>
      </c>
      <c r="C603" s="227" t="s">
        <v>1789</v>
      </c>
      <c r="D603" s="228" t="s">
        <v>1790</v>
      </c>
      <c r="E603" s="363" t="s">
        <v>2280</v>
      </c>
      <c r="F603" s="342">
        <v>45548</v>
      </c>
      <c r="G603" s="230"/>
      <c r="H603" s="231"/>
      <c r="I603" s="231">
        <v>7303</v>
      </c>
      <c r="J603" s="226" t="s">
        <v>2388</v>
      </c>
      <c r="K603" s="362"/>
      <c r="L603" s="345">
        <v>7303</v>
      </c>
      <c r="M603" s="346">
        <v>0</v>
      </c>
      <c r="N603" s="226" t="s">
        <v>2395</v>
      </c>
      <c r="O603" s="232"/>
      <c r="P603" s="232"/>
      <c r="Q603" s="232"/>
      <c r="R603" s="232"/>
      <c r="S603" s="414"/>
      <c r="T603" s="415"/>
      <c r="U603" s="414"/>
      <c r="V603" s="414"/>
      <c r="W603" s="414"/>
      <c r="X603" s="414"/>
      <c r="Y603" s="414"/>
      <c r="Z603" s="416"/>
      <c r="AA603" s="416"/>
      <c r="AB603" s="414"/>
      <c r="AC603" s="414"/>
      <c r="AD603" s="416"/>
      <c r="AE603" s="414"/>
      <c r="AF603" s="233"/>
    </row>
    <row r="604" spans="1:32">
      <c r="A604" s="225">
        <f t="shared" si="9"/>
        <v>595</v>
      </c>
      <c r="B604" s="227" t="s">
        <v>1674</v>
      </c>
      <c r="C604" s="227" t="s">
        <v>1785</v>
      </c>
      <c r="D604" s="228" t="s">
        <v>1786</v>
      </c>
      <c r="E604" s="363">
        <v>189948</v>
      </c>
      <c r="F604" s="342">
        <v>45548</v>
      </c>
      <c r="G604" s="230"/>
      <c r="H604" s="231"/>
      <c r="I604" s="231">
        <v>70592</v>
      </c>
      <c r="J604" s="226" t="s">
        <v>2388</v>
      </c>
      <c r="K604" s="362"/>
      <c r="L604" s="345">
        <v>70592</v>
      </c>
      <c r="M604" s="346">
        <v>0</v>
      </c>
      <c r="N604" s="226"/>
      <c r="O604" s="232"/>
      <c r="P604" s="232"/>
      <c r="Q604" s="232"/>
      <c r="R604" s="232"/>
      <c r="S604" s="414"/>
      <c r="T604" s="415"/>
      <c r="U604" s="414"/>
      <c r="V604" s="414"/>
      <c r="W604" s="414"/>
      <c r="X604" s="414"/>
      <c r="Y604" s="414"/>
      <c r="Z604" s="416"/>
      <c r="AA604" s="416"/>
      <c r="AB604" s="414"/>
      <c r="AC604" s="414"/>
      <c r="AD604" s="416"/>
      <c r="AE604" s="414"/>
      <c r="AF604" s="233"/>
    </row>
    <row r="605" spans="1:32">
      <c r="A605" s="225">
        <f t="shared" si="9"/>
        <v>596</v>
      </c>
      <c r="B605" s="227" t="s">
        <v>1321</v>
      </c>
      <c r="C605" s="227" t="s">
        <v>1763</v>
      </c>
      <c r="D605" s="228" t="s">
        <v>1764</v>
      </c>
      <c r="E605" s="363" t="s">
        <v>2281</v>
      </c>
      <c r="F605" s="342">
        <v>45565</v>
      </c>
      <c r="G605" s="230"/>
      <c r="H605" s="231"/>
      <c r="I605" s="231">
        <v>3294027</v>
      </c>
      <c r="J605" s="226" t="s">
        <v>2388</v>
      </c>
      <c r="K605" s="362"/>
      <c r="L605" s="345">
        <v>3294027</v>
      </c>
      <c r="M605" s="346">
        <v>0</v>
      </c>
      <c r="N605" s="226"/>
      <c r="O605" s="232"/>
      <c r="P605" s="232"/>
      <c r="Q605" s="232"/>
      <c r="R605" s="232"/>
      <c r="S605" s="414"/>
      <c r="T605" s="415"/>
      <c r="U605" s="414"/>
      <c r="V605" s="414"/>
      <c r="W605" s="414"/>
      <c r="X605" s="414"/>
      <c r="Y605" s="414"/>
      <c r="Z605" s="416"/>
      <c r="AA605" s="416"/>
      <c r="AB605" s="414"/>
      <c r="AC605" s="414"/>
      <c r="AD605" s="416"/>
      <c r="AE605" s="414"/>
      <c r="AF605" s="233"/>
    </row>
    <row r="606" spans="1:32">
      <c r="A606" s="225">
        <f t="shared" si="9"/>
        <v>597</v>
      </c>
      <c r="B606" s="227" t="s">
        <v>1188</v>
      </c>
      <c r="C606" s="227" t="s">
        <v>1774</v>
      </c>
      <c r="D606" s="228" t="s">
        <v>1775</v>
      </c>
      <c r="E606" s="363" t="s">
        <v>2282</v>
      </c>
      <c r="F606" s="342">
        <v>45563</v>
      </c>
      <c r="G606" s="230"/>
      <c r="H606" s="231"/>
      <c r="I606" s="231">
        <v>67007</v>
      </c>
      <c r="J606" s="226" t="s">
        <v>2388</v>
      </c>
      <c r="K606" s="362"/>
      <c r="L606" s="345">
        <v>67007</v>
      </c>
      <c r="M606" s="346">
        <v>0</v>
      </c>
      <c r="N606" s="226" t="s">
        <v>2394</v>
      </c>
      <c r="O606" s="232"/>
      <c r="P606" s="232"/>
      <c r="Q606" s="232"/>
      <c r="R606" s="232"/>
      <c r="S606" s="414"/>
      <c r="T606" s="415"/>
      <c r="U606" s="414"/>
      <c r="V606" s="414"/>
      <c r="W606" s="414"/>
      <c r="X606" s="414"/>
      <c r="Y606" s="414"/>
      <c r="Z606" s="416"/>
      <c r="AA606" s="416"/>
      <c r="AB606" s="414"/>
      <c r="AC606" s="414"/>
      <c r="AD606" s="416"/>
      <c r="AE606" s="414"/>
      <c r="AF606" s="233"/>
    </row>
    <row r="607" spans="1:32">
      <c r="A607" s="225">
        <f t="shared" si="9"/>
        <v>598</v>
      </c>
      <c r="B607" s="227" t="s">
        <v>1675</v>
      </c>
      <c r="C607" s="227" t="s">
        <v>1766</v>
      </c>
      <c r="D607" s="228" t="s">
        <v>1767</v>
      </c>
      <c r="E607" s="363" t="s">
        <v>2283</v>
      </c>
      <c r="F607" s="342">
        <v>45563</v>
      </c>
      <c r="G607" s="230"/>
      <c r="H607" s="231"/>
      <c r="I607" s="231">
        <v>2842700</v>
      </c>
      <c r="J607" s="226" t="s">
        <v>2388</v>
      </c>
      <c r="K607" s="362"/>
      <c r="L607" s="345">
        <v>2842700</v>
      </c>
      <c r="M607" s="346">
        <v>0</v>
      </c>
      <c r="N607" s="226"/>
      <c r="O607" s="232"/>
      <c r="P607" s="232"/>
      <c r="Q607" s="232"/>
      <c r="R607" s="232"/>
      <c r="S607" s="414"/>
      <c r="T607" s="415"/>
      <c r="U607" s="414"/>
      <c r="V607" s="414"/>
      <c r="W607" s="414"/>
      <c r="X607" s="414"/>
      <c r="Y607" s="414"/>
      <c r="Z607" s="416"/>
      <c r="AA607" s="416"/>
      <c r="AB607" s="414"/>
      <c r="AC607" s="414"/>
      <c r="AD607" s="416"/>
      <c r="AE607" s="414"/>
      <c r="AF607" s="233"/>
    </row>
    <row r="608" spans="1:32">
      <c r="A608" s="225">
        <f t="shared" si="9"/>
        <v>599</v>
      </c>
      <c r="B608" s="227" t="s">
        <v>1451</v>
      </c>
      <c r="C608" s="227" t="s">
        <v>1771</v>
      </c>
      <c r="D608" s="228" t="s">
        <v>1772</v>
      </c>
      <c r="E608" s="363" t="s">
        <v>2284</v>
      </c>
      <c r="F608" s="342">
        <v>45562</v>
      </c>
      <c r="G608" s="230"/>
      <c r="H608" s="231"/>
      <c r="I608" s="231">
        <v>99860</v>
      </c>
      <c r="J608" s="226" t="s">
        <v>2388</v>
      </c>
      <c r="K608" s="362"/>
      <c r="L608" s="345">
        <v>99860</v>
      </c>
      <c r="M608" s="346">
        <v>0</v>
      </c>
      <c r="N608" s="226"/>
      <c r="O608" s="232"/>
      <c r="P608" s="232"/>
      <c r="Q608" s="232"/>
      <c r="R608" s="232"/>
      <c r="S608" s="414"/>
      <c r="T608" s="415"/>
      <c r="U608" s="414"/>
      <c r="V608" s="414"/>
      <c r="W608" s="414"/>
      <c r="X608" s="414"/>
      <c r="Y608" s="414"/>
      <c r="Z608" s="416"/>
      <c r="AA608" s="416"/>
      <c r="AB608" s="414"/>
      <c r="AC608" s="414"/>
      <c r="AD608" s="416"/>
      <c r="AE608" s="414"/>
      <c r="AF608" s="233"/>
    </row>
    <row r="609" spans="1:40">
      <c r="A609" s="225">
        <f t="shared" si="9"/>
        <v>600</v>
      </c>
      <c r="B609" s="227" t="s">
        <v>1607</v>
      </c>
      <c r="C609" s="227" t="s">
        <v>1869</v>
      </c>
      <c r="D609" s="228" t="s">
        <v>1870</v>
      </c>
      <c r="E609" s="363" t="s">
        <v>2285</v>
      </c>
      <c r="F609" s="342">
        <v>45559</v>
      </c>
      <c r="G609" s="230"/>
      <c r="H609" s="231"/>
      <c r="I609" s="231">
        <v>788222</v>
      </c>
      <c r="J609" s="226" t="s">
        <v>2388</v>
      </c>
      <c r="K609" s="362"/>
      <c r="L609" s="345">
        <v>788222</v>
      </c>
      <c r="M609" s="346">
        <v>0</v>
      </c>
      <c r="N609" s="226"/>
      <c r="O609" s="232"/>
      <c r="P609" s="232"/>
      <c r="Q609" s="232"/>
      <c r="R609" s="232"/>
      <c r="S609" s="414"/>
      <c r="T609" s="415"/>
      <c r="U609" s="414"/>
      <c r="V609" s="414"/>
      <c r="W609" s="414"/>
      <c r="X609" s="414"/>
      <c r="Y609" s="414"/>
      <c r="Z609" s="416"/>
      <c r="AA609" s="416"/>
      <c r="AB609" s="414"/>
      <c r="AC609" s="414"/>
      <c r="AD609" s="416"/>
      <c r="AE609" s="414"/>
      <c r="AF609" s="233"/>
    </row>
    <row r="610" spans="1:40">
      <c r="A610" s="225">
        <f t="shared" si="9"/>
        <v>601</v>
      </c>
      <c r="B610" s="227" t="s">
        <v>1190</v>
      </c>
      <c r="C610" s="227" t="s">
        <v>2236</v>
      </c>
      <c r="D610" s="228" t="s">
        <v>2237</v>
      </c>
      <c r="E610" s="363" t="s">
        <v>2286</v>
      </c>
      <c r="F610" s="342">
        <v>45558</v>
      </c>
      <c r="G610" s="230"/>
      <c r="H610" s="231"/>
      <c r="I610" s="231">
        <v>341292</v>
      </c>
      <c r="J610" s="226" t="s">
        <v>2388</v>
      </c>
      <c r="K610" s="362"/>
      <c r="L610" s="345">
        <v>341292</v>
      </c>
      <c r="M610" s="346">
        <v>0</v>
      </c>
      <c r="N610" s="226"/>
      <c r="O610" s="232"/>
      <c r="P610" s="232"/>
      <c r="Q610" s="232"/>
      <c r="R610" s="232"/>
      <c r="S610" s="414"/>
      <c r="T610" s="415"/>
      <c r="U610" s="414"/>
      <c r="V610" s="414"/>
      <c r="W610" s="414"/>
      <c r="X610" s="414"/>
      <c r="Y610" s="414"/>
      <c r="Z610" s="416"/>
      <c r="AA610" s="416"/>
      <c r="AB610" s="414"/>
      <c r="AC610" s="414"/>
      <c r="AD610" s="416"/>
      <c r="AE610" s="414"/>
      <c r="AF610" s="233"/>
    </row>
    <row r="611" spans="1:40">
      <c r="A611" s="225">
        <f t="shared" si="9"/>
        <v>602</v>
      </c>
      <c r="B611" s="227" t="s">
        <v>1676</v>
      </c>
      <c r="C611" s="227" t="s">
        <v>1789</v>
      </c>
      <c r="D611" s="228" t="s">
        <v>1790</v>
      </c>
      <c r="E611" s="363" t="s">
        <v>2287</v>
      </c>
      <c r="F611" s="342">
        <v>45547</v>
      </c>
      <c r="G611" s="230"/>
      <c r="H611" s="231"/>
      <c r="I611" s="231">
        <v>2436</v>
      </c>
      <c r="J611" s="226" t="s">
        <v>2388</v>
      </c>
      <c r="K611" s="362"/>
      <c r="L611" s="345">
        <v>2436</v>
      </c>
      <c r="M611" s="346">
        <v>0</v>
      </c>
      <c r="N611" s="226" t="s">
        <v>2395</v>
      </c>
      <c r="O611" s="232"/>
      <c r="P611" s="232"/>
      <c r="Q611" s="232"/>
      <c r="R611" s="232"/>
      <c r="S611" s="414"/>
      <c r="T611" s="415"/>
      <c r="U611" s="414"/>
      <c r="V611" s="414"/>
      <c r="W611" s="414"/>
      <c r="X611" s="414"/>
      <c r="Y611" s="414"/>
      <c r="Z611" s="416"/>
      <c r="AA611" s="416"/>
      <c r="AB611" s="414"/>
      <c r="AC611" s="414"/>
      <c r="AD611" s="416"/>
      <c r="AE611" s="414"/>
      <c r="AF611" s="233"/>
    </row>
    <row r="612" spans="1:40">
      <c r="A612" s="225">
        <f t="shared" si="9"/>
        <v>603</v>
      </c>
      <c r="B612" s="227" t="s">
        <v>1677</v>
      </c>
      <c r="C612" s="227" t="s">
        <v>1789</v>
      </c>
      <c r="D612" s="228" t="s">
        <v>1790</v>
      </c>
      <c r="E612" s="363" t="s">
        <v>2288</v>
      </c>
      <c r="F612" s="342">
        <v>45544</v>
      </c>
      <c r="G612" s="230"/>
      <c r="H612" s="231"/>
      <c r="I612" s="231">
        <v>57036</v>
      </c>
      <c r="J612" s="226" t="s">
        <v>2388</v>
      </c>
      <c r="K612" s="362"/>
      <c r="L612" s="345">
        <v>57036</v>
      </c>
      <c r="M612" s="346">
        <v>0</v>
      </c>
      <c r="N612" s="226" t="s">
        <v>2395</v>
      </c>
      <c r="O612" s="232"/>
      <c r="P612" s="232"/>
      <c r="Q612" s="232"/>
      <c r="R612" s="232"/>
      <c r="S612" s="414"/>
      <c r="T612" s="415"/>
      <c r="U612" s="414"/>
      <c r="V612" s="414"/>
      <c r="W612" s="414"/>
      <c r="X612" s="414"/>
      <c r="Y612" s="414"/>
      <c r="Z612" s="416"/>
      <c r="AA612" s="416"/>
      <c r="AB612" s="414"/>
      <c r="AC612" s="414"/>
      <c r="AD612" s="416"/>
      <c r="AE612" s="414"/>
      <c r="AF612" s="233"/>
    </row>
    <row r="613" spans="1:40">
      <c r="A613" s="225">
        <f t="shared" si="9"/>
        <v>604</v>
      </c>
      <c r="B613" s="227" t="s">
        <v>1678</v>
      </c>
      <c r="C613" s="227" t="s">
        <v>1789</v>
      </c>
      <c r="D613" s="228" t="s">
        <v>1790</v>
      </c>
      <c r="E613" s="363" t="s">
        <v>2289</v>
      </c>
      <c r="F613" s="342">
        <v>45544</v>
      </c>
      <c r="G613" s="230"/>
      <c r="H613" s="231"/>
      <c r="I613" s="231">
        <v>28518</v>
      </c>
      <c r="J613" s="226" t="s">
        <v>2388</v>
      </c>
      <c r="K613" s="362"/>
      <c r="L613" s="345">
        <v>28518</v>
      </c>
      <c r="M613" s="346">
        <v>0</v>
      </c>
      <c r="N613" s="226" t="s">
        <v>2395</v>
      </c>
      <c r="O613" s="232"/>
      <c r="P613" s="232"/>
      <c r="Q613" s="232"/>
      <c r="R613" s="232"/>
      <c r="S613" s="414"/>
      <c r="T613" s="415"/>
      <c r="U613" s="414"/>
      <c r="V613" s="414"/>
      <c r="W613" s="414"/>
      <c r="X613" s="414"/>
      <c r="Y613" s="414"/>
      <c r="Z613" s="416"/>
      <c r="AA613" s="416"/>
      <c r="AB613" s="414"/>
      <c r="AC613" s="414"/>
      <c r="AD613" s="416"/>
      <c r="AE613" s="414"/>
      <c r="AF613" s="233"/>
    </row>
    <row r="614" spans="1:40">
      <c r="A614" s="225">
        <f t="shared" si="9"/>
        <v>605</v>
      </c>
      <c r="B614" s="227" t="s">
        <v>1679</v>
      </c>
      <c r="C614" s="227" t="s">
        <v>2290</v>
      </c>
      <c r="D614" s="228" t="s">
        <v>2291</v>
      </c>
      <c r="E614" s="363" t="s">
        <v>2292</v>
      </c>
      <c r="F614" s="342">
        <v>45537</v>
      </c>
      <c r="G614" s="230"/>
      <c r="H614" s="231"/>
      <c r="I614" s="231">
        <v>142065</v>
      </c>
      <c r="J614" s="226" t="s">
        <v>2388</v>
      </c>
      <c r="K614" s="362"/>
      <c r="L614" s="345">
        <v>142065</v>
      </c>
      <c r="M614" s="346">
        <v>0</v>
      </c>
      <c r="N614" s="226"/>
      <c r="O614" s="232"/>
      <c r="P614" s="232"/>
      <c r="Q614" s="232"/>
      <c r="R614" s="232"/>
      <c r="S614" s="414"/>
      <c r="T614" s="415"/>
      <c r="U614" s="414"/>
      <c r="V614" s="414"/>
      <c r="W614" s="414"/>
      <c r="X614" s="414"/>
      <c r="Y614" s="414"/>
      <c r="Z614" s="416"/>
      <c r="AA614" s="416"/>
      <c r="AB614" s="414"/>
      <c r="AC614" s="414"/>
      <c r="AD614" s="416"/>
      <c r="AE614" s="414"/>
      <c r="AF614" s="233"/>
    </row>
    <row r="615" spans="1:40">
      <c r="A615" s="225">
        <f t="shared" si="9"/>
        <v>606</v>
      </c>
      <c r="B615" s="227" t="s">
        <v>1680</v>
      </c>
      <c r="C615" s="227" t="s">
        <v>1789</v>
      </c>
      <c r="D615" s="228" t="s">
        <v>1790</v>
      </c>
      <c r="E615" s="363" t="s">
        <v>2293</v>
      </c>
      <c r="F615" s="342">
        <v>45537</v>
      </c>
      <c r="G615" s="230"/>
      <c r="H615" s="231"/>
      <c r="I615" s="231">
        <v>28413</v>
      </c>
      <c r="J615" s="226" t="s">
        <v>2388</v>
      </c>
      <c r="K615" s="362"/>
      <c r="L615" s="345">
        <v>28413</v>
      </c>
      <c r="M615" s="346">
        <v>0</v>
      </c>
      <c r="N615" s="226" t="s">
        <v>2395</v>
      </c>
      <c r="O615" s="232"/>
      <c r="P615" s="232"/>
      <c r="Q615" s="232"/>
      <c r="R615" s="232"/>
      <c r="S615" s="414"/>
      <c r="T615" s="415"/>
      <c r="U615" s="414"/>
      <c r="V615" s="414"/>
      <c r="W615" s="414"/>
      <c r="X615" s="414"/>
      <c r="Y615" s="414"/>
      <c r="Z615" s="416"/>
      <c r="AA615" s="416"/>
      <c r="AB615" s="414"/>
      <c r="AC615" s="414"/>
      <c r="AD615" s="416"/>
      <c r="AE615" s="414"/>
      <c r="AF615" s="233"/>
    </row>
    <row r="616" spans="1:40">
      <c r="A616" s="225">
        <f t="shared" si="9"/>
        <v>607</v>
      </c>
      <c r="B616" s="227" t="s">
        <v>1681</v>
      </c>
      <c r="C616" s="227" t="s">
        <v>1789</v>
      </c>
      <c r="D616" s="228" t="s">
        <v>1790</v>
      </c>
      <c r="E616" s="363" t="s">
        <v>2294</v>
      </c>
      <c r="F616" s="342">
        <v>45537</v>
      </c>
      <c r="G616" s="230"/>
      <c r="H616" s="231"/>
      <c r="I616" s="231">
        <v>28413</v>
      </c>
      <c r="J616" s="226" t="s">
        <v>2388</v>
      </c>
      <c r="K616" s="362"/>
      <c r="L616" s="345">
        <v>28413</v>
      </c>
      <c r="M616" s="346">
        <v>0</v>
      </c>
      <c r="N616" s="226" t="s">
        <v>2395</v>
      </c>
      <c r="O616" s="232"/>
      <c r="P616" s="232"/>
      <c r="Q616" s="232"/>
      <c r="R616" s="232"/>
      <c r="S616" s="414"/>
      <c r="T616" s="415"/>
      <c r="U616" s="414"/>
      <c r="V616" s="414"/>
      <c r="W616" s="414"/>
      <c r="X616" s="414"/>
      <c r="Y616" s="414"/>
      <c r="Z616" s="416"/>
      <c r="AA616" s="416"/>
      <c r="AB616" s="414"/>
      <c r="AC616" s="414"/>
      <c r="AD616" s="416"/>
      <c r="AE616" s="414"/>
      <c r="AF616" s="233"/>
    </row>
    <row r="617" spans="1:40">
      <c r="A617" s="225">
        <f t="shared" si="9"/>
        <v>608</v>
      </c>
      <c r="B617" s="227" t="s">
        <v>1193</v>
      </c>
      <c r="C617" s="227" t="s">
        <v>1780</v>
      </c>
      <c r="D617" s="228" t="s">
        <v>1781</v>
      </c>
      <c r="E617" s="363">
        <v>8652</v>
      </c>
      <c r="F617" s="342">
        <v>45536</v>
      </c>
      <c r="G617" s="230"/>
      <c r="H617" s="231"/>
      <c r="I617" s="231">
        <v>7558</v>
      </c>
      <c r="J617" s="226" t="s">
        <v>2389</v>
      </c>
      <c r="K617" s="362"/>
      <c r="L617" s="345"/>
      <c r="M617" s="346">
        <v>7558</v>
      </c>
      <c r="N617" s="226"/>
      <c r="O617" s="232"/>
      <c r="P617" s="232"/>
      <c r="Q617" s="232"/>
      <c r="R617" s="232"/>
      <c r="S617" s="414"/>
      <c r="T617" s="415"/>
      <c r="U617" s="414"/>
      <c r="V617" s="414"/>
      <c r="W617" s="414"/>
      <c r="X617" s="414"/>
      <c r="Y617" s="414"/>
      <c r="Z617" s="416"/>
      <c r="AA617" s="416"/>
      <c r="AB617" s="414"/>
      <c r="AC617" s="414"/>
      <c r="AD617" s="416"/>
      <c r="AE617" s="414"/>
      <c r="AF617" s="233"/>
    </row>
    <row r="618" spans="1:40">
      <c r="A618" s="225">
        <f t="shared" si="9"/>
        <v>609</v>
      </c>
      <c r="B618" s="227" t="s">
        <v>1682</v>
      </c>
      <c r="C618" s="227" t="s">
        <v>2100</v>
      </c>
      <c r="D618" s="228" t="s">
        <v>2101</v>
      </c>
      <c r="E618" s="363" t="s">
        <v>2295</v>
      </c>
      <c r="F618" s="342">
        <v>45555</v>
      </c>
      <c r="G618" s="230"/>
      <c r="H618" s="231"/>
      <c r="I618" s="231">
        <v>7384</v>
      </c>
      <c r="J618" s="226" t="s">
        <v>2388</v>
      </c>
      <c r="K618" s="362"/>
      <c r="L618" s="345">
        <v>7384</v>
      </c>
      <c r="M618" s="346">
        <v>0</v>
      </c>
      <c r="N618" s="226"/>
      <c r="O618" s="232"/>
      <c r="P618" s="232"/>
      <c r="Q618" s="232"/>
      <c r="R618" s="232"/>
      <c r="S618" s="414"/>
      <c r="T618" s="415"/>
      <c r="U618" s="414"/>
      <c r="V618" s="414"/>
      <c r="W618" s="414"/>
      <c r="X618" s="414"/>
      <c r="Y618" s="414"/>
      <c r="Z618" s="416"/>
      <c r="AA618" s="416"/>
      <c r="AB618" s="414"/>
      <c r="AC618" s="414"/>
      <c r="AD618" s="416"/>
      <c r="AE618" s="414"/>
      <c r="AF618" s="233"/>
    </row>
    <row r="619" spans="1:40" ht="23.4" thickBot="1">
      <c r="A619" s="225">
        <f t="shared" si="9"/>
        <v>610</v>
      </c>
      <c r="B619" s="227" t="s">
        <v>1683</v>
      </c>
      <c r="C619" s="227" t="s">
        <v>2065</v>
      </c>
      <c r="D619" s="228" t="s">
        <v>2066</v>
      </c>
      <c r="E619" s="363">
        <v>43</v>
      </c>
      <c r="F619" s="342">
        <v>45558</v>
      </c>
      <c r="G619" s="230"/>
      <c r="H619" s="231"/>
      <c r="I619" s="231">
        <v>65882</v>
      </c>
      <c r="J619" s="226" t="s">
        <v>2388</v>
      </c>
      <c r="K619" s="362"/>
      <c r="L619" s="345">
        <v>65882</v>
      </c>
      <c r="M619" s="346">
        <v>0</v>
      </c>
      <c r="N619" s="226"/>
      <c r="O619" s="232"/>
      <c r="P619" s="232"/>
      <c r="Q619" s="232"/>
      <c r="R619" s="232"/>
      <c r="S619" s="414"/>
      <c r="T619" s="415"/>
      <c r="U619" s="414"/>
      <c r="V619" s="414"/>
      <c r="W619" s="414"/>
      <c r="X619" s="414"/>
      <c r="Y619" s="414"/>
      <c r="Z619" s="416"/>
      <c r="AA619" s="416"/>
      <c r="AB619" s="414"/>
      <c r="AC619" s="414"/>
      <c r="AD619" s="416"/>
      <c r="AE619" s="414"/>
      <c r="AF619" s="233"/>
    </row>
    <row r="620" spans="1:40" ht="23.4" thickBot="1">
      <c r="A620" s="225">
        <f t="shared" si="9"/>
        <v>611</v>
      </c>
      <c r="B620" s="227" t="s">
        <v>1584</v>
      </c>
      <c r="C620" s="227" t="s">
        <v>2065</v>
      </c>
      <c r="D620" s="228" t="s">
        <v>2066</v>
      </c>
      <c r="E620" s="363">
        <v>42</v>
      </c>
      <c r="F620" s="342">
        <v>45558</v>
      </c>
      <c r="G620" s="230"/>
      <c r="H620" s="231"/>
      <c r="I620" s="231">
        <v>223465</v>
      </c>
      <c r="J620" s="226" t="s">
        <v>2388</v>
      </c>
      <c r="K620" s="362"/>
      <c r="L620" s="345">
        <v>223465</v>
      </c>
      <c r="M620" s="346">
        <v>0</v>
      </c>
      <c r="N620" s="226"/>
      <c r="O620" s="232"/>
      <c r="P620" s="232"/>
      <c r="Q620" s="232"/>
      <c r="R620" s="232"/>
      <c r="S620" s="414"/>
      <c r="T620" s="421"/>
      <c r="U620" s="422"/>
      <c r="V620" s="422"/>
      <c r="W620" s="422"/>
      <c r="X620" s="423"/>
      <c r="Y620" s="424"/>
      <c r="Z620" s="425"/>
      <c r="AA620" s="425"/>
      <c r="AB620" s="425"/>
      <c r="AC620" s="426"/>
      <c r="AD620" s="425"/>
      <c r="AE620" s="425"/>
      <c r="AF620" s="425"/>
      <c r="AG620" s="425"/>
      <c r="AH620" s="425"/>
      <c r="AI620" s="425"/>
      <c r="AJ620" s="425"/>
      <c r="AK620" s="425"/>
      <c r="AL620" s="427"/>
      <c r="AM620" s="426"/>
      <c r="AN620" s="424"/>
    </row>
    <row r="621" spans="1:40" ht="23.4" thickBot="1">
      <c r="A621" s="225">
        <f t="shared" si="9"/>
        <v>612</v>
      </c>
      <c r="B621" s="227" t="s">
        <v>1684</v>
      </c>
      <c r="C621" s="227" t="s">
        <v>2296</v>
      </c>
      <c r="D621" s="228" t="s">
        <v>2297</v>
      </c>
      <c r="E621" s="363" t="s">
        <v>2298</v>
      </c>
      <c r="F621" s="342">
        <v>45540</v>
      </c>
      <c r="G621" s="230"/>
      <c r="H621" s="231"/>
      <c r="I621" s="231">
        <v>11413</v>
      </c>
      <c r="J621" s="226" t="s">
        <v>2388</v>
      </c>
      <c r="K621" s="362"/>
      <c r="L621" s="345">
        <v>11413</v>
      </c>
      <c r="M621" s="346">
        <v>0</v>
      </c>
      <c r="N621" s="226"/>
      <c r="O621" s="232"/>
      <c r="P621" s="232"/>
      <c r="Q621" s="232"/>
      <c r="R621" s="232"/>
      <c r="S621" s="414"/>
      <c r="T621" s="415"/>
      <c r="U621" s="414"/>
      <c r="V621" s="414"/>
      <c r="W621" s="414"/>
      <c r="X621" s="414"/>
      <c r="Y621" s="414"/>
      <c r="Z621" s="416"/>
      <c r="AA621" s="416"/>
      <c r="AB621" s="414"/>
      <c r="AC621" s="414"/>
      <c r="AD621" s="416"/>
      <c r="AE621" s="414"/>
      <c r="AF621" s="233"/>
    </row>
    <row r="622" spans="1:40" ht="23.4" thickBot="1">
      <c r="A622" s="225">
        <f t="shared" si="9"/>
        <v>613</v>
      </c>
      <c r="B622" s="227" t="s">
        <v>1685</v>
      </c>
      <c r="C622" s="227" t="s">
        <v>1766</v>
      </c>
      <c r="D622" s="228" t="s">
        <v>1767</v>
      </c>
      <c r="E622" s="363" t="s">
        <v>2299</v>
      </c>
      <c r="F622" s="342">
        <v>45596</v>
      </c>
      <c r="G622" s="230"/>
      <c r="H622" s="231"/>
      <c r="I622" s="231">
        <v>2844100</v>
      </c>
      <c r="J622" s="226" t="s">
        <v>2388</v>
      </c>
      <c r="K622" s="362"/>
      <c r="L622" s="345">
        <v>2844100</v>
      </c>
      <c r="M622" s="346">
        <v>0</v>
      </c>
      <c r="N622" s="226"/>
      <c r="O622" s="232"/>
      <c r="P622" s="232"/>
      <c r="Q622" s="232"/>
      <c r="R622" s="232"/>
      <c r="S622" s="414"/>
      <c r="T622" s="421"/>
      <c r="U622" s="422"/>
      <c r="V622" s="422"/>
      <c r="W622" s="422"/>
      <c r="X622" s="423"/>
      <c r="Y622" s="424"/>
      <c r="Z622" s="425"/>
      <c r="AA622" s="425"/>
      <c r="AB622" s="425"/>
      <c r="AC622" s="426"/>
      <c r="AD622" s="425"/>
      <c r="AE622" s="425"/>
      <c r="AF622" s="425"/>
      <c r="AG622" s="425"/>
      <c r="AH622" s="425"/>
      <c r="AI622" s="425"/>
      <c r="AJ622" s="425"/>
      <c r="AK622" s="425"/>
      <c r="AL622" s="427"/>
      <c r="AM622" s="426"/>
      <c r="AN622" s="424"/>
    </row>
    <row r="623" spans="1:40">
      <c r="A623" s="225">
        <f t="shared" si="9"/>
        <v>614</v>
      </c>
      <c r="B623" s="227" t="s">
        <v>1686</v>
      </c>
      <c r="C623" s="227" t="s">
        <v>1763</v>
      </c>
      <c r="D623" s="228" t="s">
        <v>1764</v>
      </c>
      <c r="E623" s="363" t="s">
        <v>2300</v>
      </c>
      <c r="F623" s="342">
        <v>45596</v>
      </c>
      <c r="G623" s="230"/>
      <c r="H623" s="231"/>
      <c r="I623" s="231">
        <v>3390513</v>
      </c>
      <c r="J623" s="226" t="s">
        <v>2388</v>
      </c>
      <c r="K623" s="362"/>
      <c r="L623" s="345">
        <v>3390513</v>
      </c>
      <c r="M623" s="346">
        <v>0</v>
      </c>
      <c r="N623" s="226"/>
      <c r="O623" s="232"/>
      <c r="P623" s="232"/>
      <c r="Q623" s="232"/>
      <c r="R623" s="232"/>
      <c r="S623" s="414"/>
      <c r="T623" s="415"/>
      <c r="U623" s="414"/>
      <c r="V623" s="414"/>
      <c r="W623" s="414"/>
      <c r="X623" s="414"/>
      <c r="Y623" s="414"/>
      <c r="Z623" s="416"/>
      <c r="AA623" s="416"/>
      <c r="AB623" s="414"/>
      <c r="AC623" s="414"/>
      <c r="AD623" s="416"/>
      <c r="AE623" s="414"/>
      <c r="AF623" s="233"/>
    </row>
    <row r="624" spans="1:40">
      <c r="A624" s="225">
        <f t="shared" si="9"/>
        <v>615</v>
      </c>
      <c r="B624" s="227" t="s">
        <v>1687</v>
      </c>
      <c r="C624" s="227" t="s">
        <v>1771</v>
      </c>
      <c r="D624" s="228" t="s">
        <v>1772</v>
      </c>
      <c r="E624" s="363" t="s">
        <v>2301</v>
      </c>
      <c r="F624" s="342">
        <v>45596</v>
      </c>
      <c r="G624" s="230"/>
      <c r="H624" s="231"/>
      <c r="I624" s="231">
        <v>104175</v>
      </c>
      <c r="J624" s="226" t="s">
        <v>2388</v>
      </c>
      <c r="K624" s="362"/>
      <c r="L624" s="345">
        <v>104175</v>
      </c>
      <c r="M624" s="346">
        <v>0</v>
      </c>
      <c r="N624" s="226"/>
      <c r="O624" s="232"/>
      <c r="P624" s="232"/>
      <c r="Q624" s="232"/>
      <c r="R624" s="232"/>
      <c r="S624" s="414"/>
      <c r="T624" s="415"/>
      <c r="U624" s="414"/>
      <c r="V624" s="414"/>
      <c r="W624" s="414"/>
      <c r="X624" s="414"/>
      <c r="Y624" s="414"/>
      <c r="Z624" s="416"/>
      <c r="AA624" s="416"/>
      <c r="AB624" s="414"/>
      <c r="AC624" s="414"/>
      <c r="AD624" s="416"/>
      <c r="AE624" s="414"/>
      <c r="AF624" s="233"/>
    </row>
    <row r="625" spans="1:40">
      <c r="A625" s="225">
        <f t="shared" si="9"/>
        <v>616</v>
      </c>
      <c r="B625" s="227" t="s">
        <v>1688</v>
      </c>
      <c r="C625" s="227" t="s">
        <v>1869</v>
      </c>
      <c r="D625" s="228" t="s">
        <v>1870</v>
      </c>
      <c r="E625" s="363" t="s">
        <v>2302</v>
      </c>
      <c r="F625" s="342">
        <v>45595</v>
      </c>
      <c r="G625" s="230"/>
      <c r="H625" s="231"/>
      <c r="I625" s="231">
        <v>365490</v>
      </c>
      <c r="J625" s="226" t="s">
        <v>2388</v>
      </c>
      <c r="K625" s="362"/>
      <c r="L625" s="345">
        <v>365490</v>
      </c>
      <c r="M625" s="346">
        <v>0</v>
      </c>
      <c r="N625" s="226"/>
      <c r="O625" s="232"/>
      <c r="P625" s="232"/>
      <c r="Q625" s="232"/>
      <c r="R625" s="232"/>
      <c r="S625" s="414"/>
      <c r="T625" s="415"/>
      <c r="U625" s="414"/>
      <c r="V625" s="414"/>
      <c r="W625" s="414"/>
      <c r="X625" s="414"/>
      <c r="Y625" s="414"/>
      <c r="Z625" s="416"/>
      <c r="AA625" s="416"/>
      <c r="AB625" s="414"/>
      <c r="AC625" s="414"/>
      <c r="AD625" s="416"/>
      <c r="AE625" s="414"/>
      <c r="AF625" s="233"/>
    </row>
    <row r="626" spans="1:40">
      <c r="A626" s="225">
        <f t="shared" si="9"/>
        <v>617</v>
      </c>
      <c r="B626" s="227" t="s">
        <v>1689</v>
      </c>
      <c r="C626" s="227" t="s">
        <v>1760</v>
      </c>
      <c r="D626" s="228" t="s">
        <v>1761</v>
      </c>
      <c r="E626" s="363" t="s">
        <v>2303</v>
      </c>
      <c r="F626" s="342">
        <v>45595</v>
      </c>
      <c r="G626" s="230"/>
      <c r="H626" s="231"/>
      <c r="I626" s="231">
        <v>1916792</v>
      </c>
      <c r="J626" s="226" t="s">
        <v>2388</v>
      </c>
      <c r="K626" s="362"/>
      <c r="L626" s="345">
        <v>1916792</v>
      </c>
      <c r="M626" s="346">
        <v>0</v>
      </c>
      <c r="N626" s="226"/>
      <c r="O626" s="232"/>
      <c r="P626" s="232"/>
      <c r="Q626" s="232"/>
      <c r="R626" s="232"/>
      <c r="S626" s="414"/>
      <c r="T626" s="415"/>
      <c r="U626" s="414"/>
      <c r="V626" s="414"/>
      <c r="W626" s="414"/>
      <c r="X626" s="414"/>
      <c r="Y626" s="414"/>
      <c r="Z626" s="416"/>
      <c r="AA626" s="416"/>
      <c r="AB626" s="414"/>
      <c r="AC626" s="414"/>
      <c r="AD626" s="416"/>
      <c r="AE626" s="414"/>
      <c r="AF626" s="233"/>
    </row>
    <row r="627" spans="1:40">
      <c r="A627" s="225">
        <f t="shared" si="9"/>
        <v>618</v>
      </c>
      <c r="B627" s="227" t="s">
        <v>1690</v>
      </c>
      <c r="C627" s="227" t="s">
        <v>1774</v>
      </c>
      <c r="D627" s="228" t="s">
        <v>1775</v>
      </c>
      <c r="E627" s="363" t="s">
        <v>2304</v>
      </c>
      <c r="F627" s="342">
        <v>45593</v>
      </c>
      <c r="G627" s="230"/>
      <c r="H627" s="231"/>
      <c r="I627" s="231">
        <v>67007</v>
      </c>
      <c r="J627" s="226" t="s">
        <v>2388</v>
      </c>
      <c r="K627" s="362"/>
      <c r="L627" s="345">
        <v>67007</v>
      </c>
      <c r="M627" s="346">
        <v>0</v>
      </c>
      <c r="N627" s="226" t="s">
        <v>2394</v>
      </c>
      <c r="O627" s="232"/>
      <c r="P627" s="232"/>
      <c r="Q627" s="232"/>
      <c r="R627" s="232"/>
      <c r="S627" s="414"/>
      <c r="T627" s="415"/>
      <c r="U627" s="414"/>
      <c r="V627" s="414"/>
      <c r="W627" s="414"/>
      <c r="X627" s="414"/>
      <c r="Y627" s="414"/>
      <c r="Z627" s="416"/>
      <c r="AA627" s="416"/>
      <c r="AB627" s="414"/>
      <c r="AC627" s="414"/>
      <c r="AD627" s="416"/>
      <c r="AE627" s="414"/>
      <c r="AF627" s="233"/>
    </row>
    <row r="628" spans="1:40">
      <c r="A628" s="225">
        <f t="shared" si="9"/>
        <v>619</v>
      </c>
      <c r="B628" s="227" t="s">
        <v>1691</v>
      </c>
      <c r="C628" s="227" t="s">
        <v>2236</v>
      </c>
      <c r="D628" s="228" t="s">
        <v>2237</v>
      </c>
      <c r="E628" s="363" t="s">
        <v>2305</v>
      </c>
      <c r="F628" s="342">
        <v>45588</v>
      </c>
      <c r="G628" s="230"/>
      <c r="H628" s="231"/>
      <c r="I628" s="231">
        <v>341208</v>
      </c>
      <c r="J628" s="226" t="s">
        <v>2388</v>
      </c>
      <c r="K628" s="362"/>
      <c r="L628" s="345">
        <v>341208</v>
      </c>
      <c r="M628" s="346">
        <v>0</v>
      </c>
      <c r="N628" s="226"/>
      <c r="O628" s="232"/>
      <c r="P628" s="232"/>
      <c r="Q628" s="232"/>
      <c r="R628" s="232"/>
      <c r="S628" s="414"/>
      <c r="T628" s="415"/>
      <c r="U628" s="414"/>
      <c r="V628" s="414"/>
      <c r="W628" s="414"/>
      <c r="X628" s="414"/>
      <c r="Y628" s="414"/>
      <c r="Z628" s="416"/>
      <c r="AA628" s="416"/>
      <c r="AB628" s="414"/>
      <c r="AC628" s="414"/>
      <c r="AD628" s="416"/>
      <c r="AE628" s="414"/>
      <c r="AF628" s="233"/>
    </row>
    <row r="629" spans="1:40">
      <c r="A629" s="225">
        <f t="shared" si="9"/>
        <v>620</v>
      </c>
      <c r="B629" s="227" t="s">
        <v>1692</v>
      </c>
      <c r="C629" s="227" t="s">
        <v>2290</v>
      </c>
      <c r="D629" s="228" t="s">
        <v>2291</v>
      </c>
      <c r="E629" s="363" t="s">
        <v>2306</v>
      </c>
      <c r="F629" s="342">
        <v>45569</v>
      </c>
      <c r="G629" s="230"/>
      <c r="H629" s="231"/>
      <c r="I629" s="231">
        <v>142065</v>
      </c>
      <c r="J629" s="226" t="s">
        <v>2388</v>
      </c>
      <c r="K629" s="362"/>
      <c r="L629" s="345">
        <v>142065</v>
      </c>
      <c r="M629" s="346">
        <v>0</v>
      </c>
      <c r="N629" s="226"/>
      <c r="O629" s="232"/>
      <c r="P629" s="232"/>
      <c r="Q629" s="232"/>
      <c r="R629" s="232"/>
      <c r="S629" s="414"/>
      <c r="T629" s="415"/>
      <c r="U629" s="414"/>
      <c r="V629" s="414"/>
      <c r="W629" s="414"/>
      <c r="X629" s="414"/>
      <c r="Y629" s="414"/>
      <c r="Z629" s="416"/>
      <c r="AA629" s="416"/>
      <c r="AB629" s="414"/>
      <c r="AC629" s="414"/>
      <c r="AD629" s="416"/>
      <c r="AE629" s="414"/>
      <c r="AF629" s="233"/>
    </row>
    <row r="630" spans="1:40">
      <c r="A630" s="225">
        <f t="shared" si="9"/>
        <v>621</v>
      </c>
      <c r="B630" s="227" t="s">
        <v>1693</v>
      </c>
      <c r="C630" s="227" t="s">
        <v>1780</v>
      </c>
      <c r="D630" s="228" t="s">
        <v>1781</v>
      </c>
      <c r="E630" s="363">
        <v>8658</v>
      </c>
      <c r="F630" s="342">
        <v>45566</v>
      </c>
      <c r="G630" s="230"/>
      <c r="H630" s="231"/>
      <c r="I630" s="231">
        <v>7757</v>
      </c>
      <c r="J630" s="226" t="s">
        <v>2389</v>
      </c>
      <c r="K630" s="362"/>
      <c r="L630" s="345"/>
      <c r="M630" s="346">
        <v>7757</v>
      </c>
      <c r="N630" s="226"/>
      <c r="O630" s="232"/>
      <c r="P630" s="232"/>
      <c r="Q630" s="232"/>
      <c r="R630" s="232"/>
      <c r="S630" s="414"/>
      <c r="T630" s="415"/>
      <c r="U630" s="414"/>
      <c r="V630" s="414"/>
      <c r="W630" s="414"/>
      <c r="X630" s="414"/>
      <c r="Y630" s="414"/>
      <c r="Z630" s="416"/>
      <c r="AA630" s="416"/>
      <c r="AB630" s="414"/>
      <c r="AC630" s="414"/>
      <c r="AD630" s="416"/>
      <c r="AE630" s="414"/>
      <c r="AF630" s="233"/>
    </row>
    <row r="631" spans="1:40">
      <c r="A631" s="225">
        <f t="shared" si="9"/>
        <v>622</v>
      </c>
      <c r="B631" s="227" t="s">
        <v>1694</v>
      </c>
      <c r="C631" s="227" t="s">
        <v>2178</v>
      </c>
      <c r="D631" s="228" t="s">
        <v>2179</v>
      </c>
      <c r="E631" s="363" t="s">
        <v>2307</v>
      </c>
      <c r="F631" s="342">
        <v>45596</v>
      </c>
      <c r="G631" s="230"/>
      <c r="H631" s="231"/>
      <c r="I631" s="231">
        <v>140173</v>
      </c>
      <c r="J631" s="226" t="s">
        <v>2388</v>
      </c>
      <c r="K631" s="362"/>
      <c r="L631" s="345">
        <v>140173</v>
      </c>
      <c r="M631" s="346">
        <v>0</v>
      </c>
      <c r="N631" s="226" t="s">
        <v>2394</v>
      </c>
      <c r="O631" s="232"/>
      <c r="P631" s="232"/>
      <c r="Q631" s="232"/>
      <c r="R631" s="232"/>
      <c r="S631" s="414"/>
      <c r="T631" s="415"/>
      <c r="U631" s="414"/>
      <c r="V631" s="414"/>
      <c r="W631" s="414"/>
      <c r="X631" s="414"/>
      <c r="Y631" s="414"/>
      <c r="Z631" s="416"/>
      <c r="AA631" s="416"/>
      <c r="AB631" s="414"/>
      <c r="AC631" s="414"/>
      <c r="AD631" s="416"/>
      <c r="AE631" s="414"/>
      <c r="AF631" s="233"/>
    </row>
    <row r="632" spans="1:40">
      <c r="A632" s="225">
        <f t="shared" si="9"/>
        <v>623</v>
      </c>
      <c r="B632" s="227" t="s">
        <v>1695</v>
      </c>
      <c r="C632" s="227" t="s">
        <v>2178</v>
      </c>
      <c r="D632" s="228" t="s">
        <v>2179</v>
      </c>
      <c r="E632" s="363" t="s">
        <v>2308</v>
      </c>
      <c r="F632" s="342">
        <v>45596</v>
      </c>
      <c r="G632" s="230"/>
      <c r="H632" s="231"/>
      <c r="I632" s="231">
        <v>140173</v>
      </c>
      <c r="J632" s="226" t="s">
        <v>2388</v>
      </c>
      <c r="K632" s="362"/>
      <c r="L632" s="345">
        <v>140173</v>
      </c>
      <c r="M632" s="346">
        <v>0</v>
      </c>
      <c r="N632" s="226" t="s">
        <v>2394</v>
      </c>
      <c r="O632" s="232"/>
      <c r="P632" s="232"/>
      <c r="Q632" s="232"/>
      <c r="R632" s="232"/>
      <c r="S632" s="414"/>
      <c r="T632" s="415"/>
      <c r="U632" s="414"/>
      <c r="V632" s="414"/>
      <c r="W632" s="414"/>
      <c r="X632" s="414"/>
      <c r="Y632" s="414"/>
      <c r="Z632" s="416"/>
      <c r="AA632" s="416"/>
      <c r="AB632" s="414"/>
      <c r="AC632" s="414"/>
      <c r="AD632" s="416"/>
      <c r="AE632" s="414"/>
      <c r="AF632" s="233"/>
    </row>
    <row r="633" spans="1:40">
      <c r="A633" s="225">
        <f t="shared" si="9"/>
        <v>624</v>
      </c>
      <c r="B633" s="227" t="s">
        <v>1696</v>
      </c>
      <c r="C633" s="227" t="s">
        <v>2178</v>
      </c>
      <c r="D633" s="228" t="s">
        <v>2179</v>
      </c>
      <c r="E633" s="363" t="s">
        <v>2309</v>
      </c>
      <c r="F633" s="342">
        <v>45596</v>
      </c>
      <c r="G633" s="230"/>
      <c r="H633" s="231"/>
      <c r="I633" s="231">
        <v>140173</v>
      </c>
      <c r="J633" s="226" t="s">
        <v>2388</v>
      </c>
      <c r="K633" s="362"/>
      <c r="L633" s="345">
        <v>140173</v>
      </c>
      <c r="M633" s="346">
        <v>0</v>
      </c>
      <c r="N633" s="226" t="s">
        <v>2394</v>
      </c>
      <c r="O633" s="232"/>
      <c r="P633" s="232"/>
      <c r="Q633" s="232"/>
      <c r="R633" s="232"/>
      <c r="S633" s="414"/>
      <c r="T633" s="415"/>
      <c r="U633" s="414"/>
      <c r="V633" s="414"/>
      <c r="W633" s="414"/>
      <c r="X633" s="414"/>
      <c r="Y633" s="414"/>
      <c r="Z633" s="416"/>
      <c r="AA633" s="416"/>
      <c r="AB633" s="414"/>
      <c r="AC633" s="414"/>
      <c r="AD633" s="416"/>
      <c r="AE633" s="414"/>
      <c r="AF633" s="233"/>
    </row>
    <row r="634" spans="1:40">
      <c r="A634" s="225">
        <f t="shared" si="9"/>
        <v>625</v>
      </c>
      <c r="B634" s="227" t="s">
        <v>1697</v>
      </c>
      <c r="C634" s="227" t="s">
        <v>2178</v>
      </c>
      <c r="D634" s="228" t="s">
        <v>2179</v>
      </c>
      <c r="E634" s="363" t="s">
        <v>2310</v>
      </c>
      <c r="F634" s="342">
        <v>45581</v>
      </c>
      <c r="G634" s="230"/>
      <c r="H634" s="231"/>
      <c r="I634" s="231">
        <v>140070</v>
      </c>
      <c r="J634" s="226" t="s">
        <v>2388</v>
      </c>
      <c r="K634" s="362"/>
      <c r="L634" s="345">
        <v>140070</v>
      </c>
      <c r="M634" s="346">
        <v>0</v>
      </c>
      <c r="N634" s="226" t="s">
        <v>2394</v>
      </c>
      <c r="O634" s="232"/>
      <c r="P634" s="232"/>
      <c r="Q634" s="232"/>
      <c r="R634" s="232"/>
      <c r="S634" s="414"/>
      <c r="T634" s="415"/>
      <c r="U634" s="414"/>
      <c r="V634" s="414"/>
      <c r="W634" s="414"/>
      <c r="X634" s="414"/>
      <c r="Y634" s="414"/>
      <c r="Z634" s="416"/>
      <c r="AA634" s="416"/>
      <c r="AB634" s="414"/>
      <c r="AC634" s="414"/>
      <c r="AD634" s="416"/>
      <c r="AE634" s="414"/>
      <c r="AF634" s="233"/>
    </row>
    <row r="635" spans="1:40" ht="23.4" thickBot="1">
      <c r="A635" s="225">
        <f t="shared" si="9"/>
        <v>626</v>
      </c>
      <c r="B635" s="227" t="s">
        <v>1698</v>
      </c>
      <c r="C635" s="227" t="s">
        <v>2178</v>
      </c>
      <c r="D635" s="228" t="s">
        <v>2179</v>
      </c>
      <c r="E635" s="363" t="s">
        <v>2311</v>
      </c>
      <c r="F635" s="342">
        <v>45581</v>
      </c>
      <c r="G635" s="230"/>
      <c r="H635" s="231"/>
      <c r="I635" s="231">
        <v>140070</v>
      </c>
      <c r="J635" s="226" t="s">
        <v>2388</v>
      </c>
      <c r="K635" s="362"/>
      <c r="L635" s="345">
        <v>140070</v>
      </c>
      <c r="M635" s="346">
        <v>0</v>
      </c>
      <c r="N635" s="226" t="s">
        <v>2394</v>
      </c>
      <c r="O635" s="232"/>
      <c r="P635" s="232"/>
      <c r="Q635" s="232"/>
      <c r="R635" s="232"/>
      <c r="S635" s="414"/>
      <c r="T635" s="415"/>
      <c r="U635" s="414"/>
      <c r="V635" s="414"/>
      <c r="W635" s="414"/>
      <c r="X635" s="414"/>
      <c r="Y635" s="414"/>
      <c r="Z635" s="416"/>
      <c r="AA635" s="416"/>
      <c r="AB635" s="414"/>
      <c r="AC635" s="414"/>
      <c r="AD635" s="416"/>
      <c r="AE635" s="414"/>
      <c r="AF635" s="233"/>
    </row>
    <row r="636" spans="1:40" ht="23.4" thickBot="1">
      <c r="A636" s="225">
        <f t="shared" si="9"/>
        <v>627</v>
      </c>
      <c r="B636" s="227" t="s">
        <v>1699</v>
      </c>
      <c r="C636" s="227" t="s">
        <v>2067</v>
      </c>
      <c r="D636" s="228" t="s">
        <v>2068</v>
      </c>
      <c r="E636" s="363" t="s">
        <v>2312</v>
      </c>
      <c r="F636" s="342">
        <v>45569</v>
      </c>
      <c r="G636" s="230"/>
      <c r="H636" s="231"/>
      <c r="I636" s="231">
        <v>446490</v>
      </c>
      <c r="J636" s="226" t="s">
        <v>2388</v>
      </c>
      <c r="K636" s="362"/>
      <c r="L636" s="345">
        <v>446490</v>
      </c>
      <c r="M636" s="346">
        <v>0</v>
      </c>
      <c r="N636" s="226"/>
      <c r="O636" s="232"/>
      <c r="P636" s="232"/>
      <c r="Q636" s="232"/>
      <c r="R636" s="232"/>
      <c r="S636" s="414"/>
      <c r="T636" s="421"/>
      <c r="U636" s="422"/>
      <c r="V636" s="422"/>
      <c r="W636" s="422"/>
      <c r="X636" s="423"/>
      <c r="Y636" s="424"/>
      <c r="Z636" s="425"/>
      <c r="AA636" s="425"/>
      <c r="AB636" s="425"/>
      <c r="AC636" s="426"/>
      <c r="AD636" s="425"/>
      <c r="AE636" s="425"/>
      <c r="AF636" s="425"/>
      <c r="AG636" s="425"/>
      <c r="AH636" s="425"/>
      <c r="AI636" s="425"/>
      <c r="AJ636" s="425"/>
      <c r="AK636" s="425"/>
      <c r="AL636" s="427"/>
      <c r="AM636" s="426"/>
      <c r="AN636" s="424"/>
    </row>
    <row r="637" spans="1:40">
      <c r="A637" s="225">
        <f t="shared" si="9"/>
        <v>628</v>
      </c>
      <c r="B637" s="227" t="s">
        <v>1700</v>
      </c>
      <c r="C637" s="227" t="s">
        <v>1789</v>
      </c>
      <c r="D637" s="228" t="s">
        <v>1790</v>
      </c>
      <c r="E637" s="363" t="s">
        <v>2313</v>
      </c>
      <c r="F637" s="342">
        <v>45591</v>
      </c>
      <c r="G637" s="230"/>
      <c r="H637" s="231"/>
      <c r="I637" s="231">
        <v>28427</v>
      </c>
      <c r="J637" s="226" t="s">
        <v>2388</v>
      </c>
      <c r="K637" s="362"/>
      <c r="L637" s="345">
        <v>28427</v>
      </c>
      <c r="M637" s="346">
        <v>0</v>
      </c>
      <c r="N637" s="226" t="s">
        <v>2395</v>
      </c>
      <c r="O637" s="232"/>
      <c r="P637" s="232"/>
      <c r="Q637" s="232"/>
      <c r="R637" s="232"/>
      <c r="S637" s="414"/>
      <c r="T637" s="415"/>
      <c r="U637" s="414"/>
      <c r="V637" s="414"/>
      <c r="W637" s="414"/>
      <c r="X637" s="414"/>
      <c r="Y637" s="414"/>
      <c r="Z637" s="416"/>
      <c r="AA637" s="416"/>
      <c r="AB637" s="414"/>
      <c r="AC637" s="414"/>
      <c r="AD637" s="416"/>
      <c r="AE637" s="414"/>
      <c r="AF637" s="233"/>
    </row>
    <row r="638" spans="1:40">
      <c r="A638" s="225">
        <f t="shared" si="9"/>
        <v>629</v>
      </c>
      <c r="B638" s="227" t="s">
        <v>1701</v>
      </c>
      <c r="C638" s="227" t="s">
        <v>2067</v>
      </c>
      <c r="D638" s="228" t="s">
        <v>2068</v>
      </c>
      <c r="E638" s="363" t="s">
        <v>2314</v>
      </c>
      <c r="F638" s="342">
        <v>45569</v>
      </c>
      <c r="G638" s="230"/>
      <c r="H638" s="231"/>
      <c r="I638" s="231">
        <v>340956</v>
      </c>
      <c r="J638" s="226" t="s">
        <v>2388</v>
      </c>
      <c r="K638" s="362"/>
      <c r="L638" s="345">
        <v>340956</v>
      </c>
      <c r="M638" s="346">
        <v>0</v>
      </c>
      <c r="N638" s="226"/>
      <c r="O638" s="232"/>
      <c r="P638" s="232"/>
      <c r="Q638" s="232"/>
      <c r="R638" s="232"/>
      <c r="S638" s="414"/>
      <c r="T638" s="417"/>
      <c r="U638" s="414"/>
      <c r="V638" s="414"/>
      <c r="W638" s="414"/>
      <c r="X638" s="414"/>
      <c r="Y638" s="414"/>
      <c r="Z638" s="416"/>
      <c r="AA638" s="416"/>
      <c r="AB638" s="414"/>
      <c r="AC638" s="414"/>
      <c r="AD638" s="416"/>
      <c r="AE638" s="414"/>
      <c r="AF638" s="233"/>
    </row>
    <row r="639" spans="1:40" ht="23.4" thickBot="1">
      <c r="A639" s="225">
        <f t="shared" si="9"/>
        <v>630</v>
      </c>
      <c r="B639" s="227" t="s">
        <v>1702</v>
      </c>
      <c r="C639" s="227" t="s">
        <v>1789</v>
      </c>
      <c r="D639" s="228" t="s">
        <v>1790</v>
      </c>
      <c r="E639" s="363" t="s">
        <v>2315</v>
      </c>
      <c r="F639" s="342">
        <v>45591</v>
      </c>
      <c r="G639" s="230"/>
      <c r="H639" s="231"/>
      <c r="I639" s="231">
        <v>28427</v>
      </c>
      <c r="J639" s="226" t="s">
        <v>2388</v>
      </c>
      <c r="K639" s="362"/>
      <c r="L639" s="345">
        <v>28427</v>
      </c>
      <c r="M639" s="346">
        <v>0</v>
      </c>
      <c r="N639" s="226" t="s">
        <v>2395</v>
      </c>
      <c r="O639" s="232"/>
      <c r="P639" s="232"/>
      <c r="Q639" s="232"/>
      <c r="R639" s="232"/>
      <c r="S639" s="414"/>
      <c r="T639" s="415"/>
      <c r="U639" s="414"/>
      <c r="V639" s="414"/>
      <c r="W639" s="414"/>
      <c r="X639" s="414"/>
      <c r="Y639" s="414"/>
      <c r="Z639" s="416"/>
      <c r="AA639" s="416"/>
      <c r="AB639" s="414"/>
      <c r="AC639" s="414"/>
      <c r="AD639" s="416"/>
      <c r="AE639" s="414"/>
      <c r="AF639" s="233"/>
    </row>
    <row r="640" spans="1:40" ht="23.4" thickBot="1">
      <c r="A640" s="225">
        <f t="shared" si="9"/>
        <v>631</v>
      </c>
      <c r="B640" s="227" t="s">
        <v>1703</v>
      </c>
      <c r="C640" s="227" t="s">
        <v>2067</v>
      </c>
      <c r="D640" s="228" t="s">
        <v>2068</v>
      </c>
      <c r="E640" s="363" t="s">
        <v>2316</v>
      </c>
      <c r="F640" s="342">
        <v>45586</v>
      </c>
      <c r="G640" s="230"/>
      <c r="H640" s="231"/>
      <c r="I640" s="231">
        <v>449331</v>
      </c>
      <c r="J640" s="226" t="s">
        <v>2388</v>
      </c>
      <c r="K640" s="362"/>
      <c r="L640" s="345">
        <v>449331</v>
      </c>
      <c r="M640" s="346">
        <v>0</v>
      </c>
      <c r="N640" s="226"/>
      <c r="O640" s="232"/>
      <c r="P640" s="232"/>
      <c r="Q640" s="232"/>
      <c r="R640" s="232"/>
      <c r="S640" s="414"/>
      <c r="T640" s="421"/>
      <c r="U640" s="422"/>
      <c r="V640" s="422"/>
      <c r="W640" s="422"/>
      <c r="X640" s="423"/>
      <c r="Y640" s="424"/>
      <c r="Z640" s="425"/>
      <c r="AA640" s="425"/>
      <c r="AB640" s="425"/>
      <c r="AC640" s="426"/>
      <c r="AD640" s="425"/>
      <c r="AE640" s="425"/>
      <c r="AF640" s="425"/>
      <c r="AG640" s="425"/>
      <c r="AH640" s="425"/>
      <c r="AI640" s="425"/>
      <c r="AJ640" s="425"/>
      <c r="AK640" s="425"/>
      <c r="AL640" s="427"/>
      <c r="AM640" s="426"/>
      <c r="AN640" s="424"/>
    </row>
    <row r="641" spans="1:32">
      <c r="A641" s="225">
        <f t="shared" si="9"/>
        <v>632</v>
      </c>
      <c r="B641" s="227" t="s">
        <v>1704</v>
      </c>
      <c r="C641" s="227" t="s">
        <v>1789</v>
      </c>
      <c r="D641" s="228" t="s">
        <v>1790</v>
      </c>
      <c r="E641" s="363" t="s">
        <v>2317</v>
      </c>
      <c r="F641" s="342">
        <v>45586</v>
      </c>
      <c r="G641" s="230"/>
      <c r="H641" s="231"/>
      <c r="I641" s="231">
        <v>18685</v>
      </c>
      <c r="J641" s="226" t="s">
        <v>2388</v>
      </c>
      <c r="K641" s="362"/>
      <c r="L641" s="345">
        <v>18685</v>
      </c>
      <c r="M641" s="346">
        <v>0</v>
      </c>
      <c r="N641" s="226" t="s">
        <v>2395</v>
      </c>
      <c r="O641" s="232"/>
      <c r="P641" s="232"/>
      <c r="Q641" s="232"/>
      <c r="R641" s="232"/>
      <c r="S641" s="414"/>
      <c r="T641" s="415"/>
      <c r="U641" s="414"/>
      <c r="V641" s="414"/>
      <c r="W641" s="414"/>
      <c r="X641" s="414"/>
      <c r="Y641" s="414"/>
      <c r="Z641" s="416"/>
      <c r="AA641" s="416"/>
      <c r="AB641" s="414"/>
      <c r="AC641" s="414"/>
      <c r="AD641" s="416"/>
      <c r="AE641" s="414"/>
      <c r="AF641" s="233"/>
    </row>
    <row r="642" spans="1:32">
      <c r="A642" s="225">
        <f t="shared" si="9"/>
        <v>633</v>
      </c>
      <c r="B642" s="227" t="s">
        <v>1705</v>
      </c>
      <c r="C642" s="227" t="s">
        <v>2067</v>
      </c>
      <c r="D642" s="228" t="s">
        <v>2068</v>
      </c>
      <c r="E642" s="363" t="s">
        <v>2318</v>
      </c>
      <c r="F642" s="342">
        <v>45569</v>
      </c>
      <c r="G642" s="230"/>
      <c r="H642" s="231"/>
      <c r="I642" s="231">
        <v>361251</v>
      </c>
      <c r="J642" s="226" t="s">
        <v>2388</v>
      </c>
      <c r="K642" s="362"/>
      <c r="L642" s="345">
        <v>361251</v>
      </c>
      <c r="M642" s="346">
        <v>0</v>
      </c>
      <c r="N642" s="226"/>
      <c r="O642" s="232"/>
      <c r="P642" s="232"/>
      <c r="Q642" s="232"/>
      <c r="R642" s="232"/>
      <c r="S642" s="414"/>
      <c r="T642" s="415"/>
      <c r="U642" s="414"/>
      <c r="V642" s="414"/>
      <c r="W642" s="414"/>
      <c r="X642" s="414"/>
      <c r="Y642" s="414"/>
      <c r="Z642" s="416"/>
      <c r="AA642" s="416"/>
      <c r="AB642" s="414"/>
      <c r="AC642" s="414"/>
      <c r="AD642" s="416"/>
      <c r="AE642" s="414"/>
      <c r="AF642" s="233"/>
    </row>
    <row r="643" spans="1:32">
      <c r="A643" s="225">
        <f t="shared" si="9"/>
        <v>634</v>
      </c>
      <c r="B643" s="227" t="s">
        <v>1706</v>
      </c>
      <c r="C643" s="227" t="s">
        <v>1789</v>
      </c>
      <c r="D643" s="228" t="s">
        <v>1790</v>
      </c>
      <c r="E643" s="363" t="s">
        <v>2319</v>
      </c>
      <c r="F643" s="342">
        <v>45586</v>
      </c>
      <c r="G643" s="230"/>
      <c r="H643" s="231"/>
      <c r="I643" s="231">
        <v>28434</v>
      </c>
      <c r="J643" s="226" t="s">
        <v>2388</v>
      </c>
      <c r="K643" s="362"/>
      <c r="L643" s="345">
        <v>28434</v>
      </c>
      <c r="M643" s="346">
        <v>0</v>
      </c>
      <c r="N643" s="226" t="s">
        <v>2395</v>
      </c>
      <c r="O643" s="232"/>
      <c r="P643" s="232"/>
      <c r="Q643" s="232"/>
      <c r="R643" s="232"/>
      <c r="S643" s="414"/>
      <c r="T643" s="415"/>
      <c r="U643" s="414"/>
      <c r="V643" s="414"/>
      <c r="W643" s="414"/>
      <c r="X643" s="414"/>
      <c r="Y643" s="414"/>
      <c r="Z643" s="416"/>
      <c r="AA643" s="416"/>
      <c r="AB643" s="414"/>
      <c r="AC643" s="414"/>
      <c r="AD643" s="416"/>
      <c r="AE643" s="414"/>
      <c r="AF643" s="233"/>
    </row>
    <row r="644" spans="1:32">
      <c r="A644" s="225">
        <f t="shared" si="9"/>
        <v>635</v>
      </c>
      <c r="B644" s="227" t="s">
        <v>1707</v>
      </c>
      <c r="C644" s="227" t="s">
        <v>2067</v>
      </c>
      <c r="D644" s="228" t="s">
        <v>2068</v>
      </c>
      <c r="E644" s="363" t="s">
        <v>2320</v>
      </c>
      <c r="F644" s="342">
        <v>45569</v>
      </c>
      <c r="G644" s="230"/>
      <c r="H644" s="231"/>
      <c r="I644" s="231">
        <v>560142</v>
      </c>
      <c r="J644" s="226" t="s">
        <v>2388</v>
      </c>
      <c r="K644" s="362"/>
      <c r="L644" s="345">
        <v>560142</v>
      </c>
      <c r="M644" s="346">
        <v>0</v>
      </c>
      <c r="N644" s="226"/>
      <c r="O644" s="232"/>
      <c r="P644" s="232"/>
      <c r="Q644" s="232"/>
      <c r="R644" s="232"/>
      <c r="S644" s="414"/>
      <c r="T644" s="415"/>
      <c r="U644" s="414"/>
      <c r="V644" s="414"/>
      <c r="W644" s="414"/>
      <c r="X644" s="414"/>
      <c r="Y644" s="414"/>
      <c r="Z644" s="416"/>
      <c r="AA644" s="416"/>
      <c r="AB644" s="414"/>
      <c r="AC644" s="414"/>
      <c r="AD644" s="416"/>
      <c r="AE644" s="414"/>
      <c r="AF644" s="233"/>
    </row>
    <row r="645" spans="1:32">
      <c r="A645" s="225">
        <f t="shared" si="9"/>
        <v>636</v>
      </c>
      <c r="B645" s="227" t="s">
        <v>1708</v>
      </c>
      <c r="C645" s="227" t="s">
        <v>1789</v>
      </c>
      <c r="D645" s="228" t="s">
        <v>1790</v>
      </c>
      <c r="E645" s="363" t="s">
        <v>2321</v>
      </c>
      <c r="F645" s="342">
        <v>45586</v>
      </c>
      <c r="G645" s="230"/>
      <c r="H645" s="231"/>
      <c r="I645" s="231">
        <v>18685</v>
      </c>
      <c r="J645" s="226" t="s">
        <v>2388</v>
      </c>
      <c r="K645" s="362"/>
      <c r="L645" s="345">
        <v>18685</v>
      </c>
      <c r="M645" s="346">
        <v>0</v>
      </c>
      <c r="N645" s="226" t="s">
        <v>2395</v>
      </c>
      <c r="O645" s="232"/>
      <c r="P645" s="232"/>
      <c r="Q645" s="232"/>
      <c r="R645" s="232"/>
      <c r="S645" s="414"/>
      <c r="T645" s="415"/>
      <c r="U645" s="414"/>
      <c r="V645" s="414"/>
      <c r="W645" s="414"/>
      <c r="X645" s="414"/>
      <c r="Y645" s="414"/>
      <c r="Z645" s="416"/>
      <c r="AA645" s="416"/>
      <c r="AB645" s="414"/>
      <c r="AC645" s="414"/>
      <c r="AD645" s="416"/>
      <c r="AE645" s="414"/>
      <c r="AF645" s="233"/>
    </row>
    <row r="646" spans="1:32">
      <c r="A646" s="225">
        <f t="shared" si="9"/>
        <v>637</v>
      </c>
      <c r="B646" s="227" t="s">
        <v>1709</v>
      </c>
      <c r="C646" s="227" t="s">
        <v>2067</v>
      </c>
      <c r="D646" s="228" t="s">
        <v>2068</v>
      </c>
      <c r="E646" s="363" t="s">
        <v>2322</v>
      </c>
      <c r="F646" s="342">
        <v>45586</v>
      </c>
      <c r="G646" s="230"/>
      <c r="H646" s="231"/>
      <c r="I646" s="231">
        <v>487440</v>
      </c>
      <c r="J646" s="226" t="s">
        <v>2388</v>
      </c>
      <c r="K646" s="362"/>
      <c r="L646" s="345">
        <v>487440</v>
      </c>
      <c r="M646" s="346">
        <v>0</v>
      </c>
      <c r="N646" s="226"/>
      <c r="O646" s="232"/>
      <c r="P646" s="232"/>
      <c r="Q646" s="232"/>
      <c r="R646" s="232"/>
      <c r="S646" s="414"/>
      <c r="T646" s="415"/>
      <c r="U646" s="414"/>
      <c r="V646" s="414"/>
      <c r="W646" s="414"/>
      <c r="X646" s="414"/>
      <c r="Y646" s="414"/>
      <c r="Z646" s="416"/>
      <c r="AA646" s="416"/>
      <c r="AB646" s="414"/>
      <c r="AC646" s="414"/>
      <c r="AD646" s="416"/>
      <c r="AE646" s="414"/>
      <c r="AF646" s="233"/>
    </row>
    <row r="647" spans="1:32">
      <c r="A647" s="225">
        <f t="shared" si="9"/>
        <v>638</v>
      </c>
      <c r="B647" s="227" t="s">
        <v>1710</v>
      </c>
      <c r="C647" s="227" t="s">
        <v>1789</v>
      </c>
      <c r="D647" s="228" t="s">
        <v>1790</v>
      </c>
      <c r="E647" s="363" t="s">
        <v>2323</v>
      </c>
      <c r="F647" s="342">
        <v>45586</v>
      </c>
      <c r="G647" s="230"/>
      <c r="H647" s="231"/>
      <c r="I647" s="231">
        <v>28434</v>
      </c>
      <c r="J647" s="226" t="s">
        <v>2388</v>
      </c>
      <c r="K647" s="362"/>
      <c r="L647" s="345">
        <v>28434</v>
      </c>
      <c r="M647" s="346">
        <v>0</v>
      </c>
      <c r="N647" s="226" t="s">
        <v>2395</v>
      </c>
      <c r="O647" s="232"/>
      <c r="P647" s="232"/>
      <c r="Q647" s="232"/>
      <c r="R647" s="232"/>
      <c r="S647" s="414"/>
      <c r="T647" s="415"/>
      <c r="U647" s="414"/>
      <c r="V647" s="414"/>
      <c r="W647" s="414"/>
      <c r="X647" s="414"/>
      <c r="Y647" s="414"/>
      <c r="Z647" s="416"/>
      <c r="AA647" s="416"/>
      <c r="AB647" s="414"/>
      <c r="AC647" s="414"/>
      <c r="AD647" s="416"/>
      <c r="AE647" s="414"/>
      <c r="AF647" s="233"/>
    </row>
    <row r="648" spans="1:32">
      <c r="A648" s="225">
        <f t="shared" si="9"/>
        <v>639</v>
      </c>
      <c r="B648" s="227" t="s">
        <v>1711</v>
      </c>
      <c r="C648" s="227" t="s">
        <v>2067</v>
      </c>
      <c r="D648" s="228" t="s">
        <v>2068</v>
      </c>
      <c r="E648" s="363" t="s">
        <v>2324</v>
      </c>
      <c r="F648" s="342">
        <v>45569</v>
      </c>
      <c r="G648" s="230"/>
      <c r="H648" s="231"/>
      <c r="I648" s="231">
        <v>591396</v>
      </c>
      <c r="J648" s="226" t="s">
        <v>2388</v>
      </c>
      <c r="K648" s="362"/>
      <c r="L648" s="345">
        <v>591396</v>
      </c>
      <c r="M648" s="346">
        <v>0</v>
      </c>
      <c r="N648" s="226"/>
      <c r="O648" s="232"/>
      <c r="P648" s="232"/>
      <c r="Q648" s="232"/>
      <c r="R648" s="232"/>
      <c r="S648" s="414"/>
      <c r="T648" s="415"/>
      <c r="U648" s="414"/>
      <c r="V648" s="414"/>
      <c r="W648" s="414"/>
      <c r="X648" s="414"/>
      <c r="Y648" s="414"/>
      <c r="Z648" s="416"/>
      <c r="AA648" s="416"/>
      <c r="AB648" s="414"/>
      <c r="AC648" s="414"/>
      <c r="AD648" s="416"/>
      <c r="AE648" s="414"/>
      <c r="AF648" s="233"/>
    </row>
    <row r="649" spans="1:32">
      <c r="A649" s="225">
        <f t="shared" si="9"/>
        <v>640</v>
      </c>
      <c r="B649" s="227" t="s">
        <v>1712</v>
      </c>
      <c r="C649" s="227" t="s">
        <v>1789</v>
      </c>
      <c r="D649" s="228" t="s">
        <v>1790</v>
      </c>
      <c r="E649" s="363" t="s">
        <v>2325</v>
      </c>
      <c r="F649" s="342">
        <v>45586</v>
      </c>
      <c r="G649" s="230"/>
      <c r="H649" s="231"/>
      <c r="I649" s="231">
        <v>28434</v>
      </c>
      <c r="J649" s="226" t="s">
        <v>2388</v>
      </c>
      <c r="K649" s="362"/>
      <c r="L649" s="345">
        <v>28434</v>
      </c>
      <c r="M649" s="346">
        <v>0</v>
      </c>
      <c r="N649" s="226" t="s">
        <v>2395</v>
      </c>
      <c r="O649" s="232"/>
      <c r="P649" s="232"/>
      <c r="Q649" s="232"/>
      <c r="R649" s="232"/>
      <c r="S649" s="414"/>
      <c r="T649" s="415"/>
      <c r="U649" s="414"/>
      <c r="V649" s="414"/>
      <c r="W649" s="414"/>
      <c r="X649" s="414"/>
      <c r="Y649" s="414"/>
      <c r="Z649" s="416"/>
      <c r="AA649" s="416"/>
      <c r="AB649" s="414"/>
      <c r="AC649" s="414"/>
      <c r="AD649" s="416"/>
      <c r="AE649" s="414"/>
      <c r="AF649" s="233"/>
    </row>
    <row r="650" spans="1:32">
      <c r="A650" s="225">
        <f t="shared" si="9"/>
        <v>641</v>
      </c>
      <c r="B650" s="227" t="s">
        <v>1713</v>
      </c>
      <c r="C650" s="227" t="s">
        <v>2067</v>
      </c>
      <c r="D650" s="228" t="s">
        <v>2068</v>
      </c>
      <c r="E650" s="363" t="s">
        <v>2326</v>
      </c>
      <c r="F650" s="342">
        <v>45569</v>
      </c>
      <c r="G650" s="230"/>
      <c r="H650" s="231"/>
      <c r="I650" s="231">
        <v>2173595</v>
      </c>
      <c r="J650" s="226" t="s">
        <v>2388</v>
      </c>
      <c r="K650" s="362"/>
      <c r="L650" s="345">
        <v>2173595</v>
      </c>
      <c r="M650" s="346">
        <v>0</v>
      </c>
      <c r="N650" s="226"/>
      <c r="O650" s="232"/>
      <c r="P650" s="232"/>
      <c r="Q650" s="232"/>
      <c r="R650" s="232"/>
      <c r="S650" s="414"/>
      <c r="T650" s="415"/>
      <c r="U650" s="414"/>
      <c r="V650" s="414"/>
      <c r="W650" s="414"/>
      <c r="X650" s="414"/>
      <c r="Y650" s="414"/>
      <c r="Z650" s="416"/>
      <c r="AA650" s="416"/>
      <c r="AB650" s="414"/>
      <c r="AC650" s="414"/>
      <c r="AD650" s="416"/>
      <c r="AE650" s="414"/>
      <c r="AF650" s="233"/>
    </row>
    <row r="651" spans="1:32">
      <c r="A651" s="225">
        <f t="shared" si="9"/>
        <v>642</v>
      </c>
      <c r="B651" s="227" t="s">
        <v>1714</v>
      </c>
      <c r="C651" s="227" t="s">
        <v>1785</v>
      </c>
      <c r="D651" s="228" t="s">
        <v>1786</v>
      </c>
      <c r="E651" s="363">
        <v>223898</v>
      </c>
      <c r="F651" s="342">
        <v>45595</v>
      </c>
      <c r="G651" s="230"/>
      <c r="H651" s="231"/>
      <c r="I651" s="231">
        <v>105992</v>
      </c>
      <c r="J651" s="226" t="s">
        <v>2388</v>
      </c>
      <c r="K651" s="362"/>
      <c r="L651" s="345">
        <v>105992</v>
      </c>
      <c r="M651" s="346">
        <v>0</v>
      </c>
      <c r="N651" s="226"/>
      <c r="O651" s="232"/>
      <c r="P651" s="232"/>
      <c r="Q651" s="232"/>
      <c r="R651" s="232"/>
      <c r="S651" s="414"/>
      <c r="T651" s="415"/>
      <c r="U651" s="414"/>
      <c r="V651" s="414"/>
      <c r="W651" s="414"/>
      <c r="X651" s="414"/>
      <c r="Y651" s="414"/>
      <c r="Z651" s="416"/>
      <c r="AA651" s="416"/>
      <c r="AB651" s="414"/>
      <c r="AC651" s="414"/>
      <c r="AD651" s="416"/>
      <c r="AE651" s="414"/>
      <c r="AF651" s="233"/>
    </row>
    <row r="652" spans="1:32">
      <c r="A652" s="225">
        <f t="shared" ref="A652:A715" si="10">A651+1</f>
        <v>643</v>
      </c>
      <c r="B652" s="227" t="s">
        <v>1715</v>
      </c>
      <c r="C652" s="227" t="s">
        <v>2067</v>
      </c>
      <c r="D652" s="228" t="s">
        <v>2068</v>
      </c>
      <c r="E652" s="363" t="s">
        <v>2327</v>
      </c>
      <c r="F652" s="342">
        <v>45569</v>
      </c>
      <c r="G652" s="230"/>
      <c r="H652" s="231"/>
      <c r="I652" s="231">
        <v>586526</v>
      </c>
      <c r="J652" s="226" t="s">
        <v>2388</v>
      </c>
      <c r="K652" s="362"/>
      <c r="L652" s="345">
        <v>586526</v>
      </c>
      <c r="M652" s="346">
        <v>0</v>
      </c>
      <c r="N652" s="226"/>
      <c r="O652" s="232"/>
      <c r="P652" s="232"/>
      <c r="Q652" s="232"/>
      <c r="R652" s="232"/>
      <c r="S652" s="414"/>
      <c r="T652" s="415"/>
      <c r="U652" s="414"/>
      <c r="V652" s="414"/>
      <c r="W652" s="414"/>
      <c r="X652" s="414"/>
      <c r="Y652" s="414"/>
      <c r="Z652" s="416"/>
      <c r="AA652" s="416"/>
      <c r="AB652" s="414"/>
      <c r="AC652" s="414"/>
      <c r="AD652" s="416"/>
      <c r="AE652" s="414"/>
      <c r="AF652" s="233"/>
    </row>
    <row r="653" spans="1:32">
      <c r="A653" s="225">
        <f t="shared" si="10"/>
        <v>644</v>
      </c>
      <c r="B653" s="227" t="s">
        <v>1716</v>
      </c>
      <c r="C653" s="227" t="s">
        <v>1785</v>
      </c>
      <c r="D653" s="228" t="s">
        <v>1786</v>
      </c>
      <c r="E653" s="363">
        <v>204210</v>
      </c>
      <c r="F653" s="342">
        <v>45570</v>
      </c>
      <c r="G653" s="230"/>
      <c r="H653" s="231"/>
      <c r="I653" s="231">
        <v>35313</v>
      </c>
      <c r="J653" s="226" t="s">
        <v>2388</v>
      </c>
      <c r="K653" s="362"/>
      <c r="L653" s="345">
        <v>35313</v>
      </c>
      <c r="M653" s="346">
        <v>0</v>
      </c>
      <c r="N653" s="226"/>
      <c r="O653" s="232"/>
      <c r="P653" s="232"/>
      <c r="Q653" s="232"/>
      <c r="R653" s="232"/>
      <c r="S653" s="414"/>
      <c r="T653" s="415"/>
      <c r="U653" s="414"/>
      <c r="V653" s="414"/>
      <c r="W653" s="414"/>
      <c r="X653" s="414"/>
      <c r="Y653" s="414"/>
      <c r="Z653" s="416"/>
      <c r="AA653" s="416"/>
      <c r="AB653" s="414"/>
      <c r="AC653" s="414"/>
      <c r="AD653" s="416"/>
      <c r="AE653" s="414"/>
      <c r="AF653" s="233"/>
    </row>
    <row r="654" spans="1:32">
      <c r="A654" s="225">
        <f t="shared" si="10"/>
        <v>645</v>
      </c>
      <c r="B654" s="227" t="s">
        <v>1717</v>
      </c>
      <c r="C654" s="227" t="s">
        <v>2239</v>
      </c>
      <c r="D654" s="228" t="s">
        <v>2240</v>
      </c>
      <c r="E654" s="363" t="s">
        <v>2328</v>
      </c>
      <c r="F654" s="342">
        <v>45593</v>
      </c>
      <c r="G654" s="230"/>
      <c r="H654" s="231"/>
      <c r="I654" s="231">
        <v>6092</v>
      </c>
      <c r="J654" s="226" t="s">
        <v>2388</v>
      </c>
      <c r="K654" s="362"/>
      <c r="L654" s="345">
        <v>6092</v>
      </c>
      <c r="M654" s="346">
        <v>0</v>
      </c>
      <c r="N654" s="226"/>
      <c r="O654" s="232"/>
      <c r="P654" s="232"/>
      <c r="Q654" s="232"/>
      <c r="R654" s="232"/>
      <c r="S654" s="414"/>
      <c r="T654" s="415"/>
      <c r="U654" s="414"/>
      <c r="V654" s="414"/>
      <c r="W654" s="414"/>
      <c r="X654" s="414"/>
      <c r="Y654" s="414"/>
      <c r="Z654" s="416"/>
      <c r="AA654" s="416"/>
      <c r="AB654" s="414"/>
      <c r="AC654" s="414"/>
      <c r="AD654" s="416"/>
      <c r="AE654" s="414"/>
      <c r="AF654" s="233"/>
    </row>
    <row r="655" spans="1:32">
      <c r="A655" s="225">
        <f t="shared" si="10"/>
        <v>646</v>
      </c>
      <c r="B655" s="227" t="s">
        <v>1691</v>
      </c>
      <c r="C655" s="227" t="s">
        <v>2236</v>
      </c>
      <c r="D655" s="228" t="s">
        <v>2237</v>
      </c>
      <c r="E655" s="363" t="s">
        <v>2329</v>
      </c>
      <c r="F655" s="342">
        <v>45590</v>
      </c>
      <c r="G655" s="230"/>
      <c r="H655" s="231"/>
      <c r="I655" s="231">
        <v>109647</v>
      </c>
      <c r="J655" s="226" t="s">
        <v>2388</v>
      </c>
      <c r="K655" s="362"/>
      <c r="L655" s="345">
        <v>109647</v>
      </c>
      <c r="M655" s="346">
        <v>0</v>
      </c>
      <c r="N655" s="226"/>
      <c r="O655" s="232"/>
      <c r="P655" s="232"/>
      <c r="Q655" s="232"/>
      <c r="R655" s="232"/>
      <c r="S655" s="414"/>
      <c r="T655" s="415"/>
      <c r="U655" s="414"/>
      <c r="V655" s="414"/>
      <c r="W655" s="414"/>
      <c r="X655" s="414"/>
      <c r="Y655" s="414"/>
      <c r="Z655" s="416"/>
      <c r="AA655" s="416"/>
      <c r="AB655" s="414"/>
      <c r="AC655" s="414"/>
      <c r="AD655" s="416"/>
      <c r="AE655" s="414"/>
      <c r="AF655" s="233"/>
    </row>
    <row r="656" spans="1:32">
      <c r="A656" s="225">
        <f t="shared" si="10"/>
        <v>647</v>
      </c>
      <c r="B656" s="227" t="s">
        <v>1718</v>
      </c>
      <c r="C656" s="227" t="s">
        <v>2065</v>
      </c>
      <c r="D656" s="228" t="s">
        <v>2066</v>
      </c>
      <c r="E656" s="363">
        <v>49</v>
      </c>
      <c r="F656" s="342">
        <v>45590</v>
      </c>
      <c r="G656" s="230"/>
      <c r="H656" s="231"/>
      <c r="I656" s="231">
        <v>245691</v>
      </c>
      <c r="J656" s="226" t="s">
        <v>2388</v>
      </c>
      <c r="K656" s="362"/>
      <c r="L656" s="345">
        <v>245691</v>
      </c>
      <c r="M656" s="346">
        <v>0</v>
      </c>
      <c r="N656" s="226"/>
      <c r="O656" s="232"/>
      <c r="P656" s="232"/>
      <c r="Q656" s="232"/>
      <c r="R656" s="232"/>
      <c r="S656" s="414"/>
      <c r="T656" s="415"/>
      <c r="U656" s="414"/>
      <c r="V656" s="414"/>
      <c r="W656" s="414"/>
      <c r="X656" s="414"/>
      <c r="Y656" s="414"/>
      <c r="Z656" s="416"/>
      <c r="AA656" s="416"/>
      <c r="AB656" s="414"/>
      <c r="AC656" s="414"/>
      <c r="AD656" s="416"/>
      <c r="AE656" s="414"/>
      <c r="AF656" s="233"/>
    </row>
    <row r="657" spans="1:32">
      <c r="A657" s="225">
        <f t="shared" si="10"/>
        <v>648</v>
      </c>
      <c r="B657" s="227" t="s">
        <v>1719</v>
      </c>
      <c r="C657" s="227" t="s">
        <v>2065</v>
      </c>
      <c r="D657" s="228" t="s">
        <v>2066</v>
      </c>
      <c r="E657" s="363">
        <v>48</v>
      </c>
      <c r="F657" s="342">
        <v>45586</v>
      </c>
      <c r="G657" s="230"/>
      <c r="H657" s="231"/>
      <c r="I657" s="231">
        <v>295714</v>
      </c>
      <c r="J657" s="226" t="s">
        <v>2388</v>
      </c>
      <c r="K657" s="362"/>
      <c r="L657" s="345">
        <v>295714</v>
      </c>
      <c r="M657" s="346">
        <v>0</v>
      </c>
      <c r="N657" s="226"/>
      <c r="O657" s="232"/>
      <c r="P657" s="232"/>
      <c r="Q657" s="232"/>
      <c r="R657" s="232"/>
      <c r="S657" s="414"/>
      <c r="T657" s="415"/>
      <c r="U657" s="414"/>
      <c r="V657" s="414"/>
      <c r="W657" s="414"/>
      <c r="X657" s="414"/>
      <c r="Y657" s="414"/>
      <c r="Z657" s="416"/>
      <c r="AA657" s="416"/>
      <c r="AB657" s="414"/>
      <c r="AC657" s="414"/>
      <c r="AD657" s="416"/>
      <c r="AE657" s="414"/>
      <c r="AF657" s="233"/>
    </row>
    <row r="658" spans="1:32">
      <c r="A658" s="225">
        <f t="shared" si="10"/>
        <v>649</v>
      </c>
      <c r="B658" s="227" t="s">
        <v>1720</v>
      </c>
      <c r="C658" s="227" t="s">
        <v>2040</v>
      </c>
      <c r="D658" s="228" t="s">
        <v>2041</v>
      </c>
      <c r="E658" s="363" t="s">
        <v>2330</v>
      </c>
      <c r="F658" s="342">
        <v>45576</v>
      </c>
      <c r="G658" s="230"/>
      <c r="H658" s="231"/>
      <c r="I658" s="231">
        <v>260479</v>
      </c>
      <c r="J658" s="226" t="s">
        <v>2388</v>
      </c>
      <c r="K658" s="362"/>
      <c r="L658" s="345">
        <v>260479</v>
      </c>
      <c r="M658" s="346">
        <v>0</v>
      </c>
      <c r="N658" s="226"/>
      <c r="O658" s="232"/>
      <c r="P658" s="232"/>
      <c r="Q658" s="232"/>
      <c r="R658" s="232"/>
      <c r="S658" s="414"/>
      <c r="T658" s="415"/>
      <c r="U658" s="414"/>
      <c r="V658" s="414"/>
      <c r="W658" s="414"/>
      <c r="X658" s="414"/>
      <c r="Y658" s="414"/>
      <c r="Z658" s="416"/>
      <c r="AA658" s="416"/>
      <c r="AB658" s="414"/>
      <c r="AC658" s="414"/>
      <c r="AD658" s="416"/>
      <c r="AE658" s="414"/>
      <c r="AF658" s="233"/>
    </row>
    <row r="659" spans="1:32">
      <c r="A659" s="225">
        <f t="shared" si="10"/>
        <v>650</v>
      </c>
      <c r="B659" s="227" t="s">
        <v>1721</v>
      </c>
      <c r="C659" s="227" t="s">
        <v>2178</v>
      </c>
      <c r="D659" s="228" t="s">
        <v>2179</v>
      </c>
      <c r="E659" s="363" t="s">
        <v>2331</v>
      </c>
      <c r="F659" s="342">
        <v>45623</v>
      </c>
      <c r="G659" s="230"/>
      <c r="H659" s="231"/>
      <c r="I659" s="231">
        <v>138828</v>
      </c>
      <c r="J659" s="226" t="s">
        <v>2388</v>
      </c>
      <c r="K659" s="362"/>
      <c r="L659" s="345">
        <v>138828</v>
      </c>
      <c r="M659" s="346">
        <v>0</v>
      </c>
      <c r="N659" s="226" t="s">
        <v>2394</v>
      </c>
      <c r="O659" s="232"/>
      <c r="P659" s="232"/>
      <c r="Q659" s="232"/>
      <c r="R659" s="232"/>
      <c r="S659" s="414"/>
      <c r="T659" s="415"/>
      <c r="U659" s="414"/>
      <c r="V659" s="414"/>
      <c r="W659" s="414"/>
      <c r="X659" s="414"/>
      <c r="Y659" s="414"/>
      <c r="Z659" s="416"/>
      <c r="AA659" s="416"/>
      <c r="AB659" s="414"/>
      <c r="AC659" s="414"/>
      <c r="AD659" s="416"/>
      <c r="AE659" s="414"/>
      <c r="AF659" s="233"/>
    </row>
    <row r="660" spans="1:32">
      <c r="A660" s="225">
        <f t="shared" si="10"/>
        <v>651</v>
      </c>
      <c r="B660" s="227" t="s">
        <v>1721</v>
      </c>
      <c r="C660" s="227" t="s">
        <v>2178</v>
      </c>
      <c r="D660" s="228" t="s">
        <v>2179</v>
      </c>
      <c r="E660" s="363" t="s">
        <v>2332</v>
      </c>
      <c r="F660" s="342">
        <v>45615</v>
      </c>
      <c r="G660" s="230"/>
      <c r="H660" s="231"/>
      <c r="I660" s="231">
        <v>139346</v>
      </c>
      <c r="J660" s="226" t="s">
        <v>2388</v>
      </c>
      <c r="K660" s="362"/>
      <c r="L660" s="345">
        <v>139346</v>
      </c>
      <c r="M660" s="346">
        <v>0</v>
      </c>
      <c r="N660" s="226" t="s">
        <v>2394</v>
      </c>
      <c r="O660" s="232"/>
      <c r="P660" s="232"/>
      <c r="Q660" s="232"/>
      <c r="R660" s="232"/>
      <c r="S660" s="414"/>
      <c r="T660" s="415"/>
      <c r="U660" s="414"/>
      <c r="V660" s="414"/>
      <c r="W660" s="414"/>
      <c r="X660" s="414"/>
      <c r="Y660" s="414"/>
      <c r="Z660" s="416"/>
      <c r="AA660" s="416"/>
      <c r="AB660" s="414"/>
      <c r="AC660" s="414"/>
      <c r="AD660" s="416"/>
      <c r="AE660" s="414"/>
      <c r="AF660" s="233"/>
    </row>
    <row r="661" spans="1:32">
      <c r="A661" s="225">
        <f t="shared" si="10"/>
        <v>652</v>
      </c>
      <c r="B661" s="227" t="s">
        <v>1721</v>
      </c>
      <c r="C661" s="227" t="s">
        <v>2178</v>
      </c>
      <c r="D661" s="228" t="s">
        <v>2179</v>
      </c>
      <c r="E661" s="363" t="s">
        <v>2333</v>
      </c>
      <c r="F661" s="342">
        <v>45602</v>
      </c>
      <c r="G661" s="230"/>
      <c r="H661" s="231"/>
      <c r="I661" s="231">
        <v>140208</v>
      </c>
      <c r="J661" s="226" t="s">
        <v>2388</v>
      </c>
      <c r="K661" s="362"/>
      <c r="L661" s="345">
        <v>140208</v>
      </c>
      <c r="M661" s="346">
        <v>0</v>
      </c>
      <c r="N661" s="226" t="s">
        <v>2394</v>
      </c>
      <c r="O661" s="232"/>
      <c r="P661" s="232"/>
      <c r="Q661" s="232"/>
      <c r="R661" s="232"/>
      <c r="S661" s="414"/>
      <c r="T661" s="415"/>
      <c r="U661" s="414"/>
      <c r="V661" s="414"/>
      <c r="W661" s="414"/>
      <c r="X661" s="414"/>
      <c r="Y661" s="414"/>
      <c r="Z661" s="416"/>
      <c r="AA661" s="416"/>
      <c r="AB661" s="414"/>
      <c r="AC661" s="414"/>
      <c r="AD661" s="416"/>
      <c r="AE661" s="414"/>
      <c r="AF661" s="233"/>
    </row>
    <row r="662" spans="1:32">
      <c r="A662" s="225">
        <f t="shared" si="10"/>
        <v>653</v>
      </c>
      <c r="B662" s="227" t="s">
        <v>1721</v>
      </c>
      <c r="C662" s="227" t="s">
        <v>2178</v>
      </c>
      <c r="D662" s="228" t="s">
        <v>2179</v>
      </c>
      <c r="E662" s="363" t="s">
        <v>2334</v>
      </c>
      <c r="F662" s="342">
        <v>45601</v>
      </c>
      <c r="G662" s="230"/>
      <c r="H662" s="231"/>
      <c r="I662" s="231">
        <v>140243</v>
      </c>
      <c r="J662" s="226" t="s">
        <v>2388</v>
      </c>
      <c r="K662" s="362"/>
      <c r="L662" s="345">
        <v>140243</v>
      </c>
      <c r="M662" s="346">
        <v>0</v>
      </c>
      <c r="N662" s="226" t="s">
        <v>2394</v>
      </c>
      <c r="O662" s="232"/>
      <c r="P662" s="232"/>
      <c r="Q662" s="232"/>
      <c r="R662" s="232"/>
      <c r="S662" s="414"/>
      <c r="T662" s="415"/>
      <c r="U662" s="414"/>
      <c r="V662" s="414"/>
      <c r="W662" s="414"/>
      <c r="X662" s="414"/>
      <c r="Y662" s="414"/>
      <c r="Z662" s="416"/>
      <c r="AA662" s="416"/>
      <c r="AB662" s="414"/>
      <c r="AC662" s="414"/>
      <c r="AD662" s="416"/>
      <c r="AE662" s="414"/>
      <c r="AF662" s="233"/>
    </row>
    <row r="663" spans="1:32">
      <c r="A663" s="225">
        <f t="shared" si="10"/>
        <v>654</v>
      </c>
      <c r="B663" s="227" t="s">
        <v>1722</v>
      </c>
      <c r="C663" s="227" t="s">
        <v>1763</v>
      </c>
      <c r="D663" s="228" t="s">
        <v>1764</v>
      </c>
      <c r="E663" s="363" t="s">
        <v>2335</v>
      </c>
      <c r="F663" s="342">
        <v>45626</v>
      </c>
      <c r="G663" s="230"/>
      <c r="H663" s="231"/>
      <c r="I663" s="231">
        <v>2715073</v>
      </c>
      <c r="J663" s="226" t="s">
        <v>2388</v>
      </c>
      <c r="K663" s="362"/>
      <c r="L663" s="345">
        <v>2715073</v>
      </c>
      <c r="M663" s="346">
        <v>0</v>
      </c>
      <c r="N663" s="226"/>
      <c r="O663" s="232"/>
      <c r="P663" s="232"/>
      <c r="Q663" s="232"/>
      <c r="R663" s="232"/>
      <c r="S663" s="414"/>
      <c r="T663" s="415"/>
      <c r="U663" s="414"/>
      <c r="V663" s="414"/>
      <c r="W663" s="414"/>
      <c r="X663" s="414"/>
      <c r="Y663" s="414"/>
      <c r="Z663" s="416"/>
      <c r="AA663" s="416"/>
      <c r="AB663" s="414"/>
      <c r="AC663" s="414"/>
      <c r="AD663" s="416"/>
      <c r="AE663" s="414"/>
      <c r="AF663" s="233"/>
    </row>
    <row r="664" spans="1:32">
      <c r="A664" s="225">
        <f t="shared" si="10"/>
        <v>655</v>
      </c>
      <c r="B664" s="227" t="s">
        <v>1723</v>
      </c>
      <c r="C664" s="227" t="s">
        <v>1771</v>
      </c>
      <c r="D664" s="228" t="s">
        <v>1772</v>
      </c>
      <c r="E664" s="363" t="s">
        <v>2336</v>
      </c>
      <c r="F664" s="342">
        <v>45626</v>
      </c>
      <c r="G664" s="230"/>
      <c r="H664" s="231"/>
      <c r="I664" s="231">
        <v>94819</v>
      </c>
      <c r="J664" s="226" t="s">
        <v>2388</v>
      </c>
      <c r="K664" s="362"/>
      <c r="L664" s="345">
        <v>94819</v>
      </c>
      <c r="M664" s="346">
        <v>0</v>
      </c>
      <c r="N664" s="226"/>
      <c r="O664" s="232"/>
      <c r="P664" s="232"/>
      <c r="Q664" s="232"/>
      <c r="R664" s="232"/>
      <c r="S664" s="414"/>
      <c r="T664" s="415"/>
      <c r="U664" s="414"/>
      <c r="V664" s="414"/>
      <c r="W664" s="414"/>
      <c r="X664" s="414"/>
      <c r="Y664" s="414"/>
      <c r="Z664" s="416"/>
      <c r="AA664" s="416"/>
      <c r="AB664" s="414"/>
      <c r="AC664" s="414"/>
      <c r="AD664" s="416"/>
      <c r="AE664" s="414"/>
      <c r="AF664" s="233"/>
    </row>
    <row r="665" spans="1:32">
      <c r="A665" s="225">
        <f t="shared" si="10"/>
        <v>656</v>
      </c>
      <c r="B665" s="227" t="s">
        <v>1685</v>
      </c>
      <c r="C665" s="227" t="s">
        <v>1766</v>
      </c>
      <c r="D665" s="228" t="s">
        <v>1767</v>
      </c>
      <c r="E665" s="363" t="s">
        <v>2337</v>
      </c>
      <c r="F665" s="342">
        <v>45624</v>
      </c>
      <c r="G665" s="230"/>
      <c r="H665" s="231"/>
      <c r="I665" s="231">
        <v>2821000</v>
      </c>
      <c r="J665" s="226" t="s">
        <v>2388</v>
      </c>
      <c r="K665" s="362"/>
      <c r="L665" s="345">
        <v>2821000</v>
      </c>
      <c r="M665" s="346">
        <v>0</v>
      </c>
      <c r="N665" s="226"/>
      <c r="O665" s="232"/>
      <c r="P665" s="232"/>
      <c r="Q665" s="232"/>
      <c r="R665" s="232"/>
      <c r="S665" s="414"/>
      <c r="T665" s="415"/>
      <c r="U665" s="414"/>
      <c r="V665" s="414"/>
      <c r="W665" s="414"/>
      <c r="X665" s="414"/>
      <c r="Y665" s="414"/>
      <c r="Z665" s="416"/>
      <c r="AA665" s="416"/>
      <c r="AB665" s="414"/>
      <c r="AC665" s="414"/>
      <c r="AD665" s="416"/>
      <c r="AE665" s="414"/>
      <c r="AF665" s="233"/>
    </row>
    <row r="666" spans="1:32">
      <c r="A666" s="225">
        <f t="shared" si="10"/>
        <v>657</v>
      </c>
      <c r="B666" s="227" t="s">
        <v>1724</v>
      </c>
      <c r="C666" s="227" t="s">
        <v>1774</v>
      </c>
      <c r="D666" s="228" t="s">
        <v>1775</v>
      </c>
      <c r="E666" s="363" t="s">
        <v>2338</v>
      </c>
      <c r="F666" s="342">
        <v>45624</v>
      </c>
      <c r="G666" s="230"/>
      <c r="H666" s="231"/>
      <c r="I666" s="231">
        <v>66495</v>
      </c>
      <c r="J666" s="226" t="s">
        <v>2388</v>
      </c>
      <c r="K666" s="362"/>
      <c r="L666" s="345">
        <v>66495</v>
      </c>
      <c r="M666" s="346">
        <v>0</v>
      </c>
      <c r="N666" s="226" t="s">
        <v>2394</v>
      </c>
      <c r="O666" s="232"/>
      <c r="P666" s="232"/>
      <c r="Q666" s="232"/>
      <c r="R666" s="232"/>
      <c r="S666" s="414"/>
      <c r="T666" s="415"/>
      <c r="U666" s="414"/>
      <c r="V666" s="414"/>
      <c r="W666" s="414"/>
      <c r="X666" s="414"/>
      <c r="Y666" s="414"/>
      <c r="Z666" s="416"/>
      <c r="AA666" s="416"/>
      <c r="AB666" s="414"/>
      <c r="AC666" s="414"/>
      <c r="AD666" s="416"/>
      <c r="AE666" s="414"/>
      <c r="AF666" s="233"/>
    </row>
    <row r="667" spans="1:32">
      <c r="A667" s="225">
        <f t="shared" si="10"/>
        <v>658</v>
      </c>
      <c r="B667" s="227" t="s">
        <v>1725</v>
      </c>
      <c r="C667" s="227" t="s">
        <v>2236</v>
      </c>
      <c r="D667" s="228" t="s">
        <v>2237</v>
      </c>
      <c r="E667" s="363" t="s">
        <v>2339</v>
      </c>
      <c r="F667" s="342">
        <v>45621</v>
      </c>
      <c r="G667" s="230"/>
      <c r="H667" s="231"/>
      <c r="I667" s="231">
        <v>337176</v>
      </c>
      <c r="J667" s="226" t="s">
        <v>2388</v>
      </c>
      <c r="K667" s="362"/>
      <c r="L667" s="345">
        <v>337176</v>
      </c>
      <c r="M667" s="346">
        <v>0</v>
      </c>
      <c r="N667" s="226"/>
      <c r="O667" s="232"/>
      <c r="P667" s="232"/>
      <c r="Q667" s="232"/>
      <c r="R667" s="232"/>
      <c r="S667" s="414"/>
      <c r="T667" s="415"/>
      <c r="U667" s="414"/>
      <c r="V667" s="414"/>
      <c r="W667" s="414"/>
      <c r="X667" s="414"/>
      <c r="Y667" s="414"/>
      <c r="Z667" s="416"/>
      <c r="AA667" s="416"/>
      <c r="AB667" s="414"/>
      <c r="AC667" s="414"/>
      <c r="AD667" s="416"/>
      <c r="AE667" s="414"/>
      <c r="AF667" s="233"/>
    </row>
    <row r="668" spans="1:32">
      <c r="A668" s="225">
        <f t="shared" si="10"/>
        <v>659</v>
      </c>
      <c r="B668" s="227" t="s">
        <v>1726</v>
      </c>
      <c r="C668" s="227" t="s">
        <v>2290</v>
      </c>
      <c r="D668" s="228" t="s">
        <v>2291</v>
      </c>
      <c r="E668" s="363" t="s">
        <v>2340</v>
      </c>
      <c r="F668" s="342">
        <v>45597</v>
      </c>
      <c r="G668" s="230"/>
      <c r="H668" s="231"/>
      <c r="I668" s="231">
        <v>142240</v>
      </c>
      <c r="J668" s="226" t="s">
        <v>2388</v>
      </c>
      <c r="K668" s="362"/>
      <c r="L668" s="345">
        <v>142240</v>
      </c>
      <c r="M668" s="346">
        <v>0</v>
      </c>
      <c r="N668" s="226"/>
      <c r="O668" s="232"/>
      <c r="P668" s="232"/>
      <c r="Q668" s="232"/>
      <c r="R668" s="232"/>
      <c r="S668" s="414"/>
      <c r="T668" s="415"/>
      <c r="U668" s="414"/>
      <c r="V668" s="414"/>
      <c r="W668" s="414"/>
      <c r="X668" s="414"/>
      <c r="Y668" s="414"/>
      <c r="Z668" s="416"/>
      <c r="AA668" s="416"/>
      <c r="AB668" s="414"/>
      <c r="AC668" s="414"/>
      <c r="AD668" s="416"/>
      <c r="AE668" s="414"/>
      <c r="AF668" s="233"/>
    </row>
    <row r="669" spans="1:32">
      <c r="A669" s="225">
        <f t="shared" si="10"/>
        <v>660</v>
      </c>
      <c r="B669" s="227" t="s">
        <v>1727</v>
      </c>
      <c r="C669" s="227" t="s">
        <v>1780</v>
      </c>
      <c r="D669" s="228" t="s">
        <v>1781</v>
      </c>
      <c r="E669" s="363">
        <v>8664</v>
      </c>
      <c r="F669" s="342">
        <v>45597</v>
      </c>
      <c r="G669" s="230"/>
      <c r="H669" s="231"/>
      <c r="I669" s="231">
        <v>5738</v>
      </c>
      <c r="J669" s="226" t="s">
        <v>2389</v>
      </c>
      <c r="K669" s="362"/>
      <c r="L669" s="345"/>
      <c r="M669" s="346">
        <v>5738</v>
      </c>
      <c r="N669" s="226"/>
      <c r="O669" s="232"/>
      <c r="P669" s="232"/>
      <c r="Q669" s="232"/>
      <c r="R669" s="232"/>
      <c r="S669" s="414"/>
      <c r="T669" s="415"/>
      <c r="U669" s="414"/>
      <c r="V669" s="414"/>
      <c r="W669" s="414"/>
      <c r="X669" s="414"/>
      <c r="Y669" s="414"/>
      <c r="Z669" s="416"/>
      <c r="AA669" s="416"/>
      <c r="AB669" s="414"/>
      <c r="AC669" s="414"/>
      <c r="AD669" s="416"/>
      <c r="AE669" s="414"/>
      <c r="AF669" s="233"/>
    </row>
    <row r="670" spans="1:32">
      <c r="A670" s="225">
        <f t="shared" si="10"/>
        <v>661</v>
      </c>
      <c r="B670" s="227" t="s">
        <v>1728</v>
      </c>
      <c r="C670" s="227" t="s">
        <v>2067</v>
      </c>
      <c r="D670" s="228" t="s">
        <v>2068</v>
      </c>
      <c r="E670" s="363" t="s">
        <v>2341</v>
      </c>
      <c r="F670" s="342">
        <v>45622</v>
      </c>
      <c r="G670" s="230"/>
      <c r="H670" s="231"/>
      <c r="I670" s="231">
        <v>461610</v>
      </c>
      <c r="J670" s="226" t="s">
        <v>2388</v>
      </c>
      <c r="K670" s="362"/>
      <c r="L670" s="345">
        <v>461610</v>
      </c>
      <c r="M670" s="346">
        <v>0</v>
      </c>
      <c r="N670" s="226"/>
      <c r="O670" s="232"/>
      <c r="P670" s="232"/>
      <c r="Q670" s="232"/>
      <c r="R670" s="232"/>
      <c r="S670" s="414"/>
      <c r="T670" s="415"/>
      <c r="U670" s="414"/>
      <c r="V670" s="414"/>
      <c r="W670" s="414"/>
      <c r="X670" s="414"/>
      <c r="Y670" s="414"/>
      <c r="Z670" s="416"/>
      <c r="AA670" s="416"/>
      <c r="AB670" s="414"/>
      <c r="AC670" s="414"/>
      <c r="AD670" s="416"/>
      <c r="AE670" s="414"/>
      <c r="AF670" s="233"/>
    </row>
    <row r="671" spans="1:32">
      <c r="A671" s="225">
        <f t="shared" si="10"/>
        <v>662</v>
      </c>
      <c r="B671" s="227" t="s">
        <v>1729</v>
      </c>
      <c r="C671" s="227" t="s">
        <v>1789</v>
      </c>
      <c r="D671" s="228" t="s">
        <v>1790</v>
      </c>
      <c r="E671" s="363" t="s">
        <v>2342</v>
      </c>
      <c r="F671" s="342">
        <v>45622</v>
      </c>
      <c r="G671" s="230"/>
      <c r="H671" s="231"/>
      <c r="I671" s="231">
        <v>28098</v>
      </c>
      <c r="J671" s="226" t="s">
        <v>2388</v>
      </c>
      <c r="K671" s="362"/>
      <c r="L671" s="345">
        <v>28098</v>
      </c>
      <c r="M671" s="346">
        <v>0</v>
      </c>
      <c r="N671" s="226" t="s">
        <v>2395</v>
      </c>
      <c r="O671" s="232"/>
      <c r="P671" s="232"/>
      <c r="Q671" s="232"/>
      <c r="R671" s="232"/>
      <c r="S671" s="414"/>
      <c r="T671" s="415"/>
      <c r="U671" s="414"/>
      <c r="V671" s="414"/>
      <c r="W671" s="414"/>
      <c r="X671" s="414"/>
      <c r="Y671" s="414"/>
      <c r="Z671" s="416"/>
      <c r="AA671" s="416"/>
      <c r="AB671" s="414"/>
      <c r="AC671" s="414"/>
      <c r="AD671" s="416"/>
      <c r="AE671" s="414"/>
      <c r="AF671" s="233"/>
    </row>
    <row r="672" spans="1:32">
      <c r="A672" s="225">
        <f t="shared" si="10"/>
        <v>663</v>
      </c>
      <c r="B672" s="227" t="s">
        <v>1730</v>
      </c>
      <c r="C672" s="227" t="s">
        <v>2120</v>
      </c>
      <c r="D672" s="228" t="s">
        <v>2121</v>
      </c>
      <c r="E672" s="363">
        <v>352</v>
      </c>
      <c r="F672" s="342">
        <v>45623</v>
      </c>
      <c r="G672" s="230"/>
      <c r="H672" s="231"/>
      <c r="I672" s="231">
        <v>537204</v>
      </c>
      <c r="J672" s="226" t="s">
        <v>2388</v>
      </c>
      <c r="K672" s="362"/>
      <c r="L672" s="345">
        <v>537204</v>
      </c>
      <c r="M672" s="346">
        <v>0</v>
      </c>
      <c r="N672" s="226" t="s">
        <v>2407</v>
      </c>
      <c r="O672" s="232"/>
      <c r="P672" s="232"/>
      <c r="Q672" s="232"/>
      <c r="R672" s="232"/>
      <c r="S672" s="414"/>
      <c r="T672" s="415"/>
      <c r="U672" s="414"/>
      <c r="V672" s="414"/>
      <c r="W672" s="414"/>
      <c r="X672" s="414"/>
      <c r="Y672" s="414"/>
      <c r="Z672" s="416"/>
      <c r="AA672" s="416"/>
      <c r="AB672" s="414"/>
      <c r="AC672" s="414"/>
      <c r="AD672" s="416"/>
      <c r="AE672" s="414"/>
      <c r="AF672" s="233"/>
    </row>
    <row r="673" spans="1:32">
      <c r="A673" s="225">
        <f t="shared" si="10"/>
        <v>664</v>
      </c>
      <c r="B673" s="227" t="s">
        <v>1731</v>
      </c>
      <c r="C673" s="227" t="s">
        <v>1789</v>
      </c>
      <c r="D673" s="228" t="s">
        <v>1790</v>
      </c>
      <c r="E673" s="363" t="s">
        <v>2343</v>
      </c>
      <c r="F673" s="342">
        <v>45609</v>
      </c>
      <c r="G673" s="230"/>
      <c r="H673" s="231"/>
      <c r="I673" s="231">
        <v>18621</v>
      </c>
      <c r="J673" s="226" t="s">
        <v>2388</v>
      </c>
      <c r="K673" s="362"/>
      <c r="L673" s="345">
        <v>18621</v>
      </c>
      <c r="M673" s="346">
        <v>0</v>
      </c>
      <c r="N673" s="226" t="s">
        <v>2395</v>
      </c>
      <c r="O673" s="232"/>
      <c r="P673" s="232"/>
      <c r="Q673" s="232"/>
      <c r="R673" s="232"/>
      <c r="S673" s="414"/>
      <c r="T673" s="415"/>
      <c r="U673" s="414"/>
      <c r="V673" s="414"/>
      <c r="W673" s="414"/>
      <c r="X673" s="414"/>
      <c r="Y673" s="414"/>
      <c r="Z673" s="416"/>
      <c r="AA673" s="416"/>
      <c r="AB673" s="414"/>
      <c r="AC673" s="414"/>
      <c r="AD673" s="416"/>
      <c r="AE673" s="414"/>
      <c r="AF673" s="233"/>
    </row>
    <row r="674" spans="1:32">
      <c r="A674" s="225">
        <f t="shared" si="10"/>
        <v>665</v>
      </c>
      <c r="B674" s="227" t="s">
        <v>1732</v>
      </c>
      <c r="C674" s="227" t="s">
        <v>2067</v>
      </c>
      <c r="D674" s="228" t="s">
        <v>2068</v>
      </c>
      <c r="E674" s="363" t="s">
        <v>2344</v>
      </c>
      <c r="F674" s="342">
        <v>45607</v>
      </c>
      <c r="G674" s="230"/>
      <c r="H674" s="231"/>
      <c r="I674" s="231">
        <v>401841</v>
      </c>
      <c r="J674" s="226" t="s">
        <v>2388</v>
      </c>
      <c r="K674" s="362"/>
      <c r="L674" s="345">
        <v>401841</v>
      </c>
      <c r="M674" s="346">
        <v>0</v>
      </c>
      <c r="N674" s="226"/>
      <c r="O674" s="232"/>
      <c r="P674" s="232"/>
      <c r="Q674" s="232"/>
      <c r="R674" s="232"/>
      <c r="S674" s="414"/>
      <c r="T674" s="417"/>
      <c r="U674" s="414"/>
      <c r="V674" s="414"/>
      <c r="W674" s="414"/>
      <c r="X674" s="414"/>
      <c r="Y674" s="414"/>
      <c r="Z674" s="416"/>
      <c r="AA674" s="416"/>
      <c r="AB674" s="414"/>
      <c r="AC674" s="414"/>
      <c r="AD674" s="416"/>
      <c r="AE674" s="414"/>
      <c r="AF674" s="233"/>
    </row>
    <row r="675" spans="1:32">
      <c r="A675" s="225">
        <f t="shared" si="10"/>
        <v>666</v>
      </c>
      <c r="B675" s="227" t="s">
        <v>1733</v>
      </c>
      <c r="C675" s="227" t="s">
        <v>1789</v>
      </c>
      <c r="D675" s="228" t="s">
        <v>1790</v>
      </c>
      <c r="E675" s="363" t="s">
        <v>2345</v>
      </c>
      <c r="F675" s="342">
        <v>45615</v>
      </c>
      <c r="G675" s="230"/>
      <c r="H675" s="231"/>
      <c r="I675" s="231">
        <v>28273</v>
      </c>
      <c r="J675" s="226" t="s">
        <v>2388</v>
      </c>
      <c r="K675" s="362"/>
      <c r="L675" s="345">
        <v>28273</v>
      </c>
      <c r="M675" s="346">
        <v>0</v>
      </c>
      <c r="N675" s="226" t="s">
        <v>2395</v>
      </c>
      <c r="O675" s="232"/>
      <c r="P675" s="232"/>
      <c r="Q675" s="232"/>
      <c r="R675" s="232"/>
      <c r="S675" s="414"/>
      <c r="T675" s="415"/>
      <c r="U675" s="414"/>
      <c r="V675" s="414"/>
      <c r="W675" s="414"/>
      <c r="X675" s="414"/>
      <c r="Y675" s="414"/>
      <c r="Z675" s="416"/>
      <c r="AA675" s="416"/>
      <c r="AB675" s="414"/>
      <c r="AC675" s="414"/>
      <c r="AD675" s="416"/>
      <c r="AE675" s="414"/>
      <c r="AF675" s="233"/>
    </row>
    <row r="676" spans="1:32">
      <c r="A676" s="225">
        <f t="shared" si="10"/>
        <v>667</v>
      </c>
      <c r="B676" s="227" t="s">
        <v>1734</v>
      </c>
      <c r="C676" s="227" t="s">
        <v>2067</v>
      </c>
      <c r="D676" s="228" t="s">
        <v>2068</v>
      </c>
      <c r="E676" s="363" t="s">
        <v>2346</v>
      </c>
      <c r="F676" s="342">
        <v>45602</v>
      </c>
      <c r="G676" s="230"/>
      <c r="H676" s="231"/>
      <c r="I676" s="231">
        <v>451510</v>
      </c>
      <c r="J676" s="226" t="s">
        <v>2388</v>
      </c>
      <c r="K676" s="362"/>
      <c r="L676" s="345">
        <v>451510</v>
      </c>
      <c r="M676" s="346">
        <v>0</v>
      </c>
      <c r="N676" s="226"/>
      <c r="O676" s="232"/>
      <c r="P676" s="232"/>
      <c r="Q676" s="232"/>
      <c r="R676" s="232"/>
      <c r="S676" s="414"/>
      <c r="T676" s="415"/>
      <c r="U676" s="414"/>
      <c r="V676" s="414"/>
      <c r="W676" s="414"/>
      <c r="X676" s="414"/>
      <c r="Y676" s="414"/>
      <c r="Z676" s="416"/>
      <c r="AA676" s="416"/>
      <c r="AB676" s="414"/>
      <c r="AC676" s="414"/>
      <c r="AD676" s="416"/>
      <c r="AE676" s="414"/>
      <c r="AF676" s="233"/>
    </row>
    <row r="677" spans="1:32">
      <c r="A677" s="225">
        <f t="shared" si="10"/>
        <v>668</v>
      </c>
      <c r="B677" s="227" t="s">
        <v>1735</v>
      </c>
      <c r="C677" s="227" t="s">
        <v>1789</v>
      </c>
      <c r="D677" s="228" t="s">
        <v>1790</v>
      </c>
      <c r="E677" s="363" t="s">
        <v>2347</v>
      </c>
      <c r="F677" s="342">
        <v>45615</v>
      </c>
      <c r="G677" s="230"/>
      <c r="H677" s="231"/>
      <c r="I677" s="231">
        <v>18579</v>
      </c>
      <c r="J677" s="226" t="s">
        <v>2388</v>
      </c>
      <c r="K677" s="362"/>
      <c r="L677" s="345">
        <v>18579</v>
      </c>
      <c r="M677" s="346">
        <v>0</v>
      </c>
      <c r="N677" s="226" t="s">
        <v>2395</v>
      </c>
      <c r="O677" s="232"/>
      <c r="P677" s="232"/>
      <c r="Q677" s="232"/>
      <c r="R677" s="232"/>
      <c r="S677" s="414"/>
      <c r="T677" s="417"/>
      <c r="U677" s="414"/>
      <c r="V677" s="414"/>
      <c r="W677" s="414"/>
      <c r="X677" s="414"/>
      <c r="Y677" s="414"/>
      <c r="Z677" s="416"/>
      <c r="AA677" s="416"/>
      <c r="AB677" s="414"/>
      <c r="AC677" s="414"/>
      <c r="AD677" s="416"/>
      <c r="AE677" s="414"/>
      <c r="AF677" s="233"/>
    </row>
    <row r="678" spans="1:32">
      <c r="A678" s="225">
        <f t="shared" si="10"/>
        <v>669</v>
      </c>
      <c r="B678" s="227" t="s">
        <v>1736</v>
      </c>
      <c r="C678" s="227" t="s">
        <v>2067</v>
      </c>
      <c r="D678" s="228" t="s">
        <v>2068</v>
      </c>
      <c r="E678" s="363" t="s">
        <v>2348</v>
      </c>
      <c r="F678" s="342">
        <v>45602</v>
      </c>
      <c r="G678" s="230"/>
      <c r="H678" s="231"/>
      <c r="I678" s="231">
        <v>447040</v>
      </c>
      <c r="J678" s="226" t="s">
        <v>2388</v>
      </c>
      <c r="K678" s="362"/>
      <c r="L678" s="345">
        <v>447040</v>
      </c>
      <c r="M678" s="346">
        <v>0</v>
      </c>
      <c r="N678" s="226"/>
      <c r="O678" s="232"/>
      <c r="P678" s="232"/>
      <c r="Q678" s="232"/>
      <c r="R678" s="232"/>
      <c r="S678" s="414"/>
      <c r="T678" s="415"/>
      <c r="U678" s="414"/>
      <c r="V678" s="414"/>
      <c r="W678" s="414"/>
      <c r="X678" s="414"/>
      <c r="Y678" s="414"/>
      <c r="Z678" s="416"/>
      <c r="AA678" s="416"/>
      <c r="AB678" s="414"/>
      <c r="AC678" s="414"/>
      <c r="AD678" s="416"/>
      <c r="AE678" s="414"/>
      <c r="AF678" s="233"/>
    </row>
    <row r="679" spans="1:32">
      <c r="A679" s="225">
        <f t="shared" si="10"/>
        <v>670</v>
      </c>
      <c r="B679" s="227" t="s">
        <v>1737</v>
      </c>
      <c r="C679" s="227" t="s">
        <v>1789</v>
      </c>
      <c r="D679" s="228" t="s">
        <v>1790</v>
      </c>
      <c r="E679" s="363" t="s">
        <v>2349</v>
      </c>
      <c r="F679" s="342">
        <v>45600</v>
      </c>
      <c r="G679" s="230"/>
      <c r="H679" s="231"/>
      <c r="I679" s="231">
        <v>28455</v>
      </c>
      <c r="J679" s="226" t="s">
        <v>2388</v>
      </c>
      <c r="K679" s="362"/>
      <c r="L679" s="345">
        <v>28455</v>
      </c>
      <c r="M679" s="346">
        <v>0</v>
      </c>
      <c r="N679" s="226" t="s">
        <v>2395</v>
      </c>
      <c r="O679" s="232"/>
      <c r="P679" s="232"/>
      <c r="Q679" s="232"/>
      <c r="R679" s="232"/>
      <c r="S679" s="414"/>
      <c r="T679" s="415"/>
      <c r="U679" s="414"/>
      <c r="V679" s="414"/>
      <c r="W679" s="414"/>
      <c r="X679" s="414"/>
      <c r="Y679" s="414"/>
      <c r="Z679" s="416"/>
      <c r="AA679" s="416"/>
      <c r="AB679" s="414"/>
      <c r="AC679" s="414"/>
      <c r="AD679" s="416"/>
      <c r="AE679" s="414"/>
      <c r="AF679" s="233"/>
    </row>
    <row r="680" spans="1:32">
      <c r="A680" s="225">
        <f t="shared" si="10"/>
        <v>671</v>
      </c>
      <c r="B680" s="227" t="s">
        <v>1738</v>
      </c>
      <c r="C680" s="227" t="s">
        <v>2067</v>
      </c>
      <c r="D680" s="228" t="s">
        <v>2068</v>
      </c>
      <c r="E680" s="363" t="s">
        <v>2350</v>
      </c>
      <c r="F680" s="342">
        <v>45602</v>
      </c>
      <c r="G680" s="230"/>
      <c r="H680" s="231"/>
      <c r="I680" s="231">
        <v>361696</v>
      </c>
      <c r="J680" s="226" t="s">
        <v>2388</v>
      </c>
      <c r="K680" s="362"/>
      <c r="L680" s="345">
        <v>361696</v>
      </c>
      <c r="M680" s="346">
        <v>0</v>
      </c>
      <c r="N680" s="226"/>
      <c r="O680" s="232"/>
      <c r="P680" s="232"/>
      <c r="Q680" s="232"/>
      <c r="R680" s="232"/>
      <c r="S680" s="414"/>
      <c r="T680" s="415"/>
      <c r="U680" s="414"/>
      <c r="V680" s="414"/>
      <c r="W680" s="414"/>
      <c r="X680" s="414"/>
      <c r="Y680" s="414"/>
      <c r="Z680" s="416"/>
      <c r="AA680" s="416"/>
      <c r="AB680" s="414"/>
      <c r="AC680" s="414"/>
      <c r="AD680" s="416"/>
      <c r="AE680" s="414"/>
      <c r="AF680" s="233"/>
    </row>
    <row r="681" spans="1:32">
      <c r="A681" s="225">
        <f t="shared" si="10"/>
        <v>672</v>
      </c>
      <c r="B681" s="227" t="s">
        <v>1739</v>
      </c>
      <c r="C681" s="227" t="s">
        <v>1789</v>
      </c>
      <c r="D681" s="228" t="s">
        <v>1790</v>
      </c>
      <c r="E681" s="363" t="s">
        <v>2351</v>
      </c>
      <c r="F681" s="342">
        <v>45600</v>
      </c>
      <c r="G681" s="230"/>
      <c r="H681" s="231"/>
      <c r="I681" s="231">
        <v>28455</v>
      </c>
      <c r="J681" s="226" t="s">
        <v>2388</v>
      </c>
      <c r="K681" s="362"/>
      <c r="L681" s="345">
        <v>28455</v>
      </c>
      <c r="M681" s="346">
        <v>0</v>
      </c>
      <c r="N681" s="226" t="s">
        <v>2395</v>
      </c>
      <c r="O681" s="232"/>
      <c r="P681" s="232"/>
      <c r="Q681" s="232"/>
      <c r="R681" s="232"/>
      <c r="S681" s="414"/>
      <c r="T681" s="415"/>
      <c r="U681" s="414"/>
      <c r="V681" s="414"/>
      <c r="W681" s="414"/>
      <c r="X681" s="414"/>
      <c r="Y681" s="414"/>
      <c r="Z681" s="416"/>
      <c r="AA681" s="416"/>
      <c r="AB681" s="414"/>
      <c r="AC681" s="414"/>
      <c r="AD681" s="416"/>
      <c r="AE681" s="414"/>
      <c r="AF681" s="233"/>
    </row>
    <row r="682" spans="1:32">
      <c r="A682" s="225">
        <f t="shared" si="10"/>
        <v>673</v>
      </c>
      <c r="B682" s="227" t="s">
        <v>1740</v>
      </c>
      <c r="C682" s="227" t="s">
        <v>2067</v>
      </c>
      <c r="D682" s="228" t="s">
        <v>2068</v>
      </c>
      <c r="E682" s="363" t="s">
        <v>2352</v>
      </c>
      <c r="F682" s="342">
        <v>45622</v>
      </c>
      <c r="G682" s="230"/>
      <c r="H682" s="231"/>
      <c r="I682" s="231">
        <v>1846440</v>
      </c>
      <c r="J682" s="226" t="s">
        <v>2388</v>
      </c>
      <c r="K682" s="362"/>
      <c r="L682" s="345">
        <v>1846440</v>
      </c>
      <c r="M682" s="346">
        <v>0</v>
      </c>
      <c r="N682" s="226"/>
      <c r="O682" s="232"/>
      <c r="P682" s="232"/>
      <c r="Q682" s="232"/>
      <c r="R682" s="232"/>
      <c r="S682" s="414"/>
      <c r="T682" s="415"/>
      <c r="U682" s="414"/>
      <c r="V682" s="414"/>
      <c r="W682" s="414"/>
      <c r="X682" s="414"/>
      <c r="Y682" s="414"/>
      <c r="Z682" s="416"/>
      <c r="AA682" s="416"/>
      <c r="AB682" s="414"/>
      <c r="AC682" s="414"/>
      <c r="AD682" s="416"/>
      <c r="AE682" s="414"/>
      <c r="AF682" s="233"/>
    </row>
    <row r="683" spans="1:32">
      <c r="A683" s="225">
        <f t="shared" si="10"/>
        <v>674</v>
      </c>
      <c r="B683" s="227" t="s">
        <v>1741</v>
      </c>
      <c r="C683" s="227" t="s">
        <v>1785</v>
      </c>
      <c r="D683" s="228" t="s">
        <v>1786</v>
      </c>
      <c r="E683" s="363">
        <v>241441</v>
      </c>
      <c r="F683" s="342">
        <v>45617</v>
      </c>
      <c r="G683" s="230"/>
      <c r="H683" s="231"/>
      <c r="I683" s="231">
        <v>105287</v>
      </c>
      <c r="J683" s="226" t="s">
        <v>2388</v>
      </c>
      <c r="K683" s="362"/>
      <c r="L683" s="345">
        <v>105287</v>
      </c>
      <c r="M683" s="346">
        <v>0</v>
      </c>
      <c r="N683" s="226"/>
      <c r="O683" s="232"/>
      <c r="P683" s="232"/>
      <c r="Q683" s="232"/>
      <c r="R683" s="232"/>
      <c r="S683" s="414"/>
      <c r="T683" s="415"/>
      <c r="U683" s="414"/>
      <c r="V683" s="414"/>
      <c r="W683" s="414"/>
      <c r="X683" s="414"/>
      <c r="Y683" s="414"/>
      <c r="Z683" s="416"/>
      <c r="AA683" s="416"/>
      <c r="AB683" s="414"/>
      <c r="AC683" s="414"/>
      <c r="AD683" s="416"/>
      <c r="AE683" s="414"/>
      <c r="AF683" s="233"/>
    </row>
    <row r="684" spans="1:32">
      <c r="A684" s="225">
        <f t="shared" si="10"/>
        <v>675</v>
      </c>
      <c r="B684" s="227" t="s">
        <v>1742</v>
      </c>
      <c r="C684" s="227" t="s">
        <v>2067</v>
      </c>
      <c r="D684" s="228" t="s">
        <v>2068</v>
      </c>
      <c r="E684" s="363" t="s">
        <v>2353</v>
      </c>
      <c r="F684" s="342">
        <v>45622</v>
      </c>
      <c r="G684" s="230"/>
      <c r="H684" s="231"/>
      <c r="I684" s="231">
        <v>776709</v>
      </c>
      <c r="J684" s="226" t="s">
        <v>2388</v>
      </c>
      <c r="K684" s="362"/>
      <c r="L684" s="345">
        <v>776709</v>
      </c>
      <c r="M684" s="346">
        <v>0</v>
      </c>
      <c r="N684" s="226"/>
      <c r="O684" s="232"/>
      <c r="P684" s="232"/>
      <c r="Q684" s="232"/>
      <c r="R684" s="232"/>
      <c r="S684" s="414"/>
      <c r="T684" s="415"/>
      <c r="U684" s="414"/>
      <c r="V684" s="414"/>
      <c r="W684" s="414"/>
      <c r="X684" s="414"/>
      <c r="Y684" s="414"/>
      <c r="Z684" s="416"/>
      <c r="AA684" s="416"/>
      <c r="AB684" s="414"/>
      <c r="AC684" s="414"/>
      <c r="AD684" s="416"/>
      <c r="AE684" s="414"/>
      <c r="AF684" s="233"/>
    </row>
    <row r="685" spans="1:32">
      <c r="A685" s="225">
        <f t="shared" si="10"/>
        <v>676</v>
      </c>
      <c r="B685" s="227" t="s">
        <v>1743</v>
      </c>
      <c r="C685" s="227" t="s">
        <v>1785</v>
      </c>
      <c r="D685" s="228" t="s">
        <v>1786</v>
      </c>
      <c r="E685" s="363">
        <v>237213</v>
      </c>
      <c r="F685" s="342">
        <v>45614</v>
      </c>
      <c r="G685" s="230"/>
      <c r="H685" s="231"/>
      <c r="I685" s="231">
        <v>35157</v>
      </c>
      <c r="J685" s="226" t="s">
        <v>2388</v>
      </c>
      <c r="K685" s="362"/>
      <c r="L685" s="345">
        <v>35157</v>
      </c>
      <c r="M685" s="346">
        <v>0</v>
      </c>
      <c r="N685" s="226"/>
      <c r="O685" s="232"/>
      <c r="P685" s="232"/>
      <c r="Q685" s="232"/>
      <c r="R685" s="232"/>
      <c r="S685" s="414"/>
      <c r="T685" s="415"/>
      <c r="U685" s="414"/>
      <c r="V685" s="414"/>
      <c r="W685" s="414"/>
      <c r="X685" s="414"/>
      <c r="Y685" s="414"/>
      <c r="Z685" s="416"/>
      <c r="AA685" s="416"/>
      <c r="AB685" s="414"/>
      <c r="AC685" s="414"/>
      <c r="AD685" s="416"/>
      <c r="AE685" s="414"/>
      <c r="AF685" s="233"/>
    </row>
    <row r="686" spans="1:32">
      <c r="A686" s="225">
        <f t="shared" si="10"/>
        <v>677</v>
      </c>
      <c r="B686" s="227" t="s">
        <v>1744</v>
      </c>
      <c r="C686" s="227" t="s">
        <v>2067</v>
      </c>
      <c r="D686" s="228" t="s">
        <v>2068</v>
      </c>
      <c r="E686" s="363" t="s">
        <v>2354</v>
      </c>
      <c r="F686" s="342">
        <v>45607</v>
      </c>
      <c r="G686" s="230"/>
      <c r="H686" s="231"/>
      <c r="I686" s="231">
        <v>560142</v>
      </c>
      <c r="J686" s="226" t="s">
        <v>2388</v>
      </c>
      <c r="K686" s="362"/>
      <c r="L686" s="345">
        <v>560142</v>
      </c>
      <c r="M686" s="346">
        <v>0</v>
      </c>
      <c r="N686" s="226"/>
      <c r="O686" s="232"/>
      <c r="P686" s="232"/>
      <c r="Q686" s="232"/>
      <c r="R686" s="232"/>
      <c r="S686" s="414"/>
      <c r="T686" s="417"/>
      <c r="U686" s="414"/>
      <c r="V686" s="414"/>
      <c r="W686" s="414"/>
      <c r="X686" s="414"/>
      <c r="Y686" s="414"/>
      <c r="Z686" s="416"/>
      <c r="AA686" s="416"/>
      <c r="AB686" s="414"/>
      <c r="AC686" s="414"/>
      <c r="AD686" s="416"/>
      <c r="AE686" s="414"/>
      <c r="AF686" s="233"/>
    </row>
    <row r="687" spans="1:32">
      <c r="A687" s="225">
        <f t="shared" si="10"/>
        <v>678</v>
      </c>
      <c r="B687" s="227" t="s">
        <v>1745</v>
      </c>
      <c r="C687" s="227" t="s">
        <v>1785</v>
      </c>
      <c r="D687" s="228" t="s">
        <v>1786</v>
      </c>
      <c r="E687" s="363">
        <v>232864</v>
      </c>
      <c r="F687" s="342">
        <v>45607</v>
      </c>
      <c r="G687" s="230"/>
      <c r="H687" s="231"/>
      <c r="I687" s="231">
        <v>23136</v>
      </c>
      <c r="J687" s="226" t="s">
        <v>2388</v>
      </c>
      <c r="K687" s="362"/>
      <c r="L687" s="345">
        <v>23136</v>
      </c>
      <c r="M687" s="346">
        <v>0</v>
      </c>
      <c r="N687" s="226"/>
      <c r="O687" s="232"/>
      <c r="P687" s="232"/>
      <c r="Q687" s="232"/>
      <c r="R687" s="232"/>
      <c r="S687" s="414"/>
      <c r="T687" s="415"/>
      <c r="U687" s="414"/>
      <c r="V687" s="414"/>
      <c r="W687" s="414"/>
      <c r="X687" s="414"/>
      <c r="Y687" s="414"/>
      <c r="Z687" s="416"/>
      <c r="AA687" s="416"/>
      <c r="AB687" s="414"/>
      <c r="AC687" s="414"/>
      <c r="AD687" s="416"/>
      <c r="AE687" s="414"/>
      <c r="AF687" s="233"/>
    </row>
    <row r="688" spans="1:32">
      <c r="A688" s="225">
        <f t="shared" si="10"/>
        <v>679</v>
      </c>
      <c r="B688" s="227" t="s">
        <v>1746</v>
      </c>
      <c r="C688" s="227" t="s">
        <v>1771</v>
      </c>
      <c r="D688" s="228" t="s">
        <v>1772</v>
      </c>
      <c r="E688" s="363" t="s">
        <v>2355</v>
      </c>
      <c r="F688" s="342">
        <v>45656</v>
      </c>
      <c r="G688" s="230"/>
      <c r="H688" s="231"/>
      <c r="I688" s="231">
        <v>132752</v>
      </c>
      <c r="J688" s="226" t="s">
        <v>2388</v>
      </c>
      <c r="K688" s="362"/>
      <c r="L688" s="345">
        <v>132752</v>
      </c>
      <c r="M688" s="346">
        <v>0</v>
      </c>
      <c r="N688" s="226"/>
      <c r="O688" s="232"/>
      <c r="P688" s="232"/>
      <c r="Q688" s="232"/>
      <c r="R688" s="232"/>
      <c r="S688" s="414"/>
      <c r="T688" s="417"/>
      <c r="U688" s="414"/>
      <c r="V688" s="414"/>
      <c r="W688" s="414"/>
      <c r="X688" s="414"/>
      <c r="Y688" s="414"/>
      <c r="Z688" s="416"/>
      <c r="AA688" s="416"/>
      <c r="AB688" s="414"/>
      <c r="AC688" s="414"/>
      <c r="AD688" s="416"/>
      <c r="AE688" s="414"/>
      <c r="AF688" s="233"/>
    </row>
    <row r="689" spans="1:32">
      <c r="A689" s="225">
        <f t="shared" si="10"/>
        <v>680</v>
      </c>
      <c r="B689" s="227" t="s">
        <v>1721</v>
      </c>
      <c r="C689" s="227" t="s">
        <v>2178</v>
      </c>
      <c r="D689" s="228" t="s">
        <v>2179</v>
      </c>
      <c r="E689" s="363" t="s">
        <v>2356</v>
      </c>
      <c r="F689" s="342">
        <v>45657</v>
      </c>
      <c r="G689" s="230"/>
      <c r="H689" s="231"/>
      <c r="I689" s="231">
        <v>138863</v>
      </c>
      <c r="J689" s="226" t="s">
        <v>2388</v>
      </c>
      <c r="K689" s="362"/>
      <c r="L689" s="345">
        <v>138863</v>
      </c>
      <c r="M689" s="346">
        <v>0</v>
      </c>
      <c r="N689" s="226" t="s">
        <v>2394</v>
      </c>
      <c r="O689" s="232"/>
      <c r="P689" s="232"/>
      <c r="Q689" s="232"/>
      <c r="R689" s="232"/>
      <c r="S689" s="414"/>
      <c r="T689" s="415"/>
      <c r="U689" s="414"/>
      <c r="V689" s="414"/>
      <c r="W689" s="414"/>
      <c r="X689" s="414"/>
      <c r="Y689" s="414"/>
      <c r="Z689" s="416"/>
      <c r="AA689" s="416"/>
      <c r="AB689" s="414"/>
      <c r="AC689" s="414"/>
      <c r="AD689" s="416"/>
      <c r="AE689" s="414"/>
      <c r="AF689" s="233"/>
    </row>
    <row r="690" spans="1:32">
      <c r="A690" s="225">
        <f t="shared" si="10"/>
        <v>681</v>
      </c>
      <c r="B690" s="227" t="s">
        <v>1721</v>
      </c>
      <c r="C690" s="227" t="s">
        <v>2178</v>
      </c>
      <c r="D690" s="228" t="s">
        <v>2179</v>
      </c>
      <c r="E690" s="363" t="s">
        <v>2357</v>
      </c>
      <c r="F690" s="342">
        <v>45657</v>
      </c>
      <c r="G690" s="230"/>
      <c r="H690" s="231"/>
      <c r="I690" s="231">
        <v>138863</v>
      </c>
      <c r="J690" s="226" t="s">
        <v>2388</v>
      </c>
      <c r="K690" s="362"/>
      <c r="L690" s="345">
        <v>138863</v>
      </c>
      <c r="M690" s="346">
        <v>0</v>
      </c>
      <c r="N690" s="226" t="s">
        <v>2394</v>
      </c>
      <c r="O690" s="232"/>
      <c r="P690" s="232"/>
      <c r="Q690" s="232"/>
      <c r="R690" s="232"/>
      <c r="S690" s="414"/>
      <c r="T690" s="415"/>
      <c r="U690" s="414"/>
      <c r="V690" s="414"/>
      <c r="W690" s="414"/>
      <c r="X690" s="414"/>
      <c r="Y690" s="414"/>
      <c r="Z690" s="416"/>
      <c r="AA690" s="416"/>
      <c r="AB690" s="414"/>
      <c r="AC690" s="414"/>
      <c r="AD690" s="416"/>
      <c r="AE690" s="414"/>
      <c r="AF690" s="233"/>
    </row>
    <row r="691" spans="1:32">
      <c r="A691" s="225">
        <f t="shared" si="10"/>
        <v>682</v>
      </c>
      <c r="B691" s="227" t="s">
        <v>1721</v>
      </c>
      <c r="C691" s="227" t="s">
        <v>2178</v>
      </c>
      <c r="D691" s="228" t="s">
        <v>2179</v>
      </c>
      <c r="E691" s="363" t="s">
        <v>2358</v>
      </c>
      <c r="F691" s="342">
        <v>45651</v>
      </c>
      <c r="G691" s="230"/>
      <c r="H691" s="231"/>
      <c r="I691" s="231">
        <v>138656</v>
      </c>
      <c r="J691" s="226" t="s">
        <v>2388</v>
      </c>
      <c r="K691" s="362"/>
      <c r="L691" s="345">
        <v>138656</v>
      </c>
      <c r="M691" s="346">
        <v>0</v>
      </c>
      <c r="N691" s="226" t="s">
        <v>2394</v>
      </c>
      <c r="O691" s="232"/>
      <c r="P691" s="232"/>
      <c r="Q691" s="232"/>
      <c r="R691" s="232"/>
      <c r="S691" s="414"/>
      <c r="T691" s="415"/>
      <c r="U691" s="414"/>
      <c r="V691" s="414"/>
      <c r="W691" s="414"/>
      <c r="X691" s="414"/>
      <c r="Y691" s="414"/>
      <c r="Z691" s="416"/>
      <c r="AA691" s="416"/>
      <c r="AB691" s="414"/>
      <c r="AC691" s="414"/>
      <c r="AD691" s="416"/>
      <c r="AE691" s="414"/>
      <c r="AF691" s="233"/>
    </row>
    <row r="692" spans="1:32">
      <c r="A692" s="225">
        <f t="shared" si="10"/>
        <v>683</v>
      </c>
      <c r="B692" s="227" t="s">
        <v>1721</v>
      </c>
      <c r="C692" s="227" t="s">
        <v>2178</v>
      </c>
      <c r="D692" s="228" t="s">
        <v>2179</v>
      </c>
      <c r="E692" s="363" t="s">
        <v>2359</v>
      </c>
      <c r="F692" s="342">
        <v>45651</v>
      </c>
      <c r="G692" s="230"/>
      <c r="H692" s="231"/>
      <c r="I692" s="231">
        <v>138656</v>
      </c>
      <c r="J692" s="226" t="s">
        <v>2388</v>
      </c>
      <c r="K692" s="362"/>
      <c r="L692" s="345">
        <v>138656</v>
      </c>
      <c r="M692" s="346">
        <v>0</v>
      </c>
      <c r="N692" s="226" t="s">
        <v>2394</v>
      </c>
      <c r="O692" s="232"/>
      <c r="P692" s="232"/>
      <c r="Q692" s="232"/>
      <c r="R692" s="232"/>
      <c r="S692" s="414"/>
      <c r="T692" s="415"/>
      <c r="U692" s="414"/>
      <c r="V692" s="414"/>
      <c r="W692" s="414"/>
      <c r="X692" s="414"/>
      <c r="Y692" s="414"/>
      <c r="Z692" s="416"/>
      <c r="AA692" s="416"/>
      <c r="AB692" s="414"/>
      <c r="AC692" s="414"/>
      <c r="AD692" s="416"/>
      <c r="AE692" s="414"/>
      <c r="AF692" s="233"/>
    </row>
    <row r="693" spans="1:32">
      <c r="A693" s="225">
        <f t="shared" si="10"/>
        <v>684</v>
      </c>
      <c r="B693" s="227" t="s">
        <v>1721</v>
      </c>
      <c r="C693" s="227" t="s">
        <v>2178</v>
      </c>
      <c r="D693" s="228" t="s">
        <v>2179</v>
      </c>
      <c r="E693" s="363" t="s">
        <v>2360</v>
      </c>
      <c r="F693" s="342">
        <v>45639</v>
      </c>
      <c r="G693" s="230"/>
      <c r="H693" s="231"/>
      <c r="I693" s="231">
        <v>138725</v>
      </c>
      <c r="J693" s="226" t="s">
        <v>2388</v>
      </c>
      <c r="K693" s="362"/>
      <c r="L693" s="345">
        <v>138725</v>
      </c>
      <c r="M693" s="346">
        <v>0</v>
      </c>
      <c r="N693" s="226" t="s">
        <v>2394</v>
      </c>
      <c r="O693" s="232"/>
      <c r="P693" s="232"/>
      <c r="Q693" s="232"/>
      <c r="R693" s="232"/>
      <c r="S693" s="414"/>
      <c r="T693" s="415"/>
      <c r="U693" s="414"/>
      <c r="V693" s="414"/>
      <c r="W693" s="414"/>
      <c r="X693" s="414"/>
      <c r="Y693" s="414"/>
      <c r="Z693" s="416"/>
      <c r="AA693" s="416"/>
      <c r="AB693" s="414"/>
      <c r="AC693" s="414"/>
      <c r="AD693" s="416"/>
      <c r="AE693" s="414"/>
      <c r="AF693" s="233"/>
    </row>
    <row r="694" spans="1:32">
      <c r="A694" s="225">
        <f t="shared" si="10"/>
        <v>685</v>
      </c>
      <c r="B694" s="227" t="s">
        <v>1721</v>
      </c>
      <c r="C694" s="227" t="s">
        <v>2178</v>
      </c>
      <c r="D694" s="228" t="s">
        <v>2179</v>
      </c>
      <c r="E694" s="363" t="s">
        <v>2361</v>
      </c>
      <c r="F694" s="342">
        <v>45630</v>
      </c>
      <c r="G694" s="230"/>
      <c r="H694" s="231"/>
      <c r="I694" s="231">
        <v>139035</v>
      </c>
      <c r="J694" s="226" t="s">
        <v>2388</v>
      </c>
      <c r="K694" s="362"/>
      <c r="L694" s="345">
        <v>139035</v>
      </c>
      <c r="M694" s="346">
        <v>0</v>
      </c>
      <c r="N694" s="226" t="s">
        <v>2394</v>
      </c>
      <c r="O694" s="232"/>
      <c r="P694" s="232"/>
      <c r="Q694" s="232"/>
      <c r="R694" s="232"/>
      <c r="S694" s="414"/>
      <c r="T694" s="417"/>
      <c r="U694" s="414"/>
      <c r="V694" s="414"/>
      <c r="W694" s="414"/>
      <c r="X694" s="414"/>
      <c r="Y694" s="414"/>
      <c r="Z694" s="416"/>
      <c r="AA694" s="416"/>
      <c r="AB694" s="414"/>
      <c r="AC694" s="414"/>
      <c r="AD694" s="416"/>
      <c r="AE694" s="414"/>
      <c r="AF694" s="233"/>
    </row>
    <row r="695" spans="1:32">
      <c r="A695" s="225">
        <f t="shared" si="10"/>
        <v>686</v>
      </c>
      <c r="B695" s="227" t="s">
        <v>1747</v>
      </c>
      <c r="C695" s="227" t="s">
        <v>2067</v>
      </c>
      <c r="D695" s="228" t="s">
        <v>2068</v>
      </c>
      <c r="E695" s="363" t="s">
        <v>2362</v>
      </c>
      <c r="F695" s="342">
        <v>45644</v>
      </c>
      <c r="G695" s="230"/>
      <c r="H695" s="231"/>
      <c r="I695" s="231">
        <v>462415</v>
      </c>
      <c r="J695" s="226" t="s">
        <v>2388</v>
      </c>
      <c r="K695" s="362"/>
      <c r="L695" s="345">
        <v>462415</v>
      </c>
      <c r="M695" s="346">
        <v>0</v>
      </c>
      <c r="N695" s="226"/>
      <c r="O695" s="232"/>
      <c r="P695" s="232"/>
      <c r="Q695" s="232"/>
      <c r="R695" s="232"/>
      <c r="S695" s="414"/>
      <c r="T695" s="415"/>
      <c r="U695" s="414"/>
      <c r="V695" s="414"/>
      <c r="W695" s="414"/>
      <c r="X695" s="414"/>
      <c r="Y695" s="414"/>
      <c r="Z695" s="416"/>
      <c r="AA695" s="416"/>
      <c r="AB695" s="414"/>
      <c r="AC695" s="414"/>
      <c r="AD695" s="416"/>
      <c r="AE695" s="414"/>
      <c r="AF695" s="233"/>
    </row>
    <row r="696" spans="1:32">
      <c r="A696" s="225">
        <f t="shared" si="10"/>
        <v>687</v>
      </c>
      <c r="B696" s="227" t="s">
        <v>1748</v>
      </c>
      <c r="C696" s="227" t="s">
        <v>1789</v>
      </c>
      <c r="D696" s="228" t="s">
        <v>1790</v>
      </c>
      <c r="E696" s="363" t="s">
        <v>2363</v>
      </c>
      <c r="F696" s="342">
        <v>45632</v>
      </c>
      <c r="G696" s="230"/>
      <c r="H696" s="231"/>
      <c r="I696" s="231">
        <v>28196</v>
      </c>
      <c r="J696" s="226" t="s">
        <v>2388</v>
      </c>
      <c r="K696" s="362"/>
      <c r="L696" s="345">
        <v>28196</v>
      </c>
      <c r="M696" s="346">
        <v>0</v>
      </c>
      <c r="N696" s="226" t="s">
        <v>2395</v>
      </c>
      <c r="O696" s="232"/>
      <c r="P696" s="232"/>
      <c r="Q696" s="232"/>
      <c r="R696" s="232"/>
      <c r="S696" s="414"/>
      <c r="T696" s="415"/>
      <c r="U696" s="414"/>
      <c r="V696" s="414"/>
      <c r="W696" s="414"/>
      <c r="X696" s="414"/>
      <c r="Y696" s="414"/>
      <c r="Z696" s="416"/>
      <c r="AA696" s="416"/>
      <c r="AB696" s="414"/>
      <c r="AC696" s="414"/>
      <c r="AD696" s="416"/>
      <c r="AE696" s="414"/>
      <c r="AF696" s="233"/>
    </row>
    <row r="697" spans="1:32">
      <c r="A697" s="225">
        <f t="shared" si="10"/>
        <v>688</v>
      </c>
      <c r="B697" s="227" t="s">
        <v>1747</v>
      </c>
      <c r="C697" s="227" t="s">
        <v>2067</v>
      </c>
      <c r="D697" s="228" t="s">
        <v>2068</v>
      </c>
      <c r="E697" s="363" t="s">
        <v>2364</v>
      </c>
      <c r="F697" s="342">
        <v>45657</v>
      </c>
      <c r="G697" s="230"/>
      <c r="H697" s="231"/>
      <c r="I697" s="231">
        <v>358225</v>
      </c>
      <c r="J697" s="226" t="s">
        <v>2388</v>
      </c>
      <c r="K697" s="362"/>
      <c r="L697" s="345">
        <v>358225</v>
      </c>
      <c r="M697" s="346">
        <v>0</v>
      </c>
      <c r="N697" s="226"/>
      <c r="O697" s="232"/>
      <c r="P697" s="232"/>
      <c r="Q697" s="232"/>
      <c r="R697" s="232"/>
      <c r="S697" s="414"/>
      <c r="T697" s="415"/>
      <c r="U697" s="414"/>
      <c r="V697" s="414"/>
      <c r="W697" s="414"/>
      <c r="X697" s="414"/>
      <c r="Y697" s="414"/>
      <c r="Z697" s="416"/>
      <c r="AA697" s="416"/>
      <c r="AB697" s="414"/>
      <c r="AC697" s="414"/>
      <c r="AD697" s="416"/>
      <c r="AE697" s="414"/>
      <c r="AF697" s="233"/>
    </row>
    <row r="698" spans="1:32">
      <c r="A698" s="225">
        <f t="shared" si="10"/>
        <v>689</v>
      </c>
      <c r="B698" s="227" t="s">
        <v>1748</v>
      </c>
      <c r="C698" s="227" t="s">
        <v>1789</v>
      </c>
      <c r="D698" s="228" t="s">
        <v>1790</v>
      </c>
      <c r="E698" s="363" t="s">
        <v>2365</v>
      </c>
      <c r="F698" s="342">
        <v>45657</v>
      </c>
      <c r="G698" s="230"/>
      <c r="H698" s="231"/>
      <c r="I698" s="231">
        <v>28175</v>
      </c>
      <c r="J698" s="226" t="s">
        <v>2388</v>
      </c>
      <c r="K698" s="362"/>
      <c r="L698" s="345">
        <v>28175</v>
      </c>
      <c r="M698" s="346">
        <v>0</v>
      </c>
      <c r="N698" s="226" t="s">
        <v>2395</v>
      </c>
      <c r="O698" s="232"/>
      <c r="P698" s="232"/>
      <c r="Q698" s="232"/>
      <c r="R698" s="232"/>
      <c r="S698" s="414"/>
      <c r="T698" s="415"/>
      <c r="U698" s="414"/>
      <c r="V698" s="414"/>
      <c r="W698" s="414"/>
      <c r="X698" s="414"/>
      <c r="Y698" s="414"/>
      <c r="Z698" s="416"/>
      <c r="AA698" s="416"/>
      <c r="AB698" s="414"/>
      <c r="AC698" s="414"/>
      <c r="AD698" s="416"/>
      <c r="AE698" s="414"/>
      <c r="AF698" s="233"/>
    </row>
    <row r="699" spans="1:32">
      <c r="A699" s="225">
        <f t="shared" si="10"/>
        <v>690</v>
      </c>
      <c r="B699" s="227" t="s">
        <v>1747</v>
      </c>
      <c r="C699" s="227" t="s">
        <v>2067</v>
      </c>
      <c r="D699" s="228" t="s">
        <v>2068</v>
      </c>
      <c r="E699" s="363" t="s">
        <v>2366</v>
      </c>
      <c r="F699" s="342">
        <v>45657</v>
      </c>
      <c r="G699" s="230"/>
      <c r="H699" s="231"/>
      <c r="I699" s="231">
        <v>462875</v>
      </c>
      <c r="J699" s="226" t="s">
        <v>2388</v>
      </c>
      <c r="K699" s="362"/>
      <c r="L699" s="345">
        <v>462875</v>
      </c>
      <c r="M699" s="346">
        <v>0</v>
      </c>
      <c r="N699" s="226"/>
      <c r="O699" s="232"/>
      <c r="P699" s="232"/>
      <c r="Q699" s="232"/>
      <c r="R699" s="232"/>
      <c r="S699" s="414"/>
      <c r="T699" s="415"/>
      <c r="U699" s="414"/>
      <c r="V699" s="414"/>
      <c r="W699" s="414"/>
      <c r="X699" s="414"/>
      <c r="Y699" s="414"/>
      <c r="Z699" s="416"/>
      <c r="AA699" s="416"/>
      <c r="AB699" s="414"/>
      <c r="AC699" s="414"/>
      <c r="AD699" s="416"/>
      <c r="AE699" s="414"/>
      <c r="AF699" s="233"/>
    </row>
    <row r="700" spans="1:32">
      <c r="A700" s="225">
        <f t="shared" si="10"/>
        <v>691</v>
      </c>
      <c r="B700" s="227" t="s">
        <v>1748</v>
      </c>
      <c r="C700" s="227" t="s">
        <v>1789</v>
      </c>
      <c r="D700" s="228" t="s">
        <v>1790</v>
      </c>
      <c r="E700" s="363" t="s">
        <v>2367</v>
      </c>
      <c r="F700" s="342">
        <v>45657</v>
      </c>
      <c r="G700" s="230"/>
      <c r="H700" s="231"/>
      <c r="I700" s="231">
        <v>28175</v>
      </c>
      <c r="J700" s="226" t="s">
        <v>2388</v>
      </c>
      <c r="K700" s="362"/>
      <c r="L700" s="345">
        <v>28175</v>
      </c>
      <c r="M700" s="346">
        <v>0</v>
      </c>
      <c r="N700" s="226" t="s">
        <v>2395</v>
      </c>
      <c r="O700" s="232"/>
      <c r="P700" s="232"/>
      <c r="Q700" s="232"/>
      <c r="R700" s="232"/>
      <c r="S700" s="414"/>
      <c r="T700" s="415"/>
      <c r="U700" s="414"/>
      <c r="V700" s="414"/>
      <c r="W700" s="414"/>
      <c r="X700" s="414"/>
      <c r="Y700" s="414"/>
      <c r="Z700" s="416"/>
      <c r="AA700" s="416"/>
      <c r="AB700" s="414"/>
      <c r="AC700" s="414"/>
      <c r="AD700" s="416"/>
      <c r="AE700" s="414"/>
      <c r="AF700" s="233"/>
    </row>
    <row r="701" spans="1:32">
      <c r="A701" s="225">
        <f t="shared" si="10"/>
        <v>692</v>
      </c>
      <c r="B701" s="227" t="s">
        <v>1747</v>
      </c>
      <c r="C701" s="227" t="s">
        <v>2067</v>
      </c>
      <c r="D701" s="228" t="s">
        <v>2068</v>
      </c>
      <c r="E701" s="363" t="s">
        <v>2368</v>
      </c>
      <c r="F701" s="342">
        <v>45646</v>
      </c>
      <c r="G701" s="230"/>
      <c r="H701" s="231"/>
      <c r="I701" s="231">
        <v>357691</v>
      </c>
      <c r="J701" s="226" t="s">
        <v>2388</v>
      </c>
      <c r="K701" s="362"/>
      <c r="L701" s="345">
        <v>357691</v>
      </c>
      <c r="M701" s="346">
        <v>0</v>
      </c>
      <c r="N701" s="226"/>
      <c r="O701" s="232"/>
      <c r="P701" s="232"/>
      <c r="Q701" s="232"/>
      <c r="R701" s="232"/>
      <c r="S701" s="414"/>
      <c r="T701" s="415"/>
      <c r="U701" s="414"/>
      <c r="V701" s="414"/>
      <c r="W701" s="414"/>
      <c r="X701" s="414"/>
      <c r="Y701" s="414"/>
      <c r="Z701" s="416"/>
      <c r="AA701" s="416"/>
      <c r="AB701" s="414"/>
      <c r="AC701" s="414"/>
      <c r="AD701" s="416"/>
      <c r="AE701" s="414"/>
      <c r="AF701" s="233"/>
    </row>
    <row r="702" spans="1:32">
      <c r="A702" s="225">
        <f t="shared" si="10"/>
        <v>693</v>
      </c>
      <c r="B702" s="227" t="s">
        <v>1748</v>
      </c>
      <c r="C702" s="227" t="s">
        <v>1789</v>
      </c>
      <c r="D702" s="228" t="s">
        <v>1790</v>
      </c>
      <c r="E702" s="363" t="s">
        <v>2369</v>
      </c>
      <c r="F702" s="342">
        <v>45651</v>
      </c>
      <c r="G702" s="230"/>
      <c r="H702" s="231"/>
      <c r="I702" s="231">
        <v>28133</v>
      </c>
      <c r="J702" s="226" t="s">
        <v>2388</v>
      </c>
      <c r="K702" s="362"/>
      <c r="L702" s="345">
        <v>28133</v>
      </c>
      <c r="M702" s="346">
        <v>0</v>
      </c>
      <c r="N702" s="226" t="s">
        <v>2395</v>
      </c>
      <c r="O702" s="232"/>
      <c r="P702" s="232"/>
      <c r="Q702" s="232"/>
      <c r="R702" s="232"/>
      <c r="S702" s="414"/>
      <c r="T702" s="415"/>
      <c r="U702" s="414"/>
      <c r="V702" s="414"/>
      <c r="W702" s="414"/>
      <c r="X702" s="414"/>
      <c r="Y702" s="414"/>
      <c r="Z702" s="416"/>
      <c r="AA702" s="416"/>
      <c r="AB702" s="414"/>
      <c r="AC702" s="414"/>
      <c r="AD702" s="416"/>
      <c r="AE702" s="414"/>
      <c r="AF702" s="233"/>
    </row>
    <row r="703" spans="1:32">
      <c r="A703" s="225">
        <f t="shared" si="10"/>
        <v>694</v>
      </c>
      <c r="B703" s="227" t="s">
        <v>1747</v>
      </c>
      <c r="C703" s="227" t="s">
        <v>2067</v>
      </c>
      <c r="D703" s="228" t="s">
        <v>2068</v>
      </c>
      <c r="E703" s="363" t="s">
        <v>2370</v>
      </c>
      <c r="F703" s="342">
        <v>45646</v>
      </c>
      <c r="G703" s="230"/>
      <c r="H703" s="231"/>
      <c r="I703" s="231">
        <v>337596</v>
      </c>
      <c r="J703" s="226" t="s">
        <v>2388</v>
      </c>
      <c r="K703" s="362"/>
      <c r="L703" s="345">
        <v>337596</v>
      </c>
      <c r="M703" s="346">
        <v>0</v>
      </c>
      <c r="N703" s="226"/>
      <c r="O703" s="232"/>
      <c r="P703" s="232"/>
      <c r="Q703" s="232"/>
      <c r="R703" s="232"/>
      <c r="S703" s="414"/>
      <c r="T703" s="415"/>
      <c r="U703" s="414"/>
      <c r="V703" s="414"/>
      <c r="W703" s="414"/>
      <c r="X703" s="414"/>
      <c r="Y703" s="414"/>
      <c r="Z703" s="416"/>
      <c r="AA703" s="416"/>
      <c r="AB703" s="414"/>
      <c r="AC703" s="414"/>
      <c r="AD703" s="416"/>
      <c r="AE703" s="414"/>
      <c r="AF703" s="233"/>
    </row>
    <row r="704" spans="1:32">
      <c r="A704" s="225">
        <f t="shared" si="10"/>
        <v>695</v>
      </c>
      <c r="B704" s="227" t="s">
        <v>1748</v>
      </c>
      <c r="C704" s="227" t="s">
        <v>1789</v>
      </c>
      <c r="D704" s="228" t="s">
        <v>1790</v>
      </c>
      <c r="E704" s="363" t="s">
        <v>2371</v>
      </c>
      <c r="F704" s="342">
        <v>45651</v>
      </c>
      <c r="G704" s="230"/>
      <c r="H704" s="231"/>
      <c r="I704" s="231">
        <v>28133</v>
      </c>
      <c r="J704" s="226" t="s">
        <v>2388</v>
      </c>
      <c r="K704" s="362"/>
      <c r="L704" s="345">
        <v>28133</v>
      </c>
      <c r="M704" s="346">
        <v>0</v>
      </c>
      <c r="N704" s="226" t="s">
        <v>2395</v>
      </c>
      <c r="O704" s="232"/>
      <c r="P704" s="232"/>
      <c r="Q704" s="232"/>
      <c r="R704" s="232"/>
      <c r="S704" s="414"/>
      <c r="T704" s="415"/>
      <c r="U704" s="414"/>
      <c r="V704" s="414"/>
      <c r="W704" s="414"/>
      <c r="X704" s="414"/>
      <c r="Y704" s="414"/>
      <c r="Z704" s="416"/>
      <c r="AA704" s="416"/>
      <c r="AB704" s="414"/>
      <c r="AC704" s="414"/>
      <c r="AD704" s="416"/>
      <c r="AE704" s="414"/>
      <c r="AF704" s="233"/>
    </row>
    <row r="705" spans="1:32">
      <c r="A705" s="225">
        <f t="shared" si="10"/>
        <v>696</v>
      </c>
      <c r="B705" s="227" t="s">
        <v>1747</v>
      </c>
      <c r="C705" s="227" t="s">
        <v>2067</v>
      </c>
      <c r="D705" s="228" t="s">
        <v>2068</v>
      </c>
      <c r="E705" s="363" t="s">
        <v>2372</v>
      </c>
      <c r="F705" s="342">
        <v>45653</v>
      </c>
      <c r="G705" s="230"/>
      <c r="H705" s="231"/>
      <c r="I705" s="231">
        <v>430247</v>
      </c>
      <c r="J705" s="226" t="s">
        <v>2388</v>
      </c>
      <c r="K705" s="362"/>
      <c r="L705" s="345">
        <v>430247</v>
      </c>
      <c r="M705" s="346">
        <v>0</v>
      </c>
      <c r="N705" s="226"/>
      <c r="O705" s="232"/>
      <c r="P705" s="232"/>
      <c r="Q705" s="232"/>
      <c r="R705" s="232"/>
      <c r="S705" s="414"/>
      <c r="T705" s="415"/>
      <c r="U705" s="414"/>
      <c r="V705" s="414"/>
      <c r="W705" s="414"/>
      <c r="X705" s="414"/>
      <c r="Y705" s="414"/>
      <c r="Z705" s="416"/>
      <c r="AA705" s="416"/>
      <c r="AB705" s="414"/>
      <c r="AC705" s="414"/>
      <c r="AD705" s="416"/>
      <c r="AE705" s="414"/>
      <c r="AF705" s="233"/>
    </row>
    <row r="706" spans="1:32">
      <c r="A706" s="225">
        <f t="shared" si="10"/>
        <v>697</v>
      </c>
      <c r="B706" s="227" t="s">
        <v>1749</v>
      </c>
      <c r="C706" s="227" t="s">
        <v>1789</v>
      </c>
      <c r="D706" s="228" t="s">
        <v>1790</v>
      </c>
      <c r="E706" s="363" t="s">
        <v>2373</v>
      </c>
      <c r="F706" s="342">
        <v>45651</v>
      </c>
      <c r="G706" s="230"/>
      <c r="H706" s="231"/>
      <c r="I706" s="231">
        <v>18487</v>
      </c>
      <c r="J706" s="226" t="s">
        <v>2388</v>
      </c>
      <c r="K706" s="362"/>
      <c r="L706" s="345">
        <v>18487</v>
      </c>
      <c r="M706" s="346">
        <v>0</v>
      </c>
      <c r="N706" s="226" t="s">
        <v>2395</v>
      </c>
      <c r="O706" s="232"/>
      <c r="P706" s="232"/>
      <c r="Q706" s="232"/>
      <c r="R706" s="232"/>
      <c r="S706" s="414"/>
      <c r="T706" s="417"/>
      <c r="U706" s="414"/>
      <c r="V706" s="414"/>
      <c r="W706" s="414"/>
      <c r="X706" s="414"/>
      <c r="Y706" s="414"/>
      <c r="Z706" s="416"/>
      <c r="AA706" s="416"/>
      <c r="AB706" s="414"/>
      <c r="AC706" s="414"/>
      <c r="AD706" s="416"/>
      <c r="AE706" s="414"/>
      <c r="AF706" s="233"/>
    </row>
    <row r="707" spans="1:32">
      <c r="A707" s="225">
        <f t="shared" si="10"/>
        <v>698</v>
      </c>
      <c r="B707" s="227" t="s">
        <v>1750</v>
      </c>
      <c r="C707" s="227" t="s">
        <v>2120</v>
      </c>
      <c r="D707" s="228" t="s">
        <v>2121</v>
      </c>
      <c r="E707" s="363">
        <v>389</v>
      </c>
      <c r="F707" s="342">
        <v>45647</v>
      </c>
      <c r="G707" s="230"/>
      <c r="H707" s="231"/>
      <c r="I707" s="231">
        <v>448230</v>
      </c>
      <c r="J707" s="226" t="s">
        <v>2388</v>
      </c>
      <c r="K707" s="362"/>
      <c r="L707" s="345">
        <v>448230</v>
      </c>
      <c r="M707" s="346">
        <v>0</v>
      </c>
      <c r="N707" s="226" t="s">
        <v>2407</v>
      </c>
      <c r="O707" s="232"/>
      <c r="P707" s="232"/>
      <c r="Q707" s="232"/>
      <c r="R707" s="232"/>
      <c r="S707" s="414"/>
      <c r="T707" s="415"/>
      <c r="U707" s="414"/>
      <c r="V707" s="414"/>
      <c r="W707" s="414"/>
      <c r="X707" s="414"/>
      <c r="Y707" s="414"/>
      <c r="Z707" s="416"/>
      <c r="AA707" s="416"/>
      <c r="AB707" s="414"/>
      <c r="AC707" s="414"/>
      <c r="AD707" s="416"/>
      <c r="AE707" s="414"/>
      <c r="AF707" s="233"/>
    </row>
    <row r="708" spans="1:32">
      <c r="A708" s="225">
        <f t="shared" si="10"/>
        <v>699</v>
      </c>
      <c r="B708" s="227" t="s">
        <v>1749</v>
      </c>
      <c r="C708" s="227" t="s">
        <v>1789</v>
      </c>
      <c r="D708" s="228" t="s">
        <v>1790</v>
      </c>
      <c r="E708" s="363" t="s">
        <v>2374</v>
      </c>
      <c r="F708" s="342">
        <v>45633</v>
      </c>
      <c r="G708" s="230"/>
      <c r="H708" s="231"/>
      <c r="I708" s="231">
        <v>18529</v>
      </c>
      <c r="J708" s="226" t="s">
        <v>2388</v>
      </c>
      <c r="K708" s="362"/>
      <c r="L708" s="345">
        <v>18529</v>
      </c>
      <c r="M708" s="346">
        <v>0</v>
      </c>
      <c r="N708" s="226" t="s">
        <v>2395</v>
      </c>
      <c r="O708" s="232"/>
      <c r="P708" s="232"/>
      <c r="Q708" s="232"/>
      <c r="R708" s="232"/>
      <c r="S708" s="414"/>
      <c r="T708" s="415"/>
      <c r="U708" s="414"/>
      <c r="V708" s="414"/>
      <c r="W708" s="414"/>
      <c r="X708" s="414"/>
      <c r="Y708" s="414"/>
      <c r="Z708" s="416"/>
      <c r="AA708" s="416"/>
      <c r="AB708" s="414"/>
      <c r="AC708" s="414"/>
      <c r="AD708" s="416"/>
      <c r="AE708" s="414"/>
      <c r="AF708" s="233"/>
    </row>
    <row r="709" spans="1:32">
      <c r="A709" s="225">
        <f t="shared" si="10"/>
        <v>700</v>
      </c>
      <c r="B709" s="227" t="s">
        <v>1747</v>
      </c>
      <c r="C709" s="227" t="s">
        <v>2067</v>
      </c>
      <c r="D709" s="228" t="s">
        <v>2068</v>
      </c>
      <c r="E709" s="363" t="s">
        <v>2375</v>
      </c>
      <c r="F709" s="342">
        <v>45644</v>
      </c>
      <c r="G709" s="230"/>
      <c r="H709" s="231"/>
      <c r="I709" s="231">
        <v>450352</v>
      </c>
      <c r="J709" s="226" t="s">
        <v>2388</v>
      </c>
      <c r="K709" s="362"/>
      <c r="L709" s="345">
        <v>450352</v>
      </c>
      <c r="M709" s="346">
        <v>0</v>
      </c>
      <c r="N709" s="226"/>
      <c r="O709" s="232"/>
      <c r="P709" s="232"/>
      <c r="Q709" s="232"/>
      <c r="R709" s="232"/>
      <c r="S709" s="414"/>
      <c r="T709" s="417"/>
      <c r="U709" s="414"/>
      <c r="V709" s="414"/>
      <c r="W709" s="414"/>
      <c r="X709" s="414"/>
      <c r="Y709" s="414"/>
      <c r="Z709" s="416"/>
      <c r="AA709" s="416"/>
      <c r="AB709" s="414"/>
      <c r="AC709" s="414"/>
      <c r="AD709" s="416"/>
      <c r="AE709" s="414"/>
      <c r="AF709" s="233"/>
    </row>
    <row r="710" spans="1:32">
      <c r="A710" s="225">
        <f t="shared" si="10"/>
        <v>701</v>
      </c>
      <c r="B710" s="227" t="s">
        <v>1749</v>
      </c>
      <c r="C710" s="227" t="s">
        <v>1789</v>
      </c>
      <c r="D710" s="228" t="s">
        <v>1790</v>
      </c>
      <c r="E710" s="363" t="s">
        <v>2376</v>
      </c>
      <c r="F710" s="342">
        <v>45637</v>
      </c>
      <c r="G710" s="230"/>
      <c r="H710" s="231"/>
      <c r="I710" s="231">
        <v>18501</v>
      </c>
      <c r="J710" s="226" t="s">
        <v>2388</v>
      </c>
      <c r="K710" s="362"/>
      <c r="L710" s="345">
        <v>18501</v>
      </c>
      <c r="M710" s="346">
        <v>0</v>
      </c>
      <c r="N710" s="226" t="s">
        <v>2395</v>
      </c>
      <c r="O710" s="232"/>
      <c r="P710" s="232"/>
      <c r="Q710" s="232"/>
      <c r="R710" s="232"/>
      <c r="S710" s="414"/>
      <c r="T710" s="415"/>
      <c r="U710" s="414"/>
      <c r="V710" s="414"/>
      <c r="W710" s="414"/>
      <c r="X710" s="414"/>
      <c r="Y710" s="414"/>
      <c r="Z710" s="416"/>
      <c r="AA710" s="416"/>
      <c r="AB710" s="414"/>
      <c r="AC710" s="414"/>
      <c r="AD710" s="416"/>
      <c r="AE710" s="414"/>
      <c r="AF710" s="233"/>
    </row>
    <row r="711" spans="1:32">
      <c r="A711" s="225">
        <f t="shared" si="10"/>
        <v>702</v>
      </c>
      <c r="B711" s="227" t="s">
        <v>1747</v>
      </c>
      <c r="C711" s="227" t="s">
        <v>2067</v>
      </c>
      <c r="D711" s="228" t="s">
        <v>2068</v>
      </c>
      <c r="E711" s="363" t="s">
        <v>2377</v>
      </c>
      <c r="F711" s="342">
        <v>45644</v>
      </c>
      <c r="G711" s="230"/>
      <c r="H711" s="231"/>
      <c r="I711" s="231">
        <v>462415</v>
      </c>
      <c r="J711" s="226" t="s">
        <v>2388</v>
      </c>
      <c r="K711" s="362"/>
      <c r="L711" s="345">
        <v>462415</v>
      </c>
      <c r="M711" s="346">
        <v>0</v>
      </c>
      <c r="N711" s="226"/>
      <c r="O711" s="232"/>
      <c r="P711" s="232"/>
      <c r="Q711" s="232"/>
      <c r="R711" s="232"/>
      <c r="S711" s="414"/>
      <c r="T711" s="415"/>
      <c r="U711" s="414"/>
      <c r="V711" s="414"/>
      <c r="W711" s="414"/>
      <c r="X711" s="414"/>
      <c r="Y711" s="414"/>
      <c r="Z711" s="416"/>
      <c r="AA711" s="416"/>
      <c r="AB711" s="414"/>
      <c r="AC711" s="414"/>
      <c r="AD711" s="416"/>
      <c r="AE711" s="414"/>
      <c r="AF711" s="233"/>
    </row>
    <row r="712" spans="1:32">
      <c r="A712" s="225">
        <f t="shared" si="10"/>
        <v>703</v>
      </c>
      <c r="B712" s="227" t="s">
        <v>1751</v>
      </c>
      <c r="C712" s="227" t="s">
        <v>1789</v>
      </c>
      <c r="D712" s="228" t="s">
        <v>1790</v>
      </c>
      <c r="E712" s="363" t="s">
        <v>2378</v>
      </c>
      <c r="F712" s="342">
        <v>45637</v>
      </c>
      <c r="G712" s="230"/>
      <c r="H712" s="231"/>
      <c r="I712" s="231">
        <v>28154</v>
      </c>
      <c r="J712" s="226" t="s">
        <v>2388</v>
      </c>
      <c r="K712" s="362"/>
      <c r="L712" s="345">
        <v>28154</v>
      </c>
      <c r="M712" s="346">
        <v>0</v>
      </c>
      <c r="N712" s="226" t="s">
        <v>2395</v>
      </c>
      <c r="O712" s="232"/>
      <c r="P712" s="232"/>
      <c r="Q712" s="232"/>
      <c r="R712" s="232"/>
      <c r="S712" s="414"/>
      <c r="T712" s="415"/>
      <c r="U712" s="414"/>
      <c r="V712" s="414"/>
      <c r="W712" s="414"/>
      <c r="X712" s="414"/>
      <c r="Y712" s="414"/>
      <c r="Z712" s="416"/>
      <c r="AA712" s="416"/>
      <c r="AB712" s="414"/>
      <c r="AC712" s="414"/>
      <c r="AD712" s="416"/>
      <c r="AE712" s="414"/>
      <c r="AF712" s="233"/>
    </row>
    <row r="713" spans="1:32">
      <c r="A713" s="225">
        <f t="shared" si="10"/>
        <v>704</v>
      </c>
      <c r="B713" s="227" t="s">
        <v>1752</v>
      </c>
      <c r="C713" s="227" t="s">
        <v>2067</v>
      </c>
      <c r="D713" s="228" t="s">
        <v>2068</v>
      </c>
      <c r="E713" s="363" t="s">
        <v>2379</v>
      </c>
      <c r="F713" s="342">
        <v>45657</v>
      </c>
      <c r="G713" s="230"/>
      <c r="H713" s="231"/>
      <c r="I713" s="231">
        <v>1328250</v>
      </c>
      <c r="J713" s="226" t="s">
        <v>2388</v>
      </c>
      <c r="K713" s="362"/>
      <c r="L713" s="345">
        <v>1328250</v>
      </c>
      <c r="M713" s="346">
        <v>0</v>
      </c>
      <c r="N713" s="226"/>
      <c r="O713" s="232"/>
      <c r="P713" s="232"/>
      <c r="Q713" s="232"/>
      <c r="R713" s="232"/>
      <c r="S713" s="414"/>
      <c r="T713" s="417"/>
      <c r="U713" s="414"/>
      <c r="V713" s="414"/>
      <c r="W713" s="414"/>
      <c r="X713" s="414"/>
      <c r="Y713" s="414"/>
      <c r="Z713" s="416"/>
      <c r="AA713" s="416"/>
      <c r="AB713" s="414"/>
      <c r="AC713" s="414"/>
      <c r="AD713" s="416"/>
      <c r="AE713" s="414"/>
      <c r="AF713" s="233"/>
    </row>
    <row r="714" spans="1:32">
      <c r="A714" s="225">
        <f t="shared" si="10"/>
        <v>705</v>
      </c>
      <c r="B714" s="227" t="s">
        <v>1753</v>
      </c>
      <c r="C714" s="227" t="s">
        <v>1763</v>
      </c>
      <c r="D714" s="228" t="s">
        <v>1764</v>
      </c>
      <c r="E714" s="363" t="s">
        <v>2380</v>
      </c>
      <c r="F714" s="342">
        <v>45657</v>
      </c>
      <c r="G714" s="230"/>
      <c r="H714" s="231"/>
      <c r="I714" s="231">
        <v>2473898</v>
      </c>
      <c r="J714" s="226" t="s">
        <v>2388</v>
      </c>
      <c r="K714" s="362"/>
      <c r="L714" s="345">
        <v>2473898</v>
      </c>
      <c r="M714" s="346">
        <v>0</v>
      </c>
      <c r="N714" s="226"/>
      <c r="O714" s="232"/>
      <c r="P714" s="232"/>
      <c r="Q714" s="232"/>
      <c r="R714" s="232"/>
      <c r="S714" s="414"/>
      <c r="T714" s="417"/>
      <c r="U714" s="414"/>
      <c r="V714" s="414"/>
      <c r="W714" s="414"/>
      <c r="X714" s="414"/>
      <c r="Y714" s="414"/>
      <c r="Z714" s="416"/>
      <c r="AA714" s="416"/>
      <c r="AB714" s="414"/>
      <c r="AC714" s="414"/>
      <c r="AD714" s="416"/>
      <c r="AE714" s="414"/>
      <c r="AF714" s="233"/>
    </row>
    <row r="715" spans="1:32">
      <c r="A715" s="225">
        <f t="shared" si="10"/>
        <v>706</v>
      </c>
      <c r="B715" s="227" t="s">
        <v>1754</v>
      </c>
      <c r="C715" s="227" t="s">
        <v>1760</v>
      </c>
      <c r="D715" s="228" t="s">
        <v>1761</v>
      </c>
      <c r="E715" s="363" t="s">
        <v>2381</v>
      </c>
      <c r="F715" s="342">
        <v>45657</v>
      </c>
      <c r="G715" s="230"/>
      <c r="H715" s="231"/>
      <c r="I715" s="231">
        <v>1610000</v>
      </c>
      <c r="J715" s="226" t="s">
        <v>2388</v>
      </c>
      <c r="K715" s="362"/>
      <c r="L715" s="345">
        <v>1610000</v>
      </c>
      <c r="M715" s="346">
        <v>0</v>
      </c>
      <c r="N715" s="226"/>
      <c r="O715" s="232"/>
      <c r="P715" s="232"/>
      <c r="Q715" s="232"/>
      <c r="R715" s="232"/>
      <c r="S715" s="414"/>
      <c r="T715" s="415"/>
      <c r="U715" s="414"/>
      <c r="V715" s="414"/>
      <c r="W715" s="414"/>
      <c r="X715" s="414"/>
      <c r="Y715" s="414"/>
      <c r="Z715" s="416"/>
      <c r="AA715" s="416"/>
      <c r="AB715" s="414"/>
      <c r="AC715" s="414"/>
      <c r="AD715" s="416"/>
      <c r="AE715" s="414"/>
      <c r="AF715" s="233"/>
    </row>
    <row r="716" spans="1:32">
      <c r="A716" s="225">
        <f t="shared" ref="A716:A722" si="11">A715+1</f>
        <v>707</v>
      </c>
      <c r="B716" s="227" t="s">
        <v>1755</v>
      </c>
      <c r="C716" s="227" t="s">
        <v>1774</v>
      </c>
      <c r="D716" s="228" t="s">
        <v>1775</v>
      </c>
      <c r="E716" s="363" t="s">
        <v>2382</v>
      </c>
      <c r="F716" s="342">
        <v>45654</v>
      </c>
      <c r="G716" s="230"/>
      <c r="H716" s="231"/>
      <c r="I716" s="231">
        <v>66347</v>
      </c>
      <c r="J716" s="226" t="s">
        <v>2388</v>
      </c>
      <c r="K716" s="362"/>
      <c r="L716" s="345">
        <v>66347</v>
      </c>
      <c r="M716" s="346">
        <v>0</v>
      </c>
      <c r="N716" s="226" t="s">
        <v>2394</v>
      </c>
      <c r="O716" s="232"/>
      <c r="P716" s="232"/>
      <c r="Q716" s="232"/>
      <c r="R716" s="232"/>
      <c r="S716" s="414"/>
      <c r="T716" s="415"/>
      <c r="U716" s="414"/>
      <c r="V716" s="414"/>
      <c r="W716" s="414"/>
      <c r="X716" s="414"/>
      <c r="Y716" s="414"/>
      <c r="Z716" s="416"/>
      <c r="AA716" s="416"/>
      <c r="AB716" s="414"/>
      <c r="AC716" s="414"/>
      <c r="AD716" s="416"/>
      <c r="AE716" s="414"/>
      <c r="AF716" s="233"/>
    </row>
    <row r="717" spans="1:32">
      <c r="A717" s="225">
        <f t="shared" si="11"/>
        <v>708</v>
      </c>
      <c r="B717" s="227" t="s">
        <v>1685</v>
      </c>
      <c r="C717" s="227" t="s">
        <v>1766</v>
      </c>
      <c r="D717" s="228" t="s">
        <v>1767</v>
      </c>
      <c r="E717" s="363" t="s">
        <v>2383</v>
      </c>
      <c r="F717" s="342">
        <v>45652</v>
      </c>
      <c r="G717" s="230"/>
      <c r="H717" s="231"/>
      <c r="I717" s="231">
        <v>2812600</v>
      </c>
      <c r="J717" s="226" t="s">
        <v>2388</v>
      </c>
      <c r="K717" s="362"/>
      <c r="L717" s="345">
        <v>2812600</v>
      </c>
      <c r="M717" s="346">
        <v>0</v>
      </c>
      <c r="N717" s="226"/>
      <c r="O717" s="232"/>
      <c r="P717" s="232"/>
      <c r="Q717" s="232"/>
      <c r="R717" s="232"/>
      <c r="S717" s="414"/>
      <c r="T717" s="415"/>
      <c r="U717" s="414"/>
      <c r="V717" s="414"/>
      <c r="W717" s="414"/>
      <c r="X717" s="414"/>
      <c r="Y717" s="414"/>
      <c r="Z717" s="416"/>
      <c r="AA717" s="416"/>
      <c r="AB717" s="414"/>
      <c r="AC717" s="414"/>
      <c r="AD717" s="416"/>
      <c r="AE717" s="414"/>
      <c r="AF717" s="233"/>
    </row>
    <row r="718" spans="1:32">
      <c r="A718" s="225">
        <f t="shared" si="11"/>
        <v>709</v>
      </c>
      <c r="B718" s="227" t="s">
        <v>1756</v>
      </c>
      <c r="C718" s="227" t="s">
        <v>2236</v>
      </c>
      <c r="D718" s="228" t="s">
        <v>2237</v>
      </c>
      <c r="E718" s="363" t="s">
        <v>2384</v>
      </c>
      <c r="F718" s="342">
        <v>45650</v>
      </c>
      <c r="G718" s="230"/>
      <c r="H718" s="231"/>
      <c r="I718" s="231">
        <v>337596</v>
      </c>
      <c r="J718" s="226" t="s">
        <v>2388</v>
      </c>
      <c r="K718" s="362"/>
      <c r="L718" s="345">
        <v>337596</v>
      </c>
      <c r="M718" s="346">
        <v>0</v>
      </c>
      <c r="N718" s="226"/>
      <c r="O718" s="232"/>
      <c r="P718" s="232"/>
      <c r="Q718" s="232"/>
      <c r="R718" s="232"/>
      <c r="S718" s="414"/>
      <c r="T718" s="415"/>
      <c r="U718" s="414"/>
      <c r="V718" s="414"/>
      <c r="W718" s="414"/>
      <c r="X718" s="414"/>
      <c r="Y718" s="414"/>
      <c r="Z718" s="416"/>
      <c r="AA718" s="416"/>
      <c r="AB718" s="414"/>
      <c r="AC718" s="414"/>
      <c r="AD718" s="416"/>
      <c r="AE718" s="414"/>
      <c r="AF718" s="233"/>
    </row>
    <row r="719" spans="1:32">
      <c r="A719" s="225">
        <f t="shared" si="11"/>
        <v>710</v>
      </c>
      <c r="B719" s="227" t="s">
        <v>1757</v>
      </c>
      <c r="C719" s="227" t="s">
        <v>2290</v>
      </c>
      <c r="D719" s="228" t="s">
        <v>2291</v>
      </c>
      <c r="E719" s="363" t="s">
        <v>2385</v>
      </c>
      <c r="F719" s="342">
        <v>45628</v>
      </c>
      <c r="G719" s="230"/>
      <c r="H719" s="231"/>
      <c r="I719" s="231">
        <v>141015</v>
      </c>
      <c r="J719" s="226" t="s">
        <v>2388</v>
      </c>
      <c r="K719" s="362"/>
      <c r="L719" s="345">
        <v>141015</v>
      </c>
      <c r="M719" s="346">
        <v>0</v>
      </c>
      <c r="N719" s="226"/>
      <c r="O719" s="232"/>
      <c r="P719" s="232"/>
      <c r="Q719" s="232"/>
      <c r="R719" s="232"/>
      <c r="S719" s="414"/>
      <c r="T719" s="415"/>
      <c r="U719" s="414"/>
      <c r="V719" s="414"/>
      <c r="W719" s="414"/>
      <c r="X719" s="414"/>
      <c r="Y719" s="414"/>
      <c r="Z719" s="416"/>
      <c r="AA719" s="416"/>
      <c r="AB719" s="414"/>
      <c r="AC719" s="414"/>
      <c r="AD719" s="416"/>
      <c r="AE719" s="414"/>
      <c r="AF719" s="233"/>
    </row>
    <row r="720" spans="1:32">
      <c r="A720" s="225">
        <f t="shared" si="11"/>
        <v>711</v>
      </c>
      <c r="B720" s="227" t="s">
        <v>1758</v>
      </c>
      <c r="C720" s="227" t="s">
        <v>1780</v>
      </c>
      <c r="D720" s="228" t="s">
        <v>1781</v>
      </c>
      <c r="E720" s="363">
        <v>8670</v>
      </c>
      <c r="F720" s="342">
        <v>45627</v>
      </c>
      <c r="G720" s="230"/>
      <c r="H720" s="231"/>
      <c r="I720" s="231">
        <v>5306</v>
      </c>
      <c r="J720" s="226" t="s">
        <v>2389</v>
      </c>
      <c r="K720" s="362"/>
      <c r="L720" s="345"/>
      <c r="M720" s="346">
        <v>5306</v>
      </c>
      <c r="N720" s="226"/>
      <c r="O720" s="232"/>
      <c r="P720" s="232"/>
      <c r="Q720" s="232"/>
      <c r="R720" s="232"/>
      <c r="S720" s="414"/>
      <c r="T720" s="415"/>
      <c r="U720" s="414"/>
      <c r="V720" s="414"/>
      <c r="W720" s="414"/>
      <c r="X720" s="414"/>
      <c r="Y720" s="414"/>
      <c r="Z720" s="416"/>
      <c r="AA720" s="416"/>
      <c r="AB720" s="414"/>
      <c r="AC720" s="414"/>
      <c r="AD720" s="416"/>
      <c r="AE720" s="414"/>
      <c r="AF720" s="233"/>
    </row>
    <row r="721" spans="1:36">
      <c r="A721" s="225">
        <f t="shared" si="11"/>
        <v>712</v>
      </c>
      <c r="B721" s="227" t="s">
        <v>1759</v>
      </c>
      <c r="C721" s="227" t="s">
        <v>2067</v>
      </c>
      <c r="D721" s="228" t="s">
        <v>2068</v>
      </c>
      <c r="E721" s="363" t="s">
        <v>2386</v>
      </c>
      <c r="F721" s="342">
        <v>45548</v>
      </c>
      <c r="G721" s="230"/>
      <c r="H721" s="231"/>
      <c r="I721" s="231">
        <v>-203148</v>
      </c>
      <c r="J721" s="226" t="s">
        <v>2388</v>
      </c>
      <c r="K721" s="362"/>
      <c r="L721" s="345">
        <v>-203148</v>
      </c>
      <c r="M721" s="346">
        <v>0</v>
      </c>
      <c r="N721" s="226"/>
      <c r="O721" s="232"/>
      <c r="P721" s="232"/>
      <c r="Q721" s="232"/>
      <c r="R721" s="232"/>
      <c r="S721" s="414"/>
      <c r="T721" s="415"/>
      <c r="U721" s="414"/>
      <c r="V721" s="414"/>
      <c r="W721" s="414"/>
      <c r="X721" s="414"/>
      <c r="Y721" s="414"/>
      <c r="Z721" s="416"/>
      <c r="AA721" s="416"/>
      <c r="AB721" s="414"/>
      <c r="AC721" s="414"/>
      <c r="AD721" s="416"/>
      <c r="AE721" s="414"/>
      <c r="AF721" s="233"/>
    </row>
    <row r="722" spans="1:36">
      <c r="A722" s="225">
        <f t="shared" si="11"/>
        <v>713</v>
      </c>
      <c r="B722" s="227" t="s">
        <v>1759</v>
      </c>
      <c r="C722" s="227" t="s">
        <v>1782</v>
      </c>
      <c r="D722" s="228" t="s">
        <v>1783</v>
      </c>
      <c r="E722" s="363" t="s">
        <v>2387</v>
      </c>
      <c r="F722" s="342">
        <v>45259</v>
      </c>
      <c r="G722" s="230"/>
      <c r="H722" s="231"/>
      <c r="I722" s="231">
        <v>-88903</v>
      </c>
      <c r="J722" s="226" t="s">
        <v>2388</v>
      </c>
      <c r="K722" s="362"/>
      <c r="L722" s="345">
        <v>-88903</v>
      </c>
      <c r="M722" s="346">
        <v>0</v>
      </c>
      <c r="N722" s="226" t="s">
        <v>2398</v>
      </c>
      <c r="O722" s="232"/>
      <c r="P722" s="232"/>
      <c r="Q722" s="232"/>
      <c r="R722" s="232"/>
      <c r="S722" s="414"/>
      <c r="T722" s="415"/>
      <c r="U722" s="414"/>
      <c r="V722" s="414"/>
      <c r="W722" s="414"/>
      <c r="X722" s="414"/>
      <c r="Y722" s="414"/>
      <c r="Z722" s="416"/>
      <c r="AA722" s="416"/>
      <c r="AB722" s="414"/>
      <c r="AC722" s="414"/>
      <c r="AD722" s="416"/>
      <c r="AE722" s="414"/>
      <c r="AF722" s="233"/>
    </row>
    <row r="723" spans="1:36" ht="25.2" customHeight="1">
      <c r="A723" s="225"/>
      <c r="B723" s="234"/>
      <c r="C723" s="234"/>
      <c r="D723" s="235"/>
      <c r="E723" s="236"/>
      <c r="F723" s="237"/>
      <c r="G723" s="230"/>
      <c r="H723" s="238"/>
      <c r="I723" s="239"/>
      <c r="J723" s="233"/>
      <c r="K723" s="293"/>
      <c r="L723" s="345"/>
    </row>
    <row r="724" spans="1:36" ht="25.2" customHeight="1">
      <c r="A724" s="240" t="s">
        <v>1036</v>
      </c>
      <c r="B724" s="240"/>
      <c r="C724" s="240"/>
      <c r="D724" s="240"/>
      <c r="E724" s="240"/>
      <c r="F724" s="240"/>
      <c r="G724" s="240"/>
      <c r="H724" s="240"/>
      <c r="I724" s="241">
        <f>SUM(I10:I722)</f>
        <v>353183179</v>
      </c>
      <c r="J724" s="226"/>
      <c r="K724" s="345"/>
      <c r="L724" s="241">
        <f>SUM(L10:L722)</f>
        <v>348902382</v>
      </c>
      <c r="M724" s="241">
        <f>SUM(M10:M722)</f>
        <v>4280797</v>
      </c>
      <c r="N724" s="419"/>
    </row>
    <row r="726" spans="1:36" s="244" customFormat="1">
      <c r="A726" s="252" t="s">
        <v>1037</v>
      </c>
      <c r="B726" s="207"/>
      <c r="C726" s="207"/>
      <c r="D726" s="207"/>
      <c r="E726" s="207"/>
      <c r="F726" s="207"/>
      <c r="G726" s="207"/>
      <c r="H726" s="207"/>
      <c r="I726" s="207"/>
      <c r="J726" s="251"/>
      <c r="K726" s="251"/>
      <c r="L726" s="347"/>
      <c r="M726" s="348"/>
      <c r="N726" s="348"/>
      <c r="O726" s="245"/>
      <c r="P726" s="245"/>
      <c r="Q726" s="245"/>
      <c r="R726" s="245"/>
      <c r="S726" s="344"/>
      <c r="T726" s="348"/>
      <c r="U726" s="348"/>
      <c r="V726" s="348"/>
      <c r="W726" s="348"/>
      <c r="X726" s="348"/>
      <c r="Y726" s="348"/>
      <c r="Z726" s="348"/>
      <c r="AA726" s="348"/>
      <c r="AB726" s="348"/>
      <c r="AC726" s="348"/>
      <c r="AD726" s="348"/>
      <c r="AE726" s="348"/>
      <c r="AF726" s="245"/>
      <c r="AG726" s="245"/>
      <c r="AI726" s="245"/>
      <c r="AJ726" s="245"/>
    </row>
    <row r="727" spans="1:36" s="244" customFormat="1" ht="24.6">
      <c r="A727" s="240" t="s">
        <v>1072</v>
      </c>
      <c r="B727" s="240" t="s">
        <v>760</v>
      </c>
      <c r="C727" s="365" t="s">
        <v>1038</v>
      </c>
      <c r="D727" s="259" t="s">
        <v>1100</v>
      </c>
      <c r="E727" s="259" t="s">
        <v>15</v>
      </c>
      <c r="K727" s="341"/>
      <c r="L727" s="347"/>
      <c r="M727" s="348"/>
      <c r="N727" s="348"/>
      <c r="O727" s="245"/>
      <c r="P727" s="245"/>
      <c r="Q727" s="245"/>
      <c r="R727" s="245"/>
      <c r="S727" s="344"/>
      <c r="T727" s="348"/>
      <c r="U727" s="348"/>
      <c r="V727" s="348"/>
      <c r="W727" s="348"/>
      <c r="X727" s="348"/>
      <c r="Y727" s="348"/>
      <c r="Z727" s="348"/>
      <c r="AA727" s="348"/>
      <c r="AB727" s="348"/>
      <c r="AC727" s="348"/>
      <c r="AD727" s="348"/>
      <c r="AE727" s="348"/>
      <c r="AF727" s="245"/>
      <c r="AG727" s="246"/>
      <c r="AI727" s="245"/>
      <c r="AJ727" s="245"/>
    </row>
    <row r="728" spans="1:36" s="244" customFormat="1">
      <c r="A728" s="512"/>
      <c r="B728" s="226" t="s">
        <v>1094</v>
      </c>
      <c r="C728" s="255">
        <f>'Annex I-IM Non-State Charge'!G19</f>
        <v>2877646</v>
      </c>
      <c r="D728" s="254"/>
      <c r="E728" s="254"/>
      <c r="K728" s="250"/>
      <c r="L728" s="347"/>
      <c r="M728" s="348"/>
      <c r="N728" s="348"/>
      <c r="O728" s="245"/>
      <c r="P728" s="245"/>
      <c r="Q728" s="245"/>
      <c r="R728" s="245"/>
      <c r="S728" s="344"/>
      <c r="T728" s="348"/>
      <c r="U728" s="348"/>
      <c r="V728" s="348"/>
      <c r="W728" s="348"/>
      <c r="X728" s="348"/>
      <c r="Y728" s="348"/>
      <c r="Z728" s="348"/>
      <c r="AA728" s="348"/>
      <c r="AB728" s="348"/>
      <c r="AC728" s="348"/>
      <c r="AD728" s="348"/>
      <c r="AE728" s="348"/>
      <c r="AF728" s="245"/>
      <c r="AG728" s="246"/>
      <c r="AI728" s="245"/>
      <c r="AJ728" s="245"/>
    </row>
    <row r="729" spans="1:36" s="244" customFormat="1">
      <c r="A729" s="513"/>
      <c r="B729" s="226" t="s">
        <v>1039</v>
      </c>
      <c r="C729" s="255">
        <f>I724</f>
        <v>353183179</v>
      </c>
      <c r="D729" s="254"/>
      <c r="E729" s="254"/>
      <c r="F729" s="256"/>
      <c r="G729" s="207"/>
      <c r="H729" s="243"/>
      <c r="I729" s="250"/>
      <c r="J729" s="251"/>
      <c r="K729" s="251"/>
      <c r="L729" s="347"/>
      <c r="M729" s="348"/>
      <c r="N729" s="348"/>
      <c r="O729" s="245"/>
      <c r="P729" s="245"/>
      <c r="Q729" s="245"/>
      <c r="R729" s="245"/>
      <c r="S729" s="344"/>
      <c r="T729" s="348"/>
      <c r="U729" s="348"/>
      <c r="V729" s="348"/>
      <c r="W729" s="348"/>
      <c r="X729" s="348"/>
      <c r="Y729" s="348"/>
      <c r="Z729" s="348"/>
      <c r="AA729" s="348"/>
      <c r="AB729" s="348"/>
      <c r="AC729" s="348"/>
      <c r="AD729" s="348"/>
      <c r="AE729" s="348"/>
      <c r="AF729" s="245"/>
      <c r="AG729" s="246"/>
      <c r="AI729" s="245"/>
      <c r="AJ729" s="245"/>
    </row>
    <row r="730" spans="1:36" s="244" customFormat="1">
      <c r="A730" s="513"/>
      <c r="B730" s="257" t="s">
        <v>1040</v>
      </c>
      <c r="C730" s="258">
        <f>C728+C729</f>
        <v>356060825</v>
      </c>
      <c r="D730" s="259"/>
      <c r="E730" s="254"/>
      <c r="F730" s="256"/>
      <c r="G730" s="207"/>
      <c r="H730" s="243"/>
      <c r="I730" s="253"/>
      <c r="J730" s="251"/>
      <c r="K730" s="251"/>
      <c r="L730" s="347"/>
      <c r="M730" s="348"/>
      <c r="N730" s="348"/>
      <c r="O730" s="245"/>
      <c r="P730" s="245"/>
      <c r="Q730" s="245"/>
      <c r="R730" s="245"/>
      <c r="S730" s="344"/>
      <c r="T730" s="348"/>
      <c r="U730" s="348"/>
      <c r="V730" s="348"/>
      <c r="W730" s="348"/>
      <c r="X730" s="348"/>
      <c r="Y730" s="348"/>
      <c r="Z730" s="348"/>
      <c r="AA730" s="348"/>
      <c r="AB730" s="348"/>
      <c r="AC730" s="348"/>
      <c r="AD730" s="348"/>
      <c r="AE730" s="348"/>
      <c r="AF730" s="245"/>
      <c r="AG730" s="245"/>
      <c r="AI730" s="245"/>
      <c r="AJ730" s="245"/>
    </row>
    <row r="731" spans="1:36" s="244" customFormat="1">
      <c r="A731" s="513"/>
      <c r="B731" s="226" t="s">
        <v>1073</v>
      </c>
      <c r="C731" s="260">
        <f>'Annex IV-Local Sale'!G12</f>
        <v>5511556</v>
      </c>
      <c r="D731" s="259"/>
      <c r="E731" s="254"/>
      <c r="F731" s="256"/>
      <c r="G731" s="207"/>
      <c r="H731" s="243"/>
      <c r="I731" s="253"/>
      <c r="J731" s="251"/>
      <c r="K731" s="251"/>
      <c r="L731" s="347"/>
      <c r="M731" s="348"/>
      <c r="N731" s="348"/>
      <c r="O731" s="364"/>
      <c r="P731" s="364"/>
      <c r="Q731" s="364"/>
      <c r="R731" s="364"/>
      <c r="S731" s="344"/>
      <c r="T731" s="348"/>
      <c r="U731" s="348"/>
      <c r="V731" s="348"/>
      <c r="W731" s="348"/>
      <c r="X731" s="348"/>
      <c r="Y731" s="348"/>
      <c r="Z731" s="348"/>
      <c r="AA731" s="348"/>
      <c r="AB731" s="348"/>
      <c r="AC731" s="348"/>
      <c r="AD731" s="348"/>
      <c r="AE731" s="348"/>
      <c r="AF731" s="245"/>
      <c r="AG731" s="245"/>
      <c r="AI731" s="245"/>
      <c r="AJ731" s="245"/>
    </row>
    <row r="732" spans="1:36" s="244" customFormat="1">
      <c r="A732" s="513"/>
      <c r="B732" s="257" t="s">
        <v>1074</v>
      </c>
      <c r="C732" s="260">
        <f>C731</f>
        <v>5511556</v>
      </c>
      <c r="D732" s="259"/>
      <c r="E732" s="254"/>
      <c r="F732" s="256"/>
      <c r="G732" s="207"/>
      <c r="H732" s="243"/>
      <c r="I732" s="253"/>
      <c r="J732" s="251"/>
      <c r="K732" s="251"/>
      <c r="L732" s="347"/>
      <c r="M732" s="348"/>
      <c r="N732" s="348"/>
      <c r="O732" s="364"/>
      <c r="P732" s="364"/>
      <c r="Q732" s="364"/>
      <c r="R732" s="364"/>
      <c r="S732" s="344"/>
      <c r="T732" s="348"/>
      <c r="U732" s="348"/>
      <c r="V732" s="348"/>
      <c r="W732" s="348"/>
      <c r="X732" s="348"/>
      <c r="Y732" s="348"/>
      <c r="Z732" s="348"/>
      <c r="AA732" s="348"/>
      <c r="AB732" s="348"/>
      <c r="AC732" s="348"/>
      <c r="AD732" s="348"/>
      <c r="AE732" s="348"/>
      <c r="AF732" s="245"/>
      <c r="AG732" s="245"/>
      <c r="AI732" s="245"/>
      <c r="AJ732" s="245"/>
    </row>
    <row r="733" spans="1:36" s="244" customFormat="1">
      <c r="A733" s="513"/>
      <c r="B733" s="261" t="s">
        <v>1075</v>
      </c>
      <c r="C733" s="262">
        <f>C730-C732</f>
        <v>350549269</v>
      </c>
      <c r="D733" s="259"/>
      <c r="E733" s="351"/>
      <c r="F733" s="256"/>
      <c r="G733" s="207"/>
      <c r="H733" s="243"/>
      <c r="I733" s="253"/>
      <c r="J733" s="251"/>
      <c r="K733" s="251"/>
      <c r="L733" s="347"/>
      <c r="M733" s="348"/>
      <c r="N733" s="348"/>
      <c r="O733" s="364"/>
      <c r="P733" s="364"/>
      <c r="Q733" s="364"/>
      <c r="R733" s="364"/>
      <c r="S733" s="344"/>
      <c r="T733" s="348"/>
      <c r="U733" s="348"/>
      <c r="V733" s="348"/>
      <c r="W733" s="348"/>
      <c r="X733" s="348"/>
      <c r="Y733" s="348"/>
      <c r="Z733" s="348"/>
      <c r="AA733" s="348"/>
      <c r="AB733" s="348"/>
      <c r="AC733" s="348"/>
      <c r="AD733" s="348"/>
      <c r="AE733" s="348"/>
      <c r="AF733" s="245"/>
      <c r="AG733" s="245"/>
      <c r="AI733" s="245"/>
      <c r="AJ733" s="245"/>
    </row>
    <row r="734" spans="1:36" s="244" customFormat="1">
      <c r="A734" s="514"/>
      <c r="B734" s="240" t="s">
        <v>1053</v>
      </c>
      <c r="C734" s="241">
        <f>'Company information'!E22</f>
        <v>352496017</v>
      </c>
      <c r="D734" s="259" t="s">
        <v>1042</v>
      </c>
      <c r="E734" s="226"/>
      <c r="F734" s="253"/>
      <c r="G734" s="207"/>
      <c r="H734" s="243"/>
      <c r="I734" s="253"/>
      <c r="J734" s="251"/>
      <c r="K734" s="251"/>
      <c r="L734" s="347" t="s">
        <v>1139</v>
      </c>
      <c r="M734" s="348">
        <v>4273655325</v>
      </c>
      <c r="N734" s="420">
        <f>M734/C734</f>
        <v>12.123981886013764</v>
      </c>
      <c r="O734" s="245"/>
      <c r="P734" s="245"/>
      <c r="Q734" s="245"/>
      <c r="R734" s="245"/>
      <c r="S734" s="344"/>
      <c r="T734" s="348"/>
      <c r="U734" s="348"/>
      <c r="V734" s="348"/>
      <c r="W734" s="348"/>
      <c r="X734" s="348"/>
      <c r="Y734" s="348"/>
      <c r="Z734" s="348"/>
      <c r="AA734" s="348"/>
      <c r="AB734" s="348"/>
      <c r="AC734" s="348"/>
      <c r="AD734" s="348"/>
      <c r="AE734" s="348"/>
      <c r="AF734" s="245"/>
      <c r="AG734" s="245"/>
      <c r="AH734" s="248"/>
      <c r="AI734" s="245"/>
      <c r="AJ734" s="245"/>
    </row>
    <row r="735" spans="1:36" s="244" customFormat="1">
      <c r="A735" s="225">
        <f>COUNTIF($J$10:$J$722,"អនុញ្ញាត (បានប្រកាស)")</f>
        <v>0</v>
      </c>
      <c r="B735" s="226" t="s">
        <v>1043</v>
      </c>
      <c r="C735" s="255">
        <f>SUMIF($J$10:$J$722,"អនុញ្ញាត (បានប្រកាស)",$L$10:$L$722)</f>
        <v>0</v>
      </c>
      <c r="D735" s="259" t="s">
        <v>1044</v>
      </c>
      <c r="E735" s="226" t="s">
        <v>1045</v>
      </c>
      <c r="K735" s="251"/>
      <c r="L735" s="347" t="s">
        <v>1138</v>
      </c>
      <c r="M735" s="348">
        <v>2775</v>
      </c>
      <c r="N735" s="420">
        <f>M735/(A735+A738+A739+A740+A741)</f>
        <v>126.13636363636364</v>
      </c>
      <c r="O735" s="245"/>
      <c r="P735" s="245"/>
      <c r="Q735" s="245"/>
      <c r="R735" s="245"/>
      <c r="S735" s="344"/>
      <c r="T735" s="348"/>
      <c r="U735" s="348"/>
      <c r="V735" s="348"/>
      <c r="W735" s="348"/>
      <c r="X735" s="348"/>
      <c r="Y735" s="348"/>
      <c r="Z735" s="348"/>
      <c r="AA735" s="348"/>
      <c r="AB735" s="348"/>
      <c r="AC735" s="348"/>
      <c r="AD735" s="348"/>
      <c r="AE735" s="348"/>
      <c r="AF735" s="245"/>
      <c r="AG735" s="246"/>
      <c r="AH735" s="249"/>
      <c r="AI735" s="245"/>
      <c r="AJ735" s="245"/>
    </row>
    <row r="736" spans="1:36" s="244" customFormat="1">
      <c r="A736" s="225">
        <f>COUNTIF('Annex I-IM Non-State Charge'!$H$16:$H$17,"អាចប្រើប្រាស់ជាឥណទានបាន")</f>
        <v>0</v>
      </c>
      <c r="B736" s="226" t="s">
        <v>1091</v>
      </c>
      <c r="C736" s="255">
        <f>SUMIF('Annex I-IM Non-State Charge'!$H$16:$H$17,"អាចប្រើប្រាស់ជាឥណទានបាន",'Annex I-IM Non-State Charge'!$J$16:$J$17)</f>
        <v>0</v>
      </c>
      <c r="D736" s="259" t="s">
        <v>1047</v>
      </c>
      <c r="E736" s="226" t="s">
        <v>1045</v>
      </c>
      <c r="F736" s="358"/>
      <c r="G736" s="242"/>
      <c r="H736" s="242"/>
      <c r="I736" s="242"/>
      <c r="J736" s="251"/>
      <c r="K736" s="251"/>
      <c r="L736" s="347"/>
      <c r="M736" s="348"/>
      <c r="N736" s="348"/>
      <c r="O736" s="245"/>
      <c r="P736" s="245"/>
      <c r="Q736" s="245"/>
      <c r="R736" s="245"/>
      <c r="S736" s="344"/>
      <c r="T736" s="348"/>
      <c r="U736" s="348"/>
      <c r="V736" s="348"/>
      <c r="W736" s="348"/>
      <c r="X736" s="348"/>
      <c r="Y736" s="348"/>
      <c r="Z736" s="348"/>
      <c r="AA736" s="348"/>
      <c r="AB736" s="348"/>
      <c r="AC736" s="348"/>
      <c r="AD736" s="348"/>
      <c r="AE736" s="348"/>
      <c r="AF736" s="245"/>
      <c r="AG736" s="246"/>
      <c r="AH736" s="249"/>
      <c r="AI736" s="245"/>
      <c r="AJ736" s="245"/>
    </row>
    <row r="737" spans="1:36" s="244" customFormat="1">
      <c r="A737" s="225" t="e">
        <f>'Annex I-IM Non-State Charge'!#REF!</f>
        <v>#REF!</v>
      </c>
      <c r="B737" s="226" t="s">
        <v>1092</v>
      </c>
      <c r="C737" s="255">
        <f>C728</f>
        <v>2877646</v>
      </c>
      <c r="D737" s="259" t="s">
        <v>1047</v>
      </c>
      <c r="E737" s="226" t="s">
        <v>1041</v>
      </c>
      <c r="F737" s="358"/>
      <c r="G737" s="242"/>
      <c r="H737" s="242"/>
      <c r="I737" s="242"/>
      <c r="J737" s="251"/>
      <c r="K737" s="251"/>
      <c r="L737" s="347"/>
      <c r="M737" s="348"/>
      <c r="N737" s="348"/>
      <c r="O737" s="245"/>
      <c r="P737" s="245"/>
      <c r="Q737" s="245"/>
      <c r="R737" s="245"/>
      <c r="S737" s="344"/>
      <c r="T737" s="348"/>
      <c r="U737" s="348"/>
      <c r="V737" s="348"/>
      <c r="W737" s="348"/>
      <c r="X737" s="348"/>
      <c r="Y737" s="348"/>
      <c r="Z737" s="348"/>
      <c r="AA737" s="348"/>
      <c r="AB737" s="348"/>
      <c r="AC737" s="348"/>
      <c r="AD737" s="348"/>
      <c r="AE737" s="348"/>
      <c r="AF737" s="245"/>
      <c r="AG737" s="246"/>
      <c r="AH737" s="249"/>
      <c r="AI737" s="245"/>
      <c r="AJ737" s="245"/>
    </row>
    <row r="738" spans="1:36" s="244" customFormat="1">
      <c r="A738" s="225">
        <f>COUNTIF($J$10:$J$722,"ព្យួរទុក (មិនបានប្រកាស)")</f>
        <v>0</v>
      </c>
      <c r="B738" s="226" t="s">
        <v>1046</v>
      </c>
      <c r="C738" s="255">
        <f>SUMIF($J$10:$J$722,"ព្យួរទុក (មិនបានប្រកាស)",$M$10:$M$722)+SUMIF($J$10:$J$722,"អនុញ្ញាត (បានប្រកាស)",$M$10:$M$722)</f>
        <v>0</v>
      </c>
      <c r="D738" s="259" t="s">
        <v>1049</v>
      </c>
      <c r="E738" s="226" t="s">
        <v>1041</v>
      </c>
      <c r="L738" s="347"/>
      <c r="M738" s="348"/>
      <c r="N738" s="348"/>
      <c r="O738" s="245"/>
      <c r="P738" s="245"/>
      <c r="Q738" s="245"/>
      <c r="R738" s="245"/>
      <c r="S738" s="344"/>
      <c r="T738" s="348"/>
      <c r="U738" s="348"/>
      <c r="V738" s="348"/>
      <c r="W738" s="348"/>
      <c r="X738" s="348"/>
      <c r="Y738" s="348"/>
      <c r="Z738" s="348"/>
      <c r="AA738" s="348"/>
      <c r="AB738" s="348"/>
      <c r="AC738" s="348"/>
      <c r="AD738" s="348"/>
      <c r="AE738" s="348"/>
      <c r="AF738" s="245"/>
      <c r="AG738" s="245"/>
      <c r="AH738" s="249"/>
      <c r="AI738" s="245"/>
      <c r="AJ738" s="245"/>
    </row>
    <row r="739" spans="1:36" s="244" customFormat="1">
      <c r="A739" s="225">
        <f>COUNTIF($J$10:$J$722,"ព្យួរទុក (មិនមានទិន្នន័យ)")</f>
        <v>22</v>
      </c>
      <c r="B739" s="226" t="s">
        <v>1048</v>
      </c>
      <c r="C739" s="255">
        <f>SUMIF($J$10:$J$722,"ព្យួរទុក (មិនមានទិន្នន័យ)",$M$10:$M$722)</f>
        <v>606035</v>
      </c>
      <c r="D739" s="259" t="s">
        <v>1050</v>
      </c>
      <c r="E739" s="226" t="s">
        <v>1041</v>
      </c>
      <c r="L739" s="347"/>
      <c r="M739" s="348"/>
      <c r="N739" s="348"/>
      <c r="O739" s="247"/>
      <c r="P739" s="247"/>
      <c r="Q739" s="247"/>
      <c r="R739" s="247"/>
      <c r="S739" s="344"/>
      <c r="T739" s="348"/>
      <c r="U739" s="348"/>
      <c r="V739" s="348"/>
      <c r="W739" s="348"/>
      <c r="X739" s="348"/>
      <c r="Y739" s="348"/>
      <c r="Z739" s="348"/>
      <c r="AA739" s="348"/>
      <c r="AB739" s="348"/>
      <c r="AC739" s="348"/>
      <c r="AD739" s="348"/>
      <c r="AE739" s="348"/>
      <c r="AF739" s="245"/>
      <c r="AG739" s="245"/>
      <c r="AH739" s="249"/>
      <c r="AI739" s="245"/>
      <c r="AJ739" s="245"/>
    </row>
    <row r="740" spans="1:36" s="244" customFormat="1">
      <c r="A740" s="225">
        <f>COUNTIF($J$10:$J$722,"ព្យួរទុក (ប្រកាសខុស)")</f>
        <v>0</v>
      </c>
      <c r="B740" s="226" t="s">
        <v>1083</v>
      </c>
      <c r="C740" s="255">
        <f>SUMIF($J$10:$J$722,"ព្យួរទុក (ប្រកាសខុស)",$M$10:$M$722)</f>
        <v>0</v>
      </c>
      <c r="D740" s="259" t="s">
        <v>1095</v>
      </c>
      <c r="E740" s="226" t="s">
        <v>1041</v>
      </c>
      <c r="L740" s="347"/>
      <c r="M740" s="348"/>
      <c r="N740" s="348"/>
      <c r="O740" s="245"/>
      <c r="P740" s="245"/>
      <c r="Q740" s="245"/>
      <c r="R740" s="245"/>
      <c r="S740" s="344"/>
      <c r="T740" s="348"/>
      <c r="U740" s="348"/>
      <c r="V740" s="348"/>
      <c r="W740" s="348"/>
      <c r="X740" s="348"/>
      <c r="Y740" s="348"/>
      <c r="Z740" s="348"/>
      <c r="AA740" s="348"/>
      <c r="AB740" s="348"/>
      <c r="AC740" s="348"/>
      <c r="AD740" s="348"/>
      <c r="AE740" s="348"/>
      <c r="AF740" s="245"/>
      <c r="AG740" s="245"/>
      <c r="AH740" s="249"/>
      <c r="AI740" s="245"/>
      <c r="AJ740" s="245"/>
    </row>
    <row r="741" spans="1:36" s="244" customFormat="1" ht="23.25" customHeight="1">
      <c r="A741" s="225">
        <f>COUNTIF($J$10:$J$722,"ព្យួរទុក (មិនអនុញ្ញាតជាឥណទាន)")</f>
        <v>0</v>
      </c>
      <c r="B741" s="226" t="s">
        <v>1076</v>
      </c>
      <c r="C741" s="255">
        <f>SUMIF($J$10:$J$722,"ព្យួរទុក (មិនអនុញ្ញាតជាឥណទាន)",$M$10:$M$722)</f>
        <v>0</v>
      </c>
      <c r="D741" s="259" t="s">
        <v>1086</v>
      </c>
      <c r="E741" s="226" t="s">
        <v>1041</v>
      </c>
      <c r="L741" s="347">
        <f>C743-M741</f>
        <v>-5375155281.1855459</v>
      </c>
      <c r="M741" s="348">
        <v>5724167617.1855459</v>
      </c>
      <c r="N741" s="348"/>
      <c r="O741" s="245"/>
      <c r="P741" s="245"/>
      <c r="Q741" s="245"/>
      <c r="R741" s="245"/>
      <c r="S741" s="344"/>
      <c r="T741" s="348"/>
      <c r="U741" s="348"/>
      <c r="V741" s="348"/>
      <c r="W741" s="348"/>
      <c r="X741" s="348"/>
      <c r="Y741" s="348"/>
      <c r="Z741" s="348"/>
      <c r="AA741" s="348"/>
      <c r="AB741" s="348"/>
      <c r="AC741" s="348"/>
      <c r="AD741" s="348"/>
      <c r="AE741" s="348"/>
      <c r="AF741" s="245"/>
      <c r="AG741" s="245"/>
      <c r="AH741" s="249"/>
      <c r="AI741" s="245"/>
      <c r="AJ741" s="245"/>
    </row>
    <row r="742" spans="1:36" s="244" customFormat="1" ht="23.25" hidden="1" customHeight="1">
      <c r="A742" s="225"/>
      <c r="B742" s="226" t="s">
        <v>1054</v>
      </c>
      <c r="C742" s="255">
        <f>C734-C733</f>
        <v>1946748</v>
      </c>
      <c r="D742" s="259" t="s">
        <v>1087</v>
      </c>
      <c r="E742" s="226" t="s">
        <v>1041</v>
      </c>
      <c r="L742" s="347"/>
      <c r="M742" s="348"/>
      <c r="N742" s="348"/>
      <c r="O742" s="245"/>
      <c r="P742" s="245"/>
      <c r="Q742" s="245"/>
      <c r="R742" s="245"/>
      <c r="S742" s="344"/>
      <c r="T742" s="348"/>
      <c r="U742" s="348"/>
      <c r="V742" s="348"/>
      <c r="W742" s="348"/>
      <c r="X742" s="348"/>
      <c r="Y742" s="348"/>
      <c r="Z742" s="348"/>
      <c r="AA742" s="348"/>
      <c r="AB742" s="348"/>
      <c r="AC742" s="348"/>
      <c r="AD742" s="348"/>
      <c r="AE742" s="348"/>
      <c r="AF742" s="245"/>
      <c r="AG742" s="245"/>
      <c r="AH742" s="249"/>
      <c r="AI742" s="245"/>
      <c r="AJ742" s="245"/>
    </row>
    <row r="743" spans="1:36" s="244" customFormat="1">
      <c r="A743" s="226"/>
      <c r="B743" s="226" t="s">
        <v>1088</v>
      </c>
      <c r="C743" s="241">
        <f>C734-C737-C738-C739-C740-C741</f>
        <v>349012336</v>
      </c>
      <c r="D743" s="263" t="s">
        <v>1137</v>
      </c>
      <c r="E743" s="264"/>
      <c r="L743" s="347"/>
      <c r="M743" s="348">
        <v>157706220</v>
      </c>
      <c r="N743" s="348"/>
      <c r="O743" s="247"/>
      <c r="P743" s="247"/>
      <c r="Q743" s="247"/>
      <c r="R743" s="247"/>
      <c r="S743" s="344"/>
      <c r="T743" s="348"/>
      <c r="U743" s="348"/>
      <c r="V743" s="348"/>
      <c r="W743" s="348"/>
      <c r="X743" s="348"/>
      <c r="Y743" s="348"/>
      <c r="Z743" s="348"/>
      <c r="AA743" s="348"/>
      <c r="AB743" s="348"/>
      <c r="AC743" s="348"/>
      <c r="AD743" s="348"/>
      <c r="AE743" s="348"/>
      <c r="AF743" s="245"/>
      <c r="AG743" s="245"/>
      <c r="AH743" s="249"/>
      <c r="AI743" s="245"/>
      <c r="AJ743" s="245"/>
    </row>
    <row r="744" spans="1:36" ht="23.25" customHeight="1">
      <c r="A744" s="515" t="s">
        <v>1097</v>
      </c>
      <c r="B744" s="515"/>
      <c r="C744" s="515"/>
      <c r="D744" s="515"/>
      <c r="E744" s="515"/>
      <c r="M744" s="346">
        <f>C743-M743</f>
        <v>191306116</v>
      </c>
    </row>
    <row r="745" spans="1:36">
      <c r="A745" s="515"/>
      <c r="B745" s="515"/>
      <c r="C745" s="515"/>
      <c r="D745" s="515"/>
      <c r="E745" s="515"/>
    </row>
    <row r="746" spans="1:36">
      <c r="A746" s="515"/>
      <c r="B746" s="515"/>
      <c r="C746" s="515"/>
      <c r="D746" s="515"/>
      <c r="E746" s="515"/>
    </row>
    <row r="747" spans="1:36" ht="24.6">
      <c r="A747" s="511" t="s">
        <v>1096</v>
      </c>
      <c r="B747" s="511"/>
      <c r="C747" s="511"/>
      <c r="D747" s="511"/>
      <c r="E747" s="511"/>
    </row>
    <row r="748" spans="1:36">
      <c r="A748" s="484" t="s">
        <v>746</v>
      </c>
      <c r="B748" s="484"/>
      <c r="C748" s="484"/>
      <c r="D748" s="484"/>
      <c r="E748" s="484"/>
      <c r="F748" s="481" t="s">
        <v>1098</v>
      </c>
      <c r="G748" s="481"/>
      <c r="H748" s="481"/>
      <c r="I748" s="481"/>
      <c r="J748" s="481"/>
      <c r="K748" s="481"/>
    </row>
    <row r="749" spans="1:36">
      <c r="A749" s="207"/>
      <c r="D749" s="207"/>
      <c r="E749" s="207"/>
      <c r="F749" s="483" t="s">
        <v>1096</v>
      </c>
      <c r="G749" s="483"/>
      <c r="H749" s="483"/>
      <c r="I749" s="483"/>
      <c r="J749" s="483"/>
      <c r="K749" s="483"/>
    </row>
    <row r="750" spans="1:36">
      <c r="F750" s="484" t="s">
        <v>1099</v>
      </c>
      <c r="G750" s="484"/>
      <c r="H750" s="484"/>
      <c r="I750" s="484"/>
      <c r="J750" s="484"/>
      <c r="K750" s="484"/>
    </row>
    <row r="751" spans="1:36" ht="27" customHeight="1">
      <c r="A751" s="481" t="str">
        <f>'Company information'!E9</f>
        <v>ជុំ សុភា</v>
      </c>
      <c r="B751" s="481"/>
      <c r="C751" s="482" t="str">
        <f>'Company information'!F9</f>
        <v>ជា ហុកស័រ</v>
      </c>
      <c r="D751" s="482"/>
      <c r="E751" s="482"/>
    </row>
    <row r="752" spans="1:36">
      <c r="D752" s="366"/>
    </row>
  </sheetData>
  <autoFilter ref="A9:AJ722" xr:uid="{00000000-0009-0000-0000-000003000000}"/>
  <mergeCells count="41">
    <mergeCell ref="A747:E747"/>
    <mergeCell ref="A728:A734"/>
    <mergeCell ref="A744:E746"/>
    <mergeCell ref="AA7:AB7"/>
    <mergeCell ref="AC7:AC8"/>
    <mergeCell ref="G7:I7"/>
    <mergeCell ref="J7:J8"/>
    <mergeCell ref="P7:P8"/>
    <mergeCell ref="N7:N8"/>
    <mergeCell ref="AD7:AE7"/>
    <mergeCell ref="W7:Y7"/>
    <mergeCell ref="Q7:Q8"/>
    <mergeCell ref="A1:L1"/>
    <mergeCell ref="A2:L2"/>
    <mergeCell ref="A3:L3"/>
    <mergeCell ref="A7:A8"/>
    <mergeCell ref="B7:B8"/>
    <mergeCell ref="C7:C8"/>
    <mergeCell ref="D7:D8"/>
    <mergeCell ref="E7:F7"/>
    <mergeCell ref="K7:K8"/>
    <mergeCell ref="J6:K6"/>
    <mergeCell ref="L5:Q6"/>
    <mergeCell ref="O7:O8"/>
    <mergeCell ref="L7:L8"/>
    <mergeCell ref="T5:AJ6"/>
    <mergeCell ref="R5:S6"/>
    <mergeCell ref="A751:B751"/>
    <mergeCell ref="C751:E751"/>
    <mergeCell ref="F748:K748"/>
    <mergeCell ref="F749:K749"/>
    <mergeCell ref="F750:K750"/>
    <mergeCell ref="A748:E748"/>
    <mergeCell ref="AG7:AG8"/>
    <mergeCell ref="AF7:AF8"/>
    <mergeCell ref="S7:S8"/>
    <mergeCell ref="T7:T8"/>
    <mergeCell ref="Z7:Z8"/>
    <mergeCell ref="R7:R8"/>
    <mergeCell ref="U7:U8"/>
    <mergeCell ref="V7:V8"/>
  </mergeCells>
  <conditionalFormatting sqref="B727:B729">
    <cfRule type="duplicateValues" dxfId="8" priority="12"/>
  </conditionalFormatting>
  <conditionalFormatting sqref="B730:B733">
    <cfRule type="duplicateValues" dxfId="7" priority="13"/>
  </conditionalFormatting>
  <conditionalFormatting sqref="B734:B737">
    <cfRule type="duplicateValues" dxfId="6" priority="1044"/>
  </conditionalFormatting>
  <conditionalFormatting sqref="B738">
    <cfRule type="duplicateValues" dxfId="5" priority="9"/>
  </conditionalFormatting>
  <conditionalFormatting sqref="B739">
    <cfRule type="duplicateValues" dxfId="4" priority="15"/>
  </conditionalFormatting>
  <conditionalFormatting sqref="B740">
    <cfRule type="duplicateValues" dxfId="3" priority="7"/>
  </conditionalFormatting>
  <conditionalFormatting sqref="B741">
    <cfRule type="duplicateValues" dxfId="2" priority="8"/>
  </conditionalFormatting>
  <conditionalFormatting sqref="B742">
    <cfRule type="duplicateValues" dxfId="1" priority="2"/>
  </conditionalFormatting>
  <conditionalFormatting sqref="E723">
    <cfRule type="duplicateValues" dxfId="0" priority="1043"/>
  </conditionalFormatting>
  <printOptions horizontalCentered="1"/>
  <pageMargins left="0.2" right="0.2" top="0.5" bottom="0.45" header="0" footer="0"/>
  <pageSetup paperSize="9" scale="49" fitToHeight="0" orientation="portrait" r:id="rId1"/>
  <headerFooter scaleWithDoc="0"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1699"/>
  <sheetViews>
    <sheetView view="pageBreakPreview" zoomScaleNormal="100" zoomScaleSheetLayoutView="100" workbookViewId="0">
      <pane ySplit="8" topLeftCell="A9" activePane="bottomLeft" state="frozen"/>
      <selection pane="bottomLeft" activeCell="E10" sqref="E10"/>
    </sheetView>
  </sheetViews>
  <sheetFormatPr defaultColWidth="9.109375" defaultRowHeight="25.2"/>
  <cols>
    <col min="1" max="1" width="12.33203125" style="300" customWidth="1"/>
    <col min="2" max="2" width="41.44140625" style="300" customWidth="1"/>
    <col min="3" max="3" width="31.5546875" style="300" customWidth="1"/>
    <col min="4" max="4" width="28.88671875" style="300" customWidth="1"/>
    <col min="5" max="5" width="25.5546875" style="300" bestFit="1" customWidth="1"/>
    <col min="6" max="8" width="9.109375" style="194"/>
    <col min="9" max="9" width="17" style="194" bestFit="1" customWidth="1"/>
    <col min="10" max="16384" width="9.109375" style="194"/>
  </cols>
  <sheetData>
    <row r="1" spans="1:5" s="212" customFormat="1" ht="22.8">
      <c r="A1" s="457" t="s">
        <v>1169</v>
      </c>
      <c r="B1" s="457"/>
      <c r="C1" s="457"/>
      <c r="D1" s="457"/>
      <c r="E1" s="457"/>
    </row>
    <row r="2" spans="1:5" s="212" customFormat="1" ht="22.8">
      <c r="A2" s="457" t="s">
        <v>1111</v>
      </c>
      <c r="B2" s="457"/>
      <c r="C2" s="457"/>
      <c r="D2" s="457"/>
      <c r="E2" s="457"/>
    </row>
    <row r="3" spans="1:5" s="212" customFormat="1" ht="22.8">
      <c r="A3" s="457" t="s">
        <v>1112</v>
      </c>
      <c r="B3" s="457"/>
      <c r="C3" s="457"/>
      <c r="D3" s="457"/>
      <c r="E3" s="457"/>
    </row>
    <row r="4" spans="1:5" s="212" customFormat="1" ht="22.8">
      <c r="A4" s="298" t="s">
        <v>970</v>
      </c>
      <c r="B4" s="209" t="str">
        <f>'Company information'!E2</f>
        <v> វ៉ាយអិលធី​ អ៊ិនធើណេសិនណល</v>
      </c>
      <c r="C4" s="210"/>
      <c r="D4" s="299" t="s">
        <v>967</v>
      </c>
      <c r="E4" s="214" t="str">
        <f>'Company information'!E8</f>
        <v>លោក ជុំ សុភា</v>
      </c>
    </row>
    <row r="5" spans="1:5" s="212" customFormat="1" ht="22.8">
      <c r="A5" s="215" t="s">
        <v>971</v>
      </c>
      <c r="B5" s="209" t="str">
        <f>'Company information'!E4</f>
        <v> L001-100192823</v>
      </c>
      <c r="C5" s="210"/>
      <c r="D5" s="210"/>
      <c r="E5" s="214" t="str">
        <f>'Company information'!F8</f>
        <v>លោក ជា ហុកស័រ</v>
      </c>
    </row>
    <row r="6" spans="1:5" s="212" customFormat="1" ht="22.8">
      <c r="A6" s="216" t="str">
        <f>'Company information'!E21</f>
        <v>ស្នើសុំបង្វិលសងអាករលើតម្លៃបន្ថែមតាមអនឡាញចុះថ្ងៃទី៣ ខែកុម្ភៈ ឆ្នាំ២០២៥</v>
      </c>
      <c r="B6" s="209"/>
      <c r="D6" s="301" t="s">
        <v>969</v>
      </c>
      <c r="E6" s="218">
        <f>'Company information'!E22</f>
        <v>352496017</v>
      </c>
    </row>
    <row r="7" spans="1:5">
      <c r="A7" s="458" t="s">
        <v>2</v>
      </c>
      <c r="B7" s="458" t="s">
        <v>760</v>
      </c>
      <c r="C7" s="458" t="s">
        <v>1082</v>
      </c>
      <c r="D7" s="458"/>
      <c r="E7" s="458" t="s">
        <v>965</v>
      </c>
    </row>
    <row r="8" spans="1:5">
      <c r="A8" s="458"/>
      <c r="B8" s="458"/>
      <c r="C8" s="279" t="s">
        <v>6</v>
      </c>
      <c r="D8" s="279" t="s">
        <v>7</v>
      </c>
      <c r="E8" s="458"/>
    </row>
    <row r="9" spans="1:5" s="2" customFormat="1" ht="24" customHeight="1">
      <c r="A9" s="280"/>
      <c r="B9" s="302"/>
      <c r="C9" s="285"/>
      <c r="D9" s="283"/>
      <c r="E9" s="303"/>
    </row>
    <row r="10" spans="1:5" s="2" customFormat="1" ht="24" customHeight="1">
      <c r="A10" s="280">
        <v>1</v>
      </c>
      <c r="B10" s="281" t="s">
        <v>1134</v>
      </c>
      <c r="C10" s="285" t="s">
        <v>1143</v>
      </c>
      <c r="D10" s="283" t="s">
        <v>1141</v>
      </c>
      <c r="E10" s="303">
        <v>781804</v>
      </c>
    </row>
    <row r="11" spans="1:5" s="2" customFormat="1" ht="24" customHeight="1">
      <c r="A11" s="280">
        <f>A10+1</f>
        <v>2</v>
      </c>
      <c r="B11" s="281" t="s">
        <v>1133</v>
      </c>
      <c r="C11" s="285" t="s">
        <v>1144</v>
      </c>
      <c r="D11" s="283" t="s">
        <v>1142</v>
      </c>
      <c r="E11" s="303">
        <v>132450398</v>
      </c>
    </row>
    <row r="12" spans="1:5" s="2" customFormat="1" ht="24" customHeight="1">
      <c r="A12" s="280">
        <f t="shared" ref="A12:A75" si="0">A11+1</f>
        <v>3</v>
      </c>
      <c r="B12" s="281"/>
      <c r="C12" s="285"/>
      <c r="D12" s="283"/>
      <c r="E12" s="303"/>
    </row>
    <row r="13" spans="1:5" s="2" customFormat="1" ht="24" customHeight="1">
      <c r="A13" s="280">
        <f t="shared" si="0"/>
        <v>4</v>
      </c>
      <c r="B13" s="281"/>
      <c r="C13" s="285"/>
      <c r="D13" s="283"/>
      <c r="E13" s="303"/>
    </row>
    <row r="14" spans="1:5" s="2" customFormat="1" ht="24" customHeight="1">
      <c r="A14" s="280">
        <f t="shared" si="0"/>
        <v>5</v>
      </c>
      <c r="B14" s="281"/>
      <c r="C14" s="285"/>
      <c r="D14" s="283"/>
      <c r="E14" s="303"/>
    </row>
    <row r="15" spans="1:5" s="2" customFormat="1" ht="24" customHeight="1">
      <c r="A15" s="280">
        <f t="shared" si="0"/>
        <v>6</v>
      </c>
      <c r="B15" s="281"/>
      <c r="C15" s="285"/>
      <c r="D15" s="283"/>
      <c r="E15" s="303"/>
    </row>
    <row r="16" spans="1:5" s="2" customFormat="1" ht="24" customHeight="1">
      <c r="A16" s="280">
        <f t="shared" si="0"/>
        <v>7</v>
      </c>
      <c r="B16" s="281"/>
      <c r="C16" s="285"/>
      <c r="D16" s="283"/>
      <c r="E16" s="303"/>
    </row>
    <row r="17" spans="1:5" s="2" customFormat="1" ht="24" customHeight="1">
      <c r="A17" s="280">
        <f t="shared" si="0"/>
        <v>8</v>
      </c>
      <c r="B17" s="281"/>
      <c r="C17" s="285"/>
      <c r="D17" s="283"/>
      <c r="E17" s="303"/>
    </row>
    <row r="18" spans="1:5" s="2" customFormat="1" ht="24" customHeight="1">
      <c r="A18" s="280">
        <f t="shared" si="0"/>
        <v>9</v>
      </c>
      <c r="B18" s="281"/>
      <c r="C18" s="285"/>
      <c r="D18" s="283"/>
      <c r="E18" s="303"/>
    </row>
    <row r="19" spans="1:5" s="2" customFormat="1" ht="24" customHeight="1">
      <c r="A19" s="280">
        <f t="shared" si="0"/>
        <v>10</v>
      </c>
      <c r="B19" s="281"/>
      <c r="C19" s="285"/>
      <c r="D19" s="283"/>
      <c r="E19" s="303"/>
    </row>
    <row r="20" spans="1:5" s="2" customFormat="1" ht="24" customHeight="1">
      <c r="A20" s="280">
        <f t="shared" si="0"/>
        <v>11</v>
      </c>
      <c r="B20" s="281"/>
      <c r="C20" s="285"/>
      <c r="D20" s="283"/>
      <c r="E20" s="303"/>
    </row>
    <row r="21" spans="1:5" s="2" customFormat="1" ht="24" customHeight="1">
      <c r="A21" s="280">
        <f t="shared" si="0"/>
        <v>12</v>
      </c>
      <c r="B21" s="281"/>
      <c r="C21" s="285"/>
      <c r="D21" s="283"/>
      <c r="E21" s="303"/>
    </row>
    <row r="22" spans="1:5" s="2" customFormat="1" ht="24" customHeight="1">
      <c r="A22" s="280">
        <f t="shared" si="0"/>
        <v>13</v>
      </c>
      <c r="B22" s="281"/>
      <c r="C22" s="285"/>
      <c r="D22" s="283"/>
      <c r="E22" s="303"/>
    </row>
    <row r="23" spans="1:5" s="2" customFormat="1" ht="24" customHeight="1">
      <c r="A23" s="280">
        <f t="shared" si="0"/>
        <v>14</v>
      </c>
      <c r="B23" s="281"/>
      <c r="C23" s="285"/>
      <c r="D23" s="283"/>
      <c r="E23" s="303"/>
    </row>
    <row r="24" spans="1:5" s="2" customFormat="1" ht="24" customHeight="1">
      <c r="A24" s="280">
        <f t="shared" si="0"/>
        <v>15</v>
      </c>
      <c r="B24" s="281"/>
      <c r="C24" s="285"/>
      <c r="D24" s="283"/>
      <c r="E24" s="303"/>
    </row>
    <row r="25" spans="1:5" s="2" customFormat="1" ht="24" customHeight="1">
      <c r="A25" s="280">
        <f t="shared" si="0"/>
        <v>16</v>
      </c>
      <c r="B25" s="281"/>
      <c r="C25" s="285"/>
      <c r="D25" s="283"/>
      <c r="E25" s="303"/>
    </row>
    <row r="26" spans="1:5" s="2" customFormat="1" ht="24" customHeight="1">
      <c r="A26" s="280">
        <f t="shared" si="0"/>
        <v>17</v>
      </c>
      <c r="B26" s="281"/>
      <c r="C26" s="285"/>
      <c r="D26" s="283"/>
      <c r="E26" s="303"/>
    </row>
    <row r="27" spans="1:5" s="2" customFormat="1" ht="24" customHeight="1">
      <c r="A27" s="280">
        <f t="shared" si="0"/>
        <v>18</v>
      </c>
      <c r="B27" s="281"/>
      <c r="C27" s="285"/>
      <c r="D27" s="283"/>
      <c r="E27" s="303"/>
    </row>
    <row r="28" spans="1:5" s="2" customFormat="1" ht="24" customHeight="1">
      <c r="A28" s="280">
        <f t="shared" si="0"/>
        <v>19</v>
      </c>
      <c r="B28" s="281"/>
      <c r="C28" s="285"/>
      <c r="D28" s="283"/>
      <c r="E28" s="303"/>
    </row>
    <row r="29" spans="1:5" s="2" customFormat="1" ht="24" customHeight="1">
      <c r="A29" s="280">
        <f t="shared" si="0"/>
        <v>20</v>
      </c>
      <c r="B29" s="281"/>
      <c r="C29" s="285"/>
      <c r="D29" s="283"/>
      <c r="E29" s="303"/>
    </row>
    <row r="30" spans="1:5" s="2" customFormat="1" ht="24" customHeight="1">
      <c r="A30" s="280">
        <f t="shared" si="0"/>
        <v>21</v>
      </c>
      <c r="B30" s="281"/>
      <c r="C30" s="285"/>
      <c r="D30" s="283"/>
      <c r="E30" s="303"/>
    </row>
    <row r="31" spans="1:5" s="2" customFormat="1" ht="24" customHeight="1">
      <c r="A31" s="280">
        <f t="shared" si="0"/>
        <v>22</v>
      </c>
      <c r="B31" s="281"/>
      <c r="C31" s="285"/>
      <c r="D31" s="283"/>
      <c r="E31" s="303"/>
    </row>
    <row r="32" spans="1:5" s="2" customFormat="1" ht="24" customHeight="1">
      <c r="A32" s="280">
        <f t="shared" si="0"/>
        <v>23</v>
      </c>
      <c r="B32" s="281"/>
      <c r="C32" s="285"/>
      <c r="D32" s="283"/>
      <c r="E32" s="303"/>
    </row>
    <row r="33" spans="1:5" s="2" customFormat="1" ht="24" customHeight="1">
      <c r="A33" s="280">
        <f t="shared" si="0"/>
        <v>24</v>
      </c>
      <c r="B33" s="281"/>
      <c r="C33" s="285"/>
      <c r="D33" s="283"/>
      <c r="E33" s="303"/>
    </row>
    <row r="34" spans="1:5" s="2" customFormat="1" ht="24" customHeight="1">
      <c r="A34" s="280">
        <f t="shared" si="0"/>
        <v>25</v>
      </c>
      <c r="B34" s="281"/>
      <c r="C34" s="285"/>
      <c r="D34" s="283"/>
      <c r="E34" s="303"/>
    </row>
    <row r="35" spans="1:5" s="2" customFormat="1" ht="24" customHeight="1">
      <c r="A35" s="280">
        <f t="shared" si="0"/>
        <v>26</v>
      </c>
      <c r="B35" s="281"/>
      <c r="C35" s="285"/>
      <c r="D35" s="283"/>
      <c r="E35" s="303"/>
    </row>
    <row r="36" spans="1:5" s="2" customFormat="1" ht="24" customHeight="1">
      <c r="A36" s="280">
        <f t="shared" si="0"/>
        <v>27</v>
      </c>
      <c r="B36" s="281"/>
      <c r="C36" s="285"/>
      <c r="D36" s="283"/>
      <c r="E36" s="303"/>
    </row>
    <row r="37" spans="1:5" s="2" customFormat="1" ht="24" customHeight="1">
      <c r="A37" s="280">
        <f t="shared" si="0"/>
        <v>28</v>
      </c>
      <c r="B37" s="281"/>
      <c r="C37" s="285"/>
      <c r="D37" s="283"/>
      <c r="E37" s="303"/>
    </row>
    <row r="38" spans="1:5" s="2" customFormat="1" ht="24" customHeight="1">
      <c r="A38" s="280">
        <f t="shared" si="0"/>
        <v>29</v>
      </c>
      <c r="B38" s="281"/>
      <c r="C38" s="285"/>
      <c r="D38" s="283"/>
      <c r="E38" s="303"/>
    </row>
    <row r="39" spans="1:5" s="2" customFormat="1" ht="24" customHeight="1">
      <c r="A39" s="280">
        <f t="shared" si="0"/>
        <v>30</v>
      </c>
      <c r="B39" s="281"/>
      <c r="C39" s="285"/>
      <c r="D39" s="283"/>
      <c r="E39" s="303"/>
    </row>
    <row r="40" spans="1:5" s="2" customFormat="1" ht="24" customHeight="1">
      <c r="A40" s="280">
        <f t="shared" si="0"/>
        <v>31</v>
      </c>
      <c r="B40" s="281"/>
      <c r="C40" s="285"/>
      <c r="D40" s="283"/>
      <c r="E40" s="303"/>
    </row>
    <row r="41" spans="1:5" s="2" customFormat="1" ht="24" customHeight="1">
      <c r="A41" s="280">
        <f t="shared" si="0"/>
        <v>32</v>
      </c>
      <c r="B41" s="281"/>
      <c r="C41" s="285"/>
      <c r="D41" s="283"/>
      <c r="E41" s="303"/>
    </row>
    <row r="42" spans="1:5" s="2" customFormat="1" ht="24" customHeight="1">
      <c r="A42" s="280">
        <f t="shared" si="0"/>
        <v>33</v>
      </c>
      <c r="B42" s="281"/>
      <c r="C42" s="285"/>
      <c r="D42" s="283"/>
      <c r="E42" s="303"/>
    </row>
    <row r="43" spans="1:5" s="2" customFormat="1" ht="24" customHeight="1">
      <c r="A43" s="280">
        <f t="shared" si="0"/>
        <v>34</v>
      </c>
      <c r="B43" s="281"/>
      <c r="C43" s="285"/>
      <c r="D43" s="283"/>
      <c r="E43" s="303"/>
    </row>
    <row r="44" spans="1:5" s="2" customFormat="1" ht="24" customHeight="1">
      <c r="A44" s="280">
        <f t="shared" si="0"/>
        <v>35</v>
      </c>
      <c r="B44" s="281"/>
      <c r="C44" s="285"/>
      <c r="D44" s="283"/>
      <c r="E44" s="303"/>
    </row>
    <row r="45" spans="1:5" s="2" customFormat="1" ht="24" customHeight="1">
      <c r="A45" s="280">
        <f t="shared" si="0"/>
        <v>36</v>
      </c>
      <c r="B45" s="281"/>
      <c r="C45" s="285"/>
      <c r="D45" s="283"/>
      <c r="E45" s="303"/>
    </row>
    <row r="46" spans="1:5" s="2" customFormat="1" ht="24" customHeight="1">
      <c r="A46" s="280">
        <f t="shared" si="0"/>
        <v>37</v>
      </c>
      <c r="B46" s="281"/>
      <c r="C46" s="285"/>
      <c r="D46" s="283"/>
      <c r="E46" s="303"/>
    </row>
    <row r="47" spans="1:5" s="2" customFormat="1" ht="24" customHeight="1">
      <c r="A47" s="280">
        <f t="shared" si="0"/>
        <v>38</v>
      </c>
      <c r="B47" s="281"/>
      <c r="C47" s="285"/>
      <c r="D47" s="283"/>
      <c r="E47" s="303"/>
    </row>
    <row r="48" spans="1:5" s="2" customFormat="1" ht="24" customHeight="1">
      <c r="A48" s="280">
        <f t="shared" si="0"/>
        <v>39</v>
      </c>
      <c r="B48" s="281"/>
      <c r="C48" s="285"/>
      <c r="D48" s="283"/>
      <c r="E48" s="303"/>
    </row>
    <row r="49" spans="1:5" s="2" customFormat="1" ht="24" customHeight="1">
      <c r="A49" s="280">
        <f t="shared" si="0"/>
        <v>40</v>
      </c>
      <c r="B49" s="281"/>
      <c r="C49" s="285"/>
      <c r="D49" s="283"/>
      <c r="E49" s="303"/>
    </row>
    <row r="50" spans="1:5" s="2" customFormat="1" ht="24" customHeight="1">
      <c r="A50" s="280">
        <f t="shared" si="0"/>
        <v>41</v>
      </c>
      <c r="B50" s="281"/>
      <c r="C50" s="285"/>
      <c r="D50" s="283"/>
      <c r="E50" s="303"/>
    </row>
    <row r="51" spans="1:5" s="2" customFormat="1" ht="24" customHeight="1">
      <c r="A51" s="280">
        <f t="shared" si="0"/>
        <v>42</v>
      </c>
      <c r="B51" s="281"/>
      <c r="C51" s="285"/>
      <c r="D51" s="283"/>
      <c r="E51" s="303"/>
    </row>
    <row r="52" spans="1:5" s="2" customFormat="1" ht="24" customHeight="1">
      <c r="A52" s="280">
        <f t="shared" si="0"/>
        <v>43</v>
      </c>
      <c r="B52" s="281"/>
      <c r="C52" s="285"/>
      <c r="D52" s="283"/>
      <c r="E52" s="303"/>
    </row>
    <row r="53" spans="1:5" s="2" customFormat="1" ht="24" customHeight="1">
      <c r="A53" s="280">
        <f t="shared" si="0"/>
        <v>44</v>
      </c>
      <c r="B53" s="281"/>
      <c r="C53" s="285"/>
      <c r="D53" s="283"/>
      <c r="E53" s="303"/>
    </row>
    <row r="54" spans="1:5" s="2" customFormat="1" ht="24" customHeight="1">
      <c r="A54" s="280">
        <f t="shared" si="0"/>
        <v>45</v>
      </c>
      <c r="B54" s="281"/>
      <c r="C54" s="285"/>
      <c r="D54" s="283"/>
      <c r="E54" s="303"/>
    </row>
    <row r="55" spans="1:5" s="2" customFormat="1" ht="24" customHeight="1">
      <c r="A55" s="280">
        <f t="shared" si="0"/>
        <v>46</v>
      </c>
      <c r="B55" s="281"/>
      <c r="C55" s="285"/>
      <c r="D55" s="283"/>
      <c r="E55" s="303"/>
    </row>
    <row r="56" spans="1:5" s="2" customFormat="1" ht="24" customHeight="1">
      <c r="A56" s="280">
        <f t="shared" si="0"/>
        <v>47</v>
      </c>
      <c r="B56" s="281"/>
      <c r="C56" s="285"/>
      <c r="D56" s="283"/>
      <c r="E56" s="303"/>
    </row>
    <row r="57" spans="1:5" s="2" customFormat="1" ht="24" customHeight="1">
      <c r="A57" s="280">
        <f t="shared" si="0"/>
        <v>48</v>
      </c>
      <c r="B57" s="281"/>
      <c r="C57" s="285"/>
      <c r="D57" s="283"/>
      <c r="E57" s="303"/>
    </row>
    <row r="58" spans="1:5" s="2" customFormat="1" ht="24" customHeight="1">
      <c r="A58" s="280">
        <f t="shared" si="0"/>
        <v>49</v>
      </c>
      <c r="B58" s="281"/>
      <c r="C58" s="285"/>
      <c r="D58" s="283"/>
      <c r="E58" s="303"/>
    </row>
    <row r="59" spans="1:5" s="2" customFormat="1" ht="24" customHeight="1">
      <c r="A59" s="280">
        <f t="shared" si="0"/>
        <v>50</v>
      </c>
      <c r="B59" s="281"/>
      <c r="C59" s="285"/>
      <c r="D59" s="283"/>
      <c r="E59" s="303"/>
    </row>
    <row r="60" spans="1:5" s="2" customFormat="1" ht="24" customHeight="1">
      <c r="A60" s="280">
        <f t="shared" si="0"/>
        <v>51</v>
      </c>
      <c r="B60" s="281"/>
      <c r="C60" s="285"/>
      <c r="D60" s="283"/>
      <c r="E60" s="303"/>
    </row>
    <row r="61" spans="1:5" s="2" customFormat="1" ht="24" customHeight="1">
      <c r="A61" s="280">
        <f t="shared" si="0"/>
        <v>52</v>
      </c>
      <c r="B61" s="281"/>
      <c r="C61" s="285"/>
      <c r="D61" s="283"/>
      <c r="E61" s="303"/>
    </row>
    <row r="62" spans="1:5" s="2" customFormat="1" ht="24" customHeight="1">
      <c r="A62" s="280">
        <f t="shared" si="0"/>
        <v>53</v>
      </c>
      <c r="B62" s="281"/>
      <c r="C62" s="285"/>
      <c r="D62" s="283"/>
      <c r="E62" s="303"/>
    </row>
    <row r="63" spans="1:5" s="2" customFormat="1" ht="24" customHeight="1">
      <c r="A63" s="280">
        <f t="shared" si="0"/>
        <v>54</v>
      </c>
      <c r="B63" s="281"/>
      <c r="C63" s="285"/>
      <c r="D63" s="283"/>
      <c r="E63" s="303"/>
    </row>
    <row r="64" spans="1:5" s="2" customFormat="1" ht="24" customHeight="1">
      <c r="A64" s="280">
        <f t="shared" si="0"/>
        <v>55</v>
      </c>
      <c r="B64" s="281"/>
      <c r="C64" s="285"/>
      <c r="D64" s="283"/>
      <c r="E64" s="303"/>
    </row>
    <row r="65" spans="1:5" s="2" customFormat="1" ht="24" customHeight="1">
      <c r="A65" s="280">
        <f t="shared" si="0"/>
        <v>56</v>
      </c>
      <c r="B65" s="281"/>
      <c r="C65" s="285"/>
      <c r="D65" s="283"/>
      <c r="E65" s="303"/>
    </row>
    <row r="66" spans="1:5" s="2" customFormat="1" ht="24" customHeight="1">
      <c r="A66" s="280">
        <f t="shared" si="0"/>
        <v>57</v>
      </c>
      <c r="B66" s="281"/>
      <c r="C66" s="285"/>
      <c r="D66" s="283"/>
      <c r="E66" s="303"/>
    </row>
    <row r="67" spans="1:5" s="2" customFormat="1" ht="24" customHeight="1">
      <c r="A67" s="280">
        <f t="shared" si="0"/>
        <v>58</v>
      </c>
      <c r="B67" s="281"/>
      <c r="C67" s="285"/>
      <c r="D67" s="283"/>
      <c r="E67" s="303"/>
    </row>
    <row r="68" spans="1:5" s="2" customFormat="1" ht="24" customHeight="1">
      <c r="A68" s="280">
        <f t="shared" si="0"/>
        <v>59</v>
      </c>
      <c r="B68" s="281"/>
      <c r="C68" s="285"/>
      <c r="D68" s="283"/>
      <c r="E68" s="303"/>
    </row>
    <row r="69" spans="1:5" s="2" customFormat="1" ht="24" customHeight="1">
      <c r="A69" s="280">
        <f t="shared" si="0"/>
        <v>60</v>
      </c>
      <c r="B69" s="281"/>
      <c r="C69" s="285"/>
      <c r="D69" s="283"/>
      <c r="E69" s="303"/>
    </row>
    <row r="70" spans="1:5" s="2" customFormat="1" ht="24" customHeight="1">
      <c r="A70" s="280">
        <f t="shared" si="0"/>
        <v>61</v>
      </c>
      <c r="B70" s="281"/>
      <c r="C70" s="285"/>
      <c r="D70" s="283"/>
      <c r="E70" s="303"/>
    </row>
    <row r="71" spans="1:5" s="2" customFormat="1" ht="24" customHeight="1">
      <c r="A71" s="280">
        <f t="shared" si="0"/>
        <v>62</v>
      </c>
      <c r="B71" s="281"/>
      <c r="C71" s="285"/>
      <c r="D71" s="283"/>
      <c r="E71" s="303"/>
    </row>
    <row r="72" spans="1:5" s="2" customFormat="1" ht="24" customHeight="1">
      <c r="A72" s="280">
        <f t="shared" si="0"/>
        <v>63</v>
      </c>
      <c r="B72" s="281"/>
      <c r="C72" s="285"/>
      <c r="D72" s="283"/>
      <c r="E72" s="303"/>
    </row>
    <row r="73" spans="1:5" s="2" customFormat="1" ht="24" customHeight="1">
      <c r="A73" s="280">
        <f t="shared" si="0"/>
        <v>64</v>
      </c>
      <c r="B73" s="281"/>
      <c r="C73" s="285"/>
      <c r="D73" s="283"/>
      <c r="E73" s="303"/>
    </row>
    <row r="74" spans="1:5" s="2" customFormat="1" ht="24" customHeight="1">
      <c r="A74" s="280">
        <f t="shared" si="0"/>
        <v>65</v>
      </c>
      <c r="B74" s="281"/>
      <c r="C74" s="285"/>
      <c r="D74" s="283"/>
      <c r="E74" s="303"/>
    </row>
    <row r="75" spans="1:5" s="2" customFormat="1" ht="24" customHeight="1">
      <c r="A75" s="280">
        <f t="shared" si="0"/>
        <v>66</v>
      </c>
      <c r="B75" s="281"/>
      <c r="C75" s="285"/>
      <c r="D75" s="283"/>
      <c r="E75" s="303"/>
    </row>
    <row r="76" spans="1:5" s="2" customFormat="1" ht="24" customHeight="1">
      <c r="A76" s="280">
        <f t="shared" ref="A76:A139" si="1">A75+1</f>
        <v>67</v>
      </c>
      <c r="B76" s="281"/>
      <c r="C76" s="285"/>
      <c r="D76" s="283"/>
      <c r="E76" s="303"/>
    </row>
    <row r="77" spans="1:5" s="2" customFormat="1" ht="24" customHeight="1">
      <c r="A77" s="280">
        <f t="shared" si="1"/>
        <v>68</v>
      </c>
      <c r="B77" s="281"/>
      <c r="C77" s="285"/>
      <c r="D77" s="283"/>
      <c r="E77" s="303"/>
    </row>
    <row r="78" spans="1:5" s="2" customFormat="1" ht="24" customHeight="1">
      <c r="A78" s="280">
        <f t="shared" si="1"/>
        <v>69</v>
      </c>
      <c r="B78" s="281"/>
      <c r="C78" s="285"/>
      <c r="D78" s="283"/>
      <c r="E78" s="303"/>
    </row>
    <row r="79" spans="1:5" s="2" customFormat="1" ht="24" customHeight="1">
      <c r="A79" s="280">
        <f t="shared" si="1"/>
        <v>70</v>
      </c>
      <c r="B79" s="281"/>
      <c r="C79" s="285"/>
      <c r="D79" s="283"/>
      <c r="E79" s="303"/>
    </row>
    <row r="80" spans="1:5" s="2" customFormat="1" ht="24" customHeight="1">
      <c r="A80" s="280">
        <f t="shared" si="1"/>
        <v>71</v>
      </c>
      <c r="B80" s="281"/>
      <c r="C80" s="285"/>
      <c r="D80" s="283"/>
      <c r="E80" s="303"/>
    </row>
    <row r="81" spans="1:5" s="2" customFormat="1" ht="24" customHeight="1">
      <c r="A81" s="280">
        <f t="shared" si="1"/>
        <v>72</v>
      </c>
      <c r="B81" s="281"/>
      <c r="C81" s="285"/>
      <c r="D81" s="283"/>
      <c r="E81" s="303"/>
    </row>
    <row r="82" spans="1:5" s="2" customFormat="1" ht="24" customHeight="1">
      <c r="A82" s="280">
        <f t="shared" si="1"/>
        <v>73</v>
      </c>
      <c r="B82" s="281"/>
      <c r="C82" s="285"/>
      <c r="D82" s="283"/>
      <c r="E82" s="303"/>
    </row>
    <row r="83" spans="1:5" s="2" customFormat="1" ht="24" customHeight="1">
      <c r="A83" s="280">
        <f t="shared" si="1"/>
        <v>74</v>
      </c>
      <c r="B83" s="281"/>
      <c r="C83" s="285"/>
      <c r="D83" s="283"/>
      <c r="E83" s="303"/>
    </row>
    <row r="84" spans="1:5" s="2" customFormat="1" ht="24" customHeight="1">
      <c r="A84" s="280">
        <f t="shared" si="1"/>
        <v>75</v>
      </c>
      <c r="B84" s="281"/>
      <c r="C84" s="285"/>
      <c r="D84" s="283"/>
      <c r="E84" s="303"/>
    </row>
    <row r="85" spans="1:5" s="2" customFormat="1" ht="24" customHeight="1">
      <c r="A85" s="280">
        <f t="shared" si="1"/>
        <v>76</v>
      </c>
      <c r="B85" s="281"/>
      <c r="C85" s="285"/>
      <c r="D85" s="283"/>
      <c r="E85" s="303"/>
    </row>
    <row r="86" spans="1:5" s="2" customFormat="1" ht="24" customHeight="1">
      <c r="A86" s="280">
        <f t="shared" si="1"/>
        <v>77</v>
      </c>
      <c r="B86" s="281"/>
      <c r="C86" s="285"/>
      <c r="D86" s="283"/>
      <c r="E86" s="303"/>
    </row>
    <row r="87" spans="1:5" s="2" customFormat="1" ht="24" customHeight="1">
      <c r="A87" s="280">
        <f t="shared" si="1"/>
        <v>78</v>
      </c>
      <c r="B87" s="281"/>
      <c r="C87" s="285"/>
      <c r="D87" s="283"/>
      <c r="E87" s="303"/>
    </row>
    <row r="88" spans="1:5" s="2" customFormat="1" ht="24" customHeight="1">
      <c r="A88" s="280">
        <f t="shared" si="1"/>
        <v>79</v>
      </c>
      <c r="B88" s="281"/>
      <c r="C88" s="285"/>
      <c r="D88" s="283"/>
      <c r="E88" s="303"/>
    </row>
    <row r="89" spans="1:5" s="2" customFormat="1" ht="24" customHeight="1">
      <c r="A89" s="280">
        <f t="shared" si="1"/>
        <v>80</v>
      </c>
      <c r="B89" s="281"/>
      <c r="C89" s="285"/>
      <c r="D89" s="283"/>
      <c r="E89" s="303"/>
    </row>
    <row r="90" spans="1:5" s="2" customFormat="1" ht="24" customHeight="1">
      <c r="A90" s="280">
        <f t="shared" si="1"/>
        <v>81</v>
      </c>
      <c r="B90" s="281"/>
      <c r="C90" s="285"/>
      <c r="D90" s="283"/>
      <c r="E90" s="303"/>
    </row>
    <row r="91" spans="1:5" s="2" customFormat="1" ht="24" customHeight="1">
      <c r="A91" s="280">
        <f t="shared" si="1"/>
        <v>82</v>
      </c>
      <c r="B91" s="281"/>
      <c r="C91" s="285"/>
      <c r="D91" s="283"/>
      <c r="E91" s="303"/>
    </row>
    <row r="92" spans="1:5" s="2" customFormat="1" ht="24" customHeight="1">
      <c r="A92" s="280">
        <f t="shared" si="1"/>
        <v>83</v>
      </c>
      <c r="B92" s="281"/>
      <c r="C92" s="285"/>
      <c r="D92" s="283"/>
      <c r="E92" s="303"/>
    </row>
    <row r="93" spans="1:5" s="2" customFormat="1" ht="24" customHeight="1">
      <c r="A93" s="280">
        <f t="shared" si="1"/>
        <v>84</v>
      </c>
      <c r="B93" s="281"/>
      <c r="C93" s="285"/>
      <c r="D93" s="283"/>
      <c r="E93" s="303"/>
    </row>
    <row r="94" spans="1:5" s="2" customFormat="1" ht="24" customHeight="1">
      <c r="A94" s="280">
        <f t="shared" si="1"/>
        <v>85</v>
      </c>
      <c r="B94" s="281"/>
      <c r="C94" s="285"/>
      <c r="D94" s="283"/>
      <c r="E94" s="303"/>
    </row>
    <row r="95" spans="1:5" s="2" customFormat="1" ht="24" customHeight="1">
      <c r="A95" s="280">
        <f t="shared" si="1"/>
        <v>86</v>
      </c>
      <c r="B95" s="281"/>
      <c r="C95" s="285"/>
      <c r="D95" s="283"/>
      <c r="E95" s="303"/>
    </row>
    <row r="96" spans="1:5" s="2" customFormat="1" ht="24" customHeight="1">
      <c r="A96" s="280">
        <f t="shared" si="1"/>
        <v>87</v>
      </c>
      <c r="B96" s="281"/>
      <c r="C96" s="285"/>
      <c r="D96" s="283"/>
      <c r="E96" s="303"/>
    </row>
    <row r="97" spans="1:5" s="2" customFormat="1" ht="24" customHeight="1">
      <c r="A97" s="280">
        <f t="shared" si="1"/>
        <v>88</v>
      </c>
      <c r="B97" s="281"/>
      <c r="C97" s="285"/>
      <c r="D97" s="283"/>
      <c r="E97" s="303"/>
    </row>
    <row r="98" spans="1:5" s="2" customFormat="1" ht="24" customHeight="1">
      <c r="A98" s="280">
        <f t="shared" si="1"/>
        <v>89</v>
      </c>
      <c r="B98" s="281"/>
      <c r="C98" s="285"/>
      <c r="D98" s="283"/>
      <c r="E98" s="303"/>
    </row>
    <row r="99" spans="1:5" s="2" customFormat="1" ht="24" customHeight="1">
      <c r="A99" s="280">
        <f t="shared" si="1"/>
        <v>90</v>
      </c>
      <c r="B99" s="281"/>
      <c r="C99" s="285"/>
      <c r="D99" s="283"/>
      <c r="E99" s="303"/>
    </row>
    <row r="100" spans="1:5" s="2" customFormat="1" ht="24" customHeight="1">
      <c r="A100" s="280">
        <f t="shared" si="1"/>
        <v>91</v>
      </c>
      <c r="B100" s="281"/>
      <c r="C100" s="285"/>
      <c r="D100" s="283"/>
      <c r="E100" s="303"/>
    </row>
    <row r="101" spans="1:5" s="2" customFormat="1" ht="24" customHeight="1">
      <c r="A101" s="280">
        <f t="shared" si="1"/>
        <v>92</v>
      </c>
      <c r="B101" s="281"/>
      <c r="C101" s="285"/>
      <c r="D101" s="283"/>
      <c r="E101" s="303"/>
    </row>
    <row r="102" spans="1:5" s="2" customFormat="1" ht="24" customHeight="1">
      <c r="A102" s="280">
        <f t="shared" si="1"/>
        <v>93</v>
      </c>
      <c r="B102" s="281"/>
      <c r="C102" s="285"/>
      <c r="D102" s="283"/>
      <c r="E102" s="303"/>
    </row>
    <row r="103" spans="1:5" s="2" customFormat="1" ht="24" customHeight="1">
      <c r="A103" s="280">
        <f t="shared" si="1"/>
        <v>94</v>
      </c>
      <c r="B103" s="281"/>
      <c r="C103" s="285"/>
      <c r="D103" s="283"/>
      <c r="E103" s="303"/>
    </row>
    <row r="104" spans="1:5" s="2" customFormat="1" ht="24" customHeight="1">
      <c r="A104" s="280">
        <f t="shared" si="1"/>
        <v>95</v>
      </c>
      <c r="B104" s="281"/>
      <c r="C104" s="285"/>
      <c r="D104" s="283"/>
      <c r="E104" s="303"/>
    </row>
    <row r="105" spans="1:5" s="2" customFormat="1" ht="24" customHeight="1">
      <c r="A105" s="280">
        <f t="shared" si="1"/>
        <v>96</v>
      </c>
      <c r="B105" s="281"/>
      <c r="C105" s="285"/>
      <c r="D105" s="283"/>
      <c r="E105" s="303"/>
    </row>
    <row r="106" spans="1:5" s="2" customFormat="1" ht="24" customHeight="1">
      <c r="A106" s="280">
        <f t="shared" si="1"/>
        <v>97</v>
      </c>
      <c r="B106" s="281"/>
      <c r="C106" s="285"/>
      <c r="D106" s="283"/>
      <c r="E106" s="303"/>
    </row>
    <row r="107" spans="1:5" s="2" customFormat="1" ht="24" customHeight="1">
      <c r="A107" s="280">
        <f t="shared" si="1"/>
        <v>98</v>
      </c>
      <c r="B107" s="281"/>
      <c r="C107" s="285"/>
      <c r="D107" s="283"/>
      <c r="E107" s="303"/>
    </row>
    <row r="108" spans="1:5" s="2" customFormat="1" ht="24" customHeight="1">
      <c r="A108" s="280">
        <f t="shared" si="1"/>
        <v>99</v>
      </c>
      <c r="B108" s="281"/>
      <c r="C108" s="285"/>
      <c r="D108" s="283"/>
      <c r="E108" s="303"/>
    </row>
    <row r="109" spans="1:5" s="2" customFormat="1" ht="24" customHeight="1">
      <c r="A109" s="280">
        <f t="shared" si="1"/>
        <v>100</v>
      </c>
      <c r="B109" s="281"/>
      <c r="C109" s="285"/>
      <c r="D109" s="283"/>
      <c r="E109" s="303"/>
    </row>
    <row r="110" spans="1:5" s="2" customFormat="1" ht="24" customHeight="1">
      <c r="A110" s="280">
        <f t="shared" si="1"/>
        <v>101</v>
      </c>
      <c r="B110" s="281"/>
      <c r="C110" s="285"/>
      <c r="D110" s="283"/>
      <c r="E110" s="303"/>
    </row>
    <row r="111" spans="1:5" s="2" customFormat="1" ht="24" customHeight="1">
      <c r="A111" s="280">
        <f t="shared" si="1"/>
        <v>102</v>
      </c>
      <c r="B111" s="281"/>
      <c r="C111" s="285"/>
      <c r="D111" s="283"/>
      <c r="E111" s="303"/>
    </row>
    <row r="112" spans="1:5" s="2" customFormat="1" ht="24" customHeight="1">
      <c r="A112" s="280">
        <f t="shared" si="1"/>
        <v>103</v>
      </c>
      <c r="B112" s="281"/>
      <c r="C112" s="285"/>
      <c r="D112" s="283"/>
      <c r="E112" s="303"/>
    </row>
    <row r="113" spans="1:5" s="2" customFormat="1" ht="24" customHeight="1">
      <c r="A113" s="280">
        <f t="shared" si="1"/>
        <v>104</v>
      </c>
      <c r="B113" s="281"/>
      <c r="C113" s="285"/>
      <c r="D113" s="283"/>
      <c r="E113" s="303"/>
    </row>
    <row r="114" spans="1:5" s="2" customFormat="1" ht="24" customHeight="1">
      <c r="A114" s="280">
        <f t="shared" si="1"/>
        <v>105</v>
      </c>
      <c r="B114" s="281"/>
      <c r="C114" s="285"/>
      <c r="D114" s="283"/>
      <c r="E114" s="303"/>
    </row>
    <row r="115" spans="1:5" s="2" customFormat="1" ht="24" customHeight="1">
      <c r="A115" s="280">
        <f t="shared" si="1"/>
        <v>106</v>
      </c>
      <c r="B115" s="281"/>
      <c r="C115" s="285"/>
      <c r="D115" s="283"/>
      <c r="E115" s="303"/>
    </row>
    <row r="116" spans="1:5" s="2" customFormat="1" ht="24" customHeight="1">
      <c r="A116" s="280">
        <f t="shared" si="1"/>
        <v>107</v>
      </c>
      <c r="B116" s="281"/>
      <c r="C116" s="285"/>
      <c r="D116" s="283"/>
      <c r="E116" s="303"/>
    </row>
    <row r="117" spans="1:5" s="2" customFormat="1" ht="24" customHeight="1">
      <c r="A117" s="280">
        <f t="shared" si="1"/>
        <v>108</v>
      </c>
      <c r="B117" s="281"/>
      <c r="C117" s="285"/>
      <c r="D117" s="283"/>
      <c r="E117" s="303"/>
    </row>
    <row r="118" spans="1:5" s="2" customFormat="1" ht="24" customHeight="1">
      <c r="A118" s="280">
        <f t="shared" si="1"/>
        <v>109</v>
      </c>
      <c r="B118" s="281"/>
      <c r="C118" s="285"/>
      <c r="D118" s="283"/>
      <c r="E118" s="303"/>
    </row>
    <row r="119" spans="1:5" s="2" customFormat="1" ht="24" customHeight="1">
      <c r="A119" s="280">
        <f t="shared" si="1"/>
        <v>110</v>
      </c>
      <c r="B119" s="281"/>
      <c r="C119" s="285"/>
      <c r="D119" s="283"/>
      <c r="E119" s="303"/>
    </row>
    <row r="120" spans="1:5" s="2" customFormat="1" ht="24" customHeight="1">
      <c r="A120" s="280">
        <f t="shared" si="1"/>
        <v>111</v>
      </c>
      <c r="B120" s="281"/>
      <c r="C120" s="285"/>
      <c r="D120" s="283"/>
      <c r="E120" s="303"/>
    </row>
    <row r="121" spans="1:5" s="2" customFormat="1" ht="24" customHeight="1">
      <c r="A121" s="280">
        <f t="shared" si="1"/>
        <v>112</v>
      </c>
      <c r="B121" s="281"/>
      <c r="C121" s="285"/>
      <c r="D121" s="283"/>
      <c r="E121" s="303"/>
    </row>
    <row r="122" spans="1:5" s="2" customFormat="1" ht="24" customHeight="1">
      <c r="A122" s="280">
        <f t="shared" si="1"/>
        <v>113</v>
      </c>
      <c r="B122" s="281"/>
      <c r="C122" s="285"/>
      <c r="D122" s="283"/>
      <c r="E122" s="303"/>
    </row>
    <row r="123" spans="1:5" s="2" customFormat="1" ht="24" customHeight="1">
      <c r="A123" s="280">
        <f t="shared" si="1"/>
        <v>114</v>
      </c>
      <c r="B123" s="281"/>
      <c r="C123" s="285"/>
      <c r="D123" s="283"/>
      <c r="E123" s="303"/>
    </row>
    <row r="124" spans="1:5" s="2" customFormat="1" ht="24" customHeight="1">
      <c r="A124" s="280">
        <f t="shared" si="1"/>
        <v>115</v>
      </c>
      <c r="B124" s="281"/>
      <c r="C124" s="285"/>
      <c r="D124" s="283"/>
      <c r="E124" s="303"/>
    </row>
    <row r="125" spans="1:5" s="2" customFormat="1" ht="24" customHeight="1">
      <c r="A125" s="280">
        <f t="shared" si="1"/>
        <v>116</v>
      </c>
      <c r="B125" s="281"/>
      <c r="C125" s="285"/>
      <c r="D125" s="283"/>
      <c r="E125" s="303"/>
    </row>
    <row r="126" spans="1:5" s="2" customFormat="1" ht="24" customHeight="1">
      <c r="A126" s="280">
        <f t="shared" si="1"/>
        <v>117</v>
      </c>
      <c r="B126" s="281"/>
      <c r="C126" s="285"/>
      <c r="D126" s="283"/>
      <c r="E126" s="303"/>
    </row>
    <row r="127" spans="1:5" s="2" customFormat="1" ht="24" customHeight="1">
      <c r="A127" s="280">
        <f t="shared" si="1"/>
        <v>118</v>
      </c>
      <c r="B127" s="281"/>
      <c r="C127" s="285"/>
      <c r="D127" s="283"/>
      <c r="E127" s="303"/>
    </row>
    <row r="128" spans="1:5" s="2" customFormat="1" ht="24" customHeight="1">
      <c r="A128" s="280">
        <f t="shared" si="1"/>
        <v>119</v>
      </c>
      <c r="B128" s="281"/>
      <c r="C128" s="285"/>
      <c r="D128" s="283"/>
      <c r="E128" s="303"/>
    </row>
    <row r="129" spans="1:5" s="2" customFormat="1" ht="24" customHeight="1">
      <c r="A129" s="280">
        <f t="shared" si="1"/>
        <v>120</v>
      </c>
      <c r="B129" s="281"/>
      <c r="C129" s="285"/>
      <c r="D129" s="283"/>
      <c r="E129" s="303"/>
    </row>
    <row r="130" spans="1:5" s="2" customFormat="1" ht="24" customHeight="1">
      <c r="A130" s="280">
        <f t="shared" si="1"/>
        <v>121</v>
      </c>
      <c r="B130" s="281"/>
      <c r="C130" s="285"/>
      <c r="D130" s="283"/>
      <c r="E130" s="303"/>
    </row>
    <row r="131" spans="1:5" s="2" customFormat="1" ht="24" customHeight="1">
      <c r="A131" s="280">
        <f t="shared" si="1"/>
        <v>122</v>
      </c>
      <c r="B131" s="281"/>
      <c r="C131" s="285"/>
      <c r="D131" s="283"/>
      <c r="E131" s="303"/>
    </row>
    <row r="132" spans="1:5" s="2" customFormat="1" ht="24" customHeight="1">
      <c r="A132" s="280">
        <f t="shared" si="1"/>
        <v>123</v>
      </c>
      <c r="B132" s="281"/>
      <c r="C132" s="285"/>
      <c r="D132" s="283"/>
      <c r="E132" s="303"/>
    </row>
    <row r="133" spans="1:5" s="2" customFormat="1" ht="24" customHeight="1">
      <c r="A133" s="280">
        <f t="shared" si="1"/>
        <v>124</v>
      </c>
      <c r="B133" s="281"/>
      <c r="C133" s="285"/>
      <c r="D133" s="283"/>
      <c r="E133" s="303"/>
    </row>
    <row r="134" spans="1:5" s="2" customFormat="1" ht="24" customHeight="1">
      <c r="A134" s="280">
        <f t="shared" si="1"/>
        <v>125</v>
      </c>
      <c r="B134" s="281"/>
      <c r="C134" s="285"/>
      <c r="D134" s="283"/>
      <c r="E134" s="303"/>
    </row>
    <row r="135" spans="1:5" s="2" customFormat="1" ht="24" customHeight="1">
      <c r="A135" s="280">
        <f t="shared" si="1"/>
        <v>126</v>
      </c>
      <c r="B135" s="281"/>
      <c r="C135" s="285"/>
      <c r="D135" s="283"/>
      <c r="E135" s="303"/>
    </row>
    <row r="136" spans="1:5" s="2" customFormat="1" ht="24" customHeight="1">
      <c r="A136" s="280">
        <f t="shared" si="1"/>
        <v>127</v>
      </c>
      <c r="B136" s="281"/>
      <c r="C136" s="285"/>
      <c r="D136" s="283"/>
      <c r="E136" s="303"/>
    </row>
    <row r="137" spans="1:5" s="2" customFormat="1" ht="24" customHeight="1">
      <c r="A137" s="280">
        <f t="shared" si="1"/>
        <v>128</v>
      </c>
      <c r="B137" s="281"/>
      <c r="C137" s="285"/>
      <c r="D137" s="283"/>
      <c r="E137" s="303"/>
    </row>
    <row r="138" spans="1:5" s="2" customFormat="1" ht="24" customHeight="1">
      <c r="A138" s="280">
        <f t="shared" si="1"/>
        <v>129</v>
      </c>
      <c r="B138" s="281"/>
      <c r="C138" s="285"/>
      <c r="D138" s="283"/>
      <c r="E138" s="303"/>
    </row>
    <row r="139" spans="1:5" s="2" customFormat="1" ht="24" customHeight="1">
      <c r="A139" s="280">
        <f t="shared" si="1"/>
        <v>130</v>
      </c>
      <c r="B139" s="281"/>
      <c r="C139" s="285"/>
      <c r="D139" s="283"/>
      <c r="E139" s="303"/>
    </row>
    <row r="140" spans="1:5" s="2" customFormat="1" ht="24" customHeight="1">
      <c r="A140" s="280">
        <f t="shared" ref="A140:A203" si="2">A139+1</f>
        <v>131</v>
      </c>
      <c r="B140" s="281"/>
      <c r="C140" s="285"/>
      <c r="D140" s="283"/>
      <c r="E140" s="303"/>
    </row>
    <row r="141" spans="1:5" s="2" customFormat="1" ht="24" customHeight="1">
      <c r="A141" s="280">
        <f t="shared" si="2"/>
        <v>132</v>
      </c>
      <c r="B141" s="281"/>
      <c r="C141" s="285"/>
      <c r="D141" s="283"/>
      <c r="E141" s="303"/>
    </row>
    <row r="142" spans="1:5" s="2" customFormat="1" ht="24" customHeight="1">
      <c r="A142" s="280">
        <f t="shared" si="2"/>
        <v>133</v>
      </c>
      <c r="B142" s="281"/>
      <c r="C142" s="285"/>
      <c r="D142" s="283"/>
      <c r="E142" s="303"/>
    </row>
    <row r="143" spans="1:5" s="2" customFormat="1" ht="24" customHeight="1">
      <c r="A143" s="280">
        <f t="shared" si="2"/>
        <v>134</v>
      </c>
      <c r="B143" s="281"/>
      <c r="C143" s="285"/>
      <c r="D143" s="283"/>
      <c r="E143" s="303"/>
    </row>
    <row r="144" spans="1:5" s="2" customFormat="1" ht="24" customHeight="1">
      <c r="A144" s="280">
        <f t="shared" si="2"/>
        <v>135</v>
      </c>
      <c r="B144" s="281"/>
      <c r="C144" s="285"/>
      <c r="D144" s="283"/>
      <c r="E144" s="303"/>
    </row>
    <row r="145" spans="1:5" s="2" customFormat="1" ht="24" customHeight="1">
      <c r="A145" s="280">
        <f t="shared" si="2"/>
        <v>136</v>
      </c>
      <c r="B145" s="281"/>
      <c r="C145" s="285"/>
      <c r="D145" s="283"/>
      <c r="E145" s="303"/>
    </row>
    <row r="146" spans="1:5" s="2" customFormat="1" ht="24" customHeight="1">
      <c r="A146" s="280">
        <f t="shared" si="2"/>
        <v>137</v>
      </c>
      <c r="B146" s="281"/>
      <c r="C146" s="285"/>
      <c r="D146" s="283"/>
      <c r="E146" s="303"/>
    </row>
    <row r="147" spans="1:5" s="2" customFormat="1" ht="24" customHeight="1">
      <c r="A147" s="280">
        <f t="shared" si="2"/>
        <v>138</v>
      </c>
      <c r="B147" s="281"/>
      <c r="C147" s="285"/>
      <c r="D147" s="283"/>
      <c r="E147" s="303"/>
    </row>
    <row r="148" spans="1:5" s="2" customFormat="1" ht="24" customHeight="1">
      <c r="A148" s="280">
        <f t="shared" si="2"/>
        <v>139</v>
      </c>
      <c r="B148" s="281"/>
      <c r="C148" s="285"/>
      <c r="D148" s="283"/>
      <c r="E148" s="303"/>
    </row>
    <row r="149" spans="1:5" s="2" customFormat="1" ht="24" customHeight="1">
      <c r="A149" s="280">
        <f t="shared" si="2"/>
        <v>140</v>
      </c>
      <c r="B149" s="281"/>
      <c r="C149" s="285"/>
      <c r="D149" s="283"/>
      <c r="E149" s="303"/>
    </row>
    <row r="150" spans="1:5" s="2" customFormat="1" ht="24" customHeight="1">
      <c r="A150" s="280">
        <f t="shared" si="2"/>
        <v>141</v>
      </c>
      <c r="B150" s="281"/>
      <c r="C150" s="285"/>
      <c r="D150" s="283"/>
      <c r="E150" s="303"/>
    </row>
    <row r="151" spans="1:5" s="2" customFormat="1" ht="24" customHeight="1">
      <c r="A151" s="280">
        <f t="shared" si="2"/>
        <v>142</v>
      </c>
      <c r="B151" s="281"/>
      <c r="C151" s="285"/>
      <c r="D151" s="283"/>
      <c r="E151" s="303"/>
    </row>
    <row r="152" spans="1:5" s="2" customFormat="1" ht="24" customHeight="1">
      <c r="A152" s="280">
        <f t="shared" si="2"/>
        <v>143</v>
      </c>
      <c r="B152" s="281"/>
      <c r="C152" s="285"/>
      <c r="D152" s="283"/>
      <c r="E152" s="303"/>
    </row>
    <row r="153" spans="1:5" s="2" customFormat="1" ht="24" customHeight="1">
      <c r="A153" s="280">
        <f t="shared" si="2"/>
        <v>144</v>
      </c>
      <c r="B153" s="281"/>
      <c r="C153" s="285"/>
      <c r="D153" s="283"/>
      <c r="E153" s="303"/>
    </row>
    <row r="154" spans="1:5" s="2" customFormat="1" ht="24" customHeight="1">
      <c r="A154" s="280">
        <f t="shared" si="2"/>
        <v>145</v>
      </c>
      <c r="B154" s="281"/>
      <c r="C154" s="285"/>
      <c r="D154" s="283"/>
      <c r="E154" s="303"/>
    </row>
    <row r="155" spans="1:5" s="2" customFormat="1" ht="24" customHeight="1">
      <c r="A155" s="280">
        <f t="shared" si="2"/>
        <v>146</v>
      </c>
      <c r="B155" s="281"/>
      <c r="C155" s="285"/>
      <c r="D155" s="283"/>
      <c r="E155" s="303"/>
    </row>
    <row r="156" spans="1:5" s="2" customFormat="1" ht="24" customHeight="1">
      <c r="A156" s="280">
        <f t="shared" si="2"/>
        <v>147</v>
      </c>
      <c r="B156" s="281"/>
      <c r="C156" s="285"/>
      <c r="D156" s="283"/>
      <c r="E156" s="303"/>
    </row>
    <row r="157" spans="1:5" s="2" customFormat="1" ht="24" customHeight="1">
      <c r="A157" s="280">
        <f t="shared" si="2"/>
        <v>148</v>
      </c>
      <c r="B157" s="281"/>
      <c r="C157" s="285"/>
      <c r="D157" s="283"/>
      <c r="E157" s="303"/>
    </row>
    <row r="158" spans="1:5" s="2" customFormat="1" ht="24" customHeight="1">
      <c r="A158" s="280">
        <f t="shared" si="2"/>
        <v>149</v>
      </c>
      <c r="B158" s="281"/>
      <c r="C158" s="285"/>
      <c r="D158" s="283"/>
      <c r="E158" s="303"/>
    </row>
    <row r="159" spans="1:5" s="2" customFormat="1" ht="24" customHeight="1">
      <c r="A159" s="280">
        <f t="shared" si="2"/>
        <v>150</v>
      </c>
      <c r="B159" s="281"/>
      <c r="C159" s="285"/>
      <c r="D159" s="283"/>
      <c r="E159" s="303"/>
    </row>
    <row r="160" spans="1:5" s="2" customFormat="1" ht="24" customHeight="1">
      <c r="A160" s="280">
        <f t="shared" si="2"/>
        <v>151</v>
      </c>
      <c r="B160" s="281"/>
      <c r="C160" s="285"/>
      <c r="D160" s="283"/>
      <c r="E160" s="303"/>
    </row>
    <row r="161" spans="1:5" s="2" customFormat="1" ht="24" customHeight="1">
      <c r="A161" s="280">
        <f t="shared" si="2"/>
        <v>152</v>
      </c>
      <c r="B161" s="281"/>
      <c r="C161" s="285"/>
      <c r="D161" s="283"/>
      <c r="E161" s="303"/>
    </row>
    <row r="162" spans="1:5" s="2" customFormat="1" ht="24" customHeight="1">
      <c r="A162" s="280">
        <f t="shared" si="2"/>
        <v>153</v>
      </c>
      <c r="B162" s="281"/>
      <c r="C162" s="285"/>
      <c r="D162" s="283"/>
      <c r="E162" s="303"/>
    </row>
    <row r="163" spans="1:5" s="2" customFormat="1" ht="24" customHeight="1">
      <c r="A163" s="280">
        <f t="shared" si="2"/>
        <v>154</v>
      </c>
      <c r="B163" s="281"/>
      <c r="C163" s="285"/>
      <c r="D163" s="283"/>
      <c r="E163" s="303"/>
    </row>
    <row r="164" spans="1:5" s="2" customFormat="1" ht="24" customHeight="1">
      <c r="A164" s="280">
        <f t="shared" si="2"/>
        <v>155</v>
      </c>
      <c r="B164" s="281"/>
      <c r="C164" s="285"/>
      <c r="D164" s="283"/>
      <c r="E164" s="303"/>
    </row>
    <row r="165" spans="1:5" s="2" customFormat="1" ht="24" customHeight="1">
      <c r="A165" s="280">
        <f t="shared" si="2"/>
        <v>156</v>
      </c>
      <c r="B165" s="281"/>
      <c r="C165" s="285"/>
      <c r="D165" s="283"/>
      <c r="E165" s="303"/>
    </row>
    <row r="166" spans="1:5" s="2" customFormat="1" ht="24" customHeight="1">
      <c r="A166" s="280">
        <f t="shared" si="2"/>
        <v>157</v>
      </c>
      <c r="B166" s="281"/>
      <c r="C166" s="285"/>
      <c r="D166" s="283"/>
      <c r="E166" s="303"/>
    </row>
    <row r="167" spans="1:5" s="2" customFormat="1" ht="24" customHeight="1">
      <c r="A167" s="280">
        <f t="shared" si="2"/>
        <v>158</v>
      </c>
      <c r="B167" s="281"/>
      <c r="C167" s="285"/>
      <c r="D167" s="283"/>
      <c r="E167" s="303"/>
    </row>
    <row r="168" spans="1:5" s="2" customFormat="1" ht="24" customHeight="1">
      <c r="A168" s="280">
        <f t="shared" si="2"/>
        <v>159</v>
      </c>
      <c r="B168" s="281"/>
      <c r="C168" s="285"/>
      <c r="D168" s="283"/>
      <c r="E168" s="303"/>
    </row>
    <row r="169" spans="1:5" s="2" customFormat="1" ht="24" customHeight="1">
      <c r="A169" s="280">
        <f t="shared" si="2"/>
        <v>160</v>
      </c>
      <c r="B169" s="281"/>
      <c r="C169" s="285"/>
      <c r="D169" s="283"/>
      <c r="E169" s="303"/>
    </row>
    <row r="170" spans="1:5" s="2" customFormat="1" ht="24" customHeight="1">
      <c r="A170" s="280">
        <f t="shared" si="2"/>
        <v>161</v>
      </c>
      <c r="B170" s="281"/>
      <c r="C170" s="285"/>
      <c r="D170" s="283"/>
      <c r="E170" s="303"/>
    </row>
    <row r="171" spans="1:5" s="2" customFormat="1" ht="24" customHeight="1">
      <c r="A171" s="280">
        <f t="shared" si="2"/>
        <v>162</v>
      </c>
      <c r="B171" s="281"/>
      <c r="C171" s="285"/>
      <c r="D171" s="283"/>
      <c r="E171" s="303"/>
    </row>
    <row r="172" spans="1:5" s="2" customFormat="1" ht="24" customHeight="1">
      <c r="A172" s="280">
        <f t="shared" si="2"/>
        <v>163</v>
      </c>
      <c r="B172" s="281"/>
      <c r="C172" s="285"/>
      <c r="D172" s="283"/>
      <c r="E172" s="303"/>
    </row>
    <row r="173" spans="1:5" s="2" customFormat="1" ht="24" customHeight="1">
      <c r="A173" s="280">
        <f t="shared" si="2"/>
        <v>164</v>
      </c>
      <c r="B173" s="281"/>
      <c r="C173" s="285"/>
      <c r="D173" s="283"/>
      <c r="E173" s="303"/>
    </row>
    <row r="174" spans="1:5" s="2" customFormat="1" ht="24" customHeight="1">
      <c r="A174" s="280">
        <f t="shared" si="2"/>
        <v>165</v>
      </c>
      <c r="B174" s="281"/>
      <c r="C174" s="285"/>
      <c r="D174" s="283"/>
      <c r="E174" s="303"/>
    </row>
    <row r="175" spans="1:5" s="2" customFormat="1" ht="24" customHeight="1">
      <c r="A175" s="280">
        <f t="shared" si="2"/>
        <v>166</v>
      </c>
      <c r="B175" s="281"/>
      <c r="C175" s="285"/>
      <c r="D175" s="283"/>
      <c r="E175" s="303"/>
    </row>
    <row r="176" spans="1:5" s="2" customFormat="1" ht="24" customHeight="1">
      <c r="A176" s="280">
        <f t="shared" si="2"/>
        <v>167</v>
      </c>
      <c r="B176" s="281"/>
      <c r="C176" s="285"/>
      <c r="D176" s="283"/>
      <c r="E176" s="303"/>
    </row>
    <row r="177" spans="1:5" s="2" customFormat="1" ht="24" customHeight="1">
      <c r="A177" s="280">
        <f t="shared" si="2"/>
        <v>168</v>
      </c>
      <c r="B177" s="281"/>
      <c r="C177" s="285"/>
      <c r="D177" s="283"/>
      <c r="E177" s="303"/>
    </row>
    <row r="178" spans="1:5" s="2" customFormat="1" ht="24" customHeight="1">
      <c r="A178" s="280">
        <f t="shared" si="2"/>
        <v>169</v>
      </c>
      <c r="B178" s="281"/>
      <c r="C178" s="285"/>
      <c r="D178" s="283"/>
      <c r="E178" s="303"/>
    </row>
    <row r="179" spans="1:5" s="2" customFormat="1" ht="24" customHeight="1">
      <c r="A179" s="280">
        <f t="shared" si="2"/>
        <v>170</v>
      </c>
      <c r="B179" s="281"/>
      <c r="C179" s="285"/>
      <c r="D179" s="283"/>
      <c r="E179" s="303"/>
    </row>
    <row r="180" spans="1:5" s="2" customFormat="1" ht="24" customHeight="1">
      <c r="A180" s="280">
        <f t="shared" si="2"/>
        <v>171</v>
      </c>
      <c r="B180" s="281"/>
      <c r="C180" s="285"/>
      <c r="D180" s="283"/>
      <c r="E180" s="303"/>
    </row>
    <row r="181" spans="1:5" s="2" customFormat="1" ht="24" customHeight="1">
      <c r="A181" s="280">
        <f t="shared" si="2"/>
        <v>172</v>
      </c>
      <c r="B181" s="281"/>
      <c r="C181" s="285"/>
      <c r="D181" s="283"/>
      <c r="E181" s="303"/>
    </row>
    <row r="182" spans="1:5" s="2" customFormat="1" ht="24" customHeight="1">
      <c r="A182" s="280">
        <f t="shared" si="2"/>
        <v>173</v>
      </c>
      <c r="B182" s="281"/>
      <c r="C182" s="285"/>
      <c r="D182" s="283"/>
      <c r="E182" s="303"/>
    </row>
    <row r="183" spans="1:5" s="2" customFormat="1" ht="24" customHeight="1">
      <c r="A183" s="280">
        <f t="shared" si="2"/>
        <v>174</v>
      </c>
      <c r="B183" s="281"/>
      <c r="C183" s="285"/>
      <c r="D183" s="283"/>
      <c r="E183" s="303"/>
    </row>
    <row r="184" spans="1:5" s="2" customFormat="1" ht="24" customHeight="1">
      <c r="A184" s="280">
        <f t="shared" si="2"/>
        <v>175</v>
      </c>
      <c r="B184" s="281"/>
      <c r="C184" s="285"/>
      <c r="D184" s="283"/>
      <c r="E184" s="303"/>
    </row>
    <row r="185" spans="1:5" s="2" customFormat="1" ht="24" customHeight="1">
      <c r="A185" s="280">
        <f t="shared" si="2"/>
        <v>176</v>
      </c>
      <c r="B185" s="281"/>
      <c r="C185" s="285"/>
      <c r="D185" s="283"/>
      <c r="E185" s="303"/>
    </row>
    <row r="186" spans="1:5" s="2" customFormat="1" ht="24" customHeight="1">
      <c r="A186" s="280">
        <f t="shared" si="2"/>
        <v>177</v>
      </c>
      <c r="B186" s="281"/>
      <c r="C186" s="285"/>
      <c r="D186" s="283"/>
      <c r="E186" s="303"/>
    </row>
    <row r="187" spans="1:5" s="2" customFormat="1" ht="24" customHeight="1">
      <c r="A187" s="280">
        <f t="shared" si="2"/>
        <v>178</v>
      </c>
      <c r="B187" s="281"/>
      <c r="C187" s="285"/>
      <c r="D187" s="283"/>
      <c r="E187" s="303"/>
    </row>
    <row r="188" spans="1:5" s="2" customFormat="1" ht="24" customHeight="1">
      <c r="A188" s="280">
        <f t="shared" si="2"/>
        <v>179</v>
      </c>
      <c r="B188" s="281"/>
      <c r="C188" s="285"/>
      <c r="D188" s="283"/>
      <c r="E188" s="303"/>
    </row>
    <row r="189" spans="1:5" s="2" customFormat="1" ht="24" customHeight="1">
      <c r="A189" s="280">
        <f t="shared" si="2"/>
        <v>180</v>
      </c>
      <c r="B189" s="281"/>
      <c r="C189" s="285"/>
      <c r="D189" s="283"/>
      <c r="E189" s="303"/>
    </row>
    <row r="190" spans="1:5" s="2" customFormat="1" ht="24" customHeight="1">
      <c r="A190" s="280">
        <f t="shared" si="2"/>
        <v>181</v>
      </c>
      <c r="B190" s="281"/>
      <c r="C190" s="285"/>
      <c r="D190" s="283"/>
      <c r="E190" s="303"/>
    </row>
    <row r="191" spans="1:5" s="2" customFormat="1" ht="24" customHeight="1">
      <c r="A191" s="280">
        <f t="shared" si="2"/>
        <v>182</v>
      </c>
      <c r="B191" s="281"/>
      <c r="C191" s="285"/>
      <c r="D191" s="283"/>
      <c r="E191" s="303"/>
    </row>
    <row r="192" spans="1:5" s="2" customFormat="1" ht="24" customHeight="1">
      <c r="A192" s="280">
        <f t="shared" si="2"/>
        <v>183</v>
      </c>
      <c r="B192" s="281"/>
      <c r="C192" s="285"/>
      <c r="D192" s="283"/>
      <c r="E192" s="303"/>
    </row>
    <row r="193" spans="1:5" s="2" customFormat="1" ht="24" customHeight="1">
      <c r="A193" s="280">
        <f t="shared" si="2"/>
        <v>184</v>
      </c>
      <c r="B193" s="281"/>
      <c r="C193" s="285"/>
      <c r="D193" s="283"/>
      <c r="E193" s="303"/>
    </row>
    <row r="194" spans="1:5" s="2" customFormat="1" ht="24" customHeight="1">
      <c r="A194" s="280">
        <f t="shared" si="2"/>
        <v>185</v>
      </c>
      <c r="B194" s="281"/>
      <c r="C194" s="285"/>
      <c r="D194" s="283"/>
      <c r="E194" s="303"/>
    </row>
    <row r="195" spans="1:5" s="2" customFormat="1" ht="24" customHeight="1">
      <c r="A195" s="280">
        <f t="shared" si="2"/>
        <v>186</v>
      </c>
      <c r="B195" s="281"/>
      <c r="C195" s="285"/>
      <c r="D195" s="283"/>
      <c r="E195" s="303"/>
    </row>
    <row r="196" spans="1:5" s="2" customFormat="1" ht="24" customHeight="1">
      <c r="A196" s="280">
        <f t="shared" si="2"/>
        <v>187</v>
      </c>
      <c r="B196" s="281"/>
      <c r="C196" s="285"/>
      <c r="D196" s="283"/>
      <c r="E196" s="303"/>
    </row>
    <row r="197" spans="1:5" s="2" customFormat="1" ht="24" customHeight="1">
      <c r="A197" s="280">
        <f t="shared" si="2"/>
        <v>188</v>
      </c>
      <c r="B197" s="281"/>
      <c r="C197" s="285"/>
      <c r="D197" s="283"/>
      <c r="E197" s="303"/>
    </row>
    <row r="198" spans="1:5" s="2" customFormat="1" ht="24" customHeight="1">
      <c r="A198" s="280">
        <f t="shared" si="2"/>
        <v>189</v>
      </c>
      <c r="B198" s="281"/>
      <c r="C198" s="285"/>
      <c r="D198" s="283"/>
      <c r="E198" s="303"/>
    </row>
    <row r="199" spans="1:5" s="2" customFormat="1" ht="24" customHeight="1">
      <c r="A199" s="280">
        <f t="shared" si="2"/>
        <v>190</v>
      </c>
      <c r="B199" s="281"/>
      <c r="C199" s="285"/>
      <c r="D199" s="283"/>
      <c r="E199" s="303"/>
    </row>
    <row r="200" spans="1:5" s="2" customFormat="1" ht="24" customHeight="1">
      <c r="A200" s="280">
        <f t="shared" si="2"/>
        <v>191</v>
      </c>
      <c r="B200" s="281"/>
      <c r="C200" s="285"/>
      <c r="D200" s="283"/>
      <c r="E200" s="303"/>
    </row>
    <row r="201" spans="1:5" s="2" customFormat="1" ht="24" customHeight="1">
      <c r="A201" s="280">
        <f t="shared" si="2"/>
        <v>192</v>
      </c>
      <c r="B201" s="281"/>
      <c r="C201" s="285"/>
      <c r="D201" s="283"/>
      <c r="E201" s="303"/>
    </row>
    <row r="202" spans="1:5" s="2" customFormat="1" ht="24" customHeight="1">
      <c r="A202" s="280">
        <f t="shared" si="2"/>
        <v>193</v>
      </c>
      <c r="B202" s="281"/>
      <c r="C202" s="285"/>
      <c r="D202" s="283"/>
      <c r="E202" s="303"/>
    </row>
    <row r="203" spans="1:5" s="2" customFormat="1" ht="24" customHeight="1">
      <c r="A203" s="280">
        <f t="shared" si="2"/>
        <v>194</v>
      </c>
      <c r="B203" s="281"/>
      <c r="C203" s="285"/>
      <c r="D203" s="283"/>
      <c r="E203" s="303"/>
    </row>
    <row r="204" spans="1:5" s="2" customFormat="1" ht="24" customHeight="1">
      <c r="A204" s="280">
        <f t="shared" ref="A204:A267" si="3">A203+1</f>
        <v>195</v>
      </c>
      <c r="B204" s="281"/>
      <c r="C204" s="285"/>
      <c r="D204" s="283"/>
      <c r="E204" s="303"/>
    </row>
    <row r="205" spans="1:5" s="2" customFormat="1" ht="24" customHeight="1">
      <c r="A205" s="280">
        <f t="shared" si="3"/>
        <v>196</v>
      </c>
      <c r="B205" s="281"/>
      <c r="C205" s="285"/>
      <c r="D205" s="283"/>
      <c r="E205" s="303"/>
    </row>
    <row r="206" spans="1:5" s="2" customFormat="1" ht="24" customHeight="1">
      <c r="A206" s="280">
        <f t="shared" si="3"/>
        <v>197</v>
      </c>
      <c r="B206" s="281"/>
      <c r="C206" s="285"/>
      <c r="D206" s="283"/>
      <c r="E206" s="303"/>
    </row>
    <row r="207" spans="1:5" s="2" customFormat="1" ht="24" customHeight="1">
      <c r="A207" s="280">
        <f t="shared" si="3"/>
        <v>198</v>
      </c>
      <c r="B207" s="281"/>
      <c r="C207" s="285"/>
      <c r="D207" s="283"/>
      <c r="E207" s="303"/>
    </row>
    <row r="208" spans="1:5" s="2" customFormat="1" ht="24" customHeight="1">
      <c r="A208" s="280">
        <f t="shared" si="3"/>
        <v>199</v>
      </c>
      <c r="B208" s="281"/>
      <c r="C208" s="285"/>
      <c r="D208" s="283"/>
      <c r="E208" s="303"/>
    </row>
    <row r="209" spans="1:5" s="2" customFormat="1" ht="24" customHeight="1">
      <c r="A209" s="280">
        <f t="shared" si="3"/>
        <v>200</v>
      </c>
      <c r="B209" s="281"/>
      <c r="C209" s="285"/>
      <c r="D209" s="283"/>
      <c r="E209" s="303"/>
    </row>
    <row r="210" spans="1:5" s="2" customFormat="1" ht="24" customHeight="1">
      <c r="A210" s="280">
        <f t="shared" si="3"/>
        <v>201</v>
      </c>
      <c r="B210" s="281"/>
      <c r="C210" s="285"/>
      <c r="D210" s="283"/>
      <c r="E210" s="303"/>
    </row>
    <row r="211" spans="1:5" s="2" customFormat="1" ht="24" customHeight="1">
      <c r="A211" s="280">
        <f t="shared" si="3"/>
        <v>202</v>
      </c>
      <c r="B211" s="281"/>
      <c r="C211" s="285"/>
      <c r="D211" s="283"/>
      <c r="E211" s="303"/>
    </row>
    <row r="212" spans="1:5" s="2" customFormat="1" ht="24" customHeight="1">
      <c r="A212" s="280">
        <f t="shared" si="3"/>
        <v>203</v>
      </c>
      <c r="B212" s="281"/>
      <c r="C212" s="285"/>
      <c r="D212" s="283"/>
      <c r="E212" s="303"/>
    </row>
    <row r="213" spans="1:5" s="2" customFormat="1" ht="24" customHeight="1">
      <c r="A213" s="280">
        <f t="shared" si="3"/>
        <v>204</v>
      </c>
      <c r="B213" s="281"/>
      <c r="C213" s="285"/>
      <c r="D213" s="283"/>
      <c r="E213" s="303"/>
    </row>
    <row r="214" spans="1:5" s="2" customFormat="1" ht="24" customHeight="1">
      <c r="A214" s="280">
        <f t="shared" si="3"/>
        <v>205</v>
      </c>
      <c r="B214" s="281"/>
      <c r="C214" s="285"/>
      <c r="D214" s="283"/>
      <c r="E214" s="303"/>
    </row>
    <row r="215" spans="1:5" s="2" customFormat="1" ht="24" customHeight="1">
      <c r="A215" s="280">
        <f t="shared" si="3"/>
        <v>206</v>
      </c>
      <c r="B215" s="281"/>
      <c r="C215" s="285"/>
      <c r="D215" s="283"/>
      <c r="E215" s="303"/>
    </row>
    <row r="216" spans="1:5" s="2" customFormat="1" ht="24" customHeight="1">
      <c r="A216" s="280">
        <f t="shared" si="3"/>
        <v>207</v>
      </c>
      <c r="B216" s="281"/>
      <c r="C216" s="285"/>
      <c r="D216" s="283"/>
      <c r="E216" s="303"/>
    </row>
    <row r="217" spans="1:5" s="2" customFormat="1" ht="24" customHeight="1">
      <c r="A217" s="280">
        <f t="shared" si="3"/>
        <v>208</v>
      </c>
      <c r="B217" s="281"/>
      <c r="C217" s="285"/>
      <c r="D217" s="283"/>
      <c r="E217" s="303"/>
    </row>
    <row r="218" spans="1:5" s="2" customFormat="1" ht="24" customHeight="1">
      <c r="A218" s="280">
        <f t="shared" si="3"/>
        <v>209</v>
      </c>
      <c r="B218" s="281"/>
      <c r="C218" s="285"/>
      <c r="D218" s="283"/>
      <c r="E218" s="303"/>
    </row>
    <row r="219" spans="1:5" s="2" customFormat="1" ht="24" customHeight="1">
      <c r="A219" s="280">
        <f t="shared" si="3"/>
        <v>210</v>
      </c>
      <c r="B219" s="281"/>
      <c r="C219" s="285"/>
      <c r="D219" s="283"/>
      <c r="E219" s="303"/>
    </row>
    <row r="220" spans="1:5" s="2" customFormat="1" ht="24" customHeight="1">
      <c r="A220" s="280">
        <f t="shared" si="3"/>
        <v>211</v>
      </c>
      <c r="B220" s="281"/>
      <c r="C220" s="285"/>
      <c r="D220" s="283"/>
      <c r="E220" s="303"/>
    </row>
    <row r="221" spans="1:5" s="2" customFormat="1" ht="24" customHeight="1">
      <c r="A221" s="280">
        <f t="shared" si="3"/>
        <v>212</v>
      </c>
      <c r="B221" s="281"/>
      <c r="C221" s="285"/>
      <c r="D221" s="283"/>
      <c r="E221" s="303"/>
    </row>
    <row r="222" spans="1:5" s="2" customFormat="1" ht="24" customHeight="1">
      <c r="A222" s="280">
        <f t="shared" si="3"/>
        <v>213</v>
      </c>
      <c r="B222" s="281"/>
      <c r="C222" s="285"/>
      <c r="D222" s="283"/>
      <c r="E222" s="303"/>
    </row>
    <row r="223" spans="1:5" s="2" customFormat="1" ht="24" customHeight="1">
      <c r="A223" s="280">
        <f t="shared" si="3"/>
        <v>214</v>
      </c>
      <c r="B223" s="281"/>
      <c r="C223" s="285"/>
      <c r="D223" s="283"/>
      <c r="E223" s="303"/>
    </row>
    <row r="224" spans="1:5" s="2" customFormat="1" ht="24" customHeight="1">
      <c r="A224" s="280">
        <f t="shared" si="3"/>
        <v>215</v>
      </c>
      <c r="B224" s="281"/>
      <c r="C224" s="285"/>
      <c r="D224" s="283"/>
      <c r="E224" s="303"/>
    </row>
    <row r="225" spans="1:5" s="2" customFormat="1" ht="24" customHeight="1">
      <c r="A225" s="280">
        <f t="shared" si="3"/>
        <v>216</v>
      </c>
      <c r="B225" s="281"/>
      <c r="C225" s="285"/>
      <c r="D225" s="283"/>
      <c r="E225" s="303"/>
    </row>
    <row r="226" spans="1:5" s="2" customFormat="1" ht="24" customHeight="1">
      <c r="A226" s="280">
        <f t="shared" si="3"/>
        <v>217</v>
      </c>
      <c r="B226" s="281"/>
      <c r="C226" s="285"/>
      <c r="D226" s="283"/>
      <c r="E226" s="303"/>
    </row>
    <row r="227" spans="1:5" s="2" customFormat="1" ht="24" customHeight="1">
      <c r="A227" s="280">
        <f t="shared" si="3"/>
        <v>218</v>
      </c>
      <c r="B227" s="281"/>
      <c r="C227" s="285"/>
      <c r="D227" s="283"/>
      <c r="E227" s="303"/>
    </row>
    <row r="228" spans="1:5" s="2" customFormat="1" ht="24" customHeight="1">
      <c r="A228" s="280">
        <f t="shared" si="3"/>
        <v>219</v>
      </c>
      <c r="B228" s="281"/>
      <c r="C228" s="285"/>
      <c r="D228" s="283"/>
      <c r="E228" s="303"/>
    </row>
    <row r="229" spans="1:5" s="2" customFormat="1" ht="24" customHeight="1">
      <c r="A229" s="280">
        <f t="shared" si="3"/>
        <v>220</v>
      </c>
      <c r="B229" s="281"/>
      <c r="C229" s="285"/>
      <c r="D229" s="283"/>
      <c r="E229" s="303"/>
    </row>
    <row r="230" spans="1:5" s="2" customFormat="1" ht="24" customHeight="1">
      <c r="A230" s="280">
        <f t="shared" si="3"/>
        <v>221</v>
      </c>
      <c r="B230" s="281"/>
      <c r="C230" s="285"/>
      <c r="D230" s="283"/>
      <c r="E230" s="303"/>
    </row>
    <row r="231" spans="1:5" s="2" customFormat="1" ht="24" customHeight="1">
      <c r="A231" s="280">
        <f t="shared" si="3"/>
        <v>222</v>
      </c>
      <c r="B231" s="281"/>
      <c r="C231" s="285"/>
      <c r="D231" s="283"/>
      <c r="E231" s="303"/>
    </row>
    <row r="232" spans="1:5" s="2" customFormat="1" ht="24" customHeight="1">
      <c r="A232" s="280">
        <f t="shared" si="3"/>
        <v>223</v>
      </c>
      <c r="B232" s="281"/>
      <c r="C232" s="285"/>
      <c r="D232" s="283"/>
      <c r="E232" s="303"/>
    </row>
    <row r="233" spans="1:5" s="2" customFormat="1" ht="24" customHeight="1">
      <c r="A233" s="280">
        <f t="shared" si="3"/>
        <v>224</v>
      </c>
      <c r="B233" s="281"/>
      <c r="C233" s="285"/>
      <c r="D233" s="283"/>
      <c r="E233" s="303"/>
    </row>
    <row r="234" spans="1:5" s="2" customFormat="1" ht="24" customHeight="1">
      <c r="A234" s="280">
        <f t="shared" si="3"/>
        <v>225</v>
      </c>
      <c r="B234" s="281"/>
      <c r="C234" s="285"/>
      <c r="D234" s="283"/>
      <c r="E234" s="303"/>
    </row>
    <row r="235" spans="1:5" s="2" customFormat="1" ht="24" customHeight="1">
      <c r="A235" s="280">
        <f t="shared" si="3"/>
        <v>226</v>
      </c>
      <c r="B235" s="281"/>
      <c r="C235" s="285"/>
      <c r="D235" s="283"/>
      <c r="E235" s="303"/>
    </row>
    <row r="236" spans="1:5" s="2" customFormat="1" ht="24" customHeight="1">
      <c r="A236" s="280">
        <f t="shared" si="3"/>
        <v>227</v>
      </c>
      <c r="B236" s="281"/>
      <c r="C236" s="285"/>
      <c r="D236" s="283"/>
      <c r="E236" s="303"/>
    </row>
    <row r="237" spans="1:5" s="2" customFormat="1" ht="24" customHeight="1">
      <c r="A237" s="280">
        <f t="shared" si="3"/>
        <v>228</v>
      </c>
      <c r="B237" s="281"/>
      <c r="C237" s="285"/>
      <c r="D237" s="283"/>
      <c r="E237" s="303"/>
    </row>
    <row r="238" spans="1:5" s="2" customFormat="1" ht="24" customHeight="1">
      <c r="A238" s="280">
        <f t="shared" si="3"/>
        <v>229</v>
      </c>
      <c r="B238" s="281"/>
      <c r="C238" s="285"/>
      <c r="D238" s="283"/>
      <c r="E238" s="303"/>
    </row>
    <row r="239" spans="1:5" s="2" customFormat="1" ht="24" customHeight="1">
      <c r="A239" s="280">
        <f t="shared" si="3"/>
        <v>230</v>
      </c>
      <c r="B239" s="281"/>
      <c r="C239" s="285"/>
      <c r="D239" s="283"/>
      <c r="E239" s="303"/>
    </row>
    <row r="240" spans="1:5" s="2" customFormat="1" ht="24" customHeight="1">
      <c r="A240" s="280">
        <f t="shared" si="3"/>
        <v>231</v>
      </c>
      <c r="B240" s="281"/>
      <c r="C240" s="285"/>
      <c r="D240" s="283"/>
      <c r="E240" s="303"/>
    </row>
    <row r="241" spans="1:5" s="2" customFormat="1" ht="24" customHeight="1">
      <c r="A241" s="280">
        <f t="shared" si="3"/>
        <v>232</v>
      </c>
      <c r="B241" s="281"/>
      <c r="C241" s="285"/>
      <c r="D241" s="283"/>
      <c r="E241" s="303"/>
    </row>
    <row r="242" spans="1:5" s="2" customFormat="1" ht="24" customHeight="1">
      <c r="A242" s="280">
        <f t="shared" si="3"/>
        <v>233</v>
      </c>
      <c r="B242" s="281"/>
      <c r="C242" s="285"/>
      <c r="D242" s="283"/>
      <c r="E242" s="303"/>
    </row>
    <row r="243" spans="1:5" s="2" customFormat="1" ht="24" customHeight="1">
      <c r="A243" s="280">
        <f t="shared" si="3"/>
        <v>234</v>
      </c>
      <c r="B243" s="281"/>
      <c r="C243" s="285"/>
      <c r="D243" s="283"/>
      <c r="E243" s="303"/>
    </row>
    <row r="244" spans="1:5" s="2" customFormat="1" ht="24" customHeight="1">
      <c r="A244" s="280">
        <f t="shared" si="3"/>
        <v>235</v>
      </c>
      <c r="B244" s="281"/>
      <c r="C244" s="285"/>
      <c r="D244" s="283"/>
      <c r="E244" s="303"/>
    </row>
    <row r="245" spans="1:5" s="2" customFormat="1" ht="24" customHeight="1">
      <c r="A245" s="280">
        <f t="shared" si="3"/>
        <v>236</v>
      </c>
      <c r="B245" s="281"/>
      <c r="C245" s="285"/>
      <c r="D245" s="283"/>
      <c r="E245" s="303"/>
    </row>
    <row r="246" spans="1:5" s="2" customFormat="1" ht="24" customHeight="1">
      <c r="A246" s="280">
        <f t="shared" si="3"/>
        <v>237</v>
      </c>
      <c r="B246" s="281"/>
      <c r="C246" s="285"/>
      <c r="D246" s="283"/>
      <c r="E246" s="303"/>
    </row>
    <row r="247" spans="1:5" s="2" customFormat="1" ht="24" customHeight="1">
      <c r="A247" s="280">
        <f t="shared" si="3"/>
        <v>238</v>
      </c>
      <c r="B247" s="281"/>
      <c r="C247" s="285"/>
      <c r="D247" s="283"/>
      <c r="E247" s="303"/>
    </row>
    <row r="248" spans="1:5" s="2" customFormat="1" ht="24" customHeight="1">
      <c r="A248" s="280">
        <f t="shared" si="3"/>
        <v>239</v>
      </c>
      <c r="B248" s="281"/>
      <c r="C248" s="285"/>
      <c r="D248" s="283"/>
      <c r="E248" s="303"/>
    </row>
    <row r="249" spans="1:5" s="2" customFormat="1" ht="24" customHeight="1">
      <c r="A249" s="280">
        <f t="shared" si="3"/>
        <v>240</v>
      </c>
      <c r="B249" s="281"/>
      <c r="C249" s="285"/>
      <c r="D249" s="283"/>
      <c r="E249" s="303"/>
    </row>
    <row r="250" spans="1:5" s="2" customFormat="1" ht="24" customHeight="1">
      <c r="A250" s="280">
        <f t="shared" si="3"/>
        <v>241</v>
      </c>
      <c r="B250" s="281"/>
      <c r="C250" s="285"/>
      <c r="D250" s="283"/>
      <c r="E250" s="303"/>
    </row>
    <row r="251" spans="1:5" s="2" customFormat="1" ht="24" customHeight="1">
      <c r="A251" s="280">
        <f t="shared" si="3"/>
        <v>242</v>
      </c>
      <c r="B251" s="281"/>
      <c r="C251" s="285"/>
      <c r="D251" s="283"/>
      <c r="E251" s="303"/>
    </row>
    <row r="252" spans="1:5" s="2" customFormat="1" ht="24" customHeight="1">
      <c r="A252" s="280">
        <f t="shared" si="3"/>
        <v>243</v>
      </c>
      <c r="B252" s="281"/>
      <c r="C252" s="285"/>
      <c r="D252" s="283"/>
      <c r="E252" s="303"/>
    </row>
    <row r="253" spans="1:5" s="2" customFormat="1" ht="24" customHeight="1">
      <c r="A253" s="280">
        <f t="shared" si="3"/>
        <v>244</v>
      </c>
      <c r="B253" s="281"/>
      <c r="C253" s="285"/>
      <c r="D253" s="283"/>
      <c r="E253" s="303"/>
    </row>
    <row r="254" spans="1:5" s="2" customFormat="1" ht="24" customHeight="1">
      <c r="A254" s="280">
        <f t="shared" si="3"/>
        <v>245</v>
      </c>
      <c r="B254" s="281"/>
      <c r="C254" s="285"/>
      <c r="D254" s="283"/>
      <c r="E254" s="303"/>
    </row>
    <row r="255" spans="1:5" s="2" customFormat="1" ht="24" customHeight="1">
      <c r="A255" s="280">
        <f t="shared" si="3"/>
        <v>246</v>
      </c>
      <c r="B255" s="281"/>
      <c r="C255" s="285"/>
      <c r="D255" s="283"/>
      <c r="E255" s="303"/>
    </row>
    <row r="256" spans="1:5" s="2" customFormat="1" ht="24" customHeight="1">
      <c r="A256" s="280">
        <f t="shared" si="3"/>
        <v>247</v>
      </c>
      <c r="B256" s="281"/>
      <c r="C256" s="285"/>
      <c r="D256" s="283"/>
      <c r="E256" s="303"/>
    </row>
    <row r="257" spans="1:5" s="2" customFormat="1" ht="24" customHeight="1">
      <c r="A257" s="280">
        <f t="shared" si="3"/>
        <v>248</v>
      </c>
      <c r="B257" s="281"/>
      <c r="C257" s="285"/>
      <c r="D257" s="283"/>
      <c r="E257" s="303"/>
    </row>
    <row r="258" spans="1:5" s="2" customFormat="1" ht="24" customHeight="1">
      <c r="A258" s="280">
        <f t="shared" si="3"/>
        <v>249</v>
      </c>
      <c r="B258" s="281"/>
      <c r="C258" s="285"/>
      <c r="D258" s="283"/>
      <c r="E258" s="303"/>
    </row>
    <row r="259" spans="1:5" s="2" customFormat="1" ht="24" customHeight="1">
      <c r="A259" s="280">
        <f t="shared" si="3"/>
        <v>250</v>
      </c>
      <c r="B259" s="281"/>
      <c r="C259" s="285"/>
      <c r="D259" s="283"/>
      <c r="E259" s="303"/>
    </row>
    <row r="260" spans="1:5" s="2" customFormat="1" ht="24" customHeight="1">
      <c r="A260" s="280">
        <f t="shared" si="3"/>
        <v>251</v>
      </c>
      <c r="B260" s="281"/>
      <c r="C260" s="285"/>
      <c r="D260" s="283"/>
      <c r="E260" s="303"/>
    </row>
    <row r="261" spans="1:5" s="2" customFormat="1" ht="24" customHeight="1">
      <c r="A261" s="280">
        <f t="shared" si="3"/>
        <v>252</v>
      </c>
      <c r="B261" s="281"/>
      <c r="C261" s="285"/>
      <c r="D261" s="283"/>
      <c r="E261" s="303"/>
    </row>
    <row r="262" spans="1:5" s="2" customFormat="1" ht="24" customHeight="1">
      <c r="A262" s="280">
        <f t="shared" si="3"/>
        <v>253</v>
      </c>
      <c r="B262" s="281"/>
      <c r="C262" s="285"/>
      <c r="D262" s="283"/>
      <c r="E262" s="303"/>
    </row>
    <row r="263" spans="1:5" s="2" customFormat="1" ht="24" customHeight="1">
      <c r="A263" s="280">
        <f t="shared" si="3"/>
        <v>254</v>
      </c>
      <c r="B263" s="281"/>
      <c r="C263" s="285"/>
      <c r="D263" s="283"/>
      <c r="E263" s="303"/>
    </row>
    <row r="264" spans="1:5" s="2" customFormat="1" ht="24" customHeight="1">
      <c r="A264" s="280">
        <f t="shared" si="3"/>
        <v>255</v>
      </c>
      <c r="B264" s="281"/>
      <c r="C264" s="285"/>
      <c r="D264" s="283"/>
      <c r="E264" s="303"/>
    </row>
    <row r="265" spans="1:5" s="2" customFormat="1" ht="24" customHeight="1">
      <c r="A265" s="280">
        <f t="shared" si="3"/>
        <v>256</v>
      </c>
      <c r="B265" s="281"/>
      <c r="C265" s="285"/>
      <c r="D265" s="283"/>
      <c r="E265" s="303"/>
    </row>
    <row r="266" spans="1:5" s="2" customFormat="1" ht="24" customHeight="1">
      <c r="A266" s="280">
        <f t="shared" si="3"/>
        <v>257</v>
      </c>
      <c r="B266" s="281"/>
      <c r="C266" s="285"/>
      <c r="D266" s="283"/>
      <c r="E266" s="303"/>
    </row>
    <row r="267" spans="1:5" s="2" customFormat="1" ht="24" customHeight="1">
      <c r="A267" s="280">
        <f t="shared" si="3"/>
        <v>258</v>
      </c>
      <c r="B267" s="281"/>
      <c r="C267" s="285"/>
      <c r="D267" s="283"/>
      <c r="E267" s="303"/>
    </row>
    <row r="268" spans="1:5" s="2" customFormat="1" ht="24" customHeight="1">
      <c r="A268" s="280">
        <f t="shared" ref="A268:A331" si="4">A267+1</f>
        <v>259</v>
      </c>
      <c r="B268" s="281"/>
      <c r="C268" s="285"/>
      <c r="D268" s="283"/>
      <c r="E268" s="303"/>
    </row>
    <row r="269" spans="1:5" s="2" customFormat="1" ht="24" customHeight="1">
      <c r="A269" s="280">
        <f t="shared" si="4"/>
        <v>260</v>
      </c>
      <c r="B269" s="281"/>
      <c r="C269" s="285"/>
      <c r="D269" s="283"/>
      <c r="E269" s="303"/>
    </row>
    <row r="270" spans="1:5" s="2" customFormat="1" ht="24" customHeight="1">
      <c r="A270" s="280">
        <f t="shared" si="4"/>
        <v>261</v>
      </c>
      <c r="B270" s="281"/>
      <c r="C270" s="285"/>
      <c r="D270" s="283"/>
      <c r="E270" s="303"/>
    </row>
    <row r="271" spans="1:5" s="2" customFormat="1" ht="24" customHeight="1">
      <c r="A271" s="280">
        <f t="shared" si="4"/>
        <v>262</v>
      </c>
      <c r="B271" s="281"/>
      <c r="C271" s="285"/>
      <c r="D271" s="283"/>
      <c r="E271" s="303"/>
    </row>
    <row r="272" spans="1:5" s="2" customFormat="1" ht="24" customHeight="1">
      <c r="A272" s="280">
        <f t="shared" si="4"/>
        <v>263</v>
      </c>
      <c r="B272" s="281"/>
      <c r="C272" s="285"/>
      <c r="D272" s="283"/>
      <c r="E272" s="303"/>
    </row>
    <row r="273" spans="1:5" s="2" customFormat="1" ht="24" customHeight="1">
      <c r="A273" s="280">
        <f t="shared" si="4"/>
        <v>264</v>
      </c>
      <c r="B273" s="281"/>
      <c r="C273" s="285"/>
      <c r="D273" s="283"/>
      <c r="E273" s="303"/>
    </row>
    <row r="274" spans="1:5" s="2" customFormat="1" ht="24" customHeight="1">
      <c r="A274" s="280">
        <f t="shared" si="4"/>
        <v>265</v>
      </c>
      <c r="B274" s="281"/>
      <c r="C274" s="285"/>
      <c r="D274" s="283"/>
      <c r="E274" s="303"/>
    </row>
    <row r="275" spans="1:5" s="2" customFormat="1" ht="24" customHeight="1">
      <c r="A275" s="280">
        <f t="shared" si="4"/>
        <v>266</v>
      </c>
      <c r="B275" s="281"/>
      <c r="C275" s="285"/>
      <c r="D275" s="283"/>
      <c r="E275" s="303"/>
    </row>
    <row r="276" spans="1:5" s="2" customFormat="1" ht="24" customHeight="1">
      <c r="A276" s="280">
        <f t="shared" si="4"/>
        <v>267</v>
      </c>
      <c r="B276" s="281"/>
      <c r="C276" s="285"/>
      <c r="D276" s="283"/>
      <c r="E276" s="303"/>
    </row>
    <row r="277" spans="1:5" s="2" customFormat="1" ht="24" customHeight="1">
      <c r="A277" s="280">
        <f t="shared" si="4"/>
        <v>268</v>
      </c>
      <c r="B277" s="281"/>
      <c r="C277" s="285"/>
      <c r="D277" s="283"/>
      <c r="E277" s="303"/>
    </row>
    <row r="278" spans="1:5" s="2" customFormat="1" ht="24" customHeight="1">
      <c r="A278" s="280">
        <f t="shared" si="4"/>
        <v>269</v>
      </c>
      <c r="B278" s="281"/>
      <c r="C278" s="285"/>
      <c r="D278" s="283"/>
      <c r="E278" s="303"/>
    </row>
    <row r="279" spans="1:5" s="2" customFormat="1" ht="24" customHeight="1">
      <c r="A279" s="280">
        <f t="shared" si="4"/>
        <v>270</v>
      </c>
      <c r="B279" s="281"/>
      <c r="C279" s="285"/>
      <c r="D279" s="283"/>
      <c r="E279" s="303"/>
    </row>
    <row r="280" spans="1:5" s="2" customFormat="1" ht="24" customHeight="1">
      <c r="A280" s="280">
        <f t="shared" si="4"/>
        <v>271</v>
      </c>
      <c r="B280" s="281"/>
      <c r="C280" s="285"/>
      <c r="D280" s="283"/>
      <c r="E280" s="303"/>
    </row>
    <row r="281" spans="1:5" s="2" customFormat="1" ht="24" customHeight="1">
      <c r="A281" s="280">
        <f t="shared" si="4"/>
        <v>272</v>
      </c>
      <c r="B281" s="281"/>
      <c r="C281" s="285"/>
      <c r="D281" s="283"/>
      <c r="E281" s="303"/>
    </row>
    <row r="282" spans="1:5" s="2" customFormat="1" ht="24" customHeight="1">
      <c r="A282" s="280">
        <f t="shared" si="4"/>
        <v>273</v>
      </c>
      <c r="B282" s="281"/>
      <c r="C282" s="285"/>
      <c r="D282" s="283"/>
      <c r="E282" s="303"/>
    </row>
    <row r="283" spans="1:5" s="2" customFormat="1" ht="24" customHeight="1">
      <c r="A283" s="280">
        <f t="shared" si="4"/>
        <v>274</v>
      </c>
      <c r="B283" s="281"/>
      <c r="C283" s="285"/>
      <c r="D283" s="283"/>
      <c r="E283" s="303"/>
    </row>
    <row r="284" spans="1:5" s="2" customFormat="1" ht="24" customHeight="1">
      <c r="A284" s="280">
        <f t="shared" si="4"/>
        <v>275</v>
      </c>
      <c r="B284" s="281"/>
      <c r="C284" s="285"/>
      <c r="D284" s="283"/>
      <c r="E284" s="303"/>
    </row>
    <row r="285" spans="1:5" s="2" customFormat="1" ht="24" customHeight="1">
      <c r="A285" s="280">
        <f t="shared" si="4"/>
        <v>276</v>
      </c>
      <c r="B285" s="281"/>
      <c r="C285" s="285"/>
      <c r="D285" s="283"/>
      <c r="E285" s="303"/>
    </row>
    <row r="286" spans="1:5" s="2" customFormat="1" ht="24" customHeight="1">
      <c r="A286" s="280">
        <f t="shared" si="4"/>
        <v>277</v>
      </c>
      <c r="B286" s="281"/>
      <c r="C286" s="285"/>
      <c r="D286" s="283"/>
      <c r="E286" s="303"/>
    </row>
    <row r="287" spans="1:5" s="2" customFormat="1" ht="24" customHeight="1">
      <c r="A287" s="280">
        <f t="shared" si="4"/>
        <v>278</v>
      </c>
      <c r="B287" s="281"/>
      <c r="C287" s="285"/>
      <c r="D287" s="283"/>
      <c r="E287" s="303"/>
    </row>
    <row r="288" spans="1:5" s="2" customFormat="1" ht="24" customHeight="1">
      <c r="A288" s="280">
        <f t="shared" si="4"/>
        <v>279</v>
      </c>
      <c r="B288" s="281"/>
      <c r="C288" s="285"/>
      <c r="D288" s="283"/>
      <c r="E288" s="303"/>
    </row>
    <row r="289" spans="1:5" s="2" customFormat="1" ht="24" customHeight="1">
      <c r="A289" s="280">
        <f t="shared" si="4"/>
        <v>280</v>
      </c>
      <c r="B289" s="281"/>
      <c r="C289" s="285"/>
      <c r="D289" s="283"/>
      <c r="E289" s="303"/>
    </row>
    <row r="290" spans="1:5" s="2" customFormat="1" ht="24" customHeight="1">
      <c r="A290" s="280">
        <f t="shared" si="4"/>
        <v>281</v>
      </c>
      <c r="B290" s="281"/>
      <c r="C290" s="285"/>
      <c r="D290" s="283"/>
      <c r="E290" s="303"/>
    </row>
    <row r="291" spans="1:5" s="2" customFormat="1" ht="24" customHeight="1">
      <c r="A291" s="280">
        <f t="shared" si="4"/>
        <v>282</v>
      </c>
      <c r="B291" s="281"/>
      <c r="C291" s="285"/>
      <c r="D291" s="283"/>
      <c r="E291" s="303"/>
    </row>
    <row r="292" spans="1:5" s="2" customFormat="1" ht="24" customHeight="1">
      <c r="A292" s="280">
        <f t="shared" si="4"/>
        <v>283</v>
      </c>
      <c r="B292" s="281"/>
      <c r="C292" s="285"/>
      <c r="D292" s="283"/>
      <c r="E292" s="303"/>
    </row>
    <row r="293" spans="1:5" s="2" customFormat="1" ht="24" customHeight="1">
      <c r="A293" s="280">
        <f t="shared" si="4"/>
        <v>284</v>
      </c>
      <c r="B293" s="281"/>
      <c r="C293" s="285"/>
      <c r="D293" s="283"/>
      <c r="E293" s="303"/>
    </row>
    <row r="294" spans="1:5" s="2" customFormat="1" ht="24" customHeight="1">
      <c r="A294" s="280">
        <f t="shared" si="4"/>
        <v>285</v>
      </c>
      <c r="B294" s="281"/>
      <c r="C294" s="285"/>
      <c r="D294" s="283"/>
      <c r="E294" s="303"/>
    </row>
    <row r="295" spans="1:5" s="2" customFormat="1" ht="24" customHeight="1">
      <c r="A295" s="280">
        <f t="shared" si="4"/>
        <v>286</v>
      </c>
      <c r="B295" s="281"/>
      <c r="C295" s="285"/>
      <c r="D295" s="283"/>
      <c r="E295" s="303"/>
    </row>
    <row r="296" spans="1:5" s="2" customFormat="1" ht="24" customHeight="1">
      <c r="A296" s="280">
        <f t="shared" si="4"/>
        <v>287</v>
      </c>
      <c r="B296" s="281"/>
      <c r="C296" s="285"/>
      <c r="D296" s="283"/>
      <c r="E296" s="303"/>
    </row>
    <row r="297" spans="1:5" s="2" customFormat="1" ht="24" customHeight="1">
      <c r="A297" s="280">
        <f t="shared" si="4"/>
        <v>288</v>
      </c>
      <c r="B297" s="281"/>
      <c r="C297" s="285"/>
      <c r="D297" s="283"/>
      <c r="E297" s="303"/>
    </row>
    <row r="298" spans="1:5" s="2" customFormat="1" ht="24" customHeight="1">
      <c r="A298" s="280">
        <f t="shared" si="4"/>
        <v>289</v>
      </c>
      <c r="B298" s="281"/>
      <c r="C298" s="285"/>
      <c r="D298" s="283"/>
      <c r="E298" s="303"/>
    </row>
    <row r="299" spans="1:5" s="2" customFormat="1" ht="24" customHeight="1">
      <c r="A299" s="280">
        <f t="shared" si="4"/>
        <v>290</v>
      </c>
      <c r="B299" s="281"/>
      <c r="C299" s="285"/>
      <c r="D299" s="283"/>
      <c r="E299" s="303"/>
    </row>
    <row r="300" spans="1:5" s="2" customFormat="1" ht="24" customHeight="1">
      <c r="A300" s="280">
        <f t="shared" si="4"/>
        <v>291</v>
      </c>
      <c r="B300" s="281"/>
      <c r="C300" s="285"/>
      <c r="D300" s="283"/>
      <c r="E300" s="303"/>
    </row>
    <row r="301" spans="1:5" s="2" customFormat="1" ht="24" customHeight="1">
      <c r="A301" s="280">
        <f t="shared" si="4"/>
        <v>292</v>
      </c>
      <c r="B301" s="281"/>
      <c r="C301" s="285"/>
      <c r="D301" s="283"/>
      <c r="E301" s="303"/>
    </row>
    <row r="302" spans="1:5" s="2" customFormat="1" ht="24" customHeight="1">
      <c r="A302" s="280">
        <f t="shared" si="4"/>
        <v>293</v>
      </c>
      <c r="B302" s="281"/>
      <c r="C302" s="285"/>
      <c r="D302" s="283"/>
      <c r="E302" s="303"/>
    </row>
    <row r="303" spans="1:5" s="2" customFormat="1" ht="24" customHeight="1">
      <c r="A303" s="280">
        <f t="shared" si="4"/>
        <v>294</v>
      </c>
      <c r="B303" s="281"/>
      <c r="C303" s="285"/>
      <c r="D303" s="283"/>
      <c r="E303" s="303"/>
    </row>
    <row r="304" spans="1:5" s="2" customFormat="1" ht="24" customHeight="1">
      <c r="A304" s="280">
        <f t="shared" si="4"/>
        <v>295</v>
      </c>
      <c r="B304" s="281"/>
      <c r="C304" s="285"/>
      <c r="D304" s="283"/>
      <c r="E304" s="303"/>
    </row>
    <row r="305" spans="1:5" s="2" customFormat="1" ht="24" customHeight="1">
      <c r="A305" s="280">
        <f t="shared" si="4"/>
        <v>296</v>
      </c>
      <c r="B305" s="281"/>
      <c r="C305" s="285"/>
      <c r="D305" s="283"/>
      <c r="E305" s="303"/>
    </row>
    <row r="306" spans="1:5" s="2" customFormat="1" ht="24" customHeight="1">
      <c r="A306" s="280">
        <f t="shared" si="4"/>
        <v>297</v>
      </c>
      <c r="B306" s="281"/>
      <c r="C306" s="285"/>
      <c r="D306" s="283"/>
      <c r="E306" s="303"/>
    </row>
    <row r="307" spans="1:5" s="2" customFormat="1" ht="24" customHeight="1">
      <c r="A307" s="280">
        <f t="shared" si="4"/>
        <v>298</v>
      </c>
      <c r="B307" s="281"/>
      <c r="C307" s="285"/>
      <c r="D307" s="283"/>
      <c r="E307" s="303"/>
    </row>
    <row r="308" spans="1:5" s="2" customFormat="1" ht="24" customHeight="1">
      <c r="A308" s="280">
        <f t="shared" si="4"/>
        <v>299</v>
      </c>
      <c r="B308" s="281"/>
      <c r="C308" s="285"/>
      <c r="D308" s="283"/>
      <c r="E308" s="303"/>
    </row>
    <row r="309" spans="1:5" s="2" customFormat="1" ht="24" customHeight="1">
      <c r="A309" s="280">
        <f t="shared" si="4"/>
        <v>300</v>
      </c>
      <c r="B309" s="281"/>
      <c r="C309" s="285"/>
      <c r="D309" s="283"/>
      <c r="E309" s="303"/>
    </row>
    <row r="310" spans="1:5" s="2" customFormat="1" ht="24" customHeight="1">
      <c r="A310" s="280">
        <f t="shared" si="4"/>
        <v>301</v>
      </c>
      <c r="B310" s="281"/>
      <c r="C310" s="285"/>
      <c r="D310" s="283"/>
      <c r="E310" s="303"/>
    </row>
    <row r="311" spans="1:5" s="2" customFormat="1" ht="24" customHeight="1">
      <c r="A311" s="280">
        <f t="shared" si="4"/>
        <v>302</v>
      </c>
      <c r="B311" s="281"/>
      <c r="C311" s="285"/>
      <c r="D311" s="283"/>
      <c r="E311" s="303"/>
    </row>
    <row r="312" spans="1:5" s="2" customFormat="1" ht="24" customHeight="1">
      <c r="A312" s="280">
        <f t="shared" si="4"/>
        <v>303</v>
      </c>
      <c r="B312" s="281"/>
      <c r="C312" s="285"/>
      <c r="D312" s="283"/>
      <c r="E312" s="303"/>
    </row>
    <row r="313" spans="1:5" s="2" customFormat="1" ht="24" customHeight="1">
      <c r="A313" s="280">
        <f t="shared" si="4"/>
        <v>304</v>
      </c>
      <c r="B313" s="281"/>
      <c r="C313" s="285"/>
      <c r="D313" s="283"/>
      <c r="E313" s="303"/>
    </row>
    <row r="314" spans="1:5" s="2" customFormat="1" ht="24" customHeight="1">
      <c r="A314" s="280">
        <f t="shared" si="4"/>
        <v>305</v>
      </c>
      <c r="B314" s="281"/>
      <c r="C314" s="285"/>
      <c r="D314" s="283"/>
      <c r="E314" s="303"/>
    </row>
    <row r="315" spans="1:5" s="2" customFormat="1" ht="24" customHeight="1">
      <c r="A315" s="280">
        <f t="shared" si="4"/>
        <v>306</v>
      </c>
      <c r="B315" s="281"/>
      <c r="C315" s="285"/>
      <c r="D315" s="283"/>
      <c r="E315" s="303"/>
    </row>
    <row r="316" spans="1:5" s="2" customFormat="1" ht="24" customHeight="1">
      <c r="A316" s="280">
        <f t="shared" si="4"/>
        <v>307</v>
      </c>
      <c r="B316" s="281"/>
      <c r="C316" s="285"/>
      <c r="D316" s="283"/>
      <c r="E316" s="303"/>
    </row>
    <row r="317" spans="1:5" s="2" customFormat="1" ht="24" customHeight="1">
      <c r="A317" s="280">
        <f t="shared" si="4"/>
        <v>308</v>
      </c>
      <c r="B317" s="281"/>
      <c r="C317" s="285"/>
      <c r="D317" s="283"/>
      <c r="E317" s="303"/>
    </row>
    <row r="318" spans="1:5" s="2" customFormat="1" ht="24" customHeight="1">
      <c r="A318" s="280">
        <f t="shared" si="4"/>
        <v>309</v>
      </c>
      <c r="B318" s="281"/>
      <c r="C318" s="285"/>
      <c r="D318" s="283"/>
      <c r="E318" s="303"/>
    </row>
    <row r="319" spans="1:5" s="2" customFormat="1" ht="24" customHeight="1">
      <c r="A319" s="280">
        <f t="shared" si="4"/>
        <v>310</v>
      </c>
      <c r="B319" s="281"/>
      <c r="C319" s="285"/>
      <c r="D319" s="283"/>
      <c r="E319" s="303"/>
    </row>
    <row r="320" spans="1:5" s="2" customFormat="1" ht="24" customHeight="1">
      <c r="A320" s="280">
        <f t="shared" si="4"/>
        <v>311</v>
      </c>
      <c r="B320" s="281"/>
      <c r="C320" s="285"/>
      <c r="D320" s="283"/>
      <c r="E320" s="303"/>
    </row>
    <row r="321" spans="1:5" s="2" customFormat="1" ht="24" customHeight="1">
      <c r="A321" s="280">
        <f t="shared" si="4"/>
        <v>312</v>
      </c>
      <c r="B321" s="281"/>
      <c r="C321" s="285"/>
      <c r="D321" s="283"/>
      <c r="E321" s="303"/>
    </row>
    <row r="322" spans="1:5" s="2" customFormat="1" ht="24" customHeight="1">
      <c r="A322" s="280">
        <f t="shared" si="4"/>
        <v>313</v>
      </c>
      <c r="B322" s="281"/>
      <c r="C322" s="285"/>
      <c r="D322" s="283"/>
      <c r="E322" s="303"/>
    </row>
    <row r="323" spans="1:5" s="2" customFormat="1" ht="24" customHeight="1">
      <c r="A323" s="280">
        <f t="shared" si="4"/>
        <v>314</v>
      </c>
      <c r="B323" s="281"/>
      <c r="C323" s="285"/>
      <c r="D323" s="283"/>
      <c r="E323" s="303"/>
    </row>
    <row r="324" spans="1:5" s="2" customFormat="1" ht="24" customHeight="1">
      <c r="A324" s="280">
        <f t="shared" si="4"/>
        <v>315</v>
      </c>
      <c r="B324" s="281"/>
      <c r="C324" s="285"/>
      <c r="D324" s="283"/>
      <c r="E324" s="303"/>
    </row>
    <row r="325" spans="1:5" s="2" customFormat="1" ht="24" customHeight="1">
      <c r="A325" s="280">
        <f t="shared" si="4"/>
        <v>316</v>
      </c>
      <c r="B325" s="281"/>
      <c r="C325" s="285"/>
      <c r="D325" s="283"/>
      <c r="E325" s="303"/>
    </row>
    <row r="326" spans="1:5" s="2" customFormat="1" ht="24" customHeight="1">
      <c r="A326" s="280">
        <f t="shared" si="4"/>
        <v>317</v>
      </c>
      <c r="B326" s="281"/>
      <c r="C326" s="285"/>
      <c r="D326" s="283"/>
      <c r="E326" s="303"/>
    </row>
    <row r="327" spans="1:5" s="2" customFormat="1" ht="24" customHeight="1">
      <c r="A327" s="280">
        <f t="shared" si="4"/>
        <v>318</v>
      </c>
      <c r="B327" s="281"/>
      <c r="C327" s="285"/>
      <c r="D327" s="283"/>
      <c r="E327" s="303"/>
    </row>
    <row r="328" spans="1:5" s="2" customFormat="1" ht="24" customHeight="1">
      <c r="A328" s="280">
        <f t="shared" si="4"/>
        <v>319</v>
      </c>
      <c r="B328" s="281"/>
      <c r="C328" s="285"/>
      <c r="D328" s="283"/>
      <c r="E328" s="303"/>
    </row>
    <row r="329" spans="1:5" s="2" customFormat="1" ht="24" customHeight="1">
      <c r="A329" s="280">
        <f t="shared" si="4"/>
        <v>320</v>
      </c>
      <c r="B329" s="281"/>
      <c r="C329" s="285"/>
      <c r="D329" s="283"/>
      <c r="E329" s="303"/>
    </row>
    <row r="330" spans="1:5" s="2" customFormat="1" ht="24" customHeight="1">
      <c r="A330" s="280">
        <f t="shared" si="4"/>
        <v>321</v>
      </c>
      <c r="B330" s="281"/>
      <c r="C330" s="285"/>
      <c r="D330" s="283"/>
      <c r="E330" s="303"/>
    </row>
    <row r="331" spans="1:5" s="2" customFormat="1" ht="24" customHeight="1">
      <c r="A331" s="280">
        <f t="shared" si="4"/>
        <v>322</v>
      </c>
      <c r="B331" s="281"/>
      <c r="C331" s="285"/>
      <c r="D331" s="283"/>
      <c r="E331" s="303"/>
    </row>
    <row r="332" spans="1:5" s="2" customFormat="1" ht="24" customHeight="1">
      <c r="A332" s="280">
        <f t="shared" ref="A332:A395" si="5">A331+1</f>
        <v>323</v>
      </c>
      <c r="B332" s="281"/>
      <c r="C332" s="285"/>
      <c r="D332" s="283"/>
      <c r="E332" s="303"/>
    </row>
    <row r="333" spans="1:5" s="2" customFormat="1" ht="24" customHeight="1">
      <c r="A333" s="280">
        <f t="shared" si="5"/>
        <v>324</v>
      </c>
      <c r="B333" s="281"/>
      <c r="C333" s="285"/>
      <c r="D333" s="283"/>
      <c r="E333" s="303"/>
    </row>
    <row r="334" spans="1:5" s="2" customFormat="1" ht="24" customHeight="1">
      <c r="A334" s="280">
        <f t="shared" si="5"/>
        <v>325</v>
      </c>
      <c r="B334" s="281"/>
      <c r="C334" s="285"/>
      <c r="D334" s="283"/>
      <c r="E334" s="303"/>
    </row>
    <row r="335" spans="1:5" s="2" customFormat="1" ht="24" customHeight="1">
      <c r="A335" s="280">
        <f t="shared" si="5"/>
        <v>326</v>
      </c>
      <c r="B335" s="281"/>
      <c r="C335" s="285"/>
      <c r="D335" s="283"/>
      <c r="E335" s="303"/>
    </row>
    <row r="336" spans="1:5" s="2" customFormat="1" ht="24" customHeight="1">
      <c r="A336" s="280">
        <f t="shared" si="5"/>
        <v>327</v>
      </c>
      <c r="B336" s="281"/>
      <c r="C336" s="285"/>
      <c r="D336" s="283"/>
      <c r="E336" s="303"/>
    </row>
    <row r="337" spans="1:5" s="2" customFormat="1" ht="24" customHeight="1">
      <c r="A337" s="280">
        <f t="shared" si="5"/>
        <v>328</v>
      </c>
      <c r="B337" s="281"/>
      <c r="C337" s="285"/>
      <c r="D337" s="283"/>
      <c r="E337" s="303"/>
    </row>
    <row r="338" spans="1:5" s="2" customFormat="1" ht="24" customHeight="1">
      <c r="A338" s="280">
        <f t="shared" si="5"/>
        <v>329</v>
      </c>
      <c r="B338" s="281"/>
      <c r="C338" s="285"/>
      <c r="D338" s="283"/>
      <c r="E338" s="303"/>
    </row>
    <row r="339" spans="1:5" s="2" customFormat="1" ht="24" customHeight="1">
      <c r="A339" s="280">
        <f t="shared" si="5"/>
        <v>330</v>
      </c>
      <c r="B339" s="281"/>
      <c r="C339" s="285"/>
      <c r="D339" s="283"/>
      <c r="E339" s="303"/>
    </row>
    <row r="340" spans="1:5" s="2" customFormat="1" ht="24" customHeight="1">
      <c r="A340" s="280">
        <f t="shared" si="5"/>
        <v>331</v>
      </c>
      <c r="B340" s="281"/>
      <c r="C340" s="285"/>
      <c r="D340" s="283"/>
      <c r="E340" s="303"/>
    </row>
    <row r="341" spans="1:5" s="2" customFormat="1" ht="24" customHeight="1">
      <c r="A341" s="280">
        <f t="shared" si="5"/>
        <v>332</v>
      </c>
      <c r="B341" s="281"/>
      <c r="C341" s="285"/>
      <c r="D341" s="283"/>
      <c r="E341" s="303"/>
    </row>
    <row r="342" spans="1:5" s="2" customFormat="1" ht="24" customHeight="1">
      <c r="A342" s="280">
        <f t="shared" si="5"/>
        <v>333</v>
      </c>
      <c r="B342" s="281"/>
      <c r="C342" s="285"/>
      <c r="D342" s="283"/>
      <c r="E342" s="303"/>
    </row>
    <row r="343" spans="1:5" s="2" customFormat="1" ht="24" customHeight="1">
      <c r="A343" s="280">
        <f t="shared" si="5"/>
        <v>334</v>
      </c>
      <c r="B343" s="281"/>
      <c r="C343" s="285"/>
      <c r="D343" s="283"/>
      <c r="E343" s="303"/>
    </row>
    <row r="344" spans="1:5" s="2" customFormat="1" ht="24" customHeight="1">
      <c r="A344" s="280">
        <f t="shared" si="5"/>
        <v>335</v>
      </c>
      <c r="B344" s="281"/>
      <c r="C344" s="285"/>
      <c r="D344" s="283"/>
      <c r="E344" s="303"/>
    </row>
    <row r="345" spans="1:5" s="2" customFormat="1" ht="24" customHeight="1">
      <c r="A345" s="280">
        <f t="shared" si="5"/>
        <v>336</v>
      </c>
      <c r="B345" s="281"/>
      <c r="C345" s="285"/>
      <c r="D345" s="283"/>
      <c r="E345" s="303"/>
    </row>
    <row r="346" spans="1:5" s="2" customFormat="1" ht="24" customHeight="1">
      <c r="A346" s="280">
        <f t="shared" si="5"/>
        <v>337</v>
      </c>
      <c r="B346" s="281"/>
      <c r="C346" s="285"/>
      <c r="D346" s="283"/>
      <c r="E346" s="303"/>
    </row>
    <row r="347" spans="1:5" s="2" customFormat="1" ht="24" customHeight="1">
      <c r="A347" s="280">
        <f t="shared" si="5"/>
        <v>338</v>
      </c>
      <c r="B347" s="281"/>
      <c r="C347" s="285"/>
      <c r="D347" s="283"/>
      <c r="E347" s="303"/>
    </row>
    <row r="348" spans="1:5" s="2" customFormat="1" ht="24" customHeight="1">
      <c r="A348" s="280">
        <f t="shared" si="5"/>
        <v>339</v>
      </c>
      <c r="B348" s="281"/>
      <c r="C348" s="285"/>
      <c r="D348" s="283"/>
      <c r="E348" s="303"/>
    </row>
    <row r="349" spans="1:5" s="2" customFormat="1" ht="24" customHeight="1">
      <c r="A349" s="280">
        <f t="shared" si="5"/>
        <v>340</v>
      </c>
      <c r="B349" s="281"/>
      <c r="C349" s="285"/>
      <c r="D349" s="283"/>
      <c r="E349" s="303"/>
    </row>
    <row r="350" spans="1:5" s="2" customFormat="1" ht="24" customHeight="1">
      <c r="A350" s="280">
        <f t="shared" si="5"/>
        <v>341</v>
      </c>
      <c r="B350" s="281"/>
      <c r="C350" s="285"/>
      <c r="D350" s="283"/>
      <c r="E350" s="303"/>
    </row>
    <row r="351" spans="1:5" s="2" customFormat="1" ht="24" customHeight="1">
      <c r="A351" s="280">
        <f t="shared" si="5"/>
        <v>342</v>
      </c>
      <c r="B351" s="281"/>
      <c r="C351" s="285"/>
      <c r="D351" s="283"/>
      <c r="E351" s="303"/>
    </row>
    <row r="352" spans="1:5" s="2" customFormat="1" ht="24" customHeight="1">
      <c r="A352" s="280">
        <f t="shared" si="5"/>
        <v>343</v>
      </c>
      <c r="B352" s="281"/>
      <c r="C352" s="285"/>
      <c r="D352" s="283"/>
      <c r="E352" s="303"/>
    </row>
    <row r="353" spans="1:5" s="2" customFormat="1" ht="24" customHeight="1">
      <c r="A353" s="280">
        <f t="shared" si="5"/>
        <v>344</v>
      </c>
      <c r="B353" s="281"/>
      <c r="C353" s="285"/>
      <c r="D353" s="283"/>
      <c r="E353" s="303"/>
    </row>
    <row r="354" spans="1:5" s="2" customFormat="1" ht="24" customHeight="1">
      <c r="A354" s="280">
        <f t="shared" si="5"/>
        <v>345</v>
      </c>
      <c r="B354" s="281"/>
      <c r="C354" s="285"/>
      <c r="D354" s="283"/>
      <c r="E354" s="303"/>
    </row>
    <row r="355" spans="1:5" s="2" customFormat="1" ht="24" customHeight="1">
      <c r="A355" s="280">
        <f t="shared" si="5"/>
        <v>346</v>
      </c>
      <c r="B355" s="281"/>
      <c r="C355" s="285"/>
      <c r="D355" s="283"/>
      <c r="E355" s="303"/>
    </row>
    <row r="356" spans="1:5" s="2" customFormat="1" ht="24" customHeight="1">
      <c r="A356" s="280">
        <f t="shared" si="5"/>
        <v>347</v>
      </c>
      <c r="B356" s="281"/>
      <c r="C356" s="285"/>
      <c r="D356" s="283"/>
      <c r="E356" s="303"/>
    </row>
    <row r="357" spans="1:5" s="2" customFormat="1" ht="24" customHeight="1">
      <c r="A357" s="280">
        <f t="shared" si="5"/>
        <v>348</v>
      </c>
      <c r="B357" s="281"/>
      <c r="C357" s="285"/>
      <c r="D357" s="283"/>
      <c r="E357" s="303"/>
    </row>
    <row r="358" spans="1:5" s="2" customFormat="1" ht="24" customHeight="1">
      <c r="A358" s="280">
        <f t="shared" si="5"/>
        <v>349</v>
      </c>
      <c r="B358" s="281"/>
      <c r="C358" s="285"/>
      <c r="D358" s="283"/>
      <c r="E358" s="303"/>
    </row>
    <row r="359" spans="1:5" s="2" customFormat="1" ht="24" customHeight="1">
      <c r="A359" s="280">
        <f t="shared" si="5"/>
        <v>350</v>
      </c>
      <c r="B359" s="281"/>
      <c r="C359" s="285"/>
      <c r="D359" s="283"/>
      <c r="E359" s="303"/>
    </row>
    <row r="360" spans="1:5" s="2" customFormat="1" ht="24" customHeight="1">
      <c r="A360" s="280">
        <f t="shared" si="5"/>
        <v>351</v>
      </c>
      <c r="B360" s="281"/>
      <c r="C360" s="285"/>
      <c r="D360" s="283"/>
      <c r="E360" s="303"/>
    </row>
    <row r="361" spans="1:5" s="2" customFormat="1" ht="24" customHeight="1">
      <c r="A361" s="280">
        <f t="shared" si="5"/>
        <v>352</v>
      </c>
      <c r="B361" s="281"/>
      <c r="C361" s="285"/>
      <c r="D361" s="283"/>
      <c r="E361" s="303"/>
    </row>
    <row r="362" spans="1:5" s="2" customFormat="1" ht="24" customHeight="1">
      <c r="A362" s="280">
        <f t="shared" si="5"/>
        <v>353</v>
      </c>
      <c r="B362" s="281"/>
      <c r="C362" s="285"/>
      <c r="D362" s="283"/>
      <c r="E362" s="303"/>
    </row>
    <row r="363" spans="1:5" s="2" customFormat="1" ht="24" customHeight="1">
      <c r="A363" s="280">
        <f t="shared" si="5"/>
        <v>354</v>
      </c>
      <c r="B363" s="281"/>
      <c r="C363" s="285"/>
      <c r="D363" s="283"/>
      <c r="E363" s="303"/>
    </row>
    <row r="364" spans="1:5" s="2" customFormat="1" ht="24" customHeight="1">
      <c r="A364" s="280">
        <f t="shared" si="5"/>
        <v>355</v>
      </c>
      <c r="B364" s="281"/>
      <c r="C364" s="285"/>
      <c r="D364" s="283"/>
      <c r="E364" s="303"/>
    </row>
    <row r="365" spans="1:5" s="2" customFormat="1" ht="24" customHeight="1">
      <c r="A365" s="280">
        <f t="shared" si="5"/>
        <v>356</v>
      </c>
      <c r="B365" s="281"/>
      <c r="C365" s="285"/>
      <c r="D365" s="283"/>
      <c r="E365" s="303"/>
    </row>
    <row r="366" spans="1:5" s="2" customFormat="1" ht="24" customHeight="1">
      <c r="A366" s="280">
        <f t="shared" si="5"/>
        <v>357</v>
      </c>
      <c r="B366" s="281"/>
      <c r="C366" s="285"/>
      <c r="D366" s="283"/>
      <c r="E366" s="303"/>
    </row>
    <row r="367" spans="1:5" s="2" customFormat="1" ht="24" customHeight="1">
      <c r="A367" s="280">
        <f t="shared" si="5"/>
        <v>358</v>
      </c>
      <c r="B367" s="281"/>
      <c r="C367" s="285"/>
      <c r="D367" s="283"/>
      <c r="E367" s="303"/>
    </row>
    <row r="368" spans="1:5" s="2" customFormat="1" ht="24" customHeight="1">
      <c r="A368" s="280">
        <f t="shared" si="5"/>
        <v>359</v>
      </c>
      <c r="B368" s="281"/>
      <c r="C368" s="285"/>
      <c r="D368" s="283"/>
      <c r="E368" s="303"/>
    </row>
    <row r="369" spans="1:5" s="2" customFormat="1" ht="24" customHeight="1">
      <c r="A369" s="280">
        <f t="shared" si="5"/>
        <v>360</v>
      </c>
      <c r="B369" s="281"/>
      <c r="C369" s="285"/>
      <c r="D369" s="283"/>
      <c r="E369" s="303"/>
    </row>
    <row r="370" spans="1:5" s="2" customFormat="1" ht="24" customHeight="1">
      <c r="A370" s="280">
        <f t="shared" si="5"/>
        <v>361</v>
      </c>
      <c r="B370" s="281"/>
      <c r="C370" s="285"/>
      <c r="D370" s="283"/>
      <c r="E370" s="303"/>
    </row>
    <row r="371" spans="1:5" s="2" customFormat="1" ht="24" customHeight="1">
      <c r="A371" s="280">
        <f t="shared" si="5"/>
        <v>362</v>
      </c>
      <c r="B371" s="281"/>
      <c r="C371" s="285"/>
      <c r="D371" s="283"/>
      <c r="E371" s="303"/>
    </row>
    <row r="372" spans="1:5" s="2" customFormat="1" ht="24" customHeight="1">
      <c r="A372" s="280">
        <f t="shared" si="5"/>
        <v>363</v>
      </c>
      <c r="B372" s="281"/>
      <c r="C372" s="285"/>
      <c r="D372" s="283"/>
      <c r="E372" s="303"/>
    </row>
    <row r="373" spans="1:5" s="2" customFormat="1" ht="24" customHeight="1">
      <c r="A373" s="280">
        <f t="shared" si="5"/>
        <v>364</v>
      </c>
      <c r="B373" s="281"/>
      <c r="C373" s="285"/>
      <c r="D373" s="283"/>
      <c r="E373" s="303"/>
    </row>
    <row r="374" spans="1:5" s="2" customFormat="1" ht="24" customHeight="1">
      <c r="A374" s="280">
        <f t="shared" si="5"/>
        <v>365</v>
      </c>
      <c r="B374" s="281"/>
      <c r="C374" s="285"/>
      <c r="D374" s="283"/>
      <c r="E374" s="303"/>
    </row>
    <row r="375" spans="1:5" s="2" customFormat="1" ht="24" customHeight="1">
      <c r="A375" s="280">
        <f t="shared" si="5"/>
        <v>366</v>
      </c>
      <c r="B375" s="281"/>
      <c r="C375" s="285"/>
      <c r="D375" s="283"/>
      <c r="E375" s="303"/>
    </row>
    <row r="376" spans="1:5" s="2" customFormat="1" ht="24" customHeight="1">
      <c r="A376" s="280">
        <f t="shared" si="5"/>
        <v>367</v>
      </c>
      <c r="B376" s="281"/>
      <c r="C376" s="285"/>
      <c r="D376" s="283"/>
      <c r="E376" s="303"/>
    </row>
    <row r="377" spans="1:5" s="2" customFormat="1" ht="24" customHeight="1">
      <c r="A377" s="280">
        <f t="shared" si="5"/>
        <v>368</v>
      </c>
      <c r="B377" s="281"/>
      <c r="C377" s="285"/>
      <c r="D377" s="283"/>
      <c r="E377" s="303"/>
    </row>
    <row r="378" spans="1:5" s="2" customFormat="1" ht="24" customHeight="1">
      <c r="A378" s="280">
        <f t="shared" si="5"/>
        <v>369</v>
      </c>
      <c r="B378" s="281"/>
      <c r="C378" s="285"/>
      <c r="D378" s="283"/>
      <c r="E378" s="303"/>
    </row>
    <row r="379" spans="1:5" s="2" customFormat="1" ht="24" customHeight="1">
      <c r="A379" s="280">
        <f t="shared" si="5"/>
        <v>370</v>
      </c>
      <c r="B379" s="281"/>
      <c r="C379" s="285"/>
      <c r="D379" s="283"/>
      <c r="E379" s="303"/>
    </row>
    <row r="380" spans="1:5" s="2" customFormat="1" ht="24" customHeight="1">
      <c r="A380" s="280">
        <f t="shared" si="5"/>
        <v>371</v>
      </c>
      <c r="B380" s="281"/>
      <c r="C380" s="285"/>
      <c r="D380" s="283"/>
      <c r="E380" s="303"/>
    </row>
    <row r="381" spans="1:5" s="2" customFormat="1" ht="24" customHeight="1">
      <c r="A381" s="280">
        <f t="shared" si="5"/>
        <v>372</v>
      </c>
      <c r="B381" s="281"/>
      <c r="C381" s="285"/>
      <c r="D381" s="283"/>
      <c r="E381" s="303"/>
    </row>
    <row r="382" spans="1:5" s="2" customFormat="1" ht="24" customHeight="1">
      <c r="A382" s="280">
        <f t="shared" si="5"/>
        <v>373</v>
      </c>
      <c r="B382" s="281"/>
      <c r="C382" s="285"/>
      <c r="D382" s="283"/>
      <c r="E382" s="303"/>
    </row>
    <row r="383" spans="1:5" s="2" customFormat="1" ht="24" customHeight="1">
      <c r="A383" s="280">
        <f t="shared" si="5"/>
        <v>374</v>
      </c>
      <c r="B383" s="281"/>
      <c r="C383" s="285"/>
      <c r="D383" s="283"/>
      <c r="E383" s="303"/>
    </row>
    <row r="384" spans="1:5" s="2" customFormat="1" ht="24" customHeight="1">
      <c r="A384" s="280">
        <f t="shared" si="5"/>
        <v>375</v>
      </c>
      <c r="B384" s="281"/>
      <c r="C384" s="285"/>
      <c r="D384" s="283"/>
      <c r="E384" s="303"/>
    </row>
    <row r="385" spans="1:5" s="2" customFormat="1" ht="24" customHeight="1">
      <c r="A385" s="280">
        <f t="shared" si="5"/>
        <v>376</v>
      </c>
      <c r="B385" s="281"/>
      <c r="C385" s="285"/>
      <c r="D385" s="283"/>
      <c r="E385" s="303"/>
    </row>
    <row r="386" spans="1:5" s="2" customFormat="1" ht="24" customHeight="1">
      <c r="A386" s="280">
        <f t="shared" si="5"/>
        <v>377</v>
      </c>
      <c r="B386" s="281"/>
      <c r="C386" s="285"/>
      <c r="D386" s="283"/>
      <c r="E386" s="303"/>
    </row>
    <row r="387" spans="1:5" s="2" customFormat="1" ht="24" customHeight="1">
      <c r="A387" s="280">
        <f t="shared" si="5"/>
        <v>378</v>
      </c>
      <c r="B387" s="281"/>
      <c r="C387" s="285"/>
      <c r="D387" s="283"/>
      <c r="E387" s="303"/>
    </row>
    <row r="388" spans="1:5" s="2" customFormat="1" ht="24" customHeight="1">
      <c r="A388" s="280">
        <f t="shared" si="5"/>
        <v>379</v>
      </c>
      <c r="B388" s="281"/>
      <c r="C388" s="285"/>
      <c r="D388" s="283"/>
      <c r="E388" s="303"/>
    </row>
    <row r="389" spans="1:5" s="2" customFormat="1" ht="24" customHeight="1">
      <c r="A389" s="280">
        <f t="shared" si="5"/>
        <v>380</v>
      </c>
      <c r="B389" s="281"/>
      <c r="C389" s="285"/>
      <c r="D389" s="283"/>
      <c r="E389" s="303"/>
    </row>
    <row r="390" spans="1:5" s="2" customFormat="1" ht="24" customHeight="1">
      <c r="A390" s="280">
        <f t="shared" si="5"/>
        <v>381</v>
      </c>
      <c r="B390" s="281"/>
      <c r="C390" s="285"/>
      <c r="D390" s="283"/>
      <c r="E390" s="303"/>
    </row>
    <row r="391" spans="1:5" s="2" customFormat="1" ht="24" customHeight="1">
      <c r="A391" s="280">
        <f t="shared" si="5"/>
        <v>382</v>
      </c>
      <c r="B391" s="281"/>
      <c r="C391" s="285"/>
      <c r="D391" s="283"/>
      <c r="E391" s="303"/>
    </row>
    <row r="392" spans="1:5" s="2" customFormat="1" ht="24" customHeight="1">
      <c r="A392" s="280">
        <f t="shared" si="5"/>
        <v>383</v>
      </c>
      <c r="B392" s="281"/>
      <c r="C392" s="285"/>
      <c r="D392" s="283"/>
      <c r="E392" s="303"/>
    </row>
    <row r="393" spans="1:5" s="2" customFormat="1" ht="24" customHeight="1">
      <c r="A393" s="280">
        <f t="shared" si="5"/>
        <v>384</v>
      </c>
      <c r="B393" s="281"/>
      <c r="C393" s="285"/>
      <c r="D393" s="283"/>
      <c r="E393" s="303"/>
    </row>
    <row r="394" spans="1:5" s="2" customFormat="1" ht="24" customHeight="1">
      <c r="A394" s="280">
        <f t="shared" si="5"/>
        <v>385</v>
      </c>
      <c r="B394" s="281"/>
      <c r="C394" s="285"/>
      <c r="D394" s="283"/>
      <c r="E394" s="303"/>
    </row>
    <row r="395" spans="1:5" s="2" customFormat="1" ht="24" customHeight="1">
      <c r="A395" s="280">
        <f t="shared" si="5"/>
        <v>386</v>
      </c>
      <c r="B395" s="281"/>
      <c r="C395" s="285"/>
      <c r="D395" s="283"/>
      <c r="E395" s="303"/>
    </row>
    <row r="396" spans="1:5" s="2" customFormat="1" ht="24" customHeight="1">
      <c r="A396" s="280">
        <f t="shared" ref="A396:A459" si="6">A395+1</f>
        <v>387</v>
      </c>
      <c r="B396" s="281"/>
      <c r="C396" s="285"/>
      <c r="D396" s="283"/>
      <c r="E396" s="303"/>
    </row>
    <row r="397" spans="1:5" s="2" customFormat="1" ht="24" customHeight="1">
      <c r="A397" s="280">
        <f t="shared" si="6"/>
        <v>388</v>
      </c>
      <c r="B397" s="281"/>
      <c r="C397" s="285"/>
      <c r="D397" s="283"/>
      <c r="E397" s="303"/>
    </row>
    <row r="398" spans="1:5" s="2" customFormat="1" ht="24" customHeight="1">
      <c r="A398" s="280">
        <f t="shared" si="6"/>
        <v>389</v>
      </c>
      <c r="B398" s="281"/>
      <c r="C398" s="285"/>
      <c r="D398" s="283"/>
      <c r="E398" s="303"/>
    </row>
    <row r="399" spans="1:5" s="2" customFormat="1" ht="24" customHeight="1">
      <c r="A399" s="280">
        <f t="shared" si="6"/>
        <v>390</v>
      </c>
      <c r="B399" s="281"/>
      <c r="C399" s="285"/>
      <c r="D399" s="283"/>
      <c r="E399" s="303"/>
    </row>
    <row r="400" spans="1:5" s="2" customFormat="1" ht="24" customHeight="1">
      <c r="A400" s="280">
        <f t="shared" si="6"/>
        <v>391</v>
      </c>
      <c r="B400" s="281"/>
      <c r="C400" s="285"/>
      <c r="D400" s="283"/>
      <c r="E400" s="303"/>
    </row>
    <row r="401" spans="1:5" s="2" customFormat="1" ht="24" customHeight="1">
      <c r="A401" s="280">
        <f t="shared" si="6"/>
        <v>392</v>
      </c>
      <c r="B401" s="281"/>
      <c r="C401" s="285"/>
      <c r="D401" s="283"/>
      <c r="E401" s="303"/>
    </row>
    <row r="402" spans="1:5" s="2" customFormat="1" ht="24" customHeight="1">
      <c r="A402" s="280">
        <f t="shared" si="6"/>
        <v>393</v>
      </c>
      <c r="B402" s="281"/>
      <c r="C402" s="285"/>
      <c r="D402" s="283"/>
      <c r="E402" s="303"/>
    </row>
    <row r="403" spans="1:5" s="2" customFormat="1" ht="24" customHeight="1">
      <c r="A403" s="280">
        <f t="shared" si="6"/>
        <v>394</v>
      </c>
      <c r="B403" s="281"/>
      <c r="C403" s="285"/>
      <c r="D403" s="283"/>
      <c r="E403" s="303"/>
    </row>
    <row r="404" spans="1:5" s="2" customFormat="1" ht="24" customHeight="1">
      <c r="A404" s="280">
        <f t="shared" si="6"/>
        <v>395</v>
      </c>
      <c r="B404" s="281"/>
      <c r="C404" s="285"/>
      <c r="D404" s="283"/>
      <c r="E404" s="303"/>
    </row>
    <row r="405" spans="1:5" s="2" customFormat="1" ht="24" customHeight="1">
      <c r="A405" s="280">
        <f t="shared" si="6"/>
        <v>396</v>
      </c>
      <c r="B405" s="281"/>
      <c r="C405" s="285"/>
      <c r="D405" s="283"/>
      <c r="E405" s="303"/>
    </row>
    <row r="406" spans="1:5" s="2" customFormat="1" ht="24" customHeight="1">
      <c r="A406" s="280">
        <f t="shared" si="6"/>
        <v>397</v>
      </c>
      <c r="B406" s="281"/>
      <c r="C406" s="285"/>
      <c r="D406" s="283"/>
      <c r="E406" s="303"/>
    </row>
    <row r="407" spans="1:5" s="2" customFormat="1" ht="24" customHeight="1">
      <c r="A407" s="280">
        <f t="shared" si="6"/>
        <v>398</v>
      </c>
      <c r="B407" s="281"/>
      <c r="C407" s="285"/>
      <c r="D407" s="283"/>
      <c r="E407" s="303"/>
    </row>
    <row r="408" spans="1:5" s="2" customFormat="1" ht="24" customHeight="1">
      <c r="A408" s="280">
        <f t="shared" si="6"/>
        <v>399</v>
      </c>
      <c r="B408" s="281"/>
      <c r="C408" s="285"/>
      <c r="D408" s="283"/>
      <c r="E408" s="303"/>
    </row>
    <row r="409" spans="1:5" s="2" customFormat="1" ht="24" customHeight="1">
      <c r="A409" s="280">
        <f t="shared" si="6"/>
        <v>400</v>
      </c>
      <c r="B409" s="281"/>
      <c r="C409" s="285"/>
      <c r="D409" s="283"/>
      <c r="E409" s="303"/>
    </row>
    <row r="410" spans="1:5" s="2" customFormat="1" ht="24" customHeight="1">
      <c r="A410" s="280">
        <f t="shared" si="6"/>
        <v>401</v>
      </c>
      <c r="B410" s="281"/>
      <c r="C410" s="285"/>
      <c r="D410" s="283"/>
      <c r="E410" s="303"/>
    </row>
    <row r="411" spans="1:5" s="2" customFormat="1" ht="24" customHeight="1">
      <c r="A411" s="280">
        <f t="shared" si="6"/>
        <v>402</v>
      </c>
      <c r="B411" s="281"/>
      <c r="C411" s="285"/>
      <c r="D411" s="283"/>
      <c r="E411" s="303"/>
    </row>
    <row r="412" spans="1:5" s="2" customFormat="1" ht="24" customHeight="1">
      <c r="A412" s="280">
        <f t="shared" si="6"/>
        <v>403</v>
      </c>
      <c r="B412" s="281"/>
      <c r="C412" s="285"/>
      <c r="D412" s="283"/>
      <c r="E412" s="303"/>
    </row>
    <row r="413" spans="1:5" s="2" customFormat="1" ht="24" customHeight="1">
      <c r="A413" s="280">
        <f t="shared" si="6"/>
        <v>404</v>
      </c>
      <c r="B413" s="281"/>
      <c r="C413" s="285"/>
      <c r="D413" s="283"/>
      <c r="E413" s="303"/>
    </row>
    <row r="414" spans="1:5" s="2" customFormat="1" ht="24" customHeight="1">
      <c r="A414" s="280">
        <f t="shared" si="6"/>
        <v>405</v>
      </c>
      <c r="B414" s="281"/>
      <c r="C414" s="285"/>
      <c r="D414" s="283"/>
      <c r="E414" s="303"/>
    </row>
    <row r="415" spans="1:5" s="2" customFormat="1" ht="24" customHeight="1">
      <c r="A415" s="280">
        <f t="shared" si="6"/>
        <v>406</v>
      </c>
      <c r="B415" s="281"/>
      <c r="C415" s="285"/>
      <c r="D415" s="283"/>
      <c r="E415" s="303"/>
    </row>
    <row r="416" spans="1:5" s="2" customFormat="1" ht="24" customHeight="1">
      <c r="A416" s="280">
        <f t="shared" si="6"/>
        <v>407</v>
      </c>
      <c r="B416" s="281"/>
      <c r="C416" s="285"/>
      <c r="D416" s="283"/>
      <c r="E416" s="303"/>
    </row>
    <row r="417" spans="1:5" s="2" customFormat="1" ht="24" customHeight="1">
      <c r="A417" s="280">
        <f t="shared" si="6"/>
        <v>408</v>
      </c>
      <c r="B417" s="281"/>
      <c r="C417" s="285"/>
      <c r="D417" s="283"/>
      <c r="E417" s="303"/>
    </row>
    <row r="418" spans="1:5" s="2" customFormat="1" ht="24" customHeight="1">
      <c r="A418" s="280">
        <f t="shared" si="6"/>
        <v>409</v>
      </c>
      <c r="B418" s="281"/>
      <c r="C418" s="285"/>
      <c r="D418" s="283"/>
      <c r="E418" s="303"/>
    </row>
    <row r="419" spans="1:5" s="2" customFormat="1" ht="24" customHeight="1">
      <c r="A419" s="280">
        <f t="shared" si="6"/>
        <v>410</v>
      </c>
      <c r="B419" s="281"/>
      <c r="C419" s="285"/>
      <c r="D419" s="283"/>
      <c r="E419" s="303"/>
    </row>
    <row r="420" spans="1:5" s="2" customFormat="1" ht="24" customHeight="1">
      <c r="A420" s="280">
        <f t="shared" si="6"/>
        <v>411</v>
      </c>
      <c r="B420" s="281"/>
      <c r="C420" s="285"/>
      <c r="D420" s="283"/>
      <c r="E420" s="303"/>
    </row>
    <row r="421" spans="1:5" s="2" customFormat="1" ht="24" customHeight="1">
      <c r="A421" s="280">
        <f t="shared" si="6"/>
        <v>412</v>
      </c>
      <c r="B421" s="281"/>
      <c r="C421" s="285"/>
      <c r="D421" s="283"/>
      <c r="E421" s="303"/>
    </row>
    <row r="422" spans="1:5" s="2" customFormat="1" ht="24" customHeight="1">
      <c r="A422" s="280">
        <f t="shared" si="6"/>
        <v>413</v>
      </c>
      <c r="B422" s="281"/>
      <c r="C422" s="285"/>
      <c r="D422" s="283"/>
      <c r="E422" s="303"/>
    </row>
    <row r="423" spans="1:5" s="2" customFormat="1" ht="24" customHeight="1">
      <c r="A423" s="280">
        <f t="shared" si="6"/>
        <v>414</v>
      </c>
      <c r="B423" s="281"/>
      <c r="C423" s="285"/>
      <c r="D423" s="283"/>
      <c r="E423" s="303"/>
    </row>
    <row r="424" spans="1:5" s="2" customFormat="1" ht="24" customHeight="1">
      <c r="A424" s="280">
        <f t="shared" si="6"/>
        <v>415</v>
      </c>
      <c r="B424" s="281"/>
      <c r="C424" s="285"/>
      <c r="D424" s="283"/>
      <c r="E424" s="303"/>
    </row>
    <row r="425" spans="1:5" s="2" customFormat="1" ht="24" customHeight="1">
      <c r="A425" s="280">
        <f t="shared" si="6"/>
        <v>416</v>
      </c>
      <c r="B425" s="281"/>
      <c r="C425" s="285"/>
      <c r="D425" s="283"/>
      <c r="E425" s="303"/>
    </row>
    <row r="426" spans="1:5" s="2" customFormat="1" ht="24" customHeight="1">
      <c r="A426" s="280">
        <f t="shared" si="6"/>
        <v>417</v>
      </c>
      <c r="B426" s="281"/>
      <c r="C426" s="285"/>
      <c r="D426" s="283"/>
      <c r="E426" s="303"/>
    </row>
    <row r="427" spans="1:5" s="2" customFormat="1" ht="24" customHeight="1">
      <c r="A427" s="280">
        <f t="shared" si="6"/>
        <v>418</v>
      </c>
      <c r="B427" s="281"/>
      <c r="C427" s="285"/>
      <c r="D427" s="283"/>
      <c r="E427" s="303"/>
    </row>
    <row r="428" spans="1:5" s="2" customFormat="1" ht="24" customHeight="1">
      <c r="A428" s="280">
        <f t="shared" si="6"/>
        <v>419</v>
      </c>
      <c r="B428" s="281"/>
      <c r="C428" s="285"/>
      <c r="D428" s="283"/>
      <c r="E428" s="303"/>
    </row>
    <row r="429" spans="1:5" s="2" customFormat="1" ht="24" customHeight="1">
      <c r="A429" s="280">
        <f t="shared" si="6"/>
        <v>420</v>
      </c>
      <c r="B429" s="281"/>
      <c r="C429" s="285"/>
      <c r="D429" s="283"/>
      <c r="E429" s="303"/>
    </row>
    <row r="430" spans="1:5" s="2" customFormat="1" ht="24" customHeight="1">
      <c r="A430" s="280">
        <f t="shared" si="6"/>
        <v>421</v>
      </c>
      <c r="B430" s="281"/>
      <c r="C430" s="285"/>
      <c r="D430" s="283"/>
      <c r="E430" s="303"/>
    </row>
    <row r="431" spans="1:5" s="2" customFormat="1" ht="24" customHeight="1">
      <c r="A431" s="280">
        <f t="shared" si="6"/>
        <v>422</v>
      </c>
      <c r="B431" s="281"/>
      <c r="C431" s="285"/>
      <c r="D431" s="283"/>
      <c r="E431" s="303"/>
    </row>
    <row r="432" spans="1:5" s="2" customFormat="1" ht="24" customHeight="1">
      <c r="A432" s="280">
        <f t="shared" si="6"/>
        <v>423</v>
      </c>
      <c r="B432" s="281"/>
      <c r="C432" s="285"/>
      <c r="D432" s="283"/>
      <c r="E432" s="303"/>
    </row>
    <row r="433" spans="1:5" s="2" customFormat="1" ht="24" customHeight="1">
      <c r="A433" s="280">
        <f t="shared" si="6"/>
        <v>424</v>
      </c>
      <c r="B433" s="281"/>
      <c r="C433" s="285"/>
      <c r="D433" s="283"/>
      <c r="E433" s="303"/>
    </row>
    <row r="434" spans="1:5" s="2" customFormat="1" ht="24" customHeight="1">
      <c r="A434" s="280">
        <f t="shared" si="6"/>
        <v>425</v>
      </c>
      <c r="B434" s="281"/>
      <c r="C434" s="285"/>
      <c r="D434" s="283"/>
      <c r="E434" s="303"/>
    </row>
    <row r="435" spans="1:5" s="2" customFormat="1" ht="24" customHeight="1">
      <c r="A435" s="280">
        <f t="shared" si="6"/>
        <v>426</v>
      </c>
      <c r="B435" s="281"/>
      <c r="C435" s="285"/>
      <c r="D435" s="283"/>
      <c r="E435" s="303"/>
    </row>
    <row r="436" spans="1:5" s="2" customFormat="1" ht="24" customHeight="1">
      <c r="A436" s="280">
        <f t="shared" si="6"/>
        <v>427</v>
      </c>
      <c r="B436" s="281"/>
      <c r="C436" s="285"/>
      <c r="D436" s="283"/>
      <c r="E436" s="303"/>
    </row>
    <row r="437" spans="1:5" s="2" customFormat="1" ht="24" customHeight="1">
      <c r="A437" s="280">
        <f t="shared" si="6"/>
        <v>428</v>
      </c>
      <c r="B437" s="281"/>
      <c r="C437" s="285"/>
      <c r="D437" s="283"/>
      <c r="E437" s="303"/>
    </row>
    <row r="438" spans="1:5" s="2" customFormat="1" ht="24" customHeight="1">
      <c r="A438" s="280">
        <f t="shared" si="6"/>
        <v>429</v>
      </c>
      <c r="B438" s="281"/>
      <c r="C438" s="285"/>
      <c r="D438" s="283"/>
      <c r="E438" s="303"/>
    </row>
    <row r="439" spans="1:5" s="2" customFormat="1" ht="24" customHeight="1">
      <c r="A439" s="280">
        <f t="shared" si="6"/>
        <v>430</v>
      </c>
      <c r="B439" s="281"/>
      <c r="C439" s="285"/>
      <c r="D439" s="283"/>
      <c r="E439" s="303"/>
    </row>
    <row r="440" spans="1:5" s="2" customFormat="1" ht="24" customHeight="1">
      <c r="A440" s="280">
        <f t="shared" si="6"/>
        <v>431</v>
      </c>
      <c r="B440" s="281"/>
      <c r="C440" s="285"/>
      <c r="D440" s="283"/>
      <c r="E440" s="303"/>
    </row>
    <row r="441" spans="1:5" s="2" customFormat="1" ht="24" customHeight="1">
      <c r="A441" s="280">
        <f t="shared" si="6"/>
        <v>432</v>
      </c>
      <c r="B441" s="281"/>
      <c r="C441" s="285"/>
      <c r="D441" s="283"/>
      <c r="E441" s="303"/>
    </row>
    <row r="442" spans="1:5" s="2" customFormat="1" ht="24" customHeight="1">
      <c r="A442" s="280">
        <f t="shared" si="6"/>
        <v>433</v>
      </c>
      <c r="B442" s="281"/>
      <c r="C442" s="285"/>
      <c r="D442" s="283"/>
      <c r="E442" s="303"/>
    </row>
    <row r="443" spans="1:5" s="2" customFormat="1" ht="24" customHeight="1">
      <c r="A443" s="280">
        <f t="shared" si="6"/>
        <v>434</v>
      </c>
      <c r="B443" s="281"/>
      <c r="C443" s="285"/>
      <c r="D443" s="283"/>
      <c r="E443" s="303"/>
    </row>
    <row r="444" spans="1:5" s="2" customFormat="1" ht="24" customHeight="1">
      <c r="A444" s="280">
        <f t="shared" si="6"/>
        <v>435</v>
      </c>
      <c r="B444" s="281"/>
      <c r="C444" s="285"/>
      <c r="D444" s="283"/>
      <c r="E444" s="303"/>
    </row>
    <row r="445" spans="1:5" s="2" customFormat="1" ht="24" customHeight="1">
      <c r="A445" s="280">
        <f t="shared" si="6"/>
        <v>436</v>
      </c>
      <c r="B445" s="281"/>
      <c r="C445" s="285"/>
      <c r="D445" s="283"/>
      <c r="E445" s="303"/>
    </row>
    <row r="446" spans="1:5" s="2" customFormat="1" ht="24" customHeight="1">
      <c r="A446" s="280">
        <f t="shared" si="6"/>
        <v>437</v>
      </c>
      <c r="B446" s="281"/>
      <c r="C446" s="285"/>
      <c r="D446" s="283"/>
      <c r="E446" s="303"/>
    </row>
    <row r="447" spans="1:5" s="2" customFormat="1" ht="24" customHeight="1">
      <c r="A447" s="280">
        <f t="shared" si="6"/>
        <v>438</v>
      </c>
      <c r="B447" s="281"/>
      <c r="C447" s="285"/>
      <c r="D447" s="283"/>
      <c r="E447" s="303"/>
    </row>
    <row r="448" spans="1:5" s="2" customFormat="1" ht="24" customHeight="1">
      <c r="A448" s="280">
        <f t="shared" si="6"/>
        <v>439</v>
      </c>
      <c r="B448" s="281"/>
      <c r="C448" s="285"/>
      <c r="D448" s="283"/>
      <c r="E448" s="303"/>
    </row>
    <row r="449" spans="1:5" s="2" customFormat="1" ht="24" customHeight="1">
      <c r="A449" s="280">
        <f t="shared" si="6"/>
        <v>440</v>
      </c>
      <c r="B449" s="281"/>
      <c r="C449" s="285"/>
      <c r="D449" s="283"/>
      <c r="E449" s="303"/>
    </row>
    <row r="450" spans="1:5" s="2" customFormat="1" ht="24" customHeight="1">
      <c r="A450" s="280">
        <f t="shared" si="6"/>
        <v>441</v>
      </c>
      <c r="B450" s="281"/>
      <c r="C450" s="285"/>
      <c r="D450" s="283"/>
      <c r="E450" s="303"/>
    </row>
    <row r="451" spans="1:5" s="2" customFormat="1" ht="24" customHeight="1">
      <c r="A451" s="280">
        <f t="shared" si="6"/>
        <v>442</v>
      </c>
      <c r="B451" s="281"/>
      <c r="C451" s="285"/>
      <c r="D451" s="283"/>
      <c r="E451" s="303"/>
    </row>
    <row r="452" spans="1:5" s="2" customFormat="1" ht="24" customHeight="1">
      <c r="A452" s="280">
        <f t="shared" si="6"/>
        <v>443</v>
      </c>
      <c r="B452" s="281"/>
      <c r="C452" s="285"/>
      <c r="D452" s="283"/>
      <c r="E452" s="303"/>
    </row>
    <row r="453" spans="1:5" s="2" customFormat="1" ht="24" customHeight="1">
      <c r="A453" s="280">
        <f t="shared" si="6"/>
        <v>444</v>
      </c>
      <c r="B453" s="281"/>
      <c r="C453" s="285"/>
      <c r="D453" s="283"/>
      <c r="E453" s="303"/>
    </row>
    <row r="454" spans="1:5" s="2" customFormat="1" ht="24" customHeight="1">
      <c r="A454" s="280">
        <f t="shared" si="6"/>
        <v>445</v>
      </c>
      <c r="B454" s="281"/>
      <c r="C454" s="285"/>
      <c r="D454" s="283"/>
      <c r="E454" s="303"/>
    </row>
    <row r="455" spans="1:5" s="2" customFormat="1" ht="24" customHeight="1">
      <c r="A455" s="280">
        <f t="shared" si="6"/>
        <v>446</v>
      </c>
      <c r="B455" s="281"/>
      <c r="C455" s="285"/>
      <c r="D455" s="283"/>
      <c r="E455" s="303"/>
    </row>
    <row r="456" spans="1:5" s="2" customFormat="1" ht="24" customHeight="1">
      <c r="A456" s="280">
        <f t="shared" si="6"/>
        <v>447</v>
      </c>
      <c r="B456" s="281"/>
      <c r="C456" s="285"/>
      <c r="D456" s="283"/>
      <c r="E456" s="303"/>
    </row>
    <row r="457" spans="1:5" s="2" customFormat="1" ht="24" customHeight="1">
      <c r="A457" s="280">
        <f t="shared" si="6"/>
        <v>448</v>
      </c>
      <c r="B457" s="281"/>
      <c r="C457" s="285"/>
      <c r="D457" s="283"/>
      <c r="E457" s="303"/>
    </row>
    <row r="458" spans="1:5" s="2" customFormat="1" ht="24" customHeight="1">
      <c r="A458" s="280">
        <f t="shared" si="6"/>
        <v>449</v>
      </c>
      <c r="B458" s="281"/>
      <c r="C458" s="285"/>
      <c r="D458" s="283"/>
      <c r="E458" s="303"/>
    </row>
    <row r="459" spans="1:5" s="2" customFormat="1" ht="24" customHeight="1">
      <c r="A459" s="280">
        <f t="shared" si="6"/>
        <v>450</v>
      </c>
      <c r="B459" s="281"/>
      <c r="C459" s="285"/>
      <c r="D459" s="283"/>
      <c r="E459" s="303"/>
    </row>
    <row r="460" spans="1:5" s="2" customFormat="1" ht="24" customHeight="1">
      <c r="A460" s="280">
        <f t="shared" ref="A460:A523" si="7">A459+1</f>
        <v>451</v>
      </c>
      <c r="B460" s="281"/>
      <c r="C460" s="285"/>
      <c r="D460" s="283"/>
      <c r="E460" s="303"/>
    </row>
    <row r="461" spans="1:5" s="2" customFormat="1" ht="24" customHeight="1">
      <c r="A461" s="280">
        <f t="shared" si="7"/>
        <v>452</v>
      </c>
      <c r="B461" s="281"/>
      <c r="C461" s="285"/>
      <c r="D461" s="283"/>
      <c r="E461" s="303"/>
    </row>
    <row r="462" spans="1:5" s="2" customFormat="1" ht="24" customHeight="1">
      <c r="A462" s="280">
        <f t="shared" si="7"/>
        <v>453</v>
      </c>
      <c r="B462" s="281"/>
      <c r="C462" s="285"/>
      <c r="D462" s="283"/>
      <c r="E462" s="303"/>
    </row>
    <row r="463" spans="1:5" s="2" customFormat="1" ht="24" customHeight="1">
      <c r="A463" s="280">
        <f t="shared" si="7"/>
        <v>454</v>
      </c>
      <c r="B463" s="281"/>
      <c r="C463" s="285"/>
      <c r="D463" s="283"/>
      <c r="E463" s="303"/>
    </row>
    <row r="464" spans="1:5" s="2" customFormat="1" ht="24" customHeight="1">
      <c r="A464" s="280">
        <f t="shared" si="7"/>
        <v>455</v>
      </c>
      <c r="B464" s="281"/>
      <c r="C464" s="285"/>
      <c r="D464" s="283"/>
      <c r="E464" s="303"/>
    </row>
    <row r="465" spans="1:5" s="2" customFormat="1" ht="24" customHeight="1">
      <c r="A465" s="280">
        <f t="shared" si="7"/>
        <v>456</v>
      </c>
      <c r="B465" s="281"/>
      <c r="C465" s="285"/>
      <c r="D465" s="283"/>
      <c r="E465" s="303"/>
    </row>
    <row r="466" spans="1:5" s="2" customFormat="1" ht="24" customHeight="1">
      <c r="A466" s="280">
        <f t="shared" si="7"/>
        <v>457</v>
      </c>
      <c r="B466" s="281"/>
      <c r="C466" s="285"/>
      <c r="D466" s="283"/>
      <c r="E466" s="303"/>
    </row>
    <row r="467" spans="1:5" s="2" customFormat="1" ht="24" customHeight="1">
      <c r="A467" s="280">
        <f t="shared" si="7"/>
        <v>458</v>
      </c>
      <c r="B467" s="281"/>
      <c r="C467" s="285"/>
      <c r="D467" s="283"/>
      <c r="E467" s="303"/>
    </row>
    <row r="468" spans="1:5" s="2" customFormat="1" ht="24" customHeight="1">
      <c r="A468" s="280">
        <f t="shared" si="7"/>
        <v>459</v>
      </c>
      <c r="B468" s="281"/>
      <c r="C468" s="285"/>
      <c r="D468" s="283"/>
      <c r="E468" s="303"/>
    </row>
    <row r="469" spans="1:5" s="2" customFormat="1" ht="24" customHeight="1">
      <c r="A469" s="280">
        <f t="shared" si="7"/>
        <v>460</v>
      </c>
      <c r="B469" s="281"/>
      <c r="C469" s="285"/>
      <c r="D469" s="283"/>
      <c r="E469" s="303"/>
    </row>
    <row r="470" spans="1:5" s="2" customFormat="1" ht="24" customHeight="1">
      <c r="A470" s="280">
        <f t="shared" si="7"/>
        <v>461</v>
      </c>
      <c r="B470" s="281"/>
      <c r="C470" s="285"/>
      <c r="D470" s="283"/>
      <c r="E470" s="303"/>
    </row>
    <row r="471" spans="1:5" s="2" customFormat="1" ht="24" customHeight="1">
      <c r="A471" s="280">
        <f t="shared" si="7"/>
        <v>462</v>
      </c>
      <c r="B471" s="281"/>
      <c r="C471" s="285"/>
      <c r="D471" s="283"/>
      <c r="E471" s="303"/>
    </row>
    <row r="472" spans="1:5" s="2" customFormat="1" ht="24" customHeight="1">
      <c r="A472" s="280">
        <f t="shared" si="7"/>
        <v>463</v>
      </c>
      <c r="B472" s="281"/>
      <c r="C472" s="285"/>
      <c r="D472" s="283"/>
      <c r="E472" s="303"/>
    </row>
    <row r="473" spans="1:5" s="2" customFormat="1" ht="24" customHeight="1">
      <c r="A473" s="280">
        <f t="shared" si="7"/>
        <v>464</v>
      </c>
      <c r="B473" s="281"/>
      <c r="C473" s="285"/>
      <c r="D473" s="283"/>
      <c r="E473" s="303"/>
    </row>
    <row r="474" spans="1:5" s="2" customFormat="1" ht="24" customHeight="1">
      <c r="A474" s="280">
        <f t="shared" si="7"/>
        <v>465</v>
      </c>
      <c r="B474" s="281"/>
      <c r="C474" s="285"/>
      <c r="D474" s="283"/>
      <c r="E474" s="303"/>
    </row>
    <row r="475" spans="1:5" s="2" customFormat="1" ht="24" customHeight="1">
      <c r="A475" s="280">
        <f t="shared" si="7"/>
        <v>466</v>
      </c>
      <c r="B475" s="281"/>
      <c r="C475" s="285"/>
      <c r="D475" s="283"/>
      <c r="E475" s="303"/>
    </row>
    <row r="476" spans="1:5" s="2" customFormat="1" ht="24" customHeight="1">
      <c r="A476" s="280">
        <f t="shared" si="7"/>
        <v>467</v>
      </c>
      <c r="B476" s="281"/>
      <c r="C476" s="285"/>
      <c r="D476" s="283"/>
      <c r="E476" s="303"/>
    </row>
    <row r="477" spans="1:5" s="2" customFormat="1" ht="24" customHeight="1">
      <c r="A477" s="280">
        <f t="shared" si="7"/>
        <v>468</v>
      </c>
      <c r="B477" s="281"/>
      <c r="C477" s="285"/>
      <c r="D477" s="283"/>
      <c r="E477" s="303"/>
    </row>
    <row r="478" spans="1:5" s="2" customFormat="1" ht="24" customHeight="1">
      <c r="A478" s="280">
        <f t="shared" si="7"/>
        <v>469</v>
      </c>
      <c r="B478" s="281"/>
      <c r="C478" s="285"/>
      <c r="D478" s="283"/>
      <c r="E478" s="303"/>
    </row>
    <row r="479" spans="1:5" s="2" customFormat="1" ht="24" customHeight="1">
      <c r="A479" s="280">
        <f t="shared" si="7"/>
        <v>470</v>
      </c>
      <c r="B479" s="281"/>
      <c r="C479" s="285"/>
      <c r="D479" s="283"/>
      <c r="E479" s="303"/>
    </row>
    <row r="480" spans="1:5" s="2" customFormat="1" ht="24" customHeight="1">
      <c r="A480" s="280">
        <f t="shared" si="7"/>
        <v>471</v>
      </c>
      <c r="B480" s="281"/>
      <c r="C480" s="285"/>
      <c r="D480" s="283"/>
      <c r="E480" s="303"/>
    </row>
    <row r="481" spans="1:5" s="2" customFormat="1" ht="24" customHeight="1">
      <c r="A481" s="280">
        <f t="shared" si="7"/>
        <v>472</v>
      </c>
      <c r="B481" s="281"/>
      <c r="C481" s="285"/>
      <c r="D481" s="283"/>
      <c r="E481" s="303"/>
    </row>
    <row r="482" spans="1:5" s="2" customFormat="1" ht="24" customHeight="1">
      <c r="A482" s="280">
        <f t="shared" si="7"/>
        <v>473</v>
      </c>
      <c r="B482" s="281"/>
      <c r="C482" s="285"/>
      <c r="D482" s="283"/>
      <c r="E482" s="303"/>
    </row>
    <row r="483" spans="1:5" s="2" customFormat="1" ht="24" customHeight="1">
      <c r="A483" s="280">
        <f t="shared" si="7"/>
        <v>474</v>
      </c>
      <c r="B483" s="281"/>
      <c r="C483" s="285"/>
      <c r="D483" s="283"/>
      <c r="E483" s="303"/>
    </row>
    <row r="484" spans="1:5" s="2" customFormat="1" ht="24" customHeight="1">
      <c r="A484" s="280">
        <f t="shared" si="7"/>
        <v>475</v>
      </c>
      <c r="B484" s="281"/>
      <c r="C484" s="285"/>
      <c r="D484" s="283"/>
      <c r="E484" s="303"/>
    </row>
    <row r="485" spans="1:5" s="2" customFormat="1" ht="24" customHeight="1">
      <c r="A485" s="280">
        <f t="shared" si="7"/>
        <v>476</v>
      </c>
      <c r="B485" s="281"/>
      <c r="C485" s="285"/>
      <c r="D485" s="283"/>
      <c r="E485" s="303"/>
    </row>
    <row r="486" spans="1:5" s="2" customFormat="1" ht="24" customHeight="1">
      <c r="A486" s="280">
        <f t="shared" si="7"/>
        <v>477</v>
      </c>
      <c r="B486" s="281"/>
      <c r="C486" s="285"/>
      <c r="D486" s="283"/>
      <c r="E486" s="303"/>
    </row>
    <row r="487" spans="1:5" s="2" customFormat="1" ht="24" customHeight="1">
      <c r="A487" s="280">
        <f t="shared" si="7"/>
        <v>478</v>
      </c>
      <c r="B487" s="281"/>
      <c r="C487" s="285"/>
      <c r="D487" s="283"/>
      <c r="E487" s="303"/>
    </row>
    <row r="488" spans="1:5" s="2" customFormat="1" ht="24" customHeight="1">
      <c r="A488" s="280">
        <f t="shared" si="7"/>
        <v>479</v>
      </c>
      <c r="B488" s="281"/>
      <c r="C488" s="285"/>
      <c r="D488" s="283"/>
      <c r="E488" s="303"/>
    </row>
    <row r="489" spans="1:5" s="2" customFormat="1" ht="24" customHeight="1">
      <c r="A489" s="280">
        <f t="shared" si="7"/>
        <v>480</v>
      </c>
      <c r="B489" s="281"/>
      <c r="C489" s="285"/>
      <c r="D489" s="283"/>
      <c r="E489" s="303"/>
    </row>
    <row r="490" spans="1:5" s="2" customFormat="1" ht="24" customHeight="1">
      <c r="A490" s="280">
        <f t="shared" si="7"/>
        <v>481</v>
      </c>
      <c r="B490" s="281"/>
      <c r="C490" s="285"/>
      <c r="D490" s="283"/>
      <c r="E490" s="303"/>
    </row>
    <row r="491" spans="1:5" s="2" customFormat="1" ht="24" customHeight="1">
      <c r="A491" s="280">
        <f t="shared" si="7"/>
        <v>482</v>
      </c>
      <c r="B491" s="281"/>
      <c r="C491" s="285"/>
      <c r="D491" s="283"/>
      <c r="E491" s="303"/>
    </row>
    <row r="492" spans="1:5" s="2" customFormat="1" ht="24" customHeight="1">
      <c r="A492" s="280">
        <f t="shared" si="7"/>
        <v>483</v>
      </c>
      <c r="B492" s="281"/>
      <c r="C492" s="285"/>
      <c r="D492" s="283"/>
      <c r="E492" s="303"/>
    </row>
    <row r="493" spans="1:5" s="2" customFormat="1" ht="24" customHeight="1">
      <c r="A493" s="280">
        <f t="shared" si="7"/>
        <v>484</v>
      </c>
      <c r="B493" s="281"/>
      <c r="C493" s="285"/>
      <c r="D493" s="283"/>
      <c r="E493" s="303"/>
    </row>
    <row r="494" spans="1:5" s="2" customFormat="1" ht="24" customHeight="1">
      <c r="A494" s="280">
        <f t="shared" si="7"/>
        <v>485</v>
      </c>
      <c r="B494" s="281"/>
      <c r="C494" s="285"/>
      <c r="D494" s="283"/>
      <c r="E494" s="303"/>
    </row>
    <row r="495" spans="1:5" s="2" customFormat="1" ht="24" customHeight="1">
      <c r="A495" s="280">
        <f t="shared" si="7"/>
        <v>486</v>
      </c>
      <c r="B495" s="281"/>
      <c r="C495" s="285"/>
      <c r="D495" s="283"/>
      <c r="E495" s="303"/>
    </row>
    <row r="496" spans="1:5" s="2" customFormat="1" ht="24" customHeight="1">
      <c r="A496" s="280">
        <f t="shared" si="7"/>
        <v>487</v>
      </c>
      <c r="B496" s="281"/>
      <c r="C496" s="285"/>
      <c r="D496" s="283"/>
      <c r="E496" s="303"/>
    </row>
    <row r="497" spans="1:5" s="2" customFormat="1" ht="24" customHeight="1">
      <c r="A497" s="280">
        <f t="shared" si="7"/>
        <v>488</v>
      </c>
      <c r="B497" s="281"/>
      <c r="C497" s="285"/>
      <c r="D497" s="283"/>
      <c r="E497" s="303"/>
    </row>
    <row r="498" spans="1:5" s="2" customFormat="1" ht="24" customHeight="1">
      <c r="A498" s="280">
        <f t="shared" si="7"/>
        <v>489</v>
      </c>
      <c r="B498" s="281"/>
      <c r="C498" s="285"/>
      <c r="D498" s="283"/>
      <c r="E498" s="303"/>
    </row>
    <row r="499" spans="1:5" s="2" customFormat="1" ht="24" customHeight="1">
      <c r="A499" s="280">
        <f t="shared" si="7"/>
        <v>490</v>
      </c>
      <c r="B499" s="281"/>
      <c r="C499" s="285"/>
      <c r="D499" s="283"/>
      <c r="E499" s="303"/>
    </row>
    <row r="500" spans="1:5" s="2" customFormat="1" ht="24" customHeight="1">
      <c r="A500" s="280">
        <f t="shared" si="7"/>
        <v>491</v>
      </c>
      <c r="B500" s="281"/>
      <c r="C500" s="285"/>
      <c r="D500" s="283"/>
      <c r="E500" s="303"/>
    </row>
    <row r="501" spans="1:5" s="2" customFormat="1" ht="24" customHeight="1">
      <c r="A501" s="280">
        <f t="shared" si="7"/>
        <v>492</v>
      </c>
      <c r="B501" s="281"/>
      <c r="C501" s="285"/>
      <c r="D501" s="283"/>
      <c r="E501" s="303"/>
    </row>
    <row r="502" spans="1:5" s="2" customFormat="1" ht="24" customHeight="1">
      <c r="A502" s="280">
        <f t="shared" si="7"/>
        <v>493</v>
      </c>
      <c r="B502" s="281"/>
      <c r="C502" s="285"/>
      <c r="D502" s="283"/>
      <c r="E502" s="303"/>
    </row>
    <row r="503" spans="1:5" s="2" customFormat="1" ht="24" customHeight="1">
      <c r="A503" s="280">
        <f t="shared" si="7"/>
        <v>494</v>
      </c>
      <c r="B503" s="281"/>
      <c r="C503" s="285"/>
      <c r="D503" s="283"/>
      <c r="E503" s="303"/>
    </row>
    <row r="504" spans="1:5" s="2" customFormat="1" ht="24" customHeight="1">
      <c r="A504" s="280">
        <f t="shared" si="7"/>
        <v>495</v>
      </c>
      <c r="B504" s="281"/>
      <c r="C504" s="285"/>
      <c r="D504" s="283"/>
      <c r="E504" s="303"/>
    </row>
    <row r="505" spans="1:5" s="2" customFormat="1" ht="24" customHeight="1">
      <c r="A505" s="280">
        <f t="shared" si="7"/>
        <v>496</v>
      </c>
      <c r="B505" s="281"/>
      <c r="C505" s="285"/>
      <c r="D505" s="283"/>
      <c r="E505" s="303"/>
    </row>
    <row r="506" spans="1:5" s="2" customFormat="1" ht="24" customHeight="1">
      <c r="A506" s="280">
        <f t="shared" si="7"/>
        <v>497</v>
      </c>
      <c r="B506" s="281"/>
      <c r="C506" s="285"/>
      <c r="D506" s="283"/>
      <c r="E506" s="303"/>
    </row>
    <row r="507" spans="1:5" s="2" customFormat="1" ht="24" customHeight="1">
      <c r="A507" s="280">
        <f t="shared" si="7"/>
        <v>498</v>
      </c>
      <c r="B507" s="281"/>
      <c r="C507" s="285"/>
      <c r="D507" s="283"/>
      <c r="E507" s="303"/>
    </row>
    <row r="508" spans="1:5" s="2" customFormat="1" ht="24" customHeight="1">
      <c r="A508" s="280">
        <f t="shared" si="7"/>
        <v>499</v>
      </c>
      <c r="B508" s="281"/>
      <c r="C508" s="285"/>
      <c r="D508" s="283"/>
      <c r="E508" s="303"/>
    </row>
    <row r="509" spans="1:5" s="2" customFormat="1" ht="24" customHeight="1">
      <c r="A509" s="280">
        <f t="shared" si="7"/>
        <v>500</v>
      </c>
      <c r="B509" s="281"/>
      <c r="C509" s="285"/>
      <c r="D509" s="283"/>
      <c r="E509" s="303"/>
    </row>
    <row r="510" spans="1:5" s="2" customFormat="1" ht="24" customHeight="1">
      <c r="A510" s="280">
        <f t="shared" si="7"/>
        <v>501</v>
      </c>
      <c r="B510" s="281"/>
      <c r="C510" s="285"/>
      <c r="D510" s="283"/>
      <c r="E510" s="303"/>
    </row>
    <row r="511" spans="1:5" s="2" customFormat="1" ht="24" customHeight="1">
      <c r="A511" s="280">
        <f t="shared" si="7"/>
        <v>502</v>
      </c>
      <c r="B511" s="281"/>
      <c r="C511" s="285"/>
      <c r="D511" s="283"/>
      <c r="E511" s="303"/>
    </row>
    <row r="512" spans="1:5" s="2" customFormat="1" ht="24" customHeight="1">
      <c r="A512" s="280">
        <f t="shared" si="7"/>
        <v>503</v>
      </c>
      <c r="B512" s="281"/>
      <c r="C512" s="285"/>
      <c r="D512" s="283"/>
      <c r="E512" s="303"/>
    </row>
    <row r="513" spans="1:5" s="2" customFormat="1" ht="24" customHeight="1">
      <c r="A513" s="280">
        <f t="shared" si="7"/>
        <v>504</v>
      </c>
      <c r="B513" s="281"/>
      <c r="C513" s="285"/>
      <c r="D513" s="283"/>
      <c r="E513" s="303"/>
    </row>
    <row r="514" spans="1:5" s="2" customFormat="1" ht="24" customHeight="1">
      <c r="A514" s="280">
        <f t="shared" si="7"/>
        <v>505</v>
      </c>
      <c r="B514" s="281"/>
      <c r="C514" s="285"/>
      <c r="D514" s="283"/>
      <c r="E514" s="303"/>
    </row>
    <row r="515" spans="1:5" s="2" customFormat="1" ht="24" customHeight="1">
      <c r="A515" s="280">
        <f t="shared" si="7"/>
        <v>506</v>
      </c>
      <c r="B515" s="281"/>
      <c r="C515" s="285"/>
      <c r="D515" s="283"/>
      <c r="E515" s="303"/>
    </row>
    <row r="516" spans="1:5" s="2" customFormat="1" ht="24" customHeight="1">
      <c r="A516" s="280">
        <f t="shared" si="7"/>
        <v>507</v>
      </c>
      <c r="B516" s="281"/>
      <c r="C516" s="285"/>
      <c r="D516" s="283"/>
      <c r="E516" s="303"/>
    </row>
    <row r="517" spans="1:5" s="2" customFormat="1" ht="24" customHeight="1">
      <c r="A517" s="280">
        <f t="shared" si="7"/>
        <v>508</v>
      </c>
      <c r="B517" s="281"/>
      <c r="C517" s="285"/>
      <c r="D517" s="283"/>
      <c r="E517" s="303"/>
    </row>
    <row r="518" spans="1:5" s="2" customFormat="1" ht="24" customHeight="1">
      <c r="A518" s="280">
        <f t="shared" si="7"/>
        <v>509</v>
      </c>
      <c r="B518" s="281"/>
      <c r="C518" s="285"/>
      <c r="D518" s="283"/>
      <c r="E518" s="303"/>
    </row>
    <row r="519" spans="1:5" s="2" customFormat="1" ht="24" customHeight="1">
      <c r="A519" s="280">
        <f t="shared" si="7"/>
        <v>510</v>
      </c>
      <c r="B519" s="281"/>
      <c r="C519" s="285"/>
      <c r="D519" s="283"/>
      <c r="E519" s="303"/>
    </row>
    <row r="520" spans="1:5" s="2" customFormat="1" ht="24" customHeight="1">
      <c r="A520" s="280">
        <f t="shared" si="7"/>
        <v>511</v>
      </c>
      <c r="B520" s="281"/>
      <c r="C520" s="285"/>
      <c r="D520" s="283"/>
      <c r="E520" s="303"/>
    </row>
    <row r="521" spans="1:5" s="2" customFormat="1" ht="24" customHeight="1">
      <c r="A521" s="280">
        <f t="shared" si="7"/>
        <v>512</v>
      </c>
      <c r="B521" s="281"/>
      <c r="C521" s="285"/>
      <c r="D521" s="283"/>
      <c r="E521" s="303"/>
    </row>
    <row r="522" spans="1:5" s="2" customFormat="1" ht="24" customHeight="1">
      <c r="A522" s="280">
        <f t="shared" si="7"/>
        <v>513</v>
      </c>
      <c r="B522" s="281"/>
      <c r="C522" s="285"/>
      <c r="D522" s="283"/>
      <c r="E522" s="303"/>
    </row>
    <row r="523" spans="1:5" s="2" customFormat="1" ht="24" customHeight="1">
      <c r="A523" s="280">
        <f t="shared" si="7"/>
        <v>514</v>
      </c>
      <c r="B523" s="281"/>
      <c r="C523" s="285"/>
      <c r="D523" s="283"/>
      <c r="E523" s="303"/>
    </row>
    <row r="524" spans="1:5" s="2" customFormat="1" ht="24" customHeight="1">
      <c r="A524" s="280">
        <f t="shared" ref="A524:A587" si="8">A523+1</f>
        <v>515</v>
      </c>
      <c r="B524" s="281"/>
      <c r="C524" s="285"/>
      <c r="D524" s="283"/>
      <c r="E524" s="303"/>
    </row>
    <row r="525" spans="1:5" s="2" customFormat="1" ht="24" customHeight="1">
      <c r="A525" s="280">
        <f t="shared" si="8"/>
        <v>516</v>
      </c>
      <c r="B525" s="281"/>
      <c r="C525" s="285"/>
      <c r="D525" s="283"/>
      <c r="E525" s="303"/>
    </row>
    <row r="526" spans="1:5" s="2" customFormat="1" ht="24" customHeight="1">
      <c r="A526" s="280">
        <f t="shared" si="8"/>
        <v>517</v>
      </c>
      <c r="B526" s="281"/>
      <c r="C526" s="285"/>
      <c r="D526" s="283"/>
      <c r="E526" s="303"/>
    </row>
    <row r="527" spans="1:5" s="2" customFormat="1" ht="24" customHeight="1">
      <c r="A527" s="280">
        <f t="shared" si="8"/>
        <v>518</v>
      </c>
      <c r="B527" s="281"/>
      <c r="C527" s="285"/>
      <c r="D527" s="283"/>
      <c r="E527" s="303"/>
    </row>
    <row r="528" spans="1:5" s="2" customFormat="1" ht="24" customHeight="1">
      <c r="A528" s="280">
        <f t="shared" si="8"/>
        <v>519</v>
      </c>
      <c r="B528" s="281"/>
      <c r="C528" s="285"/>
      <c r="D528" s="283"/>
      <c r="E528" s="303"/>
    </row>
    <row r="529" spans="1:5" s="2" customFormat="1" ht="24" customHeight="1">
      <c r="A529" s="280">
        <f t="shared" si="8"/>
        <v>520</v>
      </c>
      <c r="B529" s="281"/>
      <c r="C529" s="285"/>
      <c r="D529" s="283"/>
      <c r="E529" s="303"/>
    </row>
    <row r="530" spans="1:5" s="2" customFormat="1" ht="24" customHeight="1">
      <c r="A530" s="280">
        <f t="shared" si="8"/>
        <v>521</v>
      </c>
      <c r="B530" s="281"/>
      <c r="C530" s="285"/>
      <c r="D530" s="283"/>
      <c r="E530" s="303"/>
    </row>
    <row r="531" spans="1:5" s="2" customFormat="1" ht="24" customHeight="1">
      <c r="A531" s="280">
        <f t="shared" si="8"/>
        <v>522</v>
      </c>
      <c r="B531" s="281"/>
      <c r="C531" s="285"/>
      <c r="D531" s="283"/>
      <c r="E531" s="303"/>
    </row>
    <row r="532" spans="1:5" s="2" customFormat="1" ht="24" customHeight="1">
      <c r="A532" s="280">
        <f t="shared" si="8"/>
        <v>523</v>
      </c>
      <c r="B532" s="281"/>
      <c r="C532" s="285"/>
      <c r="D532" s="283"/>
      <c r="E532" s="303"/>
    </row>
    <row r="533" spans="1:5" s="2" customFormat="1" ht="24" customHeight="1">
      <c r="A533" s="280">
        <f t="shared" si="8"/>
        <v>524</v>
      </c>
      <c r="B533" s="281"/>
      <c r="C533" s="285"/>
      <c r="D533" s="283"/>
      <c r="E533" s="303"/>
    </row>
    <row r="534" spans="1:5" s="2" customFormat="1" ht="24" customHeight="1">
      <c r="A534" s="280">
        <f t="shared" si="8"/>
        <v>525</v>
      </c>
      <c r="B534" s="281"/>
      <c r="C534" s="285"/>
      <c r="D534" s="283"/>
      <c r="E534" s="303"/>
    </row>
    <row r="535" spans="1:5" s="2" customFormat="1" ht="24" customHeight="1">
      <c r="A535" s="280">
        <f t="shared" si="8"/>
        <v>526</v>
      </c>
      <c r="B535" s="281"/>
      <c r="C535" s="285"/>
      <c r="D535" s="283"/>
      <c r="E535" s="303"/>
    </row>
    <row r="536" spans="1:5" s="2" customFormat="1" ht="24" customHeight="1">
      <c r="A536" s="280">
        <f t="shared" si="8"/>
        <v>527</v>
      </c>
      <c r="B536" s="281"/>
      <c r="C536" s="285"/>
      <c r="D536" s="283"/>
      <c r="E536" s="303"/>
    </row>
    <row r="537" spans="1:5" s="2" customFormat="1" ht="24" customHeight="1">
      <c r="A537" s="280">
        <f t="shared" si="8"/>
        <v>528</v>
      </c>
      <c r="B537" s="281"/>
      <c r="C537" s="285"/>
      <c r="D537" s="283"/>
      <c r="E537" s="303"/>
    </row>
    <row r="538" spans="1:5" s="2" customFormat="1" ht="24" customHeight="1">
      <c r="A538" s="280">
        <f t="shared" si="8"/>
        <v>529</v>
      </c>
      <c r="B538" s="281"/>
      <c r="C538" s="285"/>
      <c r="D538" s="283"/>
      <c r="E538" s="303"/>
    </row>
    <row r="539" spans="1:5" s="2" customFormat="1" ht="24" customHeight="1">
      <c r="A539" s="280">
        <f t="shared" si="8"/>
        <v>530</v>
      </c>
      <c r="B539" s="281"/>
      <c r="C539" s="285"/>
      <c r="D539" s="283"/>
      <c r="E539" s="303"/>
    </row>
    <row r="540" spans="1:5" s="2" customFormat="1" ht="24" customHeight="1">
      <c r="A540" s="280">
        <f t="shared" si="8"/>
        <v>531</v>
      </c>
      <c r="B540" s="281"/>
      <c r="C540" s="285"/>
      <c r="D540" s="283"/>
      <c r="E540" s="303"/>
    </row>
    <row r="541" spans="1:5" s="2" customFormat="1" ht="24" customHeight="1">
      <c r="A541" s="280">
        <f t="shared" si="8"/>
        <v>532</v>
      </c>
      <c r="B541" s="281"/>
      <c r="C541" s="285"/>
      <c r="D541" s="283"/>
      <c r="E541" s="303"/>
    </row>
    <row r="542" spans="1:5" s="2" customFormat="1" ht="24" customHeight="1">
      <c r="A542" s="280">
        <f t="shared" si="8"/>
        <v>533</v>
      </c>
      <c r="B542" s="281"/>
      <c r="C542" s="285"/>
      <c r="D542" s="283"/>
      <c r="E542" s="303"/>
    </row>
    <row r="543" spans="1:5" s="2" customFormat="1" ht="24" customHeight="1">
      <c r="A543" s="280">
        <f t="shared" si="8"/>
        <v>534</v>
      </c>
      <c r="B543" s="281"/>
      <c r="C543" s="285"/>
      <c r="D543" s="283"/>
      <c r="E543" s="303"/>
    </row>
    <row r="544" spans="1:5" s="2" customFormat="1" ht="24" customHeight="1">
      <c r="A544" s="280">
        <f t="shared" si="8"/>
        <v>535</v>
      </c>
      <c r="B544" s="281"/>
      <c r="C544" s="285"/>
      <c r="D544" s="283"/>
      <c r="E544" s="303"/>
    </row>
    <row r="545" spans="1:5" s="2" customFormat="1" ht="24" customHeight="1">
      <c r="A545" s="280">
        <f t="shared" si="8"/>
        <v>536</v>
      </c>
      <c r="B545" s="281"/>
      <c r="C545" s="285"/>
      <c r="D545" s="283"/>
      <c r="E545" s="303"/>
    </row>
    <row r="546" spans="1:5" s="2" customFormat="1" ht="24" customHeight="1">
      <c r="A546" s="280">
        <f t="shared" si="8"/>
        <v>537</v>
      </c>
      <c r="B546" s="281"/>
      <c r="C546" s="285"/>
      <c r="D546" s="283"/>
      <c r="E546" s="303"/>
    </row>
    <row r="547" spans="1:5" s="2" customFormat="1" ht="24" customHeight="1">
      <c r="A547" s="280">
        <f t="shared" si="8"/>
        <v>538</v>
      </c>
      <c r="B547" s="281"/>
      <c r="C547" s="285"/>
      <c r="D547" s="283"/>
      <c r="E547" s="303"/>
    </row>
    <row r="548" spans="1:5" s="2" customFormat="1" ht="24" customHeight="1">
      <c r="A548" s="280">
        <f t="shared" si="8"/>
        <v>539</v>
      </c>
      <c r="B548" s="281"/>
      <c r="C548" s="285"/>
      <c r="D548" s="283"/>
      <c r="E548" s="303"/>
    </row>
    <row r="549" spans="1:5" s="2" customFormat="1" ht="24" customHeight="1">
      <c r="A549" s="280">
        <f t="shared" si="8"/>
        <v>540</v>
      </c>
      <c r="B549" s="281"/>
      <c r="C549" s="285"/>
      <c r="D549" s="283"/>
      <c r="E549" s="303"/>
    </row>
    <row r="550" spans="1:5" s="2" customFormat="1" ht="24" customHeight="1">
      <c r="A550" s="280">
        <f t="shared" si="8"/>
        <v>541</v>
      </c>
      <c r="B550" s="281"/>
      <c r="C550" s="285"/>
      <c r="D550" s="283"/>
      <c r="E550" s="303"/>
    </row>
    <row r="551" spans="1:5" s="2" customFormat="1" ht="24" customHeight="1">
      <c r="A551" s="280">
        <f t="shared" si="8"/>
        <v>542</v>
      </c>
      <c r="B551" s="281"/>
      <c r="C551" s="285"/>
      <c r="D551" s="283"/>
      <c r="E551" s="303"/>
    </row>
    <row r="552" spans="1:5" s="2" customFormat="1" ht="24" customHeight="1">
      <c r="A552" s="280">
        <f t="shared" si="8"/>
        <v>543</v>
      </c>
      <c r="B552" s="281"/>
      <c r="C552" s="285"/>
      <c r="D552" s="283"/>
      <c r="E552" s="303"/>
    </row>
    <row r="553" spans="1:5" s="2" customFormat="1" ht="24" customHeight="1">
      <c r="A553" s="280">
        <f t="shared" si="8"/>
        <v>544</v>
      </c>
      <c r="B553" s="281"/>
      <c r="C553" s="285"/>
      <c r="D553" s="283"/>
      <c r="E553" s="303"/>
    </row>
    <row r="554" spans="1:5" s="2" customFormat="1" ht="24" customHeight="1">
      <c r="A554" s="280">
        <f t="shared" si="8"/>
        <v>545</v>
      </c>
      <c r="B554" s="281"/>
      <c r="C554" s="285"/>
      <c r="D554" s="283"/>
      <c r="E554" s="303"/>
    </row>
    <row r="555" spans="1:5" s="2" customFormat="1" ht="24" customHeight="1">
      <c r="A555" s="280">
        <f t="shared" si="8"/>
        <v>546</v>
      </c>
      <c r="B555" s="281"/>
      <c r="C555" s="285"/>
      <c r="D555" s="283"/>
      <c r="E555" s="303"/>
    </row>
    <row r="556" spans="1:5" s="2" customFormat="1" ht="24" customHeight="1">
      <c r="A556" s="280">
        <f t="shared" si="8"/>
        <v>547</v>
      </c>
      <c r="B556" s="281"/>
      <c r="C556" s="285"/>
      <c r="D556" s="283"/>
      <c r="E556" s="303"/>
    </row>
    <row r="557" spans="1:5" s="2" customFormat="1" ht="24" customHeight="1">
      <c r="A557" s="280">
        <f t="shared" si="8"/>
        <v>548</v>
      </c>
      <c r="B557" s="281"/>
      <c r="C557" s="285"/>
      <c r="D557" s="283"/>
      <c r="E557" s="303"/>
    </row>
    <row r="558" spans="1:5" s="2" customFormat="1" ht="24" customHeight="1">
      <c r="A558" s="280">
        <f t="shared" si="8"/>
        <v>549</v>
      </c>
      <c r="B558" s="281"/>
      <c r="C558" s="285"/>
      <c r="D558" s="283"/>
      <c r="E558" s="303"/>
    </row>
    <row r="559" spans="1:5" s="2" customFormat="1" ht="24" customHeight="1">
      <c r="A559" s="280">
        <f t="shared" si="8"/>
        <v>550</v>
      </c>
      <c r="B559" s="281"/>
      <c r="C559" s="285"/>
      <c r="D559" s="283"/>
      <c r="E559" s="303"/>
    </row>
    <row r="560" spans="1:5" s="2" customFormat="1" ht="24" customHeight="1">
      <c r="A560" s="280">
        <f t="shared" si="8"/>
        <v>551</v>
      </c>
      <c r="B560" s="281"/>
      <c r="C560" s="285"/>
      <c r="D560" s="283"/>
      <c r="E560" s="303"/>
    </row>
    <row r="561" spans="1:5" s="2" customFormat="1" ht="24" customHeight="1">
      <c r="A561" s="280">
        <f t="shared" si="8"/>
        <v>552</v>
      </c>
      <c r="B561" s="281"/>
      <c r="C561" s="285"/>
      <c r="D561" s="283"/>
      <c r="E561" s="303"/>
    </row>
    <row r="562" spans="1:5" s="2" customFormat="1" ht="24" customHeight="1">
      <c r="A562" s="280">
        <f t="shared" si="8"/>
        <v>553</v>
      </c>
      <c r="B562" s="281"/>
      <c r="C562" s="285"/>
      <c r="D562" s="283"/>
      <c r="E562" s="303"/>
    </row>
    <row r="563" spans="1:5" s="2" customFormat="1" ht="24" customHeight="1">
      <c r="A563" s="280">
        <f t="shared" si="8"/>
        <v>554</v>
      </c>
      <c r="B563" s="281"/>
      <c r="C563" s="285"/>
      <c r="D563" s="283"/>
      <c r="E563" s="303"/>
    </row>
    <row r="564" spans="1:5" s="2" customFormat="1" ht="24" customHeight="1">
      <c r="A564" s="280">
        <f t="shared" si="8"/>
        <v>555</v>
      </c>
      <c r="B564" s="281"/>
      <c r="C564" s="285"/>
      <c r="D564" s="283"/>
      <c r="E564" s="303"/>
    </row>
    <row r="565" spans="1:5" s="2" customFormat="1" ht="24" customHeight="1">
      <c r="A565" s="280">
        <f t="shared" si="8"/>
        <v>556</v>
      </c>
      <c r="B565" s="281"/>
      <c r="C565" s="285"/>
      <c r="D565" s="283"/>
      <c r="E565" s="303"/>
    </row>
    <row r="566" spans="1:5" s="2" customFormat="1" ht="24" customHeight="1">
      <c r="A566" s="280">
        <f t="shared" si="8"/>
        <v>557</v>
      </c>
      <c r="B566" s="281"/>
      <c r="C566" s="285"/>
      <c r="D566" s="283"/>
      <c r="E566" s="303"/>
    </row>
    <row r="567" spans="1:5" s="2" customFormat="1" ht="24" customHeight="1">
      <c r="A567" s="280">
        <f t="shared" si="8"/>
        <v>558</v>
      </c>
      <c r="B567" s="281"/>
      <c r="C567" s="285"/>
      <c r="D567" s="283"/>
      <c r="E567" s="303"/>
    </row>
    <row r="568" spans="1:5" s="2" customFormat="1" ht="24" customHeight="1">
      <c r="A568" s="280">
        <f t="shared" si="8"/>
        <v>559</v>
      </c>
      <c r="B568" s="281"/>
      <c r="C568" s="285"/>
      <c r="D568" s="283"/>
      <c r="E568" s="303"/>
    </row>
    <row r="569" spans="1:5" s="2" customFormat="1" ht="24" customHeight="1">
      <c r="A569" s="280">
        <f t="shared" si="8"/>
        <v>560</v>
      </c>
      <c r="B569" s="281"/>
      <c r="C569" s="285"/>
      <c r="D569" s="283"/>
      <c r="E569" s="303"/>
    </row>
    <row r="570" spans="1:5" s="2" customFormat="1" ht="24" customHeight="1">
      <c r="A570" s="280">
        <f t="shared" si="8"/>
        <v>561</v>
      </c>
      <c r="B570" s="281"/>
      <c r="C570" s="285"/>
      <c r="D570" s="283"/>
      <c r="E570" s="303"/>
    </row>
    <row r="571" spans="1:5" s="2" customFormat="1" ht="24" customHeight="1">
      <c r="A571" s="280">
        <f t="shared" si="8"/>
        <v>562</v>
      </c>
      <c r="B571" s="281"/>
      <c r="C571" s="285"/>
      <c r="D571" s="283"/>
      <c r="E571" s="303"/>
    </row>
    <row r="572" spans="1:5" s="2" customFormat="1" ht="24" customHeight="1">
      <c r="A572" s="280">
        <f t="shared" si="8"/>
        <v>563</v>
      </c>
      <c r="B572" s="281"/>
      <c r="C572" s="285"/>
      <c r="D572" s="283"/>
      <c r="E572" s="303"/>
    </row>
    <row r="573" spans="1:5" s="2" customFormat="1" ht="24" customHeight="1">
      <c r="A573" s="280">
        <f t="shared" si="8"/>
        <v>564</v>
      </c>
      <c r="B573" s="281"/>
      <c r="C573" s="285"/>
      <c r="D573" s="283"/>
      <c r="E573" s="303"/>
    </row>
    <row r="574" spans="1:5" s="2" customFormat="1" ht="24" customHeight="1">
      <c r="A574" s="280">
        <f t="shared" si="8"/>
        <v>565</v>
      </c>
      <c r="B574" s="281"/>
      <c r="C574" s="285"/>
      <c r="D574" s="283"/>
      <c r="E574" s="303"/>
    </row>
    <row r="575" spans="1:5" s="2" customFormat="1" ht="24" customHeight="1">
      <c r="A575" s="280">
        <f t="shared" si="8"/>
        <v>566</v>
      </c>
      <c r="B575" s="281"/>
      <c r="C575" s="285"/>
      <c r="D575" s="283"/>
      <c r="E575" s="303"/>
    </row>
    <row r="576" spans="1:5" s="2" customFormat="1" ht="24" customHeight="1">
      <c r="A576" s="280">
        <f t="shared" si="8"/>
        <v>567</v>
      </c>
      <c r="B576" s="281"/>
      <c r="C576" s="285"/>
      <c r="D576" s="283"/>
      <c r="E576" s="303"/>
    </row>
    <row r="577" spans="1:5" s="2" customFormat="1" ht="24" customHeight="1">
      <c r="A577" s="280">
        <f t="shared" si="8"/>
        <v>568</v>
      </c>
      <c r="B577" s="281"/>
      <c r="C577" s="285"/>
      <c r="D577" s="283"/>
      <c r="E577" s="303"/>
    </row>
    <row r="578" spans="1:5" s="2" customFormat="1" ht="24" customHeight="1">
      <c r="A578" s="280">
        <f t="shared" si="8"/>
        <v>569</v>
      </c>
      <c r="B578" s="281"/>
      <c r="C578" s="285"/>
      <c r="D578" s="283"/>
      <c r="E578" s="303"/>
    </row>
    <row r="579" spans="1:5" s="2" customFormat="1" ht="24" customHeight="1">
      <c r="A579" s="280">
        <f t="shared" si="8"/>
        <v>570</v>
      </c>
      <c r="B579" s="281"/>
      <c r="C579" s="285"/>
      <c r="D579" s="283"/>
      <c r="E579" s="303"/>
    </row>
    <row r="580" spans="1:5" s="2" customFormat="1" ht="24" customHeight="1">
      <c r="A580" s="280">
        <f t="shared" si="8"/>
        <v>571</v>
      </c>
      <c r="B580" s="281"/>
      <c r="C580" s="285"/>
      <c r="D580" s="283"/>
      <c r="E580" s="303"/>
    </row>
    <row r="581" spans="1:5" s="2" customFormat="1" ht="24" customHeight="1">
      <c r="A581" s="280">
        <f t="shared" si="8"/>
        <v>572</v>
      </c>
      <c r="B581" s="281"/>
      <c r="C581" s="285"/>
      <c r="D581" s="283"/>
      <c r="E581" s="303"/>
    </row>
    <row r="582" spans="1:5" s="2" customFormat="1" ht="24" customHeight="1">
      <c r="A582" s="280">
        <f t="shared" si="8"/>
        <v>573</v>
      </c>
      <c r="B582" s="281"/>
      <c r="C582" s="285"/>
      <c r="D582" s="283"/>
      <c r="E582" s="303"/>
    </row>
    <row r="583" spans="1:5" s="2" customFormat="1" ht="24" customHeight="1">
      <c r="A583" s="280">
        <f t="shared" si="8"/>
        <v>574</v>
      </c>
      <c r="B583" s="281"/>
      <c r="C583" s="285"/>
      <c r="D583" s="283"/>
      <c r="E583" s="303"/>
    </row>
    <row r="584" spans="1:5" s="2" customFormat="1" ht="24" customHeight="1">
      <c r="A584" s="280">
        <f t="shared" si="8"/>
        <v>575</v>
      </c>
      <c r="B584" s="281"/>
      <c r="C584" s="285"/>
      <c r="D584" s="283"/>
      <c r="E584" s="303"/>
    </row>
    <row r="585" spans="1:5" s="2" customFormat="1" ht="24" customHeight="1">
      <c r="A585" s="280">
        <f t="shared" si="8"/>
        <v>576</v>
      </c>
      <c r="B585" s="281"/>
      <c r="C585" s="285"/>
      <c r="D585" s="283"/>
      <c r="E585" s="303"/>
    </row>
    <row r="586" spans="1:5" s="2" customFormat="1" ht="24" customHeight="1">
      <c r="A586" s="280">
        <f t="shared" si="8"/>
        <v>577</v>
      </c>
      <c r="B586" s="281"/>
      <c r="C586" s="285"/>
      <c r="D586" s="283"/>
      <c r="E586" s="303"/>
    </row>
    <row r="587" spans="1:5" s="2" customFormat="1" ht="24" customHeight="1">
      <c r="A587" s="280">
        <f t="shared" si="8"/>
        <v>578</v>
      </c>
      <c r="B587" s="281"/>
      <c r="C587" s="285"/>
      <c r="D587" s="283"/>
      <c r="E587" s="303"/>
    </row>
    <row r="588" spans="1:5" s="2" customFormat="1" ht="24" customHeight="1">
      <c r="A588" s="280">
        <f t="shared" ref="A588:A651" si="9">A587+1</f>
        <v>579</v>
      </c>
      <c r="B588" s="281"/>
      <c r="C588" s="285"/>
      <c r="D588" s="283"/>
      <c r="E588" s="303"/>
    </row>
    <row r="589" spans="1:5" s="2" customFormat="1" ht="24" customHeight="1">
      <c r="A589" s="280">
        <f t="shared" si="9"/>
        <v>580</v>
      </c>
      <c r="B589" s="281"/>
      <c r="C589" s="285"/>
      <c r="D589" s="283"/>
      <c r="E589" s="303"/>
    </row>
    <row r="590" spans="1:5" s="2" customFormat="1" ht="24" customHeight="1">
      <c r="A590" s="280">
        <f t="shared" si="9"/>
        <v>581</v>
      </c>
      <c r="B590" s="281"/>
      <c r="C590" s="285"/>
      <c r="D590" s="283"/>
      <c r="E590" s="303"/>
    </row>
    <row r="591" spans="1:5" s="2" customFormat="1" ht="24" customHeight="1">
      <c r="A591" s="280">
        <f t="shared" si="9"/>
        <v>582</v>
      </c>
      <c r="B591" s="281"/>
      <c r="C591" s="285"/>
      <c r="D591" s="283"/>
      <c r="E591" s="303"/>
    </row>
    <row r="592" spans="1:5" s="2" customFormat="1" ht="24" customHeight="1">
      <c r="A592" s="280">
        <f t="shared" si="9"/>
        <v>583</v>
      </c>
      <c r="B592" s="281"/>
      <c r="C592" s="285"/>
      <c r="D592" s="283"/>
      <c r="E592" s="303"/>
    </row>
    <row r="593" spans="1:5" s="2" customFormat="1" ht="24" customHeight="1">
      <c r="A593" s="280">
        <f t="shared" si="9"/>
        <v>584</v>
      </c>
      <c r="B593" s="281"/>
      <c r="C593" s="285"/>
      <c r="D593" s="283"/>
      <c r="E593" s="303"/>
    </row>
    <row r="594" spans="1:5" s="2" customFormat="1" ht="24" customHeight="1">
      <c r="A594" s="280">
        <f t="shared" si="9"/>
        <v>585</v>
      </c>
      <c r="B594" s="281"/>
      <c r="C594" s="285"/>
      <c r="D594" s="283"/>
      <c r="E594" s="303"/>
    </row>
    <row r="595" spans="1:5" s="2" customFormat="1" ht="24" customHeight="1">
      <c r="A595" s="280">
        <f t="shared" si="9"/>
        <v>586</v>
      </c>
      <c r="B595" s="281"/>
      <c r="C595" s="285"/>
      <c r="D595" s="283"/>
      <c r="E595" s="303"/>
    </row>
    <row r="596" spans="1:5" s="2" customFormat="1" ht="24" customHeight="1">
      <c r="A596" s="280">
        <f t="shared" si="9"/>
        <v>587</v>
      </c>
      <c r="B596" s="281"/>
      <c r="C596" s="285"/>
      <c r="D596" s="283"/>
      <c r="E596" s="303"/>
    </row>
    <row r="597" spans="1:5" s="2" customFormat="1" ht="24" customHeight="1">
      <c r="A597" s="280">
        <f t="shared" si="9"/>
        <v>588</v>
      </c>
      <c r="B597" s="281"/>
      <c r="C597" s="285"/>
      <c r="D597" s="283"/>
      <c r="E597" s="303"/>
    </row>
    <row r="598" spans="1:5" s="2" customFormat="1" ht="24" customHeight="1">
      <c r="A598" s="280">
        <f t="shared" si="9"/>
        <v>589</v>
      </c>
      <c r="B598" s="281"/>
      <c r="C598" s="285"/>
      <c r="D598" s="283"/>
      <c r="E598" s="303"/>
    </row>
    <row r="599" spans="1:5" s="2" customFormat="1" ht="24" customHeight="1">
      <c r="A599" s="280">
        <f t="shared" si="9"/>
        <v>590</v>
      </c>
      <c r="B599" s="281"/>
      <c r="C599" s="285"/>
      <c r="D599" s="283"/>
      <c r="E599" s="303"/>
    </row>
    <row r="600" spans="1:5" s="2" customFormat="1" ht="24" customHeight="1">
      <c r="A600" s="280">
        <f t="shared" si="9"/>
        <v>591</v>
      </c>
      <c r="B600" s="281"/>
      <c r="C600" s="285"/>
      <c r="D600" s="283"/>
      <c r="E600" s="303"/>
    </row>
    <row r="601" spans="1:5" s="2" customFormat="1" ht="24" customHeight="1">
      <c r="A601" s="280">
        <f t="shared" si="9"/>
        <v>592</v>
      </c>
      <c r="B601" s="281"/>
      <c r="C601" s="285"/>
      <c r="D601" s="283"/>
      <c r="E601" s="303"/>
    </row>
    <row r="602" spans="1:5" s="2" customFormat="1" ht="24" customHeight="1">
      <c r="A602" s="280">
        <f t="shared" si="9"/>
        <v>593</v>
      </c>
      <c r="B602" s="281"/>
      <c r="C602" s="285"/>
      <c r="D602" s="283"/>
      <c r="E602" s="303"/>
    </row>
    <row r="603" spans="1:5" s="2" customFormat="1" ht="24" customHeight="1">
      <c r="A603" s="280">
        <f t="shared" si="9"/>
        <v>594</v>
      </c>
      <c r="B603" s="281"/>
      <c r="C603" s="285"/>
      <c r="D603" s="283"/>
      <c r="E603" s="303"/>
    </row>
    <row r="604" spans="1:5" s="2" customFormat="1" ht="24" customHeight="1">
      <c r="A604" s="280">
        <f t="shared" si="9"/>
        <v>595</v>
      </c>
      <c r="B604" s="281"/>
      <c r="C604" s="285"/>
      <c r="D604" s="283"/>
      <c r="E604" s="303"/>
    </row>
    <row r="605" spans="1:5" s="2" customFormat="1" ht="24" customHeight="1">
      <c r="A605" s="280">
        <f t="shared" si="9"/>
        <v>596</v>
      </c>
      <c r="B605" s="281"/>
      <c r="C605" s="285"/>
      <c r="D605" s="283"/>
      <c r="E605" s="303"/>
    </row>
    <row r="606" spans="1:5" s="2" customFormat="1" ht="24" customHeight="1">
      <c r="A606" s="280">
        <f t="shared" si="9"/>
        <v>597</v>
      </c>
      <c r="B606" s="281"/>
      <c r="C606" s="285"/>
      <c r="D606" s="283"/>
      <c r="E606" s="303"/>
    </row>
    <row r="607" spans="1:5" s="2" customFormat="1" ht="24" customHeight="1">
      <c r="A607" s="280">
        <f t="shared" si="9"/>
        <v>598</v>
      </c>
      <c r="B607" s="281"/>
      <c r="C607" s="285"/>
      <c r="D607" s="283"/>
      <c r="E607" s="303"/>
    </row>
    <row r="608" spans="1:5" s="2" customFormat="1" ht="24" customHeight="1">
      <c r="A608" s="280">
        <f t="shared" si="9"/>
        <v>599</v>
      </c>
      <c r="B608" s="281"/>
      <c r="C608" s="285"/>
      <c r="D608" s="283"/>
      <c r="E608" s="303"/>
    </row>
    <row r="609" spans="1:5" s="2" customFormat="1" ht="24" customHeight="1">
      <c r="A609" s="280">
        <f t="shared" si="9"/>
        <v>600</v>
      </c>
      <c r="B609" s="281"/>
      <c r="C609" s="285"/>
      <c r="D609" s="283"/>
      <c r="E609" s="303"/>
    </row>
    <row r="610" spans="1:5" s="2" customFormat="1" ht="24" customHeight="1">
      <c r="A610" s="280">
        <f t="shared" si="9"/>
        <v>601</v>
      </c>
      <c r="B610" s="281"/>
      <c r="C610" s="285"/>
      <c r="D610" s="283"/>
      <c r="E610" s="303"/>
    </row>
    <row r="611" spans="1:5" s="2" customFormat="1" ht="24" customHeight="1">
      <c r="A611" s="280">
        <f t="shared" si="9"/>
        <v>602</v>
      </c>
      <c r="B611" s="281"/>
      <c r="C611" s="285"/>
      <c r="D611" s="283"/>
      <c r="E611" s="303"/>
    </row>
    <row r="612" spans="1:5" s="2" customFormat="1" ht="24" customHeight="1">
      <c r="A612" s="280">
        <f t="shared" si="9"/>
        <v>603</v>
      </c>
      <c r="B612" s="281"/>
      <c r="C612" s="285"/>
      <c r="D612" s="283"/>
      <c r="E612" s="303"/>
    </row>
    <row r="613" spans="1:5" s="2" customFormat="1" ht="24" customHeight="1">
      <c r="A613" s="280">
        <f t="shared" si="9"/>
        <v>604</v>
      </c>
      <c r="B613" s="281"/>
      <c r="C613" s="285"/>
      <c r="D613" s="283"/>
      <c r="E613" s="303"/>
    </row>
    <row r="614" spans="1:5" s="2" customFormat="1" ht="24" customHeight="1">
      <c r="A614" s="280">
        <f t="shared" si="9"/>
        <v>605</v>
      </c>
      <c r="B614" s="281"/>
      <c r="C614" s="285"/>
      <c r="D614" s="283"/>
      <c r="E614" s="303"/>
    </row>
    <row r="615" spans="1:5" s="2" customFormat="1" ht="24" customHeight="1">
      <c r="A615" s="280">
        <f t="shared" si="9"/>
        <v>606</v>
      </c>
      <c r="B615" s="281"/>
      <c r="C615" s="285"/>
      <c r="D615" s="283"/>
      <c r="E615" s="303"/>
    </row>
    <row r="616" spans="1:5" s="2" customFormat="1" ht="24" customHeight="1">
      <c r="A616" s="280">
        <f t="shared" si="9"/>
        <v>607</v>
      </c>
      <c r="B616" s="281"/>
      <c r="C616" s="285"/>
      <c r="D616" s="283"/>
      <c r="E616" s="303"/>
    </row>
    <row r="617" spans="1:5" s="2" customFormat="1" ht="24" customHeight="1">
      <c r="A617" s="280">
        <f t="shared" si="9"/>
        <v>608</v>
      </c>
      <c r="B617" s="281"/>
      <c r="C617" s="285"/>
      <c r="D617" s="283"/>
      <c r="E617" s="303"/>
    </row>
    <row r="618" spans="1:5" s="2" customFormat="1" ht="24" customHeight="1">
      <c r="A618" s="280">
        <f t="shared" si="9"/>
        <v>609</v>
      </c>
      <c r="B618" s="281"/>
      <c r="C618" s="285"/>
      <c r="D618" s="283"/>
      <c r="E618" s="303"/>
    </row>
    <row r="619" spans="1:5" s="2" customFormat="1" ht="24" customHeight="1">
      <c r="A619" s="280">
        <f t="shared" si="9"/>
        <v>610</v>
      </c>
      <c r="B619" s="281"/>
      <c r="C619" s="285"/>
      <c r="D619" s="283"/>
      <c r="E619" s="303"/>
    </row>
    <row r="620" spans="1:5" s="2" customFormat="1" ht="24" customHeight="1">
      <c r="A620" s="280">
        <f t="shared" si="9"/>
        <v>611</v>
      </c>
      <c r="B620" s="281"/>
      <c r="C620" s="285"/>
      <c r="D620" s="283"/>
      <c r="E620" s="303"/>
    </row>
    <row r="621" spans="1:5" s="2" customFormat="1" ht="24" customHeight="1">
      <c r="A621" s="280">
        <f t="shared" si="9"/>
        <v>612</v>
      </c>
      <c r="B621" s="281"/>
      <c r="C621" s="285"/>
      <c r="D621" s="283"/>
      <c r="E621" s="303"/>
    </row>
    <row r="622" spans="1:5" s="2" customFormat="1" ht="24" customHeight="1">
      <c r="A622" s="280">
        <f t="shared" si="9"/>
        <v>613</v>
      </c>
      <c r="B622" s="281"/>
      <c r="C622" s="285"/>
      <c r="D622" s="283"/>
      <c r="E622" s="303"/>
    </row>
    <row r="623" spans="1:5" s="2" customFormat="1" ht="24" customHeight="1">
      <c r="A623" s="280">
        <f t="shared" si="9"/>
        <v>614</v>
      </c>
      <c r="B623" s="281"/>
      <c r="C623" s="285"/>
      <c r="D623" s="283"/>
      <c r="E623" s="303"/>
    </row>
    <row r="624" spans="1:5" s="2" customFormat="1" ht="24" customHeight="1">
      <c r="A624" s="280">
        <f t="shared" si="9"/>
        <v>615</v>
      </c>
      <c r="B624" s="281"/>
      <c r="C624" s="285"/>
      <c r="D624" s="283"/>
      <c r="E624" s="303"/>
    </row>
    <row r="625" spans="1:5" s="2" customFormat="1" ht="24" customHeight="1">
      <c r="A625" s="280">
        <f t="shared" si="9"/>
        <v>616</v>
      </c>
      <c r="B625" s="281"/>
      <c r="C625" s="285"/>
      <c r="D625" s="283"/>
      <c r="E625" s="303"/>
    </row>
    <row r="626" spans="1:5" s="2" customFormat="1" ht="24" customHeight="1">
      <c r="A626" s="280">
        <f t="shared" si="9"/>
        <v>617</v>
      </c>
      <c r="B626" s="281"/>
      <c r="C626" s="285"/>
      <c r="D626" s="283"/>
      <c r="E626" s="303"/>
    </row>
    <row r="627" spans="1:5" s="2" customFormat="1" ht="24" customHeight="1">
      <c r="A627" s="280">
        <f t="shared" si="9"/>
        <v>618</v>
      </c>
      <c r="B627" s="281"/>
      <c r="C627" s="285"/>
      <c r="D627" s="283"/>
      <c r="E627" s="303"/>
    </row>
    <row r="628" spans="1:5" s="2" customFormat="1" ht="24" customHeight="1">
      <c r="A628" s="280">
        <f t="shared" si="9"/>
        <v>619</v>
      </c>
      <c r="B628" s="281"/>
      <c r="C628" s="285"/>
      <c r="D628" s="283"/>
      <c r="E628" s="303"/>
    </row>
    <row r="629" spans="1:5" s="2" customFormat="1" ht="24" customHeight="1">
      <c r="A629" s="280">
        <f t="shared" si="9"/>
        <v>620</v>
      </c>
      <c r="B629" s="281"/>
      <c r="C629" s="285"/>
      <c r="D629" s="283"/>
      <c r="E629" s="303"/>
    </row>
    <row r="630" spans="1:5" s="2" customFormat="1" ht="24" customHeight="1">
      <c r="A630" s="280">
        <f t="shared" si="9"/>
        <v>621</v>
      </c>
      <c r="B630" s="281"/>
      <c r="C630" s="285"/>
      <c r="D630" s="283"/>
      <c r="E630" s="303"/>
    </row>
    <row r="631" spans="1:5" s="2" customFormat="1" ht="24" customHeight="1">
      <c r="A631" s="280">
        <f t="shared" si="9"/>
        <v>622</v>
      </c>
      <c r="B631" s="281"/>
      <c r="C631" s="285"/>
      <c r="D631" s="283"/>
      <c r="E631" s="303"/>
    </row>
    <row r="632" spans="1:5" s="2" customFormat="1" ht="24" customHeight="1">
      <c r="A632" s="280">
        <f t="shared" si="9"/>
        <v>623</v>
      </c>
      <c r="B632" s="281"/>
      <c r="C632" s="285"/>
      <c r="D632" s="283"/>
      <c r="E632" s="303"/>
    </row>
    <row r="633" spans="1:5" s="2" customFormat="1" ht="24" customHeight="1">
      <c r="A633" s="280">
        <f t="shared" si="9"/>
        <v>624</v>
      </c>
      <c r="B633" s="281"/>
      <c r="C633" s="285"/>
      <c r="D633" s="283"/>
      <c r="E633" s="303"/>
    </row>
    <row r="634" spans="1:5" s="2" customFormat="1" ht="24" customHeight="1">
      <c r="A634" s="280">
        <f t="shared" si="9"/>
        <v>625</v>
      </c>
      <c r="B634" s="281"/>
      <c r="C634" s="285"/>
      <c r="D634" s="283"/>
      <c r="E634" s="303"/>
    </row>
    <row r="635" spans="1:5" s="2" customFormat="1" ht="24" customHeight="1">
      <c r="A635" s="280">
        <f t="shared" si="9"/>
        <v>626</v>
      </c>
      <c r="B635" s="281"/>
      <c r="C635" s="285"/>
      <c r="D635" s="283"/>
      <c r="E635" s="303"/>
    </row>
    <row r="636" spans="1:5" s="2" customFormat="1" ht="24" customHeight="1">
      <c r="A636" s="280">
        <f t="shared" si="9"/>
        <v>627</v>
      </c>
      <c r="B636" s="281"/>
      <c r="C636" s="285"/>
      <c r="D636" s="283"/>
      <c r="E636" s="303"/>
    </row>
    <row r="637" spans="1:5" s="2" customFormat="1" ht="24" customHeight="1">
      <c r="A637" s="280">
        <f t="shared" si="9"/>
        <v>628</v>
      </c>
      <c r="B637" s="281"/>
      <c r="C637" s="285"/>
      <c r="D637" s="283"/>
      <c r="E637" s="303"/>
    </row>
    <row r="638" spans="1:5" s="2" customFormat="1" ht="24" customHeight="1">
      <c r="A638" s="280">
        <f t="shared" si="9"/>
        <v>629</v>
      </c>
      <c r="B638" s="281"/>
      <c r="C638" s="285"/>
      <c r="D638" s="283"/>
      <c r="E638" s="303"/>
    </row>
    <row r="639" spans="1:5" s="2" customFormat="1" ht="24" customHeight="1">
      <c r="A639" s="280">
        <f t="shared" si="9"/>
        <v>630</v>
      </c>
      <c r="B639" s="281"/>
      <c r="C639" s="285"/>
      <c r="D639" s="283"/>
      <c r="E639" s="303"/>
    </row>
    <row r="640" spans="1:5" s="2" customFormat="1" ht="24" customHeight="1">
      <c r="A640" s="280">
        <f t="shared" si="9"/>
        <v>631</v>
      </c>
      <c r="B640" s="281"/>
      <c r="C640" s="285"/>
      <c r="D640" s="283"/>
      <c r="E640" s="303"/>
    </row>
    <row r="641" spans="1:5" s="2" customFormat="1" ht="24" customHeight="1">
      <c r="A641" s="280">
        <f t="shared" si="9"/>
        <v>632</v>
      </c>
      <c r="B641" s="281"/>
      <c r="C641" s="285"/>
      <c r="D641" s="283"/>
      <c r="E641" s="303"/>
    </row>
    <row r="642" spans="1:5" s="2" customFormat="1" ht="24" customHeight="1">
      <c r="A642" s="280">
        <f t="shared" si="9"/>
        <v>633</v>
      </c>
      <c r="B642" s="281"/>
      <c r="C642" s="285"/>
      <c r="D642" s="283"/>
      <c r="E642" s="303"/>
    </row>
    <row r="643" spans="1:5" s="2" customFormat="1" ht="24" customHeight="1">
      <c r="A643" s="280">
        <f t="shared" si="9"/>
        <v>634</v>
      </c>
      <c r="B643" s="281"/>
      <c r="C643" s="285"/>
      <c r="D643" s="283"/>
      <c r="E643" s="303"/>
    </row>
    <row r="644" spans="1:5" s="2" customFormat="1" ht="24" customHeight="1">
      <c r="A644" s="280">
        <f t="shared" si="9"/>
        <v>635</v>
      </c>
      <c r="B644" s="281"/>
      <c r="C644" s="285"/>
      <c r="D644" s="283"/>
      <c r="E644" s="303"/>
    </row>
    <row r="645" spans="1:5" s="2" customFormat="1" ht="24" customHeight="1">
      <c r="A645" s="280">
        <f t="shared" si="9"/>
        <v>636</v>
      </c>
      <c r="B645" s="281"/>
      <c r="C645" s="285"/>
      <c r="D645" s="283"/>
      <c r="E645" s="303"/>
    </row>
    <row r="646" spans="1:5" s="2" customFormat="1" ht="24" customHeight="1">
      <c r="A646" s="280">
        <f t="shared" si="9"/>
        <v>637</v>
      </c>
      <c r="B646" s="281"/>
      <c r="C646" s="285"/>
      <c r="D646" s="283"/>
      <c r="E646" s="303"/>
    </row>
    <row r="647" spans="1:5" s="2" customFormat="1" ht="24" customHeight="1">
      <c r="A647" s="280">
        <f t="shared" si="9"/>
        <v>638</v>
      </c>
      <c r="B647" s="281"/>
      <c r="C647" s="285"/>
      <c r="D647" s="283"/>
      <c r="E647" s="303"/>
    </row>
    <row r="648" spans="1:5" s="2" customFormat="1" ht="24" customHeight="1">
      <c r="A648" s="280">
        <f t="shared" si="9"/>
        <v>639</v>
      </c>
      <c r="B648" s="281"/>
      <c r="C648" s="285"/>
      <c r="D648" s="283"/>
      <c r="E648" s="303"/>
    </row>
    <row r="649" spans="1:5" s="2" customFormat="1" ht="24" customHeight="1">
      <c r="A649" s="280">
        <f t="shared" si="9"/>
        <v>640</v>
      </c>
      <c r="B649" s="281"/>
      <c r="C649" s="285"/>
      <c r="D649" s="283"/>
      <c r="E649" s="303"/>
    </row>
    <row r="650" spans="1:5" s="2" customFormat="1" ht="24" customHeight="1">
      <c r="A650" s="280">
        <f t="shared" si="9"/>
        <v>641</v>
      </c>
      <c r="B650" s="281"/>
      <c r="C650" s="285"/>
      <c r="D650" s="283"/>
      <c r="E650" s="303"/>
    </row>
    <row r="651" spans="1:5" s="2" customFormat="1" ht="24" customHeight="1">
      <c r="A651" s="280">
        <f t="shared" si="9"/>
        <v>642</v>
      </c>
      <c r="B651" s="281"/>
      <c r="C651" s="285"/>
      <c r="D651" s="283"/>
      <c r="E651" s="303"/>
    </row>
    <row r="652" spans="1:5" s="2" customFormat="1" ht="24" customHeight="1">
      <c r="A652" s="280">
        <f t="shared" ref="A652:A715" si="10">A651+1</f>
        <v>643</v>
      </c>
      <c r="B652" s="281"/>
      <c r="C652" s="285"/>
      <c r="D652" s="283"/>
      <c r="E652" s="303"/>
    </row>
    <row r="653" spans="1:5" s="2" customFormat="1" ht="24" customHeight="1">
      <c r="A653" s="280">
        <f t="shared" si="10"/>
        <v>644</v>
      </c>
      <c r="B653" s="281"/>
      <c r="C653" s="285"/>
      <c r="D653" s="283"/>
      <c r="E653" s="303"/>
    </row>
    <row r="654" spans="1:5" s="2" customFormat="1" ht="24" customHeight="1">
      <c r="A654" s="280">
        <f t="shared" si="10"/>
        <v>645</v>
      </c>
      <c r="B654" s="281"/>
      <c r="C654" s="285"/>
      <c r="D654" s="283"/>
      <c r="E654" s="303"/>
    </row>
    <row r="655" spans="1:5" s="2" customFormat="1" ht="24" customHeight="1">
      <c r="A655" s="280">
        <f t="shared" si="10"/>
        <v>646</v>
      </c>
      <c r="B655" s="281"/>
      <c r="C655" s="285"/>
      <c r="D655" s="283"/>
      <c r="E655" s="303"/>
    </row>
    <row r="656" spans="1:5" s="2" customFormat="1" ht="24" customHeight="1">
      <c r="A656" s="280">
        <f t="shared" si="10"/>
        <v>647</v>
      </c>
      <c r="B656" s="281"/>
      <c r="C656" s="285"/>
      <c r="D656" s="283"/>
      <c r="E656" s="303"/>
    </row>
    <row r="657" spans="1:5" s="2" customFormat="1" ht="24" customHeight="1">
      <c r="A657" s="280">
        <f t="shared" si="10"/>
        <v>648</v>
      </c>
      <c r="B657" s="281"/>
      <c r="C657" s="285"/>
      <c r="D657" s="283"/>
      <c r="E657" s="303"/>
    </row>
    <row r="658" spans="1:5" s="2" customFormat="1" ht="24" customHeight="1">
      <c r="A658" s="280">
        <f t="shared" si="10"/>
        <v>649</v>
      </c>
      <c r="B658" s="281"/>
      <c r="C658" s="285"/>
      <c r="D658" s="283"/>
      <c r="E658" s="303"/>
    </row>
    <row r="659" spans="1:5" s="2" customFormat="1" ht="24" customHeight="1">
      <c r="A659" s="280">
        <f t="shared" si="10"/>
        <v>650</v>
      </c>
      <c r="B659" s="281"/>
      <c r="C659" s="285"/>
      <c r="D659" s="283"/>
      <c r="E659" s="303"/>
    </row>
    <row r="660" spans="1:5" s="2" customFormat="1" ht="24" customHeight="1">
      <c r="A660" s="280">
        <f t="shared" si="10"/>
        <v>651</v>
      </c>
      <c r="B660" s="281"/>
      <c r="C660" s="285"/>
      <c r="D660" s="283"/>
      <c r="E660" s="303"/>
    </row>
    <row r="661" spans="1:5" s="2" customFormat="1" ht="24" customHeight="1">
      <c r="A661" s="280">
        <f t="shared" si="10"/>
        <v>652</v>
      </c>
      <c r="B661" s="281"/>
      <c r="C661" s="285"/>
      <c r="D661" s="283"/>
      <c r="E661" s="303"/>
    </row>
    <row r="662" spans="1:5" s="2" customFormat="1" ht="24" customHeight="1">
      <c r="A662" s="280">
        <f t="shared" si="10"/>
        <v>653</v>
      </c>
      <c r="B662" s="281"/>
      <c r="C662" s="285"/>
      <c r="D662" s="283"/>
      <c r="E662" s="303"/>
    </row>
    <row r="663" spans="1:5" s="2" customFormat="1" ht="24" customHeight="1">
      <c r="A663" s="280">
        <f t="shared" si="10"/>
        <v>654</v>
      </c>
      <c r="B663" s="281"/>
      <c r="C663" s="285"/>
      <c r="D663" s="283"/>
      <c r="E663" s="303"/>
    </row>
    <row r="664" spans="1:5" s="2" customFormat="1" ht="24" customHeight="1">
      <c r="A664" s="280">
        <f t="shared" si="10"/>
        <v>655</v>
      </c>
      <c r="B664" s="281"/>
      <c r="C664" s="285"/>
      <c r="D664" s="283"/>
      <c r="E664" s="303"/>
    </row>
    <row r="665" spans="1:5" s="2" customFormat="1" ht="24" customHeight="1">
      <c r="A665" s="280">
        <f t="shared" si="10"/>
        <v>656</v>
      </c>
      <c r="B665" s="281"/>
      <c r="C665" s="285"/>
      <c r="D665" s="283"/>
      <c r="E665" s="303"/>
    </row>
    <row r="666" spans="1:5" s="2" customFormat="1" ht="24" customHeight="1">
      <c r="A666" s="280">
        <f t="shared" si="10"/>
        <v>657</v>
      </c>
      <c r="B666" s="281"/>
      <c r="C666" s="285"/>
      <c r="D666" s="283"/>
      <c r="E666" s="303"/>
    </row>
    <row r="667" spans="1:5" s="2" customFormat="1" ht="24" customHeight="1">
      <c r="A667" s="280">
        <f t="shared" si="10"/>
        <v>658</v>
      </c>
      <c r="B667" s="281"/>
      <c r="C667" s="285"/>
      <c r="D667" s="283"/>
      <c r="E667" s="303"/>
    </row>
    <row r="668" spans="1:5" s="2" customFormat="1" ht="24" customHeight="1">
      <c r="A668" s="280">
        <f t="shared" si="10"/>
        <v>659</v>
      </c>
      <c r="B668" s="281"/>
      <c r="C668" s="285"/>
      <c r="D668" s="283"/>
      <c r="E668" s="303"/>
    </row>
    <row r="669" spans="1:5" s="2" customFormat="1" ht="24" customHeight="1">
      <c r="A669" s="280">
        <f t="shared" si="10"/>
        <v>660</v>
      </c>
      <c r="B669" s="281"/>
      <c r="C669" s="285"/>
      <c r="D669" s="283"/>
      <c r="E669" s="303"/>
    </row>
    <row r="670" spans="1:5" s="2" customFormat="1" ht="24" customHeight="1">
      <c r="A670" s="280">
        <f t="shared" si="10"/>
        <v>661</v>
      </c>
      <c r="B670" s="281"/>
      <c r="C670" s="285"/>
      <c r="D670" s="283"/>
      <c r="E670" s="303"/>
    </row>
    <row r="671" spans="1:5" s="2" customFormat="1" ht="24" customHeight="1">
      <c r="A671" s="280">
        <f t="shared" si="10"/>
        <v>662</v>
      </c>
      <c r="B671" s="281"/>
      <c r="C671" s="285"/>
      <c r="D671" s="283"/>
      <c r="E671" s="303"/>
    </row>
    <row r="672" spans="1:5" s="2" customFormat="1" ht="24" customHeight="1">
      <c r="A672" s="280">
        <f t="shared" si="10"/>
        <v>663</v>
      </c>
      <c r="B672" s="281"/>
      <c r="C672" s="285"/>
      <c r="D672" s="283"/>
      <c r="E672" s="303"/>
    </row>
    <row r="673" spans="1:5" s="2" customFormat="1" ht="24" customHeight="1">
      <c r="A673" s="280">
        <f t="shared" si="10"/>
        <v>664</v>
      </c>
      <c r="B673" s="281"/>
      <c r="C673" s="285"/>
      <c r="D673" s="283"/>
      <c r="E673" s="303"/>
    </row>
    <row r="674" spans="1:5" s="2" customFormat="1" ht="24" customHeight="1">
      <c r="A674" s="280">
        <f t="shared" si="10"/>
        <v>665</v>
      </c>
      <c r="B674" s="281"/>
      <c r="C674" s="285"/>
      <c r="D674" s="283"/>
      <c r="E674" s="303"/>
    </row>
    <row r="675" spans="1:5" s="2" customFormat="1" ht="24" customHeight="1">
      <c r="A675" s="280">
        <f t="shared" si="10"/>
        <v>666</v>
      </c>
      <c r="B675" s="281"/>
      <c r="C675" s="285"/>
      <c r="D675" s="283"/>
      <c r="E675" s="303"/>
    </row>
    <row r="676" spans="1:5" s="2" customFormat="1" ht="24" customHeight="1">
      <c r="A676" s="280">
        <f t="shared" si="10"/>
        <v>667</v>
      </c>
      <c r="B676" s="281"/>
      <c r="C676" s="285"/>
      <c r="D676" s="283"/>
      <c r="E676" s="303"/>
    </row>
    <row r="677" spans="1:5" s="2" customFormat="1" ht="24" customHeight="1">
      <c r="A677" s="280">
        <f t="shared" si="10"/>
        <v>668</v>
      </c>
      <c r="B677" s="281"/>
      <c r="C677" s="285"/>
      <c r="D677" s="283"/>
      <c r="E677" s="303"/>
    </row>
    <row r="678" spans="1:5" s="2" customFormat="1" ht="24" customHeight="1">
      <c r="A678" s="280">
        <f t="shared" si="10"/>
        <v>669</v>
      </c>
      <c r="B678" s="281"/>
      <c r="C678" s="285"/>
      <c r="D678" s="283"/>
      <c r="E678" s="303"/>
    </row>
    <row r="679" spans="1:5" s="2" customFormat="1" ht="24" customHeight="1">
      <c r="A679" s="280">
        <f t="shared" si="10"/>
        <v>670</v>
      </c>
      <c r="B679" s="281"/>
      <c r="C679" s="285"/>
      <c r="D679" s="283"/>
      <c r="E679" s="303"/>
    </row>
    <row r="680" spans="1:5" s="2" customFormat="1" ht="24" customHeight="1">
      <c r="A680" s="280">
        <f t="shared" si="10"/>
        <v>671</v>
      </c>
      <c r="B680" s="281"/>
      <c r="C680" s="285"/>
      <c r="D680" s="283"/>
      <c r="E680" s="303"/>
    </row>
    <row r="681" spans="1:5" s="2" customFormat="1" ht="24" customHeight="1">
      <c r="A681" s="280">
        <f t="shared" si="10"/>
        <v>672</v>
      </c>
      <c r="B681" s="281"/>
      <c r="C681" s="285"/>
      <c r="D681" s="283"/>
      <c r="E681" s="303"/>
    </row>
    <row r="682" spans="1:5" s="2" customFormat="1" ht="24" customHeight="1">
      <c r="A682" s="280">
        <f t="shared" si="10"/>
        <v>673</v>
      </c>
      <c r="B682" s="281"/>
      <c r="C682" s="285"/>
      <c r="D682" s="283"/>
      <c r="E682" s="303"/>
    </row>
    <row r="683" spans="1:5" s="2" customFormat="1" ht="24" customHeight="1">
      <c r="A683" s="280">
        <f t="shared" si="10"/>
        <v>674</v>
      </c>
      <c r="B683" s="281"/>
      <c r="C683" s="285"/>
      <c r="D683" s="283"/>
      <c r="E683" s="303"/>
    </row>
    <row r="684" spans="1:5" s="2" customFormat="1" ht="24" customHeight="1">
      <c r="A684" s="280">
        <f t="shared" si="10"/>
        <v>675</v>
      </c>
      <c r="B684" s="281"/>
      <c r="C684" s="285"/>
      <c r="D684" s="283"/>
      <c r="E684" s="303"/>
    </row>
    <row r="685" spans="1:5" s="2" customFormat="1" ht="24" customHeight="1">
      <c r="A685" s="280">
        <f t="shared" si="10"/>
        <v>676</v>
      </c>
      <c r="B685" s="281"/>
      <c r="C685" s="285"/>
      <c r="D685" s="283"/>
      <c r="E685" s="303"/>
    </row>
    <row r="686" spans="1:5" s="2" customFormat="1" ht="24" customHeight="1">
      <c r="A686" s="280">
        <f t="shared" si="10"/>
        <v>677</v>
      </c>
      <c r="B686" s="281"/>
      <c r="C686" s="285"/>
      <c r="D686" s="283"/>
      <c r="E686" s="303"/>
    </row>
    <row r="687" spans="1:5" s="2" customFormat="1" ht="24" customHeight="1">
      <c r="A687" s="280">
        <f t="shared" si="10"/>
        <v>678</v>
      </c>
      <c r="B687" s="281"/>
      <c r="C687" s="285"/>
      <c r="D687" s="283"/>
      <c r="E687" s="303"/>
    </row>
    <row r="688" spans="1:5" s="2" customFormat="1" ht="24" customHeight="1">
      <c r="A688" s="280">
        <f t="shared" si="10"/>
        <v>679</v>
      </c>
      <c r="B688" s="281"/>
      <c r="C688" s="285"/>
      <c r="D688" s="283"/>
      <c r="E688" s="303"/>
    </row>
    <row r="689" spans="1:5" s="2" customFormat="1" ht="24" customHeight="1">
      <c r="A689" s="280">
        <f t="shared" si="10"/>
        <v>680</v>
      </c>
      <c r="B689" s="281"/>
      <c r="C689" s="285"/>
      <c r="D689" s="283"/>
      <c r="E689" s="303"/>
    </row>
    <row r="690" spans="1:5" s="2" customFormat="1" ht="24" customHeight="1">
      <c r="A690" s="280">
        <f t="shared" si="10"/>
        <v>681</v>
      </c>
      <c r="B690" s="281"/>
      <c r="C690" s="285"/>
      <c r="D690" s="283"/>
      <c r="E690" s="303"/>
    </row>
    <row r="691" spans="1:5" s="2" customFormat="1" ht="24" customHeight="1">
      <c r="A691" s="280">
        <f t="shared" si="10"/>
        <v>682</v>
      </c>
      <c r="B691" s="281"/>
      <c r="C691" s="285"/>
      <c r="D691" s="283"/>
      <c r="E691" s="303"/>
    </row>
    <row r="692" spans="1:5" s="2" customFormat="1" ht="24" customHeight="1">
      <c r="A692" s="280">
        <f t="shared" si="10"/>
        <v>683</v>
      </c>
      <c r="B692" s="281"/>
      <c r="C692" s="285"/>
      <c r="D692" s="283"/>
      <c r="E692" s="303"/>
    </row>
    <row r="693" spans="1:5" s="2" customFormat="1" ht="24" customHeight="1">
      <c r="A693" s="280">
        <f t="shared" si="10"/>
        <v>684</v>
      </c>
      <c r="B693" s="281"/>
      <c r="C693" s="285"/>
      <c r="D693" s="283"/>
      <c r="E693" s="303"/>
    </row>
    <row r="694" spans="1:5" s="2" customFormat="1" ht="24" customHeight="1">
      <c r="A694" s="280">
        <f t="shared" si="10"/>
        <v>685</v>
      </c>
      <c r="B694" s="281"/>
      <c r="C694" s="285"/>
      <c r="D694" s="283"/>
      <c r="E694" s="303"/>
    </row>
    <row r="695" spans="1:5" s="2" customFormat="1" ht="24" customHeight="1">
      <c r="A695" s="280">
        <f t="shared" si="10"/>
        <v>686</v>
      </c>
      <c r="B695" s="281"/>
      <c r="C695" s="285"/>
      <c r="D695" s="283"/>
      <c r="E695" s="303"/>
    </row>
    <row r="696" spans="1:5" s="2" customFormat="1" ht="24" customHeight="1">
      <c r="A696" s="280">
        <f t="shared" si="10"/>
        <v>687</v>
      </c>
      <c r="B696" s="281"/>
      <c r="C696" s="285"/>
      <c r="D696" s="283"/>
      <c r="E696" s="303"/>
    </row>
    <row r="697" spans="1:5" s="2" customFormat="1" ht="24" customHeight="1">
      <c r="A697" s="280">
        <f t="shared" si="10"/>
        <v>688</v>
      </c>
      <c r="B697" s="281"/>
      <c r="C697" s="285"/>
      <c r="D697" s="283"/>
      <c r="E697" s="303"/>
    </row>
    <row r="698" spans="1:5" s="2" customFormat="1" ht="24" customHeight="1">
      <c r="A698" s="280">
        <f t="shared" si="10"/>
        <v>689</v>
      </c>
      <c r="B698" s="281"/>
      <c r="C698" s="285"/>
      <c r="D698" s="283"/>
      <c r="E698" s="303"/>
    </row>
    <row r="699" spans="1:5" s="2" customFormat="1" ht="24" customHeight="1">
      <c r="A699" s="280">
        <f t="shared" si="10"/>
        <v>690</v>
      </c>
      <c r="B699" s="281"/>
      <c r="C699" s="285"/>
      <c r="D699" s="283"/>
      <c r="E699" s="303"/>
    </row>
    <row r="700" spans="1:5" s="2" customFormat="1" ht="24" customHeight="1">
      <c r="A700" s="280">
        <f t="shared" si="10"/>
        <v>691</v>
      </c>
      <c r="B700" s="281"/>
      <c r="C700" s="285"/>
      <c r="D700" s="283"/>
      <c r="E700" s="303"/>
    </row>
    <row r="701" spans="1:5" s="2" customFormat="1" ht="24" customHeight="1">
      <c r="A701" s="280">
        <f t="shared" si="10"/>
        <v>692</v>
      </c>
      <c r="B701" s="281"/>
      <c r="C701" s="285"/>
      <c r="D701" s="283"/>
      <c r="E701" s="303"/>
    </row>
    <row r="702" spans="1:5" s="2" customFormat="1" ht="24" customHeight="1">
      <c r="A702" s="280">
        <f t="shared" si="10"/>
        <v>693</v>
      </c>
      <c r="B702" s="281"/>
      <c r="C702" s="285"/>
      <c r="D702" s="283"/>
      <c r="E702" s="303"/>
    </row>
    <row r="703" spans="1:5" s="2" customFormat="1" ht="24" customHeight="1">
      <c r="A703" s="280">
        <f t="shared" si="10"/>
        <v>694</v>
      </c>
      <c r="B703" s="281"/>
      <c r="C703" s="285"/>
      <c r="D703" s="283"/>
      <c r="E703" s="303"/>
    </row>
    <row r="704" spans="1:5" s="2" customFormat="1" ht="24" customHeight="1">
      <c r="A704" s="280">
        <f t="shared" si="10"/>
        <v>695</v>
      </c>
      <c r="B704" s="281"/>
      <c r="C704" s="285"/>
      <c r="D704" s="283"/>
      <c r="E704" s="303"/>
    </row>
    <row r="705" spans="1:5" s="2" customFormat="1" ht="24" customHeight="1">
      <c r="A705" s="280">
        <f t="shared" si="10"/>
        <v>696</v>
      </c>
      <c r="B705" s="281"/>
      <c r="C705" s="285"/>
      <c r="D705" s="283"/>
      <c r="E705" s="303"/>
    </row>
    <row r="706" spans="1:5" s="2" customFormat="1" ht="24" customHeight="1">
      <c r="A706" s="280">
        <f t="shared" si="10"/>
        <v>697</v>
      </c>
      <c r="B706" s="281"/>
      <c r="C706" s="285"/>
      <c r="D706" s="283"/>
      <c r="E706" s="303"/>
    </row>
    <row r="707" spans="1:5" s="2" customFormat="1" ht="24" customHeight="1">
      <c r="A707" s="280">
        <f t="shared" si="10"/>
        <v>698</v>
      </c>
      <c r="B707" s="281"/>
      <c r="C707" s="285"/>
      <c r="D707" s="283"/>
      <c r="E707" s="303"/>
    </row>
    <row r="708" spans="1:5" s="2" customFormat="1" ht="24" customHeight="1">
      <c r="A708" s="280">
        <f t="shared" si="10"/>
        <v>699</v>
      </c>
      <c r="B708" s="281"/>
      <c r="C708" s="285"/>
      <c r="D708" s="283"/>
      <c r="E708" s="303"/>
    </row>
    <row r="709" spans="1:5" s="2" customFormat="1" ht="24" customHeight="1">
      <c r="A709" s="280">
        <f t="shared" si="10"/>
        <v>700</v>
      </c>
      <c r="B709" s="281"/>
      <c r="C709" s="285"/>
      <c r="D709" s="283"/>
      <c r="E709" s="303"/>
    </row>
    <row r="710" spans="1:5" s="2" customFormat="1" ht="24" customHeight="1">
      <c r="A710" s="280">
        <f t="shared" si="10"/>
        <v>701</v>
      </c>
      <c r="B710" s="281"/>
      <c r="C710" s="285"/>
      <c r="D710" s="283"/>
      <c r="E710" s="303"/>
    </row>
    <row r="711" spans="1:5" s="2" customFormat="1" ht="24" customHeight="1">
      <c r="A711" s="280">
        <f t="shared" si="10"/>
        <v>702</v>
      </c>
      <c r="B711" s="281"/>
      <c r="C711" s="285"/>
      <c r="D711" s="283"/>
      <c r="E711" s="303"/>
    </row>
    <row r="712" spans="1:5" s="2" customFormat="1" ht="24" customHeight="1">
      <c r="A712" s="280">
        <f t="shared" si="10"/>
        <v>703</v>
      </c>
      <c r="B712" s="281"/>
      <c r="C712" s="285"/>
      <c r="D712" s="283"/>
      <c r="E712" s="303"/>
    </row>
    <row r="713" spans="1:5" s="2" customFormat="1" ht="24" customHeight="1">
      <c r="A713" s="280">
        <f t="shared" si="10"/>
        <v>704</v>
      </c>
      <c r="B713" s="281"/>
      <c r="C713" s="285"/>
      <c r="D713" s="283"/>
      <c r="E713" s="303"/>
    </row>
    <row r="714" spans="1:5" s="2" customFormat="1" ht="24" customHeight="1">
      <c r="A714" s="280">
        <f t="shared" si="10"/>
        <v>705</v>
      </c>
      <c r="B714" s="281"/>
      <c r="C714" s="285"/>
      <c r="D714" s="283"/>
      <c r="E714" s="303"/>
    </row>
    <row r="715" spans="1:5" s="2" customFormat="1" ht="24" customHeight="1">
      <c r="A715" s="280">
        <f t="shared" si="10"/>
        <v>706</v>
      </c>
      <c r="B715" s="281"/>
      <c r="C715" s="285"/>
      <c r="D715" s="283"/>
      <c r="E715" s="303"/>
    </row>
    <row r="716" spans="1:5" s="2" customFormat="1" ht="24" customHeight="1">
      <c r="A716" s="280">
        <f t="shared" ref="A716:A779" si="11">A715+1</f>
        <v>707</v>
      </c>
      <c r="B716" s="281"/>
      <c r="C716" s="285"/>
      <c r="D716" s="283"/>
      <c r="E716" s="303"/>
    </row>
    <row r="717" spans="1:5" s="2" customFormat="1" ht="24" customHeight="1">
      <c r="A717" s="280">
        <f t="shared" si="11"/>
        <v>708</v>
      </c>
      <c r="B717" s="281"/>
      <c r="C717" s="285"/>
      <c r="D717" s="283"/>
      <c r="E717" s="303"/>
    </row>
    <row r="718" spans="1:5" s="2" customFormat="1" ht="24" customHeight="1">
      <c r="A718" s="280">
        <f t="shared" si="11"/>
        <v>709</v>
      </c>
      <c r="B718" s="281"/>
      <c r="C718" s="285"/>
      <c r="D718" s="283"/>
      <c r="E718" s="303"/>
    </row>
    <row r="719" spans="1:5" s="2" customFormat="1" ht="24" customHeight="1">
      <c r="A719" s="280">
        <f t="shared" si="11"/>
        <v>710</v>
      </c>
      <c r="B719" s="281"/>
      <c r="C719" s="285"/>
      <c r="D719" s="283"/>
      <c r="E719" s="303"/>
    </row>
    <row r="720" spans="1:5" s="2" customFormat="1" ht="24" customHeight="1">
      <c r="A720" s="280">
        <f t="shared" si="11"/>
        <v>711</v>
      </c>
      <c r="B720" s="281"/>
      <c r="C720" s="285"/>
      <c r="D720" s="283"/>
      <c r="E720" s="303"/>
    </row>
    <row r="721" spans="1:5" s="2" customFormat="1" ht="24" customHeight="1">
      <c r="A721" s="280">
        <f t="shared" si="11"/>
        <v>712</v>
      </c>
      <c r="B721" s="281"/>
      <c r="C721" s="285"/>
      <c r="D721" s="283"/>
      <c r="E721" s="303"/>
    </row>
    <row r="722" spans="1:5" s="2" customFormat="1" ht="24" customHeight="1">
      <c r="A722" s="280">
        <f t="shared" si="11"/>
        <v>713</v>
      </c>
      <c r="B722" s="281"/>
      <c r="C722" s="285"/>
      <c r="D722" s="283"/>
      <c r="E722" s="303"/>
    </row>
    <row r="723" spans="1:5" s="2" customFormat="1" ht="24" customHeight="1">
      <c r="A723" s="280">
        <f t="shared" si="11"/>
        <v>714</v>
      </c>
      <c r="B723" s="281"/>
      <c r="C723" s="285"/>
      <c r="D723" s="283"/>
      <c r="E723" s="303"/>
    </row>
    <row r="724" spans="1:5" s="2" customFormat="1" ht="24" customHeight="1">
      <c r="A724" s="280">
        <f t="shared" si="11"/>
        <v>715</v>
      </c>
      <c r="B724" s="281"/>
      <c r="C724" s="285"/>
      <c r="D724" s="283"/>
      <c r="E724" s="303"/>
    </row>
    <row r="725" spans="1:5" s="2" customFormat="1" ht="24" customHeight="1">
      <c r="A725" s="280">
        <f t="shared" si="11"/>
        <v>716</v>
      </c>
      <c r="B725" s="281"/>
      <c r="C725" s="285"/>
      <c r="D725" s="283"/>
      <c r="E725" s="303"/>
    </row>
    <row r="726" spans="1:5" s="2" customFormat="1" ht="24" customHeight="1">
      <c r="A726" s="280">
        <f t="shared" si="11"/>
        <v>717</v>
      </c>
      <c r="B726" s="281"/>
      <c r="C726" s="285"/>
      <c r="D726" s="283"/>
      <c r="E726" s="303"/>
    </row>
    <row r="727" spans="1:5" s="2" customFormat="1" ht="24" customHeight="1">
      <c r="A727" s="280">
        <f t="shared" si="11"/>
        <v>718</v>
      </c>
      <c r="B727" s="281"/>
      <c r="C727" s="285"/>
      <c r="D727" s="283"/>
      <c r="E727" s="303"/>
    </row>
    <row r="728" spans="1:5" s="2" customFormat="1" ht="24" customHeight="1">
      <c r="A728" s="280">
        <f t="shared" si="11"/>
        <v>719</v>
      </c>
      <c r="B728" s="281"/>
      <c r="C728" s="285"/>
      <c r="D728" s="283"/>
      <c r="E728" s="303"/>
    </row>
    <row r="729" spans="1:5" s="2" customFormat="1" ht="24" customHeight="1">
      <c r="A729" s="280">
        <f t="shared" si="11"/>
        <v>720</v>
      </c>
      <c r="B729" s="281"/>
      <c r="C729" s="285"/>
      <c r="D729" s="283"/>
      <c r="E729" s="303"/>
    </row>
    <row r="730" spans="1:5" s="2" customFormat="1" ht="24" customHeight="1">
      <c r="A730" s="280">
        <f t="shared" si="11"/>
        <v>721</v>
      </c>
      <c r="B730" s="281"/>
      <c r="C730" s="285"/>
      <c r="D730" s="283"/>
      <c r="E730" s="303"/>
    </row>
    <row r="731" spans="1:5" s="2" customFormat="1" ht="24" customHeight="1">
      <c r="A731" s="280">
        <f t="shared" si="11"/>
        <v>722</v>
      </c>
      <c r="B731" s="281"/>
      <c r="C731" s="285"/>
      <c r="D731" s="283"/>
      <c r="E731" s="303"/>
    </row>
    <row r="732" spans="1:5" s="2" customFormat="1" ht="24" customHeight="1">
      <c r="A732" s="280">
        <f t="shared" si="11"/>
        <v>723</v>
      </c>
      <c r="B732" s="281"/>
      <c r="C732" s="285"/>
      <c r="D732" s="283"/>
      <c r="E732" s="303"/>
    </row>
    <row r="733" spans="1:5" s="2" customFormat="1" ht="24" customHeight="1">
      <c r="A733" s="280">
        <f t="shared" si="11"/>
        <v>724</v>
      </c>
      <c r="B733" s="281"/>
      <c r="C733" s="285"/>
      <c r="D733" s="283"/>
      <c r="E733" s="303"/>
    </row>
    <row r="734" spans="1:5" s="2" customFormat="1" ht="24" customHeight="1">
      <c r="A734" s="280">
        <f t="shared" si="11"/>
        <v>725</v>
      </c>
      <c r="B734" s="281"/>
      <c r="C734" s="285"/>
      <c r="D734" s="283"/>
      <c r="E734" s="303"/>
    </row>
    <row r="735" spans="1:5" s="2" customFormat="1" ht="24" customHeight="1">
      <c r="A735" s="280">
        <f t="shared" si="11"/>
        <v>726</v>
      </c>
      <c r="B735" s="281"/>
      <c r="C735" s="285"/>
      <c r="D735" s="283"/>
      <c r="E735" s="303"/>
    </row>
    <row r="736" spans="1:5" s="2" customFormat="1" ht="24" customHeight="1">
      <c r="A736" s="280">
        <f t="shared" si="11"/>
        <v>727</v>
      </c>
      <c r="B736" s="281"/>
      <c r="C736" s="285"/>
      <c r="D736" s="283"/>
      <c r="E736" s="303"/>
    </row>
    <row r="737" spans="1:5" s="2" customFormat="1" ht="24" customHeight="1">
      <c r="A737" s="280">
        <f t="shared" si="11"/>
        <v>728</v>
      </c>
      <c r="B737" s="281"/>
      <c r="C737" s="285"/>
      <c r="D737" s="283"/>
      <c r="E737" s="303"/>
    </row>
    <row r="738" spans="1:5" s="2" customFormat="1" ht="24" customHeight="1">
      <c r="A738" s="280">
        <f t="shared" si="11"/>
        <v>729</v>
      </c>
      <c r="B738" s="281"/>
      <c r="C738" s="285"/>
      <c r="D738" s="283"/>
      <c r="E738" s="303"/>
    </row>
    <row r="739" spans="1:5" s="2" customFormat="1" ht="24" customHeight="1">
      <c r="A739" s="280">
        <f t="shared" si="11"/>
        <v>730</v>
      </c>
      <c r="B739" s="281"/>
      <c r="C739" s="285"/>
      <c r="D739" s="283"/>
      <c r="E739" s="303"/>
    </row>
    <row r="740" spans="1:5" s="2" customFormat="1" ht="24" customHeight="1">
      <c r="A740" s="280">
        <f t="shared" si="11"/>
        <v>731</v>
      </c>
      <c r="B740" s="281"/>
      <c r="C740" s="285"/>
      <c r="D740" s="283"/>
      <c r="E740" s="303"/>
    </row>
    <row r="741" spans="1:5" s="2" customFormat="1" ht="24" customHeight="1">
      <c r="A741" s="280">
        <f t="shared" si="11"/>
        <v>732</v>
      </c>
      <c r="B741" s="281"/>
      <c r="C741" s="285"/>
      <c r="D741" s="283"/>
      <c r="E741" s="303"/>
    </row>
    <row r="742" spans="1:5" s="2" customFormat="1" ht="24" customHeight="1">
      <c r="A742" s="280">
        <f t="shared" si="11"/>
        <v>733</v>
      </c>
      <c r="B742" s="281"/>
      <c r="C742" s="285"/>
      <c r="D742" s="283"/>
      <c r="E742" s="303"/>
    </row>
    <row r="743" spans="1:5" s="2" customFormat="1" ht="24" customHeight="1">
      <c r="A743" s="280">
        <f t="shared" si="11"/>
        <v>734</v>
      </c>
      <c r="B743" s="281"/>
      <c r="C743" s="285"/>
      <c r="D743" s="283"/>
      <c r="E743" s="303"/>
    </row>
    <row r="744" spans="1:5" s="2" customFormat="1" ht="24" customHeight="1">
      <c r="A744" s="280">
        <f t="shared" si="11"/>
        <v>735</v>
      </c>
      <c r="B744" s="281"/>
      <c r="C744" s="285"/>
      <c r="D744" s="283"/>
      <c r="E744" s="303"/>
    </row>
    <row r="745" spans="1:5" s="2" customFormat="1" ht="24" customHeight="1">
      <c r="A745" s="280">
        <f t="shared" si="11"/>
        <v>736</v>
      </c>
      <c r="B745" s="281"/>
      <c r="C745" s="285"/>
      <c r="D745" s="283"/>
      <c r="E745" s="303"/>
    </row>
    <row r="746" spans="1:5" s="2" customFormat="1" ht="24" customHeight="1">
      <c r="A746" s="280">
        <f t="shared" si="11"/>
        <v>737</v>
      </c>
      <c r="B746" s="281"/>
      <c r="C746" s="285"/>
      <c r="D746" s="283"/>
      <c r="E746" s="303"/>
    </row>
    <row r="747" spans="1:5" s="2" customFormat="1" ht="24" customHeight="1">
      <c r="A747" s="280">
        <f t="shared" si="11"/>
        <v>738</v>
      </c>
      <c r="B747" s="281"/>
      <c r="C747" s="285"/>
      <c r="D747" s="283"/>
      <c r="E747" s="303"/>
    </row>
    <row r="748" spans="1:5" s="2" customFormat="1" ht="24" customHeight="1">
      <c r="A748" s="280">
        <f t="shared" si="11"/>
        <v>739</v>
      </c>
      <c r="B748" s="281"/>
      <c r="C748" s="285"/>
      <c r="D748" s="283"/>
      <c r="E748" s="303"/>
    </row>
    <row r="749" spans="1:5" s="2" customFormat="1" ht="24" customHeight="1">
      <c r="A749" s="280">
        <f t="shared" si="11"/>
        <v>740</v>
      </c>
      <c r="B749" s="281"/>
      <c r="C749" s="285"/>
      <c r="D749" s="283"/>
      <c r="E749" s="303"/>
    </row>
    <row r="750" spans="1:5" s="2" customFormat="1" ht="24" customHeight="1">
      <c r="A750" s="280">
        <f t="shared" si="11"/>
        <v>741</v>
      </c>
      <c r="B750" s="281"/>
      <c r="C750" s="285"/>
      <c r="D750" s="283"/>
      <c r="E750" s="303"/>
    </row>
    <row r="751" spans="1:5" s="2" customFormat="1" ht="24" customHeight="1">
      <c r="A751" s="280">
        <f t="shared" si="11"/>
        <v>742</v>
      </c>
      <c r="B751" s="281"/>
      <c r="C751" s="285"/>
      <c r="D751" s="283"/>
      <c r="E751" s="303"/>
    </row>
    <row r="752" spans="1:5" s="2" customFormat="1" ht="24" customHeight="1">
      <c r="A752" s="280">
        <f t="shared" si="11"/>
        <v>743</v>
      </c>
      <c r="B752" s="281"/>
      <c r="C752" s="285"/>
      <c r="D752" s="283"/>
      <c r="E752" s="303"/>
    </row>
    <row r="753" spans="1:5" s="2" customFormat="1" ht="24" customHeight="1">
      <c r="A753" s="280">
        <f t="shared" si="11"/>
        <v>744</v>
      </c>
      <c r="B753" s="281"/>
      <c r="C753" s="285"/>
      <c r="D753" s="283"/>
      <c r="E753" s="303"/>
    </row>
    <row r="754" spans="1:5" s="2" customFormat="1" ht="24" customHeight="1">
      <c r="A754" s="280">
        <f t="shared" si="11"/>
        <v>745</v>
      </c>
      <c r="B754" s="281"/>
      <c r="C754" s="285"/>
      <c r="D754" s="283"/>
      <c r="E754" s="303"/>
    </row>
    <row r="755" spans="1:5" s="2" customFormat="1" ht="24" customHeight="1">
      <c r="A755" s="280">
        <f t="shared" si="11"/>
        <v>746</v>
      </c>
      <c r="B755" s="281"/>
      <c r="C755" s="285"/>
      <c r="D755" s="283"/>
      <c r="E755" s="303"/>
    </row>
    <row r="756" spans="1:5" s="2" customFormat="1" ht="24" customHeight="1">
      <c r="A756" s="280">
        <f t="shared" si="11"/>
        <v>747</v>
      </c>
      <c r="B756" s="281"/>
      <c r="C756" s="285"/>
      <c r="D756" s="283"/>
      <c r="E756" s="303"/>
    </row>
    <row r="757" spans="1:5" s="2" customFormat="1" ht="24" customHeight="1">
      <c r="A757" s="280">
        <f t="shared" si="11"/>
        <v>748</v>
      </c>
      <c r="B757" s="281"/>
      <c r="C757" s="285"/>
      <c r="D757" s="283"/>
      <c r="E757" s="303"/>
    </row>
    <row r="758" spans="1:5" s="2" customFormat="1" ht="24" customHeight="1">
      <c r="A758" s="280">
        <f t="shared" si="11"/>
        <v>749</v>
      </c>
      <c r="B758" s="281"/>
      <c r="C758" s="285"/>
      <c r="D758" s="283"/>
      <c r="E758" s="303"/>
    </row>
    <row r="759" spans="1:5" s="2" customFormat="1" ht="24" customHeight="1">
      <c r="A759" s="280">
        <f t="shared" si="11"/>
        <v>750</v>
      </c>
      <c r="B759" s="281"/>
      <c r="C759" s="285"/>
      <c r="D759" s="283"/>
      <c r="E759" s="303"/>
    </row>
    <row r="760" spans="1:5" s="2" customFormat="1" ht="24" customHeight="1">
      <c r="A760" s="280">
        <f t="shared" si="11"/>
        <v>751</v>
      </c>
      <c r="B760" s="281"/>
      <c r="C760" s="285"/>
      <c r="D760" s="283"/>
      <c r="E760" s="303"/>
    </row>
    <row r="761" spans="1:5" s="2" customFormat="1" ht="24" customHeight="1">
      <c r="A761" s="280">
        <f t="shared" si="11"/>
        <v>752</v>
      </c>
      <c r="B761" s="281"/>
      <c r="C761" s="285"/>
      <c r="D761" s="283"/>
      <c r="E761" s="303"/>
    </row>
    <row r="762" spans="1:5" s="2" customFormat="1" ht="24" customHeight="1">
      <c r="A762" s="280">
        <f t="shared" si="11"/>
        <v>753</v>
      </c>
      <c r="B762" s="281"/>
      <c r="C762" s="285"/>
      <c r="D762" s="283"/>
      <c r="E762" s="303"/>
    </row>
    <row r="763" spans="1:5" s="2" customFormat="1" ht="24" customHeight="1">
      <c r="A763" s="280">
        <f t="shared" si="11"/>
        <v>754</v>
      </c>
      <c r="B763" s="281"/>
      <c r="C763" s="285"/>
      <c r="D763" s="283"/>
      <c r="E763" s="303"/>
    </row>
    <row r="764" spans="1:5" s="2" customFormat="1" ht="24" customHeight="1">
      <c r="A764" s="280">
        <f t="shared" si="11"/>
        <v>755</v>
      </c>
      <c r="B764" s="281"/>
      <c r="C764" s="285"/>
      <c r="D764" s="283"/>
      <c r="E764" s="303"/>
    </row>
    <row r="765" spans="1:5" s="2" customFormat="1" ht="24" customHeight="1">
      <c r="A765" s="280">
        <f t="shared" si="11"/>
        <v>756</v>
      </c>
      <c r="B765" s="281"/>
      <c r="C765" s="285"/>
      <c r="D765" s="283"/>
      <c r="E765" s="303"/>
    </row>
    <row r="766" spans="1:5" s="2" customFormat="1" ht="24" customHeight="1">
      <c r="A766" s="280">
        <f t="shared" si="11"/>
        <v>757</v>
      </c>
      <c r="B766" s="281"/>
      <c r="C766" s="285"/>
      <c r="D766" s="283"/>
      <c r="E766" s="303"/>
    </row>
    <row r="767" spans="1:5" s="2" customFormat="1" ht="24" customHeight="1">
      <c r="A767" s="280">
        <f t="shared" si="11"/>
        <v>758</v>
      </c>
      <c r="B767" s="281"/>
      <c r="C767" s="285"/>
      <c r="D767" s="283"/>
      <c r="E767" s="303"/>
    </row>
    <row r="768" spans="1:5" s="2" customFormat="1" ht="24" customHeight="1">
      <c r="A768" s="280">
        <f t="shared" si="11"/>
        <v>759</v>
      </c>
      <c r="B768" s="281"/>
      <c r="C768" s="285"/>
      <c r="D768" s="283"/>
      <c r="E768" s="303"/>
    </row>
    <row r="769" spans="1:5" s="2" customFormat="1" ht="24" customHeight="1">
      <c r="A769" s="280">
        <f t="shared" si="11"/>
        <v>760</v>
      </c>
      <c r="B769" s="281"/>
      <c r="C769" s="285"/>
      <c r="D769" s="283"/>
      <c r="E769" s="303"/>
    </row>
    <row r="770" spans="1:5" s="2" customFormat="1" ht="24" customHeight="1">
      <c r="A770" s="280">
        <f t="shared" si="11"/>
        <v>761</v>
      </c>
      <c r="B770" s="281"/>
      <c r="C770" s="285"/>
      <c r="D770" s="283"/>
      <c r="E770" s="303"/>
    </row>
    <row r="771" spans="1:5" s="2" customFormat="1" ht="24" customHeight="1">
      <c r="A771" s="280">
        <f t="shared" si="11"/>
        <v>762</v>
      </c>
      <c r="B771" s="281"/>
      <c r="C771" s="285"/>
      <c r="D771" s="283"/>
      <c r="E771" s="303"/>
    </row>
    <row r="772" spans="1:5" s="2" customFormat="1" ht="24" customHeight="1">
      <c r="A772" s="280">
        <f t="shared" si="11"/>
        <v>763</v>
      </c>
      <c r="B772" s="281"/>
      <c r="C772" s="285"/>
      <c r="D772" s="283"/>
      <c r="E772" s="303"/>
    </row>
    <row r="773" spans="1:5" s="2" customFormat="1" ht="24" customHeight="1">
      <c r="A773" s="280">
        <f t="shared" si="11"/>
        <v>764</v>
      </c>
      <c r="B773" s="281"/>
      <c r="C773" s="285"/>
      <c r="D773" s="283"/>
      <c r="E773" s="303"/>
    </row>
    <row r="774" spans="1:5" s="2" customFormat="1" ht="24" customHeight="1">
      <c r="A774" s="280">
        <f t="shared" si="11"/>
        <v>765</v>
      </c>
      <c r="B774" s="281"/>
      <c r="C774" s="285"/>
      <c r="D774" s="283"/>
      <c r="E774" s="303"/>
    </row>
    <row r="775" spans="1:5" s="2" customFormat="1" ht="24" customHeight="1">
      <c r="A775" s="280">
        <f t="shared" si="11"/>
        <v>766</v>
      </c>
      <c r="B775" s="281"/>
      <c r="C775" s="285"/>
      <c r="D775" s="283"/>
      <c r="E775" s="303"/>
    </row>
    <row r="776" spans="1:5" s="2" customFormat="1" ht="24" customHeight="1">
      <c r="A776" s="280">
        <f t="shared" si="11"/>
        <v>767</v>
      </c>
      <c r="B776" s="281"/>
      <c r="C776" s="285"/>
      <c r="D776" s="283"/>
      <c r="E776" s="303"/>
    </row>
    <row r="777" spans="1:5" s="2" customFormat="1" ht="24" customHeight="1">
      <c r="A777" s="280">
        <f t="shared" si="11"/>
        <v>768</v>
      </c>
      <c r="B777" s="281"/>
      <c r="C777" s="285"/>
      <c r="D777" s="283"/>
      <c r="E777" s="303"/>
    </row>
    <row r="778" spans="1:5" s="2" customFormat="1" ht="24" customHeight="1">
      <c r="A778" s="280">
        <f t="shared" si="11"/>
        <v>769</v>
      </c>
      <c r="B778" s="281"/>
      <c r="C778" s="285"/>
      <c r="D778" s="283"/>
      <c r="E778" s="303"/>
    </row>
    <row r="779" spans="1:5" s="2" customFormat="1" ht="24" customHeight="1">
      <c r="A779" s="280">
        <f t="shared" si="11"/>
        <v>770</v>
      </c>
      <c r="B779" s="281"/>
      <c r="C779" s="285"/>
      <c r="D779" s="283"/>
      <c r="E779" s="303"/>
    </row>
    <row r="780" spans="1:5" s="2" customFormat="1" ht="24" customHeight="1">
      <c r="A780" s="280">
        <f t="shared" ref="A780:A843" si="12">A779+1</f>
        <v>771</v>
      </c>
      <c r="B780" s="281"/>
      <c r="C780" s="285"/>
      <c r="D780" s="283"/>
      <c r="E780" s="303"/>
    </row>
    <row r="781" spans="1:5" s="2" customFormat="1" ht="24" customHeight="1">
      <c r="A781" s="280">
        <f t="shared" si="12"/>
        <v>772</v>
      </c>
      <c r="B781" s="281"/>
      <c r="C781" s="285"/>
      <c r="D781" s="283"/>
      <c r="E781" s="303"/>
    </row>
    <row r="782" spans="1:5" s="2" customFormat="1" ht="24" customHeight="1">
      <c r="A782" s="280">
        <f t="shared" si="12"/>
        <v>773</v>
      </c>
      <c r="B782" s="281"/>
      <c r="C782" s="285"/>
      <c r="D782" s="283"/>
      <c r="E782" s="303"/>
    </row>
    <row r="783" spans="1:5" s="2" customFormat="1" ht="24" customHeight="1">
      <c r="A783" s="280">
        <f t="shared" si="12"/>
        <v>774</v>
      </c>
      <c r="B783" s="281"/>
      <c r="C783" s="285"/>
      <c r="D783" s="283"/>
      <c r="E783" s="303"/>
    </row>
    <row r="784" spans="1:5" s="2" customFormat="1" ht="24" customHeight="1">
      <c r="A784" s="280">
        <f t="shared" si="12"/>
        <v>775</v>
      </c>
      <c r="B784" s="281"/>
      <c r="C784" s="285"/>
      <c r="D784" s="283"/>
      <c r="E784" s="303"/>
    </row>
    <row r="785" spans="1:5" s="2" customFormat="1" ht="24" customHeight="1">
      <c r="A785" s="280">
        <f t="shared" si="12"/>
        <v>776</v>
      </c>
      <c r="B785" s="281"/>
      <c r="C785" s="285"/>
      <c r="D785" s="283"/>
      <c r="E785" s="303"/>
    </row>
    <row r="786" spans="1:5" s="2" customFormat="1" ht="24" customHeight="1">
      <c r="A786" s="280">
        <f t="shared" si="12"/>
        <v>777</v>
      </c>
      <c r="B786" s="281"/>
      <c r="C786" s="285"/>
      <c r="D786" s="283"/>
      <c r="E786" s="303"/>
    </row>
    <row r="787" spans="1:5" s="2" customFormat="1" ht="24" customHeight="1">
      <c r="A787" s="280">
        <f t="shared" si="12"/>
        <v>778</v>
      </c>
      <c r="B787" s="281"/>
      <c r="C787" s="285"/>
      <c r="D787" s="283"/>
      <c r="E787" s="303"/>
    </row>
    <row r="788" spans="1:5" s="2" customFormat="1" ht="24" customHeight="1">
      <c r="A788" s="280">
        <f t="shared" si="12"/>
        <v>779</v>
      </c>
      <c r="B788" s="281"/>
      <c r="C788" s="285"/>
      <c r="D788" s="283"/>
      <c r="E788" s="303"/>
    </row>
    <row r="789" spans="1:5" s="2" customFormat="1" ht="24" customHeight="1">
      <c r="A789" s="280">
        <f t="shared" si="12"/>
        <v>780</v>
      </c>
      <c r="B789" s="281"/>
      <c r="C789" s="285"/>
      <c r="D789" s="283"/>
      <c r="E789" s="303"/>
    </row>
    <row r="790" spans="1:5" s="2" customFormat="1" ht="24" customHeight="1">
      <c r="A790" s="280">
        <f t="shared" si="12"/>
        <v>781</v>
      </c>
      <c r="B790" s="281"/>
      <c r="C790" s="285"/>
      <c r="D790" s="283"/>
      <c r="E790" s="303"/>
    </row>
    <row r="791" spans="1:5" s="2" customFormat="1" ht="24" customHeight="1">
      <c r="A791" s="280">
        <f t="shared" si="12"/>
        <v>782</v>
      </c>
      <c r="B791" s="281"/>
      <c r="C791" s="285"/>
      <c r="D791" s="283"/>
      <c r="E791" s="303"/>
    </row>
    <row r="792" spans="1:5" s="2" customFormat="1" ht="24" customHeight="1">
      <c r="A792" s="280">
        <f t="shared" si="12"/>
        <v>783</v>
      </c>
      <c r="B792" s="281"/>
      <c r="C792" s="285"/>
      <c r="D792" s="283"/>
      <c r="E792" s="303"/>
    </row>
    <row r="793" spans="1:5" s="2" customFormat="1" ht="24" customHeight="1">
      <c r="A793" s="280">
        <f t="shared" si="12"/>
        <v>784</v>
      </c>
      <c r="B793" s="281"/>
      <c r="C793" s="285"/>
      <c r="D793" s="283"/>
      <c r="E793" s="303"/>
    </row>
    <row r="794" spans="1:5" s="2" customFormat="1" ht="24" customHeight="1">
      <c r="A794" s="280">
        <f t="shared" si="12"/>
        <v>785</v>
      </c>
      <c r="B794" s="281"/>
      <c r="C794" s="285"/>
      <c r="D794" s="283"/>
      <c r="E794" s="303"/>
    </row>
    <row r="795" spans="1:5" s="2" customFormat="1" ht="24" customHeight="1">
      <c r="A795" s="280">
        <f t="shared" si="12"/>
        <v>786</v>
      </c>
      <c r="B795" s="281"/>
      <c r="C795" s="285"/>
      <c r="D795" s="283"/>
      <c r="E795" s="303"/>
    </row>
    <row r="796" spans="1:5" s="2" customFormat="1" ht="24" customHeight="1">
      <c r="A796" s="280">
        <f t="shared" si="12"/>
        <v>787</v>
      </c>
      <c r="B796" s="281"/>
      <c r="C796" s="285"/>
      <c r="D796" s="283"/>
      <c r="E796" s="303"/>
    </row>
    <row r="797" spans="1:5" s="2" customFormat="1" ht="24" customHeight="1">
      <c r="A797" s="280">
        <f t="shared" si="12"/>
        <v>788</v>
      </c>
      <c r="B797" s="281"/>
      <c r="C797" s="285"/>
      <c r="D797" s="283"/>
      <c r="E797" s="303"/>
    </row>
    <row r="798" spans="1:5" s="2" customFormat="1" ht="24" customHeight="1">
      <c r="A798" s="280">
        <f t="shared" si="12"/>
        <v>789</v>
      </c>
      <c r="B798" s="281"/>
      <c r="C798" s="285"/>
      <c r="D798" s="283"/>
      <c r="E798" s="303"/>
    </row>
    <row r="799" spans="1:5" s="2" customFormat="1" ht="24" customHeight="1">
      <c r="A799" s="280">
        <f t="shared" si="12"/>
        <v>790</v>
      </c>
      <c r="B799" s="281"/>
      <c r="C799" s="285"/>
      <c r="D799" s="283"/>
      <c r="E799" s="303"/>
    </row>
    <row r="800" spans="1:5" s="2" customFormat="1" ht="24" customHeight="1">
      <c r="A800" s="280">
        <f t="shared" si="12"/>
        <v>791</v>
      </c>
      <c r="B800" s="281"/>
      <c r="C800" s="285"/>
      <c r="D800" s="283"/>
      <c r="E800" s="303"/>
    </row>
    <row r="801" spans="1:5" s="2" customFormat="1" ht="24" customHeight="1">
      <c r="A801" s="280">
        <f t="shared" si="12"/>
        <v>792</v>
      </c>
      <c r="B801" s="281"/>
      <c r="C801" s="285"/>
      <c r="D801" s="283"/>
      <c r="E801" s="303"/>
    </row>
    <row r="802" spans="1:5" s="2" customFormat="1" ht="24" customHeight="1">
      <c r="A802" s="280">
        <f t="shared" si="12"/>
        <v>793</v>
      </c>
      <c r="B802" s="281"/>
      <c r="C802" s="285"/>
      <c r="D802" s="283"/>
      <c r="E802" s="303"/>
    </row>
    <row r="803" spans="1:5" s="2" customFormat="1" ht="24" customHeight="1">
      <c r="A803" s="280">
        <f t="shared" si="12"/>
        <v>794</v>
      </c>
      <c r="B803" s="281"/>
      <c r="C803" s="285"/>
      <c r="D803" s="283"/>
      <c r="E803" s="303"/>
    </row>
    <row r="804" spans="1:5" s="2" customFormat="1" ht="24" customHeight="1">
      <c r="A804" s="280">
        <f t="shared" si="12"/>
        <v>795</v>
      </c>
      <c r="B804" s="281"/>
      <c r="C804" s="285"/>
      <c r="D804" s="283"/>
      <c r="E804" s="303"/>
    </row>
    <row r="805" spans="1:5" s="2" customFormat="1" ht="24" customHeight="1">
      <c r="A805" s="280">
        <f t="shared" si="12"/>
        <v>796</v>
      </c>
      <c r="B805" s="281"/>
      <c r="C805" s="285"/>
      <c r="D805" s="283"/>
      <c r="E805" s="303"/>
    </row>
    <row r="806" spans="1:5" s="2" customFormat="1" ht="24" customHeight="1">
      <c r="A806" s="280">
        <f t="shared" si="12"/>
        <v>797</v>
      </c>
      <c r="B806" s="281"/>
      <c r="C806" s="285"/>
      <c r="D806" s="283"/>
      <c r="E806" s="303"/>
    </row>
    <row r="807" spans="1:5" s="2" customFormat="1" ht="24" customHeight="1">
      <c r="A807" s="280">
        <f t="shared" si="12"/>
        <v>798</v>
      </c>
      <c r="B807" s="281"/>
      <c r="C807" s="285"/>
      <c r="D807" s="283"/>
      <c r="E807" s="303"/>
    </row>
    <row r="808" spans="1:5" s="2" customFormat="1" ht="24" customHeight="1">
      <c r="A808" s="280">
        <f t="shared" si="12"/>
        <v>799</v>
      </c>
      <c r="B808" s="281"/>
      <c r="C808" s="285"/>
      <c r="D808" s="283"/>
      <c r="E808" s="303"/>
    </row>
    <row r="809" spans="1:5" s="2" customFormat="1" ht="24" customHeight="1">
      <c r="A809" s="280">
        <f t="shared" si="12"/>
        <v>800</v>
      </c>
      <c r="B809" s="281"/>
      <c r="C809" s="285"/>
      <c r="D809" s="283"/>
      <c r="E809" s="303"/>
    </row>
    <row r="810" spans="1:5" s="2" customFormat="1" ht="24" customHeight="1">
      <c r="A810" s="280">
        <f t="shared" si="12"/>
        <v>801</v>
      </c>
      <c r="B810" s="281"/>
      <c r="C810" s="285"/>
      <c r="D810" s="283"/>
      <c r="E810" s="303"/>
    </row>
    <row r="811" spans="1:5" s="2" customFormat="1" ht="24" customHeight="1">
      <c r="A811" s="280">
        <f t="shared" si="12"/>
        <v>802</v>
      </c>
      <c r="B811" s="281"/>
      <c r="C811" s="285"/>
      <c r="D811" s="283"/>
      <c r="E811" s="303"/>
    </row>
    <row r="812" spans="1:5" s="2" customFormat="1" ht="24" customHeight="1">
      <c r="A812" s="280">
        <f t="shared" si="12"/>
        <v>803</v>
      </c>
      <c r="B812" s="281"/>
      <c r="C812" s="285"/>
      <c r="D812" s="283"/>
      <c r="E812" s="303"/>
    </row>
    <row r="813" spans="1:5" s="2" customFormat="1" ht="24" customHeight="1">
      <c r="A813" s="280">
        <f t="shared" si="12"/>
        <v>804</v>
      </c>
      <c r="B813" s="281"/>
      <c r="C813" s="285"/>
      <c r="D813" s="283"/>
      <c r="E813" s="303"/>
    </row>
    <row r="814" spans="1:5" s="2" customFormat="1" ht="24" customHeight="1">
      <c r="A814" s="280">
        <f t="shared" si="12"/>
        <v>805</v>
      </c>
      <c r="B814" s="281"/>
      <c r="C814" s="285"/>
      <c r="D814" s="283"/>
      <c r="E814" s="303"/>
    </row>
    <row r="815" spans="1:5" s="2" customFormat="1" ht="24" customHeight="1">
      <c r="A815" s="280">
        <f t="shared" si="12"/>
        <v>806</v>
      </c>
      <c r="B815" s="281"/>
      <c r="C815" s="285"/>
      <c r="D815" s="283"/>
      <c r="E815" s="303"/>
    </row>
    <row r="816" spans="1:5" s="2" customFormat="1" ht="24" customHeight="1">
      <c r="A816" s="280">
        <f t="shared" si="12"/>
        <v>807</v>
      </c>
      <c r="B816" s="281"/>
      <c r="C816" s="285"/>
      <c r="D816" s="283"/>
      <c r="E816" s="303"/>
    </row>
    <row r="817" spans="1:5" s="2" customFormat="1" ht="24" customHeight="1">
      <c r="A817" s="280">
        <f t="shared" si="12"/>
        <v>808</v>
      </c>
      <c r="B817" s="281"/>
      <c r="C817" s="285"/>
      <c r="D817" s="283"/>
      <c r="E817" s="303"/>
    </row>
    <row r="818" spans="1:5" s="2" customFormat="1" ht="24" customHeight="1">
      <c r="A818" s="280">
        <f t="shared" si="12"/>
        <v>809</v>
      </c>
      <c r="B818" s="281"/>
      <c r="C818" s="285"/>
      <c r="D818" s="283"/>
      <c r="E818" s="303"/>
    </row>
    <row r="819" spans="1:5" s="2" customFormat="1" ht="24" customHeight="1">
      <c r="A819" s="280">
        <f t="shared" si="12"/>
        <v>810</v>
      </c>
      <c r="B819" s="281"/>
      <c r="C819" s="285"/>
      <c r="D819" s="283"/>
      <c r="E819" s="303"/>
    </row>
    <row r="820" spans="1:5" s="2" customFormat="1" ht="24" customHeight="1">
      <c r="A820" s="280">
        <f t="shared" si="12"/>
        <v>811</v>
      </c>
      <c r="B820" s="281"/>
      <c r="C820" s="285"/>
      <c r="D820" s="283"/>
      <c r="E820" s="303"/>
    </row>
    <row r="821" spans="1:5" s="2" customFormat="1" ht="24" customHeight="1">
      <c r="A821" s="280">
        <f t="shared" si="12"/>
        <v>812</v>
      </c>
      <c r="B821" s="281"/>
      <c r="C821" s="285"/>
      <c r="D821" s="283"/>
      <c r="E821" s="303"/>
    </row>
    <row r="822" spans="1:5" s="2" customFormat="1" ht="24" customHeight="1">
      <c r="A822" s="280">
        <f t="shared" si="12"/>
        <v>813</v>
      </c>
      <c r="B822" s="281"/>
      <c r="C822" s="285"/>
      <c r="D822" s="283"/>
      <c r="E822" s="303"/>
    </row>
    <row r="823" spans="1:5" s="2" customFormat="1" ht="24" customHeight="1">
      <c r="A823" s="280">
        <f t="shared" si="12"/>
        <v>814</v>
      </c>
      <c r="B823" s="281"/>
      <c r="C823" s="285"/>
      <c r="D823" s="283"/>
      <c r="E823" s="303"/>
    </row>
    <row r="824" spans="1:5" s="2" customFormat="1" ht="24" customHeight="1">
      <c r="A824" s="280">
        <f t="shared" si="12"/>
        <v>815</v>
      </c>
      <c r="B824" s="281"/>
      <c r="C824" s="285"/>
      <c r="D824" s="283"/>
      <c r="E824" s="303"/>
    </row>
    <row r="825" spans="1:5" s="2" customFormat="1" ht="24" customHeight="1">
      <c r="A825" s="280">
        <f t="shared" si="12"/>
        <v>816</v>
      </c>
      <c r="B825" s="281"/>
      <c r="C825" s="285"/>
      <c r="D825" s="283"/>
      <c r="E825" s="303"/>
    </row>
    <row r="826" spans="1:5" s="2" customFormat="1" ht="24" customHeight="1">
      <c r="A826" s="280">
        <f t="shared" si="12"/>
        <v>817</v>
      </c>
      <c r="B826" s="281"/>
      <c r="C826" s="285"/>
      <c r="D826" s="283"/>
      <c r="E826" s="303"/>
    </row>
    <row r="827" spans="1:5" s="2" customFormat="1" ht="24" customHeight="1">
      <c r="A827" s="280">
        <f t="shared" si="12"/>
        <v>818</v>
      </c>
      <c r="B827" s="281"/>
      <c r="C827" s="285"/>
      <c r="D827" s="283"/>
      <c r="E827" s="303"/>
    </row>
    <row r="828" spans="1:5" s="2" customFormat="1" ht="24" customHeight="1">
      <c r="A828" s="280">
        <f t="shared" si="12"/>
        <v>819</v>
      </c>
      <c r="B828" s="281"/>
      <c r="C828" s="285"/>
      <c r="D828" s="283"/>
      <c r="E828" s="303"/>
    </row>
    <row r="829" spans="1:5" s="2" customFormat="1" ht="24" customHeight="1">
      <c r="A829" s="280">
        <f t="shared" si="12"/>
        <v>820</v>
      </c>
      <c r="B829" s="281"/>
      <c r="C829" s="285"/>
      <c r="D829" s="283"/>
      <c r="E829" s="303"/>
    </row>
    <row r="830" spans="1:5" s="2" customFormat="1" ht="24" customHeight="1">
      <c r="A830" s="280">
        <f t="shared" si="12"/>
        <v>821</v>
      </c>
      <c r="B830" s="281"/>
      <c r="C830" s="285"/>
      <c r="D830" s="283"/>
      <c r="E830" s="303"/>
    </row>
    <row r="831" spans="1:5" s="2" customFormat="1" ht="24" customHeight="1">
      <c r="A831" s="280">
        <f t="shared" si="12"/>
        <v>822</v>
      </c>
      <c r="B831" s="281"/>
      <c r="C831" s="285"/>
      <c r="D831" s="283"/>
      <c r="E831" s="303"/>
    </row>
    <row r="832" spans="1:5" s="2" customFormat="1" ht="24" customHeight="1">
      <c r="A832" s="280">
        <f t="shared" si="12"/>
        <v>823</v>
      </c>
      <c r="B832" s="281"/>
      <c r="C832" s="285"/>
      <c r="D832" s="283"/>
      <c r="E832" s="303"/>
    </row>
    <row r="833" spans="1:5" s="2" customFormat="1" ht="24" customHeight="1">
      <c r="A833" s="280">
        <f t="shared" si="12"/>
        <v>824</v>
      </c>
      <c r="B833" s="281"/>
      <c r="C833" s="285"/>
      <c r="D833" s="283"/>
      <c r="E833" s="303"/>
    </row>
    <row r="834" spans="1:5" s="2" customFormat="1" ht="24" customHeight="1">
      <c r="A834" s="280">
        <f t="shared" si="12"/>
        <v>825</v>
      </c>
      <c r="B834" s="281"/>
      <c r="C834" s="285"/>
      <c r="D834" s="283"/>
      <c r="E834" s="303"/>
    </row>
    <row r="835" spans="1:5" s="2" customFormat="1" ht="24" customHeight="1">
      <c r="A835" s="280">
        <f t="shared" si="12"/>
        <v>826</v>
      </c>
      <c r="B835" s="281"/>
      <c r="C835" s="285"/>
      <c r="D835" s="283"/>
      <c r="E835" s="303"/>
    </row>
    <row r="836" spans="1:5" s="2" customFormat="1" ht="24" customHeight="1">
      <c r="A836" s="280">
        <f t="shared" si="12"/>
        <v>827</v>
      </c>
      <c r="B836" s="281"/>
      <c r="C836" s="285"/>
      <c r="D836" s="283"/>
      <c r="E836" s="303"/>
    </row>
    <row r="837" spans="1:5" s="2" customFormat="1" ht="24" customHeight="1">
      <c r="A837" s="280">
        <f t="shared" si="12"/>
        <v>828</v>
      </c>
      <c r="B837" s="281"/>
      <c r="C837" s="285"/>
      <c r="D837" s="283"/>
      <c r="E837" s="303"/>
    </row>
    <row r="838" spans="1:5" s="2" customFormat="1" ht="24" customHeight="1">
      <c r="A838" s="280">
        <f t="shared" si="12"/>
        <v>829</v>
      </c>
      <c r="B838" s="281"/>
      <c r="C838" s="285"/>
      <c r="D838" s="283"/>
      <c r="E838" s="303"/>
    </row>
    <row r="839" spans="1:5" s="2" customFormat="1" ht="24" customHeight="1">
      <c r="A839" s="280">
        <f t="shared" si="12"/>
        <v>830</v>
      </c>
      <c r="B839" s="281"/>
      <c r="C839" s="285"/>
      <c r="D839" s="283"/>
      <c r="E839" s="303"/>
    </row>
    <row r="840" spans="1:5" s="2" customFormat="1" ht="24" customHeight="1">
      <c r="A840" s="280">
        <f t="shared" si="12"/>
        <v>831</v>
      </c>
      <c r="B840" s="281"/>
      <c r="C840" s="285"/>
      <c r="D840" s="283"/>
      <c r="E840" s="303"/>
    </row>
    <row r="841" spans="1:5" s="2" customFormat="1" ht="24" customHeight="1">
      <c r="A841" s="280">
        <f t="shared" si="12"/>
        <v>832</v>
      </c>
      <c r="B841" s="281"/>
      <c r="C841" s="285"/>
      <c r="D841" s="283"/>
      <c r="E841" s="303"/>
    </row>
    <row r="842" spans="1:5" s="2" customFormat="1" ht="24" customHeight="1">
      <c r="A842" s="280">
        <f t="shared" si="12"/>
        <v>833</v>
      </c>
      <c r="B842" s="281"/>
      <c r="C842" s="285"/>
      <c r="D842" s="283"/>
      <c r="E842" s="303"/>
    </row>
    <row r="843" spans="1:5" s="2" customFormat="1" ht="24" customHeight="1">
      <c r="A843" s="280">
        <f t="shared" si="12"/>
        <v>834</v>
      </c>
      <c r="B843" s="281"/>
      <c r="C843" s="285"/>
      <c r="D843" s="283"/>
      <c r="E843" s="303"/>
    </row>
    <row r="844" spans="1:5" s="2" customFormat="1" ht="24" customHeight="1">
      <c r="A844" s="280">
        <f t="shared" ref="A844:A907" si="13">A843+1</f>
        <v>835</v>
      </c>
      <c r="B844" s="281"/>
      <c r="C844" s="285"/>
      <c r="D844" s="283"/>
      <c r="E844" s="303"/>
    </row>
    <row r="845" spans="1:5" s="2" customFormat="1" ht="24" customHeight="1">
      <c r="A845" s="280">
        <f t="shared" si="13"/>
        <v>836</v>
      </c>
      <c r="B845" s="281"/>
      <c r="C845" s="285"/>
      <c r="D845" s="283"/>
      <c r="E845" s="303"/>
    </row>
    <row r="846" spans="1:5" s="2" customFormat="1" ht="24" customHeight="1">
      <c r="A846" s="280">
        <f t="shared" si="13"/>
        <v>837</v>
      </c>
      <c r="B846" s="281"/>
      <c r="C846" s="285"/>
      <c r="D846" s="283"/>
      <c r="E846" s="303"/>
    </row>
    <row r="847" spans="1:5" s="2" customFormat="1" ht="24" customHeight="1">
      <c r="A847" s="280">
        <f t="shared" si="13"/>
        <v>838</v>
      </c>
      <c r="B847" s="281"/>
      <c r="C847" s="285"/>
      <c r="D847" s="283"/>
      <c r="E847" s="303"/>
    </row>
    <row r="848" spans="1:5" s="2" customFormat="1" ht="24" customHeight="1">
      <c r="A848" s="280">
        <f t="shared" si="13"/>
        <v>839</v>
      </c>
      <c r="B848" s="281"/>
      <c r="C848" s="285"/>
      <c r="D848" s="283"/>
      <c r="E848" s="303"/>
    </row>
    <row r="849" spans="1:5" s="2" customFormat="1" ht="24" customHeight="1">
      <c r="A849" s="280">
        <f t="shared" si="13"/>
        <v>840</v>
      </c>
      <c r="B849" s="281"/>
      <c r="C849" s="285"/>
      <c r="D849" s="283"/>
      <c r="E849" s="303"/>
    </row>
    <row r="850" spans="1:5" s="2" customFormat="1" ht="24" customHeight="1">
      <c r="A850" s="280">
        <f t="shared" si="13"/>
        <v>841</v>
      </c>
      <c r="B850" s="281"/>
      <c r="C850" s="285"/>
      <c r="D850" s="283"/>
      <c r="E850" s="303"/>
    </row>
    <row r="851" spans="1:5" s="2" customFormat="1" ht="24" customHeight="1">
      <c r="A851" s="280">
        <f t="shared" si="13"/>
        <v>842</v>
      </c>
      <c r="B851" s="281"/>
      <c r="C851" s="285"/>
      <c r="D851" s="283"/>
      <c r="E851" s="303"/>
    </row>
    <row r="852" spans="1:5" s="2" customFormat="1" ht="24" customHeight="1">
      <c r="A852" s="280">
        <f t="shared" si="13"/>
        <v>843</v>
      </c>
      <c r="B852" s="281"/>
      <c r="C852" s="285"/>
      <c r="D852" s="283"/>
      <c r="E852" s="303"/>
    </row>
    <row r="853" spans="1:5" s="2" customFormat="1" ht="24" customHeight="1">
      <c r="A853" s="280">
        <f t="shared" si="13"/>
        <v>844</v>
      </c>
      <c r="B853" s="281"/>
      <c r="C853" s="285"/>
      <c r="D853" s="283"/>
      <c r="E853" s="303"/>
    </row>
    <row r="854" spans="1:5" s="2" customFormat="1" ht="24" customHeight="1">
      <c r="A854" s="280">
        <f t="shared" si="13"/>
        <v>845</v>
      </c>
      <c r="B854" s="281"/>
      <c r="C854" s="285"/>
      <c r="D854" s="283"/>
      <c r="E854" s="303"/>
    </row>
    <row r="855" spans="1:5" s="2" customFormat="1" ht="24" customHeight="1">
      <c r="A855" s="280">
        <f t="shared" si="13"/>
        <v>846</v>
      </c>
      <c r="B855" s="281"/>
      <c r="C855" s="285"/>
      <c r="D855" s="283"/>
      <c r="E855" s="303"/>
    </row>
    <row r="856" spans="1:5" s="2" customFormat="1" ht="24" customHeight="1">
      <c r="A856" s="280">
        <f t="shared" si="13"/>
        <v>847</v>
      </c>
      <c r="B856" s="281"/>
      <c r="C856" s="285"/>
      <c r="D856" s="283"/>
      <c r="E856" s="303"/>
    </row>
    <row r="857" spans="1:5" s="2" customFormat="1" ht="24" customHeight="1">
      <c r="A857" s="280">
        <f t="shared" si="13"/>
        <v>848</v>
      </c>
      <c r="B857" s="281"/>
      <c r="C857" s="285"/>
      <c r="D857" s="283"/>
      <c r="E857" s="303"/>
    </row>
    <row r="858" spans="1:5" s="2" customFormat="1" ht="24" customHeight="1">
      <c r="A858" s="280">
        <f t="shared" si="13"/>
        <v>849</v>
      </c>
      <c r="B858" s="281"/>
      <c r="C858" s="285"/>
      <c r="D858" s="283"/>
      <c r="E858" s="303"/>
    </row>
    <row r="859" spans="1:5" s="2" customFormat="1" ht="24" customHeight="1">
      <c r="A859" s="280">
        <f t="shared" si="13"/>
        <v>850</v>
      </c>
      <c r="B859" s="281"/>
      <c r="C859" s="285"/>
      <c r="D859" s="283"/>
      <c r="E859" s="303"/>
    </row>
    <row r="860" spans="1:5" s="2" customFormat="1" ht="24" customHeight="1">
      <c r="A860" s="280">
        <f t="shared" si="13"/>
        <v>851</v>
      </c>
      <c r="B860" s="281"/>
      <c r="C860" s="285"/>
      <c r="D860" s="283"/>
      <c r="E860" s="303"/>
    </row>
    <row r="861" spans="1:5" s="2" customFormat="1" ht="24" customHeight="1">
      <c r="A861" s="280">
        <f t="shared" si="13"/>
        <v>852</v>
      </c>
      <c r="B861" s="281"/>
      <c r="C861" s="285"/>
      <c r="D861" s="283"/>
      <c r="E861" s="303"/>
    </row>
    <row r="862" spans="1:5" s="2" customFormat="1" ht="24" customHeight="1">
      <c r="A862" s="280">
        <f t="shared" si="13"/>
        <v>853</v>
      </c>
      <c r="B862" s="281"/>
      <c r="C862" s="285"/>
      <c r="D862" s="283"/>
      <c r="E862" s="303"/>
    </row>
    <row r="863" spans="1:5" s="2" customFormat="1" ht="24" customHeight="1">
      <c r="A863" s="280">
        <f t="shared" si="13"/>
        <v>854</v>
      </c>
      <c r="B863" s="281"/>
      <c r="C863" s="285"/>
      <c r="D863" s="283"/>
      <c r="E863" s="303"/>
    </row>
    <row r="864" spans="1:5" s="2" customFormat="1" ht="24" customHeight="1">
      <c r="A864" s="280">
        <f t="shared" si="13"/>
        <v>855</v>
      </c>
      <c r="B864" s="281"/>
      <c r="C864" s="285"/>
      <c r="D864" s="283"/>
      <c r="E864" s="303"/>
    </row>
    <row r="865" spans="1:5" s="2" customFormat="1" ht="24" customHeight="1">
      <c r="A865" s="280">
        <f t="shared" si="13"/>
        <v>856</v>
      </c>
      <c r="B865" s="281"/>
      <c r="C865" s="285"/>
      <c r="D865" s="283"/>
      <c r="E865" s="303"/>
    </row>
    <row r="866" spans="1:5" s="2" customFormat="1" ht="24" customHeight="1">
      <c r="A866" s="280">
        <f t="shared" si="13"/>
        <v>857</v>
      </c>
      <c r="B866" s="281"/>
      <c r="C866" s="285"/>
      <c r="D866" s="283"/>
      <c r="E866" s="303"/>
    </row>
    <row r="867" spans="1:5" s="2" customFormat="1" ht="24" customHeight="1">
      <c r="A867" s="280">
        <f t="shared" si="13"/>
        <v>858</v>
      </c>
      <c r="B867" s="281"/>
      <c r="C867" s="285"/>
      <c r="D867" s="283"/>
      <c r="E867" s="303"/>
    </row>
    <row r="868" spans="1:5" s="2" customFormat="1" ht="24" customHeight="1">
      <c r="A868" s="280">
        <f t="shared" si="13"/>
        <v>859</v>
      </c>
      <c r="B868" s="281"/>
      <c r="C868" s="285"/>
      <c r="D868" s="283"/>
      <c r="E868" s="303"/>
    </row>
    <row r="869" spans="1:5" s="2" customFormat="1" ht="24" customHeight="1">
      <c r="A869" s="280">
        <f t="shared" si="13"/>
        <v>860</v>
      </c>
      <c r="B869" s="281"/>
      <c r="C869" s="285"/>
      <c r="D869" s="283"/>
      <c r="E869" s="303"/>
    </row>
    <row r="870" spans="1:5" s="2" customFormat="1" ht="24" customHeight="1">
      <c r="A870" s="280">
        <f t="shared" si="13"/>
        <v>861</v>
      </c>
      <c r="B870" s="281"/>
      <c r="C870" s="285"/>
      <c r="D870" s="283"/>
      <c r="E870" s="303"/>
    </row>
    <row r="871" spans="1:5" s="2" customFormat="1" ht="24" customHeight="1">
      <c r="A871" s="280">
        <f t="shared" si="13"/>
        <v>862</v>
      </c>
      <c r="B871" s="281"/>
      <c r="C871" s="285"/>
      <c r="D871" s="283"/>
      <c r="E871" s="303"/>
    </row>
    <row r="872" spans="1:5" s="2" customFormat="1" ht="24" customHeight="1">
      <c r="A872" s="280">
        <f t="shared" si="13"/>
        <v>863</v>
      </c>
      <c r="B872" s="281"/>
      <c r="C872" s="285"/>
      <c r="D872" s="283"/>
      <c r="E872" s="303"/>
    </row>
    <row r="873" spans="1:5" s="2" customFormat="1" ht="24" customHeight="1">
      <c r="A873" s="280">
        <f t="shared" si="13"/>
        <v>864</v>
      </c>
      <c r="B873" s="281"/>
      <c r="C873" s="285"/>
      <c r="D873" s="283"/>
      <c r="E873" s="303"/>
    </row>
    <row r="874" spans="1:5" s="2" customFormat="1" ht="24" customHeight="1">
      <c r="A874" s="280">
        <f t="shared" si="13"/>
        <v>865</v>
      </c>
      <c r="B874" s="281"/>
      <c r="C874" s="285"/>
      <c r="D874" s="283"/>
      <c r="E874" s="303"/>
    </row>
    <row r="875" spans="1:5" s="2" customFormat="1" ht="24" customHeight="1">
      <c r="A875" s="280">
        <f t="shared" si="13"/>
        <v>866</v>
      </c>
      <c r="B875" s="281"/>
      <c r="C875" s="285"/>
      <c r="D875" s="283"/>
      <c r="E875" s="303"/>
    </row>
    <row r="876" spans="1:5" s="2" customFormat="1" ht="24" customHeight="1">
      <c r="A876" s="280">
        <f t="shared" si="13"/>
        <v>867</v>
      </c>
      <c r="B876" s="281"/>
      <c r="C876" s="285"/>
      <c r="D876" s="283"/>
      <c r="E876" s="303"/>
    </row>
    <row r="877" spans="1:5" s="2" customFormat="1" ht="24" customHeight="1">
      <c r="A877" s="280">
        <f t="shared" si="13"/>
        <v>868</v>
      </c>
      <c r="B877" s="281"/>
      <c r="C877" s="285"/>
      <c r="D877" s="283"/>
      <c r="E877" s="303"/>
    </row>
    <row r="878" spans="1:5" s="2" customFormat="1" ht="24" customHeight="1">
      <c r="A878" s="280">
        <f t="shared" si="13"/>
        <v>869</v>
      </c>
      <c r="B878" s="281"/>
      <c r="C878" s="285"/>
      <c r="D878" s="283"/>
      <c r="E878" s="303"/>
    </row>
    <row r="879" spans="1:5" s="2" customFormat="1" ht="24" customHeight="1">
      <c r="A879" s="280">
        <f t="shared" si="13"/>
        <v>870</v>
      </c>
      <c r="B879" s="281"/>
      <c r="C879" s="285"/>
      <c r="D879" s="283"/>
      <c r="E879" s="303"/>
    </row>
    <row r="880" spans="1:5" s="2" customFormat="1" ht="24" customHeight="1">
      <c r="A880" s="280">
        <f t="shared" si="13"/>
        <v>871</v>
      </c>
      <c r="B880" s="281"/>
      <c r="C880" s="285"/>
      <c r="D880" s="283"/>
      <c r="E880" s="303"/>
    </row>
    <row r="881" spans="1:5" s="2" customFormat="1" ht="24" customHeight="1">
      <c r="A881" s="280">
        <f t="shared" si="13"/>
        <v>872</v>
      </c>
      <c r="B881" s="281"/>
      <c r="C881" s="285"/>
      <c r="D881" s="283"/>
      <c r="E881" s="303"/>
    </row>
    <row r="882" spans="1:5" s="2" customFormat="1" ht="24" customHeight="1">
      <c r="A882" s="280">
        <f t="shared" si="13"/>
        <v>873</v>
      </c>
      <c r="B882" s="281"/>
      <c r="C882" s="285"/>
      <c r="D882" s="283"/>
      <c r="E882" s="303"/>
    </row>
    <row r="883" spans="1:5" s="2" customFormat="1" ht="24" customHeight="1">
      <c r="A883" s="280">
        <f t="shared" si="13"/>
        <v>874</v>
      </c>
      <c r="B883" s="281"/>
      <c r="C883" s="285"/>
      <c r="D883" s="283"/>
      <c r="E883" s="303"/>
    </row>
    <row r="884" spans="1:5" s="2" customFormat="1" ht="24" customHeight="1">
      <c r="A884" s="280">
        <f t="shared" si="13"/>
        <v>875</v>
      </c>
      <c r="B884" s="281"/>
      <c r="C884" s="285"/>
      <c r="D884" s="283"/>
      <c r="E884" s="303"/>
    </row>
    <row r="885" spans="1:5" s="2" customFormat="1" ht="24" customHeight="1">
      <c r="A885" s="280">
        <f t="shared" si="13"/>
        <v>876</v>
      </c>
      <c r="B885" s="281"/>
      <c r="C885" s="285"/>
      <c r="D885" s="283"/>
      <c r="E885" s="303"/>
    </row>
    <row r="886" spans="1:5" s="2" customFormat="1" ht="24" customHeight="1">
      <c r="A886" s="280">
        <f t="shared" si="13"/>
        <v>877</v>
      </c>
      <c r="B886" s="281"/>
      <c r="C886" s="285"/>
      <c r="D886" s="283"/>
      <c r="E886" s="303"/>
    </row>
    <row r="887" spans="1:5" s="2" customFormat="1" ht="24" customHeight="1">
      <c r="A887" s="280">
        <f t="shared" si="13"/>
        <v>878</v>
      </c>
      <c r="B887" s="281"/>
      <c r="C887" s="285"/>
      <c r="D887" s="283"/>
      <c r="E887" s="303"/>
    </row>
    <row r="888" spans="1:5" s="2" customFormat="1" ht="24" customHeight="1">
      <c r="A888" s="280">
        <f t="shared" si="13"/>
        <v>879</v>
      </c>
      <c r="B888" s="281"/>
      <c r="C888" s="285"/>
      <c r="D888" s="283"/>
      <c r="E888" s="303"/>
    </row>
    <row r="889" spans="1:5" s="2" customFormat="1" ht="24" customHeight="1">
      <c r="A889" s="280">
        <f t="shared" si="13"/>
        <v>880</v>
      </c>
      <c r="B889" s="281"/>
      <c r="C889" s="285"/>
      <c r="D889" s="283"/>
      <c r="E889" s="303"/>
    </row>
    <row r="890" spans="1:5" s="2" customFormat="1" ht="24" customHeight="1">
      <c r="A890" s="280">
        <f t="shared" si="13"/>
        <v>881</v>
      </c>
      <c r="B890" s="281"/>
      <c r="C890" s="285"/>
      <c r="D890" s="283"/>
      <c r="E890" s="303"/>
    </row>
    <row r="891" spans="1:5" s="2" customFormat="1" ht="24" customHeight="1">
      <c r="A891" s="280">
        <f t="shared" si="13"/>
        <v>882</v>
      </c>
      <c r="B891" s="281"/>
      <c r="C891" s="285"/>
      <c r="D891" s="283"/>
      <c r="E891" s="303"/>
    </row>
    <row r="892" spans="1:5" s="2" customFormat="1" ht="24" customHeight="1">
      <c r="A892" s="280">
        <f t="shared" si="13"/>
        <v>883</v>
      </c>
      <c r="B892" s="281"/>
      <c r="C892" s="285"/>
      <c r="D892" s="283"/>
      <c r="E892" s="303"/>
    </row>
    <row r="893" spans="1:5" s="2" customFormat="1" ht="24" customHeight="1">
      <c r="A893" s="280">
        <f t="shared" si="13"/>
        <v>884</v>
      </c>
      <c r="B893" s="281"/>
      <c r="C893" s="285"/>
      <c r="D893" s="283"/>
      <c r="E893" s="303"/>
    </row>
    <row r="894" spans="1:5" s="2" customFormat="1" ht="24" customHeight="1">
      <c r="A894" s="280">
        <f t="shared" si="13"/>
        <v>885</v>
      </c>
      <c r="B894" s="281"/>
      <c r="C894" s="285"/>
      <c r="D894" s="283"/>
      <c r="E894" s="303"/>
    </row>
    <row r="895" spans="1:5" s="2" customFormat="1" ht="24" customHeight="1">
      <c r="A895" s="280">
        <f t="shared" si="13"/>
        <v>886</v>
      </c>
      <c r="B895" s="281"/>
      <c r="C895" s="285"/>
      <c r="D895" s="283"/>
      <c r="E895" s="303"/>
    </row>
    <row r="896" spans="1:5" s="2" customFormat="1" ht="24" customHeight="1">
      <c r="A896" s="280">
        <f t="shared" si="13"/>
        <v>887</v>
      </c>
      <c r="B896" s="281"/>
      <c r="C896" s="285"/>
      <c r="D896" s="283"/>
      <c r="E896" s="303"/>
    </row>
    <row r="897" spans="1:5" s="2" customFormat="1" ht="24" customHeight="1">
      <c r="A897" s="280">
        <f t="shared" si="13"/>
        <v>888</v>
      </c>
      <c r="B897" s="281"/>
      <c r="C897" s="285"/>
      <c r="D897" s="283"/>
      <c r="E897" s="303"/>
    </row>
    <row r="898" spans="1:5" s="2" customFormat="1" ht="24" customHeight="1">
      <c r="A898" s="280">
        <f t="shared" si="13"/>
        <v>889</v>
      </c>
      <c r="B898" s="281"/>
      <c r="C898" s="285"/>
      <c r="D898" s="283"/>
      <c r="E898" s="303"/>
    </row>
    <row r="899" spans="1:5" s="2" customFormat="1" ht="24" customHeight="1">
      <c r="A899" s="280">
        <f t="shared" si="13"/>
        <v>890</v>
      </c>
      <c r="B899" s="281"/>
      <c r="C899" s="285"/>
      <c r="D899" s="283"/>
      <c r="E899" s="303"/>
    </row>
    <row r="900" spans="1:5" s="2" customFormat="1" ht="24" customHeight="1">
      <c r="A900" s="280">
        <f t="shared" si="13"/>
        <v>891</v>
      </c>
      <c r="B900" s="281"/>
      <c r="C900" s="285"/>
      <c r="D900" s="283"/>
      <c r="E900" s="303"/>
    </row>
    <row r="901" spans="1:5" s="2" customFormat="1" ht="24" customHeight="1">
      <c r="A901" s="280">
        <f t="shared" si="13"/>
        <v>892</v>
      </c>
      <c r="B901" s="281"/>
      <c r="C901" s="285"/>
      <c r="D901" s="283"/>
      <c r="E901" s="303"/>
    </row>
    <row r="902" spans="1:5" s="2" customFormat="1" ht="24" customHeight="1">
      <c r="A902" s="280">
        <f t="shared" si="13"/>
        <v>893</v>
      </c>
      <c r="B902" s="281"/>
      <c r="C902" s="285"/>
      <c r="D902" s="283"/>
      <c r="E902" s="303"/>
    </row>
    <row r="903" spans="1:5" s="2" customFormat="1" ht="24" customHeight="1">
      <c r="A903" s="280">
        <f t="shared" si="13"/>
        <v>894</v>
      </c>
      <c r="B903" s="281"/>
      <c r="C903" s="285"/>
      <c r="D903" s="283"/>
      <c r="E903" s="303"/>
    </row>
    <row r="904" spans="1:5" s="2" customFormat="1" ht="24" customHeight="1">
      <c r="A904" s="280">
        <f t="shared" si="13"/>
        <v>895</v>
      </c>
      <c r="B904" s="281"/>
      <c r="C904" s="285"/>
      <c r="D904" s="283"/>
      <c r="E904" s="303"/>
    </row>
    <row r="905" spans="1:5" s="2" customFormat="1" ht="24" customHeight="1">
      <c r="A905" s="280">
        <f t="shared" si="13"/>
        <v>896</v>
      </c>
      <c r="B905" s="281"/>
      <c r="C905" s="285"/>
      <c r="D905" s="283"/>
      <c r="E905" s="303"/>
    </row>
    <row r="906" spans="1:5" s="2" customFormat="1" ht="24" customHeight="1">
      <c r="A906" s="280">
        <f t="shared" si="13"/>
        <v>897</v>
      </c>
      <c r="B906" s="281"/>
      <c r="C906" s="285"/>
      <c r="D906" s="283"/>
      <c r="E906" s="303"/>
    </row>
    <row r="907" spans="1:5" s="2" customFormat="1" ht="24" customHeight="1">
      <c r="A907" s="280">
        <f t="shared" si="13"/>
        <v>898</v>
      </c>
      <c r="B907" s="281"/>
      <c r="C907" s="285"/>
      <c r="D907" s="283"/>
      <c r="E907" s="303"/>
    </row>
    <row r="908" spans="1:5" s="2" customFormat="1" ht="24" customHeight="1">
      <c r="A908" s="280">
        <f t="shared" ref="A908:A971" si="14">A907+1</f>
        <v>899</v>
      </c>
      <c r="B908" s="281"/>
      <c r="C908" s="285"/>
      <c r="D908" s="283"/>
      <c r="E908" s="303"/>
    </row>
    <row r="909" spans="1:5" s="2" customFormat="1" ht="24" customHeight="1">
      <c r="A909" s="280">
        <f t="shared" si="14"/>
        <v>900</v>
      </c>
      <c r="B909" s="281"/>
      <c r="C909" s="285"/>
      <c r="D909" s="283"/>
      <c r="E909" s="303"/>
    </row>
    <row r="910" spans="1:5" s="2" customFormat="1" ht="24" customHeight="1">
      <c r="A910" s="280">
        <f t="shared" si="14"/>
        <v>901</v>
      </c>
      <c r="B910" s="281"/>
      <c r="C910" s="285"/>
      <c r="D910" s="283"/>
      <c r="E910" s="303"/>
    </row>
    <row r="911" spans="1:5" s="2" customFormat="1" ht="24" customHeight="1">
      <c r="A911" s="280">
        <f t="shared" si="14"/>
        <v>902</v>
      </c>
      <c r="B911" s="281"/>
      <c r="C911" s="285"/>
      <c r="D911" s="283"/>
      <c r="E911" s="303"/>
    </row>
    <row r="912" spans="1:5" s="2" customFormat="1" ht="24" customHeight="1">
      <c r="A912" s="280">
        <f t="shared" si="14"/>
        <v>903</v>
      </c>
      <c r="B912" s="281"/>
      <c r="C912" s="285"/>
      <c r="D912" s="283"/>
      <c r="E912" s="303"/>
    </row>
    <row r="913" spans="1:5" s="2" customFormat="1" ht="24" customHeight="1">
      <c r="A913" s="280">
        <f t="shared" si="14"/>
        <v>904</v>
      </c>
      <c r="B913" s="281"/>
      <c r="C913" s="285"/>
      <c r="D913" s="283"/>
      <c r="E913" s="303"/>
    </row>
    <row r="914" spans="1:5" s="2" customFormat="1" ht="24" customHeight="1">
      <c r="A914" s="280">
        <f t="shared" si="14"/>
        <v>905</v>
      </c>
      <c r="B914" s="281"/>
      <c r="C914" s="285"/>
      <c r="D914" s="283"/>
      <c r="E914" s="303"/>
    </row>
    <row r="915" spans="1:5" s="2" customFormat="1" ht="24" customHeight="1">
      <c r="A915" s="280">
        <f t="shared" si="14"/>
        <v>906</v>
      </c>
      <c r="B915" s="281"/>
      <c r="C915" s="285"/>
      <c r="D915" s="283"/>
      <c r="E915" s="303"/>
    </row>
    <row r="916" spans="1:5" s="2" customFormat="1" ht="24" customHeight="1">
      <c r="A916" s="280">
        <f t="shared" si="14"/>
        <v>907</v>
      </c>
      <c r="B916" s="281"/>
      <c r="C916" s="285"/>
      <c r="D916" s="283"/>
      <c r="E916" s="303"/>
    </row>
    <row r="917" spans="1:5" s="2" customFormat="1" ht="24" customHeight="1">
      <c r="A917" s="280">
        <f t="shared" si="14"/>
        <v>908</v>
      </c>
      <c r="B917" s="281"/>
      <c r="C917" s="285"/>
      <c r="D917" s="283"/>
      <c r="E917" s="303"/>
    </row>
    <row r="918" spans="1:5" s="2" customFormat="1" ht="24" customHeight="1">
      <c r="A918" s="280">
        <f t="shared" si="14"/>
        <v>909</v>
      </c>
      <c r="B918" s="281"/>
      <c r="C918" s="285"/>
      <c r="D918" s="283"/>
      <c r="E918" s="303"/>
    </row>
    <row r="919" spans="1:5" s="2" customFormat="1" ht="24" customHeight="1">
      <c r="A919" s="280">
        <f t="shared" si="14"/>
        <v>910</v>
      </c>
      <c r="B919" s="281"/>
      <c r="C919" s="285"/>
      <c r="D919" s="283"/>
      <c r="E919" s="303"/>
    </row>
    <row r="920" spans="1:5" s="2" customFormat="1" ht="24" customHeight="1">
      <c r="A920" s="280">
        <f t="shared" si="14"/>
        <v>911</v>
      </c>
      <c r="B920" s="281"/>
      <c r="C920" s="285"/>
      <c r="D920" s="283"/>
      <c r="E920" s="303"/>
    </row>
    <row r="921" spans="1:5" s="2" customFormat="1" ht="24" customHeight="1">
      <c r="A921" s="280">
        <f t="shared" si="14"/>
        <v>912</v>
      </c>
      <c r="B921" s="281"/>
      <c r="C921" s="285"/>
      <c r="D921" s="283"/>
      <c r="E921" s="303"/>
    </row>
    <row r="922" spans="1:5" s="2" customFormat="1" ht="24" customHeight="1">
      <c r="A922" s="280">
        <f t="shared" si="14"/>
        <v>913</v>
      </c>
      <c r="B922" s="281"/>
      <c r="C922" s="285"/>
      <c r="D922" s="283"/>
      <c r="E922" s="303"/>
    </row>
    <row r="923" spans="1:5" s="2" customFormat="1" ht="24" customHeight="1">
      <c r="A923" s="280">
        <f t="shared" si="14"/>
        <v>914</v>
      </c>
      <c r="B923" s="281"/>
      <c r="C923" s="285"/>
      <c r="D923" s="283"/>
      <c r="E923" s="303"/>
    </row>
    <row r="924" spans="1:5" s="2" customFormat="1" ht="24" customHeight="1">
      <c r="A924" s="280">
        <f t="shared" si="14"/>
        <v>915</v>
      </c>
      <c r="B924" s="281"/>
      <c r="C924" s="285"/>
      <c r="D924" s="283"/>
      <c r="E924" s="303"/>
    </row>
    <row r="925" spans="1:5" s="2" customFormat="1" ht="24" customHeight="1">
      <c r="A925" s="280">
        <f t="shared" si="14"/>
        <v>916</v>
      </c>
      <c r="B925" s="281"/>
      <c r="C925" s="285"/>
      <c r="D925" s="283"/>
      <c r="E925" s="303"/>
    </row>
    <row r="926" spans="1:5" s="2" customFormat="1" ht="24" customHeight="1">
      <c r="A926" s="280">
        <f t="shared" si="14"/>
        <v>917</v>
      </c>
      <c r="B926" s="281"/>
      <c r="C926" s="285"/>
      <c r="D926" s="283"/>
      <c r="E926" s="303"/>
    </row>
    <row r="927" spans="1:5" s="2" customFormat="1" ht="24" customHeight="1">
      <c r="A927" s="280">
        <f t="shared" si="14"/>
        <v>918</v>
      </c>
      <c r="B927" s="281"/>
      <c r="C927" s="285"/>
      <c r="D927" s="283"/>
      <c r="E927" s="303"/>
    </row>
    <row r="928" spans="1:5" s="2" customFormat="1" ht="24" customHeight="1">
      <c r="A928" s="280">
        <f t="shared" si="14"/>
        <v>919</v>
      </c>
      <c r="B928" s="281"/>
      <c r="C928" s="285"/>
      <c r="D928" s="283"/>
      <c r="E928" s="303"/>
    </row>
    <row r="929" spans="1:5" s="2" customFormat="1" ht="24" customHeight="1">
      <c r="A929" s="280">
        <f t="shared" si="14"/>
        <v>920</v>
      </c>
      <c r="B929" s="281"/>
      <c r="C929" s="285"/>
      <c r="D929" s="283"/>
      <c r="E929" s="303"/>
    </row>
    <row r="930" spans="1:5" s="2" customFormat="1" ht="24" customHeight="1">
      <c r="A930" s="280">
        <f t="shared" si="14"/>
        <v>921</v>
      </c>
      <c r="B930" s="281"/>
      <c r="C930" s="285"/>
      <c r="D930" s="283"/>
      <c r="E930" s="303"/>
    </row>
    <row r="931" spans="1:5" s="2" customFormat="1" ht="24" customHeight="1">
      <c r="A931" s="280">
        <f t="shared" si="14"/>
        <v>922</v>
      </c>
      <c r="B931" s="281"/>
      <c r="C931" s="285"/>
      <c r="D931" s="283"/>
      <c r="E931" s="303"/>
    </row>
    <row r="932" spans="1:5" s="2" customFormat="1" ht="24" customHeight="1">
      <c r="A932" s="280">
        <f t="shared" si="14"/>
        <v>923</v>
      </c>
      <c r="B932" s="281"/>
      <c r="C932" s="285"/>
      <c r="D932" s="283"/>
      <c r="E932" s="303"/>
    </row>
    <row r="933" spans="1:5" s="2" customFormat="1" ht="24" customHeight="1">
      <c r="A933" s="280">
        <f t="shared" si="14"/>
        <v>924</v>
      </c>
      <c r="B933" s="281"/>
      <c r="C933" s="285"/>
      <c r="D933" s="283"/>
      <c r="E933" s="303"/>
    </row>
    <row r="934" spans="1:5" s="2" customFormat="1" ht="24" customHeight="1">
      <c r="A934" s="280">
        <f t="shared" si="14"/>
        <v>925</v>
      </c>
      <c r="B934" s="281"/>
      <c r="C934" s="285"/>
      <c r="D934" s="283"/>
      <c r="E934" s="303"/>
    </row>
    <row r="935" spans="1:5" s="2" customFormat="1" ht="24" customHeight="1">
      <c r="A935" s="280">
        <f t="shared" si="14"/>
        <v>926</v>
      </c>
      <c r="B935" s="281"/>
      <c r="C935" s="285"/>
      <c r="D935" s="283"/>
      <c r="E935" s="303"/>
    </row>
    <row r="936" spans="1:5" s="2" customFormat="1" ht="24" customHeight="1">
      <c r="A936" s="280">
        <f t="shared" si="14"/>
        <v>927</v>
      </c>
      <c r="B936" s="281"/>
      <c r="C936" s="285"/>
      <c r="D936" s="283"/>
      <c r="E936" s="303"/>
    </row>
    <row r="937" spans="1:5" s="2" customFormat="1" ht="24" customHeight="1">
      <c r="A937" s="280">
        <f t="shared" si="14"/>
        <v>928</v>
      </c>
      <c r="B937" s="281"/>
      <c r="C937" s="285"/>
      <c r="D937" s="283"/>
      <c r="E937" s="303"/>
    </row>
    <row r="938" spans="1:5" s="2" customFormat="1" ht="24" customHeight="1">
      <c r="A938" s="280">
        <f t="shared" si="14"/>
        <v>929</v>
      </c>
      <c r="B938" s="281"/>
      <c r="C938" s="285"/>
      <c r="D938" s="283"/>
      <c r="E938" s="303"/>
    </row>
    <row r="939" spans="1:5" s="2" customFormat="1" ht="24" customHeight="1">
      <c r="A939" s="280">
        <f t="shared" si="14"/>
        <v>930</v>
      </c>
      <c r="B939" s="281"/>
      <c r="C939" s="285"/>
      <c r="D939" s="283"/>
      <c r="E939" s="303"/>
    </row>
    <row r="940" spans="1:5" s="2" customFormat="1" ht="24" customHeight="1">
      <c r="A940" s="280">
        <f t="shared" si="14"/>
        <v>931</v>
      </c>
      <c r="B940" s="281"/>
      <c r="C940" s="285"/>
      <c r="D940" s="283"/>
      <c r="E940" s="303"/>
    </row>
    <row r="941" spans="1:5" s="2" customFormat="1" ht="24" customHeight="1">
      <c r="A941" s="280">
        <f t="shared" si="14"/>
        <v>932</v>
      </c>
      <c r="B941" s="281"/>
      <c r="C941" s="285"/>
      <c r="D941" s="283"/>
      <c r="E941" s="303"/>
    </row>
    <row r="942" spans="1:5" s="2" customFormat="1" ht="24" customHeight="1">
      <c r="A942" s="280">
        <f t="shared" si="14"/>
        <v>933</v>
      </c>
      <c r="B942" s="281"/>
      <c r="C942" s="285"/>
      <c r="D942" s="283"/>
      <c r="E942" s="303"/>
    </row>
    <row r="943" spans="1:5" s="2" customFormat="1" ht="24" customHeight="1">
      <c r="A943" s="280">
        <f t="shared" si="14"/>
        <v>934</v>
      </c>
      <c r="B943" s="281"/>
      <c r="C943" s="285"/>
      <c r="D943" s="283"/>
      <c r="E943" s="303"/>
    </row>
    <row r="944" spans="1:5" s="2" customFormat="1" ht="24" customHeight="1">
      <c r="A944" s="280">
        <f t="shared" si="14"/>
        <v>935</v>
      </c>
      <c r="B944" s="281"/>
      <c r="C944" s="285"/>
      <c r="D944" s="283"/>
      <c r="E944" s="303"/>
    </row>
    <row r="945" spans="1:5" s="2" customFormat="1" ht="24" customHeight="1">
      <c r="A945" s="280">
        <f t="shared" si="14"/>
        <v>936</v>
      </c>
      <c r="B945" s="281"/>
      <c r="C945" s="285"/>
      <c r="D945" s="283"/>
      <c r="E945" s="303"/>
    </row>
    <row r="946" spans="1:5" s="2" customFormat="1" ht="24" customHeight="1">
      <c r="A946" s="280">
        <f t="shared" si="14"/>
        <v>937</v>
      </c>
      <c r="B946" s="281"/>
      <c r="C946" s="285"/>
      <c r="D946" s="283"/>
      <c r="E946" s="303"/>
    </row>
    <row r="947" spans="1:5" s="2" customFormat="1" ht="24" customHeight="1">
      <c r="A947" s="280">
        <f t="shared" si="14"/>
        <v>938</v>
      </c>
      <c r="B947" s="281"/>
      <c r="C947" s="285"/>
      <c r="D947" s="283"/>
      <c r="E947" s="303"/>
    </row>
    <row r="948" spans="1:5" s="2" customFormat="1" ht="24" customHeight="1">
      <c r="A948" s="280">
        <f t="shared" si="14"/>
        <v>939</v>
      </c>
      <c r="B948" s="281"/>
      <c r="C948" s="285"/>
      <c r="D948" s="283"/>
      <c r="E948" s="303"/>
    </row>
    <row r="949" spans="1:5" s="2" customFormat="1" ht="24" customHeight="1">
      <c r="A949" s="280">
        <f t="shared" si="14"/>
        <v>940</v>
      </c>
      <c r="B949" s="281"/>
      <c r="C949" s="285"/>
      <c r="D949" s="283"/>
      <c r="E949" s="303"/>
    </row>
    <row r="950" spans="1:5" s="2" customFormat="1" ht="24" customHeight="1">
      <c r="A950" s="280">
        <f t="shared" si="14"/>
        <v>941</v>
      </c>
      <c r="B950" s="281"/>
      <c r="C950" s="285"/>
      <c r="D950" s="283"/>
      <c r="E950" s="303"/>
    </row>
    <row r="951" spans="1:5" s="2" customFormat="1" ht="24" customHeight="1">
      <c r="A951" s="280">
        <f t="shared" si="14"/>
        <v>942</v>
      </c>
      <c r="B951" s="281"/>
      <c r="C951" s="285"/>
      <c r="D951" s="283"/>
      <c r="E951" s="303"/>
    </row>
    <row r="952" spans="1:5" s="2" customFormat="1" ht="24" customHeight="1">
      <c r="A952" s="280">
        <f t="shared" si="14"/>
        <v>943</v>
      </c>
      <c r="B952" s="281"/>
      <c r="C952" s="285"/>
      <c r="D952" s="283"/>
      <c r="E952" s="303"/>
    </row>
    <row r="953" spans="1:5" s="2" customFormat="1" ht="24" customHeight="1">
      <c r="A953" s="280">
        <f t="shared" si="14"/>
        <v>944</v>
      </c>
      <c r="B953" s="281"/>
      <c r="C953" s="285"/>
      <c r="D953" s="283"/>
      <c r="E953" s="303"/>
    </row>
    <row r="954" spans="1:5" s="2" customFormat="1" ht="24" customHeight="1">
      <c r="A954" s="280">
        <f t="shared" si="14"/>
        <v>945</v>
      </c>
      <c r="B954" s="281"/>
      <c r="C954" s="285"/>
      <c r="D954" s="283"/>
      <c r="E954" s="303"/>
    </row>
    <row r="955" spans="1:5" s="2" customFormat="1" ht="24" customHeight="1">
      <c r="A955" s="280">
        <f t="shared" si="14"/>
        <v>946</v>
      </c>
      <c r="B955" s="281"/>
      <c r="C955" s="285"/>
      <c r="D955" s="283"/>
      <c r="E955" s="303"/>
    </row>
    <row r="956" spans="1:5" s="2" customFormat="1" ht="24" customHeight="1">
      <c r="A956" s="280">
        <f t="shared" si="14"/>
        <v>947</v>
      </c>
      <c r="B956" s="281"/>
      <c r="C956" s="285"/>
      <c r="D956" s="283"/>
      <c r="E956" s="303"/>
    </row>
    <row r="957" spans="1:5" s="2" customFormat="1" ht="24" customHeight="1">
      <c r="A957" s="280">
        <f t="shared" si="14"/>
        <v>948</v>
      </c>
      <c r="B957" s="281"/>
      <c r="C957" s="285"/>
      <c r="D957" s="283"/>
      <c r="E957" s="303"/>
    </row>
    <row r="958" spans="1:5" s="2" customFormat="1" ht="24" customHeight="1">
      <c r="A958" s="280">
        <f t="shared" si="14"/>
        <v>949</v>
      </c>
      <c r="B958" s="281"/>
      <c r="C958" s="285"/>
      <c r="D958" s="283"/>
      <c r="E958" s="303"/>
    </row>
    <row r="959" spans="1:5" s="2" customFormat="1" ht="24" customHeight="1">
      <c r="A959" s="280">
        <f t="shared" si="14"/>
        <v>950</v>
      </c>
      <c r="B959" s="281"/>
      <c r="C959" s="285"/>
      <c r="D959" s="283"/>
      <c r="E959" s="303"/>
    </row>
    <row r="960" spans="1:5" s="2" customFormat="1" ht="24" customHeight="1">
      <c r="A960" s="280">
        <f t="shared" si="14"/>
        <v>951</v>
      </c>
      <c r="B960" s="281"/>
      <c r="C960" s="285"/>
      <c r="D960" s="283"/>
      <c r="E960" s="303"/>
    </row>
    <row r="961" spans="1:5" s="2" customFormat="1" ht="24" customHeight="1">
      <c r="A961" s="280">
        <f t="shared" si="14"/>
        <v>952</v>
      </c>
      <c r="B961" s="281"/>
      <c r="C961" s="285"/>
      <c r="D961" s="283"/>
      <c r="E961" s="303"/>
    </row>
    <row r="962" spans="1:5" s="2" customFormat="1" ht="24" customHeight="1">
      <c r="A962" s="280">
        <f t="shared" si="14"/>
        <v>953</v>
      </c>
      <c r="B962" s="281"/>
      <c r="C962" s="285"/>
      <c r="D962" s="283"/>
      <c r="E962" s="303"/>
    </row>
    <row r="963" spans="1:5" s="2" customFormat="1" ht="24" customHeight="1">
      <c r="A963" s="280">
        <f t="shared" si="14"/>
        <v>954</v>
      </c>
      <c r="B963" s="281"/>
      <c r="C963" s="285"/>
      <c r="D963" s="283"/>
      <c r="E963" s="303"/>
    </row>
    <row r="964" spans="1:5" s="2" customFormat="1" ht="24" customHeight="1">
      <c r="A964" s="280">
        <f t="shared" si="14"/>
        <v>955</v>
      </c>
      <c r="B964" s="281"/>
      <c r="C964" s="285"/>
      <c r="D964" s="283"/>
      <c r="E964" s="303"/>
    </row>
    <row r="965" spans="1:5" s="2" customFormat="1" ht="24" customHeight="1">
      <c r="A965" s="280">
        <f t="shared" si="14"/>
        <v>956</v>
      </c>
      <c r="B965" s="281"/>
      <c r="C965" s="285"/>
      <c r="D965" s="283"/>
      <c r="E965" s="303"/>
    </row>
    <row r="966" spans="1:5" s="2" customFormat="1" ht="24" customHeight="1">
      <c r="A966" s="280">
        <f t="shared" si="14"/>
        <v>957</v>
      </c>
      <c r="B966" s="281"/>
      <c r="C966" s="285"/>
      <c r="D966" s="283"/>
      <c r="E966" s="303"/>
    </row>
    <row r="967" spans="1:5" s="2" customFormat="1" ht="24" customHeight="1">
      <c r="A967" s="280">
        <f t="shared" si="14"/>
        <v>958</v>
      </c>
      <c r="B967" s="281"/>
      <c r="C967" s="285"/>
      <c r="D967" s="283"/>
      <c r="E967" s="303"/>
    </row>
    <row r="968" spans="1:5" s="2" customFormat="1" ht="24" customHeight="1">
      <c r="A968" s="280">
        <f t="shared" si="14"/>
        <v>959</v>
      </c>
      <c r="B968" s="281"/>
      <c r="C968" s="285"/>
      <c r="D968" s="283"/>
      <c r="E968" s="303"/>
    </row>
    <row r="969" spans="1:5" s="2" customFormat="1" ht="24" customHeight="1">
      <c r="A969" s="280">
        <f t="shared" si="14"/>
        <v>960</v>
      </c>
      <c r="B969" s="281"/>
      <c r="C969" s="285"/>
      <c r="D969" s="283"/>
      <c r="E969" s="303"/>
    </row>
    <row r="970" spans="1:5" s="2" customFormat="1" ht="24" customHeight="1">
      <c r="A970" s="280">
        <f t="shared" si="14"/>
        <v>961</v>
      </c>
      <c r="B970" s="281"/>
      <c r="C970" s="285"/>
      <c r="D970" s="283"/>
      <c r="E970" s="303"/>
    </row>
    <row r="971" spans="1:5" s="2" customFormat="1" ht="24" customHeight="1">
      <c r="A971" s="280">
        <f t="shared" si="14"/>
        <v>962</v>
      </c>
      <c r="B971" s="281"/>
      <c r="C971" s="285"/>
      <c r="D971" s="283"/>
      <c r="E971" s="303"/>
    </row>
    <row r="972" spans="1:5" s="2" customFormat="1" ht="24" customHeight="1">
      <c r="A972" s="280">
        <f t="shared" ref="A972:A1035" si="15">A971+1</f>
        <v>963</v>
      </c>
      <c r="B972" s="281"/>
      <c r="C972" s="285"/>
      <c r="D972" s="283"/>
      <c r="E972" s="303"/>
    </row>
    <row r="973" spans="1:5" s="2" customFormat="1" ht="24" customHeight="1">
      <c r="A973" s="280">
        <f t="shared" si="15"/>
        <v>964</v>
      </c>
      <c r="B973" s="281"/>
      <c r="C973" s="285"/>
      <c r="D973" s="283"/>
      <c r="E973" s="303"/>
    </row>
    <row r="974" spans="1:5" s="2" customFormat="1" ht="24" customHeight="1">
      <c r="A974" s="280">
        <f t="shared" si="15"/>
        <v>965</v>
      </c>
      <c r="B974" s="281"/>
      <c r="C974" s="285"/>
      <c r="D974" s="283"/>
      <c r="E974" s="303"/>
    </row>
    <row r="975" spans="1:5" s="2" customFormat="1" ht="24" customHeight="1">
      <c r="A975" s="280">
        <f t="shared" si="15"/>
        <v>966</v>
      </c>
      <c r="B975" s="281"/>
      <c r="C975" s="285"/>
      <c r="D975" s="283"/>
      <c r="E975" s="303"/>
    </row>
    <row r="976" spans="1:5" s="2" customFormat="1" ht="24" customHeight="1">
      <c r="A976" s="280">
        <f t="shared" si="15"/>
        <v>967</v>
      </c>
      <c r="B976" s="281"/>
      <c r="C976" s="285"/>
      <c r="D976" s="283"/>
      <c r="E976" s="303"/>
    </row>
    <row r="977" spans="1:5" s="2" customFormat="1" ht="24" customHeight="1">
      <c r="A977" s="280">
        <f t="shared" si="15"/>
        <v>968</v>
      </c>
      <c r="B977" s="281"/>
      <c r="C977" s="285"/>
      <c r="D977" s="283"/>
      <c r="E977" s="303"/>
    </row>
    <row r="978" spans="1:5" s="2" customFormat="1" ht="24" customHeight="1">
      <c r="A978" s="280">
        <f t="shared" si="15"/>
        <v>969</v>
      </c>
      <c r="B978" s="281"/>
      <c r="C978" s="285"/>
      <c r="D978" s="283"/>
      <c r="E978" s="303"/>
    </row>
    <row r="979" spans="1:5" s="2" customFormat="1" ht="24" customHeight="1">
      <c r="A979" s="280">
        <f t="shared" si="15"/>
        <v>970</v>
      </c>
      <c r="B979" s="281"/>
      <c r="C979" s="285"/>
      <c r="D979" s="283"/>
      <c r="E979" s="303"/>
    </row>
    <row r="980" spans="1:5" s="2" customFormat="1" ht="24" customHeight="1">
      <c r="A980" s="280">
        <f t="shared" si="15"/>
        <v>971</v>
      </c>
      <c r="B980" s="281"/>
      <c r="C980" s="285"/>
      <c r="D980" s="283"/>
      <c r="E980" s="303"/>
    </row>
    <row r="981" spans="1:5" s="2" customFormat="1" ht="24" customHeight="1">
      <c r="A981" s="280">
        <f t="shared" si="15"/>
        <v>972</v>
      </c>
      <c r="B981" s="281"/>
      <c r="C981" s="285"/>
      <c r="D981" s="283"/>
      <c r="E981" s="303"/>
    </row>
    <row r="982" spans="1:5" s="2" customFormat="1" ht="24" customHeight="1">
      <c r="A982" s="280">
        <f t="shared" si="15"/>
        <v>973</v>
      </c>
      <c r="B982" s="281"/>
      <c r="C982" s="285"/>
      <c r="D982" s="283"/>
      <c r="E982" s="303"/>
    </row>
    <row r="983" spans="1:5" s="2" customFormat="1" ht="24" customHeight="1">
      <c r="A983" s="280">
        <f t="shared" si="15"/>
        <v>974</v>
      </c>
      <c r="B983" s="281"/>
      <c r="C983" s="285"/>
      <c r="D983" s="283"/>
      <c r="E983" s="303"/>
    </row>
    <row r="984" spans="1:5" s="2" customFormat="1" ht="24" customHeight="1">
      <c r="A984" s="280">
        <f t="shared" si="15"/>
        <v>975</v>
      </c>
      <c r="B984" s="281"/>
      <c r="C984" s="285"/>
      <c r="D984" s="283"/>
      <c r="E984" s="303"/>
    </row>
    <row r="985" spans="1:5" s="2" customFormat="1" ht="24" customHeight="1">
      <c r="A985" s="280">
        <f t="shared" si="15"/>
        <v>976</v>
      </c>
      <c r="B985" s="281"/>
      <c r="C985" s="285"/>
      <c r="D985" s="283"/>
      <c r="E985" s="303"/>
    </row>
    <row r="986" spans="1:5" s="2" customFormat="1" ht="24" customHeight="1">
      <c r="A986" s="280">
        <f t="shared" si="15"/>
        <v>977</v>
      </c>
      <c r="B986" s="281"/>
      <c r="C986" s="285"/>
      <c r="D986" s="283"/>
      <c r="E986" s="303"/>
    </row>
    <row r="987" spans="1:5" s="2" customFormat="1" ht="24" customHeight="1">
      <c r="A987" s="280">
        <f t="shared" si="15"/>
        <v>978</v>
      </c>
      <c r="B987" s="281"/>
      <c r="C987" s="285"/>
      <c r="D987" s="283"/>
      <c r="E987" s="303"/>
    </row>
    <row r="988" spans="1:5" s="2" customFormat="1" ht="24" customHeight="1">
      <c r="A988" s="280">
        <f t="shared" si="15"/>
        <v>979</v>
      </c>
      <c r="B988" s="281"/>
      <c r="C988" s="285"/>
      <c r="D988" s="283"/>
      <c r="E988" s="303"/>
    </row>
    <row r="989" spans="1:5" s="2" customFormat="1" ht="24" customHeight="1">
      <c r="A989" s="280">
        <f t="shared" si="15"/>
        <v>980</v>
      </c>
      <c r="B989" s="281"/>
      <c r="C989" s="285"/>
      <c r="D989" s="283"/>
      <c r="E989" s="303"/>
    </row>
    <row r="990" spans="1:5" s="2" customFormat="1" ht="24" customHeight="1">
      <c r="A990" s="280">
        <f t="shared" si="15"/>
        <v>981</v>
      </c>
      <c r="B990" s="281"/>
      <c r="C990" s="285"/>
      <c r="D990" s="283"/>
      <c r="E990" s="303"/>
    </row>
    <row r="991" spans="1:5" s="2" customFormat="1" ht="24" customHeight="1">
      <c r="A991" s="280">
        <f t="shared" si="15"/>
        <v>982</v>
      </c>
      <c r="B991" s="281"/>
      <c r="C991" s="285"/>
      <c r="D991" s="283"/>
      <c r="E991" s="303"/>
    </row>
    <row r="992" spans="1:5" s="2" customFormat="1" ht="24" customHeight="1">
      <c r="A992" s="280">
        <f t="shared" si="15"/>
        <v>983</v>
      </c>
      <c r="B992" s="281"/>
      <c r="C992" s="285"/>
      <c r="D992" s="283"/>
      <c r="E992" s="303"/>
    </row>
    <row r="993" spans="1:5" s="2" customFormat="1" ht="24" customHeight="1">
      <c r="A993" s="280">
        <f t="shared" si="15"/>
        <v>984</v>
      </c>
      <c r="B993" s="281"/>
      <c r="C993" s="285"/>
      <c r="D993" s="283"/>
      <c r="E993" s="303"/>
    </row>
    <row r="994" spans="1:5" s="2" customFormat="1" ht="24" customHeight="1">
      <c r="A994" s="280">
        <f t="shared" si="15"/>
        <v>985</v>
      </c>
      <c r="B994" s="281"/>
      <c r="C994" s="285"/>
      <c r="D994" s="283"/>
      <c r="E994" s="303"/>
    </row>
    <row r="995" spans="1:5" s="2" customFormat="1" ht="24" customHeight="1">
      <c r="A995" s="280">
        <f t="shared" si="15"/>
        <v>986</v>
      </c>
      <c r="B995" s="281"/>
      <c r="C995" s="285"/>
      <c r="D995" s="283"/>
      <c r="E995" s="303"/>
    </row>
    <row r="996" spans="1:5" s="2" customFormat="1" ht="24" customHeight="1">
      <c r="A996" s="280">
        <f t="shared" si="15"/>
        <v>987</v>
      </c>
      <c r="B996" s="281"/>
      <c r="C996" s="285"/>
      <c r="D996" s="283"/>
      <c r="E996" s="303"/>
    </row>
    <row r="997" spans="1:5" s="2" customFormat="1" ht="24" customHeight="1">
      <c r="A997" s="280">
        <f t="shared" si="15"/>
        <v>988</v>
      </c>
      <c r="B997" s="281"/>
      <c r="C997" s="285"/>
      <c r="D997" s="283"/>
      <c r="E997" s="303"/>
    </row>
    <row r="998" spans="1:5" s="2" customFormat="1" ht="24" customHeight="1">
      <c r="A998" s="280">
        <f t="shared" si="15"/>
        <v>989</v>
      </c>
      <c r="B998" s="281"/>
      <c r="C998" s="285"/>
      <c r="D998" s="283"/>
      <c r="E998" s="303"/>
    </row>
    <row r="999" spans="1:5" s="2" customFormat="1" ht="24" customHeight="1">
      <c r="A999" s="280">
        <f t="shared" si="15"/>
        <v>990</v>
      </c>
      <c r="B999" s="281"/>
      <c r="C999" s="285"/>
      <c r="D999" s="283"/>
      <c r="E999" s="303"/>
    </row>
    <row r="1000" spans="1:5" s="2" customFormat="1" ht="24" customHeight="1">
      <c r="A1000" s="280">
        <f t="shared" si="15"/>
        <v>991</v>
      </c>
      <c r="B1000" s="281"/>
      <c r="C1000" s="285"/>
      <c r="D1000" s="283"/>
      <c r="E1000" s="303"/>
    </row>
    <row r="1001" spans="1:5" s="2" customFormat="1" ht="24" customHeight="1">
      <c r="A1001" s="280">
        <f t="shared" si="15"/>
        <v>992</v>
      </c>
      <c r="B1001" s="281"/>
      <c r="C1001" s="285"/>
      <c r="D1001" s="283"/>
      <c r="E1001" s="303"/>
    </row>
    <row r="1002" spans="1:5" s="2" customFormat="1" ht="24" customHeight="1">
      <c r="A1002" s="280">
        <f t="shared" si="15"/>
        <v>993</v>
      </c>
      <c r="B1002" s="281"/>
      <c r="C1002" s="285"/>
      <c r="D1002" s="283"/>
      <c r="E1002" s="303"/>
    </row>
    <row r="1003" spans="1:5" s="2" customFormat="1" ht="24" customHeight="1">
      <c r="A1003" s="280">
        <f t="shared" si="15"/>
        <v>994</v>
      </c>
      <c r="B1003" s="281"/>
      <c r="C1003" s="285"/>
      <c r="D1003" s="283"/>
      <c r="E1003" s="303"/>
    </row>
    <row r="1004" spans="1:5" s="2" customFormat="1" ht="24" customHeight="1">
      <c r="A1004" s="280">
        <f t="shared" si="15"/>
        <v>995</v>
      </c>
      <c r="B1004" s="281"/>
      <c r="C1004" s="285"/>
      <c r="D1004" s="283"/>
      <c r="E1004" s="303"/>
    </row>
    <row r="1005" spans="1:5" s="2" customFormat="1" ht="24" customHeight="1">
      <c r="A1005" s="280">
        <f t="shared" si="15"/>
        <v>996</v>
      </c>
      <c r="B1005" s="281"/>
      <c r="C1005" s="285"/>
      <c r="D1005" s="283"/>
      <c r="E1005" s="303"/>
    </row>
    <row r="1006" spans="1:5" s="2" customFormat="1" ht="24" customHeight="1">
      <c r="A1006" s="280">
        <f t="shared" si="15"/>
        <v>997</v>
      </c>
      <c r="B1006" s="281"/>
      <c r="C1006" s="285"/>
      <c r="D1006" s="283"/>
      <c r="E1006" s="303"/>
    </row>
    <row r="1007" spans="1:5" s="2" customFormat="1" ht="24" customHeight="1">
      <c r="A1007" s="280">
        <f t="shared" si="15"/>
        <v>998</v>
      </c>
      <c r="B1007" s="281"/>
      <c r="C1007" s="285"/>
      <c r="D1007" s="283"/>
      <c r="E1007" s="303"/>
    </row>
    <row r="1008" spans="1:5" s="2" customFormat="1" ht="24" customHeight="1">
      <c r="A1008" s="280">
        <f t="shared" si="15"/>
        <v>999</v>
      </c>
      <c r="B1008" s="281"/>
      <c r="C1008" s="285"/>
      <c r="D1008" s="283"/>
      <c r="E1008" s="303"/>
    </row>
    <row r="1009" spans="1:5" s="2" customFormat="1" ht="24" customHeight="1">
      <c r="A1009" s="280">
        <f t="shared" si="15"/>
        <v>1000</v>
      </c>
      <c r="B1009" s="281"/>
      <c r="C1009" s="285"/>
      <c r="D1009" s="283"/>
      <c r="E1009" s="303"/>
    </row>
    <row r="1010" spans="1:5" s="2" customFormat="1" ht="24" customHeight="1">
      <c r="A1010" s="280">
        <f t="shared" si="15"/>
        <v>1001</v>
      </c>
      <c r="B1010" s="281"/>
      <c r="C1010" s="285"/>
      <c r="D1010" s="283"/>
      <c r="E1010" s="303"/>
    </row>
    <row r="1011" spans="1:5" s="2" customFormat="1" ht="24" customHeight="1">
      <c r="A1011" s="280">
        <f t="shared" si="15"/>
        <v>1002</v>
      </c>
      <c r="B1011" s="281"/>
      <c r="C1011" s="285"/>
      <c r="D1011" s="283"/>
      <c r="E1011" s="303"/>
    </row>
    <row r="1012" spans="1:5" s="2" customFormat="1" ht="24" customHeight="1">
      <c r="A1012" s="280">
        <f t="shared" si="15"/>
        <v>1003</v>
      </c>
      <c r="B1012" s="281"/>
      <c r="C1012" s="285"/>
      <c r="D1012" s="283"/>
      <c r="E1012" s="303"/>
    </row>
    <row r="1013" spans="1:5" s="2" customFormat="1" ht="24" customHeight="1">
      <c r="A1013" s="280">
        <f t="shared" si="15"/>
        <v>1004</v>
      </c>
      <c r="B1013" s="281"/>
      <c r="C1013" s="285"/>
      <c r="D1013" s="283"/>
      <c r="E1013" s="303"/>
    </row>
    <row r="1014" spans="1:5" s="2" customFormat="1" ht="24" customHeight="1">
      <c r="A1014" s="280">
        <f t="shared" si="15"/>
        <v>1005</v>
      </c>
      <c r="B1014" s="281"/>
      <c r="C1014" s="285"/>
      <c r="D1014" s="283"/>
      <c r="E1014" s="303"/>
    </row>
    <row r="1015" spans="1:5" s="2" customFormat="1" ht="24" customHeight="1">
      <c r="A1015" s="280">
        <f t="shared" si="15"/>
        <v>1006</v>
      </c>
      <c r="B1015" s="281"/>
      <c r="C1015" s="285"/>
      <c r="D1015" s="283"/>
      <c r="E1015" s="303"/>
    </row>
    <row r="1016" spans="1:5" s="2" customFormat="1" ht="24" customHeight="1">
      <c r="A1016" s="280">
        <f t="shared" si="15"/>
        <v>1007</v>
      </c>
      <c r="B1016" s="281"/>
      <c r="C1016" s="285"/>
      <c r="D1016" s="283"/>
      <c r="E1016" s="303"/>
    </row>
    <row r="1017" spans="1:5" s="2" customFormat="1" ht="24" customHeight="1">
      <c r="A1017" s="280">
        <f t="shared" si="15"/>
        <v>1008</v>
      </c>
      <c r="B1017" s="281"/>
      <c r="C1017" s="285"/>
      <c r="D1017" s="283"/>
      <c r="E1017" s="303"/>
    </row>
    <row r="1018" spans="1:5" s="2" customFormat="1" ht="24" customHeight="1">
      <c r="A1018" s="280">
        <f t="shared" si="15"/>
        <v>1009</v>
      </c>
      <c r="B1018" s="281"/>
      <c r="C1018" s="285"/>
      <c r="D1018" s="283"/>
      <c r="E1018" s="303"/>
    </row>
    <row r="1019" spans="1:5" s="2" customFormat="1" ht="24" customHeight="1">
      <c r="A1019" s="280">
        <f t="shared" si="15"/>
        <v>1010</v>
      </c>
      <c r="B1019" s="281"/>
      <c r="C1019" s="285"/>
      <c r="D1019" s="283"/>
      <c r="E1019" s="303"/>
    </row>
    <row r="1020" spans="1:5" s="2" customFormat="1" ht="24" customHeight="1">
      <c r="A1020" s="280">
        <f t="shared" si="15"/>
        <v>1011</v>
      </c>
      <c r="B1020" s="281"/>
      <c r="C1020" s="285"/>
      <c r="D1020" s="283"/>
      <c r="E1020" s="303"/>
    </row>
    <row r="1021" spans="1:5" s="2" customFormat="1" ht="24" customHeight="1">
      <c r="A1021" s="280">
        <f t="shared" si="15"/>
        <v>1012</v>
      </c>
      <c r="B1021" s="281"/>
      <c r="C1021" s="285"/>
      <c r="D1021" s="283"/>
      <c r="E1021" s="303"/>
    </row>
    <row r="1022" spans="1:5" s="2" customFormat="1" ht="24" customHeight="1">
      <c r="A1022" s="280">
        <f t="shared" si="15"/>
        <v>1013</v>
      </c>
      <c r="B1022" s="281"/>
      <c r="C1022" s="285"/>
      <c r="D1022" s="283"/>
      <c r="E1022" s="303"/>
    </row>
    <row r="1023" spans="1:5" s="2" customFormat="1" ht="24" customHeight="1">
      <c r="A1023" s="280">
        <f t="shared" si="15"/>
        <v>1014</v>
      </c>
      <c r="B1023" s="281"/>
      <c r="C1023" s="285"/>
      <c r="D1023" s="283"/>
      <c r="E1023" s="303"/>
    </row>
    <row r="1024" spans="1:5" s="2" customFormat="1" ht="24" customHeight="1">
      <c r="A1024" s="280">
        <f t="shared" si="15"/>
        <v>1015</v>
      </c>
      <c r="B1024" s="281"/>
      <c r="C1024" s="285"/>
      <c r="D1024" s="283"/>
      <c r="E1024" s="303"/>
    </row>
    <row r="1025" spans="1:5" s="2" customFormat="1" ht="24" customHeight="1">
      <c r="A1025" s="280">
        <f t="shared" si="15"/>
        <v>1016</v>
      </c>
      <c r="B1025" s="281"/>
      <c r="C1025" s="285"/>
      <c r="D1025" s="283"/>
      <c r="E1025" s="303"/>
    </row>
    <row r="1026" spans="1:5" s="2" customFormat="1" ht="24" customHeight="1">
      <c r="A1026" s="280">
        <f t="shared" si="15"/>
        <v>1017</v>
      </c>
      <c r="B1026" s="281"/>
      <c r="C1026" s="285"/>
      <c r="D1026" s="283"/>
      <c r="E1026" s="303"/>
    </row>
    <row r="1027" spans="1:5" s="2" customFormat="1" ht="24" customHeight="1">
      <c r="A1027" s="280">
        <f t="shared" si="15"/>
        <v>1018</v>
      </c>
      <c r="B1027" s="281"/>
      <c r="C1027" s="285"/>
      <c r="D1027" s="283"/>
      <c r="E1027" s="303"/>
    </row>
    <row r="1028" spans="1:5" s="2" customFormat="1" ht="24" customHeight="1">
      <c r="A1028" s="280">
        <f t="shared" si="15"/>
        <v>1019</v>
      </c>
      <c r="B1028" s="281"/>
      <c r="C1028" s="285"/>
      <c r="D1028" s="283"/>
      <c r="E1028" s="303"/>
    </row>
    <row r="1029" spans="1:5" s="2" customFormat="1" ht="24" customHeight="1">
      <c r="A1029" s="280">
        <f t="shared" si="15"/>
        <v>1020</v>
      </c>
      <c r="B1029" s="281"/>
      <c r="C1029" s="285"/>
      <c r="D1029" s="283"/>
      <c r="E1029" s="303"/>
    </row>
    <row r="1030" spans="1:5" s="2" customFormat="1" ht="24" customHeight="1">
      <c r="A1030" s="280">
        <f t="shared" si="15"/>
        <v>1021</v>
      </c>
      <c r="B1030" s="281"/>
      <c r="C1030" s="285"/>
      <c r="D1030" s="283"/>
      <c r="E1030" s="303"/>
    </row>
    <row r="1031" spans="1:5" s="2" customFormat="1" ht="24" customHeight="1">
      <c r="A1031" s="280">
        <f t="shared" si="15"/>
        <v>1022</v>
      </c>
      <c r="B1031" s="281"/>
      <c r="C1031" s="285"/>
      <c r="D1031" s="283"/>
      <c r="E1031" s="303"/>
    </row>
    <row r="1032" spans="1:5" s="2" customFormat="1" ht="24" customHeight="1">
      <c r="A1032" s="280">
        <f t="shared" si="15"/>
        <v>1023</v>
      </c>
      <c r="B1032" s="281"/>
      <c r="C1032" s="285"/>
      <c r="D1032" s="283"/>
      <c r="E1032" s="303"/>
    </row>
    <row r="1033" spans="1:5" s="2" customFormat="1" ht="24" customHeight="1">
      <c r="A1033" s="280">
        <f t="shared" si="15"/>
        <v>1024</v>
      </c>
      <c r="B1033" s="281"/>
      <c r="C1033" s="285"/>
      <c r="D1033" s="283"/>
      <c r="E1033" s="303"/>
    </row>
    <row r="1034" spans="1:5" s="2" customFormat="1" ht="24" customHeight="1">
      <c r="A1034" s="280">
        <f t="shared" si="15"/>
        <v>1025</v>
      </c>
      <c r="B1034" s="281"/>
      <c r="C1034" s="285"/>
      <c r="D1034" s="283"/>
      <c r="E1034" s="303"/>
    </row>
    <row r="1035" spans="1:5" s="2" customFormat="1" ht="24" customHeight="1">
      <c r="A1035" s="280">
        <f t="shared" si="15"/>
        <v>1026</v>
      </c>
      <c r="B1035" s="281"/>
      <c r="C1035" s="285"/>
      <c r="D1035" s="283"/>
      <c r="E1035" s="303"/>
    </row>
    <row r="1036" spans="1:5" s="2" customFormat="1" ht="24" customHeight="1">
      <c r="A1036" s="280">
        <f t="shared" ref="A1036:A1099" si="16">A1035+1</f>
        <v>1027</v>
      </c>
      <c r="B1036" s="281"/>
      <c r="C1036" s="285"/>
      <c r="D1036" s="283"/>
      <c r="E1036" s="303"/>
    </row>
    <row r="1037" spans="1:5" s="2" customFormat="1" ht="24" customHeight="1">
      <c r="A1037" s="280">
        <f t="shared" si="16"/>
        <v>1028</v>
      </c>
      <c r="B1037" s="281"/>
      <c r="C1037" s="285"/>
      <c r="D1037" s="283"/>
      <c r="E1037" s="303"/>
    </row>
    <row r="1038" spans="1:5" s="2" customFormat="1" ht="24" customHeight="1">
      <c r="A1038" s="280">
        <f t="shared" si="16"/>
        <v>1029</v>
      </c>
      <c r="B1038" s="281"/>
      <c r="C1038" s="285"/>
      <c r="D1038" s="283"/>
      <c r="E1038" s="303"/>
    </row>
    <row r="1039" spans="1:5" s="2" customFormat="1" ht="24" customHeight="1">
      <c r="A1039" s="280">
        <f t="shared" si="16"/>
        <v>1030</v>
      </c>
      <c r="B1039" s="281"/>
      <c r="C1039" s="285"/>
      <c r="D1039" s="283"/>
      <c r="E1039" s="303"/>
    </row>
    <row r="1040" spans="1:5" s="2" customFormat="1" ht="24" customHeight="1">
      <c r="A1040" s="280">
        <f t="shared" si="16"/>
        <v>1031</v>
      </c>
      <c r="B1040" s="281"/>
      <c r="C1040" s="285"/>
      <c r="D1040" s="283"/>
      <c r="E1040" s="303"/>
    </row>
    <row r="1041" spans="1:5" s="2" customFormat="1" ht="24" customHeight="1">
      <c r="A1041" s="280">
        <f t="shared" si="16"/>
        <v>1032</v>
      </c>
      <c r="B1041" s="281"/>
      <c r="C1041" s="285"/>
      <c r="D1041" s="283"/>
      <c r="E1041" s="303"/>
    </row>
    <row r="1042" spans="1:5" s="2" customFormat="1" ht="24" customHeight="1">
      <c r="A1042" s="280">
        <f t="shared" si="16"/>
        <v>1033</v>
      </c>
      <c r="B1042" s="281"/>
      <c r="C1042" s="285"/>
      <c r="D1042" s="283"/>
      <c r="E1042" s="303"/>
    </row>
    <row r="1043" spans="1:5" s="2" customFormat="1" ht="24" customHeight="1">
      <c r="A1043" s="280">
        <f t="shared" si="16"/>
        <v>1034</v>
      </c>
      <c r="B1043" s="281"/>
      <c r="C1043" s="285"/>
      <c r="D1043" s="283"/>
      <c r="E1043" s="303"/>
    </row>
    <row r="1044" spans="1:5" s="2" customFormat="1" ht="24" customHeight="1">
      <c r="A1044" s="280">
        <f t="shared" si="16"/>
        <v>1035</v>
      </c>
      <c r="B1044" s="281"/>
      <c r="C1044" s="285"/>
      <c r="D1044" s="283"/>
      <c r="E1044" s="303"/>
    </row>
    <row r="1045" spans="1:5" s="2" customFormat="1" ht="24" customHeight="1">
      <c r="A1045" s="280">
        <f t="shared" si="16"/>
        <v>1036</v>
      </c>
      <c r="B1045" s="281"/>
      <c r="C1045" s="285"/>
      <c r="D1045" s="283"/>
      <c r="E1045" s="303"/>
    </row>
    <row r="1046" spans="1:5" s="2" customFormat="1" ht="24" customHeight="1">
      <c r="A1046" s="280">
        <f t="shared" si="16"/>
        <v>1037</v>
      </c>
      <c r="B1046" s="281"/>
      <c r="C1046" s="285"/>
      <c r="D1046" s="283"/>
      <c r="E1046" s="303"/>
    </row>
    <row r="1047" spans="1:5" s="2" customFormat="1" ht="24" customHeight="1">
      <c r="A1047" s="280">
        <f t="shared" si="16"/>
        <v>1038</v>
      </c>
      <c r="B1047" s="281"/>
      <c r="C1047" s="285"/>
      <c r="D1047" s="283"/>
      <c r="E1047" s="303"/>
    </row>
    <row r="1048" spans="1:5" s="2" customFormat="1" ht="24" customHeight="1">
      <c r="A1048" s="280">
        <f t="shared" si="16"/>
        <v>1039</v>
      </c>
      <c r="B1048" s="281"/>
      <c r="C1048" s="285"/>
      <c r="D1048" s="283"/>
      <c r="E1048" s="303"/>
    </row>
    <row r="1049" spans="1:5" s="2" customFormat="1" ht="24" customHeight="1">
      <c r="A1049" s="280">
        <f t="shared" si="16"/>
        <v>1040</v>
      </c>
      <c r="B1049" s="281"/>
      <c r="C1049" s="285"/>
      <c r="D1049" s="283"/>
      <c r="E1049" s="303"/>
    </row>
    <row r="1050" spans="1:5" s="2" customFormat="1" ht="24" customHeight="1">
      <c r="A1050" s="280">
        <f t="shared" si="16"/>
        <v>1041</v>
      </c>
      <c r="B1050" s="281"/>
      <c r="C1050" s="285"/>
      <c r="D1050" s="283"/>
      <c r="E1050" s="303"/>
    </row>
    <row r="1051" spans="1:5" s="2" customFormat="1" ht="24" customHeight="1">
      <c r="A1051" s="280">
        <f t="shared" si="16"/>
        <v>1042</v>
      </c>
      <c r="B1051" s="281"/>
      <c r="C1051" s="285"/>
      <c r="D1051" s="283"/>
      <c r="E1051" s="303"/>
    </row>
    <row r="1052" spans="1:5" s="2" customFormat="1" ht="24" customHeight="1">
      <c r="A1052" s="280">
        <f t="shared" si="16"/>
        <v>1043</v>
      </c>
      <c r="B1052" s="281"/>
      <c r="C1052" s="285"/>
      <c r="D1052" s="283"/>
      <c r="E1052" s="303"/>
    </row>
    <row r="1053" spans="1:5" s="2" customFormat="1" ht="24" customHeight="1">
      <c r="A1053" s="280">
        <f t="shared" si="16"/>
        <v>1044</v>
      </c>
      <c r="B1053" s="281"/>
      <c r="C1053" s="285"/>
      <c r="D1053" s="283"/>
      <c r="E1053" s="303"/>
    </row>
    <row r="1054" spans="1:5" s="2" customFormat="1" ht="24" customHeight="1">
      <c r="A1054" s="280">
        <f t="shared" si="16"/>
        <v>1045</v>
      </c>
      <c r="B1054" s="281"/>
      <c r="C1054" s="285"/>
      <c r="D1054" s="283"/>
      <c r="E1054" s="303"/>
    </row>
    <row r="1055" spans="1:5" s="2" customFormat="1" ht="24" customHeight="1">
      <c r="A1055" s="280">
        <f t="shared" si="16"/>
        <v>1046</v>
      </c>
      <c r="B1055" s="281"/>
      <c r="C1055" s="285"/>
      <c r="D1055" s="283"/>
      <c r="E1055" s="303"/>
    </row>
    <row r="1056" spans="1:5" s="2" customFormat="1" ht="24" customHeight="1">
      <c r="A1056" s="280">
        <f t="shared" si="16"/>
        <v>1047</v>
      </c>
      <c r="B1056" s="281"/>
      <c r="C1056" s="285"/>
      <c r="D1056" s="283"/>
      <c r="E1056" s="303"/>
    </row>
    <row r="1057" spans="1:5" s="2" customFormat="1" ht="24" customHeight="1">
      <c r="A1057" s="280">
        <f t="shared" si="16"/>
        <v>1048</v>
      </c>
      <c r="B1057" s="281"/>
      <c r="C1057" s="285"/>
      <c r="D1057" s="283"/>
      <c r="E1057" s="303"/>
    </row>
    <row r="1058" spans="1:5" s="2" customFormat="1" ht="24" customHeight="1">
      <c r="A1058" s="280">
        <f t="shared" si="16"/>
        <v>1049</v>
      </c>
      <c r="B1058" s="281"/>
      <c r="C1058" s="285"/>
      <c r="D1058" s="283"/>
      <c r="E1058" s="303"/>
    </row>
    <row r="1059" spans="1:5" s="2" customFormat="1" ht="24" customHeight="1">
      <c r="A1059" s="280">
        <f t="shared" si="16"/>
        <v>1050</v>
      </c>
      <c r="B1059" s="281"/>
      <c r="C1059" s="285"/>
      <c r="D1059" s="283"/>
      <c r="E1059" s="303"/>
    </row>
    <row r="1060" spans="1:5" s="2" customFormat="1" ht="24" customHeight="1">
      <c r="A1060" s="280">
        <f t="shared" si="16"/>
        <v>1051</v>
      </c>
      <c r="B1060" s="281"/>
      <c r="C1060" s="285"/>
      <c r="D1060" s="283"/>
      <c r="E1060" s="303"/>
    </row>
    <row r="1061" spans="1:5" s="2" customFormat="1" ht="24" customHeight="1">
      <c r="A1061" s="280">
        <f t="shared" si="16"/>
        <v>1052</v>
      </c>
      <c r="B1061" s="281"/>
      <c r="C1061" s="285"/>
      <c r="D1061" s="283"/>
      <c r="E1061" s="303"/>
    </row>
    <row r="1062" spans="1:5" s="2" customFormat="1" ht="24" customHeight="1">
      <c r="A1062" s="280">
        <f t="shared" si="16"/>
        <v>1053</v>
      </c>
      <c r="B1062" s="281"/>
      <c r="C1062" s="285"/>
      <c r="D1062" s="283"/>
      <c r="E1062" s="303"/>
    </row>
    <row r="1063" spans="1:5" s="2" customFormat="1" ht="24" customHeight="1">
      <c r="A1063" s="280">
        <f t="shared" si="16"/>
        <v>1054</v>
      </c>
      <c r="B1063" s="281"/>
      <c r="C1063" s="285"/>
      <c r="D1063" s="283"/>
      <c r="E1063" s="303"/>
    </row>
    <row r="1064" spans="1:5" s="2" customFormat="1" ht="24" customHeight="1">
      <c r="A1064" s="280">
        <f t="shared" si="16"/>
        <v>1055</v>
      </c>
      <c r="B1064" s="281"/>
      <c r="C1064" s="285"/>
      <c r="D1064" s="283"/>
      <c r="E1064" s="303"/>
    </row>
    <row r="1065" spans="1:5" s="2" customFormat="1" ht="24" customHeight="1">
      <c r="A1065" s="280">
        <f t="shared" si="16"/>
        <v>1056</v>
      </c>
      <c r="B1065" s="281"/>
      <c r="C1065" s="285"/>
      <c r="D1065" s="283"/>
      <c r="E1065" s="303"/>
    </row>
    <row r="1066" spans="1:5" s="2" customFormat="1" ht="24" customHeight="1">
      <c r="A1066" s="280">
        <f t="shared" si="16"/>
        <v>1057</v>
      </c>
      <c r="B1066" s="281"/>
      <c r="C1066" s="285"/>
      <c r="D1066" s="283"/>
      <c r="E1066" s="303"/>
    </row>
    <row r="1067" spans="1:5" s="2" customFormat="1" ht="24" customHeight="1">
      <c r="A1067" s="280">
        <f t="shared" si="16"/>
        <v>1058</v>
      </c>
      <c r="B1067" s="281"/>
      <c r="C1067" s="285"/>
      <c r="D1067" s="283"/>
      <c r="E1067" s="303"/>
    </row>
    <row r="1068" spans="1:5" s="2" customFormat="1" ht="24" customHeight="1">
      <c r="A1068" s="280">
        <f t="shared" si="16"/>
        <v>1059</v>
      </c>
      <c r="B1068" s="281"/>
      <c r="C1068" s="285"/>
      <c r="D1068" s="283"/>
      <c r="E1068" s="303"/>
    </row>
    <row r="1069" spans="1:5" s="2" customFormat="1" ht="24" customHeight="1">
      <c r="A1069" s="280">
        <f t="shared" si="16"/>
        <v>1060</v>
      </c>
      <c r="B1069" s="281"/>
      <c r="C1069" s="285"/>
      <c r="D1069" s="283"/>
      <c r="E1069" s="303"/>
    </row>
    <row r="1070" spans="1:5" s="2" customFormat="1" ht="24" customHeight="1">
      <c r="A1070" s="280">
        <f t="shared" si="16"/>
        <v>1061</v>
      </c>
      <c r="B1070" s="281"/>
      <c r="C1070" s="285"/>
      <c r="D1070" s="283"/>
      <c r="E1070" s="303"/>
    </row>
    <row r="1071" spans="1:5" s="2" customFormat="1" ht="24" customHeight="1">
      <c r="A1071" s="280">
        <f t="shared" si="16"/>
        <v>1062</v>
      </c>
      <c r="B1071" s="281"/>
      <c r="C1071" s="285"/>
      <c r="D1071" s="283"/>
      <c r="E1071" s="303"/>
    </row>
    <row r="1072" spans="1:5" s="2" customFormat="1" ht="24" customHeight="1">
      <c r="A1072" s="280">
        <f t="shared" si="16"/>
        <v>1063</v>
      </c>
      <c r="B1072" s="281"/>
      <c r="C1072" s="285"/>
      <c r="D1072" s="283"/>
      <c r="E1072" s="303"/>
    </row>
    <row r="1073" spans="1:5" s="2" customFormat="1" ht="24" customHeight="1">
      <c r="A1073" s="280">
        <f t="shared" si="16"/>
        <v>1064</v>
      </c>
      <c r="B1073" s="281"/>
      <c r="C1073" s="285"/>
      <c r="D1073" s="283"/>
      <c r="E1073" s="303"/>
    </row>
    <row r="1074" spans="1:5" s="2" customFormat="1" ht="24" customHeight="1">
      <c r="A1074" s="280">
        <f t="shared" si="16"/>
        <v>1065</v>
      </c>
      <c r="B1074" s="281"/>
      <c r="C1074" s="285"/>
      <c r="D1074" s="283"/>
      <c r="E1074" s="303"/>
    </row>
    <row r="1075" spans="1:5" s="2" customFormat="1" ht="24" customHeight="1">
      <c r="A1075" s="280">
        <f t="shared" si="16"/>
        <v>1066</v>
      </c>
      <c r="B1075" s="281"/>
      <c r="C1075" s="285"/>
      <c r="D1075" s="283"/>
      <c r="E1075" s="303"/>
    </row>
    <row r="1076" spans="1:5" s="2" customFormat="1" ht="24" customHeight="1">
      <c r="A1076" s="280">
        <f t="shared" si="16"/>
        <v>1067</v>
      </c>
      <c r="B1076" s="281"/>
      <c r="C1076" s="285"/>
      <c r="D1076" s="283"/>
      <c r="E1076" s="303"/>
    </row>
    <row r="1077" spans="1:5" s="2" customFormat="1" ht="24" customHeight="1">
      <c r="A1077" s="280">
        <f t="shared" si="16"/>
        <v>1068</v>
      </c>
      <c r="B1077" s="281"/>
      <c r="C1077" s="285"/>
      <c r="D1077" s="283"/>
      <c r="E1077" s="303"/>
    </row>
    <row r="1078" spans="1:5" s="2" customFormat="1" ht="24" customHeight="1">
      <c r="A1078" s="280">
        <f t="shared" si="16"/>
        <v>1069</v>
      </c>
      <c r="B1078" s="281"/>
      <c r="C1078" s="285"/>
      <c r="D1078" s="283"/>
      <c r="E1078" s="303"/>
    </row>
    <row r="1079" spans="1:5" s="2" customFormat="1" ht="24" customHeight="1">
      <c r="A1079" s="280">
        <f t="shared" si="16"/>
        <v>1070</v>
      </c>
      <c r="B1079" s="281"/>
      <c r="C1079" s="285"/>
      <c r="D1079" s="283"/>
      <c r="E1079" s="303"/>
    </row>
    <row r="1080" spans="1:5" s="2" customFormat="1" ht="24" customHeight="1">
      <c r="A1080" s="280">
        <f t="shared" si="16"/>
        <v>1071</v>
      </c>
      <c r="B1080" s="281"/>
      <c r="C1080" s="285"/>
      <c r="D1080" s="283"/>
      <c r="E1080" s="303"/>
    </row>
    <row r="1081" spans="1:5" s="2" customFormat="1" ht="24" customHeight="1">
      <c r="A1081" s="280">
        <f t="shared" si="16"/>
        <v>1072</v>
      </c>
      <c r="B1081" s="281"/>
      <c r="C1081" s="285"/>
      <c r="D1081" s="283"/>
      <c r="E1081" s="303"/>
    </row>
    <row r="1082" spans="1:5" s="2" customFormat="1" ht="24" customHeight="1">
      <c r="A1082" s="280">
        <f t="shared" si="16"/>
        <v>1073</v>
      </c>
      <c r="B1082" s="281"/>
      <c r="C1082" s="285"/>
      <c r="D1082" s="283"/>
      <c r="E1082" s="303"/>
    </row>
    <row r="1083" spans="1:5" s="2" customFormat="1" ht="24" customHeight="1">
      <c r="A1083" s="280">
        <f t="shared" si="16"/>
        <v>1074</v>
      </c>
      <c r="B1083" s="281"/>
      <c r="C1083" s="285"/>
      <c r="D1083" s="283"/>
      <c r="E1083" s="303"/>
    </row>
    <row r="1084" spans="1:5" s="2" customFormat="1" ht="24" customHeight="1">
      <c r="A1084" s="280">
        <f t="shared" si="16"/>
        <v>1075</v>
      </c>
      <c r="B1084" s="281"/>
      <c r="C1084" s="285"/>
      <c r="D1084" s="283"/>
      <c r="E1084" s="303"/>
    </row>
    <row r="1085" spans="1:5" s="2" customFormat="1" ht="24" customHeight="1">
      <c r="A1085" s="280">
        <f t="shared" si="16"/>
        <v>1076</v>
      </c>
      <c r="B1085" s="281"/>
      <c r="C1085" s="285"/>
      <c r="D1085" s="283"/>
      <c r="E1085" s="303"/>
    </row>
    <row r="1086" spans="1:5" s="2" customFormat="1" ht="24" customHeight="1">
      <c r="A1086" s="280">
        <f t="shared" si="16"/>
        <v>1077</v>
      </c>
      <c r="B1086" s="281"/>
      <c r="C1086" s="285"/>
      <c r="D1086" s="283"/>
      <c r="E1086" s="303"/>
    </row>
    <row r="1087" spans="1:5" s="2" customFormat="1" ht="24" customHeight="1">
      <c r="A1087" s="280">
        <f t="shared" si="16"/>
        <v>1078</v>
      </c>
      <c r="B1087" s="281"/>
      <c r="C1087" s="285"/>
      <c r="D1087" s="283"/>
      <c r="E1087" s="303"/>
    </row>
    <row r="1088" spans="1:5" s="2" customFormat="1" ht="24" customHeight="1">
      <c r="A1088" s="280">
        <f t="shared" si="16"/>
        <v>1079</v>
      </c>
      <c r="B1088" s="281"/>
      <c r="C1088" s="285"/>
      <c r="D1088" s="283"/>
      <c r="E1088" s="303"/>
    </row>
    <row r="1089" spans="1:5" s="2" customFormat="1" ht="24" customHeight="1">
      <c r="A1089" s="280">
        <f t="shared" si="16"/>
        <v>1080</v>
      </c>
      <c r="B1089" s="281"/>
      <c r="C1089" s="285"/>
      <c r="D1089" s="283"/>
      <c r="E1089" s="303"/>
    </row>
    <row r="1090" spans="1:5" s="2" customFormat="1" ht="24" customHeight="1">
      <c r="A1090" s="280">
        <f t="shared" si="16"/>
        <v>1081</v>
      </c>
      <c r="B1090" s="281"/>
      <c r="C1090" s="285"/>
      <c r="D1090" s="283"/>
      <c r="E1090" s="303"/>
    </row>
    <row r="1091" spans="1:5" s="2" customFormat="1" ht="24" customHeight="1">
      <c r="A1091" s="280">
        <f t="shared" si="16"/>
        <v>1082</v>
      </c>
      <c r="B1091" s="281"/>
      <c r="C1091" s="285"/>
      <c r="D1091" s="283"/>
      <c r="E1091" s="303"/>
    </row>
    <row r="1092" spans="1:5" s="2" customFormat="1" ht="24" customHeight="1">
      <c r="A1092" s="280">
        <f t="shared" si="16"/>
        <v>1083</v>
      </c>
      <c r="B1092" s="281"/>
      <c r="C1092" s="285"/>
      <c r="D1092" s="283"/>
      <c r="E1092" s="303"/>
    </row>
    <row r="1093" spans="1:5" s="2" customFormat="1" ht="24" customHeight="1">
      <c r="A1093" s="280">
        <f t="shared" si="16"/>
        <v>1084</v>
      </c>
      <c r="B1093" s="281"/>
      <c r="C1093" s="285"/>
      <c r="D1093" s="283"/>
      <c r="E1093" s="303"/>
    </row>
    <row r="1094" spans="1:5" s="2" customFormat="1" ht="24" customHeight="1">
      <c r="A1094" s="280">
        <f t="shared" si="16"/>
        <v>1085</v>
      </c>
      <c r="B1094" s="281"/>
      <c r="C1094" s="285"/>
      <c r="D1094" s="283"/>
      <c r="E1094" s="303"/>
    </row>
    <row r="1095" spans="1:5" s="2" customFormat="1" ht="24" customHeight="1">
      <c r="A1095" s="280">
        <f t="shared" si="16"/>
        <v>1086</v>
      </c>
      <c r="B1095" s="281"/>
      <c r="C1095" s="285"/>
      <c r="D1095" s="283"/>
      <c r="E1095" s="303"/>
    </row>
    <row r="1096" spans="1:5" s="2" customFormat="1" ht="24" customHeight="1">
      <c r="A1096" s="280">
        <f t="shared" si="16"/>
        <v>1087</v>
      </c>
      <c r="B1096" s="281"/>
      <c r="C1096" s="285"/>
      <c r="D1096" s="283"/>
      <c r="E1096" s="303"/>
    </row>
    <row r="1097" spans="1:5" s="2" customFormat="1" ht="24" customHeight="1">
      <c r="A1097" s="280">
        <f t="shared" si="16"/>
        <v>1088</v>
      </c>
      <c r="B1097" s="281"/>
      <c r="C1097" s="285"/>
      <c r="D1097" s="283"/>
      <c r="E1097" s="303"/>
    </row>
    <row r="1098" spans="1:5" s="2" customFormat="1" ht="24" customHeight="1">
      <c r="A1098" s="280">
        <f t="shared" si="16"/>
        <v>1089</v>
      </c>
      <c r="B1098" s="281"/>
      <c r="C1098" s="285"/>
      <c r="D1098" s="283"/>
      <c r="E1098" s="303"/>
    </row>
    <row r="1099" spans="1:5" s="2" customFormat="1" ht="24" customHeight="1">
      <c r="A1099" s="280">
        <f t="shared" si="16"/>
        <v>1090</v>
      </c>
      <c r="B1099" s="281"/>
      <c r="C1099" s="285"/>
      <c r="D1099" s="283"/>
      <c r="E1099" s="303"/>
    </row>
    <row r="1100" spans="1:5" s="2" customFormat="1" ht="24" customHeight="1">
      <c r="A1100" s="280">
        <f t="shared" ref="A1100:A1163" si="17">A1099+1</f>
        <v>1091</v>
      </c>
      <c r="B1100" s="281"/>
      <c r="C1100" s="285"/>
      <c r="D1100" s="283"/>
      <c r="E1100" s="303"/>
    </row>
    <row r="1101" spans="1:5" s="2" customFormat="1" ht="24" customHeight="1">
      <c r="A1101" s="280">
        <f t="shared" si="17"/>
        <v>1092</v>
      </c>
      <c r="B1101" s="281"/>
      <c r="C1101" s="285"/>
      <c r="D1101" s="283"/>
      <c r="E1101" s="303"/>
    </row>
    <row r="1102" spans="1:5" s="2" customFormat="1" ht="24" customHeight="1">
      <c r="A1102" s="280">
        <f t="shared" si="17"/>
        <v>1093</v>
      </c>
      <c r="B1102" s="281"/>
      <c r="C1102" s="285"/>
      <c r="D1102" s="283"/>
      <c r="E1102" s="303"/>
    </row>
    <row r="1103" spans="1:5" s="2" customFormat="1" ht="24" customHeight="1">
      <c r="A1103" s="280">
        <f t="shared" si="17"/>
        <v>1094</v>
      </c>
      <c r="B1103" s="281"/>
      <c r="C1103" s="285"/>
      <c r="D1103" s="283"/>
      <c r="E1103" s="303"/>
    </row>
    <row r="1104" spans="1:5" s="2" customFormat="1" ht="24" customHeight="1">
      <c r="A1104" s="280">
        <f t="shared" si="17"/>
        <v>1095</v>
      </c>
      <c r="B1104" s="281"/>
      <c r="C1104" s="285"/>
      <c r="D1104" s="283"/>
      <c r="E1104" s="303"/>
    </row>
    <row r="1105" spans="1:5" s="2" customFormat="1" ht="24" customHeight="1">
      <c r="A1105" s="280">
        <f t="shared" si="17"/>
        <v>1096</v>
      </c>
      <c r="B1105" s="281"/>
      <c r="C1105" s="285"/>
      <c r="D1105" s="283"/>
      <c r="E1105" s="303"/>
    </row>
    <row r="1106" spans="1:5" s="2" customFormat="1" ht="24" customHeight="1">
      <c r="A1106" s="280">
        <f t="shared" si="17"/>
        <v>1097</v>
      </c>
      <c r="B1106" s="281"/>
      <c r="C1106" s="285"/>
      <c r="D1106" s="283"/>
      <c r="E1106" s="303"/>
    </row>
    <row r="1107" spans="1:5" s="2" customFormat="1" ht="24" customHeight="1">
      <c r="A1107" s="280">
        <f t="shared" si="17"/>
        <v>1098</v>
      </c>
      <c r="B1107" s="281"/>
      <c r="C1107" s="285"/>
      <c r="D1107" s="283"/>
      <c r="E1107" s="303"/>
    </row>
    <row r="1108" spans="1:5" s="2" customFormat="1" ht="24" customHeight="1">
      <c r="A1108" s="280">
        <f t="shared" si="17"/>
        <v>1099</v>
      </c>
      <c r="B1108" s="281"/>
      <c r="C1108" s="285"/>
      <c r="D1108" s="283"/>
      <c r="E1108" s="303"/>
    </row>
    <row r="1109" spans="1:5" s="2" customFormat="1" ht="24" customHeight="1">
      <c r="A1109" s="280">
        <f t="shared" si="17"/>
        <v>1100</v>
      </c>
      <c r="B1109" s="281"/>
      <c r="C1109" s="285"/>
      <c r="D1109" s="283"/>
      <c r="E1109" s="303"/>
    </row>
    <row r="1110" spans="1:5" s="2" customFormat="1" ht="24" customHeight="1">
      <c r="A1110" s="280">
        <f t="shared" si="17"/>
        <v>1101</v>
      </c>
      <c r="B1110" s="281"/>
      <c r="C1110" s="285"/>
      <c r="D1110" s="283"/>
      <c r="E1110" s="303"/>
    </row>
    <row r="1111" spans="1:5" s="2" customFormat="1" ht="24" customHeight="1">
      <c r="A1111" s="280">
        <f t="shared" si="17"/>
        <v>1102</v>
      </c>
      <c r="B1111" s="281"/>
      <c r="C1111" s="285"/>
      <c r="D1111" s="283"/>
      <c r="E1111" s="303"/>
    </row>
    <row r="1112" spans="1:5" s="2" customFormat="1" ht="24" customHeight="1">
      <c r="A1112" s="280">
        <f t="shared" si="17"/>
        <v>1103</v>
      </c>
      <c r="B1112" s="281"/>
      <c r="C1112" s="285"/>
      <c r="D1112" s="283"/>
      <c r="E1112" s="303"/>
    </row>
    <row r="1113" spans="1:5" s="2" customFormat="1" ht="24" customHeight="1">
      <c r="A1113" s="280">
        <f t="shared" si="17"/>
        <v>1104</v>
      </c>
      <c r="B1113" s="281"/>
      <c r="C1113" s="285"/>
      <c r="D1113" s="283"/>
      <c r="E1113" s="303"/>
    </row>
    <row r="1114" spans="1:5" s="2" customFormat="1" ht="24" customHeight="1">
      <c r="A1114" s="280">
        <f t="shared" si="17"/>
        <v>1105</v>
      </c>
      <c r="B1114" s="281"/>
      <c r="C1114" s="285"/>
      <c r="D1114" s="283"/>
      <c r="E1114" s="303"/>
    </row>
    <row r="1115" spans="1:5" s="2" customFormat="1" ht="24" customHeight="1">
      <c r="A1115" s="280">
        <f t="shared" si="17"/>
        <v>1106</v>
      </c>
      <c r="B1115" s="281"/>
      <c r="C1115" s="285"/>
      <c r="D1115" s="283"/>
      <c r="E1115" s="303"/>
    </row>
    <row r="1116" spans="1:5" s="2" customFormat="1" ht="24" customHeight="1">
      <c r="A1116" s="280">
        <f t="shared" si="17"/>
        <v>1107</v>
      </c>
      <c r="B1116" s="281"/>
      <c r="C1116" s="285"/>
      <c r="D1116" s="283"/>
      <c r="E1116" s="303"/>
    </row>
    <row r="1117" spans="1:5" s="2" customFormat="1" ht="24" customHeight="1">
      <c r="A1117" s="280">
        <f t="shared" si="17"/>
        <v>1108</v>
      </c>
      <c r="B1117" s="281"/>
      <c r="C1117" s="285"/>
      <c r="D1117" s="283"/>
      <c r="E1117" s="303"/>
    </row>
    <row r="1118" spans="1:5" s="2" customFormat="1" ht="24" customHeight="1">
      <c r="A1118" s="280">
        <f t="shared" si="17"/>
        <v>1109</v>
      </c>
      <c r="B1118" s="281"/>
      <c r="C1118" s="285"/>
      <c r="D1118" s="283"/>
      <c r="E1118" s="303"/>
    </row>
    <row r="1119" spans="1:5" s="2" customFormat="1" ht="24" customHeight="1">
      <c r="A1119" s="280">
        <f t="shared" si="17"/>
        <v>1110</v>
      </c>
      <c r="B1119" s="281"/>
      <c r="C1119" s="285"/>
      <c r="D1119" s="283"/>
      <c r="E1119" s="303"/>
    </row>
    <row r="1120" spans="1:5" s="2" customFormat="1" ht="24" customHeight="1">
      <c r="A1120" s="280">
        <f t="shared" si="17"/>
        <v>1111</v>
      </c>
      <c r="B1120" s="281"/>
      <c r="C1120" s="285"/>
      <c r="D1120" s="283"/>
      <c r="E1120" s="303"/>
    </row>
    <row r="1121" spans="1:5" s="2" customFormat="1" ht="24" customHeight="1">
      <c r="A1121" s="280">
        <f t="shared" si="17"/>
        <v>1112</v>
      </c>
      <c r="B1121" s="281"/>
      <c r="C1121" s="285"/>
      <c r="D1121" s="283"/>
      <c r="E1121" s="303"/>
    </row>
    <row r="1122" spans="1:5" s="2" customFormat="1" ht="24" customHeight="1">
      <c r="A1122" s="280">
        <f t="shared" si="17"/>
        <v>1113</v>
      </c>
      <c r="B1122" s="281"/>
      <c r="C1122" s="285"/>
      <c r="D1122" s="283"/>
      <c r="E1122" s="303"/>
    </row>
    <row r="1123" spans="1:5" s="2" customFormat="1" ht="24" customHeight="1">
      <c r="A1123" s="280">
        <f t="shared" si="17"/>
        <v>1114</v>
      </c>
      <c r="B1123" s="281"/>
      <c r="C1123" s="285"/>
      <c r="D1123" s="283"/>
      <c r="E1123" s="303"/>
    </row>
    <row r="1124" spans="1:5" s="2" customFormat="1" ht="24" customHeight="1">
      <c r="A1124" s="280">
        <f t="shared" si="17"/>
        <v>1115</v>
      </c>
      <c r="B1124" s="281"/>
      <c r="C1124" s="285"/>
      <c r="D1124" s="283"/>
      <c r="E1124" s="303"/>
    </row>
    <row r="1125" spans="1:5" s="2" customFormat="1" ht="24" customHeight="1">
      <c r="A1125" s="280">
        <f t="shared" si="17"/>
        <v>1116</v>
      </c>
      <c r="B1125" s="281"/>
      <c r="C1125" s="285"/>
      <c r="D1125" s="283"/>
      <c r="E1125" s="303"/>
    </row>
    <row r="1126" spans="1:5" s="2" customFormat="1" ht="24" customHeight="1">
      <c r="A1126" s="280">
        <f t="shared" si="17"/>
        <v>1117</v>
      </c>
      <c r="B1126" s="281"/>
      <c r="C1126" s="285"/>
      <c r="D1126" s="283"/>
      <c r="E1126" s="303"/>
    </row>
    <row r="1127" spans="1:5" s="2" customFormat="1" ht="24" customHeight="1">
      <c r="A1127" s="280">
        <f t="shared" si="17"/>
        <v>1118</v>
      </c>
      <c r="B1127" s="281"/>
      <c r="C1127" s="285"/>
      <c r="D1127" s="283"/>
      <c r="E1127" s="303"/>
    </row>
    <row r="1128" spans="1:5" s="2" customFormat="1" ht="24" customHeight="1">
      <c r="A1128" s="280">
        <f t="shared" si="17"/>
        <v>1119</v>
      </c>
      <c r="B1128" s="281"/>
      <c r="C1128" s="285"/>
      <c r="D1128" s="283"/>
      <c r="E1128" s="303"/>
    </row>
    <row r="1129" spans="1:5" s="2" customFormat="1" ht="24" customHeight="1">
      <c r="A1129" s="280">
        <f t="shared" si="17"/>
        <v>1120</v>
      </c>
      <c r="B1129" s="281"/>
      <c r="C1129" s="285"/>
      <c r="D1129" s="283"/>
      <c r="E1129" s="303"/>
    </row>
    <row r="1130" spans="1:5" s="2" customFormat="1" ht="24" customHeight="1">
      <c r="A1130" s="280">
        <f t="shared" si="17"/>
        <v>1121</v>
      </c>
      <c r="B1130" s="281"/>
      <c r="C1130" s="285"/>
      <c r="D1130" s="283"/>
      <c r="E1130" s="303"/>
    </row>
    <row r="1131" spans="1:5" s="2" customFormat="1" ht="24" customHeight="1">
      <c r="A1131" s="280">
        <f t="shared" si="17"/>
        <v>1122</v>
      </c>
      <c r="B1131" s="281"/>
      <c r="C1131" s="285"/>
      <c r="D1131" s="283"/>
      <c r="E1131" s="303"/>
    </row>
    <row r="1132" spans="1:5" s="2" customFormat="1" ht="24" customHeight="1">
      <c r="A1132" s="280">
        <f t="shared" si="17"/>
        <v>1123</v>
      </c>
      <c r="B1132" s="281"/>
      <c r="C1132" s="285"/>
      <c r="D1132" s="283"/>
      <c r="E1132" s="303"/>
    </row>
    <row r="1133" spans="1:5" s="2" customFormat="1" ht="24" customHeight="1">
      <c r="A1133" s="280">
        <f t="shared" si="17"/>
        <v>1124</v>
      </c>
      <c r="B1133" s="281"/>
      <c r="C1133" s="285"/>
      <c r="D1133" s="283"/>
      <c r="E1133" s="303"/>
    </row>
    <row r="1134" spans="1:5" s="2" customFormat="1" ht="24" customHeight="1">
      <c r="A1134" s="280">
        <f t="shared" si="17"/>
        <v>1125</v>
      </c>
      <c r="B1134" s="281"/>
      <c r="C1134" s="285"/>
      <c r="D1134" s="283"/>
      <c r="E1134" s="303"/>
    </row>
    <row r="1135" spans="1:5" s="2" customFormat="1" ht="24" customHeight="1">
      <c r="A1135" s="280">
        <f t="shared" si="17"/>
        <v>1126</v>
      </c>
      <c r="B1135" s="281"/>
      <c r="C1135" s="285"/>
      <c r="D1135" s="283"/>
      <c r="E1135" s="303"/>
    </row>
    <row r="1136" spans="1:5" s="2" customFormat="1" ht="24" customHeight="1">
      <c r="A1136" s="280">
        <f t="shared" si="17"/>
        <v>1127</v>
      </c>
      <c r="B1136" s="281"/>
      <c r="C1136" s="285"/>
      <c r="D1136" s="283"/>
      <c r="E1136" s="303"/>
    </row>
    <row r="1137" spans="1:5" s="2" customFormat="1" ht="24" customHeight="1">
      <c r="A1137" s="280">
        <f t="shared" si="17"/>
        <v>1128</v>
      </c>
      <c r="B1137" s="281"/>
      <c r="C1137" s="285"/>
      <c r="D1137" s="283"/>
      <c r="E1137" s="303"/>
    </row>
    <row r="1138" spans="1:5" s="2" customFormat="1" ht="24" customHeight="1">
      <c r="A1138" s="280">
        <f t="shared" si="17"/>
        <v>1129</v>
      </c>
      <c r="B1138" s="281"/>
      <c r="C1138" s="285"/>
      <c r="D1138" s="283"/>
      <c r="E1138" s="303"/>
    </row>
    <row r="1139" spans="1:5" s="2" customFormat="1" ht="24" customHeight="1">
      <c r="A1139" s="280">
        <f t="shared" si="17"/>
        <v>1130</v>
      </c>
      <c r="B1139" s="281"/>
      <c r="C1139" s="285"/>
      <c r="D1139" s="283"/>
      <c r="E1139" s="303"/>
    </row>
    <row r="1140" spans="1:5" s="2" customFormat="1" ht="24" customHeight="1">
      <c r="A1140" s="280">
        <f t="shared" si="17"/>
        <v>1131</v>
      </c>
      <c r="B1140" s="281"/>
      <c r="C1140" s="285"/>
      <c r="D1140" s="283"/>
      <c r="E1140" s="303"/>
    </row>
    <row r="1141" spans="1:5" s="2" customFormat="1" ht="24" customHeight="1">
      <c r="A1141" s="280">
        <f t="shared" si="17"/>
        <v>1132</v>
      </c>
      <c r="B1141" s="281"/>
      <c r="C1141" s="285"/>
      <c r="D1141" s="283"/>
      <c r="E1141" s="303"/>
    </row>
    <row r="1142" spans="1:5" s="2" customFormat="1" ht="24" customHeight="1">
      <c r="A1142" s="280">
        <f t="shared" si="17"/>
        <v>1133</v>
      </c>
      <c r="B1142" s="281"/>
      <c r="C1142" s="285"/>
      <c r="D1142" s="283"/>
      <c r="E1142" s="303"/>
    </row>
    <row r="1143" spans="1:5" s="2" customFormat="1" ht="24" customHeight="1">
      <c r="A1143" s="280">
        <f t="shared" si="17"/>
        <v>1134</v>
      </c>
      <c r="B1143" s="281"/>
      <c r="C1143" s="285"/>
      <c r="D1143" s="283"/>
      <c r="E1143" s="303"/>
    </row>
    <row r="1144" spans="1:5" s="2" customFormat="1" ht="24" customHeight="1">
      <c r="A1144" s="280">
        <f t="shared" si="17"/>
        <v>1135</v>
      </c>
      <c r="B1144" s="281"/>
      <c r="C1144" s="285"/>
      <c r="D1144" s="283"/>
      <c r="E1144" s="303"/>
    </row>
    <row r="1145" spans="1:5" s="2" customFormat="1" ht="24" customHeight="1">
      <c r="A1145" s="280">
        <f t="shared" si="17"/>
        <v>1136</v>
      </c>
      <c r="B1145" s="281"/>
      <c r="C1145" s="285"/>
      <c r="D1145" s="283"/>
      <c r="E1145" s="303"/>
    </row>
    <row r="1146" spans="1:5" s="2" customFormat="1" ht="24" customHeight="1">
      <c r="A1146" s="280">
        <f t="shared" si="17"/>
        <v>1137</v>
      </c>
      <c r="B1146" s="281"/>
      <c r="C1146" s="285"/>
      <c r="D1146" s="283"/>
      <c r="E1146" s="303"/>
    </row>
    <row r="1147" spans="1:5" s="2" customFormat="1" ht="24" customHeight="1">
      <c r="A1147" s="280">
        <f t="shared" si="17"/>
        <v>1138</v>
      </c>
      <c r="B1147" s="281"/>
      <c r="C1147" s="285"/>
      <c r="D1147" s="283"/>
      <c r="E1147" s="303"/>
    </row>
    <row r="1148" spans="1:5" s="2" customFormat="1" ht="24" customHeight="1">
      <c r="A1148" s="280">
        <f t="shared" si="17"/>
        <v>1139</v>
      </c>
      <c r="B1148" s="281"/>
      <c r="C1148" s="285"/>
      <c r="D1148" s="283"/>
      <c r="E1148" s="303"/>
    </row>
    <row r="1149" spans="1:5" s="2" customFormat="1" ht="24" customHeight="1">
      <c r="A1149" s="280">
        <f t="shared" si="17"/>
        <v>1140</v>
      </c>
      <c r="B1149" s="281"/>
      <c r="C1149" s="285"/>
      <c r="D1149" s="283"/>
      <c r="E1149" s="303"/>
    </row>
    <row r="1150" spans="1:5" s="2" customFormat="1" ht="24" customHeight="1">
      <c r="A1150" s="280">
        <f t="shared" si="17"/>
        <v>1141</v>
      </c>
      <c r="B1150" s="281"/>
      <c r="C1150" s="285"/>
      <c r="D1150" s="283"/>
      <c r="E1150" s="303"/>
    </row>
    <row r="1151" spans="1:5" s="2" customFormat="1" ht="24" customHeight="1">
      <c r="A1151" s="280">
        <f t="shared" si="17"/>
        <v>1142</v>
      </c>
      <c r="B1151" s="281"/>
      <c r="C1151" s="285"/>
      <c r="D1151" s="283"/>
      <c r="E1151" s="303"/>
    </row>
    <row r="1152" spans="1:5" s="2" customFormat="1" ht="24" customHeight="1">
      <c r="A1152" s="280">
        <f t="shared" si="17"/>
        <v>1143</v>
      </c>
      <c r="B1152" s="281"/>
      <c r="C1152" s="285"/>
      <c r="D1152" s="283"/>
      <c r="E1152" s="303"/>
    </row>
    <row r="1153" spans="1:5" s="2" customFormat="1" ht="24" customHeight="1">
      <c r="A1153" s="280">
        <f t="shared" si="17"/>
        <v>1144</v>
      </c>
      <c r="B1153" s="281"/>
      <c r="C1153" s="285"/>
      <c r="D1153" s="283"/>
      <c r="E1153" s="303"/>
    </row>
    <row r="1154" spans="1:5" s="2" customFormat="1" ht="24" customHeight="1">
      <c r="A1154" s="280">
        <f t="shared" si="17"/>
        <v>1145</v>
      </c>
      <c r="B1154" s="281"/>
      <c r="C1154" s="285"/>
      <c r="D1154" s="283"/>
      <c r="E1154" s="303"/>
    </row>
    <row r="1155" spans="1:5" s="2" customFormat="1" ht="24" customHeight="1">
      <c r="A1155" s="280">
        <f t="shared" si="17"/>
        <v>1146</v>
      </c>
      <c r="B1155" s="281"/>
      <c r="C1155" s="285"/>
      <c r="D1155" s="283"/>
      <c r="E1155" s="303"/>
    </row>
    <row r="1156" spans="1:5" s="2" customFormat="1" ht="24" customHeight="1">
      <c r="A1156" s="280">
        <f t="shared" si="17"/>
        <v>1147</v>
      </c>
      <c r="B1156" s="281"/>
      <c r="C1156" s="285"/>
      <c r="D1156" s="283"/>
      <c r="E1156" s="303"/>
    </row>
    <row r="1157" spans="1:5" s="2" customFormat="1" ht="24" customHeight="1">
      <c r="A1157" s="280">
        <f t="shared" si="17"/>
        <v>1148</v>
      </c>
      <c r="B1157" s="281"/>
      <c r="C1157" s="285"/>
      <c r="D1157" s="283"/>
      <c r="E1157" s="303"/>
    </row>
    <row r="1158" spans="1:5" s="2" customFormat="1" ht="24" customHeight="1">
      <c r="A1158" s="280">
        <f t="shared" si="17"/>
        <v>1149</v>
      </c>
      <c r="B1158" s="281"/>
      <c r="C1158" s="285"/>
      <c r="D1158" s="283"/>
      <c r="E1158" s="303"/>
    </row>
    <row r="1159" spans="1:5" s="2" customFormat="1" ht="24" customHeight="1">
      <c r="A1159" s="280">
        <f t="shared" si="17"/>
        <v>1150</v>
      </c>
      <c r="B1159" s="281"/>
      <c r="C1159" s="285"/>
      <c r="D1159" s="283"/>
      <c r="E1159" s="303"/>
    </row>
    <row r="1160" spans="1:5" s="2" customFormat="1" ht="24" customHeight="1">
      <c r="A1160" s="280">
        <f t="shared" si="17"/>
        <v>1151</v>
      </c>
      <c r="B1160" s="281"/>
      <c r="C1160" s="285"/>
      <c r="D1160" s="283"/>
      <c r="E1160" s="303"/>
    </row>
    <row r="1161" spans="1:5" s="2" customFormat="1" ht="24" customHeight="1">
      <c r="A1161" s="280">
        <f t="shared" si="17"/>
        <v>1152</v>
      </c>
      <c r="B1161" s="281"/>
      <c r="C1161" s="285"/>
      <c r="D1161" s="283"/>
      <c r="E1161" s="303"/>
    </row>
    <row r="1162" spans="1:5" s="2" customFormat="1" ht="24" customHeight="1">
      <c r="A1162" s="280">
        <f t="shared" si="17"/>
        <v>1153</v>
      </c>
      <c r="B1162" s="281"/>
      <c r="C1162" s="285"/>
      <c r="D1162" s="283"/>
      <c r="E1162" s="303"/>
    </row>
    <row r="1163" spans="1:5" s="2" customFormat="1" ht="24" customHeight="1">
      <c r="A1163" s="280">
        <f t="shared" si="17"/>
        <v>1154</v>
      </c>
      <c r="B1163" s="281"/>
      <c r="C1163" s="285"/>
      <c r="D1163" s="283"/>
      <c r="E1163" s="303"/>
    </row>
    <row r="1164" spans="1:5" s="2" customFormat="1" ht="24" customHeight="1">
      <c r="A1164" s="280">
        <f t="shared" ref="A1164:A1227" si="18">A1163+1</f>
        <v>1155</v>
      </c>
      <c r="B1164" s="281"/>
      <c r="C1164" s="285"/>
      <c r="D1164" s="283"/>
      <c r="E1164" s="303"/>
    </row>
    <row r="1165" spans="1:5" s="2" customFormat="1" ht="24" customHeight="1">
      <c r="A1165" s="280">
        <f t="shared" si="18"/>
        <v>1156</v>
      </c>
      <c r="B1165" s="281"/>
      <c r="C1165" s="285"/>
      <c r="D1165" s="283"/>
      <c r="E1165" s="303"/>
    </row>
    <row r="1166" spans="1:5" s="2" customFormat="1" ht="24" customHeight="1">
      <c r="A1166" s="280">
        <f t="shared" si="18"/>
        <v>1157</v>
      </c>
      <c r="B1166" s="281"/>
      <c r="C1166" s="285"/>
      <c r="D1166" s="283"/>
      <c r="E1166" s="303"/>
    </row>
    <row r="1167" spans="1:5" s="2" customFormat="1" ht="24" customHeight="1">
      <c r="A1167" s="280">
        <f t="shared" si="18"/>
        <v>1158</v>
      </c>
      <c r="B1167" s="281"/>
      <c r="C1167" s="285"/>
      <c r="D1167" s="283"/>
      <c r="E1167" s="303"/>
    </row>
    <row r="1168" spans="1:5" s="2" customFormat="1" ht="24" customHeight="1">
      <c r="A1168" s="280">
        <f t="shared" si="18"/>
        <v>1159</v>
      </c>
      <c r="B1168" s="281"/>
      <c r="C1168" s="285"/>
      <c r="D1168" s="283"/>
      <c r="E1168" s="303"/>
    </row>
    <row r="1169" spans="1:5" s="2" customFormat="1" ht="24" customHeight="1">
      <c r="A1169" s="280">
        <f t="shared" si="18"/>
        <v>1160</v>
      </c>
      <c r="B1169" s="281"/>
      <c r="C1169" s="285"/>
      <c r="D1169" s="283"/>
      <c r="E1169" s="303"/>
    </row>
    <row r="1170" spans="1:5" s="2" customFormat="1" ht="24" customHeight="1">
      <c r="A1170" s="280">
        <f t="shared" si="18"/>
        <v>1161</v>
      </c>
      <c r="B1170" s="281"/>
      <c r="C1170" s="285"/>
      <c r="D1170" s="283"/>
      <c r="E1170" s="303"/>
    </row>
    <row r="1171" spans="1:5" s="2" customFormat="1" ht="24" customHeight="1">
      <c r="A1171" s="280">
        <f t="shared" si="18"/>
        <v>1162</v>
      </c>
      <c r="B1171" s="281"/>
      <c r="C1171" s="285"/>
      <c r="D1171" s="283"/>
      <c r="E1171" s="303"/>
    </row>
    <row r="1172" spans="1:5" s="2" customFormat="1" ht="24" customHeight="1">
      <c r="A1172" s="280">
        <f t="shared" si="18"/>
        <v>1163</v>
      </c>
      <c r="B1172" s="281"/>
      <c r="C1172" s="285"/>
      <c r="D1172" s="283"/>
      <c r="E1172" s="303"/>
    </row>
    <row r="1173" spans="1:5" s="2" customFormat="1" ht="24" customHeight="1">
      <c r="A1173" s="280">
        <f t="shared" si="18"/>
        <v>1164</v>
      </c>
      <c r="B1173" s="281"/>
      <c r="C1173" s="285"/>
      <c r="D1173" s="283"/>
      <c r="E1173" s="303"/>
    </row>
    <row r="1174" spans="1:5" s="2" customFormat="1" ht="24" customHeight="1">
      <c r="A1174" s="280">
        <f t="shared" si="18"/>
        <v>1165</v>
      </c>
      <c r="B1174" s="281"/>
      <c r="C1174" s="285"/>
      <c r="D1174" s="283"/>
      <c r="E1174" s="303"/>
    </row>
    <row r="1175" spans="1:5" s="2" customFormat="1" ht="24" customHeight="1">
      <c r="A1175" s="280">
        <f t="shared" si="18"/>
        <v>1166</v>
      </c>
      <c r="B1175" s="281"/>
      <c r="C1175" s="285"/>
      <c r="D1175" s="283"/>
      <c r="E1175" s="303"/>
    </row>
    <row r="1176" spans="1:5" s="2" customFormat="1" ht="24" customHeight="1">
      <c r="A1176" s="280">
        <f t="shared" si="18"/>
        <v>1167</v>
      </c>
      <c r="B1176" s="281"/>
      <c r="C1176" s="285"/>
      <c r="D1176" s="283"/>
      <c r="E1176" s="303"/>
    </row>
    <row r="1177" spans="1:5" s="2" customFormat="1" ht="24" customHeight="1">
      <c r="A1177" s="280">
        <f t="shared" si="18"/>
        <v>1168</v>
      </c>
      <c r="B1177" s="281"/>
      <c r="C1177" s="285"/>
      <c r="D1177" s="283"/>
      <c r="E1177" s="303"/>
    </row>
    <row r="1178" spans="1:5" s="2" customFormat="1" ht="24" customHeight="1">
      <c r="A1178" s="280">
        <f t="shared" si="18"/>
        <v>1169</v>
      </c>
      <c r="B1178" s="281"/>
      <c r="C1178" s="285"/>
      <c r="D1178" s="283"/>
      <c r="E1178" s="303"/>
    </row>
    <row r="1179" spans="1:5" s="2" customFormat="1" ht="24" customHeight="1">
      <c r="A1179" s="280">
        <f t="shared" si="18"/>
        <v>1170</v>
      </c>
      <c r="B1179" s="281"/>
      <c r="C1179" s="285"/>
      <c r="D1179" s="283"/>
      <c r="E1179" s="303"/>
    </row>
    <row r="1180" spans="1:5" s="2" customFormat="1" ht="24" customHeight="1">
      <c r="A1180" s="280">
        <f t="shared" si="18"/>
        <v>1171</v>
      </c>
      <c r="B1180" s="281"/>
      <c r="C1180" s="285"/>
      <c r="D1180" s="283"/>
      <c r="E1180" s="303"/>
    </row>
    <row r="1181" spans="1:5" s="2" customFormat="1" ht="24" customHeight="1">
      <c r="A1181" s="280">
        <f t="shared" si="18"/>
        <v>1172</v>
      </c>
      <c r="B1181" s="281"/>
      <c r="C1181" s="285"/>
      <c r="D1181" s="283"/>
      <c r="E1181" s="303"/>
    </row>
    <row r="1182" spans="1:5" s="2" customFormat="1" ht="24" customHeight="1">
      <c r="A1182" s="280">
        <f t="shared" si="18"/>
        <v>1173</v>
      </c>
      <c r="B1182" s="281"/>
      <c r="C1182" s="285"/>
      <c r="D1182" s="283"/>
      <c r="E1182" s="303"/>
    </row>
    <row r="1183" spans="1:5" s="2" customFormat="1" ht="24" customHeight="1">
      <c r="A1183" s="280">
        <f t="shared" si="18"/>
        <v>1174</v>
      </c>
      <c r="B1183" s="281"/>
      <c r="C1183" s="285"/>
      <c r="D1183" s="283"/>
      <c r="E1183" s="303"/>
    </row>
    <row r="1184" spans="1:5" s="2" customFormat="1" ht="24" customHeight="1">
      <c r="A1184" s="280">
        <f t="shared" si="18"/>
        <v>1175</v>
      </c>
      <c r="B1184" s="281"/>
      <c r="C1184" s="285"/>
      <c r="D1184" s="283"/>
      <c r="E1184" s="303"/>
    </row>
    <row r="1185" spans="1:5" s="2" customFormat="1" ht="24" customHeight="1">
      <c r="A1185" s="280">
        <f t="shared" si="18"/>
        <v>1176</v>
      </c>
      <c r="B1185" s="281"/>
      <c r="C1185" s="285"/>
      <c r="D1185" s="283"/>
      <c r="E1185" s="303"/>
    </row>
    <row r="1186" spans="1:5" s="2" customFormat="1" ht="24" customHeight="1">
      <c r="A1186" s="280">
        <f t="shared" si="18"/>
        <v>1177</v>
      </c>
      <c r="B1186" s="281"/>
      <c r="C1186" s="285"/>
      <c r="D1186" s="283"/>
      <c r="E1186" s="303"/>
    </row>
    <row r="1187" spans="1:5" s="2" customFormat="1" ht="24" customHeight="1">
      <c r="A1187" s="280">
        <f t="shared" si="18"/>
        <v>1178</v>
      </c>
      <c r="B1187" s="281"/>
      <c r="C1187" s="285"/>
      <c r="D1187" s="283"/>
      <c r="E1187" s="303"/>
    </row>
    <row r="1188" spans="1:5" s="2" customFormat="1" ht="24" customHeight="1">
      <c r="A1188" s="280">
        <f t="shared" si="18"/>
        <v>1179</v>
      </c>
      <c r="B1188" s="281"/>
      <c r="C1188" s="285"/>
      <c r="D1188" s="283"/>
      <c r="E1188" s="303"/>
    </row>
    <row r="1189" spans="1:5" s="2" customFormat="1" ht="24" customHeight="1">
      <c r="A1189" s="280">
        <f t="shared" si="18"/>
        <v>1180</v>
      </c>
      <c r="B1189" s="281"/>
      <c r="C1189" s="285"/>
      <c r="D1189" s="283"/>
      <c r="E1189" s="303"/>
    </row>
    <row r="1190" spans="1:5" s="2" customFormat="1" ht="24" customHeight="1">
      <c r="A1190" s="280">
        <f t="shared" si="18"/>
        <v>1181</v>
      </c>
      <c r="B1190" s="281"/>
      <c r="C1190" s="285"/>
      <c r="D1190" s="283"/>
      <c r="E1190" s="303"/>
    </row>
    <row r="1191" spans="1:5" s="2" customFormat="1" ht="24" customHeight="1">
      <c r="A1191" s="280">
        <f t="shared" si="18"/>
        <v>1182</v>
      </c>
      <c r="B1191" s="281"/>
      <c r="C1191" s="285"/>
      <c r="D1191" s="283"/>
      <c r="E1191" s="303"/>
    </row>
    <row r="1192" spans="1:5" s="2" customFormat="1" ht="24" customHeight="1">
      <c r="A1192" s="280">
        <f t="shared" si="18"/>
        <v>1183</v>
      </c>
      <c r="B1192" s="281"/>
      <c r="C1192" s="285"/>
      <c r="D1192" s="283"/>
      <c r="E1192" s="303"/>
    </row>
    <row r="1193" spans="1:5" s="2" customFormat="1" ht="24" customHeight="1">
      <c r="A1193" s="280">
        <f t="shared" si="18"/>
        <v>1184</v>
      </c>
      <c r="B1193" s="281"/>
      <c r="C1193" s="285"/>
      <c r="D1193" s="283"/>
      <c r="E1193" s="303"/>
    </row>
    <row r="1194" spans="1:5" s="2" customFormat="1" ht="24" customHeight="1">
      <c r="A1194" s="280">
        <f t="shared" si="18"/>
        <v>1185</v>
      </c>
      <c r="B1194" s="281"/>
      <c r="C1194" s="285"/>
      <c r="D1194" s="283"/>
      <c r="E1194" s="303"/>
    </row>
    <row r="1195" spans="1:5" s="2" customFormat="1" ht="24" customHeight="1">
      <c r="A1195" s="280">
        <f t="shared" si="18"/>
        <v>1186</v>
      </c>
      <c r="B1195" s="281"/>
      <c r="C1195" s="285"/>
      <c r="D1195" s="283"/>
      <c r="E1195" s="303"/>
    </row>
    <row r="1196" spans="1:5" s="2" customFormat="1" ht="24" customHeight="1">
      <c r="A1196" s="280">
        <f t="shared" si="18"/>
        <v>1187</v>
      </c>
      <c r="B1196" s="281"/>
      <c r="C1196" s="285"/>
      <c r="D1196" s="283"/>
      <c r="E1196" s="303"/>
    </row>
    <row r="1197" spans="1:5" s="2" customFormat="1" ht="24" customHeight="1">
      <c r="A1197" s="280">
        <f t="shared" si="18"/>
        <v>1188</v>
      </c>
      <c r="B1197" s="281"/>
      <c r="C1197" s="285"/>
      <c r="D1197" s="283"/>
      <c r="E1197" s="303"/>
    </row>
    <row r="1198" spans="1:5" s="2" customFormat="1" ht="24" customHeight="1">
      <c r="A1198" s="280">
        <f t="shared" si="18"/>
        <v>1189</v>
      </c>
      <c r="B1198" s="281"/>
      <c r="C1198" s="285"/>
      <c r="D1198" s="283"/>
      <c r="E1198" s="303"/>
    </row>
    <row r="1199" spans="1:5" s="2" customFormat="1" ht="24" customHeight="1">
      <c r="A1199" s="280">
        <f t="shared" si="18"/>
        <v>1190</v>
      </c>
      <c r="B1199" s="281"/>
      <c r="C1199" s="285"/>
      <c r="D1199" s="283"/>
      <c r="E1199" s="303"/>
    </row>
    <row r="1200" spans="1:5" s="2" customFormat="1" ht="24" customHeight="1">
      <c r="A1200" s="280">
        <f t="shared" si="18"/>
        <v>1191</v>
      </c>
      <c r="B1200" s="281"/>
      <c r="C1200" s="285"/>
      <c r="D1200" s="283"/>
      <c r="E1200" s="303"/>
    </row>
    <row r="1201" spans="1:5" s="2" customFormat="1" ht="24" customHeight="1">
      <c r="A1201" s="280">
        <f t="shared" si="18"/>
        <v>1192</v>
      </c>
      <c r="B1201" s="281"/>
      <c r="C1201" s="285"/>
      <c r="D1201" s="283"/>
      <c r="E1201" s="303"/>
    </row>
    <row r="1202" spans="1:5" s="2" customFormat="1" ht="24" customHeight="1">
      <c r="A1202" s="280">
        <f t="shared" si="18"/>
        <v>1193</v>
      </c>
      <c r="B1202" s="281"/>
      <c r="C1202" s="285"/>
      <c r="D1202" s="283"/>
      <c r="E1202" s="303"/>
    </row>
    <row r="1203" spans="1:5" s="2" customFormat="1" ht="24" customHeight="1">
      <c r="A1203" s="280">
        <f t="shared" si="18"/>
        <v>1194</v>
      </c>
      <c r="B1203" s="281"/>
      <c r="C1203" s="285"/>
      <c r="D1203" s="283"/>
      <c r="E1203" s="303"/>
    </row>
    <row r="1204" spans="1:5" s="2" customFormat="1" ht="24" customHeight="1">
      <c r="A1204" s="280">
        <f t="shared" si="18"/>
        <v>1195</v>
      </c>
      <c r="B1204" s="281"/>
      <c r="C1204" s="285"/>
      <c r="D1204" s="283"/>
      <c r="E1204" s="303"/>
    </row>
    <row r="1205" spans="1:5" s="2" customFormat="1" ht="24" customHeight="1">
      <c r="A1205" s="280">
        <f t="shared" si="18"/>
        <v>1196</v>
      </c>
      <c r="B1205" s="281"/>
      <c r="C1205" s="285"/>
      <c r="D1205" s="283"/>
      <c r="E1205" s="303"/>
    </row>
    <row r="1206" spans="1:5" s="2" customFormat="1" ht="24" customHeight="1">
      <c r="A1206" s="280">
        <f t="shared" si="18"/>
        <v>1197</v>
      </c>
      <c r="B1206" s="281"/>
      <c r="C1206" s="285"/>
      <c r="D1206" s="283"/>
      <c r="E1206" s="303"/>
    </row>
    <row r="1207" spans="1:5" s="2" customFormat="1" ht="24" customHeight="1">
      <c r="A1207" s="280">
        <f t="shared" si="18"/>
        <v>1198</v>
      </c>
      <c r="B1207" s="281"/>
      <c r="C1207" s="285"/>
      <c r="D1207" s="283"/>
      <c r="E1207" s="303"/>
    </row>
    <row r="1208" spans="1:5" s="2" customFormat="1" ht="24" customHeight="1">
      <c r="A1208" s="280">
        <f t="shared" si="18"/>
        <v>1199</v>
      </c>
      <c r="B1208" s="281"/>
      <c r="C1208" s="285"/>
      <c r="D1208" s="283"/>
      <c r="E1208" s="303"/>
    </row>
    <row r="1209" spans="1:5" s="2" customFormat="1" ht="24" customHeight="1">
      <c r="A1209" s="280">
        <f t="shared" si="18"/>
        <v>1200</v>
      </c>
      <c r="B1209" s="281"/>
      <c r="C1209" s="285"/>
      <c r="D1209" s="283"/>
      <c r="E1209" s="303"/>
    </row>
    <row r="1210" spans="1:5" s="2" customFormat="1" ht="24" customHeight="1">
      <c r="A1210" s="280">
        <f t="shared" si="18"/>
        <v>1201</v>
      </c>
      <c r="B1210" s="281"/>
      <c r="C1210" s="285"/>
      <c r="D1210" s="283"/>
      <c r="E1210" s="303"/>
    </row>
    <row r="1211" spans="1:5" s="2" customFormat="1" ht="24" customHeight="1">
      <c r="A1211" s="280">
        <f t="shared" si="18"/>
        <v>1202</v>
      </c>
      <c r="B1211" s="281"/>
      <c r="C1211" s="285"/>
      <c r="D1211" s="283"/>
      <c r="E1211" s="303"/>
    </row>
    <row r="1212" spans="1:5" s="2" customFormat="1" ht="24" customHeight="1">
      <c r="A1212" s="280">
        <f t="shared" si="18"/>
        <v>1203</v>
      </c>
      <c r="B1212" s="281"/>
      <c r="C1212" s="285"/>
      <c r="D1212" s="283"/>
      <c r="E1212" s="303"/>
    </row>
    <row r="1213" spans="1:5" s="2" customFormat="1" ht="24" customHeight="1">
      <c r="A1213" s="280">
        <f t="shared" si="18"/>
        <v>1204</v>
      </c>
      <c r="B1213" s="281"/>
      <c r="C1213" s="285"/>
      <c r="D1213" s="283"/>
      <c r="E1213" s="303"/>
    </row>
    <row r="1214" spans="1:5" s="2" customFormat="1" ht="24" customHeight="1">
      <c r="A1214" s="280">
        <f t="shared" si="18"/>
        <v>1205</v>
      </c>
      <c r="B1214" s="281"/>
      <c r="C1214" s="285"/>
      <c r="D1214" s="283"/>
      <c r="E1214" s="303"/>
    </row>
    <row r="1215" spans="1:5" s="2" customFormat="1" ht="24" customHeight="1">
      <c r="A1215" s="280">
        <f t="shared" si="18"/>
        <v>1206</v>
      </c>
      <c r="B1215" s="281"/>
      <c r="C1215" s="285"/>
      <c r="D1215" s="283"/>
      <c r="E1215" s="303"/>
    </row>
    <row r="1216" spans="1:5" s="2" customFormat="1" ht="24" customHeight="1">
      <c r="A1216" s="280">
        <f t="shared" si="18"/>
        <v>1207</v>
      </c>
      <c r="B1216" s="281"/>
      <c r="C1216" s="285"/>
      <c r="D1216" s="283"/>
      <c r="E1216" s="303"/>
    </row>
    <row r="1217" spans="1:5" s="2" customFormat="1" ht="24" customHeight="1">
      <c r="A1217" s="280">
        <f t="shared" si="18"/>
        <v>1208</v>
      </c>
      <c r="B1217" s="281"/>
      <c r="C1217" s="285"/>
      <c r="D1217" s="283"/>
      <c r="E1217" s="303"/>
    </row>
    <row r="1218" spans="1:5" s="2" customFormat="1" ht="24" customHeight="1">
      <c r="A1218" s="280">
        <f t="shared" si="18"/>
        <v>1209</v>
      </c>
      <c r="B1218" s="281"/>
      <c r="C1218" s="285"/>
      <c r="D1218" s="283"/>
      <c r="E1218" s="303"/>
    </row>
    <row r="1219" spans="1:5" s="2" customFormat="1" ht="24" customHeight="1">
      <c r="A1219" s="280">
        <f t="shared" si="18"/>
        <v>1210</v>
      </c>
      <c r="B1219" s="281"/>
      <c r="C1219" s="285"/>
      <c r="D1219" s="283"/>
      <c r="E1219" s="303"/>
    </row>
    <row r="1220" spans="1:5" s="2" customFormat="1" ht="24" customHeight="1">
      <c r="A1220" s="280">
        <f t="shared" si="18"/>
        <v>1211</v>
      </c>
      <c r="B1220" s="281"/>
      <c r="C1220" s="285"/>
      <c r="D1220" s="283"/>
      <c r="E1220" s="303"/>
    </row>
    <row r="1221" spans="1:5" s="2" customFormat="1" ht="24" customHeight="1">
      <c r="A1221" s="280">
        <f t="shared" si="18"/>
        <v>1212</v>
      </c>
      <c r="B1221" s="281"/>
      <c r="C1221" s="285"/>
      <c r="D1221" s="283"/>
      <c r="E1221" s="303"/>
    </row>
    <row r="1222" spans="1:5" s="2" customFormat="1" ht="24" customHeight="1">
      <c r="A1222" s="280">
        <f t="shared" si="18"/>
        <v>1213</v>
      </c>
      <c r="B1222" s="281"/>
      <c r="C1222" s="285"/>
      <c r="D1222" s="283"/>
      <c r="E1222" s="303"/>
    </row>
    <row r="1223" spans="1:5" s="2" customFormat="1" ht="24" customHeight="1">
      <c r="A1223" s="280">
        <f t="shared" si="18"/>
        <v>1214</v>
      </c>
      <c r="B1223" s="281"/>
      <c r="C1223" s="285"/>
      <c r="D1223" s="283"/>
      <c r="E1223" s="303"/>
    </row>
    <row r="1224" spans="1:5" s="2" customFormat="1" ht="24" customHeight="1">
      <c r="A1224" s="280">
        <f t="shared" si="18"/>
        <v>1215</v>
      </c>
      <c r="B1224" s="281"/>
      <c r="C1224" s="285"/>
      <c r="D1224" s="283"/>
      <c r="E1224" s="303"/>
    </row>
    <row r="1225" spans="1:5" s="2" customFormat="1" ht="24" customHeight="1">
      <c r="A1225" s="280">
        <f t="shared" si="18"/>
        <v>1216</v>
      </c>
      <c r="B1225" s="281"/>
      <c r="C1225" s="285"/>
      <c r="D1225" s="283"/>
      <c r="E1225" s="303"/>
    </row>
    <row r="1226" spans="1:5" s="2" customFormat="1" ht="24" customHeight="1">
      <c r="A1226" s="280">
        <f t="shared" si="18"/>
        <v>1217</v>
      </c>
      <c r="B1226" s="281"/>
      <c r="C1226" s="285"/>
      <c r="D1226" s="283"/>
      <c r="E1226" s="303"/>
    </row>
    <row r="1227" spans="1:5" s="2" customFormat="1" ht="24" customHeight="1">
      <c r="A1227" s="280">
        <f t="shared" si="18"/>
        <v>1218</v>
      </c>
      <c r="B1227" s="281"/>
      <c r="C1227" s="285"/>
      <c r="D1227" s="283"/>
      <c r="E1227" s="303"/>
    </row>
    <row r="1228" spans="1:5" s="2" customFormat="1" ht="24" customHeight="1">
      <c r="A1228" s="280">
        <f t="shared" ref="A1228:A1291" si="19">A1227+1</f>
        <v>1219</v>
      </c>
      <c r="B1228" s="281"/>
      <c r="C1228" s="285"/>
      <c r="D1228" s="283"/>
      <c r="E1228" s="303"/>
    </row>
    <row r="1229" spans="1:5" s="2" customFormat="1" ht="24" customHeight="1">
      <c r="A1229" s="280">
        <f t="shared" si="19"/>
        <v>1220</v>
      </c>
      <c r="B1229" s="281"/>
      <c r="C1229" s="285"/>
      <c r="D1229" s="283"/>
      <c r="E1229" s="303"/>
    </row>
    <row r="1230" spans="1:5" s="2" customFormat="1" ht="24" customHeight="1">
      <c r="A1230" s="280">
        <f t="shared" si="19"/>
        <v>1221</v>
      </c>
      <c r="B1230" s="281"/>
      <c r="C1230" s="285"/>
      <c r="D1230" s="283"/>
      <c r="E1230" s="303"/>
    </row>
    <row r="1231" spans="1:5" s="2" customFormat="1" ht="24" customHeight="1">
      <c r="A1231" s="280">
        <f t="shared" si="19"/>
        <v>1222</v>
      </c>
      <c r="B1231" s="281"/>
      <c r="C1231" s="285"/>
      <c r="D1231" s="283"/>
      <c r="E1231" s="303"/>
    </row>
    <row r="1232" spans="1:5" s="2" customFormat="1" ht="24" customHeight="1">
      <c r="A1232" s="280">
        <f t="shared" si="19"/>
        <v>1223</v>
      </c>
      <c r="B1232" s="281"/>
      <c r="C1232" s="285"/>
      <c r="D1232" s="283"/>
      <c r="E1232" s="303"/>
    </row>
    <row r="1233" spans="1:5" s="2" customFormat="1" ht="24" customHeight="1">
      <c r="A1233" s="280">
        <f t="shared" si="19"/>
        <v>1224</v>
      </c>
      <c r="B1233" s="281"/>
      <c r="C1233" s="285"/>
      <c r="D1233" s="283"/>
      <c r="E1233" s="303"/>
    </row>
    <row r="1234" spans="1:5" s="2" customFormat="1" ht="24" customHeight="1">
      <c r="A1234" s="280">
        <f t="shared" si="19"/>
        <v>1225</v>
      </c>
      <c r="B1234" s="281"/>
      <c r="C1234" s="285"/>
      <c r="D1234" s="283"/>
      <c r="E1234" s="303"/>
    </row>
    <row r="1235" spans="1:5" s="2" customFormat="1" ht="24" customHeight="1">
      <c r="A1235" s="280">
        <f t="shared" si="19"/>
        <v>1226</v>
      </c>
      <c r="B1235" s="281"/>
      <c r="C1235" s="285"/>
      <c r="D1235" s="283"/>
      <c r="E1235" s="303"/>
    </row>
    <row r="1236" spans="1:5" s="2" customFormat="1" ht="24" customHeight="1">
      <c r="A1236" s="280">
        <f t="shared" si="19"/>
        <v>1227</v>
      </c>
      <c r="B1236" s="281"/>
      <c r="C1236" s="285"/>
      <c r="D1236" s="283"/>
      <c r="E1236" s="303"/>
    </row>
    <row r="1237" spans="1:5" s="2" customFormat="1" ht="24" customHeight="1">
      <c r="A1237" s="280">
        <f t="shared" si="19"/>
        <v>1228</v>
      </c>
      <c r="B1237" s="281"/>
      <c r="C1237" s="285"/>
      <c r="D1237" s="283"/>
      <c r="E1237" s="303"/>
    </row>
    <row r="1238" spans="1:5" s="2" customFormat="1" ht="24" customHeight="1">
      <c r="A1238" s="280">
        <f t="shared" si="19"/>
        <v>1229</v>
      </c>
      <c r="B1238" s="281"/>
      <c r="C1238" s="285"/>
      <c r="D1238" s="283"/>
      <c r="E1238" s="303"/>
    </row>
    <row r="1239" spans="1:5" s="2" customFormat="1" ht="24" customHeight="1">
      <c r="A1239" s="280">
        <f t="shared" si="19"/>
        <v>1230</v>
      </c>
      <c r="B1239" s="281"/>
      <c r="C1239" s="285"/>
      <c r="D1239" s="283"/>
      <c r="E1239" s="303"/>
    </row>
    <row r="1240" spans="1:5" s="2" customFormat="1" ht="24" customHeight="1">
      <c r="A1240" s="280">
        <f t="shared" si="19"/>
        <v>1231</v>
      </c>
      <c r="B1240" s="281"/>
      <c r="C1240" s="285"/>
      <c r="D1240" s="283"/>
      <c r="E1240" s="303"/>
    </row>
    <row r="1241" spans="1:5" s="2" customFormat="1" ht="24" customHeight="1">
      <c r="A1241" s="280">
        <f t="shared" si="19"/>
        <v>1232</v>
      </c>
      <c r="B1241" s="281"/>
      <c r="C1241" s="285"/>
      <c r="D1241" s="283"/>
      <c r="E1241" s="303"/>
    </row>
    <row r="1242" spans="1:5" s="2" customFormat="1" ht="24" customHeight="1">
      <c r="A1242" s="280">
        <f t="shared" si="19"/>
        <v>1233</v>
      </c>
      <c r="B1242" s="281"/>
      <c r="C1242" s="285"/>
      <c r="D1242" s="283"/>
      <c r="E1242" s="303"/>
    </row>
    <row r="1243" spans="1:5" s="2" customFormat="1" ht="24" customHeight="1">
      <c r="A1243" s="280">
        <f t="shared" si="19"/>
        <v>1234</v>
      </c>
      <c r="B1243" s="281"/>
      <c r="C1243" s="285"/>
      <c r="D1243" s="283"/>
      <c r="E1243" s="303"/>
    </row>
    <row r="1244" spans="1:5" s="2" customFormat="1" ht="24" customHeight="1">
      <c r="A1244" s="280">
        <f t="shared" si="19"/>
        <v>1235</v>
      </c>
      <c r="B1244" s="281"/>
      <c r="C1244" s="285"/>
      <c r="D1244" s="283"/>
      <c r="E1244" s="303"/>
    </row>
    <row r="1245" spans="1:5" s="2" customFormat="1" ht="24" customHeight="1">
      <c r="A1245" s="280">
        <f t="shared" si="19"/>
        <v>1236</v>
      </c>
      <c r="B1245" s="281"/>
      <c r="C1245" s="285"/>
      <c r="D1245" s="283"/>
      <c r="E1245" s="303"/>
    </row>
    <row r="1246" spans="1:5" s="2" customFormat="1" ht="24" customHeight="1">
      <c r="A1246" s="280">
        <f t="shared" si="19"/>
        <v>1237</v>
      </c>
      <c r="B1246" s="281"/>
      <c r="C1246" s="285"/>
      <c r="D1246" s="283"/>
      <c r="E1246" s="303"/>
    </row>
    <row r="1247" spans="1:5" s="2" customFormat="1" ht="24" customHeight="1">
      <c r="A1247" s="280">
        <f t="shared" si="19"/>
        <v>1238</v>
      </c>
      <c r="B1247" s="281"/>
      <c r="C1247" s="285"/>
      <c r="D1247" s="283"/>
      <c r="E1247" s="303"/>
    </row>
    <row r="1248" spans="1:5" s="2" customFormat="1" ht="24" customHeight="1">
      <c r="A1248" s="280">
        <f t="shared" si="19"/>
        <v>1239</v>
      </c>
      <c r="B1248" s="281"/>
      <c r="C1248" s="285"/>
      <c r="D1248" s="283"/>
      <c r="E1248" s="303"/>
    </row>
    <row r="1249" spans="1:5" s="2" customFormat="1" ht="24" customHeight="1">
      <c r="A1249" s="280">
        <f t="shared" si="19"/>
        <v>1240</v>
      </c>
      <c r="B1249" s="281"/>
      <c r="C1249" s="285"/>
      <c r="D1249" s="283"/>
      <c r="E1249" s="303"/>
    </row>
    <row r="1250" spans="1:5" s="2" customFormat="1" ht="24" customHeight="1">
      <c r="A1250" s="280">
        <f t="shared" si="19"/>
        <v>1241</v>
      </c>
      <c r="B1250" s="281"/>
      <c r="C1250" s="285"/>
      <c r="D1250" s="283"/>
      <c r="E1250" s="303"/>
    </row>
    <row r="1251" spans="1:5" s="2" customFormat="1" ht="24" customHeight="1">
      <c r="A1251" s="280">
        <f t="shared" si="19"/>
        <v>1242</v>
      </c>
      <c r="B1251" s="281"/>
      <c r="C1251" s="285"/>
      <c r="D1251" s="283"/>
      <c r="E1251" s="303"/>
    </row>
    <row r="1252" spans="1:5" s="2" customFormat="1" ht="24" customHeight="1">
      <c r="A1252" s="280">
        <f t="shared" si="19"/>
        <v>1243</v>
      </c>
      <c r="B1252" s="281"/>
      <c r="C1252" s="285"/>
      <c r="D1252" s="283"/>
      <c r="E1252" s="303"/>
    </row>
    <row r="1253" spans="1:5" s="2" customFormat="1" ht="24" customHeight="1">
      <c r="A1253" s="280">
        <f t="shared" si="19"/>
        <v>1244</v>
      </c>
      <c r="B1253" s="281"/>
      <c r="C1253" s="285"/>
      <c r="D1253" s="283"/>
      <c r="E1253" s="303"/>
    </row>
    <row r="1254" spans="1:5" s="2" customFormat="1" ht="24" customHeight="1">
      <c r="A1254" s="280">
        <f t="shared" si="19"/>
        <v>1245</v>
      </c>
      <c r="B1254" s="281"/>
      <c r="C1254" s="285"/>
      <c r="D1254" s="283"/>
      <c r="E1254" s="303"/>
    </row>
    <row r="1255" spans="1:5" s="2" customFormat="1" ht="24" customHeight="1">
      <c r="A1255" s="280">
        <f t="shared" si="19"/>
        <v>1246</v>
      </c>
      <c r="B1255" s="281"/>
      <c r="C1255" s="285"/>
      <c r="D1255" s="283"/>
      <c r="E1255" s="303"/>
    </row>
    <row r="1256" spans="1:5" s="2" customFormat="1" ht="24" customHeight="1">
      <c r="A1256" s="280">
        <f t="shared" si="19"/>
        <v>1247</v>
      </c>
      <c r="B1256" s="281"/>
      <c r="C1256" s="285"/>
      <c r="D1256" s="283"/>
      <c r="E1256" s="303"/>
    </row>
    <row r="1257" spans="1:5" s="2" customFormat="1" ht="24" customHeight="1">
      <c r="A1257" s="280">
        <f t="shared" si="19"/>
        <v>1248</v>
      </c>
      <c r="B1257" s="281"/>
      <c r="C1257" s="285"/>
      <c r="D1257" s="283"/>
      <c r="E1257" s="303"/>
    </row>
    <row r="1258" spans="1:5" s="2" customFormat="1" ht="24" customHeight="1">
      <c r="A1258" s="280">
        <f t="shared" si="19"/>
        <v>1249</v>
      </c>
      <c r="B1258" s="281"/>
      <c r="C1258" s="285"/>
      <c r="D1258" s="283"/>
      <c r="E1258" s="303"/>
    </row>
    <row r="1259" spans="1:5" s="2" customFormat="1" ht="24" customHeight="1">
      <c r="A1259" s="280">
        <f t="shared" si="19"/>
        <v>1250</v>
      </c>
      <c r="B1259" s="281"/>
      <c r="C1259" s="285"/>
      <c r="D1259" s="283"/>
      <c r="E1259" s="303"/>
    </row>
    <row r="1260" spans="1:5" s="2" customFormat="1" ht="24" customHeight="1">
      <c r="A1260" s="280">
        <f t="shared" si="19"/>
        <v>1251</v>
      </c>
      <c r="B1260" s="281"/>
      <c r="C1260" s="285"/>
      <c r="D1260" s="283"/>
      <c r="E1260" s="303"/>
    </row>
    <row r="1261" spans="1:5" s="2" customFormat="1" ht="24" customHeight="1">
      <c r="A1261" s="280">
        <f t="shared" si="19"/>
        <v>1252</v>
      </c>
      <c r="B1261" s="281"/>
      <c r="C1261" s="285"/>
      <c r="D1261" s="283"/>
      <c r="E1261" s="303"/>
    </row>
    <row r="1262" spans="1:5" s="2" customFormat="1" ht="24" customHeight="1">
      <c r="A1262" s="280">
        <f t="shared" si="19"/>
        <v>1253</v>
      </c>
      <c r="B1262" s="281"/>
      <c r="C1262" s="285"/>
      <c r="D1262" s="283"/>
      <c r="E1262" s="303"/>
    </row>
    <row r="1263" spans="1:5" s="2" customFormat="1" ht="24" customHeight="1">
      <c r="A1263" s="280">
        <f t="shared" si="19"/>
        <v>1254</v>
      </c>
      <c r="B1263" s="281"/>
      <c r="C1263" s="285"/>
      <c r="D1263" s="283"/>
      <c r="E1263" s="303"/>
    </row>
    <row r="1264" spans="1:5" s="2" customFormat="1" ht="24" customHeight="1">
      <c r="A1264" s="280">
        <f t="shared" si="19"/>
        <v>1255</v>
      </c>
      <c r="B1264" s="281"/>
      <c r="C1264" s="285"/>
      <c r="D1264" s="283"/>
      <c r="E1264" s="303"/>
    </row>
    <row r="1265" spans="1:5" s="2" customFormat="1" ht="24" customHeight="1">
      <c r="A1265" s="280">
        <f t="shared" si="19"/>
        <v>1256</v>
      </c>
      <c r="B1265" s="281"/>
      <c r="C1265" s="285"/>
      <c r="D1265" s="283"/>
      <c r="E1265" s="303"/>
    </row>
    <row r="1266" spans="1:5" s="2" customFormat="1" ht="24" customHeight="1">
      <c r="A1266" s="280">
        <f t="shared" si="19"/>
        <v>1257</v>
      </c>
      <c r="B1266" s="281"/>
      <c r="C1266" s="285"/>
      <c r="D1266" s="283"/>
      <c r="E1266" s="303"/>
    </row>
    <row r="1267" spans="1:5" s="2" customFormat="1" ht="24" customHeight="1">
      <c r="A1267" s="280">
        <f t="shared" si="19"/>
        <v>1258</v>
      </c>
      <c r="B1267" s="281"/>
      <c r="C1267" s="285"/>
      <c r="D1267" s="283"/>
      <c r="E1267" s="303"/>
    </row>
    <row r="1268" spans="1:5" s="2" customFormat="1" ht="24" customHeight="1">
      <c r="A1268" s="280">
        <f t="shared" si="19"/>
        <v>1259</v>
      </c>
      <c r="B1268" s="281"/>
      <c r="C1268" s="285"/>
      <c r="D1268" s="283"/>
      <c r="E1268" s="303"/>
    </row>
    <row r="1269" spans="1:5" s="2" customFormat="1" ht="24" customHeight="1">
      <c r="A1269" s="280">
        <f t="shared" si="19"/>
        <v>1260</v>
      </c>
      <c r="B1269" s="281"/>
      <c r="C1269" s="285"/>
      <c r="D1269" s="283"/>
      <c r="E1269" s="303"/>
    </row>
    <row r="1270" spans="1:5" s="2" customFormat="1" ht="24" customHeight="1">
      <c r="A1270" s="280">
        <f t="shared" si="19"/>
        <v>1261</v>
      </c>
      <c r="B1270" s="281"/>
      <c r="C1270" s="285"/>
      <c r="D1270" s="283"/>
      <c r="E1270" s="303"/>
    </row>
    <row r="1271" spans="1:5" s="2" customFormat="1" ht="24" customHeight="1">
      <c r="A1271" s="280">
        <f t="shared" si="19"/>
        <v>1262</v>
      </c>
      <c r="B1271" s="281"/>
      <c r="C1271" s="285"/>
      <c r="D1271" s="283"/>
      <c r="E1271" s="303"/>
    </row>
    <row r="1272" spans="1:5" s="2" customFormat="1" ht="24" customHeight="1">
      <c r="A1272" s="280">
        <f t="shared" si="19"/>
        <v>1263</v>
      </c>
      <c r="B1272" s="281"/>
      <c r="C1272" s="285"/>
      <c r="D1272" s="283"/>
      <c r="E1272" s="303"/>
    </row>
    <row r="1273" spans="1:5" s="2" customFormat="1" ht="24" customHeight="1">
      <c r="A1273" s="280">
        <f t="shared" si="19"/>
        <v>1264</v>
      </c>
      <c r="B1273" s="281"/>
      <c r="C1273" s="285"/>
      <c r="D1273" s="283"/>
      <c r="E1273" s="303"/>
    </row>
    <row r="1274" spans="1:5" s="2" customFormat="1" ht="24" customHeight="1">
      <c r="A1274" s="280">
        <f t="shared" si="19"/>
        <v>1265</v>
      </c>
      <c r="B1274" s="281"/>
      <c r="C1274" s="285"/>
      <c r="D1274" s="283"/>
      <c r="E1274" s="303"/>
    </row>
    <row r="1275" spans="1:5" s="2" customFormat="1" ht="24" customHeight="1">
      <c r="A1275" s="280">
        <f t="shared" si="19"/>
        <v>1266</v>
      </c>
      <c r="B1275" s="281"/>
      <c r="C1275" s="285"/>
      <c r="D1275" s="283"/>
      <c r="E1275" s="303"/>
    </row>
    <row r="1276" spans="1:5" s="2" customFormat="1" ht="24" customHeight="1">
      <c r="A1276" s="280">
        <f t="shared" si="19"/>
        <v>1267</v>
      </c>
      <c r="B1276" s="281"/>
      <c r="C1276" s="285"/>
      <c r="D1276" s="283"/>
      <c r="E1276" s="303"/>
    </row>
    <row r="1277" spans="1:5" s="2" customFormat="1" ht="24" customHeight="1">
      <c r="A1277" s="280">
        <f t="shared" si="19"/>
        <v>1268</v>
      </c>
      <c r="B1277" s="281"/>
      <c r="C1277" s="285"/>
      <c r="D1277" s="283"/>
      <c r="E1277" s="303"/>
    </row>
    <row r="1278" spans="1:5" s="2" customFormat="1" ht="24" customHeight="1">
      <c r="A1278" s="280">
        <f t="shared" si="19"/>
        <v>1269</v>
      </c>
      <c r="B1278" s="281"/>
      <c r="C1278" s="285"/>
      <c r="D1278" s="283"/>
      <c r="E1278" s="303"/>
    </row>
    <row r="1279" spans="1:5" s="2" customFormat="1" ht="24" customHeight="1">
      <c r="A1279" s="280">
        <f t="shared" si="19"/>
        <v>1270</v>
      </c>
      <c r="B1279" s="281"/>
      <c r="C1279" s="285"/>
      <c r="D1279" s="283"/>
      <c r="E1279" s="303"/>
    </row>
    <row r="1280" spans="1:5" s="2" customFormat="1" ht="24" customHeight="1">
      <c r="A1280" s="280">
        <f t="shared" si="19"/>
        <v>1271</v>
      </c>
      <c r="B1280" s="281"/>
      <c r="C1280" s="285"/>
      <c r="D1280" s="283"/>
      <c r="E1280" s="303"/>
    </row>
    <row r="1281" spans="1:5" s="2" customFormat="1" ht="24" customHeight="1">
      <c r="A1281" s="280">
        <f t="shared" si="19"/>
        <v>1272</v>
      </c>
      <c r="B1281" s="281"/>
      <c r="C1281" s="285"/>
      <c r="D1281" s="283"/>
      <c r="E1281" s="303"/>
    </row>
    <row r="1282" spans="1:5" s="2" customFormat="1" ht="24" customHeight="1">
      <c r="A1282" s="280">
        <f t="shared" si="19"/>
        <v>1273</v>
      </c>
      <c r="B1282" s="281"/>
      <c r="C1282" s="285"/>
      <c r="D1282" s="283"/>
      <c r="E1282" s="303"/>
    </row>
    <row r="1283" spans="1:5" s="2" customFormat="1" ht="24" customHeight="1">
      <c r="A1283" s="280">
        <f t="shared" si="19"/>
        <v>1274</v>
      </c>
      <c r="B1283" s="281"/>
      <c r="C1283" s="285"/>
      <c r="D1283" s="283"/>
      <c r="E1283" s="303"/>
    </row>
    <row r="1284" spans="1:5" s="2" customFormat="1" ht="24" customHeight="1">
      <c r="A1284" s="280">
        <f t="shared" si="19"/>
        <v>1275</v>
      </c>
      <c r="B1284" s="281"/>
      <c r="C1284" s="285"/>
      <c r="D1284" s="283"/>
      <c r="E1284" s="303"/>
    </row>
    <row r="1285" spans="1:5" s="2" customFormat="1" ht="24" customHeight="1">
      <c r="A1285" s="280">
        <f t="shared" si="19"/>
        <v>1276</v>
      </c>
      <c r="B1285" s="281"/>
      <c r="C1285" s="285"/>
      <c r="D1285" s="283"/>
      <c r="E1285" s="303"/>
    </row>
    <row r="1286" spans="1:5" s="2" customFormat="1" ht="24" customHeight="1">
      <c r="A1286" s="280">
        <f t="shared" si="19"/>
        <v>1277</v>
      </c>
      <c r="B1286" s="281"/>
      <c r="C1286" s="285"/>
      <c r="D1286" s="283"/>
      <c r="E1286" s="303"/>
    </row>
    <row r="1287" spans="1:5" s="2" customFormat="1" ht="24" customHeight="1">
      <c r="A1287" s="280">
        <f t="shared" si="19"/>
        <v>1278</v>
      </c>
      <c r="B1287" s="281"/>
      <c r="C1287" s="285"/>
      <c r="D1287" s="283"/>
      <c r="E1287" s="303"/>
    </row>
    <row r="1288" spans="1:5" s="2" customFormat="1" ht="24" customHeight="1">
      <c r="A1288" s="280">
        <f t="shared" si="19"/>
        <v>1279</v>
      </c>
      <c r="B1288" s="281"/>
      <c r="C1288" s="285"/>
      <c r="D1288" s="283"/>
      <c r="E1288" s="303"/>
    </row>
    <row r="1289" spans="1:5" s="2" customFormat="1" ht="24" customHeight="1">
      <c r="A1289" s="280">
        <f t="shared" si="19"/>
        <v>1280</v>
      </c>
      <c r="B1289" s="281"/>
      <c r="C1289" s="285"/>
      <c r="D1289" s="283"/>
      <c r="E1289" s="303"/>
    </row>
    <row r="1290" spans="1:5" s="2" customFormat="1" ht="24" customHeight="1">
      <c r="A1290" s="280">
        <f t="shared" si="19"/>
        <v>1281</v>
      </c>
      <c r="B1290" s="281"/>
      <c r="C1290" s="285"/>
      <c r="D1290" s="283"/>
      <c r="E1290" s="303"/>
    </row>
    <row r="1291" spans="1:5" s="2" customFormat="1" ht="24" customHeight="1">
      <c r="A1291" s="280">
        <f t="shared" si="19"/>
        <v>1282</v>
      </c>
      <c r="B1291" s="281"/>
      <c r="C1291" s="285"/>
      <c r="D1291" s="283"/>
      <c r="E1291" s="303"/>
    </row>
    <row r="1292" spans="1:5" s="2" customFormat="1" ht="24" customHeight="1">
      <c r="A1292" s="280">
        <f t="shared" ref="A1292:A1355" si="20">A1291+1</f>
        <v>1283</v>
      </c>
      <c r="B1292" s="281"/>
      <c r="C1292" s="285"/>
      <c r="D1292" s="283"/>
      <c r="E1292" s="303"/>
    </row>
    <row r="1293" spans="1:5" s="2" customFormat="1" ht="24" customHeight="1">
      <c r="A1293" s="280">
        <f t="shared" si="20"/>
        <v>1284</v>
      </c>
      <c r="B1293" s="281"/>
      <c r="C1293" s="285"/>
      <c r="D1293" s="283"/>
      <c r="E1293" s="303"/>
    </row>
    <row r="1294" spans="1:5" s="2" customFormat="1" ht="24" customHeight="1">
      <c r="A1294" s="280">
        <f t="shared" si="20"/>
        <v>1285</v>
      </c>
      <c r="B1294" s="281"/>
      <c r="C1294" s="285"/>
      <c r="D1294" s="283"/>
      <c r="E1294" s="303"/>
    </row>
    <row r="1295" spans="1:5" s="2" customFormat="1" ht="24" customHeight="1">
      <c r="A1295" s="280">
        <f t="shared" si="20"/>
        <v>1286</v>
      </c>
      <c r="B1295" s="281"/>
      <c r="C1295" s="285"/>
      <c r="D1295" s="283"/>
      <c r="E1295" s="303"/>
    </row>
    <row r="1296" spans="1:5" s="2" customFormat="1" ht="24" customHeight="1">
      <c r="A1296" s="280">
        <f t="shared" si="20"/>
        <v>1287</v>
      </c>
      <c r="B1296" s="281"/>
      <c r="C1296" s="285"/>
      <c r="D1296" s="283"/>
      <c r="E1296" s="303"/>
    </row>
    <row r="1297" spans="1:5" s="2" customFormat="1" ht="24" customHeight="1">
      <c r="A1297" s="280">
        <f t="shared" si="20"/>
        <v>1288</v>
      </c>
      <c r="B1297" s="281"/>
      <c r="C1297" s="285"/>
      <c r="D1297" s="283"/>
      <c r="E1297" s="303"/>
    </row>
    <row r="1298" spans="1:5" s="2" customFormat="1" ht="24" customHeight="1">
      <c r="A1298" s="280">
        <f t="shared" si="20"/>
        <v>1289</v>
      </c>
      <c r="B1298" s="281"/>
      <c r="C1298" s="285"/>
      <c r="D1298" s="283"/>
      <c r="E1298" s="303"/>
    </row>
    <row r="1299" spans="1:5" s="2" customFormat="1" ht="24" customHeight="1">
      <c r="A1299" s="280">
        <f t="shared" si="20"/>
        <v>1290</v>
      </c>
      <c r="B1299" s="281"/>
      <c r="C1299" s="285"/>
      <c r="D1299" s="283"/>
      <c r="E1299" s="303"/>
    </row>
    <row r="1300" spans="1:5" s="2" customFormat="1" ht="24" customHeight="1">
      <c r="A1300" s="280">
        <f t="shared" si="20"/>
        <v>1291</v>
      </c>
      <c r="B1300" s="281"/>
      <c r="C1300" s="285"/>
      <c r="D1300" s="283"/>
      <c r="E1300" s="303"/>
    </row>
    <row r="1301" spans="1:5" s="2" customFormat="1" ht="24" customHeight="1">
      <c r="A1301" s="280">
        <f t="shared" si="20"/>
        <v>1292</v>
      </c>
      <c r="B1301" s="281"/>
      <c r="C1301" s="285"/>
      <c r="D1301" s="283"/>
      <c r="E1301" s="303"/>
    </row>
    <row r="1302" spans="1:5" s="2" customFormat="1" ht="24" customHeight="1">
      <c r="A1302" s="280">
        <f t="shared" si="20"/>
        <v>1293</v>
      </c>
      <c r="B1302" s="281"/>
      <c r="C1302" s="285"/>
      <c r="D1302" s="283"/>
      <c r="E1302" s="303"/>
    </row>
    <row r="1303" spans="1:5" s="2" customFormat="1" ht="24" customHeight="1">
      <c r="A1303" s="280">
        <f t="shared" si="20"/>
        <v>1294</v>
      </c>
      <c r="B1303" s="281"/>
      <c r="C1303" s="285"/>
      <c r="D1303" s="283"/>
      <c r="E1303" s="303"/>
    </row>
    <row r="1304" spans="1:5" s="2" customFormat="1" ht="24" customHeight="1">
      <c r="A1304" s="280">
        <f t="shared" si="20"/>
        <v>1295</v>
      </c>
      <c r="B1304" s="281"/>
      <c r="C1304" s="285"/>
      <c r="D1304" s="283"/>
      <c r="E1304" s="303"/>
    </row>
    <row r="1305" spans="1:5" s="2" customFormat="1" ht="24" customHeight="1">
      <c r="A1305" s="280">
        <f t="shared" si="20"/>
        <v>1296</v>
      </c>
      <c r="B1305" s="281"/>
      <c r="C1305" s="285"/>
      <c r="D1305" s="283"/>
      <c r="E1305" s="303"/>
    </row>
    <row r="1306" spans="1:5" s="2" customFormat="1" ht="24" customHeight="1">
      <c r="A1306" s="280">
        <f t="shared" si="20"/>
        <v>1297</v>
      </c>
      <c r="B1306" s="281"/>
      <c r="C1306" s="285"/>
      <c r="D1306" s="283"/>
      <c r="E1306" s="303"/>
    </row>
    <row r="1307" spans="1:5" s="2" customFormat="1" ht="24" customHeight="1">
      <c r="A1307" s="280">
        <f t="shared" si="20"/>
        <v>1298</v>
      </c>
      <c r="B1307" s="281"/>
      <c r="C1307" s="285"/>
      <c r="D1307" s="283"/>
      <c r="E1307" s="303"/>
    </row>
    <row r="1308" spans="1:5" s="2" customFormat="1" ht="24" customHeight="1">
      <c r="A1308" s="280">
        <f t="shared" si="20"/>
        <v>1299</v>
      </c>
      <c r="B1308" s="281"/>
      <c r="C1308" s="285"/>
      <c r="D1308" s="283"/>
      <c r="E1308" s="303"/>
    </row>
    <row r="1309" spans="1:5" s="2" customFormat="1" ht="24" customHeight="1">
      <c r="A1309" s="280">
        <f t="shared" si="20"/>
        <v>1300</v>
      </c>
      <c r="B1309" s="281"/>
      <c r="C1309" s="285"/>
      <c r="D1309" s="283"/>
      <c r="E1309" s="303"/>
    </row>
    <row r="1310" spans="1:5" s="2" customFormat="1" ht="24" customHeight="1">
      <c r="A1310" s="280">
        <f t="shared" si="20"/>
        <v>1301</v>
      </c>
      <c r="B1310" s="281"/>
      <c r="C1310" s="285"/>
      <c r="D1310" s="283"/>
      <c r="E1310" s="303"/>
    </row>
    <row r="1311" spans="1:5" s="2" customFormat="1" ht="24" customHeight="1">
      <c r="A1311" s="280">
        <f t="shared" si="20"/>
        <v>1302</v>
      </c>
      <c r="B1311" s="281"/>
      <c r="C1311" s="285"/>
      <c r="D1311" s="283"/>
      <c r="E1311" s="303"/>
    </row>
    <row r="1312" spans="1:5" s="2" customFormat="1" ht="24" customHeight="1">
      <c r="A1312" s="280">
        <f t="shared" si="20"/>
        <v>1303</v>
      </c>
      <c r="B1312" s="281"/>
      <c r="C1312" s="285"/>
      <c r="D1312" s="283"/>
      <c r="E1312" s="303"/>
    </row>
    <row r="1313" spans="1:5" s="2" customFormat="1" ht="24" customHeight="1">
      <c r="A1313" s="280">
        <f t="shared" si="20"/>
        <v>1304</v>
      </c>
      <c r="B1313" s="281"/>
      <c r="C1313" s="285"/>
      <c r="D1313" s="283"/>
      <c r="E1313" s="303"/>
    </row>
    <row r="1314" spans="1:5" s="2" customFormat="1" ht="24" customHeight="1">
      <c r="A1314" s="280">
        <f t="shared" si="20"/>
        <v>1305</v>
      </c>
      <c r="B1314" s="281"/>
      <c r="C1314" s="285"/>
      <c r="D1314" s="283"/>
      <c r="E1314" s="303"/>
    </row>
    <row r="1315" spans="1:5" s="2" customFormat="1" ht="24" customHeight="1">
      <c r="A1315" s="280">
        <f t="shared" si="20"/>
        <v>1306</v>
      </c>
      <c r="B1315" s="281"/>
      <c r="C1315" s="285"/>
      <c r="D1315" s="283"/>
      <c r="E1315" s="303"/>
    </row>
    <row r="1316" spans="1:5" s="2" customFormat="1" ht="24" customHeight="1">
      <c r="A1316" s="280">
        <f t="shared" si="20"/>
        <v>1307</v>
      </c>
      <c r="B1316" s="281"/>
      <c r="C1316" s="285"/>
      <c r="D1316" s="283"/>
      <c r="E1316" s="303"/>
    </row>
    <row r="1317" spans="1:5" s="2" customFormat="1" ht="24" customHeight="1">
      <c r="A1317" s="280">
        <f t="shared" si="20"/>
        <v>1308</v>
      </c>
      <c r="B1317" s="281"/>
      <c r="C1317" s="285"/>
      <c r="D1317" s="283"/>
      <c r="E1317" s="303"/>
    </row>
    <row r="1318" spans="1:5" s="2" customFormat="1" ht="24" customHeight="1">
      <c r="A1318" s="280">
        <f t="shared" si="20"/>
        <v>1309</v>
      </c>
      <c r="B1318" s="281"/>
      <c r="C1318" s="285"/>
      <c r="D1318" s="283"/>
      <c r="E1318" s="303"/>
    </row>
    <row r="1319" spans="1:5" s="2" customFormat="1" ht="24" customHeight="1">
      <c r="A1319" s="280">
        <f t="shared" si="20"/>
        <v>1310</v>
      </c>
      <c r="B1319" s="281"/>
      <c r="C1319" s="285"/>
      <c r="D1319" s="283"/>
      <c r="E1319" s="303"/>
    </row>
    <row r="1320" spans="1:5" s="2" customFormat="1" ht="24" customHeight="1">
      <c r="A1320" s="280">
        <f t="shared" si="20"/>
        <v>1311</v>
      </c>
      <c r="B1320" s="281"/>
      <c r="C1320" s="285"/>
      <c r="D1320" s="283"/>
      <c r="E1320" s="303"/>
    </row>
    <row r="1321" spans="1:5" s="2" customFormat="1" ht="24" customHeight="1">
      <c r="A1321" s="280">
        <f t="shared" si="20"/>
        <v>1312</v>
      </c>
      <c r="B1321" s="281"/>
      <c r="C1321" s="285"/>
      <c r="D1321" s="283"/>
      <c r="E1321" s="303"/>
    </row>
    <row r="1322" spans="1:5" s="2" customFormat="1" ht="24" customHeight="1">
      <c r="A1322" s="280">
        <f t="shared" si="20"/>
        <v>1313</v>
      </c>
      <c r="B1322" s="281"/>
      <c r="C1322" s="285"/>
      <c r="D1322" s="283"/>
      <c r="E1322" s="303"/>
    </row>
    <row r="1323" spans="1:5" s="2" customFormat="1" ht="24" customHeight="1">
      <c r="A1323" s="280">
        <f t="shared" si="20"/>
        <v>1314</v>
      </c>
      <c r="B1323" s="281"/>
      <c r="C1323" s="285"/>
      <c r="D1323" s="283"/>
      <c r="E1323" s="303"/>
    </row>
    <row r="1324" spans="1:5" s="2" customFormat="1" ht="24" customHeight="1">
      <c r="A1324" s="280">
        <f t="shared" si="20"/>
        <v>1315</v>
      </c>
      <c r="B1324" s="281"/>
      <c r="C1324" s="285"/>
      <c r="D1324" s="283"/>
      <c r="E1324" s="303"/>
    </row>
    <row r="1325" spans="1:5" s="2" customFormat="1" ht="24" customHeight="1">
      <c r="A1325" s="280">
        <f t="shared" si="20"/>
        <v>1316</v>
      </c>
      <c r="B1325" s="281"/>
      <c r="C1325" s="285"/>
      <c r="D1325" s="283"/>
      <c r="E1325" s="303"/>
    </row>
    <row r="1326" spans="1:5" s="2" customFormat="1" ht="24" customHeight="1">
      <c r="A1326" s="280">
        <f t="shared" si="20"/>
        <v>1317</v>
      </c>
      <c r="B1326" s="281"/>
      <c r="C1326" s="285"/>
      <c r="D1326" s="283"/>
      <c r="E1326" s="303"/>
    </row>
    <row r="1327" spans="1:5" s="2" customFormat="1" ht="24" customHeight="1">
      <c r="A1327" s="280">
        <f t="shared" si="20"/>
        <v>1318</v>
      </c>
      <c r="B1327" s="281"/>
      <c r="C1327" s="285"/>
      <c r="D1327" s="283"/>
      <c r="E1327" s="303"/>
    </row>
    <row r="1328" spans="1:5" s="2" customFormat="1" ht="24" customHeight="1">
      <c r="A1328" s="280">
        <f t="shared" si="20"/>
        <v>1319</v>
      </c>
      <c r="B1328" s="281"/>
      <c r="C1328" s="285"/>
      <c r="D1328" s="283"/>
      <c r="E1328" s="303"/>
    </row>
    <row r="1329" spans="1:5" s="2" customFormat="1" ht="24" customHeight="1">
      <c r="A1329" s="280">
        <f t="shared" si="20"/>
        <v>1320</v>
      </c>
      <c r="B1329" s="281"/>
      <c r="C1329" s="285"/>
      <c r="D1329" s="283"/>
      <c r="E1329" s="303"/>
    </row>
    <row r="1330" spans="1:5" s="2" customFormat="1" ht="24" customHeight="1">
      <c r="A1330" s="280">
        <f t="shared" si="20"/>
        <v>1321</v>
      </c>
      <c r="B1330" s="281"/>
      <c r="C1330" s="285"/>
      <c r="D1330" s="283"/>
      <c r="E1330" s="303"/>
    </row>
    <row r="1331" spans="1:5" s="2" customFormat="1" ht="24" customHeight="1">
      <c r="A1331" s="280">
        <f t="shared" si="20"/>
        <v>1322</v>
      </c>
      <c r="B1331" s="281"/>
      <c r="C1331" s="285"/>
      <c r="D1331" s="283"/>
      <c r="E1331" s="303"/>
    </row>
    <row r="1332" spans="1:5" s="2" customFormat="1" ht="24" customHeight="1">
      <c r="A1332" s="280">
        <f t="shared" si="20"/>
        <v>1323</v>
      </c>
      <c r="B1332" s="281"/>
      <c r="C1332" s="285"/>
      <c r="D1332" s="283"/>
      <c r="E1332" s="303"/>
    </row>
    <row r="1333" spans="1:5" s="2" customFormat="1" ht="24" customHeight="1">
      <c r="A1333" s="280">
        <f t="shared" si="20"/>
        <v>1324</v>
      </c>
      <c r="B1333" s="281"/>
      <c r="C1333" s="285"/>
      <c r="D1333" s="283"/>
      <c r="E1333" s="303"/>
    </row>
    <row r="1334" spans="1:5" s="2" customFormat="1" ht="24" customHeight="1">
      <c r="A1334" s="280">
        <f t="shared" si="20"/>
        <v>1325</v>
      </c>
      <c r="B1334" s="281"/>
      <c r="C1334" s="285"/>
      <c r="D1334" s="283"/>
      <c r="E1334" s="303"/>
    </row>
    <row r="1335" spans="1:5" s="2" customFormat="1" ht="24" customHeight="1">
      <c r="A1335" s="280">
        <f t="shared" si="20"/>
        <v>1326</v>
      </c>
      <c r="B1335" s="281"/>
      <c r="C1335" s="285"/>
      <c r="D1335" s="283"/>
      <c r="E1335" s="303"/>
    </row>
    <row r="1336" spans="1:5" s="2" customFormat="1" ht="24" customHeight="1">
      <c r="A1336" s="280">
        <f t="shared" si="20"/>
        <v>1327</v>
      </c>
      <c r="B1336" s="281"/>
      <c r="C1336" s="285"/>
      <c r="D1336" s="283"/>
      <c r="E1336" s="303"/>
    </row>
    <row r="1337" spans="1:5" s="2" customFormat="1" ht="24" customHeight="1">
      <c r="A1337" s="280">
        <f t="shared" si="20"/>
        <v>1328</v>
      </c>
      <c r="B1337" s="281"/>
      <c r="C1337" s="285"/>
      <c r="D1337" s="283"/>
      <c r="E1337" s="303"/>
    </row>
    <row r="1338" spans="1:5" s="2" customFormat="1" ht="24" customHeight="1">
      <c r="A1338" s="280">
        <f t="shared" si="20"/>
        <v>1329</v>
      </c>
      <c r="B1338" s="281"/>
      <c r="C1338" s="285"/>
      <c r="D1338" s="283"/>
      <c r="E1338" s="303"/>
    </row>
    <row r="1339" spans="1:5" s="2" customFormat="1" ht="24" customHeight="1">
      <c r="A1339" s="280">
        <f t="shared" si="20"/>
        <v>1330</v>
      </c>
      <c r="B1339" s="281"/>
      <c r="C1339" s="285"/>
      <c r="D1339" s="283"/>
      <c r="E1339" s="303"/>
    </row>
    <row r="1340" spans="1:5" s="2" customFormat="1" ht="24" customHeight="1">
      <c r="A1340" s="280">
        <f t="shared" si="20"/>
        <v>1331</v>
      </c>
      <c r="B1340" s="281"/>
      <c r="C1340" s="285"/>
      <c r="D1340" s="283"/>
      <c r="E1340" s="303"/>
    </row>
    <row r="1341" spans="1:5" s="2" customFormat="1" ht="24" customHeight="1">
      <c r="A1341" s="280">
        <f t="shared" si="20"/>
        <v>1332</v>
      </c>
      <c r="B1341" s="281"/>
      <c r="C1341" s="285"/>
      <c r="D1341" s="283"/>
      <c r="E1341" s="303"/>
    </row>
    <row r="1342" spans="1:5" s="2" customFormat="1" ht="24" customHeight="1">
      <c r="A1342" s="280">
        <f t="shared" si="20"/>
        <v>1333</v>
      </c>
      <c r="B1342" s="281"/>
      <c r="C1342" s="285"/>
      <c r="D1342" s="283"/>
      <c r="E1342" s="303"/>
    </row>
    <row r="1343" spans="1:5" s="2" customFormat="1" ht="24" customHeight="1">
      <c r="A1343" s="280">
        <f t="shared" si="20"/>
        <v>1334</v>
      </c>
      <c r="B1343" s="281"/>
      <c r="C1343" s="285"/>
      <c r="D1343" s="283"/>
      <c r="E1343" s="303"/>
    </row>
    <row r="1344" spans="1:5" s="2" customFormat="1" ht="24" customHeight="1">
      <c r="A1344" s="280">
        <f t="shared" si="20"/>
        <v>1335</v>
      </c>
      <c r="B1344" s="281"/>
      <c r="C1344" s="285"/>
      <c r="D1344" s="283"/>
      <c r="E1344" s="303"/>
    </row>
    <row r="1345" spans="1:5" s="2" customFormat="1" ht="24" customHeight="1">
      <c r="A1345" s="280">
        <f t="shared" si="20"/>
        <v>1336</v>
      </c>
      <c r="B1345" s="281"/>
      <c r="C1345" s="285"/>
      <c r="D1345" s="283"/>
      <c r="E1345" s="303"/>
    </row>
    <row r="1346" spans="1:5" s="2" customFormat="1" ht="24" customHeight="1">
      <c r="A1346" s="280">
        <f t="shared" si="20"/>
        <v>1337</v>
      </c>
      <c r="B1346" s="281"/>
      <c r="C1346" s="285"/>
      <c r="D1346" s="283"/>
      <c r="E1346" s="303"/>
    </row>
    <row r="1347" spans="1:5" s="2" customFormat="1" ht="24" customHeight="1">
      <c r="A1347" s="280">
        <f t="shared" si="20"/>
        <v>1338</v>
      </c>
      <c r="B1347" s="281"/>
      <c r="C1347" s="285"/>
      <c r="D1347" s="283"/>
      <c r="E1347" s="303"/>
    </row>
    <row r="1348" spans="1:5" s="2" customFormat="1" ht="24" customHeight="1">
      <c r="A1348" s="280">
        <f t="shared" si="20"/>
        <v>1339</v>
      </c>
      <c r="B1348" s="281"/>
      <c r="C1348" s="285"/>
      <c r="D1348" s="283"/>
      <c r="E1348" s="303"/>
    </row>
    <row r="1349" spans="1:5" s="2" customFormat="1" ht="24" customHeight="1">
      <c r="A1349" s="280">
        <f t="shared" si="20"/>
        <v>1340</v>
      </c>
      <c r="B1349" s="281"/>
      <c r="C1349" s="285"/>
      <c r="D1349" s="283"/>
      <c r="E1349" s="303"/>
    </row>
    <row r="1350" spans="1:5" s="2" customFormat="1" ht="24" customHeight="1">
      <c r="A1350" s="280">
        <f t="shared" si="20"/>
        <v>1341</v>
      </c>
      <c r="B1350" s="281"/>
      <c r="C1350" s="285"/>
      <c r="D1350" s="283"/>
      <c r="E1350" s="303"/>
    </row>
    <row r="1351" spans="1:5" s="2" customFormat="1" ht="24" customHeight="1">
      <c r="A1351" s="280">
        <f t="shared" si="20"/>
        <v>1342</v>
      </c>
      <c r="B1351" s="281"/>
      <c r="C1351" s="285"/>
      <c r="D1351" s="283"/>
      <c r="E1351" s="303"/>
    </row>
    <row r="1352" spans="1:5" s="2" customFormat="1" ht="24" customHeight="1">
      <c r="A1352" s="280">
        <f t="shared" si="20"/>
        <v>1343</v>
      </c>
      <c r="B1352" s="281"/>
      <c r="C1352" s="285"/>
      <c r="D1352" s="283"/>
      <c r="E1352" s="303"/>
    </row>
    <row r="1353" spans="1:5" s="2" customFormat="1" ht="24" customHeight="1">
      <c r="A1353" s="280">
        <f t="shared" si="20"/>
        <v>1344</v>
      </c>
      <c r="B1353" s="281"/>
      <c r="C1353" s="285"/>
      <c r="D1353" s="283"/>
      <c r="E1353" s="303"/>
    </row>
    <row r="1354" spans="1:5" s="2" customFormat="1" ht="24" customHeight="1">
      <c r="A1354" s="280">
        <f t="shared" si="20"/>
        <v>1345</v>
      </c>
      <c r="B1354" s="281"/>
      <c r="C1354" s="285"/>
      <c r="D1354" s="283"/>
      <c r="E1354" s="303"/>
    </row>
    <row r="1355" spans="1:5" s="2" customFormat="1" ht="24" customHeight="1">
      <c r="A1355" s="280">
        <f t="shared" si="20"/>
        <v>1346</v>
      </c>
      <c r="B1355" s="281"/>
      <c r="C1355" s="285"/>
      <c r="D1355" s="283"/>
      <c r="E1355" s="303"/>
    </row>
    <row r="1356" spans="1:5" s="2" customFormat="1" ht="24" customHeight="1">
      <c r="A1356" s="280">
        <f t="shared" ref="A1356:A1419" si="21">A1355+1</f>
        <v>1347</v>
      </c>
      <c r="B1356" s="281"/>
      <c r="C1356" s="285"/>
      <c r="D1356" s="283"/>
      <c r="E1356" s="303"/>
    </row>
    <row r="1357" spans="1:5" s="2" customFormat="1" ht="24" customHeight="1">
      <c r="A1357" s="280">
        <f t="shared" si="21"/>
        <v>1348</v>
      </c>
      <c r="B1357" s="281"/>
      <c r="C1357" s="285"/>
      <c r="D1357" s="283"/>
      <c r="E1357" s="303"/>
    </row>
    <row r="1358" spans="1:5" s="2" customFormat="1" ht="24" customHeight="1">
      <c r="A1358" s="280">
        <f t="shared" si="21"/>
        <v>1349</v>
      </c>
      <c r="B1358" s="281"/>
      <c r="C1358" s="285"/>
      <c r="D1358" s="283"/>
      <c r="E1358" s="303"/>
    </row>
    <row r="1359" spans="1:5" s="2" customFormat="1" ht="24" customHeight="1">
      <c r="A1359" s="280">
        <f t="shared" si="21"/>
        <v>1350</v>
      </c>
      <c r="B1359" s="281"/>
      <c r="C1359" s="285"/>
      <c r="D1359" s="283"/>
      <c r="E1359" s="303"/>
    </row>
    <row r="1360" spans="1:5" s="2" customFormat="1" ht="24" customHeight="1">
      <c r="A1360" s="280">
        <f t="shared" si="21"/>
        <v>1351</v>
      </c>
      <c r="B1360" s="281"/>
      <c r="C1360" s="285"/>
      <c r="D1360" s="283"/>
      <c r="E1360" s="303"/>
    </row>
    <row r="1361" spans="1:5" s="2" customFormat="1" ht="24" customHeight="1">
      <c r="A1361" s="280">
        <f t="shared" si="21"/>
        <v>1352</v>
      </c>
      <c r="B1361" s="281"/>
      <c r="C1361" s="285"/>
      <c r="D1361" s="283"/>
      <c r="E1361" s="303"/>
    </row>
    <row r="1362" spans="1:5" s="2" customFormat="1" ht="24" customHeight="1">
      <c r="A1362" s="280">
        <f t="shared" si="21"/>
        <v>1353</v>
      </c>
      <c r="B1362" s="281"/>
      <c r="C1362" s="285"/>
      <c r="D1362" s="283"/>
      <c r="E1362" s="303"/>
    </row>
    <row r="1363" spans="1:5" s="2" customFormat="1" ht="24" customHeight="1">
      <c r="A1363" s="280">
        <f t="shared" si="21"/>
        <v>1354</v>
      </c>
      <c r="B1363" s="281"/>
      <c r="C1363" s="285"/>
      <c r="D1363" s="283"/>
      <c r="E1363" s="303"/>
    </row>
    <row r="1364" spans="1:5" s="2" customFormat="1" ht="24" customHeight="1">
      <c r="A1364" s="280">
        <f t="shared" si="21"/>
        <v>1355</v>
      </c>
      <c r="B1364" s="281"/>
      <c r="C1364" s="285"/>
      <c r="D1364" s="283"/>
      <c r="E1364" s="303"/>
    </row>
    <row r="1365" spans="1:5" s="2" customFormat="1" ht="24" customHeight="1">
      <c r="A1365" s="280">
        <f t="shared" si="21"/>
        <v>1356</v>
      </c>
      <c r="B1365" s="281"/>
      <c r="C1365" s="285"/>
      <c r="D1365" s="283"/>
      <c r="E1365" s="303"/>
    </row>
    <row r="1366" spans="1:5" s="2" customFormat="1" ht="24" customHeight="1">
      <c r="A1366" s="280">
        <f t="shared" si="21"/>
        <v>1357</v>
      </c>
      <c r="B1366" s="281"/>
      <c r="C1366" s="285"/>
      <c r="D1366" s="283"/>
      <c r="E1366" s="303"/>
    </row>
    <row r="1367" spans="1:5" s="2" customFormat="1" ht="24" customHeight="1">
      <c r="A1367" s="280">
        <f t="shared" si="21"/>
        <v>1358</v>
      </c>
      <c r="B1367" s="281"/>
      <c r="C1367" s="285"/>
      <c r="D1367" s="283"/>
      <c r="E1367" s="303"/>
    </row>
    <row r="1368" spans="1:5" s="2" customFormat="1" ht="24" customHeight="1">
      <c r="A1368" s="280">
        <f t="shared" si="21"/>
        <v>1359</v>
      </c>
      <c r="B1368" s="281"/>
      <c r="C1368" s="285"/>
      <c r="D1368" s="283"/>
      <c r="E1368" s="303"/>
    </row>
    <row r="1369" spans="1:5" s="2" customFormat="1" ht="24" customHeight="1">
      <c r="A1369" s="280">
        <f t="shared" si="21"/>
        <v>1360</v>
      </c>
      <c r="B1369" s="281"/>
      <c r="C1369" s="285"/>
      <c r="D1369" s="283"/>
      <c r="E1369" s="303"/>
    </row>
    <row r="1370" spans="1:5" s="2" customFormat="1" ht="24" customHeight="1">
      <c r="A1370" s="280">
        <f t="shared" si="21"/>
        <v>1361</v>
      </c>
      <c r="B1370" s="281"/>
      <c r="C1370" s="285"/>
      <c r="D1370" s="283"/>
      <c r="E1370" s="303"/>
    </row>
    <row r="1371" spans="1:5" s="2" customFormat="1" ht="24" customHeight="1">
      <c r="A1371" s="280">
        <f t="shared" si="21"/>
        <v>1362</v>
      </c>
      <c r="B1371" s="281"/>
      <c r="C1371" s="285"/>
      <c r="D1371" s="283"/>
      <c r="E1371" s="303"/>
    </row>
    <row r="1372" spans="1:5" s="2" customFormat="1" ht="24" customHeight="1">
      <c r="A1372" s="280">
        <f t="shared" si="21"/>
        <v>1363</v>
      </c>
      <c r="B1372" s="281"/>
      <c r="C1372" s="285"/>
      <c r="D1372" s="283"/>
      <c r="E1372" s="303"/>
    </row>
    <row r="1373" spans="1:5" s="2" customFormat="1" ht="24" customHeight="1">
      <c r="A1373" s="280">
        <f t="shared" si="21"/>
        <v>1364</v>
      </c>
      <c r="B1373" s="281"/>
      <c r="C1373" s="285"/>
      <c r="D1373" s="283"/>
      <c r="E1373" s="303"/>
    </row>
    <row r="1374" spans="1:5" s="2" customFormat="1" ht="24" customHeight="1">
      <c r="A1374" s="280">
        <f t="shared" si="21"/>
        <v>1365</v>
      </c>
      <c r="B1374" s="281"/>
      <c r="C1374" s="285"/>
      <c r="D1374" s="283"/>
      <c r="E1374" s="303"/>
    </row>
    <row r="1375" spans="1:5" s="2" customFormat="1" ht="24" customHeight="1">
      <c r="A1375" s="280">
        <f t="shared" si="21"/>
        <v>1366</v>
      </c>
      <c r="B1375" s="281"/>
      <c r="C1375" s="285"/>
      <c r="D1375" s="283"/>
      <c r="E1375" s="303"/>
    </row>
    <row r="1376" spans="1:5" s="2" customFormat="1" ht="24" customHeight="1">
      <c r="A1376" s="280">
        <f t="shared" si="21"/>
        <v>1367</v>
      </c>
      <c r="B1376" s="281"/>
      <c r="C1376" s="285"/>
      <c r="D1376" s="283"/>
      <c r="E1376" s="303"/>
    </row>
    <row r="1377" spans="1:5" s="2" customFormat="1" ht="24" customHeight="1">
      <c r="A1377" s="280">
        <f t="shared" si="21"/>
        <v>1368</v>
      </c>
      <c r="B1377" s="281"/>
      <c r="C1377" s="285"/>
      <c r="D1377" s="283"/>
      <c r="E1377" s="303"/>
    </row>
    <row r="1378" spans="1:5" s="2" customFormat="1" ht="24" customHeight="1">
      <c r="A1378" s="280">
        <f t="shared" si="21"/>
        <v>1369</v>
      </c>
      <c r="B1378" s="281"/>
      <c r="C1378" s="285"/>
      <c r="D1378" s="283"/>
      <c r="E1378" s="303"/>
    </row>
    <row r="1379" spans="1:5" s="2" customFormat="1" ht="24" customHeight="1">
      <c r="A1379" s="280">
        <f t="shared" si="21"/>
        <v>1370</v>
      </c>
      <c r="B1379" s="281"/>
      <c r="C1379" s="285"/>
      <c r="D1379" s="283"/>
      <c r="E1379" s="303"/>
    </row>
    <row r="1380" spans="1:5" s="2" customFormat="1" ht="24" customHeight="1">
      <c r="A1380" s="280">
        <f t="shared" si="21"/>
        <v>1371</v>
      </c>
      <c r="B1380" s="281"/>
      <c r="C1380" s="285"/>
      <c r="D1380" s="283"/>
      <c r="E1380" s="303"/>
    </row>
    <row r="1381" spans="1:5" s="2" customFormat="1" ht="24" customHeight="1">
      <c r="A1381" s="280">
        <f t="shared" si="21"/>
        <v>1372</v>
      </c>
      <c r="B1381" s="281"/>
      <c r="C1381" s="285"/>
      <c r="D1381" s="283"/>
      <c r="E1381" s="303"/>
    </row>
    <row r="1382" spans="1:5" s="2" customFormat="1" ht="24" customHeight="1">
      <c r="A1382" s="280">
        <f t="shared" si="21"/>
        <v>1373</v>
      </c>
      <c r="B1382" s="281"/>
      <c r="C1382" s="285"/>
      <c r="D1382" s="283"/>
      <c r="E1382" s="303"/>
    </row>
    <row r="1383" spans="1:5" s="2" customFormat="1" ht="24" customHeight="1">
      <c r="A1383" s="280">
        <f t="shared" si="21"/>
        <v>1374</v>
      </c>
      <c r="B1383" s="281"/>
      <c r="C1383" s="285"/>
      <c r="D1383" s="283"/>
      <c r="E1383" s="303"/>
    </row>
    <row r="1384" spans="1:5" s="2" customFormat="1" ht="24" customHeight="1">
      <c r="A1384" s="280">
        <f t="shared" si="21"/>
        <v>1375</v>
      </c>
      <c r="B1384" s="281"/>
      <c r="C1384" s="285"/>
      <c r="D1384" s="283"/>
      <c r="E1384" s="303"/>
    </row>
    <row r="1385" spans="1:5" s="2" customFormat="1" ht="24" customHeight="1">
      <c r="A1385" s="280">
        <f t="shared" si="21"/>
        <v>1376</v>
      </c>
      <c r="B1385" s="281"/>
      <c r="C1385" s="285"/>
      <c r="D1385" s="283"/>
      <c r="E1385" s="303"/>
    </row>
    <row r="1386" spans="1:5" s="2" customFormat="1" ht="24" customHeight="1">
      <c r="A1386" s="280">
        <f t="shared" si="21"/>
        <v>1377</v>
      </c>
      <c r="B1386" s="281"/>
      <c r="C1386" s="285"/>
      <c r="D1386" s="283"/>
      <c r="E1386" s="303"/>
    </row>
    <row r="1387" spans="1:5" s="2" customFormat="1" ht="24" customHeight="1">
      <c r="A1387" s="280">
        <f t="shared" si="21"/>
        <v>1378</v>
      </c>
      <c r="B1387" s="281"/>
      <c r="C1387" s="285"/>
      <c r="D1387" s="283"/>
      <c r="E1387" s="303"/>
    </row>
    <row r="1388" spans="1:5" s="2" customFormat="1" ht="24" customHeight="1">
      <c r="A1388" s="280">
        <f t="shared" si="21"/>
        <v>1379</v>
      </c>
      <c r="B1388" s="281"/>
      <c r="C1388" s="285"/>
      <c r="D1388" s="283"/>
      <c r="E1388" s="303"/>
    </row>
    <row r="1389" spans="1:5" s="2" customFormat="1" ht="24" customHeight="1">
      <c r="A1389" s="280">
        <f t="shared" si="21"/>
        <v>1380</v>
      </c>
      <c r="B1389" s="281"/>
      <c r="C1389" s="285"/>
      <c r="D1389" s="283"/>
      <c r="E1389" s="303"/>
    </row>
    <row r="1390" spans="1:5" s="2" customFormat="1" ht="24" customHeight="1">
      <c r="A1390" s="280">
        <f t="shared" si="21"/>
        <v>1381</v>
      </c>
      <c r="B1390" s="281"/>
      <c r="C1390" s="285"/>
      <c r="D1390" s="283"/>
      <c r="E1390" s="303"/>
    </row>
    <row r="1391" spans="1:5" s="2" customFormat="1" ht="24" customHeight="1">
      <c r="A1391" s="280">
        <f t="shared" si="21"/>
        <v>1382</v>
      </c>
      <c r="B1391" s="281"/>
      <c r="C1391" s="285"/>
      <c r="D1391" s="283"/>
      <c r="E1391" s="303"/>
    </row>
    <row r="1392" spans="1:5" s="2" customFormat="1" ht="24" customHeight="1">
      <c r="A1392" s="280">
        <f t="shared" si="21"/>
        <v>1383</v>
      </c>
      <c r="B1392" s="281"/>
      <c r="C1392" s="285"/>
      <c r="D1392" s="283"/>
      <c r="E1392" s="303"/>
    </row>
    <row r="1393" spans="1:5" s="2" customFormat="1" ht="24" customHeight="1">
      <c r="A1393" s="280">
        <f t="shared" si="21"/>
        <v>1384</v>
      </c>
      <c r="B1393" s="281"/>
      <c r="C1393" s="285"/>
      <c r="D1393" s="283"/>
      <c r="E1393" s="303"/>
    </row>
    <row r="1394" spans="1:5" s="2" customFormat="1" ht="24" customHeight="1">
      <c r="A1394" s="280">
        <f t="shared" si="21"/>
        <v>1385</v>
      </c>
      <c r="B1394" s="281"/>
      <c r="C1394" s="285"/>
      <c r="D1394" s="283"/>
      <c r="E1394" s="303"/>
    </row>
    <row r="1395" spans="1:5" s="2" customFormat="1" ht="24" customHeight="1">
      <c r="A1395" s="280">
        <f t="shared" si="21"/>
        <v>1386</v>
      </c>
      <c r="B1395" s="281"/>
      <c r="C1395" s="285"/>
      <c r="D1395" s="283"/>
      <c r="E1395" s="303"/>
    </row>
    <row r="1396" spans="1:5" s="2" customFormat="1" ht="24" customHeight="1">
      <c r="A1396" s="280">
        <f t="shared" si="21"/>
        <v>1387</v>
      </c>
      <c r="B1396" s="281"/>
      <c r="C1396" s="285"/>
      <c r="D1396" s="283"/>
      <c r="E1396" s="303"/>
    </row>
    <row r="1397" spans="1:5" s="2" customFormat="1" ht="24" customHeight="1">
      <c r="A1397" s="280">
        <f t="shared" si="21"/>
        <v>1388</v>
      </c>
      <c r="B1397" s="281"/>
      <c r="C1397" s="285"/>
      <c r="D1397" s="283"/>
      <c r="E1397" s="303"/>
    </row>
    <row r="1398" spans="1:5" s="2" customFormat="1" ht="24" customHeight="1">
      <c r="A1398" s="280">
        <f t="shared" si="21"/>
        <v>1389</v>
      </c>
      <c r="B1398" s="281"/>
      <c r="C1398" s="285"/>
      <c r="D1398" s="283"/>
      <c r="E1398" s="303"/>
    </row>
    <row r="1399" spans="1:5" s="2" customFormat="1" ht="24" customHeight="1">
      <c r="A1399" s="280">
        <f t="shared" si="21"/>
        <v>1390</v>
      </c>
      <c r="B1399" s="281"/>
      <c r="C1399" s="285"/>
      <c r="D1399" s="283"/>
      <c r="E1399" s="303"/>
    </row>
    <row r="1400" spans="1:5" s="2" customFormat="1" ht="24" customHeight="1">
      <c r="A1400" s="280">
        <f t="shared" si="21"/>
        <v>1391</v>
      </c>
      <c r="B1400" s="281"/>
      <c r="C1400" s="285"/>
      <c r="D1400" s="283"/>
      <c r="E1400" s="303"/>
    </row>
    <row r="1401" spans="1:5" s="2" customFormat="1" ht="24" customHeight="1">
      <c r="A1401" s="280">
        <f t="shared" si="21"/>
        <v>1392</v>
      </c>
      <c r="B1401" s="281"/>
      <c r="C1401" s="285"/>
      <c r="D1401" s="283"/>
      <c r="E1401" s="303"/>
    </row>
    <row r="1402" spans="1:5" s="2" customFormat="1" ht="24" customHeight="1">
      <c r="A1402" s="280">
        <f t="shared" si="21"/>
        <v>1393</v>
      </c>
      <c r="B1402" s="281"/>
      <c r="C1402" s="285"/>
      <c r="D1402" s="283"/>
      <c r="E1402" s="303"/>
    </row>
    <row r="1403" spans="1:5" s="2" customFormat="1" ht="24" customHeight="1">
      <c r="A1403" s="280">
        <f t="shared" si="21"/>
        <v>1394</v>
      </c>
      <c r="B1403" s="281"/>
      <c r="C1403" s="285"/>
      <c r="D1403" s="283"/>
      <c r="E1403" s="303"/>
    </row>
    <row r="1404" spans="1:5" s="2" customFormat="1" ht="24" customHeight="1">
      <c r="A1404" s="280">
        <f t="shared" si="21"/>
        <v>1395</v>
      </c>
      <c r="B1404" s="281"/>
      <c r="C1404" s="285"/>
      <c r="D1404" s="283"/>
      <c r="E1404" s="303"/>
    </row>
    <row r="1405" spans="1:5" s="2" customFormat="1" ht="24" customHeight="1">
      <c r="A1405" s="280">
        <f t="shared" si="21"/>
        <v>1396</v>
      </c>
      <c r="B1405" s="281"/>
      <c r="C1405" s="285"/>
      <c r="D1405" s="283"/>
      <c r="E1405" s="303"/>
    </row>
    <row r="1406" spans="1:5" s="2" customFormat="1" ht="24" customHeight="1">
      <c r="A1406" s="280">
        <f t="shared" si="21"/>
        <v>1397</v>
      </c>
      <c r="B1406" s="281"/>
      <c r="C1406" s="285"/>
      <c r="D1406" s="283"/>
      <c r="E1406" s="303"/>
    </row>
    <row r="1407" spans="1:5" s="2" customFormat="1" ht="24" customHeight="1">
      <c r="A1407" s="280">
        <f t="shared" si="21"/>
        <v>1398</v>
      </c>
      <c r="B1407" s="281"/>
      <c r="C1407" s="285"/>
      <c r="D1407" s="283"/>
      <c r="E1407" s="303"/>
    </row>
    <row r="1408" spans="1:5" s="2" customFormat="1" ht="24" customHeight="1">
      <c r="A1408" s="280">
        <f t="shared" si="21"/>
        <v>1399</v>
      </c>
      <c r="B1408" s="281"/>
      <c r="C1408" s="285"/>
      <c r="D1408" s="283"/>
      <c r="E1408" s="303"/>
    </row>
    <row r="1409" spans="1:5" s="2" customFormat="1" ht="24" customHeight="1">
      <c r="A1409" s="280">
        <f t="shared" si="21"/>
        <v>1400</v>
      </c>
      <c r="B1409" s="281"/>
      <c r="C1409" s="285"/>
      <c r="D1409" s="283"/>
      <c r="E1409" s="303"/>
    </row>
    <row r="1410" spans="1:5" s="2" customFormat="1" ht="24" customHeight="1">
      <c r="A1410" s="280">
        <f t="shared" si="21"/>
        <v>1401</v>
      </c>
      <c r="B1410" s="281"/>
      <c r="C1410" s="285"/>
      <c r="D1410" s="283"/>
      <c r="E1410" s="303"/>
    </row>
    <row r="1411" spans="1:5" s="2" customFormat="1" ht="24" customHeight="1">
      <c r="A1411" s="280">
        <f t="shared" si="21"/>
        <v>1402</v>
      </c>
      <c r="B1411" s="281"/>
      <c r="C1411" s="285"/>
      <c r="D1411" s="283"/>
      <c r="E1411" s="303"/>
    </row>
    <row r="1412" spans="1:5" s="2" customFormat="1" ht="24" customHeight="1">
      <c r="A1412" s="280">
        <f t="shared" si="21"/>
        <v>1403</v>
      </c>
      <c r="B1412" s="281"/>
      <c r="C1412" s="285"/>
      <c r="D1412" s="283"/>
      <c r="E1412" s="303"/>
    </row>
    <row r="1413" spans="1:5" s="2" customFormat="1" ht="24" customHeight="1">
      <c r="A1413" s="280">
        <f t="shared" si="21"/>
        <v>1404</v>
      </c>
      <c r="B1413" s="281"/>
      <c r="C1413" s="285"/>
      <c r="D1413" s="283"/>
      <c r="E1413" s="303"/>
    </row>
    <row r="1414" spans="1:5" s="2" customFormat="1" ht="24" customHeight="1">
      <c r="A1414" s="280">
        <f t="shared" si="21"/>
        <v>1405</v>
      </c>
      <c r="B1414" s="281"/>
      <c r="C1414" s="285"/>
      <c r="D1414" s="283"/>
      <c r="E1414" s="303"/>
    </row>
    <row r="1415" spans="1:5" s="2" customFormat="1" ht="24" customHeight="1">
      <c r="A1415" s="280">
        <f t="shared" si="21"/>
        <v>1406</v>
      </c>
      <c r="B1415" s="281"/>
      <c r="C1415" s="285"/>
      <c r="D1415" s="283"/>
      <c r="E1415" s="303"/>
    </row>
    <row r="1416" spans="1:5" s="2" customFormat="1" ht="24" customHeight="1">
      <c r="A1416" s="280">
        <f t="shared" si="21"/>
        <v>1407</v>
      </c>
      <c r="B1416" s="281"/>
      <c r="C1416" s="285"/>
      <c r="D1416" s="283"/>
      <c r="E1416" s="303"/>
    </row>
    <row r="1417" spans="1:5" s="2" customFormat="1" ht="24" customHeight="1">
      <c r="A1417" s="280">
        <f t="shared" si="21"/>
        <v>1408</v>
      </c>
      <c r="B1417" s="281"/>
      <c r="C1417" s="285"/>
      <c r="D1417" s="283"/>
      <c r="E1417" s="303"/>
    </row>
    <row r="1418" spans="1:5" s="2" customFormat="1" ht="24" customHeight="1">
      <c r="A1418" s="280">
        <f t="shared" si="21"/>
        <v>1409</v>
      </c>
      <c r="B1418" s="281"/>
      <c r="C1418" s="285"/>
      <c r="D1418" s="283"/>
      <c r="E1418" s="303"/>
    </row>
    <row r="1419" spans="1:5" s="2" customFormat="1" ht="24" customHeight="1">
      <c r="A1419" s="280">
        <f t="shared" si="21"/>
        <v>1410</v>
      </c>
      <c r="B1419" s="281"/>
      <c r="C1419" s="285"/>
      <c r="D1419" s="283"/>
      <c r="E1419" s="303"/>
    </row>
    <row r="1420" spans="1:5" s="2" customFormat="1" ht="24" customHeight="1">
      <c r="A1420" s="280">
        <f t="shared" ref="A1420:A1483" si="22">A1419+1</f>
        <v>1411</v>
      </c>
      <c r="B1420" s="281"/>
      <c r="C1420" s="285"/>
      <c r="D1420" s="283"/>
      <c r="E1420" s="303"/>
    </row>
    <row r="1421" spans="1:5" s="2" customFormat="1" ht="24" customHeight="1">
      <c r="A1421" s="280">
        <f t="shared" si="22"/>
        <v>1412</v>
      </c>
      <c r="B1421" s="281"/>
      <c r="C1421" s="285"/>
      <c r="D1421" s="283"/>
      <c r="E1421" s="303"/>
    </row>
    <row r="1422" spans="1:5" s="2" customFormat="1" ht="24" customHeight="1">
      <c r="A1422" s="280">
        <f t="shared" si="22"/>
        <v>1413</v>
      </c>
      <c r="B1422" s="281"/>
      <c r="C1422" s="285"/>
      <c r="D1422" s="283"/>
      <c r="E1422" s="303"/>
    </row>
    <row r="1423" spans="1:5" s="2" customFormat="1" ht="24" customHeight="1">
      <c r="A1423" s="280">
        <f t="shared" si="22"/>
        <v>1414</v>
      </c>
      <c r="B1423" s="281"/>
      <c r="C1423" s="285"/>
      <c r="D1423" s="283"/>
      <c r="E1423" s="303"/>
    </row>
    <row r="1424" spans="1:5" s="2" customFormat="1" ht="24" customHeight="1">
      <c r="A1424" s="280">
        <f t="shared" si="22"/>
        <v>1415</v>
      </c>
      <c r="B1424" s="281"/>
      <c r="C1424" s="285"/>
      <c r="D1424" s="283"/>
      <c r="E1424" s="303"/>
    </row>
    <row r="1425" spans="1:5" s="2" customFormat="1" ht="24" customHeight="1">
      <c r="A1425" s="280">
        <f t="shared" si="22"/>
        <v>1416</v>
      </c>
      <c r="B1425" s="281"/>
      <c r="C1425" s="285"/>
      <c r="D1425" s="283"/>
      <c r="E1425" s="303"/>
    </row>
    <row r="1426" spans="1:5" s="2" customFormat="1" ht="24" customHeight="1">
      <c r="A1426" s="280">
        <f t="shared" si="22"/>
        <v>1417</v>
      </c>
      <c r="B1426" s="281"/>
      <c r="C1426" s="285"/>
      <c r="D1426" s="283"/>
      <c r="E1426" s="303"/>
    </row>
    <row r="1427" spans="1:5" s="2" customFormat="1" ht="24" customHeight="1">
      <c r="A1427" s="280">
        <f t="shared" si="22"/>
        <v>1418</v>
      </c>
      <c r="B1427" s="281"/>
      <c r="C1427" s="285"/>
      <c r="D1427" s="283"/>
      <c r="E1427" s="303"/>
    </row>
    <row r="1428" spans="1:5" s="2" customFormat="1" ht="24" customHeight="1">
      <c r="A1428" s="280">
        <f t="shared" si="22"/>
        <v>1419</v>
      </c>
      <c r="B1428" s="281"/>
      <c r="C1428" s="285"/>
      <c r="D1428" s="283"/>
      <c r="E1428" s="303"/>
    </row>
    <row r="1429" spans="1:5" s="2" customFormat="1" ht="24" customHeight="1">
      <c r="A1429" s="280">
        <f t="shared" si="22"/>
        <v>1420</v>
      </c>
      <c r="B1429" s="281"/>
      <c r="C1429" s="285"/>
      <c r="D1429" s="283"/>
      <c r="E1429" s="303"/>
    </row>
    <row r="1430" spans="1:5" s="2" customFormat="1" ht="24" customHeight="1">
      <c r="A1430" s="280">
        <f t="shared" si="22"/>
        <v>1421</v>
      </c>
      <c r="B1430" s="281"/>
      <c r="C1430" s="285"/>
      <c r="D1430" s="283"/>
      <c r="E1430" s="303"/>
    </row>
    <row r="1431" spans="1:5" s="2" customFormat="1" ht="24" customHeight="1">
      <c r="A1431" s="280">
        <f t="shared" si="22"/>
        <v>1422</v>
      </c>
      <c r="B1431" s="281"/>
      <c r="C1431" s="285"/>
      <c r="D1431" s="283"/>
      <c r="E1431" s="303"/>
    </row>
    <row r="1432" spans="1:5" s="2" customFormat="1" ht="24" customHeight="1">
      <c r="A1432" s="280">
        <f t="shared" si="22"/>
        <v>1423</v>
      </c>
      <c r="B1432" s="281"/>
      <c r="C1432" s="285"/>
      <c r="D1432" s="283"/>
      <c r="E1432" s="303"/>
    </row>
    <row r="1433" spans="1:5" s="2" customFormat="1" ht="24" customHeight="1">
      <c r="A1433" s="280">
        <f t="shared" si="22"/>
        <v>1424</v>
      </c>
      <c r="B1433" s="281"/>
      <c r="C1433" s="285"/>
      <c r="D1433" s="283"/>
      <c r="E1433" s="303"/>
    </row>
    <row r="1434" spans="1:5" s="2" customFormat="1" ht="24" customHeight="1">
      <c r="A1434" s="280">
        <f t="shared" si="22"/>
        <v>1425</v>
      </c>
      <c r="B1434" s="281"/>
      <c r="C1434" s="285"/>
      <c r="D1434" s="283"/>
      <c r="E1434" s="303"/>
    </row>
    <row r="1435" spans="1:5" s="2" customFormat="1" ht="24" customHeight="1">
      <c r="A1435" s="280">
        <f t="shared" si="22"/>
        <v>1426</v>
      </c>
      <c r="B1435" s="281"/>
      <c r="C1435" s="285"/>
      <c r="D1435" s="283"/>
      <c r="E1435" s="303"/>
    </row>
    <row r="1436" spans="1:5" s="2" customFormat="1" ht="24" customHeight="1">
      <c r="A1436" s="280">
        <f t="shared" si="22"/>
        <v>1427</v>
      </c>
      <c r="B1436" s="281"/>
      <c r="C1436" s="285"/>
      <c r="D1436" s="283"/>
      <c r="E1436" s="303"/>
    </row>
    <row r="1437" spans="1:5" s="2" customFormat="1" ht="24" customHeight="1">
      <c r="A1437" s="280">
        <f t="shared" si="22"/>
        <v>1428</v>
      </c>
      <c r="B1437" s="281"/>
      <c r="C1437" s="285"/>
      <c r="D1437" s="283"/>
      <c r="E1437" s="303"/>
    </row>
    <row r="1438" spans="1:5" s="2" customFormat="1" ht="24" customHeight="1">
      <c r="A1438" s="280">
        <f t="shared" si="22"/>
        <v>1429</v>
      </c>
      <c r="B1438" s="281"/>
      <c r="C1438" s="285"/>
      <c r="D1438" s="283"/>
      <c r="E1438" s="303"/>
    </row>
    <row r="1439" spans="1:5" s="2" customFormat="1" ht="24" customHeight="1">
      <c r="A1439" s="280">
        <f t="shared" si="22"/>
        <v>1430</v>
      </c>
      <c r="B1439" s="281"/>
      <c r="C1439" s="285"/>
      <c r="D1439" s="283"/>
      <c r="E1439" s="303"/>
    </row>
    <row r="1440" spans="1:5" s="2" customFormat="1" ht="24" customHeight="1">
      <c r="A1440" s="280">
        <f t="shared" si="22"/>
        <v>1431</v>
      </c>
      <c r="B1440" s="281"/>
      <c r="C1440" s="285"/>
      <c r="D1440" s="283"/>
      <c r="E1440" s="303"/>
    </row>
    <row r="1441" spans="1:5" s="2" customFormat="1" ht="24" customHeight="1">
      <c r="A1441" s="280">
        <f t="shared" si="22"/>
        <v>1432</v>
      </c>
      <c r="B1441" s="281"/>
      <c r="C1441" s="285"/>
      <c r="D1441" s="283"/>
      <c r="E1441" s="303"/>
    </row>
    <row r="1442" spans="1:5" s="2" customFormat="1" ht="24" customHeight="1">
      <c r="A1442" s="280">
        <f t="shared" si="22"/>
        <v>1433</v>
      </c>
      <c r="B1442" s="281"/>
      <c r="C1442" s="285"/>
      <c r="D1442" s="283"/>
      <c r="E1442" s="303"/>
    </row>
    <row r="1443" spans="1:5" s="2" customFormat="1" ht="24" customHeight="1">
      <c r="A1443" s="280">
        <f t="shared" si="22"/>
        <v>1434</v>
      </c>
      <c r="B1443" s="281"/>
      <c r="C1443" s="285"/>
      <c r="D1443" s="283"/>
      <c r="E1443" s="303"/>
    </row>
    <row r="1444" spans="1:5" s="2" customFormat="1" ht="24" customHeight="1">
      <c r="A1444" s="280">
        <f t="shared" si="22"/>
        <v>1435</v>
      </c>
      <c r="B1444" s="281"/>
      <c r="C1444" s="285"/>
      <c r="D1444" s="283"/>
      <c r="E1444" s="303"/>
    </row>
    <row r="1445" spans="1:5" s="2" customFormat="1" ht="24" customHeight="1">
      <c r="A1445" s="280">
        <f t="shared" si="22"/>
        <v>1436</v>
      </c>
      <c r="B1445" s="281"/>
      <c r="C1445" s="285"/>
      <c r="D1445" s="283"/>
      <c r="E1445" s="303"/>
    </row>
    <row r="1446" spans="1:5" s="2" customFormat="1" ht="24" customHeight="1">
      <c r="A1446" s="280">
        <f t="shared" si="22"/>
        <v>1437</v>
      </c>
      <c r="B1446" s="281"/>
      <c r="C1446" s="285"/>
      <c r="D1446" s="283"/>
      <c r="E1446" s="303"/>
    </row>
    <row r="1447" spans="1:5" s="2" customFormat="1" ht="24" customHeight="1">
      <c r="A1447" s="280">
        <f t="shared" si="22"/>
        <v>1438</v>
      </c>
      <c r="B1447" s="281"/>
      <c r="C1447" s="285"/>
      <c r="D1447" s="283"/>
      <c r="E1447" s="303"/>
    </row>
    <row r="1448" spans="1:5" s="2" customFormat="1" ht="24" customHeight="1">
      <c r="A1448" s="280">
        <f t="shared" si="22"/>
        <v>1439</v>
      </c>
      <c r="B1448" s="281"/>
      <c r="C1448" s="285"/>
      <c r="D1448" s="283"/>
      <c r="E1448" s="303"/>
    </row>
    <row r="1449" spans="1:5" s="2" customFormat="1" ht="24" customHeight="1">
      <c r="A1449" s="280">
        <f t="shared" si="22"/>
        <v>1440</v>
      </c>
      <c r="B1449" s="281"/>
      <c r="C1449" s="285"/>
      <c r="D1449" s="283"/>
      <c r="E1449" s="303"/>
    </row>
    <row r="1450" spans="1:5" s="2" customFormat="1" ht="24" customHeight="1">
      <c r="A1450" s="280">
        <f t="shared" si="22"/>
        <v>1441</v>
      </c>
      <c r="B1450" s="281"/>
      <c r="C1450" s="285"/>
      <c r="D1450" s="283"/>
      <c r="E1450" s="303"/>
    </row>
    <row r="1451" spans="1:5" s="2" customFormat="1" ht="24" customHeight="1">
      <c r="A1451" s="280">
        <f t="shared" si="22"/>
        <v>1442</v>
      </c>
      <c r="B1451" s="281"/>
      <c r="C1451" s="285"/>
      <c r="D1451" s="283"/>
      <c r="E1451" s="303"/>
    </row>
    <row r="1452" spans="1:5" s="2" customFormat="1" ht="24" customHeight="1">
      <c r="A1452" s="280">
        <f t="shared" si="22"/>
        <v>1443</v>
      </c>
      <c r="B1452" s="281"/>
      <c r="C1452" s="285"/>
      <c r="D1452" s="283"/>
      <c r="E1452" s="303"/>
    </row>
    <row r="1453" spans="1:5" s="2" customFormat="1" ht="24" customHeight="1">
      <c r="A1453" s="280">
        <f t="shared" si="22"/>
        <v>1444</v>
      </c>
      <c r="B1453" s="281"/>
      <c r="C1453" s="285"/>
      <c r="D1453" s="283"/>
      <c r="E1453" s="303"/>
    </row>
    <row r="1454" spans="1:5" s="2" customFormat="1" ht="24" customHeight="1">
      <c r="A1454" s="280">
        <f t="shared" si="22"/>
        <v>1445</v>
      </c>
      <c r="B1454" s="281"/>
      <c r="C1454" s="285"/>
      <c r="D1454" s="283"/>
      <c r="E1454" s="303"/>
    </row>
    <row r="1455" spans="1:5" s="2" customFormat="1" ht="24" customHeight="1">
      <c r="A1455" s="280">
        <f t="shared" si="22"/>
        <v>1446</v>
      </c>
      <c r="B1455" s="281"/>
      <c r="C1455" s="285"/>
      <c r="D1455" s="283"/>
      <c r="E1455" s="303"/>
    </row>
    <row r="1456" spans="1:5" s="2" customFormat="1" ht="24" customHeight="1">
      <c r="A1456" s="280">
        <f t="shared" si="22"/>
        <v>1447</v>
      </c>
      <c r="B1456" s="281"/>
      <c r="C1456" s="285"/>
      <c r="D1456" s="283"/>
      <c r="E1456" s="303"/>
    </row>
    <row r="1457" spans="1:5" s="2" customFormat="1" ht="24" customHeight="1">
      <c r="A1457" s="280">
        <f t="shared" si="22"/>
        <v>1448</v>
      </c>
      <c r="B1457" s="281"/>
      <c r="C1457" s="285"/>
      <c r="D1457" s="283"/>
      <c r="E1457" s="303"/>
    </row>
    <row r="1458" spans="1:5" s="2" customFormat="1" ht="24" customHeight="1">
      <c r="A1458" s="280">
        <f t="shared" si="22"/>
        <v>1449</v>
      </c>
      <c r="B1458" s="281"/>
      <c r="C1458" s="285"/>
      <c r="D1458" s="283"/>
      <c r="E1458" s="303"/>
    </row>
    <row r="1459" spans="1:5" s="2" customFormat="1" ht="24" customHeight="1">
      <c r="A1459" s="280">
        <f t="shared" si="22"/>
        <v>1450</v>
      </c>
      <c r="B1459" s="281"/>
      <c r="C1459" s="285"/>
      <c r="D1459" s="283"/>
      <c r="E1459" s="303"/>
    </row>
    <row r="1460" spans="1:5" s="2" customFormat="1" ht="24" customHeight="1">
      <c r="A1460" s="280">
        <f t="shared" si="22"/>
        <v>1451</v>
      </c>
      <c r="B1460" s="281"/>
      <c r="C1460" s="285"/>
      <c r="D1460" s="283"/>
      <c r="E1460" s="303"/>
    </row>
    <row r="1461" spans="1:5" s="2" customFormat="1" ht="24" customHeight="1">
      <c r="A1461" s="280">
        <f t="shared" si="22"/>
        <v>1452</v>
      </c>
      <c r="B1461" s="281"/>
      <c r="C1461" s="285"/>
      <c r="D1461" s="283"/>
      <c r="E1461" s="303"/>
    </row>
    <row r="1462" spans="1:5" s="2" customFormat="1" ht="24" customHeight="1">
      <c r="A1462" s="280">
        <f t="shared" si="22"/>
        <v>1453</v>
      </c>
      <c r="B1462" s="281"/>
      <c r="C1462" s="285"/>
      <c r="D1462" s="283"/>
      <c r="E1462" s="303"/>
    </row>
    <row r="1463" spans="1:5" s="2" customFormat="1" ht="24" customHeight="1">
      <c r="A1463" s="280">
        <f t="shared" si="22"/>
        <v>1454</v>
      </c>
      <c r="B1463" s="281"/>
      <c r="C1463" s="285"/>
      <c r="D1463" s="283"/>
      <c r="E1463" s="303"/>
    </row>
    <row r="1464" spans="1:5" s="2" customFormat="1" ht="24" customHeight="1">
      <c r="A1464" s="280">
        <f t="shared" si="22"/>
        <v>1455</v>
      </c>
      <c r="B1464" s="281"/>
      <c r="C1464" s="285"/>
      <c r="D1464" s="283"/>
      <c r="E1464" s="303"/>
    </row>
    <row r="1465" spans="1:5" s="2" customFormat="1" ht="24" customHeight="1">
      <c r="A1465" s="280">
        <f t="shared" si="22"/>
        <v>1456</v>
      </c>
      <c r="B1465" s="281"/>
      <c r="C1465" s="285"/>
      <c r="D1465" s="283"/>
      <c r="E1465" s="303"/>
    </row>
    <row r="1466" spans="1:5" s="2" customFormat="1" ht="24" customHeight="1">
      <c r="A1466" s="280">
        <f t="shared" si="22"/>
        <v>1457</v>
      </c>
      <c r="B1466" s="281"/>
      <c r="C1466" s="285"/>
      <c r="D1466" s="283"/>
      <c r="E1466" s="303"/>
    </row>
    <row r="1467" spans="1:5" s="2" customFormat="1" ht="24" customHeight="1">
      <c r="A1467" s="280">
        <f t="shared" si="22"/>
        <v>1458</v>
      </c>
      <c r="B1467" s="281"/>
      <c r="C1467" s="285"/>
      <c r="D1467" s="283"/>
      <c r="E1467" s="303"/>
    </row>
    <row r="1468" spans="1:5" s="2" customFormat="1" ht="24" customHeight="1">
      <c r="A1468" s="280">
        <f t="shared" si="22"/>
        <v>1459</v>
      </c>
      <c r="B1468" s="281"/>
      <c r="C1468" s="285"/>
      <c r="D1468" s="283"/>
      <c r="E1468" s="303"/>
    </row>
    <row r="1469" spans="1:5" s="2" customFormat="1" ht="24" customHeight="1">
      <c r="A1469" s="280">
        <f t="shared" si="22"/>
        <v>1460</v>
      </c>
      <c r="B1469" s="281"/>
      <c r="C1469" s="285"/>
      <c r="D1469" s="283"/>
      <c r="E1469" s="303"/>
    </row>
    <row r="1470" spans="1:5" s="2" customFormat="1" ht="24" customHeight="1">
      <c r="A1470" s="280">
        <f t="shared" si="22"/>
        <v>1461</v>
      </c>
      <c r="B1470" s="281"/>
      <c r="C1470" s="285"/>
      <c r="D1470" s="283"/>
      <c r="E1470" s="303"/>
    </row>
    <row r="1471" spans="1:5" s="2" customFormat="1" ht="24" customHeight="1">
      <c r="A1471" s="280">
        <f t="shared" si="22"/>
        <v>1462</v>
      </c>
      <c r="B1471" s="281"/>
      <c r="C1471" s="285"/>
      <c r="D1471" s="283"/>
      <c r="E1471" s="303"/>
    </row>
    <row r="1472" spans="1:5" s="2" customFormat="1" ht="24" customHeight="1">
      <c r="A1472" s="280">
        <f t="shared" si="22"/>
        <v>1463</v>
      </c>
      <c r="B1472" s="281"/>
      <c r="C1472" s="285"/>
      <c r="D1472" s="283"/>
      <c r="E1472" s="303"/>
    </row>
    <row r="1473" spans="1:5" s="2" customFormat="1" ht="24" customHeight="1">
      <c r="A1473" s="280">
        <f t="shared" si="22"/>
        <v>1464</v>
      </c>
      <c r="B1473" s="281"/>
      <c r="C1473" s="285"/>
      <c r="D1473" s="283"/>
      <c r="E1473" s="303"/>
    </row>
    <row r="1474" spans="1:5" s="2" customFormat="1" ht="24" customHeight="1">
      <c r="A1474" s="280">
        <f t="shared" si="22"/>
        <v>1465</v>
      </c>
      <c r="B1474" s="281"/>
      <c r="C1474" s="285"/>
      <c r="D1474" s="283"/>
      <c r="E1474" s="303"/>
    </row>
    <row r="1475" spans="1:5" s="2" customFormat="1" ht="24" customHeight="1">
      <c r="A1475" s="280">
        <f t="shared" si="22"/>
        <v>1466</v>
      </c>
      <c r="B1475" s="281"/>
      <c r="C1475" s="285"/>
      <c r="D1475" s="283"/>
      <c r="E1475" s="303"/>
    </row>
    <row r="1476" spans="1:5" s="2" customFormat="1" ht="24" customHeight="1">
      <c r="A1476" s="280">
        <f t="shared" si="22"/>
        <v>1467</v>
      </c>
      <c r="B1476" s="281"/>
      <c r="C1476" s="285"/>
      <c r="D1476" s="283"/>
      <c r="E1476" s="303"/>
    </row>
    <row r="1477" spans="1:5" s="2" customFormat="1" ht="24" customHeight="1">
      <c r="A1477" s="280">
        <f t="shared" si="22"/>
        <v>1468</v>
      </c>
      <c r="B1477" s="281"/>
      <c r="C1477" s="285"/>
      <c r="D1477" s="283"/>
      <c r="E1477" s="303"/>
    </row>
    <row r="1478" spans="1:5" s="2" customFormat="1" ht="24" customHeight="1">
      <c r="A1478" s="280">
        <f t="shared" si="22"/>
        <v>1469</v>
      </c>
      <c r="B1478" s="281"/>
      <c r="C1478" s="285"/>
      <c r="D1478" s="283"/>
      <c r="E1478" s="303"/>
    </row>
    <row r="1479" spans="1:5" s="2" customFormat="1" ht="24" customHeight="1">
      <c r="A1479" s="280">
        <f t="shared" si="22"/>
        <v>1470</v>
      </c>
      <c r="B1479" s="281"/>
      <c r="C1479" s="285"/>
      <c r="D1479" s="283"/>
      <c r="E1479" s="303"/>
    </row>
    <row r="1480" spans="1:5" s="2" customFormat="1" ht="24" customHeight="1">
      <c r="A1480" s="280">
        <f t="shared" si="22"/>
        <v>1471</v>
      </c>
      <c r="B1480" s="281"/>
      <c r="C1480" s="285"/>
      <c r="D1480" s="283"/>
      <c r="E1480" s="303"/>
    </row>
    <row r="1481" spans="1:5" s="2" customFormat="1" ht="24" customHeight="1">
      <c r="A1481" s="280">
        <f t="shared" si="22"/>
        <v>1472</v>
      </c>
      <c r="B1481" s="281"/>
      <c r="C1481" s="285"/>
      <c r="D1481" s="283"/>
      <c r="E1481" s="303"/>
    </row>
    <row r="1482" spans="1:5" s="2" customFormat="1" ht="24" customHeight="1">
      <c r="A1482" s="280">
        <f t="shared" si="22"/>
        <v>1473</v>
      </c>
      <c r="B1482" s="281"/>
      <c r="C1482" s="285"/>
      <c r="D1482" s="283"/>
      <c r="E1482" s="303"/>
    </row>
    <row r="1483" spans="1:5" s="2" customFormat="1" ht="24" customHeight="1">
      <c r="A1483" s="280">
        <f t="shared" si="22"/>
        <v>1474</v>
      </c>
      <c r="B1483" s="281"/>
      <c r="C1483" s="285"/>
      <c r="D1483" s="283"/>
      <c r="E1483" s="303"/>
    </row>
    <row r="1484" spans="1:5" s="2" customFormat="1" ht="24" customHeight="1">
      <c r="A1484" s="280">
        <f t="shared" ref="A1484:A1547" si="23">A1483+1</f>
        <v>1475</v>
      </c>
      <c r="B1484" s="281"/>
      <c r="C1484" s="285"/>
      <c r="D1484" s="283"/>
      <c r="E1484" s="303"/>
    </row>
    <row r="1485" spans="1:5" s="2" customFormat="1" ht="24" customHeight="1">
      <c r="A1485" s="280">
        <f t="shared" si="23"/>
        <v>1476</v>
      </c>
      <c r="B1485" s="281"/>
      <c r="C1485" s="285"/>
      <c r="D1485" s="283"/>
      <c r="E1485" s="303"/>
    </row>
    <row r="1486" spans="1:5" s="2" customFormat="1" ht="24" customHeight="1">
      <c r="A1486" s="280">
        <f t="shared" si="23"/>
        <v>1477</v>
      </c>
      <c r="B1486" s="281"/>
      <c r="C1486" s="285"/>
      <c r="D1486" s="283"/>
      <c r="E1486" s="303"/>
    </row>
    <row r="1487" spans="1:5" s="2" customFormat="1" ht="24" customHeight="1">
      <c r="A1487" s="280">
        <f t="shared" si="23"/>
        <v>1478</v>
      </c>
      <c r="B1487" s="281"/>
      <c r="C1487" s="285"/>
      <c r="D1487" s="283"/>
      <c r="E1487" s="303"/>
    </row>
    <row r="1488" spans="1:5" s="2" customFormat="1" ht="24" customHeight="1">
      <c r="A1488" s="280">
        <f t="shared" si="23"/>
        <v>1479</v>
      </c>
      <c r="B1488" s="281"/>
      <c r="C1488" s="285"/>
      <c r="D1488" s="283"/>
      <c r="E1488" s="303"/>
    </row>
    <row r="1489" spans="1:5" s="2" customFormat="1" ht="24" customHeight="1">
      <c r="A1489" s="280">
        <f t="shared" si="23"/>
        <v>1480</v>
      </c>
      <c r="B1489" s="281"/>
      <c r="C1489" s="285"/>
      <c r="D1489" s="283"/>
      <c r="E1489" s="303"/>
    </row>
    <row r="1490" spans="1:5" s="2" customFormat="1" ht="24" customHeight="1">
      <c r="A1490" s="280">
        <f t="shared" si="23"/>
        <v>1481</v>
      </c>
      <c r="B1490" s="281"/>
      <c r="C1490" s="285"/>
      <c r="D1490" s="283"/>
      <c r="E1490" s="303"/>
    </row>
    <row r="1491" spans="1:5" s="2" customFormat="1" ht="24" customHeight="1">
      <c r="A1491" s="280">
        <f t="shared" si="23"/>
        <v>1482</v>
      </c>
      <c r="B1491" s="281"/>
      <c r="C1491" s="285"/>
      <c r="D1491" s="283"/>
      <c r="E1491" s="303"/>
    </row>
    <row r="1492" spans="1:5" s="2" customFormat="1" ht="24" customHeight="1">
      <c r="A1492" s="280">
        <f t="shared" si="23"/>
        <v>1483</v>
      </c>
      <c r="B1492" s="281"/>
      <c r="C1492" s="285"/>
      <c r="D1492" s="283"/>
      <c r="E1492" s="303"/>
    </row>
    <row r="1493" spans="1:5" s="2" customFormat="1" ht="24" customHeight="1">
      <c r="A1493" s="280">
        <f t="shared" si="23"/>
        <v>1484</v>
      </c>
      <c r="B1493" s="281"/>
      <c r="C1493" s="285"/>
      <c r="D1493" s="283"/>
      <c r="E1493" s="303"/>
    </row>
    <row r="1494" spans="1:5" s="2" customFormat="1" ht="24" customHeight="1">
      <c r="A1494" s="280">
        <f t="shared" si="23"/>
        <v>1485</v>
      </c>
      <c r="B1494" s="281"/>
      <c r="C1494" s="285"/>
      <c r="D1494" s="283"/>
      <c r="E1494" s="303"/>
    </row>
    <row r="1495" spans="1:5" s="2" customFormat="1" ht="24" customHeight="1">
      <c r="A1495" s="280">
        <f t="shared" si="23"/>
        <v>1486</v>
      </c>
      <c r="B1495" s="281"/>
      <c r="C1495" s="285"/>
      <c r="D1495" s="283"/>
      <c r="E1495" s="303"/>
    </row>
    <row r="1496" spans="1:5" s="2" customFormat="1" ht="24" customHeight="1">
      <c r="A1496" s="280">
        <f t="shared" si="23"/>
        <v>1487</v>
      </c>
      <c r="B1496" s="281"/>
      <c r="C1496" s="285"/>
      <c r="D1496" s="283"/>
      <c r="E1496" s="303"/>
    </row>
    <row r="1497" spans="1:5" s="2" customFormat="1" ht="24" customHeight="1">
      <c r="A1497" s="280">
        <f t="shared" si="23"/>
        <v>1488</v>
      </c>
      <c r="B1497" s="281"/>
      <c r="C1497" s="285"/>
      <c r="D1497" s="283"/>
      <c r="E1497" s="303"/>
    </row>
    <row r="1498" spans="1:5" s="2" customFormat="1" ht="24" customHeight="1">
      <c r="A1498" s="280">
        <f t="shared" si="23"/>
        <v>1489</v>
      </c>
      <c r="B1498" s="281"/>
      <c r="C1498" s="285"/>
      <c r="D1498" s="283"/>
      <c r="E1498" s="303"/>
    </row>
    <row r="1499" spans="1:5" s="2" customFormat="1" ht="24" customHeight="1">
      <c r="A1499" s="280">
        <f t="shared" si="23"/>
        <v>1490</v>
      </c>
      <c r="B1499" s="281"/>
      <c r="C1499" s="285"/>
      <c r="D1499" s="283"/>
      <c r="E1499" s="303"/>
    </row>
    <row r="1500" spans="1:5" s="2" customFormat="1" ht="24" customHeight="1">
      <c r="A1500" s="280">
        <f t="shared" si="23"/>
        <v>1491</v>
      </c>
      <c r="B1500" s="281"/>
      <c r="C1500" s="285"/>
      <c r="D1500" s="283"/>
      <c r="E1500" s="303"/>
    </row>
    <row r="1501" spans="1:5" s="2" customFormat="1" ht="24" customHeight="1">
      <c r="A1501" s="280">
        <f t="shared" si="23"/>
        <v>1492</v>
      </c>
      <c r="B1501" s="281"/>
      <c r="C1501" s="285"/>
      <c r="D1501" s="283"/>
      <c r="E1501" s="303"/>
    </row>
    <row r="1502" spans="1:5" s="2" customFormat="1" ht="24" customHeight="1">
      <c r="A1502" s="280">
        <f t="shared" si="23"/>
        <v>1493</v>
      </c>
      <c r="B1502" s="281"/>
      <c r="C1502" s="285"/>
      <c r="D1502" s="283"/>
      <c r="E1502" s="303"/>
    </row>
    <row r="1503" spans="1:5" s="2" customFormat="1" ht="24" customHeight="1">
      <c r="A1503" s="280">
        <f t="shared" si="23"/>
        <v>1494</v>
      </c>
      <c r="B1503" s="281"/>
      <c r="C1503" s="285"/>
      <c r="D1503" s="283"/>
      <c r="E1503" s="303"/>
    </row>
    <row r="1504" spans="1:5" s="2" customFormat="1" ht="24" customHeight="1">
      <c r="A1504" s="280">
        <f t="shared" si="23"/>
        <v>1495</v>
      </c>
      <c r="B1504" s="281"/>
      <c r="C1504" s="285"/>
      <c r="D1504" s="283"/>
      <c r="E1504" s="303"/>
    </row>
    <row r="1505" spans="1:5" s="2" customFormat="1" ht="24" customHeight="1">
      <c r="A1505" s="280">
        <f t="shared" si="23"/>
        <v>1496</v>
      </c>
      <c r="B1505" s="281"/>
      <c r="C1505" s="285"/>
      <c r="D1505" s="283"/>
      <c r="E1505" s="303"/>
    </row>
    <row r="1506" spans="1:5" s="2" customFormat="1" ht="24" customHeight="1">
      <c r="A1506" s="280">
        <f t="shared" si="23"/>
        <v>1497</v>
      </c>
      <c r="B1506" s="281"/>
      <c r="C1506" s="285"/>
      <c r="D1506" s="283"/>
      <c r="E1506" s="303"/>
    </row>
    <row r="1507" spans="1:5" s="2" customFormat="1" ht="24" customHeight="1">
      <c r="A1507" s="280">
        <f t="shared" si="23"/>
        <v>1498</v>
      </c>
      <c r="B1507" s="281"/>
      <c r="C1507" s="285"/>
      <c r="D1507" s="283"/>
      <c r="E1507" s="303"/>
    </row>
    <row r="1508" spans="1:5" s="2" customFormat="1" ht="24" customHeight="1">
      <c r="A1508" s="280">
        <f t="shared" si="23"/>
        <v>1499</v>
      </c>
      <c r="B1508" s="281"/>
      <c r="C1508" s="285"/>
      <c r="D1508" s="283"/>
      <c r="E1508" s="303"/>
    </row>
    <row r="1509" spans="1:5" s="2" customFormat="1" ht="24" customHeight="1">
      <c r="A1509" s="280">
        <f t="shared" si="23"/>
        <v>1500</v>
      </c>
      <c r="B1509" s="281"/>
      <c r="C1509" s="285"/>
      <c r="D1509" s="283"/>
      <c r="E1509" s="303"/>
    </row>
    <row r="1510" spans="1:5" s="2" customFormat="1" ht="24" customHeight="1">
      <c r="A1510" s="280">
        <f t="shared" si="23"/>
        <v>1501</v>
      </c>
      <c r="B1510" s="281"/>
      <c r="C1510" s="285"/>
      <c r="D1510" s="283"/>
      <c r="E1510" s="303"/>
    </row>
    <row r="1511" spans="1:5" s="2" customFormat="1" ht="24" customHeight="1">
      <c r="A1511" s="280">
        <f t="shared" si="23"/>
        <v>1502</v>
      </c>
      <c r="B1511" s="281"/>
      <c r="C1511" s="285"/>
      <c r="D1511" s="283"/>
      <c r="E1511" s="303"/>
    </row>
    <row r="1512" spans="1:5" s="2" customFormat="1" ht="24" customHeight="1">
      <c r="A1512" s="280">
        <f t="shared" si="23"/>
        <v>1503</v>
      </c>
      <c r="B1512" s="281"/>
      <c r="C1512" s="285"/>
      <c r="D1512" s="283"/>
      <c r="E1512" s="303"/>
    </row>
    <row r="1513" spans="1:5" s="2" customFormat="1" ht="24" customHeight="1">
      <c r="A1513" s="280">
        <f t="shared" si="23"/>
        <v>1504</v>
      </c>
      <c r="B1513" s="281"/>
      <c r="C1513" s="285"/>
      <c r="D1513" s="283"/>
      <c r="E1513" s="303"/>
    </row>
    <row r="1514" spans="1:5" s="2" customFormat="1" ht="24" customHeight="1">
      <c r="A1514" s="280">
        <f t="shared" si="23"/>
        <v>1505</v>
      </c>
      <c r="B1514" s="281"/>
      <c r="C1514" s="285"/>
      <c r="D1514" s="283"/>
      <c r="E1514" s="303"/>
    </row>
    <row r="1515" spans="1:5" s="2" customFormat="1" ht="24" customHeight="1">
      <c r="A1515" s="280">
        <f t="shared" si="23"/>
        <v>1506</v>
      </c>
      <c r="B1515" s="281"/>
      <c r="C1515" s="285"/>
      <c r="D1515" s="283"/>
      <c r="E1515" s="303"/>
    </row>
    <row r="1516" spans="1:5" s="2" customFormat="1" ht="24" customHeight="1">
      <c r="A1516" s="280">
        <f t="shared" si="23"/>
        <v>1507</v>
      </c>
      <c r="B1516" s="281"/>
      <c r="C1516" s="285"/>
      <c r="D1516" s="283"/>
      <c r="E1516" s="303"/>
    </row>
    <row r="1517" spans="1:5" s="2" customFormat="1" ht="24" customHeight="1">
      <c r="A1517" s="280">
        <f t="shared" si="23"/>
        <v>1508</v>
      </c>
      <c r="B1517" s="281"/>
      <c r="C1517" s="285"/>
      <c r="D1517" s="283"/>
      <c r="E1517" s="303"/>
    </row>
    <row r="1518" spans="1:5" s="2" customFormat="1" ht="24" customHeight="1">
      <c r="A1518" s="280">
        <f t="shared" si="23"/>
        <v>1509</v>
      </c>
      <c r="B1518" s="281"/>
      <c r="C1518" s="285"/>
      <c r="D1518" s="283"/>
      <c r="E1518" s="303"/>
    </row>
    <row r="1519" spans="1:5" s="2" customFormat="1" ht="24" customHeight="1">
      <c r="A1519" s="280">
        <f t="shared" si="23"/>
        <v>1510</v>
      </c>
      <c r="B1519" s="281"/>
      <c r="C1519" s="285"/>
      <c r="D1519" s="283"/>
      <c r="E1519" s="303"/>
    </row>
    <row r="1520" spans="1:5" s="2" customFormat="1" ht="24" customHeight="1">
      <c r="A1520" s="280">
        <f t="shared" si="23"/>
        <v>1511</v>
      </c>
      <c r="B1520" s="281"/>
      <c r="C1520" s="285"/>
      <c r="D1520" s="283"/>
      <c r="E1520" s="303"/>
    </row>
    <row r="1521" spans="1:5" s="2" customFormat="1" ht="24" customHeight="1">
      <c r="A1521" s="280">
        <f t="shared" si="23"/>
        <v>1512</v>
      </c>
      <c r="B1521" s="281"/>
      <c r="C1521" s="285"/>
      <c r="D1521" s="283"/>
      <c r="E1521" s="303"/>
    </row>
    <row r="1522" spans="1:5" s="2" customFormat="1" ht="24" customHeight="1">
      <c r="A1522" s="280">
        <f t="shared" si="23"/>
        <v>1513</v>
      </c>
      <c r="B1522" s="281"/>
      <c r="C1522" s="285"/>
      <c r="D1522" s="283"/>
      <c r="E1522" s="303"/>
    </row>
    <row r="1523" spans="1:5" s="2" customFormat="1" ht="24" customHeight="1">
      <c r="A1523" s="280">
        <f t="shared" si="23"/>
        <v>1514</v>
      </c>
      <c r="B1523" s="281"/>
      <c r="C1523" s="285"/>
      <c r="D1523" s="283"/>
      <c r="E1523" s="303"/>
    </row>
    <row r="1524" spans="1:5" s="2" customFormat="1" ht="24" customHeight="1">
      <c r="A1524" s="280">
        <f t="shared" si="23"/>
        <v>1515</v>
      </c>
      <c r="B1524" s="281"/>
      <c r="C1524" s="285"/>
      <c r="D1524" s="283"/>
      <c r="E1524" s="303"/>
    </row>
    <row r="1525" spans="1:5" s="2" customFormat="1" ht="24" customHeight="1">
      <c r="A1525" s="280">
        <f t="shared" si="23"/>
        <v>1516</v>
      </c>
      <c r="B1525" s="281"/>
      <c r="C1525" s="285"/>
      <c r="D1525" s="283"/>
      <c r="E1525" s="303"/>
    </row>
    <row r="1526" spans="1:5" s="2" customFormat="1" ht="24" customHeight="1">
      <c r="A1526" s="280">
        <f t="shared" si="23"/>
        <v>1517</v>
      </c>
      <c r="B1526" s="281"/>
      <c r="C1526" s="285"/>
      <c r="D1526" s="283"/>
      <c r="E1526" s="303"/>
    </row>
    <row r="1527" spans="1:5" s="2" customFormat="1" ht="24" customHeight="1">
      <c r="A1527" s="280">
        <f t="shared" si="23"/>
        <v>1518</v>
      </c>
      <c r="B1527" s="281"/>
      <c r="C1527" s="285"/>
      <c r="D1527" s="283"/>
      <c r="E1527" s="303"/>
    </row>
    <row r="1528" spans="1:5" s="2" customFormat="1" ht="24" customHeight="1">
      <c r="A1528" s="280">
        <f t="shared" si="23"/>
        <v>1519</v>
      </c>
      <c r="B1528" s="281"/>
      <c r="C1528" s="285"/>
      <c r="D1528" s="283"/>
      <c r="E1528" s="303"/>
    </row>
    <row r="1529" spans="1:5" s="2" customFormat="1" ht="24" customHeight="1">
      <c r="A1529" s="280">
        <f t="shared" si="23"/>
        <v>1520</v>
      </c>
      <c r="B1529" s="281"/>
      <c r="C1529" s="285"/>
      <c r="D1529" s="283"/>
      <c r="E1529" s="303"/>
    </row>
    <row r="1530" spans="1:5" s="2" customFormat="1" ht="24" customHeight="1">
      <c r="A1530" s="280">
        <f t="shared" si="23"/>
        <v>1521</v>
      </c>
      <c r="B1530" s="281"/>
      <c r="C1530" s="285"/>
      <c r="D1530" s="283"/>
      <c r="E1530" s="303"/>
    </row>
    <row r="1531" spans="1:5" s="2" customFormat="1" ht="24" customHeight="1">
      <c r="A1531" s="280">
        <f t="shared" si="23"/>
        <v>1522</v>
      </c>
      <c r="B1531" s="281"/>
      <c r="C1531" s="285"/>
      <c r="D1531" s="283"/>
      <c r="E1531" s="303"/>
    </row>
    <row r="1532" spans="1:5" s="2" customFormat="1" ht="24" customHeight="1">
      <c r="A1532" s="280">
        <f t="shared" si="23"/>
        <v>1523</v>
      </c>
      <c r="B1532" s="281"/>
      <c r="C1532" s="285"/>
      <c r="D1532" s="283"/>
      <c r="E1532" s="303"/>
    </row>
    <row r="1533" spans="1:5" s="2" customFormat="1" ht="24" customHeight="1">
      <c r="A1533" s="280">
        <f t="shared" si="23"/>
        <v>1524</v>
      </c>
      <c r="B1533" s="281"/>
      <c r="C1533" s="285"/>
      <c r="D1533" s="283"/>
      <c r="E1533" s="303"/>
    </row>
    <row r="1534" spans="1:5" s="2" customFormat="1" ht="24" customHeight="1">
      <c r="A1534" s="280">
        <f t="shared" si="23"/>
        <v>1525</v>
      </c>
      <c r="B1534" s="281"/>
      <c r="C1534" s="285"/>
      <c r="D1534" s="283"/>
      <c r="E1534" s="303"/>
    </row>
    <row r="1535" spans="1:5" s="2" customFormat="1" ht="24" customHeight="1">
      <c r="A1535" s="280">
        <f t="shared" si="23"/>
        <v>1526</v>
      </c>
      <c r="B1535" s="281"/>
      <c r="C1535" s="285"/>
      <c r="D1535" s="283"/>
      <c r="E1535" s="303"/>
    </row>
    <row r="1536" spans="1:5" s="2" customFormat="1" ht="24" customHeight="1">
      <c r="A1536" s="280">
        <f t="shared" si="23"/>
        <v>1527</v>
      </c>
      <c r="B1536" s="281"/>
      <c r="C1536" s="285"/>
      <c r="D1536" s="283"/>
      <c r="E1536" s="303"/>
    </row>
    <row r="1537" spans="1:5" s="2" customFormat="1" ht="24" customHeight="1">
      <c r="A1537" s="280">
        <f t="shared" si="23"/>
        <v>1528</v>
      </c>
      <c r="B1537" s="281"/>
      <c r="C1537" s="285"/>
      <c r="D1537" s="283"/>
      <c r="E1537" s="303"/>
    </row>
    <row r="1538" spans="1:5" s="2" customFormat="1" ht="24" customHeight="1">
      <c r="A1538" s="280">
        <f t="shared" si="23"/>
        <v>1529</v>
      </c>
      <c r="B1538" s="281"/>
      <c r="C1538" s="285"/>
      <c r="D1538" s="283"/>
      <c r="E1538" s="303"/>
    </row>
    <row r="1539" spans="1:5" s="2" customFormat="1" ht="24" customHeight="1">
      <c r="A1539" s="280">
        <f t="shared" si="23"/>
        <v>1530</v>
      </c>
      <c r="B1539" s="281"/>
      <c r="C1539" s="285"/>
      <c r="D1539" s="283"/>
      <c r="E1539" s="303"/>
    </row>
    <row r="1540" spans="1:5" s="2" customFormat="1" ht="24" customHeight="1">
      <c r="A1540" s="280">
        <f t="shared" si="23"/>
        <v>1531</v>
      </c>
      <c r="B1540" s="281"/>
      <c r="C1540" s="285"/>
      <c r="D1540" s="283"/>
      <c r="E1540" s="303"/>
    </row>
    <row r="1541" spans="1:5" s="2" customFormat="1" ht="24" customHeight="1">
      <c r="A1541" s="280">
        <f t="shared" si="23"/>
        <v>1532</v>
      </c>
      <c r="B1541" s="281"/>
      <c r="C1541" s="285"/>
      <c r="D1541" s="283"/>
      <c r="E1541" s="303"/>
    </row>
    <row r="1542" spans="1:5" s="2" customFormat="1" ht="24" customHeight="1">
      <c r="A1542" s="280">
        <f t="shared" si="23"/>
        <v>1533</v>
      </c>
      <c r="B1542" s="281"/>
      <c r="C1542" s="285"/>
      <c r="D1542" s="283"/>
      <c r="E1542" s="303"/>
    </row>
    <row r="1543" spans="1:5" s="2" customFormat="1" ht="24" customHeight="1">
      <c r="A1543" s="280">
        <f t="shared" si="23"/>
        <v>1534</v>
      </c>
      <c r="B1543" s="281"/>
      <c r="C1543" s="285"/>
      <c r="D1543" s="283"/>
      <c r="E1543" s="303"/>
    </row>
    <row r="1544" spans="1:5" s="2" customFormat="1" ht="24" customHeight="1">
      <c r="A1544" s="280">
        <f t="shared" si="23"/>
        <v>1535</v>
      </c>
      <c r="B1544" s="281"/>
      <c r="C1544" s="285"/>
      <c r="D1544" s="283"/>
      <c r="E1544" s="303"/>
    </row>
    <row r="1545" spans="1:5" s="2" customFormat="1" ht="24" customHeight="1">
      <c r="A1545" s="280">
        <f t="shared" si="23"/>
        <v>1536</v>
      </c>
      <c r="B1545" s="281"/>
      <c r="C1545" s="285"/>
      <c r="D1545" s="283"/>
      <c r="E1545" s="303"/>
    </row>
    <row r="1546" spans="1:5" s="2" customFormat="1" ht="24" customHeight="1">
      <c r="A1546" s="280">
        <f t="shared" si="23"/>
        <v>1537</v>
      </c>
      <c r="B1546" s="281"/>
      <c r="C1546" s="285"/>
      <c r="D1546" s="283"/>
      <c r="E1546" s="303"/>
    </row>
    <row r="1547" spans="1:5" s="2" customFormat="1" ht="24" customHeight="1">
      <c r="A1547" s="280">
        <f t="shared" si="23"/>
        <v>1538</v>
      </c>
      <c r="B1547" s="281"/>
      <c r="C1547" s="285"/>
      <c r="D1547" s="283"/>
      <c r="E1547" s="303"/>
    </row>
    <row r="1548" spans="1:5" s="2" customFormat="1" ht="24" customHeight="1">
      <c r="A1548" s="280">
        <f t="shared" ref="A1548:A1611" si="24">A1547+1</f>
        <v>1539</v>
      </c>
      <c r="B1548" s="281"/>
      <c r="C1548" s="285"/>
      <c r="D1548" s="283"/>
      <c r="E1548" s="303"/>
    </row>
    <row r="1549" spans="1:5" s="2" customFormat="1" ht="24" customHeight="1">
      <c r="A1549" s="280">
        <f t="shared" si="24"/>
        <v>1540</v>
      </c>
      <c r="B1549" s="281"/>
      <c r="C1549" s="285"/>
      <c r="D1549" s="283"/>
      <c r="E1549" s="303"/>
    </row>
    <row r="1550" spans="1:5" s="2" customFormat="1" ht="24" customHeight="1">
      <c r="A1550" s="280">
        <f t="shared" si="24"/>
        <v>1541</v>
      </c>
      <c r="B1550" s="281"/>
      <c r="C1550" s="285"/>
      <c r="D1550" s="283"/>
      <c r="E1550" s="303"/>
    </row>
    <row r="1551" spans="1:5" s="2" customFormat="1" ht="24" customHeight="1">
      <c r="A1551" s="280">
        <f t="shared" si="24"/>
        <v>1542</v>
      </c>
      <c r="B1551" s="281"/>
      <c r="C1551" s="285"/>
      <c r="D1551" s="283"/>
      <c r="E1551" s="303"/>
    </row>
    <row r="1552" spans="1:5" s="2" customFormat="1" ht="24" customHeight="1">
      <c r="A1552" s="280">
        <f t="shared" si="24"/>
        <v>1543</v>
      </c>
      <c r="B1552" s="281"/>
      <c r="C1552" s="285"/>
      <c r="D1552" s="283"/>
      <c r="E1552" s="303"/>
    </row>
    <row r="1553" spans="1:5" s="2" customFormat="1" ht="24" customHeight="1">
      <c r="A1553" s="280">
        <f t="shared" si="24"/>
        <v>1544</v>
      </c>
      <c r="B1553" s="281"/>
      <c r="C1553" s="285"/>
      <c r="D1553" s="283"/>
      <c r="E1553" s="303"/>
    </row>
    <row r="1554" spans="1:5" s="2" customFormat="1" ht="24" customHeight="1">
      <c r="A1554" s="280">
        <f t="shared" si="24"/>
        <v>1545</v>
      </c>
      <c r="B1554" s="281"/>
      <c r="C1554" s="285"/>
      <c r="D1554" s="283"/>
      <c r="E1554" s="303"/>
    </row>
    <row r="1555" spans="1:5" s="2" customFormat="1" ht="24" customHeight="1">
      <c r="A1555" s="280">
        <f t="shared" si="24"/>
        <v>1546</v>
      </c>
      <c r="B1555" s="281"/>
      <c r="C1555" s="285"/>
      <c r="D1555" s="283"/>
      <c r="E1555" s="303"/>
    </row>
    <row r="1556" spans="1:5" s="2" customFormat="1" ht="24" customHeight="1">
      <c r="A1556" s="280">
        <f t="shared" si="24"/>
        <v>1547</v>
      </c>
      <c r="B1556" s="281"/>
      <c r="C1556" s="285"/>
      <c r="D1556" s="283"/>
      <c r="E1556" s="303"/>
    </row>
    <row r="1557" spans="1:5" s="2" customFormat="1" ht="24" customHeight="1">
      <c r="A1557" s="280">
        <f t="shared" si="24"/>
        <v>1548</v>
      </c>
      <c r="B1557" s="281"/>
      <c r="C1557" s="285"/>
      <c r="D1557" s="283"/>
      <c r="E1557" s="303"/>
    </row>
    <row r="1558" spans="1:5" s="2" customFormat="1" ht="24" customHeight="1">
      <c r="A1558" s="280">
        <f t="shared" si="24"/>
        <v>1549</v>
      </c>
      <c r="B1558" s="281"/>
      <c r="C1558" s="285"/>
      <c r="D1558" s="283"/>
      <c r="E1558" s="303"/>
    </row>
    <row r="1559" spans="1:5" s="2" customFormat="1" ht="24" customHeight="1">
      <c r="A1559" s="280">
        <f t="shared" si="24"/>
        <v>1550</v>
      </c>
      <c r="B1559" s="281"/>
      <c r="C1559" s="285"/>
      <c r="D1559" s="283"/>
      <c r="E1559" s="303"/>
    </row>
    <row r="1560" spans="1:5" s="2" customFormat="1" ht="24" customHeight="1">
      <c r="A1560" s="280">
        <f t="shared" si="24"/>
        <v>1551</v>
      </c>
      <c r="B1560" s="281"/>
      <c r="C1560" s="285"/>
      <c r="D1560" s="283"/>
      <c r="E1560" s="303"/>
    </row>
    <row r="1561" spans="1:5" s="2" customFormat="1" ht="24" customHeight="1">
      <c r="A1561" s="280">
        <f t="shared" si="24"/>
        <v>1552</v>
      </c>
      <c r="B1561" s="281"/>
      <c r="C1561" s="285"/>
      <c r="D1561" s="283"/>
      <c r="E1561" s="303"/>
    </row>
    <row r="1562" spans="1:5" s="2" customFormat="1" ht="24" customHeight="1">
      <c r="A1562" s="280">
        <f t="shared" si="24"/>
        <v>1553</v>
      </c>
      <c r="B1562" s="281"/>
      <c r="C1562" s="285"/>
      <c r="D1562" s="283"/>
      <c r="E1562" s="303"/>
    </row>
    <row r="1563" spans="1:5" s="2" customFormat="1" ht="24" customHeight="1">
      <c r="A1563" s="280">
        <f t="shared" si="24"/>
        <v>1554</v>
      </c>
      <c r="B1563" s="281"/>
      <c r="C1563" s="285"/>
      <c r="D1563" s="283"/>
      <c r="E1563" s="303"/>
    </row>
    <row r="1564" spans="1:5" s="2" customFormat="1" ht="24" customHeight="1">
      <c r="A1564" s="280">
        <f t="shared" si="24"/>
        <v>1555</v>
      </c>
      <c r="B1564" s="281"/>
      <c r="C1564" s="285"/>
      <c r="D1564" s="283"/>
      <c r="E1564" s="303"/>
    </row>
    <row r="1565" spans="1:5" s="2" customFormat="1" ht="24" customHeight="1">
      <c r="A1565" s="280">
        <f t="shared" si="24"/>
        <v>1556</v>
      </c>
      <c r="B1565" s="281"/>
      <c r="C1565" s="285"/>
      <c r="D1565" s="283"/>
      <c r="E1565" s="303"/>
    </row>
    <row r="1566" spans="1:5" s="2" customFormat="1" ht="24" customHeight="1">
      <c r="A1566" s="280">
        <f t="shared" si="24"/>
        <v>1557</v>
      </c>
      <c r="B1566" s="281"/>
      <c r="C1566" s="285"/>
      <c r="D1566" s="283"/>
      <c r="E1566" s="303"/>
    </row>
    <row r="1567" spans="1:5" s="2" customFormat="1" ht="24" customHeight="1">
      <c r="A1567" s="280">
        <f t="shared" si="24"/>
        <v>1558</v>
      </c>
      <c r="B1567" s="281"/>
      <c r="C1567" s="285"/>
      <c r="D1567" s="283"/>
      <c r="E1567" s="303"/>
    </row>
    <row r="1568" spans="1:5" s="2" customFormat="1" ht="24" customHeight="1">
      <c r="A1568" s="280">
        <f t="shared" si="24"/>
        <v>1559</v>
      </c>
      <c r="B1568" s="281"/>
      <c r="C1568" s="285"/>
      <c r="D1568" s="283"/>
      <c r="E1568" s="303"/>
    </row>
    <row r="1569" spans="1:5" s="2" customFormat="1" ht="24" customHeight="1">
      <c r="A1569" s="280">
        <f t="shared" si="24"/>
        <v>1560</v>
      </c>
      <c r="B1569" s="281"/>
      <c r="C1569" s="285"/>
      <c r="D1569" s="283"/>
      <c r="E1569" s="303"/>
    </row>
    <row r="1570" spans="1:5" s="2" customFormat="1" ht="24" customHeight="1">
      <c r="A1570" s="280">
        <f t="shared" si="24"/>
        <v>1561</v>
      </c>
      <c r="B1570" s="281"/>
      <c r="C1570" s="285"/>
      <c r="D1570" s="283"/>
      <c r="E1570" s="303"/>
    </row>
    <row r="1571" spans="1:5" s="2" customFormat="1" ht="24" customHeight="1">
      <c r="A1571" s="280">
        <f t="shared" si="24"/>
        <v>1562</v>
      </c>
      <c r="B1571" s="281"/>
      <c r="C1571" s="285"/>
      <c r="D1571" s="283"/>
      <c r="E1571" s="303"/>
    </row>
    <row r="1572" spans="1:5" s="2" customFormat="1" ht="24" customHeight="1">
      <c r="A1572" s="280">
        <f t="shared" si="24"/>
        <v>1563</v>
      </c>
      <c r="B1572" s="281"/>
      <c r="C1572" s="285"/>
      <c r="D1572" s="283"/>
      <c r="E1572" s="303"/>
    </row>
    <row r="1573" spans="1:5" s="2" customFormat="1" ht="24" customHeight="1">
      <c r="A1573" s="280">
        <f t="shared" si="24"/>
        <v>1564</v>
      </c>
      <c r="B1573" s="281"/>
      <c r="C1573" s="285"/>
      <c r="D1573" s="283"/>
      <c r="E1573" s="303"/>
    </row>
    <row r="1574" spans="1:5" s="2" customFormat="1" ht="24" customHeight="1">
      <c r="A1574" s="280">
        <f t="shared" si="24"/>
        <v>1565</v>
      </c>
      <c r="B1574" s="281"/>
      <c r="C1574" s="285"/>
      <c r="D1574" s="283"/>
      <c r="E1574" s="303"/>
    </row>
    <row r="1575" spans="1:5" s="2" customFormat="1" ht="24" customHeight="1">
      <c r="A1575" s="280">
        <f t="shared" si="24"/>
        <v>1566</v>
      </c>
      <c r="B1575" s="281"/>
      <c r="C1575" s="285"/>
      <c r="D1575" s="283"/>
      <c r="E1575" s="303"/>
    </row>
    <row r="1576" spans="1:5" s="2" customFormat="1" ht="24" customHeight="1">
      <c r="A1576" s="280">
        <f t="shared" si="24"/>
        <v>1567</v>
      </c>
      <c r="B1576" s="281"/>
      <c r="C1576" s="285"/>
      <c r="D1576" s="283"/>
      <c r="E1576" s="303"/>
    </row>
    <row r="1577" spans="1:5" s="2" customFormat="1" ht="24" customHeight="1">
      <c r="A1577" s="280">
        <f t="shared" si="24"/>
        <v>1568</v>
      </c>
      <c r="B1577" s="281"/>
      <c r="C1577" s="285"/>
      <c r="D1577" s="283"/>
      <c r="E1577" s="303"/>
    </row>
    <row r="1578" spans="1:5" s="2" customFormat="1" ht="24" customHeight="1">
      <c r="A1578" s="280">
        <f t="shared" si="24"/>
        <v>1569</v>
      </c>
      <c r="B1578" s="281"/>
      <c r="C1578" s="285"/>
      <c r="D1578" s="283"/>
      <c r="E1578" s="303"/>
    </row>
    <row r="1579" spans="1:5" s="2" customFormat="1" ht="24" customHeight="1">
      <c r="A1579" s="280">
        <f t="shared" si="24"/>
        <v>1570</v>
      </c>
      <c r="B1579" s="281"/>
      <c r="C1579" s="285"/>
      <c r="D1579" s="283"/>
      <c r="E1579" s="303"/>
    </row>
    <row r="1580" spans="1:5" s="2" customFormat="1" ht="24" customHeight="1">
      <c r="A1580" s="280">
        <f t="shared" si="24"/>
        <v>1571</v>
      </c>
      <c r="B1580" s="281"/>
      <c r="C1580" s="285"/>
      <c r="D1580" s="283"/>
      <c r="E1580" s="303"/>
    </row>
    <row r="1581" spans="1:5" s="2" customFormat="1" ht="24" customHeight="1">
      <c r="A1581" s="280">
        <f t="shared" si="24"/>
        <v>1572</v>
      </c>
      <c r="B1581" s="281"/>
      <c r="C1581" s="285"/>
      <c r="D1581" s="283"/>
      <c r="E1581" s="303"/>
    </row>
    <row r="1582" spans="1:5" s="2" customFormat="1" ht="24" customHeight="1">
      <c r="A1582" s="280">
        <f t="shared" si="24"/>
        <v>1573</v>
      </c>
      <c r="B1582" s="281"/>
      <c r="C1582" s="285"/>
      <c r="D1582" s="283"/>
      <c r="E1582" s="303"/>
    </row>
    <row r="1583" spans="1:5" s="2" customFormat="1" ht="24" customHeight="1">
      <c r="A1583" s="280">
        <f t="shared" si="24"/>
        <v>1574</v>
      </c>
      <c r="B1583" s="281"/>
      <c r="C1583" s="285"/>
      <c r="D1583" s="283"/>
      <c r="E1583" s="303"/>
    </row>
    <row r="1584" spans="1:5" s="2" customFormat="1" ht="24" customHeight="1">
      <c r="A1584" s="280">
        <f t="shared" si="24"/>
        <v>1575</v>
      </c>
      <c r="B1584" s="281"/>
      <c r="C1584" s="285"/>
      <c r="D1584" s="283"/>
      <c r="E1584" s="303"/>
    </row>
    <row r="1585" spans="1:5" s="2" customFormat="1" ht="24" customHeight="1">
      <c r="A1585" s="280">
        <f t="shared" si="24"/>
        <v>1576</v>
      </c>
      <c r="B1585" s="281"/>
      <c r="C1585" s="285"/>
      <c r="D1585" s="283"/>
      <c r="E1585" s="303"/>
    </row>
    <row r="1586" spans="1:5" s="2" customFormat="1" ht="24" customHeight="1">
      <c r="A1586" s="280">
        <f t="shared" si="24"/>
        <v>1577</v>
      </c>
      <c r="B1586" s="281"/>
      <c r="C1586" s="285"/>
      <c r="D1586" s="283"/>
      <c r="E1586" s="303"/>
    </row>
    <row r="1587" spans="1:5" s="2" customFormat="1" ht="24" customHeight="1">
      <c r="A1587" s="280">
        <f t="shared" si="24"/>
        <v>1578</v>
      </c>
      <c r="B1587" s="281"/>
      <c r="C1587" s="285"/>
      <c r="D1587" s="283"/>
      <c r="E1587" s="303"/>
    </row>
    <row r="1588" spans="1:5" s="2" customFormat="1" ht="24" customHeight="1">
      <c r="A1588" s="280">
        <f t="shared" si="24"/>
        <v>1579</v>
      </c>
      <c r="B1588" s="281"/>
      <c r="C1588" s="285"/>
      <c r="D1588" s="283"/>
      <c r="E1588" s="303"/>
    </row>
    <row r="1589" spans="1:5" s="2" customFormat="1" ht="24" customHeight="1">
      <c r="A1589" s="280">
        <f t="shared" si="24"/>
        <v>1580</v>
      </c>
      <c r="B1589" s="281"/>
      <c r="C1589" s="285"/>
      <c r="D1589" s="283"/>
      <c r="E1589" s="303"/>
    </row>
    <row r="1590" spans="1:5" s="2" customFormat="1" ht="24" customHeight="1">
      <c r="A1590" s="280">
        <f t="shared" si="24"/>
        <v>1581</v>
      </c>
      <c r="B1590" s="281"/>
      <c r="C1590" s="285"/>
      <c r="D1590" s="283"/>
      <c r="E1590" s="303"/>
    </row>
    <row r="1591" spans="1:5" s="2" customFormat="1" ht="24" customHeight="1">
      <c r="A1591" s="280">
        <f t="shared" si="24"/>
        <v>1582</v>
      </c>
      <c r="B1591" s="281"/>
      <c r="C1591" s="285"/>
      <c r="D1591" s="283"/>
      <c r="E1591" s="303"/>
    </row>
    <row r="1592" spans="1:5" s="2" customFormat="1" ht="24" customHeight="1">
      <c r="A1592" s="280">
        <f t="shared" si="24"/>
        <v>1583</v>
      </c>
      <c r="B1592" s="281"/>
      <c r="C1592" s="285"/>
      <c r="D1592" s="283"/>
      <c r="E1592" s="303"/>
    </row>
    <row r="1593" spans="1:5" s="2" customFormat="1" ht="24" customHeight="1">
      <c r="A1593" s="280">
        <f t="shared" si="24"/>
        <v>1584</v>
      </c>
      <c r="B1593" s="281"/>
      <c r="C1593" s="285"/>
      <c r="D1593" s="283"/>
      <c r="E1593" s="303"/>
    </row>
    <row r="1594" spans="1:5" s="2" customFormat="1" ht="24" customHeight="1">
      <c r="A1594" s="280">
        <f t="shared" si="24"/>
        <v>1585</v>
      </c>
      <c r="B1594" s="281"/>
      <c r="C1594" s="285"/>
      <c r="D1594" s="283"/>
      <c r="E1594" s="303"/>
    </row>
    <row r="1595" spans="1:5" s="2" customFormat="1" ht="24" customHeight="1">
      <c r="A1595" s="280">
        <f t="shared" si="24"/>
        <v>1586</v>
      </c>
      <c r="B1595" s="281"/>
      <c r="C1595" s="285"/>
      <c r="D1595" s="283"/>
      <c r="E1595" s="303"/>
    </row>
    <row r="1596" spans="1:5" s="2" customFormat="1" ht="24" customHeight="1">
      <c r="A1596" s="280">
        <f t="shared" si="24"/>
        <v>1587</v>
      </c>
      <c r="B1596" s="281"/>
      <c r="C1596" s="285"/>
      <c r="D1596" s="283"/>
      <c r="E1596" s="303"/>
    </row>
    <row r="1597" spans="1:5" s="2" customFormat="1" ht="24" customHeight="1">
      <c r="A1597" s="280">
        <f t="shared" si="24"/>
        <v>1588</v>
      </c>
      <c r="B1597" s="281"/>
      <c r="C1597" s="285"/>
      <c r="D1597" s="283"/>
      <c r="E1597" s="303"/>
    </row>
    <row r="1598" spans="1:5" s="2" customFormat="1" ht="24" customHeight="1">
      <c r="A1598" s="280">
        <f t="shared" si="24"/>
        <v>1589</v>
      </c>
      <c r="B1598" s="281"/>
      <c r="C1598" s="285"/>
      <c r="D1598" s="283"/>
      <c r="E1598" s="303"/>
    </row>
    <row r="1599" spans="1:5" s="2" customFormat="1" ht="24" customHeight="1">
      <c r="A1599" s="280">
        <f t="shared" si="24"/>
        <v>1590</v>
      </c>
      <c r="B1599" s="281"/>
      <c r="C1599" s="285"/>
      <c r="D1599" s="283"/>
      <c r="E1599" s="303"/>
    </row>
    <row r="1600" spans="1:5" s="2" customFormat="1" ht="24" customHeight="1">
      <c r="A1600" s="280">
        <f t="shared" si="24"/>
        <v>1591</v>
      </c>
      <c r="B1600" s="281"/>
      <c r="C1600" s="285"/>
      <c r="D1600" s="283"/>
      <c r="E1600" s="303"/>
    </row>
    <row r="1601" spans="1:5" s="2" customFormat="1" ht="24" customHeight="1">
      <c r="A1601" s="280">
        <f t="shared" si="24"/>
        <v>1592</v>
      </c>
      <c r="B1601" s="281"/>
      <c r="C1601" s="285"/>
      <c r="D1601" s="283"/>
      <c r="E1601" s="303"/>
    </row>
    <row r="1602" spans="1:5" s="2" customFormat="1" ht="24" customHeight="1">
      <c r="A1602" s="280">
        <f t="shared" si="24"/>
        <v>1593</v>
      </c>
      <c r="B1602" s="281"/>
      <c r="C1602" s="285"/>
      <c r="D1602" s="283"/>
      <c r="E1602" s="303"/>
    </row>
    <row r="1603" spans="1:5" s="2" customFormat="1" ht="24" customHeight="1">
      <c r="A1603" s="280">
        <f t="shared" si="24"/>
        <v>1594</v>
      </c>
      <c r="B1603" s="281"/>
      <c r="C1603" s="285"/>
      <c r="D1603" s="283"/>
      <c r="E1603" s="303"/>
    </row>
    <row r="1604" spans="1:5" s="2" customFormat="1" ht="24" customHeight="1">
      <c r="A1604" s="280">
        <f t="shared" si="24"/>
        <v>1595</v>
      </c>
      <c r="B1604" s="281"/>
      <c r="C1604" s="285"/>
      <c r="D1604" s="283"/>
      <c r="E1604" s="303"/>
    </row>
    <row r="1605" spans="1:5" s="2" customFormat="1" ht="24" customHeight="1">
      <c r="A1605" s="280">
        <f t="shared" si="24"/>
        <v>1596</v>
      </c>
      <c r="B1605" s="281"/>
      <c r="C1605" s="285"/>
      <c r="D1605" s="283"/>
      <c r="E1605" s="303"/>
    </row>
    <row r="1606" spans="1:5" s="2" customFormat="1" ht="24" customHeight="1">
      <c r="A1606" s="280">
        <f t="shared" si="24"/>
        <v>1597</v>
      </c>
      <c r="B1606" s="281"/>
      <c r="C1606" s="285"/>
      <c r="D1606" s="283"/>
      <c r="E1606" s="303"/>
    </row>
    <row r="1607" spans="1:5" s="2" customFormat="1" ht="24" customHeight="1">
      <c r="A1607" s="280">
        <f t="shared" si="24"/>
        <v>1598</v>
      </c>
      <c r="B1607" s="281"/>
      <c r="C1607" s="285"/>
      <c r="D1607" s="283"/>
      <c r="E1607" s="303"/>
    </row>
    <row r="1608" spans="1:5" s="2" customFormat="1" ht="24" customHeight="1">
      <c r="A1608" s="280">
        <f t="shared" si="24"/>
        <v>1599</v>
      </c>
      <c r="B1608" s="281"/>
      <c r="C1608" s="285"/>
      <c r="D1608" s="283"/>
      <c r="E1608" s="303"/>
    </row>
    <row r="1609" spans="1:5" s="2" customFormat="1" ht="24" customHeight="1">
      <c r="A1609" s="280">
        <f t="shared" si="24"/>
        <v>1600</v>
      </c>
      <c r="B1609" s="281"/>
      <c r="C1609" s="285"/>
      <c r="D1609" s="283"/>
      <c r="E1609" s="303"/>
    </row>
    <row r="1610" spans="1:5" s="2" customFormat="1" ht="24" customHeight="1">
      <c r="A1610" s="280">
        <f t="shared" si="24"/>
        <v>1601</v>
      </c>
      <c r="B1610" s="281"/>
      <c r="C1610" s="285"/>
      <c r="D1610" s="283"/>
      <c r="E1610" s="303"/>
    </row>
    <row r="1611" spans="1:5" s="2" customFormat="1" ht="24" customHeight="1">
      <c r="A1611" s="280">
        <f t="shared" si="24"/>
        <v>1602</v>
      </c>
      <c r="B1611" s="281"/>
      <c r="C1611" s="285"/>
      <c r="D1611" s="283"/>
      <c r="E1611" s="303"/>
    </row>
    <row r="1612" spans="1:5" s="2" customFormat="1" ht="24" customHeight="1">
      <c r="A1612" s="280">
        <f t="shared" ref="A1612:A1675" si="25">A1611+1</f>
        <v>1603</v>
      </c>
      <c r="B1612" s="281"/>
      <c r="C1612" s="285"/>
      <c r="D1612" s="283"/>
      <c r="E1612" s="303"/>
    </row>
    <row r="1613" spans="1:5" s="2" customFormat="1" ht="24" customHeight="1">
      <c r="A1613" s="280">
        <f t="shared" si="25"/>
        <v>1604</v>
      </c>
      <c r="B1613" s="281"/>
      <c r="C1613" s="285"/>
      <c r="D1613" s="283"/>
      <c r="E1613" s="303"/>
    </row>
    <row r="1614" spans="1:5" s="2" customFormat="1" ht="24" customHeight="1">
      <c r="A1614" s="280">
        <f t="shared" si="25"/>
        <v>1605</v>
      </c>
      <c r="B1614" s="281"/>
      <c r="C1614" s="285"/>
      <c r="D1614" s="283"/>
      <c r="E1614" s="303"/>
    </row>
    <row r="1615" spans="1:5" s="2" customFormat="1" ht="24" customHeight="1">
      <c r="A1615" s="280">
        <f t="shared" si="25"/>
        <v>1606</v>
      </c>
      <c r="B1615" s="281"/>
      <c r="C1615" s="285"/>
      <c r="D1615" s="283"/>
      <c r="E1615" s="303"/>
    </row>
    <row r="1616" spans="1:5" s="2" customFormat="1" ht="24" customHeight="1">
      <c r="A1616" s="280">
        <f t="shared" si="25"/>
        <v>1607</v>
      </c>
      <c r="B1616" s="281"/>
      <c r="C1616" s="285"/>
      <c r="D1616" s="283"/>
      <c r="E1616" s="303"/>
    </row>
    <row r="1617" spans="1:5" s="2" customFormat="1" ht="24" customHeight="1">
      <c r="A1617" s="280">
        <f t="shared" si="25"/>
        <v>1608</v>
      </c>
      <c r="B1617" s="281"/>
      <c r="C1617" s="285"/>
      <c r="D1617" s="283"/>
      <c r="E1617" s="303"/>
    </row>
    <row r="1618" spans="1:5" s="2" customFormat="1" ht="24" customHeight="1">
      <c r="A1618" s="280">
        <f t="shared" si="25"/>
        <v>1609</v>
      </c>
      <c r="B1618" s="281"/>
      <c r="C1618" s="285"/>
      <c r="D1618" s="283"/>
      <c r="E1618" s="303"/>
    </row>
    <row r="1619" spans="1:5" s="2" customFormat="1" ht="24" customHeight="1">
      <c r="A1619" s="280">
        <f t="shared" si="25"/>
        <v>1610</v>
      </c>
      <c r="B1619" s="281"/>
      <c r="C1619" s="285"/>
      <c r="D1619" s="283"/>
      <c r="E1619" s="303"/>
    </row>
    <row r="1620" spans="1:5" s="2" customFormat="1" ht="24" customHeight="1">
      <c r="A1620" s="280">
        <f t="shared" si="25"/>
        <v>1611</v>
      </c>
      <c r="B1620" s="281"/>
      <c r="C1620" s="285"/>
      <c r="D1620" s="283"/>
      <c r="E1620" s="303"/>
    </row>
    <row r="1621" spans="1:5" s="2" customFormat="1" ht="24" customHeight="1">
      <c r="A1621" s="280">
        <f t="shared" si="25"/>
        <v>1612</v>
      </c>
      <c r="B1621" s="281"/>
      <c r="C1621" s="285"/>
      <c r="D1621" s="283"/>
      <c r="E1621" s="303"/>
    </row>
    <row r="1622" spans="1:5" s="2" customFormat="1" ht="24" customHeight="1">
      <c r="A1622" s="280">
        <f t="shared" si="25"/>
        <v>1613</v>
      </c>
      <c r="B1622" s="281"/>
      <c r="C1622" s="285"/>
      <c r="D1622" s="283"/>
      <c r="E1622" s="303"/>
    </row>
    <row r="1623" spans="1:5" s="2" customFormat="1" ht="24" customHeight="1">
      <c r="A1623" s="280">
        <f t="shared" si="25"/>
        <v>1614</v>
      </c>
      <c r="B1623" s="281"/>
      <c r="C1623" s="285"/>
      <c r="D1623" s="283"/>
      <c r="E1623" s="303"/>
    </row>
    <row r="1624" spans="1:5" s="2" customFormat="1" ht="24" customHeight="1">
      <c r="A1624" s="280">
        <f t="shared" si="25"/>
        <v>1615</v>
      </c>
      <c r="B1624" s="281"/>
      <c r="C1624" s="285"/>
      <c r="D1624" s="283"/>
      <c r="E1624" s="303"/>
    </row>
    <row r="1625" spans="1:5" s="2" customFormat="1" ht="24" customHeight="1">
      <c r="A1625" s="280">
        <f t="shared" si="25"/>
        <v>1616</v>
      </c>
      <c r="B1625" s="281"/>
      <c r="C1625" s="285"/>
      <c r="D1625" s="283"/>
      <c r="E1625" s="303"/>
    </row>
    <row r="1626" spans="1:5" s="2" customFormat="1" ht="24" customHeight="1">
      <c r="A1626" s="280">
        <f t="shared" si="25"/>
        <v>1617</v>
      </c>
      <c r="B1626" s="281"/>
      <c r="C1626" s="285"/>
      <c r="D1626" s="283"/>
      <c r="E1626" s="303"/>
    </row>
    <row r="1627" spans="1:5" s="2" customFormat="1" ht="24" customHeight="1">
      <c r="A1627" s="280">
        <f t="shared" si="25"/>
        <v>1618</v>
      </c>
      <c r="B1627" s="281"/>
      <c r="C1627" s="285"/>
      <c r="D1627" s="283"/>
      <c r="E1627" s="303"/>
    </row>
    <row r="1628" spans="1:5" s="2" customFormat="1" ht="24" customHeight="1">
      <c r="A1628" s="280">
        <f t="shared" si="25"/>
        <v>1619</v>
      </c>
      <c r="B1628" s="281"/>
      <c r="C1628" s="285"/>
      <c r="D1628" s="283"/>
      <c r="E1628" s="303"/>
    </row>
    <row r="1629" spans="1:5" s="2" customFormat="1" ht="24" customHeight="1">
      <c r="A1629" s="280">
        <f t="shared" si="25"/>
        <v>1620</v>
      </c>
      <c r="B1629" s="281"/>
      <c r="C1629" s="285"/>
      <c r="D1629" s="283"/>
      <c r="E1629" s="303"/>
    </row>
    <row r="1630" spans="1:5" s="2" customFormat="1" ht="24" customHeight="1">
      <c r="A1630" s="280">
        <f t="shared" si="25"/>
        <v>1621</v>
      </c>
      <c r="B1630" s="281"/>
      <c r="C1630" s="285"/>
      <c r="D1630" s="283"/>
      <c r="E1630" s="303"/>
    </row>
    <row r="1631" spans="1:5" s="2" customFormat="1" ht="24" customHeight="1">
      <c r="A1631" s="280">
        <f t="shared" si="25"/>
        <v>1622</v>
      </c>
      <c r="B1631" s="281"/>
      <c r="C1631" s="285"/>
      <c r="D1631" s="283"/>
      <c r="E1631" s="303"/>
    </row>
    <row r="1632" spans="1:5" s="2" customFormat="1" ht="24" customHeight="1">
      <c r="A1632" s="280">
        <f t="shared" si="25"/>
        <v>1623</v>
      </c>
      <c r="B1632" s="281"/>
      <c r="C1632" s="285"/>
      <c r="D1632" s="283"/>
      <c r="E1632" s="303"/>
    </row>
    <row r="1633" spans="1:5" s="2" customFormat="1" ht="24" customHeight="1">
      <c r="A1633" s="280">
        <f t="shared" si="25"/>
        <v>1624</v>
      </c>
      <c r="B1633" s="281"/>
      <c r="C1633" s="285"/>
      <c r="D1633" s="283"/>
      <c r="E1633" s="303"/>
    </row>
    <row r="1634" spans="1:5" s="2" customFormat="1" ht="24" customHeight="1">
      <c r="A1634" s="280">
        <f t="shared" si="25"/>
        <v>1625</v>
      </c>
      <c r="B1634" s="281"/>
      <c r="C1634" s="285"/>
      <c r="D1634" s="283"/>
      <c r="E1634" s="303"/>
    </row>
    <row r="1635" spans="1:5" s="2" customFormat="1" ht="24" customHeight="1">
      <c r="A1635" s="280">
        <f t="shared" si="25"/>
        <v>1626</v>
      </c>
      <c r="B1635" s="281"/>
      <c r="C1635" s="285"/>
      <c r="D1635" s="283"/>
      <c r="E1635" s="303"/>
    </row>
    <row r="1636" spans="1:5" s="2" customFormat="1" ht="24" customHeight="1">
      <c r="A1636" s="280">
        <f t="shared" si="25"/>
        <v>1627</v>
      </c>
      <c r="B1636" s="281"/>
      <c r="C1636" s="285"/>
      <c r="D1636" s="283"/>
      <c r="E1636" s="303"/>
    </row>
    <row r="1637" spans="1:5" s="2" customFormat="1" ht="24" customHeight="1">
      <c r="A1637" s="280">
        <f t="shared" si="25"/>
        <v>1628</v>
      </c>
      <c r="B1637" s="281"/>
      <c r="C1637" s="285"/>
      <c r="D1637" s="283"/>
      <c r="E1637" s="303"/>
    </row>
    <row r="1638" spans="1:5" s="2" customFormat="1" ht="24" customHeight="1">
      <c r="A1638" s="280">
        <f t="shared" si="25"/>
        <v>1629</v>
      </c>
      <c r="B1638" s="281"/>
      <c r="C1638" s="285"/>
      <c r="D1638" s="283"/>
      <c r="E1638" s="303"/>
    </row>
    <row r="1639" spans="1:5" s="2" customFormat="1" ht="24" customHeight="1">
      <c r="A1639" s="280">
        <f t="shared" si="25"/>
        <v>1630</v>
      </c>
      <c r="B1639" s="281"/>
      <c r="C1639" s="285"/>
      <c r="D1639" s="283"/>
      <c r="E1639" s="303"/>
    </row>
    <row r="1640" spans="1:5" s="2" customFormat="1" ht="24" customHeight="1">
      <c r="A1640" s="280">
        <f t="shared" si="25"/>
        <v>1631</v>
      </c>
      <c r="B1640" s="281"/>
      <c r="C1640" s="285"/>
      <c r="D1640" s="283"/>
      <c r="E1640" s="303"/>
    </row>
    <row r="1641" spans="1:5" s="2" customFormat="1" ht="24" customHeight="1">
      <c r="A1641" s="280">
        <f t="shared" si="25"/>
        <v>1632</v>
      </c>
      <c r="B1641" s="281"/>
      <c r="C1641" s="285"/>
      <c r="D1641" s="283"/>
      <c r="E1641" s="303"/>
    </row>
    <row r="1642" spans="1:5" s="2" customFormat="1" ht="24" customHeight="1">
      <c r="A1642" s="280">
        <f t="shared" si="25"/>
        <v>1633</v>
      </c>
      <c r="B1642" s="281"/>
      <c r="C1642" s="285"/>
      <c r="D1642" s="283"/>
      <c r="E1642" s="303"/>
    </row>
    <row r="1643" spans="1:5" s="2" customFormat="1" ht="24" customHeight="1">
      <c r="A1643" s="280">
        <f t="shared" si="25"/>
        <v>1634</v>
      </c>
      <c r="B1643" s="281"/>
      <c r="C1643" s="285"/>
      <c r="D1643" s="283"/>
      <c r="E1643" s="303"/>
    </row>
    <row r="1644" spans="1:5" s="2" customFormat="1" ht="24" customHeight="1">
      <c r="A1644" s="280">
        <f t="shared" si="25"/>
        <v>1635</v>
      </c>
      <c r="B1644" s="281"/>
      <c r="C1644" s="285"/>
      <c r="D1644" s="283"/>
      <c r="E1644" s="303"/>
    </row>
    <row r="1645" spans="1:5" s="2" customFormat="1" ht="24" customHeight="1">
      <c r="A1645" s="280">
        <f t="shared" si="25"/>
        <v>1636</v>
      </c>
      <c r="B1645" s="281"/>
      <c r="C1645" s="285"/>
      <c r="D1645" s="283"/>
      <c r="E1645" s="303"/>
    </row>
    <row r="1646" spans="1:5" s="2" customFormat="1" ht="24" customHeight="1">
      <c r="A1646" s="280">
        <f t="shared" si="25"/>
        <v>1637</v>
      </c>
      <c r="B1646" s="281"/>
      <c r="C1646" s="285"/>
      <c r="D1646" s="283"/>
      <c r="E1646" s="303"/>
    </row>
    <row r="1647" spans="1:5" s="2" customFormat="1" ht="24" customHeight="1">
      <c r="A1647" s="280">
        <f t="shared" si="25"/>
        <v>1638</v>
      </c>
      <c r="B1647" s="281"/>
      <c r="C1647" s="285"/>
      <c r="D1647" s="283"/>
      <c r="E1647" s="303"/>
    </row>
    <row r="1648" spans="1:5" s="2" customFormat="1" ht="24" customHeight="1">
      <c r="A1648" s="280">
        <f t="shared" si="25"/>
        <v>1639</v>
      </c>
      <c r="B1648" s="281"/>
      <c r="C1648" s="285"/>
      <c r="D1648" s="283"/>
      <c r="E1648" s="303"/>
    </row>
    <row r="1649" spans="1:5" s="2" customFormat="1" ht="24" customHeight="1">
      <c r="A1649" s="280">
        <f t="shared" si="25"/>
        <v>1640</v>
      </c>
      <c r="B1649" s="281"/>
      <c r="C1649" s="285"/>
      <c r="D1649" s="283"/>
      <c r="E1649" s="303"/>
    </row>
    <row r="1650" spans="1:5" s="2" customFormat="1" ht="24" customHeight="1">
      <c r="A1650" s="280">
        <f t="shared" si="25"/>
        <v>1641</v>
      </c>
      <c r="B1650" s="281"/>
      <c r="C1650" s="285"/>
      <c r="D1650" s="283"/>
      <c r="E1650" s="303"/>
    </row>
    <row r="1651" spans="1:5" s="2" customFormat="1" ht="24" customHeight="1">
      <c r="A1651" s="280">
        <f t="shared" si="25"/>
        <v>1642</v>
      </c>
      <c r="B1651" s="281"/>
      <c r="C1651" s="285"/>
      <c r="D1651" s="283"/>
      <c r="E1651" s="303"/>
    </row>
    <row r="1652" spans="1:5" s="2" customFormat="1" ht="24" customHeight="1">
      <c r="A1652" s="280">
        <f t="shared" si="25"/>
        <v>1643</v>
      </c>
      <c r="B1652" s="281"/>
      <c r="C1652" s="285"/>
      <c r="D1652" s="283"/>
      <c r="E1652" s="303"/>
    </row>
    <row r="1653" spans="1:5" s="2" customFormat="1" ht="24" customHeight="1">
      <c r="A1653" s="280">
        <f t="shared" si="25"/>
        <v>1644</v>
      </c>
      <c r="B1653" s="281"/>
      <c r="C1653" s="285"/>
      <c r="D1653" s="283"/>
      <c r="E1653" s="303"/>
    </row>
    <row r="1654" spans="1:5" s="2" customFormat="1" ht="24" customHeight="1">
      <c r="A1654" s="280">
        <f t="shared" si="25"/>
        <v>1645</v>
      </c>
      <c r="B1654" s="281"/>
      <c r="C1654" s="285"/>
      <c r="D1654" s="283"/>
      <c r="E1654" s="303"/>
    </row>
    <row r="1655" spans="1:5" s="2" customFormat="1" ht="24" customHeight="1">
      <c r="A1655" s="280">
        <f t="shared" si="25"/>
        <v>1646</v>
      </c>
      <c r="B1655" s="281"/>
      <c r="C1655" s="285"/>
      <c r="D1655" s="283"/>
      <c r="E1655" s="303"/>
    </row>
    <row r="1656" spans="1:5" s="2" customFormat="1" ht="24" customHeight="1">
      <c r="A1656" s="280">
        <f t="shared" si="25"/>
        <v>1647</v>
      </c>
      <c r="B1656" s="281"/>
      <c r="C1656" s="285"/>
      <c r="D1656" s="283"/>
      <c r="E1656" s="303"/>
    </row>
    <row r="1657" spans="1:5" s="2" customFormat="1" ht="24" customHeight="1">
      <c r="A1657" s="280">
        <f t="shared" si="25"/>
        <v>1648</v>
      </c>
      <c r="B1657" s="281"/>
      <c r="C1657" s="285"/>
      <c r="D1657" s="283"/>
      <c r="E1657" s="303"/>
    </row>
    <row r="1658" spans="1:5" s="2" customFormat="1" ht="24" customHeight="1">
      <c r="A1658" s="280">
        <f t="shared" si="25"/>
        <v>1649</v>
      </c>
      <c r="B1658" s="281"/>
      <c r="C1658" s="285"/>
      <c r="D1658" s="283"/>
      <c r="E1658" s="303"/>
    </row>
    <row r="1659" spans="1:5" s="2" customFormat="1" ht="24" customHeight="1">
      <c r="A1659" s="280">
        <f t="shared" si="25"/>
        <v>1650</v>
      </c>
      <c r="B1659" s="281"/>
      <c r="C1659" s="285"/>
      <c r="D1659" s="283"/>
      <c r="E1659" s="303"/>
    </row>
    <row r="1660" spans="1:5" s="2" customFormat="1" ht="24" customHeight="1">
      <c r="A1660" s="280">
        <f t="shared" si="25"/>
        <v>1651</v>
      </c>
      <c r="B1660" s="281"/>
      <c r="C1660" s="285"/>
      <c r="D1660" s="283"/>
      <c r="E1660" s="303"/>
    </row>
    <row r="1661" spans="1:5" s="2" customFormat="1" ht="24" customHeight="1">
      <c r="A1661" s="280">
        <f t="shared" si="25"/>
        <v>1652</v>
      </c>
      <c r="B1661" s="281"/>
      <c r="C1661" s="285"/>
      <c r="D1661" s="283"/>
      <c r="E1661" s="303"/>
    </row>
    <row r="1662" spans="1:5" s="2" customFormat="1" ht="24" customHeight="1">
      <c r="A1662" s="280">
        <f t="shared" si="25"/>
        <v>1653</v>
      </c>
      <c r="B1662" s="281"/>
      <c r="C1662" s="285"/>
      <c r="D1662" s="283"/>
      <c r="E1662" s="303"/>
    </row>
    <row r="1663" spans="1:5" s="2" customFormat="1" ht="24" customHeight="1">
      <c r="A1663" s="280">
        <f t="shared" si="25"/>
        <v>1654</v>
      </c>
      <c r="B1663" s="281"/>
      <c r="C1663" s="285"/>
      <c r="D1663" s="283"/>
      <c r="E1663" s="303"/>
    </row>
    <row r="1664" spans="1:5" s="2" customFormat="1" ht="24" customHeight="1">
      <c r="A1664" s="280">
        <f t="shared" si="25"/>
        <v>1655</v>
      </c>
      <c r="B1664" s="281"/>
      <c r="C1664" s="285"/>
      <c r="D1664" s="283"/>
      <c r="E1664" s="303"/>
    </row>
    <row r="1665" spans="1:5" s="2" customFormat="1" ht="24" customHeight="1">
      <c r="A1665" s="280">
        <f t="shared" si="25"/>
        <v>1656</v>
      </c>
      <c r="B1665" s="281"/>
      <c r="C1665" s="285"/>
      <c r="D1665" s="283"/>
      <c r="E1665" s="303"/>
    </row>
    <row r="1666" spans="1:5" s="2" customFormat="1" ht="24" customHeight="1">
      <c r="A1666" s="280">
        <f t="shared" si="25"/>
        <v>1657</v>
      </c>
      <c r="B1666" s="281"/>
      <c r="C1666" s="285"/>
      <c r="D1666" s="283"/>
      <c r="E1666" s="303"/>
    </row>
    <row r="1667" spans="1:5" s="2" customFormat="1" ht="24" customHeight="1">
      <c r="A1667" s="280">
        <f t="shared" si="25"/>
        <v>1658</v>
      </c>
      <c r="B1667" s="281"/>
      <c r="C1667" s="285"/>
      <c r="D1667" s="283"/>
      <c r="E1667" s="303"/>
    </row>
    <row r="1668" spans="1:5" s="2" customFormat="1" ht="24" customHeight="1">
      <c r="A1668" s="280">
        <f t="shared" si="25"/>
        <v>1659</v>
      </c>
      <c r="B1668" s="281"/>
      <c r="C1668" s="285"/>
      <c r="D1668" s="283"/>
      <c r="E1668" s="303"/>
    </row>
    <row r="1669" spans="1:5" s="2" customFormat="1" ht="24" customHeight="1">
      <c r="A1669" s="280">
        <f t="shared" si="25"/>
        <v>1660</v>
      </c>
      <c r="B1669" s="281"/>
      <c r="C1669" s="285"/>
      <c r="D1669" s="283"/>
      <c r="E1669" s="303"/>
    </row>
    <row r="1670" spans="1:5" s="2" customFormat="1" ht="24" customHeight="1">
      <c r="A1670" s="280">
        <f t="shared" si="25"/>
        <v>1661</v>
      </c>
      <c r="B1670" s="281"/>
      <c r="C1670" s="285"/>
      <c r="D1670" s="283"/>
      <c r="E1670" s="303"/>
    </row>
    <row r="1671" spans="1:5" s="2" customFormat="1" ht="24" customHeight="1">
      <c r="A1671" s="280">
        <f t="shared" si="25"/>
        <v>1662</v>
      </c>
      <c r="B1671" s="281"/>
      <c r="C1671" s="285"/>
      <c r="D1671" s="283"/>
      <c r="E1671" s="303"/>
    </row>
    <row r="1672" spans="1:5" s="2" customFormat="1" ht="24" customHeight="1">
      <c r="A1672" s="280">
        <f t="shared" si="25"/>
        <v>1663</v>
      </c>
      <c r="B1672" s="281"/>
      <c r="C1672" s="285"/>
      <c r="D1672" s="283"/>
      <c r="E1672" s="303"/>
    </row>
    <row r="1673" spans="1:5" s="2" customFormat="1" ht="24" customHeight="1">
      <c r="A1673" s="280">
        <f t="shared" si="25"/>
        <v>1664</v>
      </c>
      <c r="B1673" s="281"/>
      <c r="C1673" s="285"/>
      <c r="D1673" s="283"/>
      <c r="E1673" s="303"/>
    </row>
    <row r="1674" spans="1:5" s="2" customFormat="1" ht="24" customHeight="1">
      <c r="A1674" s="280">
        <f t="shared" si="25"/>
        <v>1665</v>
      </c>
      <c r="B1674" s="281"/>
      <c r="C1674" s="285"/>
      <c r="D1674" s="283"/>
      <c r="E1674" s="303"/>
    </row>
    <row r="1675" spans="1:5" s="2" customFormat="1" ht="24" customHeight="1">
      <c r="A1675" s="280">
        <f t="shared" si="25"/>
        <v>1666</v>
      </c>
      <c r="B1675" s="281"/>
      <c r="C1675" s="285"/>
      <c r="D1675" s="283"/>
      <c r="E1675" s="303"/>
    </row>
    <row r="1676" spans="1:5" s="2" customFormat="1" ht="24" customHeight="1">
      <c r="A1676" s="280">
        <f t="shared" ref="A1676:A1690" si="26">A1675+1</f>
        <v>1667</v>
      </c>
      <c r="B1676" s="281"/>
      <c r="C1676" s="285"/>
      <c r="D1676" s="283"/>
      <c r="E1676" s="303"/>
    </row>
    <row r="1677" spans="1:5" s="2" customFormat="1" ht="24" customHeight="1">
      <c r="A1677" s="280">
        <f t="shared" si="26"/>
        <v>1668</v>
      </c>
      <c r="B1677" s="281"/>
      <c r="C1677" s="285"/>
      <c r="D1677" s="283"/>
      <c r="E1677" s="303"/>
    </row>
    <row r="1678" spans="1:5" s="2" customFormat="1" ht="24" customHeight="1">
      <c r="A1678" s="280">
        <f t="shared" si="26"/>
        <v>1669</v>
      </c>
      <c r="B1678" s="281"/>
      <c r="C1678" s="285"/>
      <c r="D1678" s="283"/>
      <c r="E1678" s="303"/>
    </row>
    <row r="1679" spans="1:5" s="2" customFormat="1" ht="24" customHeight="1">
      <c r="A1679" s="280">
        <f t="shared" si="26"/>
        <v>1670</v>
      </c>
      <c r="B1679" s="281"/>
      <c r="C1679" s="285"/>
      <c r="D1679" s="283"/>
      <c r="E1679" s="303"/>
    </row>
    <row r="1680" spans="1:5" s="2" customFormat="1" ht="24" customHeight="1">
      <c r="A1680" s="280">
        <f t="shared" si="26"/>
        <v>1671</v>
      </c>
      <c r="B1680" s="281"/>
      <c r="C1680" s="285"/>
      <c r="D1680" s="283"/>
      <c r="E1680" s="303"/>
    </row>
    <row r="1681" spans="1:9" s="2" customFormat="1" ht="24" customHeight="1">
      <c r="A1681" s="280">
        <f t="shared" si="26"/>
        <v>1672</v>
      </c>
      <c r="B1681" s="281"/>
      <c r="C1681" s="285"/>
      <c r="D1681" s="283"/>
      <c r="E1681" s="303"/>
    </row>
    <row r="1682" spans="1:9" s="2" customFormat="1" ht="24" customHeight="1">
      <c r="A1682" s="280">
        <f t="shared" si="26"/>
        <v>1673</v>
      </c>
      <c r="B1682" s="281"/>
      <c r="C1682" s="285"/>
      <c r="D1682" s="283"/>
      <c r="E1682" s="303"/>
    </row>
    <row r="1683" spans="1:9" s="2" customFormat="1" ht="24" customHeight="1">
      <c r="A1683" s="280">
        <f t="shared" si="26"/>
        <v>1674</v>
      </c>
      <c r="B1683" s="281"/>
      <c r="C1683" s="285"/>
      <c r="D1683" s="283"/>
      <c r="E1683" s="303"/>
    </row>
    <row r="1684" spans="1:9" s="2" customFormat="1" ht="24" customHeight="1">
      <c r="A1684" s="280">
        <f t="shared" si="26"/>
        <v>1675</v>
      </c>
      <c r="B1684" s="281"/>
      <c r="C1684" s="285"/>
      <c r="D1684" s="283"/>
      <c r="E1684" s="303"/>
    </row>
    <row r="1685" spans="1:9" s="2" customFormat="1" ht="24" customHeight="1">
      <c r="A1685" s="280">
        <f t="shared" si="26"/>
        <v>1676</v>
      </c>
      <c r="B1685" s="281"/>
      <c r="C1685" s="285"/>
      <c r="D1685" s="283"/>
      <c r="E1685" s="303"/>
    </row>
    <row r="1686" spans="1:9" s="2" customFormat="1" ht="24" customHeight="1">
      <c r="A1686" s="280">
        <f t="shared" si="26"/>
        <v>1677</v>
      </c>
      <c r="B1686" s="281"/>
      <c r="C1686" s="285"/>
      <c r="D1686" s="283"/>
      <c r="E1686" s="303"/>
    </row>
    <row r="1687" spans="1:9" s="2" customFormat="1" ht="24" customHeight="1">
      <c r="A1687" s="280">
        <f t="shared" si="26"/>
        <v>1678</v>
      </c>
      <c r="B1687" s="281"/>
      <c r="C1687" s="285"/>
      <c r="D1687" s="283"/>
      <c r="E1687" s="303"/>
    </row>
    <row r="1688" spans="1:9" s="2" customFormat="1" ht="24" customHeight="1">
      <c r="A1688" s="280">
        <f t="shared" si="26"/>
        <v>1679</v>
      </c>
      <c r="B1688" s="281"/>
      <c r="C1688" s="285"/>
      <c r="D1688" s="283"/>
      <c r="E1688" s="303"/>
    </row>
    <row r="1689" spans="1:9" s="2" customFormat="1" ht="24" customHeight="1">
      <c r="A1689" s="280">
        <f t="shared" si="26"/>
        <v>1680</v>
      </c>
      <c r="B1689" s="281"/>
      <c r="C1689" s="285"/>
      <c r="D1689" s="283"/>
      <c r="E1689" s="303"/>
    </row>
    <row r="1690" spans="1:9" s="2" customFormat="1" ht="24" customHeight="1">
      <c r="A1690" s="280">
        <f t="shared" si="26"/>
        <v>1681</v>
      </c>
      <c r="B1690" s="281"/>
      <c r="C1690" s="285"/>
      <c r="D1690" s="283"/>
      <c r="E1690" s="303"/>
    </row>
    <row r="1691" spans="1:9" s="202" customFormat="1">
      <c r="A1691" s="304"/>
      <c r="B1691" s="305"/>
      <c r="C1691" s="306"/>
      <c r="D1691" s="304"/>
      <c r="E1691" s="307"/>
    </row>
    <row r="1692" spans="1:9">
      <c r="A1692" s="519" t="s">
        <v>1007</v>
      </c>
      <c r="B1692" s="520"/>
      <c r="C1692" s="520"/>
      <c r="D1692" s="521"/>
      <c r="E1692" s="319">
        <f>SUM(E10:E1690)</f>
        <v>133232202</v>
      </c>
      <c r="I1692" s="357">
        <f>E1692+'Annex IV-Local Sale'!G12*10</f>
        <v>188347762</v>
      </c>
    </row>
    <row r="1694" spans="1:9">
      <c r="D1694" s="456" t="s">
        <v>1101</v>
      </c>
      <c r="E1694" s="456"/>
    </row>
    <row r="1695" spans="1:9">
      <c r="D1695" s="456" t="s">
        <v>746</v>
      </c>
      <c r="E1695" s="456"/>
    </row>
    <row r="1696" spans="1:9">
      <c r="E1696" s="212"/>
    </row>
    <row r="1697" spans="4:5">
      <c r="E1697" s="212"/>
    </row>
    <row r="1698" spans="4:5">
      <c r="D1698" s="295" t="str">
        <f>'Company information'!E9</f>
        <v>ជុំ សុភា</v>
      </c>
      <c r="E1698" s="308" t="str">
        <f>'Company information'!F9</f>
        <v>ជា ហុកស័រ</v>
      </c>
    </row>
    <row r="1699" spans="4:5">
      <c r="E1699" s="296"/>
    </row>
  </sheetData>
  <autoFilter ref="A9:I1690" xr:uid="{00000000-0009-0000-0000-000006000000}"/>
  <mergeCells count="10">
    <mergeCell ref="D1694:E1694"/>
    <mergeCell ref="D1695:E1695"/>
    <mergeCell ref="A1:E1"/>
    <mergeCell ref="C7:D7"/>
    <mergeCell ref="A2:E2"/>
    <mergeCell ref="A3:E3"/>
    <mergeCell ref="A7:A8"/>
    <mergeCell ref="B7:B8"/>
    <mergeCell ref="E7:E8"/>
    <mergeCell ref="A1692:D1692"/>
  </mergeCells>
  <phoneticPr fontId="0" type="noConversion"/>
  <printOptions horizontalCentered="1"/>
  <pageMargins left="0.1" right="0.1" top="0.25" bottom="0.5" header="0.47" footer="0.3"/>
  <pageSetup paperSize="9" scale="73" fitToHeight="0" orientation="portrait" r:id="rId1"/>
  <headerFooter alignWithMargins="0"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21"/>
  <sheetViews>
    <sheetView view="pageBreakPreview" zoomScaleNormal="100" zoomScaleSheetLayoutView="100" workbookViewId="0">
      <selection activeCell="A2" sqref="A2:H2"/>
    </sheetView>
  </sheetViews>
  <sheetFormatPr defaultColWidth="9.109375" defaultRowHeight="45.6"/>
  <cols>
    <col min="1" max="1" width="13.44140625" style="312" customWidth="1"/>
    <col min="2" max="2" width="39.33203125" style="313" customWidth="1"/>
    <col min="3" max="3" width="19.109375" style="274" customWidth="1"/>
    <col min="4" max="4" width="14.33203125" style="274" customWidth="1"/>
    <col min="5" max="5" width="19.6640625" style="274" customWidth="1"/>
    <col min="6" max="7" width="18.6640625" style="274" customWidth="1"/>
    <col min="8" max="8" width="22.109375" style="274" customWidth="1"/>
    <col min="9" max="12" width="9.109375" style="1"/>
    <col min="13" max="13" width="29.88671875" style="1" customWidth="1"/>
    <col min="14" max="16384" width="9.109375" style="1"/>
  </cols>
  <sheetData>
    <row r="1" spans="1:13" s="324" customFormat="1" ht="24.6">
      <c r="A1" s="523" t="s">
        <v>1170</v>
      </c>
      <c r="B1" s="523"/>
      <c r="C1" s="523"/>
      <c r="D1" s="523"/>
      <c r="E1" s="523"/>
      <c r="F1" s="523"/>
      <c r="G1" s="523"/>
      <c r="H1" s="523"/>
      <c r="I1" s="322"/>
      <c r="J1" s="322"/>
    </row>
    <row r="2" spans="1:13" s="324" customFormat="1" ht="24.6">
      <c r="A2" s="523" t="s">
        <v>1060</v>
      </c>
      <c r="B2" s="523"/>
      <c r="C2" s="523"/>
      <c r="D2" s="523"/>
      <c r="E2" s="523"/>
      <c r="F2" s="523"/>
      <c r="G2" s="523"/>
      <c r="H2" s="523"/>
      <c r="I2" s="322"/>
      <c r="J2" s="322"/>
    </row>
    <row r="3" spans="1:13" s="324" customFormat="1" ht="24.6">
      <c r="A3" s="523" t="s">
        <v>1057</v>
      </c>
      <c r="B3" s="523"/>
      <c r="C3" s="523"/>
      <c r="D3" s="523"/>
      <c r="E3" s="523"/>
      <c r="F3" s="523"/>
      <c r="G3" s="523"/>
      <c r="H3" s="523"/>
      <c r="I3" s="322"/>
      <c r="J3" s="322"/>
    </row>
    <row r="4" spans="1:13" s="324" customFormat="1" ht="24.6">
      <c r="A4" s="325" t="s">
        <v>970</v>
      </c>
      <c r="B4" s="326" t="str">
        <f>'Company information'!E2</f>
        <v> វ៉ាយអិលធី​ អ៊ិនធើណេសិនណល</v>
      </c>
      <c r="C4" s="327"/>
      <c r="D4" s="327"/>
      <c r="E4" s="328"/>
      <c r="G4" s="329" t="s">
        <v>967</v>
      </c>
      <c r="H4" s="330" t="str">
        <f>'Company information'!E8</f>
        <v>លោក ជុំ សុភា</v>
      </c>
    </row>
    <row r="5" spans="1:13" s="324" customFormat="1" ht="24.6">
      <c r="A5" s="331" t="s">
        <v>971</v>
      </c>
      <c r="B5" s="326" t="str">
        <f>'Company information'!E4</f>
        <v> L001-100192823</v>
      </c>
      <c r="C5" s="327"/>
      <c r="D5" s="327"/>
      <c r="E5" s="328"/>
      <c r="F5" s="327"/>
      <c r="G5" s="332"/>
      <c r="H5" s="330" t="str">
        <f>'Company information'!F8</f>
        <v>លោក ជា ហុកស័រ</v>
      </c>
    </row>
    <row r="6" spans="1:13" s="324" customFormat="1" ht="24.6">
      <c r="A6" s="333" t="str">
        <f>'Company information'!E21</f>
        <v>ស្នើសុំបង្វិលសងអាករលើតម្លៃបន្ថែមតាមអនឡាញចុះថ្ងៃទី៣ ខែកុម្ភៈ ឆ្នាំ២០២៥</v>
      </c>
      <c r="B6" s="326"/>
      <c r="D6" s="327"/>
      <c r="E6" s="328"/>
      <c r="F6" s="334" t="s">
        <v>969</v>
      </c>
      <c r="H6" s="335">
        <f>'Company information'!E22</f>
        <v>352496017</v>
      </c>
      <c r="J6" s="323"/>
    </row>
    <row r="7" spans="1:13" s="194" customFormat="1" ht="25.2">
      <c r="A7" s="466" t="s">
        <v>2</v>
      </c>
      <c r="B7" s="466" t="s">
        <v>760</v>
      </c>
      <c r="C7" s="468" t="s">
        <v>734</v>
      </c>
      <c r="D7" s="469"/>
      <c r="E7" s="470" t="s">
        <v>963</v>
      </c>
      <c r="F7" s="470" t="s">
        <v>961</v>
      </c>
      <c r="G7" s="470" t="s">
        <v>964</v>
      </c>
      <c r="H7" s="466" t="s">
        <v>15</v>
      </c>
    </row>
    <row r="8" spans="1:13" s="194" customFormat="1" ht="25.2">
      <c r="A8" s="466"/>
      <c r="B8" s="466"/>
      <c r="C8" s="265" t="s">
        <v>6</v>
      </c>
      <c r="D8" s="265" t="s">
        <v>958</v>
      </c>
      <c r="E8" s="471"/>
      <c r="F8" s="471"/>
      <c r="G8" s="471"/>
      <c r="H8" s="466"/>
    </row>
    <row r="9" spans="1:13" s="194" customFormat="1" ht="25.2">
      <c r="A9" s="266"/>
      <c r="B9" s="266"/>
      <c r="C9" s="266"/>
      <c r="D9" s="266"/>
      <c r="E9" s="266"/>
      <c r="F9" s="266"/>
      <c r="G9" s="266"/>
      <c r="H9" s="266"/>
    </row>
    <row r="10" spans="1:13" s="194" customFormat="1" ht="25.2">
      <c r="A10" s="266">
        <v>1</v>
      </c>
      <c r="B10" s="266" t="s">
        <v>1135</v>
      </c>
      <c r="C10" s="266" t="s">
        <v>1136</v>
      </c>
      <c r="D10" s="359">
        <v>45446</v>
      </c>
      <c r="E10" s="266"/>
      <c r="F10" s="266"/>
      <c r="G10" s="367">
        <v>5511556</v>
      </c>
      <c r="H10" s="266"/>
    </row>
    <row r="11" spans="1:13" s="2" customFormat="1" ht="24" customHeight="1">
      <c r="A11" s="266"/>
      <c r="B11" s="276"/>
      <c r="C11" s="277"/>
      <c r="D11" s="309"/>
      <c r="E11" s="278"/>
      <c r="F11" s="310"/>
      <c r="G11" s="278"/>
      <c r="H11" s="271"/>
    </row>
    <row r="12" spans="1:13" s="314" customFormat="1" ht="28.2" customHeight="1">
      <c r="A12" s="522" t="s">
        <v>1056</v>
      </c>
      <c r="B12" s="522"/>
      <c r="C12" s="522"/>
      <c r="D12" s="522"/>
      <c r="E12" s="522"/>
      <c r="F12" s="522"/>
      <c r="G12" s="320">
        <f>SUM(G10:G10)</f>
        <v>5511556</v>
      </c>
      <c r="H12" s="294"/>
    </row>
    <row r="13" spans="1:13" s="314" customFormat="1" ht="22.8">
      <c r="A13" s="295"/>
      <c r="B13" s="295"/>
      <c r="C13" s="295"/>
      <c r="D13" s="295"/>
      <c r="E13" s="295"/>
      <c r="F13" s="295"/>
      <c r="G13" s="295"/>
      <c r="H13" s="295"/>
    </row>
    <row r="14" spans="1:13" s="314" customFormat="1" ht="27.6">
      <c r="A14" s="295"/>
      <c r="B14" s="295"/>
      <c r="C14" s="295"/>
      <c r="D14" s="295"/>
      <c r="E14" s="295"/>
      <c r="F14" s="295"/>
      <c r="G14" s="311" t="s">
        <v>1101</v>
      </c>
      <c r="H14" s="295"/>
      <c r="I14" s="204"/>
      <c r="J14" s="204"/>
    </row>
    <row r="15" spans="1:13" s="314" customFormat="1" ht="28.2" thickBot="1">
      <c r="A15" s="295"/>
      <c r="B15" s="295"/>
      <c r="C15" s="295"/>
      <c r="D15" s="295"/>
      <c r="E15" s="295"/>
      <c r="F15" s="295"/>
      <c r="G15" s="311" t="s">
        <v>746</v>
      </c>
      <c r="H15" s="295"/>
      <c r="I15" s="204"/>
      <c r="J15" s="204"/>
    </row>
    <row r="16" spans="1:13" s="314" customFormat="1" ht="28.2" thickBot="1">
      <c r="A16" s="295"/>
      <c r="B16" s="295"/>
      <c r="C16" s="295"/>
      <c r="D16" s="295"/>
      <c r="E16" s="295"/>
      <c r="F16" s="295"/>
      <c r="G16" s="212"/>
      <c r="H16" s="212"/>
      <c r="I16" s="201"/>
      <c r="J16" s="200"/>
      <c r="M16" s="353">
        <v>543815675772</v>
      </c>
    </row>
    <row r="17" spans="1:13" s="314" customFormat="1" ht="28.2" thickBot="1">
      <c r="A17" s="295"/>
      <c r="B17" s="295"/>
      <c r="C17" s="295"/>
      <c r="D17" s="295"/>
      <c r="E17" s="295"/>
      <c r="F17" s="295"/>
      <c r="G17" s="212"/>
      <c r="H17" s="212"/>
      <c r="I17" s="201"/>
      <c r="J17" s="200"/>
      <c r="M17" s="354">
        <v>26860899310</v>
      </c>
    </row>
    <row r="18" spans="1:13" s="314" customFormat="1" ht="28.2" thickBot="1">
      <c r="A18" s="295"/>
      <c r="B18" s="295"/>
      <c r="C18" s="295"/>
      <c r="D18" s="295"/>
      <c r="E18" s="295"/>
      <c r="F18" s="311" t="str">
        <f>'Company information'!E9</f>
        <v>ជុំ សុភា</v>
      </c>
      <c r="G18" s="311"/>
      <c r="H18" s="311" t="str">
        <f>'Company information'!F9</f>
        <v>ជា ហុកស័រ</v>
      </c>
      <c r="I18" s="204"/>
      <c r="J18" s="204"/>
      <c r="M18" s="353">
        <f>SUM(M16:M17)</f>
        <v>570676575082</v>
      </c>
    </row>
    <row r="19" spans="1:13" ht="46.2" thickBot="1">
      <c r="M19" s="353">
        <v>40586375597</v>
      </c>
    </row>
    <row r="20" spans="1:13" ht="46.2" thickBot="1">
      <c r="M20" s="354">
        <v>5769650</v>
      </c>
    </row>
    <row r="21" spans="1:13" ht="46.2" thickBot="1">
      <c r="M21" s="354">
        <f>SUM(M19:M20)</f>
        <v>40592145247</v>
      </c>
    </row>
  </sheetData>
  <mergeCells count="11">
    <mergeCell ref="A12:F12"/>
    <mergeCell ref="A1:H1"/>
    <mergeCell ref="A2:H2"/>
    <mergeCell ref="A3:H3"/>
    <mergeCell ref="F7:F8"/>
    <mergeCell ref="G7:G8"/>
    <mergeCell ref="H7:H8"/>
    <mergeCell ref="A7:A8"/>
    <mergeCell ref="B7:B8"/>
    <mergeCell ref="C7:D7"/>
    <mergeCell ref="E7:E8"/>
  </mergeCells>
  <printOptions horizontalCentered="1"/>
  <pageMargins left="0.2" right="0.2" top="0.25" bottom="0.45" header="0.3" footer="0.3"/>
  <pageSetup paperSize="9" scale="6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9"/>
  <sheetViews>
    <sheetView zoomScale="108" zoomScaleNormal="70" workbookViewId="0">
      <selection activeCell="H6" sqref="H6:I6"/>
    </sheetView>
  </sheetViews>
  <sheetFormatPr defaultColWidth="8.88671875" defaultRowHeight="21.6"/>
  <cols>
    <col min="1" max="1" width="33.33203125" style="296" bestFit="1" customWidth="1"/>
    <col min="2" max="2" width="23" style="296" customWidth="1"/>
    <col min="3" max="3" width="21.33203125" style="296" bestFit="1" customWidth="1"/>
    <col min="4" max="4" width="17.6640625" style="296" bestFit="1" customWidth="1"/>
    <col min="5" max="5" width="18" style="296" customWidth="1"/>
    <col min="6" max="6" width="17.5546875" style="296" bestFit="1" customWidth="1"/>
    <col min="7" max="7" width="9" style="296" bestFit="1" customWidth="1"/>
    <col min="8" max="8" width="36.6640625" style="296" customWidth="1"/>
    <col min="9" max="9" width="15.109375" style="296" customWidth="1"/>
    <col min="10" max="10" width="22.33203125" style="296" bestFit="1" customWidth="1"/>
    <col min="11" max="11" width="21" style="296" bestFit="1" customWidth="1"/>
    <col min="12" max="12" width="13.109375" style="296" customWidth="1"/>
    <col min="13" max="13" width="23.5546875" style="296" customWidth="1"/>
    <col min="14" max="14" width="22.5546875" style="296" customWidth="1"/>
    <col min="15" max="15" width="22.6640625" style="296" bestFit="1" customWidth="1"/>
    <col min="16" max="16" width="20.44140625" style="296" bestFit="1" customWidth="1"/>
    <col min="17" max="17" width="8.88671875" style="296"/>
    <col min="18" max="23" width="20.6640625" style="296" customWidth="1"/>
    <col min="24" max="25" width="23.6640625" style="296" customWidth="1"/>
    <col min="26" max="26" width="14.33203125" style="296" customWidth="1"/>
    <col min="27" max="27" width="13.6640625" style="296" bestFit="1" customWidth="1"/>
    <col min="28" max="28" width="40.6640625" style="296" bestFit="1" customWidth="1"/>
    <col min="29" max="16384" width="8.88671875" style="296"/>
  </cols>
  <sheetData>
    <row r="1" spans="1:9" ht="34.200000000000003" thickBot="1">
      <c r="A1" s="377" t="s">
        <v>760</v>
      </c>
      <c r="B1" s="378" t="s">
        <v>1008</v>
      </c>
      <c r="C1" s="379" t="s">
        <v>1009</v>
      </c>
      <c r="D1" s="379" t="s">
        <v>1010</v>
      </c>
      <c r="E1" s="379" t="s">
        <v>1011</v>
      </c>
      <c r="F1" s="379" t="s">
        <v>1012</v>
      </c>
      <c r="G1" s="379" t="s">
        <v>1013</v>
      </c>
    </row>
    <row r="2" spans="1:9" ht="22.2" thickBot="1">
      <c r="A2" s="368" t="s">
        <v>1014</v>
      </c>
      <c r="B2" s="369"/>
      <c r="C2" s="370"/>
      <c r="D2" s="371"/>
      <c r="E2" s="371"/>
      <c r="F2" s="371"/>
      <c r="G2" s="370"/>
    </row>
    <row r="3" spans="1:9" ht="22.2" thickBot="1">
      <c r="A3" s="368" t="s">
        <v>1015</v>
      </c>
      <c r="B3" s="369"/>
      <c r="C3" s="370"/>
      <c r="D3" s="371"/>
      <c r="E3" s="371"/>
      <c r="F3" s="371"/>
      <c r="G3" s="370"/>
    </row>
    <row r="4" spans="1:9" ht="22.2" thickBot="1">
      <c r="A4" s="368" t="s">
        <v>1016</v>
      </c>
      <c r="B4" s="369"/>
      <c r="C4" s="370"/>
      <c r="D4" s="371"/>
      <c r="E4" s="371"/>
      <c r="F4" s="371"/>
      <c r="G4" s="370"/>
    </row>
    <row r="5" spans="1:9" ht="22.2" thickBot="1">
      <c r="A5" s="368" t="s">
        <v>1017</v>
      </c>
      <c r="B5" s="369"/>
      <c r="C5" s="370"/>
      <c r="D5" s="371"/>
      <c r="E5" s="371"/>
      <c r="F5" s="371"/>
      <c r="G5" s="370"/>
    </row>
    <row r="6" spans="1:9" ht="22.2" thickBot="1">
      <c r="A6" s="368" t="s">
        <v>1018</v>
      </c>
      <c r="B6" s="369"/>
      <c r="C6" s="370"/>
      <c r="D6" s="371"/>
      <c r="E6" s="371"/>
      <c r="F6" s="371"/>
      <c r="G6" s="370"/>
    </row>
    <row r="7" spans="1:9" ht="51" customHeight="1" thickBot="1">
      <c r="A7" s="368" t="s">
        <v>1019</v>
      </c>
      <c r="B7" s="369" t="str">
        <f>'Company information'!E21</f>
        <v>ស្នើសុំបង្វិលសងអាករលើតម្លៃបន្ថែមតាមអនឡាញចុះថ្ងៃទី៣ ខែកុម្ភៈ ឆ្នាំ២០២៥</v>
      </c>
      <c r="C7" s="370"/>
      <c r="D7" s="371">
        <f>'Company information'!E22</f>
        <v>352496017</v>
      </c>
      <c r="E7" s="371">
        <f>'AnnexII-Local Pur'!C743</f>
        <v>349012336</v>
      </c>
      <c r="F7" s="371"/>
      <c r="G7" s="370"/>
    </row>
    <row r="8" spans="1:9" ht="22.2" thickBot="1"/>
    <row r="9" spans="1:9" ht="22.2" thickBot="1">
      <c r="A9" s="380" t="s">
        <v>760</v>
      </c>
      <c r="B9" s="381" t="s">
        <v>1020</v>
      </c>
      <c r="C9" s="381" t="s">
        <v>6</v>
      </c>
      <c r="D9" s="381" t="s">
        <v>1029</v>
      </c>
      <c r="F9" s="382" t="s">
        <v>760</v>
      </c>
      <c r="G9" s="383" t="s">
        <v>1020</v>
      </c>
      <c r="H9" s="383" t="s">
        <v>6</v>
      </c>
      <c r="I9" s="383" t="s">
        <v>1022</v>
      </c>
    </row>
    <row r="10" spans="1:9" ht="22.2" thickBot="1">
      <c r="A10" s="384" t="s">
        <v>1032</v>
      </c>
      <c r="B10" s="385">
        <f>COUNT('Annex 0-IM State Charge'!G9:G15)</f>
        <v>0</v>
      </c>
      <c r="C10" s="385" t="s">
        <v>1105</v>
      </c>
      <c r="D10" s="386">
        <f>'Annex 0-IM State Charge'!G17</f>
        <v>0</v>
      </c>
      <c r="F10" s="384" t="s">
        <v>1023</v>
      </c>
      <c r="G10" s="387"/>
      <c r="H10" s="385"/>
      <c r="I10" s="387"/>
    </row>
    <row r="11" spans="1:9" ht="22.2" thickBot="1">
      <c r="A11" s="384" t="s">
        <v>1031</v>
      </c>
      <c r="B11" s="385">
        <f>COUNT('Annex I-IM Non-State Charge'!G16:G17)</f>
        <v>1</v>
      </c>
      <c r="C11" s="385" t="s">
        <v>1106</v>
      </c>
      <c r="D11" s="386">
        <f>'Annex I-IM Non-State Charge'!G19</f>
        <v>2877646</v>
      </c>
      <c r="F11" s="384" t="s">
        <v>1024</v>
      </c>
      <c r="G11" s="385"/>
      <c r="H11" s="385"/>
      <c r="I11" s="385"/>
    </row>
    <row r="12" spans="1:9" ht="22.2" thickBot="1">
      <c r="A12" s="384" t="s">
        <v>1021</v>
      </c>
      <c r="B12" s="388">
        <f>COUNT('AnnexII-Local Pur'!I9:I723)</f>
        <v>713</v>
      </c>
      <c r="C12" s="385" t="s">
        <v>1107</v>
      </c>
      <c r="D12" s="386">
        <f>'AnnexII-Local Pur'!I724</f>
        <v>353183179</v>
      </c>
      <c r="F12" s="384" t="s">
        <v>1025</v>
      </c>
      <c r="G12" s="385">
        <f>COUNT('Annex III-EX'!E9:E1691)</f>
        <v>2</v>
      </c>
      <c r="H12" s="385" t="s">
        <v>1108</v>
      </c>
      <c r="I12" s="389">
        <f>'Annex III-EX'!E1692</f>
        <v>133232202</v>
      </c>
    </row>
    <row r="13" spans="1:9" ht="22.2" thickBot="1">
      <c r="F13" s="384" t="s">
        <v>1026</v>
      </c>
      <c r="G13" s="385">
        <f>COUNT('Annex IV-Local Sale'!G9:G11)</f>
        <v>1</v>
      </c>
      <c r="H13" s="385" t="s">
        <v>1109</v>
      </c>
      <c r="I13" s="389">
        <f>'Annex IV-Local Sale'!G12*10</f>
        <v>55115560</v>
      </c>
    </row>
    <row r="14" spans="1:9" ht="22.2" thickBot="1">
      <c r="F14" s="384" t="s">
        <v>1027</v>
      </c>
      <c r="G14" s="385"/>
      <c r="H14" s="385"/>
      <c r="I14" s="385"/>
    </row>
    <row r="15" spans="1:9" ht="22.2" thickBot="1">
      <c r="F15" s="384" t="s">
        <v>1028</v>
      </c>
      <c r="G15" s="385"/>
      <c r="H15" s="385"/>
      <c r="I15" s="385"/>
    </row>
    <row r="16" spans="1:9" ht="22.2" thickBot="1"/>
    <row r="17" spans="1:6" ht="22.2" thickBot="1">
      <c r="A17" s="526" t="s">
        <v>760</v>
      </c>
      <c r="B17" s="524" t="s">
        <v>989</v>
      </c>
      <c r="C17" s="525"/>
      <c r="D17" s="524" t="s">
        <v>990</v>
      </c>
      <c r="E17" s="525"/>
      <c r="F17" s="526" t="s">
        <v>991</v>
      </c>
    </row>
    <row r="18" spans="1:6" ht="22.2" thickBot="1">
      <c r="A18" s="527"/>
      <c r="B18" s="390" t="s">
        <v>992</v>
      </c>
      <c r="C18" s="390" t="s">
        <v>772</v>
      </c>
      <c r="D18" s="390" t="s">
        <v>992</v>
      </c>
      <c r="E18" s="390" t="s">
        <v>772</v>
      </c>
      <c r="F18" s="527"/>
    </row>
    <row r="19" spans="1:6" ht="22.8" thickTop="1" thickBot="1">
      <c r="A19" s="391" t="s">
        <v>993</v>
      </c>
      <c r="B19" s="392"/>
      <c r="C19" s="392"/>
      <c r="D19" s="392"/>
      <c r="E19" s="392"/>
      <c r="F19" s="393"/>
    </row>
    <row r="20" spans="1:6" ht="22.2" thickBot="1">
      <c r="A20" s="394" t="s">
        <v>994</v>
      </c>
      <c r="B20" s="395"/>
      <c r="C20" s="395"/>
      <c r="D20" s="396"/>
      <c r="E20" s="396"/>
      <c r="F20" s="397"/>
    </row>
    <row r="21" spans="1:6" ht="22.2" thickBot="1">
      <c r="A21" s="394" t="s">
        <v>995</v>
      </c>
      <c r="B21" s="398">
        <f>C21*10</f>
        <v>28776460</v>
      </c>
      <c r="C21" s="398">
        <f>D11</f>
        <v>2877646</v>
      </c>
      <c r="D21" s="399"/>
      <c r="E21" s="399"/>
      <c r="F21" s="400"/>
    </row>
    <row r="22" spans="1:6" ht="22.2" thickBot="1">
      <c r="A22" s="401" t="s">
        <v>996</v>
      </c>
      <c r="B22" s="402">
        <f>D12*10</f>
        <v>3531831790</v>
      </c>
      <c r="C22" s="398">
        <f>B22*10%</f>
        <v>353183179</v>
      </c>
      <c r="D22" s="403"/>
      <c r="E22" s="403"/>
      <c r="F22" s="404"/>
    </row>
    <row r="23" spans="1:6" ht="22.8" thickTop="1" thickBot="1">
      <c r="A23" s="405" t="s">
        <v>997</v>
      </c>
      <c r="B23" s="398"/>
      <c r="C23" s="398"/>
      <c r="D23" s="398"/>
      <c r="E23" s="398"/>
      <c r="F23" s="399"/>
    </row>
    <row r="24" spans="1:6" ht="22.2" thickBot="1">
      <c r="A24" s="405" t="s">
        <v>998</v>
      </c>
      <c r="B24" s="398"/>
      <c r="C24" s="398"/>
      <c r="D24" s="406">
        <f>'Annex III-EX'!E1692</f>
        <v>133232202</v>
      </c>
      <c r="E24" s="398"/>
      <c r="F24" s="399"/>
    </row>
    <row r="25" spans="1:6" ht="22.2" thickBot="1">
      <c r="A25" s="405" t="s">
        <v>999</v>
      </c>
      <c r="B25" s="398"/>
      <c r="C25" s="398"/>
      <c r="D25" s="406">
        <f>'Annex IV-Local Sale'!G12*10</f>
        <v>55115560</v>
      </c>
      <c r="E25" s="398">
        <f>D25*10%</f>
        <v>5511556</v>
      </c>
      <c r="F25" s="399"/>
    </row>
    <row r="26" spans="1:6" ht="39.6" customHeight="1" thickBot="1">
      <c r="A26" s="407" t="s">
        <v>1000</v>
      </c>
      <c r="B26" s="406">
        <f>SUM(B21:B22)</f>
        <v>3560608250</v>
      </c>
      <c r="C26" s="406">
        <f>SUM(C21:C22)</f>
        <v>356060825</v>
      </c>
      <c r="D26" s="406">
        <f>SUM(D24:D25)</f>
        <v>188347762</v>
      </c>
      <c r="E26" s="406">
        <f>SUM(E24:E25)</f>
        <v>5511556</v>
      </c>
      <c r="F26" s="406">
        <f>C26-E26</f>
        <v>350549269</v>
      </c>
    </row>
    <row r="27" spans="1:6" ht="22.2" thickBot="1"/>
    <row r="28" spans="1:6" ht="22.2" thickBot="1">
      <c r="A28" s="408" t="s">
        <v>1001</v>
      </c>
      <c r="B28" s="409" t="s">
        <v>1002</v>
      </c>
      <c r="C28" s="409" t="s">
        <v>1003</v>
      </c>
      <c r="D28" s="409" t="s">
        <v>1004</v>
      </c>
    </row>
    <row r="29" spans="1:6" ht="22.2" thickBot="1">
      <c r="A29" s="410">
        <f>'Company information'!E22</f>
        <v>352496017</v>
      </c>
      <c r="B29" s="406">
        <f>A29-C29</f>
        <v>3483681</v>
      </c>
      <c r="C29" s="406">
        <f>'AnnexII-Local Pur'!C743</f>
        <v>349012336</v>
      </c>
      <c r="D29" s="411" t="s">
        <v>1005</v>
      </c>
    </row>
  </sheetData>
  <mergeCells count="4">
    <mergeCell ref="B17:C17"/>
    <mergeCell ref="D17:E17"/>
    <mergeCell ref="A17:A18"/>
    <mergeCell ref="F17:F18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X28"/>
  <sheetViews>
    <sheetView tabSelected="1" zoomScale="85" zoomScaleNormal="85" workbookViewId="0">
      <selection activeCell="H4" sqref="H4"/>
    </sheetView>
  </sheetViews>
  <sheetFormatPr defaultColWidth="8.88671875" defaultRowHeight="22.8"/>
  <cols>
    <col min="1" max="2" width="8.88671875" style="317"/>
    <col min="3" max="3" width="48.33203125" style="318" bestFit="1" customWidth="1"/>
    <col min="4" max="4" width="22.109375" style="318" customWidth="1"/>
    <col min="5" max="10" width="11" style="318" bestFit="1" customWidth="1"/>
    <col min="11" max="11" width="12.44140625" style="318" bestFit="1" customWidth="1"/>
    <col min="12" max="12" width="10.6640625" style="318" bestFit="1" customWidth="1"/>
    <col min="13" max="13" width="10.44140625" style="318" bestFit="1" customWidth="1"/>
    <col min="14" max="15" width="10.88671875" style="318" bestFit="1" customWidth="1"/>
    <col min="16" max="16" width="11" style="318" bestFit="1" customWidth="1"/>
    <col min="17" max="17" width="10.6640625" style="318" bestFit="1" customWidth="1"/>
    <col min="18" max="18" width="11.88671875" style="318" bestFit="1" customWidth="1"/>
    <col min="19" max="20" width="10.88671875" style="318" bestFit="1" customWidth="1"/>
    <col min="21" max="24" width="10.6640625" style="318" bestFit="1" customWidth="1"/>
    <col min="25" max="25" width="10.88671875" style="318" bestFit="1" customWidth="1"/>
    <col min="26" max="26" width="10.44140625" style="318" bestFit="1" customWidth="1"/>
    <col min="27" max="27" width="13.5546875" style="317" bestFit="1" customWidth="1"/>
    <col min="28" max="28" width="10.5546875" style="317" bestFit="1" customWidth="1"/>
    <col min="29" max="29" width="10.88671875" style="317" bestFit="1" customWidth="1"/>
    <col min="30" max="31" width="10.6640625" style="317" bestFit="1" customWidth="1"/>
    <col min="32" max="32" width="11" style="317" bestFit="1" customWidth="1"/>
    <col min="33" max="33" width="10.5546875" style="317" bestFit="1" customWidth="1"/>
    <col min="34" max="34" width="10.6640625" style="317" bestFit="1" customWidth="1"/>
    <col min="35" max="35" width="11" style="317" bestFit="1" customWidth="1"/>
    <col min="36" max="36" width="10.6640625" style="317" bestFit="1" customWidth="1"/>
    <col min="37" max="37" width="11.88671875" style="317" bestFit="1" customWidth="1"/>
    <col min="38" max="38" width="10.6640625" style="317" bestFit="1" customWidth="1"/>
    <col min="39" max="39" width="10.5546875" style="317" bestFit="1" customWidth="1"/>
    <col min="40" max="40" width="10.6640625" style="317" bestFit="1" customWidth="1"/>
    <col min="41" max="41" width="11" style="317" bestFit="1" customWidth="1"/>
    <col min="42" max="42" width="10.6640625" style="317" bestFit="1" customWidth="1"/>
    <col min="43" max="43" width="10.88671875" style="317" bestFit="1" customWidth="1"/>
    <col min="44" max="44" width="9" style="317" bestFit="1" customWidth="1"/>
    <col min="45" max="64" width="8.88671875" style="317"/>
    <col min="65" max="65" width="10.88671875" style="317" bestFit="1" customWidth="1"/>
    <col min="66" max="16384" width="8.88671875" style="317"/>
  </cols>
  <sheetData>
    <row r="1" spans="1:128">
      <c r="A1" s="315"/>
      <c r="B1" s="315"/>
      <c r="C1" s="316"/>
      <c r="D1" s="316"/>
      <c r="E1" s="316"/>
      <c r="F1" s="316"/>
      <c r="G1" s="316"/>
      <c r="H1" s="316"/>
      <c r="I1" s="316"/>
      <c r="J1" s="316"/>
      <c r="K1" s="316"/>
    </row>
    <row r="4" spans="1:128">
      <c r="B4" s="373"/>
      <c r="C4" s="318" t="str">
        <f>'Company information'!E7</f>
        <v>ខែធ្នូ ឆ្នាំ២០២២ ដល់ខែធ្នូ ឆ្នាំ២០២៤</v>
      </c>
    </row>
    <row r="5" spans="1:128" ht="23.4" thickBot="1">
      <c r="B5" s="374" t="s">
        <v>2</v>
      </c>
      <c r="C5" s="375" t="s">
        <v>1077</v>
      </c>
      <c r="D5" s="375" t="s">
        <v>1078</v>
      </c>
      <c r="E5" s="376">
        <v>43221</v>
      </c>
      <c r="F5" s="376">
        <f>EDATE(E5,1)</f>
        <v>43252</v>
      </c>
      <c r="G5" s="376">
        <f t="shared" ref="G5:AR5" si="0">EDATE(F5,1)</f>
        <v>43282</v>
      </c>
      <c r="H5" s="376">
        <f t="shared" si="0"/>
        <v>43313</v>
      </c>
      <c r="I5" s="376">
        <f t="shared" si="0"/>
        <v>43344</v>
      </c>
      <c r="J5" s="376">
        <f t="shared" si="0"/>
        <v>43374</v>
      </c>
      <c r="K5" s="376">
        <f t="shared" si="0"/>
        <v>43405</v>
      </c>
      <c r="L5" s="376">
        <f t="shared" si="0"/>
        <v>43435</v>
      </c>
      <c r="M5" s="376">
        <f t="shared" si="0"/>
        <v>43466</v>
      </c>
      <c r="N5" s="376">
        <f t="shared" si="0"/>
        <v>43497</v>
      </c>
      <c r="O5" s="376">
        <f t="shared" si="0"/>
        <v>43525</v>
      </c>
      <c r="P5" s="376">
        <f t="shared" si="0"/>
        <v>43556</v>
      </c>
      <c r="Q5" s="376">
        <f t="shared" si="0"/>
        <v>43586</v>
      </c>
      <c r="R5" s="376">
        <f t="shared" si="0"/>
        <v>43617</v>
      </c>
      <c r="S5" s="376">
        <f t="shared" si="0"/>
        <v>43647</v>
      </c>
      <c r="T5" s="376">
        <f t="shared" si="0"/>
        <v>43678</v>
      </c>
      <c r="U5" s="376">
        <f t="shared" si="0"/>
        <v>43709</v>
      </c>
      <c r="V5" s="376">
        <f t="shared" si="0"/>
        <v>43739</v>
      </c>
      <c r="W5" s="376">
        <f t="shared" si="0"/>
        <v>43770</v>
      </c>
      <c r="X5" s="376">
        <f t="shared" si="0"/>
        <v>43800</v>
      </c>
      <c r="Y5" s="376">
        <f t="shared" si="0"/>
        <v>43831</v>
      </c>
      <c r="Z5" s="376">
        <f t="shared" si="0"/>
        <v>43862</v>
      </c>
      <c r="AA5" s="376">
        <f t="shared" si="0"/>
        <v>43891</v>
      </c>
      <c r="AB5" s="376">
        <f t="shared" si="0"/>
        <v>43922</v>
      </c>
      <c r="AC5" s="376">
        <f t="shared" si="0"/>
        <v>43952</v>
      </c>
      <c r="AD5" s="376">
        <f t="shared" si="0"/>
        <v>43983</v>
      </c>
      <c r="AE5" s="376">
        <f t="shared" si="0"/>
        <v>44013</v>
      </c>
      <c r="AF5" s="376">
        <f t="shared" si="0"/>
        <v>44044</v>
      </c>
      <c r="AG5" s="376">
        <f t="shared" si="0"/>
        <v>44075</v>
      </c>
      <c r="AH5" s="376">
        <f t="shared" si="0"/>
        <v>44105</v>
      </c>
      <c r="AI5" s="376">
        <f t="shared" si="0"/>
        <v>44136</v>
      </c>
      <c r="AJ5" s="376">
        <f t="shared" si="0"/>
        <v>44166</v>
      </c>
      <c r="AK5" s="376">
        <f t="shared" si="0"/>
        <v>44197</v>
      </c>
      <c r="AL5" s="376">
        <f t="shared" si="0"/>
        <v>44228</v>
      </c>
      <c r="AM5" s="376">
        <f t="shared" si="0"/>
        <v>44256</v>
      </c>
      <c r="AN5" s="376">
        <f t="shared" si="0"/>
        <v>44287</v>
      </c>
      <c r="AO5" s="376">
        <f t="shared" si="0"/>
        <v>44317</v>
      </c>
      <c r="AP5" s="376">
        <f t="shared" si="0"/>
        <v>44348</v>
      </c>
      <c r="AQ5" s="376">
        <f t="shared" si="0"/>
        <v>44378</v>
      </c>
      <c r="AR5" s="376">
        <f t="shared" si="0"/>
        <v>44409</v>
      </c>
      <c r="AS5" s="376">
        <f t="shared" ref="AS5" si="1">EDATE(AR5,1)</f>
        <v>44440</v>
      </c>
      <c r="AT5" s="376">
        <f t="shared" ref="AT5" si="2">EDATE(AS5,1)</f>
        <v>44470</v>
      </c>
      <c r="AU5" s="376">
        <f t="shared" ref="AU5" si="3">EDATE(AT5,1)</f>
        <v>44501</v>
      </c>
      <c r="AV5" s="376">
        <f t="shared" ref="AV5" si="4">EDATE(AU5,1)</f>
        <v>44531</v>
      </c>
      <c r="AW5" s="376">
        <f t="shared" ref="AW5" si="5">EDATE(AV5,1)</f>
        <v>44562</v>
      </c>
      <c r="AX5" s="376">
        <f t="shared" ref="AX5" si="6">EDATE(AW5,1)</f>
        <v>44593</v>
      </c>
      <c r="AY5" s="376">
        <f t="shared" ref="AY5" si="7">EDATE(AX5,1)</f>
        <v>44621</v>
      </c>
      <c r="AZ5" s="376">
        <f t="shared" ref="AZ5" si="8">EDATE(AY5,1)</f>
        <v>44652</v>
      </c>
      <c r="BA5" s="376">
        <f t="shared" ref="BA5" si="9">EDATE(AZ5,1)</f>
        <v>44682</v>
      </c>
      <c r="BB5" s="376">
        <f t="shared" ref="BB5" si="10">EDATE(BA5,1)</f>
        <v>44713</v>
      </c>
      <c r="BC5" s="376">
        <f t="shared" ref="BC5" si="11">EDATE(BB5,1)</f>
        <v>44743</v>
      </c>
      <c r="BD5" s="376">
        <f t="shared" ref="BD5" si="12">EDATE(BC5,1)</f>
        <v>44774</v>
      </c>
      <c r="BE5" s="376">
        <f t="shared" ref="BE5" si="13">EDATE(BD5,1)</f>
        <v>44805</v>
      </c>
      <c r="BF5" s="376">
        <f t="shared" ref="BF5" si="14">EDATE(BE5,1)</f>
        <v>44835</v>
      </c>
      <c r="BG5" s="376">
        <f t="shared" ref="BG5" si="15">EDATE(BF5,1)</f>
        <v>44866</v>
      </c>
      <c r="BH5" s="376">
        <f t="shared" ref="BH5" si="16">EDATE(BG5,1)</f>
        <v>44896</v>
      </c>
      <c r="BI5" s="376">
        <f t="shared" ref="BI5" si="17">EDATE(BH5,1)</f>
        <v>44927</v>
      </c>
      <c r="BJ5" s="376">
        <f t="shared" ref="BJ5" si="18">EDATE(BI5,1)</f>
        <v>44958</v>
      </c>
      <c r="BK5" s="376">
        <f t="shared" ref="BK5" si="19">EDATE(BJ5,1)</f>
        <v>44986</v>
      </c>
      <c r="BL5" s="376">
        <f t="shared" ref="BL5" si="20">EDATE(BK5,1)</f>
        <v>45017</v>
      </c>
      <c r="BM5" s="376">
        <f t="shared" ref="BM5" si="21">EDATE(BL5,1)</f>
        <v>45047</v>
      </c>
      <c r="BN5" s="376">
        <f t="shared" ref="BN5" si="22">EDATE(BM5,1)</f>
        <v>45078</v>
      </c>
      <c r="BO5" s="376">
        <f t="shared" ref="BO5" si="23">EDATE(BN5,1)</f>
        <v>45108</v>
      </c>
      <c r="BP5" s="376">
        <f t="shared" ref="BP5" si="24">EDATE(BO5,1)</f>
        <v>45139</v>
      </c>
      <c r="BQ5" s="376">
        <f t="shared" ref="BQ5" si="25">EDATE(BP5,1)</f>
        <v>45170</v>
      </c>
      <c r="BR5" s="376">
        <f t="shared" ref="BR5" si="26">EDATE(BQ5,1)</f>
        <v>45200</v>
      </c>
      <c r="BS5" s="376">
        <f t="shared" ref="BS5" si="27">EDATE(BR5,1)</f>
        <v>45231</v>
      </c>
      <c r="BT5" s="376">
        <f t="shared" ref="BT5" si="28">EDATE(BS5,1)</f>
        <v>45261</v>
      </c>
      <c r="BU5" s="376">
        <f t="shared" ref="BU5" si="29">EDATE(BT5,1)</f>
        <v>45292</v>
      </c>
      <c r="BV5" s="376">
        <f t="shared" ref="BV5" si="30">EDATE(BU5,1)</f>
        <v>45323</v>
      </c>
      <c r="BW5" s="376">
        <f t="shared" ref="BW5" si="31">EDATE(BV5,1)</f>
        <v>45352</v>
      </c>
      <c r="BX5" s="376">
        <f t="shared" ref="BX5" si="32">EDATE(BW5,1)</f>
        <v>45383</v>
      </c>
      <c r="BY5" s="376">
        <f t="shared" ref="BY5" si="33">EDATE(BX5,1)</f>
        <v>45413</v>
      </c>
      <c r="BZ5" s="376">
        <f t="shared" ref="BZ5" si="34">EDATE(BY5,1)</f>
        <v>45444</v>
      </c>
      <c r="CA5" s="376">
        <f t="shared" ref="CA5" si="35">EDATE(BZ5,1)</f>
        <v>45474</v>
      </c>
      <c r="CB5" s="376">
        <f t="shared" ref="CB5" si="36">EDATE(CA5,1)</f>
        <v>45505</v>
      </c>
      <c r="CC5" s="376">
        <f t="shared" ref="CC5" si="37">EDATE(CB5,1)</f>
        <v>45536</v>
      </c>
      <c r="CD5" s="376">
        <f t="shared" ref="CD5" si="38">EDATE(CC5,1)</f>
        <v>45566</v>
      </c>
      <c r="CE5" s="376">
        <f t="shared" ref="CE5" si="39">EDATE(CD5,1)</f>
        <v>45597</v>
      </c>
      <c r="CF5" s="376">
        <f t="shared" ref="CF5" si="40">EDATE(CE5,1)</f>
        <v>45627</v>
      </c>
      <c r="CG5" s="376">
        <f t="shared" ref="CG5" si="41">EDATE(CF5,1)</f>
        <v>45658</v>
      </c>
      <c r="CH5" s="376">
        <f t="shared" ref="CH5" si="42">EDATE(CG5,1)</f>
        <v>45689</v>
      </c>
      <c r="CI5" s="376">
        <f t="shared" ref="CI5" si="43">EDATE(CH5,1)</f>
        <v>45717</v>
      </c>
      <c r="CJ5" s="376">
        <f t="shared" ref="CJ5" si="44">EDATE(CI5,1)</f>
        <v>45748</v>
      </c>
      <c r="CK5" s="376">
        <f t="shared" ref="CK5" si="45">EDATE(CJ5,1)</f>
        <v>45778</v>
      </c>
      <c r="CL5" s="376">
        <f t="shared" ref="CL5" si="46">EDATE(CK5,1)</f>
        <v>45809</v>
      </c>
      <c r="CM5" s="376">
        <f t="shared" ref="CM5" si="47">EDATE(CL5,1)</f>
        <v>45839</v>
      </c>
      <c r="CN5" s="376">
        <f t="shared" ref="CN5" si="48">EDATE(CM5,1)</f>
        <v>45870</v>
      </c>
      <c r="CO5" s="376">
        <f t="shared" ref="CO5" si="49">EDATE(CN5,1)</f>
        <v>45901</v>
      </c>
      <c r="CP5" s="376">
        <f t="shared" ref="CP5" si="50">EDATE(CO5,1)</f>
        <v>45931</v>
      </c>
      <c r="CQ5" s="376">
        <f t="shared" ref="CQ5" si="51">EDATE(CP5,1)</f>
        <v>45962</v>
      </c>
      <c r="CR5" s="376">
        <f t="shared" ref="CR5" si="52">EDATE(CQ5,1)</f>
        <v>45992</v>
      </c>
      <c r="CS5" s="376">
        <f t="shared" ref="CS5" si="53">EDATE(CR5,1)</f>
        <v>46023</v>
      </c>
      <c r="CT5" s="376">
        <f t="shared" ref="CT5" si="54">EDATE(CS5,1)</f>
        <v>46054</v>
      </c>
      <c r="CU5" s="376">
        <f t="shared" ref="CU5" si="55">EDATE(CT5,1)</f>
        <v>46082</v>
      </c>
      <c r="CV5" s="376">
        <f t="shared" ref="CV5" si="56">EDATE(CU5,1)</f>
        <v>46113</v>
      </c>
      <c r="CW5" s="376">
        <f t="shared" ref="CW5" si="57">EDATE(CV5,1)</f>
        <v>46143</v>
      </c>
      <c r="CX5" s="376">
        <f t="shared" ref="CX5" si="58">EDATE(CW5,1)</f>
        <v>46174</v>
      </c>
      <c r="CY5" s="376">
        <f t="shared" ref="CY5" si="59">EDATE(CX5,1)</f>
        <v>46204</v>
      </c>
      <c r="CZ5" s="376">
        <f t="shared" ref="CZ5" si="60">EDATE(CY5,1)</f>
        <v>46235</v>
      </c>
      <c r="DA5" s="376">
        <f t="shared" ref="DA5" si="61">EDATE(CZ5,1)</f>
        <v>46266</v>
      </c>
      <c r="DB5" s="376">
        <f t="shared" ref="DB5" si="62">EDATE(DA5,1)</f>
        <v>46296</v>
      </c>
      <c r="DC5" s="376">
        <f t="shared" ref="DC5" si="63">EDATE(DB5,1)</f>
        <v>46327</v>
      </c>
      <c r="DD5" s="376">
        <f t="shared" ref="DD5" si="64">EDATE(DC5,1)</f>
        <v>46357</v>
      </c>
      <c r="DE5" s="376">
        <f t="shared" ref="DE5" si="65">EDATE(DD5,1)</f>
        <v>46388</v>
      </c>
      <c r="DF5" s="376">
        <f t="shared" ref="DF5" si="66">EDATE(DE5,1)</f>
        <v>46419</v>
      </c>
      <c r="DG5" s="376">
        <f t="shared" ref="DG5" si="67">EDATE(DF5,1)</f>
        <v>46447</v>
      </c>
      <c r="DH5" s="376">
        <f t="shared" ref="DH5" si="68">EDATE(DG5,1)</f>
        <v>46478</v>
      </c>
      <c r="DI5" s="376">
        <f t="shared" ref="DI5" si="69">EDATE(DH5,1)</f>
        <v>46508</v>
      </c>
      <c r="DJ5" s="376">
        <f t="shared" ref="DJ5" si="70">EDATE(DI5,1)</f>
        <v>46539</v>
      </c>
      <c r="DK5" s="376">
        <f t="shared" ref="DK5" si="71">EDATE(DJ5,1)</f>
        <v>46569</v>
      </c>
      <c r="DL5" s="376">
        <f t="shared" ref="DL5" si="72">EDATE(DK5,1)</f>
        <v>46600</v>
      </c>
      <c r="DM5" s="376">
        <f t="shared" ref="DM5" si="73">EDATE(DL5,1)</f>
        <v>46631</v>
      </c>
      <c r="DN5" s="376">
        <f t="shared" ref="DN5" si="74">EDATE(DM5,1)</f>
        <v>46661</v>
      </c>
      <c r="DO5" s="376">
        <f t="shared" ref="DO5" si="75">EDATE(DN5,1)</f>
        <v>46692</v>
      </c>
      <c r="DP5" s="376">
        <f t="shared" ref="DP5" si="76">EDATE(DO5,1)</f>
        <v>46722</v>
      </c>
      <c r="DQ5" s="376">
        <f t="shared" ref="DQ5" si="77">EDATE(DP5,1)</f>
        <v>46753</v>
      </c>
      <c r="DR5" s="376">
        <f t="shared" ref="DR5" si="78">EDATE(DQ5,1)</f>
        <v>46784</v>
      </c>
      <c r="DS5" s="376">
        <f t="shared" ref="DS5" si="79">EDATE(DR5,1)</f>
        <v>46813</v>
      </c>
      <c r="DT5" s="376">
        <f t="shared" ref="DT5" si="80">EDATE(DS5,1)</f>
        <v>46844</v>
      </c>
      <c r="DU5" s="376">
        <f t="shared" ref="DU5" si="81">EDATE(DT5,1)</f>
        <v>46874</v>
      </c>
      <c r="DV5" s="376">
        <f t="shared" ref="DV5" si="82">EDATE(DU5,1)</f>
        <v>46905</v>
      </c>
      <c r="DW5" s="376">
        <f t="shared" ref="DW5" si="83">EDATE(DV5,1)</f>
        <v>46935</v>
      </c>
      <c r="DX5" s="376">
        <f t="shared" ref="DX5" si="84">EDATE(DW5,1)</f>
        <v>46966</v>
      </c>
    </row>
    <row r="6" spans="1:128" ht="23.4" thickBot="1">
      <c r="B6" s="372">
        <v>1</v>
      </c>
      <c r="C6" s="318" t="s">
        <v>1061</v>
      </c>
      <c r="D6" s="316">
        <f>SUM(E6:DX6)</f>
        <v>0</v>
      </c>
      <c r="E6" s="355"/>
      <c r="F6" s="355"/>
      <c r="G6" s="355"/>
      <c r="H6" s="355"/>
      <c r="I6" s="355"/>
      <c r="J6" s="355"/>
      <c r="K6" s="355"/>
      <c r="L6" s="355"/>
      <c r="M6" s="355"/>
      <c r="N6" s="355"/>
      <c r="O6" s="355"/>
      <c r="P6" s="355"/>
      <c r="Q6" s="355"/>
      <c r="R6" s="355"/>
      <c r="S6" s="355"/>
      <c r="T6" s="356"/>
      <c r="U6" s="355"/>
      <c r="V6" s="355"/>
      <c r="W6" s="355"/>
      <c r="X6" s="355"/>
      <c r="Y6" s="355"/>
      <c r="Z6" s="355"/>
      <c r="AA6" s="355"/>
      <c r="AB6" s="355"/>
      <c r="AC6" s="355"/>
      <c r="AD6" s="355"/>
      <c r="AE6" s="355"/>
      <c r="AF6" s="355"/>
      <c r="AG6" s="355"/>
      <c r="AH6" s="355"/>
      <c r="AI6" s="355"/>
      <c r="AJ6" s="355"/>
      <c r="AK6" s="355"/>
      <c r="AL6" s="355"/>
      <c r="AM6" s="355"/>
      <c r="AN6" s="355"/>
      <c r="AO6" s="355"/>
      <c r="AP6" s="355"/>
      <c r="AQ6" s="355"/>
      <c r="AR6" s="355"/>
      <c r="AS6" s="355"/>
      <c r="AT6" s="355"/>
      <c r="AU6" s="355"/>
      <c r="AV6" s="355"/>
      <c r="AW6" s="355"/>
      <c r="AX6" s="355"/>
      <c r="AY6" s="355"/>
      <c r="AZ6" s="355"/>
      <c r="BA6" s="355"/>
      <c r="BB6" s="355"/>
      <c r="BC6" s="355"/>
      <c r="BD6" s="355"/>
      <c r="BE6" s="355"/>
      <c r="BF6" s="355"/>
      <c r="BG6" s="355"/>
      <c r="BH6" s="355"/>
      <c r="BI6" s="355"/>
      <c r="BJ6" s="355"/>
      <c r="BK6" s="355"/>
      <c r="BL6" s="355"/>
      <c r="BM6" s="355"/>
      <c r="BN6" s="355"/>
      <c r="BO6" s="355"/>
      <c r="BP6" s="355"/>
    </row>
    <row r="7" spans="1:128" ht="23.4" thickBot="1">
      <c r="B7" s="372">
        <v>2</v>
      </c>
      <c r="C7" s="318" t="s">
        <v>1062</v>
      </c>
      <c r="D7" s="316">
        <f t="shared" ref="D7:D20" si="85">SUM(E7:DX7)</f>
        <v>0</v>
      </c>
      <c r="E7" s="356"/>
      <c r="F7" s="356"/>
      <c r="G7" s="356"/>
      <c r="H7" s="355"/>
      <c r="I7" s="356"/>
      <c r="J7" s="356"/>
      <c r="K7" s="356"/>
      <c r="L7" s="356"/>
      <c r="M7" s="356"/>
      <c r="N7" s="356"/>
      <c r="O7" s="356"/>
      <c r="P7" s="356"/>
      <c r="Q7" s="356"/>
      <c r="R7" s="355"/>
      <c r="S7" s="356"/>
      <c r="T7" s="355"/>
      <c r="U7" s="356"/>
      <c r="V7" s="356"/>
      <c r="W7" s="356"/>
      <c r="X7" s="355"/>
      <c r="Y7" s="356"/>
      <c r="Z7" s="355"/>
      <c r="AA7" s="356"/>
      <c r="AB7" s="355"/>
      <c r="AC7" s="356"/>
      <c r="AD7" s="356"/>
      <c r="AE7" s="356"/>
      <c r="AF7" s="356"/>
      <c r="AG7" s="356"/>
      <c r="AH7" s="356"/>
      <c r="AI7" s="356"/>
      <c r="AJ7" s="355"/>
      <c r="AK7" s="356"/>
      <c r="AL7" s="356"/>
      <c r="AM7" s="356"/>
      <c r="AN7" s="356"/>
      <c r="AO7" s="356"/>
      <c r="AP7" s="356"/>
      <c r="AQ7" s="356"/>
      <c r="AR7" s="355"/>
      <c r="AS7" s="356"/>
      <c r="AT7" s="356"/>
      <c r="AU7" s="356"/>
      <c r="AV7" s="355"/>
      <c r="AW7" s="356"/>
      <c r="AX7" s="355"/>
      <c r="AY7" s="356"/>
      <c r="AZ7" s="355"/>
      <c r="BA7" s="355"/>
      <c r="BB7" s="355"/>
      <c r="BC7" s="355"/>
      <c r="BD7" s="356"/>
      <c r="BE7" s="355"/>
      <c r="BF7" s="355"/>
      <c r="BG7" s="355"/>
      <c r="BH7" s="355"/>
      <c r="BI7" s="355"/>
      <c r="BJ7" s="355"/>
      <c r="BK7" s="355"/>
      <c r="BL7" s="355"/>
      <c r="BM7" s="355"/>
      <c r="BN7" s="355"/>
      <c r="BO7" s="356"/>
      <c r="BP7" s="355"/>
    </row>
    <row r="8" spans="1:128" ht="23.4" thickBot="1">
      <c r="B8" s="372">
        <v>3</v>
      </c>
      <c r="C8" s="318" t="s">
        <v>1063</v>
      </c>
      <c r="D8" s="316">
        <f t="shared" si="85"/>
        <v>0</v>
      </c>
      <c r="E8" s="355"/>
      <c r="F8" s="355"/>
      <c r="G8" s="355"/>
      <c r="H8" s="355"/>
      <c r="I8" s="355"/>
      <c r="J8" s="355"/>
      <c r="K8" s="355"/>
      <c r="L8" s="355"/>
      <c r="M8" s="355"/>
      <c r="N8" s="355"/>
      <c r="O8" s="355"/>
      <c r="P8" s="355"/>
      <c r="Q8" s="355"/>
      <c r="R8" s="355"/>
      <c r="S8" s="355"/>
      <c r="T8" s="356"/>
      <c r="U8" s="355"/>
      <c r="V8" s="355"/>
      <c r="W8" s="355"/>
      <c r="X8" s="355"/>
      <c r="Y8" s="355"/>
      <c r="Z8" s="355"/>
      <c r="AA8" s="355"/>
      <c r="AB8" s="355"/>
      <c r="AC8" s="355"/>
      <c r="AD8" s="355"/>
      <c r="AE8" s="355"/>
      <c r="AF8" s="355"/>
      <c r="AG8" s="355"/>
      <c r="AH8" s="355"/>
      <c r="AI8" s="355"/>
      <c r="AJ8" s="355"/>
      <c r="AK8" s="355"/>
      <c r="AL8" s="355"/>
      <c r="AM8" s="355"/>
      <c r="AN8" s="355"/>
      <c r="AO8" s="355"/>
      <c r="AP8" s="355"/>
      <c r="AQ8" s="355"/>
      <c r="AR8" s="355"/>
      <c r="AS8" s="355"/>
      <c r="AT8" s="355"/>
      <c r="AU8" s="355"/>
      <c r="AV8" s="355"/>
      <c r="AW8" s="355"/>
      <c r="AX8" s="355"/>
      <c r="AY8" s="355"/>
      <c r="AZ8" s="355"/>
      <c r="BA8" s="355"/>
      <c r="BB8" s="355"/>
      <c r="BC8" s="355"/>
      <c r="BD8" s="355"/>
      <c r="BE8" s="355"/>
      <c r="BF8" s="355"/>
      <c r="BG8" s="355"/>
      <c r="BH8" s="355"/>
      <c r="BI8" s="355"/>
      <c r="BJ8" s="355"/>
      <c r="BK8" s="355"/>
      <c r="BL8" s="355"/>
      <c r="BM8" s="355"/>
      <c r="BN8" s="355"/>
      <c r="BO8" s="355"/>
      <c r="BP8" s="355"/>
    </row>
    <row r="9" spans="1:128" ht="23.4" thickBot="1">
      <c r="B9" s="372">
        <v>4</v>
      </c>
      <c r="C9" s="318" t="s">
        <v>1064</v>
      </c>
      <c r="D9" s="316">
        <f t="shared" si="85"/>
        <v>0</v>
      </c>
      <c r="E9" s="356"/>
      <c r="F9" s="355"/>
      <c r="G9" s="356"/>
      <c r="H9" s="356"/>
      <c r="I9" s="356"/>
      <c r="J9" s="356"/>
      <c r="K9" s="356"/>
      <c r="L9" s="356"/>
      <c r="M9" s="356"/>
      <c r="N9" s="356"/>
      <c r="O9" s="355"/>
      <c r="P9" s="356"/>
      <c r="Q9" s="356"/>
      <c r="R9" s="355"/>
      <c r="S9" s="356"/>
      <c r="T9" s="356"/>
      <c r="U9" s="356"/>
      <c r="V9" s="356"/>
      <c r="W9" s="356"/>
      <c r="X9" s="356"/>
      <c r="Y9" s="356"/>
      <c r="Z9" s="356"/>
      <c r="AA9" s="355"/>
      <c r="AB9" s="355"/>
      <c r="AC9" s="356"/>
      <c r="AD9" s="356"/>
      <c r="AE9" s="356"/>
      <c r="AF9" s="356"/>
      <c r="AG9" s="356"/>
      <c r="AH9" s="356"/>
      <c r="AI9" s="356"/>
      <c r="AJ9" s="356"/>
      <c r="AL9" s="315"/>
      <c r="AW9" s="356"/>
      <c r="AX9" s="356"/>
      <c r="AY9" s="355"/>
      <c r="AZ9" s="356"/>
      <c r="BA9" s="356"/>
      <c r="BB9" s="356"/>
      <c r="BC9" s="356"/>
      <c r="BD9" s="356"/>
      <c r="BE9" s="356"/>
      <c r="BF9" s="356"/>
      <c r="BG9" s="356"/>
      <c r="BH9" s="356"/>
      <c r="BI9" s="356"/>
      <c r="BJ9" s="356"/>
      <c r="BK9" s="355"/>
      <c r="BL9" s="356"/>
      <c r="BM9" s="356"/>
      <c r="BN9" s="356"/>
      <c r="BO9" s="356"/>
      <c r="BP9" s="356"/>
    </row>
    <row r="10" spans="1:128" ht="23.4" thickBot="1">
      <c r="B10" s="372">
        <v>5</v>
      </c>
      <c r="C10" s="318" t="s">
        <v>1065</v>
      </c>
      <c r="D10" s="316">
        <f t="shared" si="85"/>
        <v>0</v>
      </c>
      <c r="E10" s="355"/>
      <c r="F10" s="355"/>
      <c r="G10" s="355"/>
      <c r="H10" s="355"/>
      <c r="I10" s="355"/>
      <c r="J10" s="355"/>
      <c r="K10" s="355"/>
      <c r="L10" s="355"/>
      <c r="M10" s="355"/>
      <c r="N10" s="355"/>
      <c r="O10" s="355"/>
      <c r="P10" s="355"/>
      <c r="Q10" s="355"/>
      <c r="R10" s="355"/>
      <c r="S10" s="355"/>
      <c r="T10" s="356"/>
      <c r="U10" s="355"/>
      <c r="V10" s="355"/>
      <c r="W10" s="355"/>
      <c r="X10" s="355"/>
      <c r="Y10" s="355"/>
      <c r="Z10" s="355"/>
      <c r="AA10" s="355"/>
      <c r="AB10" s="355"/>
      <c r="AC10" s="355"/>
      <c r="AD10" s="355"/>
      <c r="AE10" s="355"/>
      <c r="AF10" s="355"/>
      <c r="AG10" s="355"/>
      <c r="AH10" s="355"/>
      <c r="AI10" s="355"/>
      <c r="AJ10" s="355"/>
      <c r="AK10" s="355"/>
      <c r="AL10" s="355"/>
      <c r="AM10" s="355"/>
      <c r="AN10" s="355"/>
      <c r="AO10" s="355"/>
      <c r="AP10" s="355"/>
      <c r="AQ10" s="355"/>
      <c r="AR10" s="355"/>
      <c r="AS10" s="355"/>
      <c r="AT10" s="355"/>
      <c r="AU10" s="355"/>
      <c r="AV10" s="355"/>
      <c r="AW10" s="355"/>
      <c r="AX10" s="355"/>
      <c r="AY10" s="355"/>
      <c r="AZ10" s="355"/>
      <c r="BA10" s="355"/>
      <c r="BB10" s="355"/>
      <c r="BC10" s="355"/>
      <c r="BD10" s="355"/>
      <c r="BE10" s="355"/>
      <c r="BF10" s="355"/>
      <c r="BG10" s="355"/>
      <c r="BH10" s="355"/>
      <c r="BI10" s="355"/>
      <c r="BJ10" s="355"/>
      <c r="BK10" s="355"/>
      <c r="BL10" s="355"/>
      <c r="BM10" s="355"/>
      <c r="BN10" s="355"/>
      <c r="BO10" s="355"/>
      <c r="BP10" s="355"/>
    </row>
    <row r="11" spans="1:128" ht="23.4" thickBot="1">
      <c r="B11" s="372">
        <v>6</v>
      </c>
      <c r="C11" s="318" t="s">
        <v>1066</v>
      </c>
      <c r="D11" s="316">
        <f t="shared" si="85"/>
        <v>0</v>
      </c>
      <c r="E11" s="315"/>
      <c r="F11" s="315"/>
      <c r="G11" s="315"/>
      <c r="H11" s="315"/>
      <c r="I11" s="316"/>
      <c r="J11" s="316"/>
      <c r="K11" s="316"/>
      <c r="L11" s="316"/>
      <c r="M11" s="316"/>
      <c r="N11" s="316"/>
      <c r="O11" s="316"/>
      <c r="P11" s="316"/>
      <c r="Q11" s="316"/>
      <c r="R11" s="316"/>
      <c r="S11" s="316"/>
      <c r="T11" s="316"/>
      <c r="U11" s="316"/>
      <c r="V11" s="316"/>
      <c r="W11" s="316"/>
      <c r="X11" s="316"/>
      <c r="Y11" s="316"/>
      <c r="Z11" s="316"/>
      <c r="AA11" s="316"/>
      <c r="AB11" s="315"/>
      <c r="AC11" s="315"/>
      <c r="AD11" s="315"/>
      <c r="AE11" s="315"/>
      <c r="AF11" s="315"/>
      <c r="AG11" s="315"/>
      <c r="AH11" s="315"/>
      <c r="AI11" s="315"/>
      <c r="AJ11" s="315"/>
      <c r="AK11" s="315"/>
      <c r="AL11" s="315"/>
      <c r="AM11" s="315"/>
      <c r="AN11" s="315"/>
      <c r="AO11" s="315"/>
      <c r="AP11" s="315"/>
    </row>
    <row r="12" spans="1:128" ht="23.4" thickBot="1">
      <c r="B12" s="372">
        <v>7</v>
      </c>
      <c r="C12" s="318" t="s">
        <v>1067</v>
      </c>
      <c r="D12" s="316">
        <f t="shared" si="85"/>
        <v>0</v>
      </c>
      <c r="E12" s="355"/>
      <c r="F12" s="355"/>
      <c r="G12" s="355"/>
      <c r="H12" s="355"/>
      <c r="I12" s="355"/>
      <c r="J12" s="355"/>
      <c r="K12" s="355"/>
      <c r="L12" s="355"/>
      <c r="M12" s="355"/>
      <c r="N12" s="355"/>
      <c r="O12" s="355"/>
      <c r="P12" s="355"/>
      <c r="Q12" s="355"/>
      <c r="R12" s="355"/>
      <c r="S12" s="355"/>
      <c r="T12" s="355"/>
      <c r="U12" s="355"/>
      <c r="V12" s="355"/>
      <c r="W12" s="355"/>
      <c r="X12" s="355"/>
      <c r="Y12" s="355"/>
      <c r="Z12" s="355"/>
      <c r="AA12" s="355"/>
      <c r="AB12" s="355"/>
      <c r="AC12" s="355"/>
      <c r="AD12" s="355"/>
      <c r="AE12" s="355"/>
      <c r="AF12" s="355"/>
      <c r="AG12" s="355"/>
      <c r="AH12" s="355"/>
      <c r="AI12" s="355"/>
      <c r="AJ12" s="355"/>
      <c r="AK12" s="355"/>
      <c r="AL12" s="355"/>
      <c r="AM12" s="355"/>
      <c r="AN12" s="355"/>
      <c r="AO12" s="355"/>
      <c r="AP12" s="355"/>
      <c r="AQ12" s="355"/>
      <c r="AR12" s="355"/>
      <c r="AS12" s="355"/>
      <c r="AT12" s="355"/>
      <c r="AU12" s="355"/>
      <c r="AV12" s="355"/>
      <c r="AW12" s="355"/>
      <c r="AX12" s="355"/>
      <c r="AY12" s="355"/>
      <c r="AZ12" s="355"/>
      <c r="BA12" s="355"/>
      <c r="BB12" s="355"/>
      <c r="BC12" s="355"/>
      <c r="BD12" s="355"/>
      <c r="BE12" s="355"/>
      <c r="BF12" s="355"/>
      <c r="BG12" s="355"/>
      <c r="BH12" s="355"/>
      <c r="BI12" s="355"/>
      <c r="BJ12" s="355"/>
      <c r="BK12" s="355"/>
      <c r="BL12" s="355"/>
      <c r="BM12" s="355"/>
      <c r="BN12" s="355"/>
      <c r="BO12" s="355"/>
      <c r="BP12" s="355"/>
    </row>
    <row r="13" spans="1:128" ht="23.4" thickBot="1">
      <c r="B13" s="372">
        <v>8</v>
      </c>
      <c r="C13" s="318" t="s">
        <v>1102</v>
      </c>
      <c r="D13" s="316">
        <f t="shared" si="85"/>
        <v>0</v>
      </c>
      <c r="E13" s="356"/>
      <c r="F13" s="356"/>
      <c r="G13" s="356"/>
      <c r="H13" s="355"/>
      <c r="I13" s="355"/>
      <c r="J13" s="356"/>
      <c r="K13" s="355"/>
      <c r="L13" s="356"/>
      <c r="M13" s="356"/>
      <c r="N13" s="356"/>
      <c r="O13" s="356"/>
      <c r="P13" s="356"/>
      <c r="Q13" s="356"/>
      <c r="R13" s="355"/>
      <c r="S13" s="356"/>
      <c r="T13" s="356"/>
      <c r="U13" s="356"/>
      <c r="V13" s="356"/>
      <c r="W13" s="356"/>
      <c r="X13" s="356"/>
      <c r="Y13" s="356"/>
      <c r="Z13" s="356"/>
      <c r="AA13" s="356"/>
      <c r="AB13" s="355"/>
      <c r="AC13" s="356"/>
      <c r="AD13" s="356"/>
      <c r="AE13" s="356"/>
      <c r="AF13" s="356"/>
      <c r="AG13" s="356"/>
      <c r="AH13" s="356"/>
      <c r="AI13" s="356"/>
      <c r="AJ13" s="356"/>
      <c r="AL13" s="315"/>
      <c r="BI13" s="356"/>
      <c r="BJ13" s="355"/>
      <c r="BK13" s="356"/>
      <c r="BL13" s="356"/>
      <c r="BM13" s="356"/>
      <c r="BN13" s="356"/>
      <c r="BO13" s="356"/>
      <c r="BP13" s="356"/>
    </row>
    <row r="14" spans="1:128" ht="23.4" thickBot="1">
      <c r="B14" s="372">
        <v>9</v>
      </c>
      <c r="C14" s="318" t="s">
        <v>1068</v>
      </c>
      <c r="D14" s="316">
        <f t="shared" si="85"/>
        <v>0</v>
      </c>
      <c r="E14" s="355"/>
      <c r="F14" s="355"/>
      <c r="G14" s="355"/>
      <c r="H14" s="355"/>
      <c r="I14" s="355"/>
      <c r="J14" s="355"/>
      <c r="K14" s="355"/>
      <c r="L14" s="355"/>
      <c r="M14" s="355"/>
      <c r="N14" s="355"/>
      <c r="O14" s="355"/>
      <c r="P14" s="355"/>
      <c r="Q14" s="355"/>
      <c r="R14" s="355"/>
      <c r="S14" s="355"/>
      <c r="T14" s="356"/>
      <c r="U14" s="355"/>
      <c r="V14" s="355"/>
      <c r="W14" s="355"/>
      <c r="X14" s="355"/>
      <c r="Y14" s="355"/>
      <c r="Z14" s="355"/>
      <c r="AA14" s="355"/>
      <c r="AB14" s="355"/>
      <c r="AC14" s="355"/>
      <c r="AD14" s="355"/>
      <c r="AE14" s="355"/>
      <c r="AF14" s="355"/>
      <c r="AG14" s="355"/>
      <c r="AH14" s="355"/>
      <c r="AI14" s="355"/>
      <c r="AJ14" s="355"/>
      <c r="AK14" s="355"/>
      <c r="AL14" s="355"/>
      <c r="AM14" s="355"/>
      <c r="AN14" s="355"/>
      <c r="AO14" s="355"/>
      <c r="AP14" s="355"/>
      <c r="AQ14" s="355"/>
      <c r="AR14" s="355"/>
      <c r="AS14" s="355"/>
      <c r="AT14" s="355"/>
      <c r="AU14" s="355"/>
      <c r="AV14" s="355"/>
      <c r="AW14" s="355"/>
      <c r="AX14" s="355"/>
      <c r="AY14" s="355"/>
      <c r="AZ14" s="355"/>
      <c r="BA14" s="355"/>
      <c r="BB14" s="355"/>
      <c r="BC14" s="355"/>
      <c r="BD14" s="355"/>
      <c r="BE14" s="355"/>
      <c r="BF14" s="355"/>
      <c r="BG14" s="355"/>
      <c r="BH14" s="355"/>
      <c r="BI14" s="355"/>
      <c r="BJ14" s="355"/>
      <c r="BK14" s="355"/>
      <c r="BL14" s="355"/>
      <c r="BM14" s="355"/>
      <c r="BN14" s="355"/>
      <c r="BO14" s="355"/>
      <c r="BP14" s="355"/>
    </row>
    <row r="15" spans="1:128" ht="23.4" thickBot="1">
      <c r="B15" s="372">
        <v>10</v>
      </c>
      <c r="C15" s="318" t="s">
        <v>1069</v>
      </c>
      <c r="D15" s="316">
        <f t="shared" si="85"/>
        <v>0</v>
      </c>
      <c r="E15" s="315"/>
      <c r="F15" s="315"/>
      <c r="G15" s="315"/>
      <c r="H15" s="315"/>
      <c r="I15" s="315"/>
      <c r="J15" s="316"/>
      <c r="K15" s="316"/>
      <c r="L15" s="316"/>
      <c r="M15" s="355"/>
      <c r="N15" s="355"/>
      <c r="O15" s="356"/>
      <c r="P15" s="356"/>
      <c r="Q15" s="356"/>
      <c r="R15" s="356"/>
      <c r="S15" s="356"/>
      <c r="T15" s="356"/>
      <c r="U15" s="356"/>
      <c r="V15" s="356"/>
      <c r="W15" s="356"/>
      <c r="X15" s="356"/>
      <c r="Y15" s="316"/>
      <c r="Z15" s="315"/>
      <c r="AA15" s="315"/>
      <c r="AB15" s="315"/>
      <c r="AC15" s="315"/>
      <c r="AD15" s="315"/>
      <c r="AE15" s="315"/>
      <c r="AF15" s="315"/>
      <c r="AG15" s="315"/>
      <c r="AH15" s="315"/>
      <c r="AI15" s="315"/>
      <c r="AJ15" s="315"/>
      <c r="AK15" s="315"/>
      <c r="AL15" s="315"/>
      <c r="AM15" s="315"/>
      <c r="AN15" s="315"/>
      <c r="AO15" s="315"/>
      <c r="AP15" s="315"/>
      <c r="AQ15" s="315"/>
      <c r="AW15" s="356"/>
      <c r="AX15" s="356"/>
      <c r="AY15" s="356"/>
      <c r="AZ15" s="356"/>
      <c r="BA15" s="356"/>
      <c r="BB15" s="356"/>
      <c r="BC15" s="355"/>
      <c r="BD15" s="355"/>
      <c r="BE15" s="355"/>
      <c r="BF15" s="355"/>
      <c r="BG15" s="355"/>
      <c r="BH15" s="355"/>
    </row>
    <row r="16" spans="1:128" ht="23.4" thickBot="1">
      <c r="B16" s="372">
        <v>11</v>
      </c>
      <c r="C16" s="318" t="s">
        <v>1103</v>
      </c>
      <c r="D16" s="316">
        <f t="shared" si="85"/>
        <v>0</v>
      </c>
      <c r="E16" s="356"/>
      <c r="F16" s="356"/>
      <c r="G16" s="356"/>
      <c r="H16" s="356"/>
      <c r="I16" s="355"/>
      <c r="J16" s="356"/>
      <c r="K16" s="356"/>
      <c r="L16" s="356"/>
      <c r="M16" s="356"/>
      <c r="N16" s="356"/>
      <c r="O16" s="356"/>
      <c r="P16" s="356"/>
      <c r="Q16" s="356"/>
      <c r="R16" s="356"/>
      <c r="S16" s="355"/>
      <c r="T16" s="356"/>
      <c r="U16" s="356"/>
      <c r="V16" s="356"/>
      <c r="W16" s="356"/>
      <c r="X16" s="356"/>
      <c r="Y16" s="356"/>
      <c r="Z16" s="356"/>
      <c r="AA16" s="355"/>
      <c r="AB16" s="356"/>
      <c r="AC16" s="356"/>
      <c r="AD16" s="356"/>
      <c r="AE16" s="356"/>
      <c r="AF16" s="356"/>
      <c r="AG16" s="356"/>
      <c r="AH16" s="356"/>
      <c r="AI16" s="356"/>
      <c r="AJ16" s="356"/>
      <c r="AK16" s="356"/>
      <c r="AL16" s="356"/>
      <c r="AM16" s="355"/>
      <c r="AN16" s="356"/>
      <c r="AO16" s="356"/>
      <c r="AP16" s="356"/>
      <c r="AQ16" s="356"/>
      <c r="AR16" s="356"/>
      <c r="AS16" s="356"/>
      <c r="AT16" s="356"/>
      <c r="AU16" s="356"/>
      <c r="AV16" s="356"/>
      <c r="AW16" s="356"/>
      <c r="AX16" s="356"/>
      <c r="AY16" s="355"/>
      <c r="AZ16" s="356"/>
      <c r="BA16" s="356"/>
      <c r="BB16" s="356"/>
      <c r="BC16" s="356"/>
      <c r="BD16" s="356"/>
      <c r="BE16" s="356"/>
      <c r="BF16" s="356"/>
      <c r="BG16" s="356"/>
      <c r="BH16" s="356"/>
      <c r="BI16" s="356"/>
      <c r="BJ16" s="355"/>
      <c r="BK16" s="356"/>
      <c r="BL16" s="356"/>
      <c r="BM16" s="356"/>
    </row>
    <row r="17" spans="2:68" ht="23.4" thickBot="1">
      <c r="B17" s="372">
        <v>12</v>
      </c>
      <c r="C17" s="318" t="s">
        <v>1089</v>
      </c>
      <c r="D17" s="316">
        <f t="shared" si="85"/>
        <v>0</v>
      </c>
      <c r="E17" s="315"/>
      <c r="F17" s="315"/>
      <c r="G17" s="315"/>
      <c r="H17" s="315"/>
      <c r="I17" s="315"/>
      <c r="J17" s="316"/>
      <c r="K17" s="316"/>
      <c r="L17" s="316"/>
      <c r="M17" s="316"/>
      <c r="N17" s="316"/>
      <c r="O17" s="316"/>
      <c r="P17" s="316"/>
      <c r="Q17" s="316"/>
      <c r="R17" s="316"/>
      <c r="S17" s="316"/>
      <c r="T17" s="316"/>
      <c r="U17" s="316"/>
      <c r="V17" s="316"/>
      <c r="W17" s="316"/>
      <c r="X17" s="316"/>
      <c r="Y17" s="316"/>
      <c r="Z17" s="356"/>
      <c r="AA17" s="356"/>
      <c r="AB17" s="356"/>
      <c r="AC17" s="356"/>
      <c r="AD17" s="356"/>
      <c r="AE17" s="356"/>
      <c r="AF17" s="356"/>
      <c r="AG17" s="356"/>
      <c r="AH17" s="356"/>
      <c r="AI17" s="356"/>
      <c r="AJ17" s="355"/>
      <c r="BI17" s="355"/>
      <c r="BJ17" s="355"/>
      <c r="BK17" s="355"/>
      <c r="BL17" s="355"/>
      <c r="BM17" s="355"/>
      <c r="BN17" s="355"/>
      <c r="BO17" s="355"/>
      <c r="BP17" s="355"/>
    </row>
    <row r="18" spans="2:68" ht="23.4" thickBot="1">
      <c r="B18" s="372">
        <v>12</v>
      </c>
      <c r="C18" s="318" t="s">
        <v>1104</v>
      </c>
      <c r="D18" s="316">
        <f t="shared" si="85"/>
        <v>0</v>
      </c>
      <c r="E18" s="315"/>
      <c r="F18" s="315"/>
      <c r="G18" s="315"/>
      <c r="H18" s="315"/>
      <c r="I18" s="315"/>
      <c r="J18" s="316"/>
      <c r="K18" s="316"/>
      <c r="L18" s="316"/>
      <c r="M18" s="316"/>
      <c r="N18" s="316"/>
      <c r="O18" s="316"/>
      <c r="P18" s="316"/>
      <c r="Q18" s="316"/>
      <c r="R18" s="316"/>
      <c r="S18" s="316"/>
      <c r="T18" s="316"/>
      <c r="U18" s="316"/>
      <c r="V18" s="316"/>
      <c r="W18" s="316"/>
      <c r="X18" s="316"/>
      <c r="Y18" s="316"/>
      <c r="Z18" s="316"/>
      <c r="AA18" s="316"/>
      <c r="AB18" s="315"/>
      <c r="AD18" s="315"/>
      <c r="AE18" s="315"/>
      <c r="AJ18" s="315"/>
      <c r="AO18" s="315"/>
      <c r="BI18" s="356"/>
      <c r="BJ18" s="356"/>
      <c r="BK18" s="356"/>
      <c r="BL18" s="356"/>
      <c r="BM18" s="355"/>
      <c r="BN18" s="356"/>
      <c r="BO18" s="356"/>
    </row>
    <row r="19" spans="2:68" ht="23.4" thickBot="1">
      <c r="B19" s="372">
        <v>13</v>
      </c>
      <c r="C19" s="318" t="s">
        <v>1070</v>
      </c>
      <c r="D19" s="316">
        <f t="shared" si="85"/>
        <v>0</v>
      </c>
      <c r="E19" s="356"/>
      <c r="F19" s="356"/>
      <c r="G19" s="356"/>
      <c r="H19" s="356"/>
      <c r="I19" s="355"/>
      <c r="J19" s="356"/>
      <c r="K19" s="356"/>
      <c r="L19" s="356"/>
      <c r="M19" s="356"/>
      <c r="N19" s="316"/>
      <c r="O19" s="316"/>
      <c r="P19" s="316"/>
      <c r="Q19" s="316"/>
      <c r="R19" s="316"/>
      <c r="S19" s="316"/>
      <c r="T19" s="316"/>
      <c r="U19" s="316"/>
      <c r="V19" s="316"/>
      <c r="W19" s="316"/>
      <c r="X19" s="316"/>
      <c r="Y19" s="316"/>
      <c r="Z19" s="316"/>
      <c r="AA19" s="316"/>
      <c r="AB19" s="315"/>
      <c r="AE19" s="315"/>
      <c r="AO19" s="315"/>
    </row>
    <row r="20" spans="2:68" ht="23.4" thickBot="1">
      <c r="B20" s="372">
        <v>14</v>
      </c>
      <c r="C20" s="318" t="s">
        <v>1071</v>
      </c>
      <c r="D20" s="316">
        <f t="shared" si="85"/>
        <v>0</v>
      </c>
      <c r="E20" s="355"/>
      <c r="F20" s="356"/>
      <c r="G20" s="356"/>
      <c r="H20" s="356"/>
      <c r="I20" s="356"/>
      <c r="J20" s="356"/>
      <c r="K20" s="356"/>
      <c r="L20" s="356"/>
      <c r="M20" s="356"/>
      <c r="N20" s="355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  <c r="Z20" s="355"/>
      <c r="AA20" s="356"/>
      <c r="AB20" s="356"/>
      <c r="AC20" s="356"/>
      <c r="AD20" s="356"/>
      <c r="AE20" s="356"/>
      <c r="AF20" s="356"/>
      <c r="AG20" s="356"/>
      <c r="AH20" s="356"/>
      <c r="AI20" s="356"/>
      <c r="AJ20" s="356"/>
      <c r="AK20" s="355"/>
      <c r="AL20" s="356"/>
      <c r="AM20" s="356"/>
      <c r="AN20" s="356"/>
      <c r="AO20" s="356"/>
      <c r="AP20" s="356"/>
      <c r="AQ20" s="356"/>
      <c r="AR20" s="356"/>
      <c r="AS20" s="356"/>
      <c r="AT20" s="356"/>
      <c r="AU20" s="356"/>
      <c r="AV20" s="356"/>
      <c r="AW20" s="355"/>
      <c r="AX20" s="356"/>
      <c r="AY20" s="356"/>
      <c r="AZ20" s="356"/>
      <c r="BA20" s="356"/>
      <c r="BB20" s="356"/>
      <c r="BC20" s="356"/>
      <c r="BD20" s="356"/>
      <c r="BE20" s="356"/>
      <c r="BF20" s="356"/>
      <c r="BG20" s="356"/>
      <c r="BH20" s="356"/>
      <c r="BI20" s="355"/>
      <c r="BJ20" s="356"/>
      <c r="BK20" s="356"/>
      <c r="BL20" s="356"/>
      <c r="BM20" s="356"/>
      <c r="BN20" s="356"/>
      <c r="BO20" s="356"/>
      <c r="BP20" s="356"/>
    </row>
    <row r="21" spans="2:68">
      <c r="C21" s="318" t="s">
        <v>1079</v>
      </c>
      <c r="D21" s="316">
        <f>SUM(D6:D20)</f>
        <v>0</v>
      </c>
      <c r="E21" s="315"/>
      <c r="F21" s="315"/>
      <c r="G21" s="315"/>
      <c r="H21" s="315"/>
      <c r="I21" s="315"/>
      <c r="J21" s="316"/>
      <c r="K21" s="316"/>
      <c r="L21" s="316"/>
      <c r="M21" s="316"/>
      <c r="N21" s="316"/>
      <c r="O21" s="316"/>
      <c r="P21" s="316"/>
      <c r="Q21" s="316"/>
      <c r="R21" s="316"/>
      <c r="S21" s="316"/>
      <c r="T21" s="316"/>
      <c r="U21" s="316"/>
      <c r="V21" s="316"/>
      <c r="W21" s="316"/>
      <c r="X21" s="316"/>
      <c r="Y21" s="316"/>
      <c r="Z21" s="316"/>
      <c r="AA21" s="315"/>
      <c r="AB21" s="315"/>
      <c r="AO21" s="315"/>
    </row>
    <row r="22" spans="2:68">
      <c r="E22" s="315"/>
      <c r="F22" s="315"/>
      <c r="G22" s="315"/>
      <c r="H22" s="315"/>
      <c r="I22" s="315"/>
      <c r="J22" s="316"/>
      <c r="K22" s="316"/>
      <c r="L22" s="316"/>
      <c r="M22" s="316"/>
      <c r="N22" s="316"/>
      <c r="O22" s="316"/>
      <c r="P22" s="316"/>
      <c r="Q22" s="316"/>
      <c r="R22" s="316"/>
      <c r="S22" s="316"/>
      <c r="T22" s="316"/>
      <c r="U22" s="316"/>
      <c r="V22" s="316"/>
      <c r="W22" s="316"/>
      <c r="X22" s="316"/>
      <c r="Y22" s="316"/>
      <c r="Z22" s="316"/>
      <c r="AA22" s="315"/>
      <c r="AB22" s="315"/>
      <c r="AO22" s="315"/>
    </row>
    <row r="23" spans="2:68">
      <c r="E23" s="315"/>
      <c r="F23" s="315"/>
      <c r="G23" s="315"/>
      <c r="H23" s="315"/>
      <c r="I23" s="315"/>
      <c r="J23" s="316"/>
      <c r="K23" s="316"/>
      <c r="L23" s="316"/>
      <c r="M23" s="316"/>
      <c r="N23" s="316"/>
      <c r="O23" s="316"/>
      <c r="P23" s="316"/>
      <c r="Q23" s="316"/>
      <c r="R23" s="316"/>
      <c r="S23" s="316"/>
      <c r="T23" s="316"/>
      <c r="U23" s="316"/>
      <c r="V23" s="316"/>
      <c r="W23" s="316"/>
      <c r="X23" s="316"/>
      <c r="Y23" s="316"/>
      <c r="Z23" s="316"/>
      <c r="AA23" s="315"/>
      <c r="AB23" s="315"/>
      <c r="AO23" s="315"/>
    </row>
    <row r="24" spans="2:68">
      <c r="E24" s="315"/>
      <c r="F24" s="315"/>
      <c r="G24" s="315"/>
      <c r="H24" s="315"/>
      <c r="I24" s="315"/>
      <c r="J24" s="316"/>
      <c r="K24" s="316"/>
      <c r="L24" s="316"/>
      <c r="M24" s="316"/>
      <c r="N24" s="316"/>
      <c r="O24" s="316"/>
      <c r="P24" s="316"/>
      <c r="Q24" s="316"/>
      <c r="R24" s="316"/>
      <c r="S24" s="316"/>
      <c r="T24" s="316"/>
      <c r="U24" s="316"/>
      <c r="V24" s="316"/>
      <c r="W24" s="316"/>
      <c r="X24" s="316"/>
      <c r="Y24" s="316"/>
      <c r="Z24" s="316"/>
      <c r="AA24" s="315"/>
      <c r="AB24" s="315"/>
      <c r="AO24" s="315"/>
    </row>
    <row r="25" spans="2:68">
      <c r="E25" s="315"/>
      <c r="J25" s="315"/>
      <c r="K25" s="316"/>
      <c r="O25" s="316"/>
      <c r="Q25" s="316"/>
      <c r="AA25" s="315"/>
      <c r="AB25" s="315"/>
      <c r="AO25" s="315"/>
    </row>
    <row r="26" spans="2:68">
      <c r="K26" s="316"/>
      <c r="Q26" s="316"/>
      <c r="AB26" s="315"/>
    </row>
    <row r="27" spans="2:68">
      <c r="Q27" s="316"/>
      <c r="AA27" s="315"/>
      <c r="AB27" s="315"/>
    </row>
    <row r="28" spans="2:68">
      <c r="Q28" s="316"/>
      <c r="AB28" s="315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86"/>
  <sheetViews>
    <sheetView zoomScale="90" zoomScaleNormal="90" workbookViewId="0">
      <selection activeCell="E11" sqref="E11"/>
    </sheetView>
  </sheetViews>
  <sheetFormatPr defaultColWidth="9.109375" defaultRowHeight="13.2"/>
  <cols>
    <col min="1" max="1" width="5.88671875" style="3" customWidth="1"/>
    <col min="2" max="2" width="15.6640625" style="3" customWidth="1"/>
    <col min="3" max="3" width="11.6640625" style="3" bestFit="1" customWidth="1"/>
    <col min="4" max="4" width="11.33203125" style="3" bestFit="1" customWidth="1"/>
    <col min="5" max="5" width="33.109375" style="3" customWidth="1"/>
    <col min="6" max="6" width="10.5546875" style="3" bestFit="1" customWidth="1"/>
    <col min="7" max="7" width="15.44140625" style="3" customWidth="1"/>
    <col min="8" max="8" width="11.6640625" style="3" bestFit="1" customWidth="1"/>
    <col min="9" max="9" width="16.109375" style="3" bestFit="1" customWidth="1"/>
    <col min="10" max="10" width="14.44140625" style="3" customWidth="1"/>
    <col min="11" max="16384" width="9.109375" style="3"/>
  </cols>
  <sheetData>
    <row r="1" spans="1:10" ht="27.75" customHeight="1">
      <c r="A1" s="531" t="s">
        <v>10</v>
      </c>
      <c r="B1" s="531"/>
      <c r="C1" s="531"/>
      <c r="D1" s="531"/>
      <c r="E1" s="531"/>
      <c r="F1" s="531"/>
      <c r="G1" s="531"/>
      <c r="H1" s="531"/>
      <c r="I1" s="531"/>
      <c r="J1" s="531"/>
    </row>
    <row r="2" spans="1:10" ht="32.25" customHeight="1">
      <c r="A2" s="531" t="s">
        <v>16</v>
      </c>
      <c r="B2" s="531"/>
      <c r="C2" s="531"/>
      <c r="D2" s="531"/>
      <c r="E2" s="531"/>
      <c r="F2" s="531"/>
      <c r="G2" s="531"/>
      <c r="H2" s="531"/>
      <c r="I2" s="531"/>
      <c r="J2" s="531"/>
    </row>
    <row r="3" spans="1:10" ht="22.5" customHeight="1">
      <c r="A3" s="532" t="e">
        <f>'Annex 0-IM State Charge'!#REF!</f>
        <v>#REF!</v>
      </c>
      <c r="B3" s="532"/>
      <c r="C3" s="532"/>
      <c r="D3" s="532"/>
      <c r="E3" s="532"/>
      <c r="F3" s="4"/>
      <c r="G3" s="4"/>
      <c r="H3" s="4"/>
      <c r="I3" s="4"/>
      <c r="J3" s="4"/>
    </row>
    <row r="4" spans="1:10" ht="21" customHeight="1">
      <c r="A4" s="533" t="e">
        <f>'Annex 0-IM State Charge'!#REF!</f>
        <v>#REF!</v>
      </c>
      <c r="B4" s="533"/>
      <c r="C4" s="533"/>
      <c r="D4" s="533"/>
      <c r="E4" s="5"/>
      <c r="F4" s="4"/>
      <c r="G4" s="4"/>
      <c r="H4" s="4"/>
      <c r="I4" s="4"/>
      <c r="J4" s="4"/>
    </row>
    <row r="5" spans="1:10" ht="24" customHeight="1">
      <c r="A5" s="534" t="s">
        <v>2</v>
      </c>
      <c r="B5" s="537" t="s">
        <v>11</v>
      </c>
      <c r="C5" s="538"/>
      <c r="D5" s="539"/>
      <c r="E5" s="540" t="s">
        <v>5</v>
      </c>
      <c r="F5" s="541"/>
      <c r="G5" s="541"/>
      <c r="H5" s="541"/>
      <c r="I5" s="541"/>
      <c r="J5" s="542" t="s">
        <v>15</v>
      </c>
    </row>
    <row r="6" spans="1:10" ht="24" customHeight="1">
      <c r="A6" s="535"/>
      <c r="B6" s="545" t="s">
        <v>734</v>
      </c>
      <c r="C6" s="546"/>
      <c r="D6" s="547"/>
      <c r="E6" s="529" t="s">
        <v>4</v>
      </c>
      <c r="F6" s="530" t="s">
        <v>14</v>
      </c>
      <c r="G6" s="545" t="s">
        <v>734</v>
      </c>
      <c r="H6" s="546"/>
      <c r="I6" s="547"/>
      <c r="J6" s="543"/>
    </row>
    <row r="7" spans="1:10" ht="21" customHeight="1">
      <c r="A7" s="536"/>
      <c r="B7" s="73" t="s">
        <v>6</v>
      </c>
      <c r="C7" s="73" t="s">
        <v>13</v>
      </c>
      <c r="D7" s="73" t="s">
        <v>3</v>
      </c>
      <c r="E7" s="530"/>
      <c r="F7" s="530"/>
      <c r="G7" s="73" t="s">
        <v>6</v>
      </c>
      <c r="H7" s="73" t="s">
        <v>13</v>
      </c>
      <c r="I7" s="73" t="s">
        <v>3</v>
      </c>
      <c r="J7" s="544"/>
    </row>
    <row r="8" spans="1:10" ht="24" customHeight="1">
      <c r="A8" s="72">
        <v>1</v>
      </c>
      <c r="B8" s="12" t="s">
        <v>54</v>
      </c>
      <c r="C8" s="13">
        <v>41246</v>
      </c>
      <c r="D8" s="26">
        <v>58.25</v>
      </c>
      <c r="E8" s="11" t="s">
        <v>50</v>
      </c>
      <c r="F8" s="10" t="s">
        <v>52</v>
      </c>
      <c r="G8" s="12" t="s">
        <v>54</v>
      </c>
      <c r="H8" s="13">
        <v>41246</v>
      </c>
      <c r="I8" s="26">
        <v>58.25</v>
      </c>
      <c r="J8" s="76" t="s">
        <v>735</v>
      </c>
    </row>
    <row r="9" spans="1:10" ht="24" customHeight="1">
      <c r="A9" s="72">
        <v>2</v>
      </c>
      <c r="B9" s="12" t="s">
        <v>57</v>
      </c>
      <c r="C9" s="13">
        <v>41248</v>
      </c>
      <c r="D9" s="26">
        <v>4</v>
      </c>
      <c r="E9" s="11" t="s">
        <v>50</v>
      </c>
      <c r="F9" s="10" t="s">
        <v>52</v>
      </c>
      <c r="G9" s="12" t="s">
        <v>57</v>
      </c>
      <c r="H9" s="13">
        <v>41248</v>
      </c>
      <c r="I9" s="26">
        <v>4</v>
      </c>
      <c r="J9" s="76" t="s">
        <v>735</v>
      </c>
    </row>
    <row r="10" spans="1:10" ht="24" customHeight="1">
      <c r="A10" s="72">
        <v>3</v>
      </c>
      <c r="B10" s="12" t="s">
        <v>58</v>
      </c>
      <c r="C10" s="13">
        <v>41254</v>
      </c>
      <c r="D10" s="26">
        <v>49.75</v>
      </c>
      <c r="E10" s="11" t="s">
        <v>50</v>
      </c>
      <c r="F10" s="10" t="s">
        <v>52</v>
      </c>
      <c r="G10" s="12" t="s">
        <v>58</v>
      </c>
      <c r="H10" s="13">
        <v>41254</v>
      </c>
      <c r="I10" s="26">
        <v>49.75</v>
      </c>
      <c r="J10" s="76" t="s">
        <v>735</v>
      </c>
    </row>
    <row r="11" spans="1:10" ht="18" customHeight="1">
      <c r="A11" s="72">
        <v>4</v>
      </c>
      <c r="B11" s="12" t="s">
        <v>59</v>
      </c>
      <c r="C11" s="13">
        <v>41254</v>
      </c>
      <c r="D11" s="26">
        <v>181.79</v>
      </c>
      <c r="E11" s="11" t="s">
        <v>50</v>
      </c>
      <c r="F11" s="10" t="s">
        <v>52</v>
      </c>
      <c r="G11" s="12" t="s">
        <v>59</v>
      </c>
      <c r="H11" s="13">
        <v>41254</v>
      </c>
      <c r="I11" s="26">
        <v>181.79</v>
      </c>
      <c r="J11" s="76" t="s">
        <v>735</v>
      </c>
    </row>
    <row r="12" spans="1:10" ht="18" customHeight="1">
      <c r="A12" s="72">
        <v>5</v>
      </c>
      <c r="B12" s="12" t="s">
        <v>65</v>
      </c>
      <c r="C12" s="13">
        <v>41260</v>
      </c>
      <c r="D12" s="26">
        <v>46.69</v>
      </c>
      <c r="E12" s="11" t="s">
        <v>50</v>
      </c>
      <c r="F12" s="10" t="s">
        <v>52</v>
      </c>
      <c r="G12" s="12" t="s">
        <v>65</v>
      </c>
      <c r="H12" s="13">
        <v>41260</v>
      </c>
      <c r="I12" s="26">
        <v>46.69</v>
      </c>
      <c r="J12" s="76" t="s">
        <v>735</v>
      </c>
    </row>
    <row r="13" spans="1:10" ht="18" customHeight="1">
      <c r="A13" s="72">
        <v>6</v>
      </c>
      <c r="B13" s="12" t="s">
        <v>66</v>
      </c>
      <c r="C13" s="13">
        <v>41260</v>
      </c>
      <c r="D13" s="26">
        <v>236.64</v>
      </c>
      <c r="E13" s="11" t="s">
        <v>50</v>
      </c>
      <c r="F13" s="10" t="s">
        <v>52</v>
      </c>
      <c r="G13" s="12" t="s">
        <v>66</v>
      </c>
      <c r="H13" s="13">
        <v>41260</v>
      </c>
      <c r="I13" s="26">
        <v>236.64</v>
      </c>
      <c r="J13" s="76" t="s">
        <v>735</v>
      </c>
    </row>
    <row r="14" spans="1:10" ht="18" customHeight="1">
      <c r="A14" s="72">
        <v>7</v>
      </c>
      <c r="B14" s="12" t="s">
        <v>67</v>
      </c>
      <c r="C14" s="13">
        <v>41261</v>
      </c>
      <c r="D14" s="26">
        <v>4</v>
      </c>
      <c r="E14" s="11" t="s">
        <v>50</v>
      </c>
      <c r="F14" s="10" t="s">
        <v>52</v>
      </c>
      <c r="G14" s="12" t="s">
        <v>67</v>
      </c>
      <c r="H14" s="13">
        <v>41261</v>
      </c>
      <c r="I14" s="26">
        <v>4</v>
      </c>
      <c r="J14" s="76" t="s">
        <v>735</v>
      </c>
    </row>
    <row r="15" spans="1:10" ht="18" customHeight="1">
      <c r="A15" s="72">
        <v>8</v>
      </c>
      <c r="B15" s="12" t="s">
        <v>68</v>
      </c>
      <c r="C15" s="13">
        <v>41261</v>
      </c>
      <c r="D15" s="26">
        <v>10</v>
      </c>
      <c r="E15" s="11" t="s">
        <v>50</v>
      </c>
      <c r="F15" s="10" t="s">
        <v>52</v>
      </c>
      <c r="G15" s="12" t="s">
        <v>68</v>
      </c>
      <c r="H15" s="13">
        <v>41261</v>
      </c>
      <c r="I15" s="26">
        <v>10</v>
      </c>
      <c r="J15" s="76" t="s">
        <v>735</v>
      </c>
    </row>
    <row r="16" spans="1:10" ht="18" customHeight="1">
      <c r="A16" s="72">
        <v>9</v>
      </c>
      <c r="B16" s="12" t="s">
        <v>72</v>
      </c>
      <c r="C16" s="13">
        <v>41274</v>
      </c>
      <c r="D16" s="26">
        <v>87.52</v>
      </c>
      <c r="E16" s="11" t="s">
        <v>50</v>
      </c>
      <c r="F16" s="10" t="s">
        <v>52</v>
      </c>
      <c r="G16" s="12" t="s">
        <v>72</v>
      </c>
      <c r="H16" s="13">
        <v>41274</v>
      </c>
      <c r="I16" s="26">
        <v>87.52</v>
      </c>
      <c r="J16" s="76" t="s">
        <v>735</v>
      </c>
    </row>
    <row r="17" spans="1:10" ht="18" customHeight="1">
      <c r="A17" s="72">
        <v>10</v>
      </c>
      <c r="B17" s="12" t="s">
        <v>73</v>
      </c>
      <c r="C17" s="13">
        <v>41274</v>
      </c>
      <c r="D17" s="26">
        <v>39.29</v>
      </c>
      <c r="E17" s="11" t="s">
        <v>50</v>
      </c>
      <c r="F17" s="10" t="s">
        <v>52</v>
      </c>
      <c r="G17" s="12" t="s">
        <v>73</v>
      </c>
      <c r="H17" s="13">
        <v>41274</v>
      </c>
      <c r="I17" s="26">
        <v>39.29</v>
      </c>
      <c r="J17" s="76" t="s">
        <v>735</v>
      </c>
    </row>
    <row r="18" spans="1:10" ht="18" customHeight="1">
      <c r="A18" s="528" t="s">
        <v>32</v>
      </c>
      <c r="B18" s="528"/>
      <c r="C18" s="528"/>
      <c r="D18" s="52">
        <f>SUM(D8:D17)</f>
        <v>717.92999999999984</v>
      </c>
      <c r="E18" s="53"/>
      <c r="F18" s="54"/>
      <c r="G18" s="54"/>
      <c r="H18" s="55" t="s">
        <v>0</v>
      </c>
      <c r="I18" s="52">
        <f>SUM(I8:I17)</f>
        <v>717.92999999999984</v>
      </c>
      <c r="J18" s="7"/>
    </row>
    <row r="19" spans="1:10" ht="21.9" customHeight="1">
      <c r="A19" s="528" t="s">
        <v>32</v>
      </c>
      <c r="B19" s="528"/>
      <c r="C19" s="528"/>
      <c r="D19" s="52"/>
      <c r="E19" s="53"/>
      <c r="F19" s="54"/>
      <c r="G19" s="56">
        <v>3995</v>
      </c>
      <c r="H19" s="55" t="s">
        <v>1</v>
      </c>
      <c r="I19" s="57">
        <f>I18*G19</f>
        <v>2868130.3499999992</v>
      </c>
      <c r="J19" s="7"/>
    </row>
    <row r="20" spans="1:10" ht="18" customHeight="1">
      <c r="A20" s="33">
        <v>1</v>
      </c>
      <c r="B20" s="12" t="s">
        <v>76</v>
      </c>
      <c r="C20" s="13">
        <v>41218</v>
      </c>
      <c r="D20" s="26">
        <v>77</v>
      </c>
      <c r="E20" s="11" t="s">
        <v>50</v>
      </c>
      <c r="F20" s="10" t="s">
        <v>52</v>
      </c>
      <c r="G20" s="12" t="s">
        <v>76</v>
      </c>
      <c r="H20" s="13">
        <v>41218</v>
      </c>
      <c r="I20" s="26">
        <v>77</v>
      </c>
      <c r="J20" s="76" t="s">
        <v>735</v>
      </c>
    </row>
    <row r="21" spans="1:10" ht="18" customHeight="1">
      <c r="A21" s="33">
        <v>2</v>
      </c>
      <c r="B21" s="12" t="s">
        <v>77</v>
      </c>
      <c r="C21" s="13">
        <v>41225</v>
      </c>
      <c r="D21" s="26">
        <v>115.89</v>
      </c>
      <c r="E21" s="11" t="s">
        <v>50</v>
      </c>
      <c r="F21" s="10" t="s">
        <v>52</v>
      </c>
      <c r="G21" s="12" t="s">
        <v>77</v>
      </c>
      <c r="H21" s="13">
        <v>41225</v>
      </c>
      <c r="I21" s="26">
        <v>115.89</v>
      </c>
      <c r="J21" s="76" t="s">
        <v>735</v>
      </c>
    </row>
    <row r="22" spans="1:10" ht="18" customHeight="1">
      <c r="A22" s="33">
        <v>3</v>
      </c>
      <c r="B22" s="12" t="s">
        <v>78</v>
      </c>
      <c r="C22" s="13">
        <v>41225</v>
      </c>
      <c r="D22" s="26">
        <v>82.91</v>
      </c>
      <c r="E22" s="11" t="s">
        <v>50</v>
      </c>
      <c r="F22" s="10" t="s">
        <v>52</v>
      </c>
      <c r="G22" s="12" t="s">
        <v>78</v>
      </c>
      <c r="H22" s="13">
        <v>41225</v>
      </c>
      <c r="I22" s="26">
        <v>82.91</v>
      </c>
      <c r="J22" s="76" t="s">
        <v>735</v>
      </c>
    </row>
    <row r="23" spans="1:10" ht="18" customHeight="1">
      <c r="A23" s="33">
        <v>4</v>
      </c>
      <c r="B23" s="12" t="s">
        <v>80</v>
      </c>
      <c r="C23" s="13">
        <v>41232</v>
      </c>
      <c r="D23" s="26">
        <v>55.32</v>
      </c>
      <c r="E23" s="11" t="s">
        <v>50</v>
      </c>
      <c r="F23" s="10" t="s">
        <v>52</v>
      </c>
      <c r="G23" s="12" t="s">
        <v>80</v>
      </c>
      <c r="H23" s="13">
        <v>41232</v>
      </c>
      <c r="I23" s="26">
        <v>55.32</v>
      </c>
      <c r="J23" s="76" t="s">
        <v>735</v>
      </c>
    </row>
    <row r="24" spans="1:10" ht="18" customHeight="1">
      <c r="A24" s="33">
        <v>5</v>
      </c>
      <c r="B24" s="12" t="s">
        <v>81</v>
      </c>
      <c r="C24" s="13">
        <v>41232</v>
      </c>
      <c r="D24" s="26">
        <v>32.03</v>
      </c>
      <c r="E24" s="11" t="s">
        <v>50</v>
      </c>
      <c r="F24" s="10" t="s">
        <v>52</v>
      </c>
      <c r="G24" s="12" t="s">
        <v>81</v>
      </c>
      <c r="H24" s="13">
        <v>41232</v>
      </c>
      <c r="I24" s="26">
        <v>32.03</v>
      </c>
      <c r="J24" s="76" t="s">
        <v>735</v>
      </c>
    </row>
    <row r="25" spans="1:10" ht="18" customHeight="1">
      <c r="A25" s="528" t="s">
        <v>27</v>
      </c>
      <c r="B25" s="528"/>
      <c r="C25" s="528"/>
      <c r="D25" s="52">
        <f>SUM(D20:D24)</f>
        <v>363.15</v>
      </c>
      <c r="E25" s="53"/>
      <c r="F25" s="54"/>
      <c r="G25" s="54"/>
      <c r="H25" s="55" t="s">
        <v>0</v>
      </c>
      <c r="I25" s="52">
        <f>SUM(I20:I24)</f>
        <v>363.15</v>
      </c>
      <c r="J25" s="7"/>
    </row>
    <row r="26" spans="1:10" ht="21.9" customHeight="1">
      <c r="A26" s="528" t="s">
        <v>27</v>
      </c>
      <c r="B26" s="528"/>
      <c r="C26" s="528"/>
      <c r="D26" s="52"/>
      <c r="E26" s="53"/>
      <c r="F26" s="54"/>
      <c r="G26" s="56">
        <v>3999</v>
      </c>
      <c r="H26" s="55" t="s">
        <v>1</v>
      </c>
      <c r="I26" s="57">
        <f>I25*G26</f>
        <v>1452236.8499999999</v>
      </c>
      <c r="J26" s="7"/>
    </row>
    <row r="27" spans="1:10" ht="18" customHeight="1">
      <c r="A27" s="33">
        <v>1</v>
      </c>
      <c r="B27" s="12" t="s">
        <v>83</v>
      </c>
      <c r="C27" s="13">
        <v>41183</v>
      </c>
      <c r="D27" s="26">
        <v>89.93</v>
      </c>
      <c r="E27" s="11" t="s">
        <v>50</v>
      </c>
      <c r="F27" s="10" t="s">
        <v>52</v>
      </c>
      <c r="G27" s="12" t="s">
        <v>83</v>
      </c>
      <c r="H27" s="13">
        <v>41183</v>
      </c>
      <c r="I27" s="26">
        <v>89.93</v>
      </c>
      <c r="J27" s="76" t="s">
        <v>735</v>
      </c>
    </row>
    <row r="28" spans="1:10" ht="18" customHeight="1">
      <c r="A28" s="33">
        <v>2</v>
      </c>
      <c r="B28" s="12" t="s">
        <v>84</v>
      </c>
      <c r="C28" s="13">
        <v>41190</v>
      </c>
      <c r="D28" s="26">
        <v>49.63</v>
      </c>
      <c r="E28" s="11" t="s">
        <v>50</v>
      </c>
      <c r="F28" s="10" t="s">
        <v>52</v>
      </c>
      <c r="G28" s="12" t="s">
        <v>84</v>
      </c>
      <c r="H28" s="13">
        <v>41190</v>
      </c>
      <c r="I28" s="26">
        <v>49.63</v>
      </c>
      <c r="J28" s="76" t="s">
        <v>735</v>
      </c>
    </row>
    <row r="29" spans="1:10" ht="18" customHeight="1">
      <c r="A29" s="33">
        <v>3</v>
      </c>
      <c r="B29" s="12" t="s">
        <v>89</v>
      </c>
      <c r="C29" s="13">
        <v>41197</v>
      </c>
      <c r="D29" s="26">
        <v>115.81</v>
      </c>
      <c r="E29" s="11" t="s">
        <v>50</v>
      </c>
      <c r="F29" s="10" t="s">
        <v>52</v>
      </c>
      <c r="G29" s="12" t="s">
        <v>89</v>
      </c>
      <c r="H29" s="13">
        <v>41197</v>
      </c>
      <c r="I29" s="26">
        <v>115.81</v>
      </c>
      <c r="J29" s="76" t="s">
        <v>735</v>
      </c>
    </row>
    <row r="30" spans="1:10" ht="18" customHeight="1">
      <c r="A30" s="33">
        <v>4</v>
      </c>
      <c r="B30" s="12" t="s">
        <v>91</v>
      </c>
      <c r="C30" s="13">
        <v>41204</v>
      </c>
      <c r="D30" s="26">
        <v>101.98</v>
      </c>
      <c r="E30" s="11" t="s">
        <v>50</v>
      </c>
      <c r="F30" s="10" t="s">
        <v>52</v>
      </c>
      <c r="G30" s="12" t="s">
        <v>91</v>
      </c>
      <c r="H30" s="13">
        <v>41204</v>
      </c>
      <c r="I30" s="26">
        <v>101.98</v>
      </c>
      <c r="J30" s="76" t="s">
        <v>735</v>
      </c>
    </row>
    <row r="31" spans="1:10" ht="18" customHeight="1">
      <c r="A31" s="33">
        <v>5</v>
      </c>
      <c r="B31" s="12" t="s">
        <v>93</v>
      </c>
      <c r="C31" s="46">
        <v>41211</v>
      </c>
      <c r="D31" s="26">
        <v>67.28</v>
      </c>
      <c r="E31" s="11" t="s">
        <v>50</v>
      </c>
      <c r="F31" s="10" t="s">
        <v>52</v>
      </c>
      <c r="G31" s="12" t="s">
        <v>93</v>
      </c>
      <c r="H31" s="46">
        <v>41211</v>
      </c>
      <c r="I31" s="26">
        <v>67.28</v>
      </c>
      <c r="J31" s="76" t="s">
        <v>735</v>
      </c>
    </row>
    <row r="32" spans="1:10" ht="18" customHeight="1">
      <c r="A32" s="528" t="s">
        <v>31</v>
      </c>
      <c r="B32" s="528"/>
      <c r="C32" s="528"/>
      <c r="D32" s="52">
        <f>SUM(D27:D31)</f>
        <v>424.63</v>
      </c>
      <c r="E32" s="53"/>
      <c r="F32" s="54"/>
      <c r="G32" s="54"/>
      <c r="H32" s="55" t="s">
        <v>0</v>
      </c>
      <c r="I32" s="52">
        <f>SUM(I27:I31)</f>
        <v>424.63</v>
      </c>
      <c r="J32" s="7"/>
    </row>
    <row r="33" spans="1:10" ht="21.9" customHeight="1">
      <c r="A33" s="528" t="s">
        <v>31</v>
      </c>
      <c r="B33" s="528"/>
      <c r="C33" s="528"/>
      <c r="D33" s="52"/>
      <c r="E33" s="53"/>
      <c r="F33" s="54"/>
      <c r="G33" s="56">
        <v>4028</v>
      </c>
      <c r="H33" s="55" t="s">
        <v>1</v>
      </c>
      <c r="I33" s="57">
        <f>I32*G33</f>
        <v>1710409.64</v>
      </c>
      <c r="J33" s="7"/>
    </row>
    <row r="34" spans="1:10" ht="18" customHeight="1">
      <c r="A34" s="33">
        <v>1</v>
      </c>
      <c r="B34" s="12" t="s">
        <v>97</v>
      </c>
      <c r="C34" s="13">
        <v>41162</v>
      </c>
      <c r="D34" s="26">
        <v>206.96</v>
      </c>
      <c r="E34" s="11" t="s">
        <v>50</v>
      </c>
      <c r="F34" s="10" t="s">
        <v>52</v>
      </c>
      <c r="G34" s="12" t="s">
        <v>97</v>
      </c>
      <c r="H34" s="13">
        <v>41162</v>
      </c>
      <c r="I34" s="26">
        <v>206.96</v>
      </c>
      <c r="J34" s="76" t="s">
        <v>735</v>
      </c>
    </row>
    <row r="35" spans="1:10" ht="18" customHeight="1">
      <c r="A35" s="33">
        <v>2</v>
      </c>
      <c r="B35" s="12" t="s">
        <v>100</v>
      </c>
      <c r="C35" s="13">
        <v>41169</v>
      </c>
      <c r="D35" s="26">
        <v>69.7</v>
      </c>
      <c r="E35" s="11" t="s">
        <v>50</v>
      </c>
      <c r="F35" s="10" t="s">
        <v>52</v>
      </c>
      <c r="G35" s="12" t="s">
        <v>100</v>
      </c>
      <c r="H35" s="13">
        <v>41169</v>
      </c>
      <c r="I35" s="26">
        <v>69.7</v>
      </c>
      <c r="J35" s="76" t="s">
        <v>735</v>
      </c>
    </row>
    <row r="36" spans="1:10" ht="18" customHeight="1">
      <c r="A36" s="33">
        <v>3</v>
      </c>
      <c r="B36" s="12" t="s">
        <v>103</v>
      </c>
      <c r="C36" s="13">
        <v>41176</v>
      </c>
      <c r="D36" s="26">
        <v>46.66</v>
      </c>
      <c r="E36" s="11" t="s">
        <v>50</v>
      </c>
      <c r="F36" s="10" t="s">
        <v>52</v>
      </c>
      <c r="G36" s="12" t="s">
        <v>103</v>
      </c>
      <c r="H36" s="13">
        <v>41176</v>
      </c>
      <c r="I36" s="26">
        <v>46.66</v>
      </c>
      <c r="J36" s="76" t="s">
        <v>735</v>
      </c>
    </row>
    <row r="37" spans="1:10" ht="18" customHeight="1">
      <c r="A37" s="528" t="s">
        <v>30</v>
      </c>
      <c r="B37" s="528"/>
      <c r="C37" s="528"/>
      <c r="D37" s="52">
        <f>SUM(D34:D36)</f>
        <v>323.32000000000005</v>
      </c>
      <c r="E37" s="53"/>
      <c r="F37" s="54"/>
      <c r="G37" s="54"/>
      <c r="H37" s="55" t="s">
        <v>0</v>
      </c>
      <c r="I37" s="52">
        <f>SUM(I34:I36)</f>
        <v>323.32000000000005</v>
      </c>
      <c r="J37" s="7"/>
    </row>
    <row r="38" spans="1:10" ht="21.9" customHeight="1">
      <c r="A38" s="528" t="s">
        <v>30</v>
      </c>
      <c r="B38" s="528"/>
      <c r="C38" s="528"/>
      <c r="D38" s="52"/>
      <c r="E38" s="53"/>
      <c r="F38" s="54"/>
      <c r="G38" s="56">
        <v>4044</v>
      </c>
      <c r="H38" s="55" t="s">
        <v>1</v>
      </c>
      <c r="I38" s="57">
        <f>I37*G38</f>
        <v>1307506.0800000003</v>
      </c>
      <c r="J38" s="7"/>
    </row>
    <row r="39" spans="1:10" ht="18" customHeight="1">
      <c r="A39" s="60">
        <v>1</v>
      </c>
      <c r="B39" s="12" t="s">
        <v>109</v>
      </c>
      <c r="C39" s="46">
        <v>41127</v>
      </c>
      <c r="D39" s="26">
        <v>37.840000000000003</v>
      </c>
      <c r="E39" s="11" t="s">
        <v>50</v>
      </c>
      <c r="F39" s="10" t="s">
        <v>52</v>
      </c>
      <c r="G39" s="12" t="s">
        <v>109</v>
      </c>
      <c r="H39" s="46">
        <v>41127</v>
      </c>
      <c r="I39" s="26">
        <v>37.840000000000003</v>
      </c>
      <c r="J39" s="76" t="s">
        <v>735</v>
      </c>
    </row>
    <row r="40" spans="1:10" ht="18" customHeight="1">
      <c r="A40" s="33">
        <v>2</v>
      </c>
      <c r="B40" s="12" t="s">
        <v>111</v>
      </c>
      <c r="C40" s="13">
        <v>41134</v>
      </c>
      <c r="D40" s="26">
        <v>95.46</v>
      </c>
      <c r="E40" s="11" t="s">
        <v>50</v>
      </c>
      <c r="F40" s="10" t="s">
        <v>52</v>
      </c>
      <c r="G40" s="12" t="s">
        <v>111</v>
      </c>
      <c r="H40" s="13">
        <v>41134</v>
      </c>
      <c r="I40" s="26">
        <v>95.46</v>
      </c>
      <c r="J40" s="76" t="s">
        <v>735</v>
      </c>
    </row>
    <row r="41" spans="1:10" ht="18" customHeight="1">
      <c r="A41" s="33">
        <v>3</v>
      </c>
      <c r="B41" s="12" t="s">
        <v>113</v>
      </c>
      <c r="C41" s="13">
        <v>41141</v>
      </c>
      <c r="D41" s="26">
        <v>106.66</v>
      </c>
      <c r="E41" s="11" t="s">
        <v>50</v>
      </c>
      <c r="F41" s="10" t="s">
        <v>52</v>
      </c>
      <c r="G41" s="12" t="s">
        <v>113</v>
      </c>
      <c r="H41" s="13">
        <v>41141</v>
      </c>
      <c r="I41" s="26">
        <v>106.66</v>
      </c>
      <c r="J41" s="76" t="s">
        <v>735</v>
      </c>
    </row>
    <row r="42" spans="1:10" ht="18" customHeight="1">
      <c r="A42" s="33">
        <v>4</v>
      </c>
      <c r="B42" s="12" t="s">
        <v>115</v>
      </c>
      <c r="C42" s="13">
        <v>41148</v>
      </c>
      <c r="D42" s="26">
        <v>32.799999999999997</v>
      </c>
      <c r="E42" s="11" t="s">
        <v>50</v>
      </c>
      <c r="F42" s="10" t="s">
        <v>52</v>
      </c>
      <c r="G42" s="12" t="s">
        <v>115</v>
      </c>
      <c r="H42" s="13">
        <v>41148</v>
      </c>
      <c r="I42" s="26">
        <v>32.799999999999997</v>
      </c>
      <c r="J42" s="76" t="s">
        <v>735</v>
      </c>
    </row>
    <row r="43" spans="1:10" ht="18" customHeight="1">
      <c r="A43" s="528" t="s">
        <v>29</v>
      </c>
      <c r="B43" s="528"/>
      <c r="C43" s="528"/>
      <c r="D43" s="52">
        <f>SUM(D39:D42)</f>
        <v>272.76</v>
      </c>
      <c r="E43" s="53"/>
      <c r="F43" s="54"/>
      <c r="G43" s="54"/>
      <c r="H43" s="55" t="s">
        <v>0</v>
      </c>
      <c r="I43" s="52">
        <f>SUM(I39:I42)</f>
        <v>272.76</v>
      </c>
      <c r="J43" s="7"/>
    </row>
    <row r="44" spans="1:10" ht="21.9" customHeight="1">
      <c r="A44" s="528" t="s">
        <v>29</v>
      </c>
      <c r="B44" s="528"/>
      <c r="C44" s="528"/>
      <c r="D44" s="52"/>
      <c r="E44" s="53"/>
      <c r="F44" s="54"/>
      <c r="G44" s="56">
        <v>4053</v>
      </c>
      <c r="H44" s="55" t="s">
        <v>1</v>
      </c>
      <c r="I44" s="57">
        <f>I43*G44</f>
        <v>1105496.28</v>
      </c>
      <c r="J44" s="7"/>
    </row>
    <row r="45" spans="1:10" ht="18" customHeight="1">
      <c r="A45" s="60">
        <v>1</v>
      </c>
      <c r="B45" s="12" t="s">
        <v>116</v>
      </c>
      <c r="C45" s="13">
        <v>41092</v>
      </c>
      <c r="D45" s="26">
        <v>29.26</v>
      </c>
      <c r="E45" s="11" t="s">
        <v>50</v>
      </c>
      <c r="F45" s="10" t="s">
        <v>52</v>
      </c>
      <c r="G45" s="12" t="s">
        <v>116</v>
      </c>
      <c r="H45" s="13">
        <v>41092</v>
      </c>
      <c r="I45" s="26">
        <v>29.26</v>
      </c>
      <c r="J45" s="76" t="s">
        <v>735</v>
      </c>
    </row>
    <row r="46" spans="1:10" ht="18" customHeight="1">
      <c r="A46" s="60">
        <v>2</v>
      </c>
      <c r="B46" s="12" t="s">
        <v>117</v>
      </c>
      <c r="C46" s="13">
        <v>41099</v>
      </c>
      <c r="D46" s="26">
        <v>24.66</v>
      </c>
      <c r="E46" s="11" t="s">
        <v>50</v>
      </c>
      <c r="F46" s="10" t="s">
        <v>52</v>
      </c>
      <c r="G46" s="12" t="s">
        <v>117</v>
      </c>
      <c r="H46" s="13">
        <v>41099</v>
      </c>
      <c r="I46" s="26">
        <v>24.66</v>
      </c>
      <c r="J46" s="76" t="s">
        <v>735</v>
      </c>
    </row>
    <row r="47" spans="1:10" ht="18" customHeight="1">
      <c r="A47" s="60">
        <v>3</v>
      </c>
      <c r="B47" s="12" t="s">
        <v>120</v>
      </c>
      <c r="C47" s="13">
        <v>41106</v>
      </c>
      <c r="D47" s="26">
        <v>31.02</v>
      </c>
      <c r="E47" s="11" t="s">
        <v>50</v>
      </c>
      <c r="F47" s="10" t="s">
        <v>52</v>
      </c>
      <c r="G47" s="12" t="s">
        <v>120</v>
      </c>
      <c r="H47" s="13">
        <v>41106</v>
      </c>
      <c r="I47" s="26">
        <v>31.02</v>
      </c>
      <c r="J47" s="76" t="s">
        <v>735</v>
      </c>
    </row>
    <row r="48" spans="1:10" ht="18" customHeight="1">
      <c r="A48" s="60">
        <v>4</v>
      </c>
      <c r="B48" s="12" t="s">
        <v>122</v>
      </c>
      <c r="C48" s="13">
        <v>41113</v>
      </c>
      <c r="D48" s="26">
        <v>209.58</v>
      </c>
      <c r="E48" s="11" t="s">
        <v>50</v>
      </c>
      <c r="F48" s="10" t="s">
        <v>52</v>
      </c>
      <c r="G48" s="12" t="s">
        <v>122</v>
      </c>
      <c r="H48" s="13">
        <v>41113</v>
      </c>
      <c r="I48" s="26">
        <v>209.58</v>
      </c>
      <c r="J48" s="76" t="s">
        <v>735</v>
      </c>
    </row>
    <row r="49" spans="1:10" ht="18" customHeight="1">
      <c r="A49" s="60">
        <v>5</v>
      </c>
      <c r="B49" s="12" t="s">
        <v>125</v>
      </c>
      <c r="C49" s="13">
        <v>41115</v>
      </c>
      <c r="D49" s="26">
        <v>66.92</v>
      </c>
      <c r="E49" s="11" t="s">
        <v>50</v>
      </c>
      <c r="F49" s="10" t="s">
        <v>52</v>
      </c>
      <c r="G49" s="12" t="s">
        <v>125</v>
      </c>
      <c r="H49" s="13">
        <v>41115</v>
      </c>
      <c r="I49" s="26">
        <v>66.92</v>
      </c>
      <c r="J49" s="76" t="s">
        <v>735</v>
      </c>
    </row>
    <row r="50" spans="1:10" ht="18" customHeight="1">
      <c r="A50" s="60">
        <v>6</v>
      </c>
      <c r="B50" s="12" t="s">
        <v>126</v>
      </c>
      <c r="C50" s="13">
        <v>41120</v>
      </c>
      <c r="D50" s="26">
        <v>73.23</v>
      </c>
      <c r="E50" s="11" t="s">
        <v>50</v>
      </c>
      <c r="F50" s="10" t="s">
        <v>52</v>
      </c>
      <c r="G50" s="12" t="s">
        <v>126</v>
      </c>
      <c r="H50" s="13">
        <v>41120</v>
      </c>
      <c r="I50" s="26">
        <v>73.23</v>
      </c>
      <c r="J50" s="76" t="s">
        <v>735</v>
      </c>
    </row>
    <row r="51" spans="1:10" ht="18" customHeight="1">
      <c r="A51" s="60">
        <v>7</v>
      </c>
      <c r="B51" s="12" t="s">
        <v>127</v>
      </c>
      <c r="C51" s="13">
        <v>41120</v>
      </c>
      <c r="D51" s="26">
        <v>27.84</v>
      </c>
      <c r="E51" s="11" t="s">
        <v>50</v>
      </c>
      <c r="F51" s="10" t="s">
        <v>52</v>
      </c>
      <c r="G51" s="12" t="s">
        <v>127</v>
      </c>
      <c r="H51" s="13">
        <v>41120</v>
      </c>
      <c r="I51" s="26">
        <v>27.84</v>
      </c>
      <c r="J51" s="76" t="s">
        <v>735</v>
      </c>
    </row>
    <row r="52" spans="1:10" ht="18" customHeight="1">
      <c r="A52" s="528" t="s">
        <v>28</v>
      </c>
      <c r="B52" s="528"/>
      <c r="C52" s="528"/>
      <c r="D52" s="52">
        <f>SUM(D45:D51)</f>
        <v>462.51</v>
      </c>
      <c r="E52" s="53"/>
      <c r="F52" s="54"/>
      <c r="G52" s="54"/>
      <c r="H52" s="55" t="s">
        <v>0</v>
      </c>
      <c r="I52" s="52">
        <f>SUM(I45:I51)</f>
        <v>462.51</v>
      </c>
      <c r="J52" s="7"/>
    </row>
    <row r="53" spans="1:10" ht="21.9" customHeight="1">
      <c r="A53" s="528" t="s">
        <v>28</v>
      </c>
      <c r="B53" s="528"/>
      <c r="C53" s="528"/>
      <c r="D53" s="52"/>
      <c r="E53" s="53"/>
      <c r="F53" s="54"/>
      <c r="G53" s="56">
        <v>4073</v>
      </c>
      <c r="H53" s="55" t="s">
        <v>1</v>
      </c>
      <c r="I53" s="57">
        <f>I52*G53</f>
        <v>1883803.23</v>
      </c>
      <c r="J53" s="7"/>
    </row>
    <row r="54" spans="1:10" ht="18" customHeight="1">
      <c r="A54" s="60">
        <v>1</v>
      </c>
      <c r="B54" s="39" t="s">
        <v>129</v>
      </c>
      <c r="C54" s="18">
        <v>41267</v>
      </c>
      <c r="D54" s="27">
        <v>53.34</v>
      </c>
      <c r="E54" s="11" t="s">
        <v>50</v>
      </c>
      <c r="F54" s="16" t="s">
        <v>52</v>
      </c>
      <c r="G54" s="39" t="s">
        <v>129</v>
      </c>
      <c r="H54" s="48">
        <v>41267</v>
      </c>
      <c r="I54" s="27">
        <v>53.34</v>
      </c>
      <c r="J54" s="74" t="s">
        <v>735</v>
      </c>
    </row>
    <row r="55" spans="1:10" ht="18" customHeight="1">
      <c r="A55" s="60">
        <v>2</v>
      </c>
      <c r="B55" s="39" t="s">
        <v>130</v>
      </c>
      <c r="C55" s="18">
        <v>41267</v>
      </c>
      <c r="D55" s="27">
        <v>63.05</v>
      </c>
      <c r="E55" s="11" t="s">
        <v>50</v>
      </c>
      <c r="F55" s="16" t="s">
        <v>52</v>
      </c>
      <c r="G55" s="39" t="s">
        <v>130</v>
      </c>
      <c r="H55" s="48">
        <v>41267</v>
      </c>
      <c r="I55" s="27">
        <v>63.05</v>
      </c>
      <c r="J55" s="74" t="s">
        <v>735</v>
      </c>
    </row>
    <row r="56" spans="1:10" ht="18" customHeight="1">
      <c r="A56" s="60">
        <v>3</v>
      </c>
      <c r="B56" s="39" t="s">
        <v>134</v>
      </c>
      <c r="C56" s="18">
        <v>41281</v>
      </c>
      <c r="D56" s="27">
        <v>81</v>
      </c>
      <c r="E56" s="11" t="s">
        <v>50</v>
      </c>
      <c r="F56" s="16" t="s">
        <v>52</v>
      </c>
      <c r="G56" s="39" t="s">
        <v>134</v>
      </c>
      <c r="H56" s="48">
        <v>41281</v>
      </c>
      <c r="I56" s="27">
        <v>81</v>
      </c>
      <c r="J56" s="74" t="s">
        <v>735</v>
      </c>
    </row>
    <row r="57" spans="1:10" ht="18" customHeight="1">
      <c r="A57" s="60">
        <v>4</v>
      </c>
      <c r="B57" s="39" t="s">
        <v>135</v>
      </c>
      <c r="C57" s="18">
        <v>41281</v>
      </c>
      <c r="D57" s="27">
        <v>335.98</v>
      </c>
      <c r="E57" s="11" t="s">
        <v>50</v>
      </c>
      <c r="F57" s="10" t="s">
        <v>52</v>
      </c>
      <c r="G57" s="39" t="s">
        <v>135</v>
      </c>
      <c r="H57" s="48">
        <v>41281</v>
      </c>
      <c r="I57" s="27">
        <v>335.98</v>
      </c>
      <c r="J57" s="74" t="s">
        <v>735</v>
      </c>
    </row>
    <row r="58" spans="1:10" ht="18" customHeight="1">
      <c r="A58" s="60">
        <v>5</v>
      </c>
      <c r="B58" s="39" t="s">
        <v>138</v>
      </c>
      <c r="C58" s="48">
        <v>41282</v>
      </c>
      <c r="D58" s="27">
        <v>10</v>
      </c>
      <c r="E58" s="11" t="s">
        <v>50</v>
      </c>
      <c r="F58" s="16" t="s">
        <v>52</v>
      </c>
      <c r="G58" s="39" t="s">
        <v>138</v>
      </c>
      <c r="H58" s="48">
        <v>41282</v>
      </c>
      <c r="I58" s="27">
        <v>10</v>
      </c>
      <c r="J58" s="74" t="s">
        <v>735</v>
      </c>
    </row>
    <row r="59" spans="1:10" ht="18" customHeight="1">
      <c r="A59" s="60">
        <v>6</v>
      </c>
      <c r="B59" s="39" t="s">
        <v>139</v>
      </c>
      <c r="C59" s="48">
        <v>41285</v>
      </c>
      <c r="D59" s="27">
        <v>7.2</v>
      </c>
      <c r="E59" s="11" t="s">
        <v>50</v>
      </c>
      <c r="F59" s="16" t="s">
        <v>52</v>
      </c>
      <c r="G59" s="39" t="s">
        <v>139</v>
      </c>
      <c r="H59" s="48">
        <v>41285</v>
      </c>
      <c r="I59" s="27">
        <v>7.2</v>
      </c>
      <c r="J59" s="74" t="s">
        <v>735</v>
      </c>
    </row>
    <row r="60" spans="1:10" ht="18" customHeight="1">
      <c r="A60" s="60">
        <v>7</v>
      </c>
      <c r="B60" s="39" t="s">
        <v>140</v>
      </c>
      <c r="C60" s="48">
        <v>41286</v>
      </c>
      <c r="D60" s="27">
        <v>217.03</v>
      </c>
      <c r="E60" s="11" t="s">
        <v>50</v>
      </c>
      <c r="F60" s="10" t="s">
        <v>52</v>
      </c>
      <c r="G60" s="39" t="s">
        <v>140</v>
      </c>
      <c r="H60" s="48">
        <v>41288</v>
      </c>
      <c r="I60" s="27">
        <v>217.03</v>
      </c>
      <c r="J60" s="74" t="s">
        <v>735</v>
      </c>
    </row>
    <row r="61" spans="1:10" ht="18" customHeight="1">
      <c r="A61" s="60">
        <v>8</v>
      </c>
      <c r="B61" s="39" t="s">
        <v>141</v>
      </c>
      <c r="C61" s="48">
        <v>41289</v>
      </c>
      <c r="D61" s="27">
        <v>10</v>
      </c>
      <c r="E61" s="11" t="s">
        <v>50</v>
      </c>
      <c r="F61" s="16" t="s">
        <v>52</v>
      </c>
      <c r="G61" s="39" t="s">
        <v>141</v>
      </c>
      <c r="H61" s="48">
        <v>41289</v>
      </c>
      <c r="I61" s="27">
        <v>10</v>
      </c>
      <c r="J61" s="74" t="s">
        <v>735</v>
      </c>
    </row>
    <row r="62" spans="1:10" ht="18" customHeight="1">
      <c r="A62" s="60">
        <v>9</v>
      </c>
      <c r="B62" s="39" t="s">
        <v>147</v>
      </c>
      <c r="C62" s="48">
        <v>41296</v>
      </c>
      <c r="D62" s="27">
        <v>25.25</v>
      </c>
      <c r="E62" s="11" t="s">
        <v>50</v>
      </c>
      <c r="F62" s="16" t="s">
        <v>52</v>
      </c>
      <c r="G62" s="39" t="s">
        <v>147</v>
      </c>
      <c r="H62" s="48">
        <v>41296</v>
      </c>
      <c r="I62" s="27">
        <v>25.25</v>
      </c>
      <c r="J62" s="74" t="s">
        <v>735</v>
      </c>
    </row>
    <row r="63" spans="1:10" ht="18" customHeight="1">
      <c r="A63" s="60">
        <v>10</v>
      </c>
      <c r="B63" s="39" t="s">
        <v>148</v>
      </c>
      <c r="C63" s="48">
        <v>41302</v>
      </c>
      <c r="D63" s="27">
        <v>357.23</v>
      </c>
      <c r="E63" s="11" t="s">
        <v>50</v>
      </c>
      <c r="F63" s="10" t="s">
        <v>52</v>
      </c>
      <c r="G63" s="39" t="s">
        <v>148</v>
      </c>
      <c r="H63" s="48">
        <v>41302</v>
      </c>
      <c r="I63" s="27">
        <v>357.23</v>
      </c>
      <c r="J63" s="74" t="s">
        <v>735</v>
      </c>
    </row>
    <row r="64" spans="1:10" ht="18" customHeight="1">
      <c r="A64" s="528" t="s">
        <v>33</v>
      </c>
      <c r="B64" s="528"/>
      <c r="C64" s="528"/>
      <c r="D64" s="58">
        <f>SUM(D54:D63)</f>
        <v>1160.08</v>
      </c>
      <c r="E64" s="53"/>
      <c r="F64" s="54"/>
      <c r="G64" s="59"/>
      <c r="H64" s="55" t="s">
        <v>0</v>
      </c>
      <c r="I64" s="58">
        <f>SUM(I54:I63)</f>
        <v>1160.08</v>
      </c>
      <c r="J64" s="7"/>
    </row>
    <row r="65" spans="1:10" ht="21.9" customHeight="1">
      <c r="A65" s="528" t="s">
        <v>33</v>
      </c>
      <c r="B65" s="528"/>
      <c r="C65" s="528"/>
      <c r="D65" s="58"/>
      <c r="E65" s="53"/>
      <c r="F65" s="54"/>
      <c r="G65" s="56">
        <v>3995</v>
      </c>
      <c r="H65" s="55" t="s">
        <v>1</v>
      </c>
      <c r="I65" s="57">
        <f>I64*G65</f>
        <v>4634519.5999999996</v>
      </c>
      <c r="J65" s="7"/>
    </row>
    <row r="66" spans="1:10" ht="18" customHeight="1">
      <c r="A66" s="60">
        <v>1</v>
      </c>
      <c r="B66" s="39" t="s">
        <v>157</v>
      </c>
      <c r="C66" s="48">
        <v>41310</v>
      </c>
      <c r="D66" s="27">
        <v>28.52</v>
      </c>
      <c r="E66" s="11" t="s">
        <v>50</v>
      </c>
      <c r="F66" s="16" t="s">
        <v>52</v>
      </c>
      <c r="G66" s="39" t="s">
        <v>157</v>
      </c>
      <c r="H66" s="48">
        <v>41310</v>
      </c>
      <c r="I66" s="27">
        <v>28.52</v>
      </c>
      <c r="J66" s="74" t="s">
        <v>735</v>
      </c>
    </row>
    <row r="67" spans="1:10" ht="18" customHeight="1">
      <c r="A67" s="33">
        <v>2</v>
      </c>
      <c r="B67" s="39" t="s">
        <v>158</v>
      </c>
      <c r="C67" s="48">
        <v>41310</v>
      </c>
      <c r="D67" s="27">
        <v>374.87</v>
      </c>
      <c r="E67" s="11" t="s">
        <v>50</v>
      </c>
      <c r="F67" s="10" t="s">
        <v>52</v>
      </c>
      <c r="G67" s="39" t="s">
        <v>158</v>
      </c>
      <c r="H67" s="48">
        <v>41310</v>
      </c>
      <c r="I67" s="27">
        <v>374.87</v>
      </c>
      <c r="J67" s="74" t="s">
        <v>735</v>
      </c>
    </row>
    <row r="68" spans="1:10" ht="18" customHeight="1">
      <c r="A68" s="60">
        <v>3</v>
      </c>
      <c r="B68" s="39" t="s">
        <v>162</v>
      </c>
      <c r="C68" s="48">
        <v>41312</v>
      </c>
      <c r="D68" s="27">
        <v>10</v>
      </c>
      <c r="E68" s="11" t="s">
        <v>50</v>
      </c>
      <c r="F68" s="16" t="s">
        <v>52</v>
      </c>
      <c r="G68" s="39" t="s">
        <v>162</v>
      </c>
      <c r="H68" s="48">
        <v>41312</v>
      </c>
      <c r="I68" s="27">
        <v>10</v>
      </c>
      <c r="J68" s="74" t="s">
        <v>735</v>
      </c>
    </row>
    <row r="69" spans="1:10" ht="18" customHeight="1">
      <c r="A69" s="33">
        <v>4</v>
      </c>
      <c r="B69" s="39" t="s">
        <v>163</v>
      </c>
      <c r="C69" s="48">
        <v>41316</v>
      </c>
      <c r="D69" s="27">
        <v>115</v>
      </c>
      <c r="E69" s="11" t="s">
        <v>50</v>
      </c>
      <c r="F69" s="10" t="s">
        <v>52</v>
      </c>
      <c r="G69" s="39" t="s">
        <v>163</v>
      </c>
      <c r="H69" s="48">
        <v>41316</v>
      </c>
      <c r="I69" s="27">
        <v>115</v>
      </c>
      <c r="J69" s="74" t="s">
        <v>735</v>
      </c>
    </row>
    <row r="70" spans="1:10" ht="18" customHeight="1">
      <c r="A70" s="60">
        <v>5</v>
      </c>
      <c r="B70" s="39" t="s">
        <v>164</v>
      </c>
      <c r="C70" s="48">
        <v>41317</v>
      </c>
      <c r="D70" s="27">
        <v>4</v>
      </c>
      <c r="E70" s="11" t="s">
        <v>50</v>
      </c>
      <c r="F70" s="16" t="s">
        <v>52</v>
      </c>
      <c r="G70" s="39" t="s">
        <v>164</v>
      </c>
      <c r="H70" s="48">
        <v>41317</v>
      </c>
      <c r="I70" s="27">
        <v>4</v>
      </c>
      <c r="J70" s="74" t="s">
        <v>735</v>
      </c>
    </row>
    <row r="71" spans="1:10" ht="18" customHeight="1">
      <c r="A71" s="33">
        <v>6</v>
      </c>
      <c r="B71" s="39" t="s">
        <v>166</v>
      </c>
      <c r="C71" s="48">
        <v>41323</v>
      </c>
      <c r="D71" s="27">
        <v>266.83</v>
      </c>
      <c r="E71" s="11" t="s">
        <v>50</v>
      </c>
      <c r="F71" s="10" t="s">
        <v>52</v>
      </c>
      <c r="G71" s="39" t="s">
        <v>166</v>
      </c>
      <c r="H71" s="48">
        <v>41323</v>
      </c>
      <c r="I71" s="27">
        <v>266.83</v>
      </c>
      <c r="J71" s="74" t="s">
        <v>735</v>
      </c>
    </row>
    <row r="72" spans="1:10" ht="18" customHeight="1">
      <c r="A72" s="60">
        <v>7</v>
      </c>
      <c r="B72" s="39" t="s">
        <v>171</v>
      </c>
      <c r="C72" s="48">
        <v>41326</v>
      </c>
      <c r="D72" s="27">
        <v>20</v>
      </c>
      <c r="E72" s="11" t="s">
        <v>50</v>
      </c>
      <c r="F72" s="16" t="s">
        <v>52</v>
      </c>
      <c r="G72" s="39" t="s">
        <v>171</v>
      </c>
      <c r="H72" s="48">
        <v>41326</v>
      </c>
      <c r="I72" s="27">
        <v>20</v>
      </c>
      <c r="J72" s="74" t="s">
        <v>735</v>
      </c>
    </row>
    <row r="73" spans="1:10" ht="18" customHeight="1">
      <c r="A73" s="33">
        <v>8</v>
      </c>
      <c r="B73" s="39" t="s">
        <v>175</v>
      </c>
      <c r="C73" s="48">
        <v>41331</v>
      </c>
      <c r="D73" s="27">
        <v>142.19</v>
      </c>
      <c r="E73" s="11" t="s">
        <v>50</v>
      </c>
      <c r="F73" s="10" t="s">
        <v>52</v>
      </c>
      <c r="G73" s="39" t="s">
        <v>175</v>
      </c>
      <c r="H73" s="48">
        <v>41331</v>
      </c>
      <c r="I73" s="27">
        <v>142.19</v>
      </c>
      <c r="J73" s="74" t="s">
        <v>735</v>
      </c>
    </row>
    <row r="74" spans="1:10" ht="18" customHeight="1">
      <c r="A74" s="528" t="s">
        <v>34</v>
      </c>
      <c r="B74" s="528"/>
      <c r="C74" s="528"/>
      <c r="D74" s="58">
        <f>SUM(D66:D73)</f>
        <v>961.41000000000008</v>
      </c>
      <c r="E74" s="53"/>
      <c r="F74" s="54"/>
      <c r="G74" s="59"/>
      <c r="H74" s="55" t="s">
        <v>0</v>
      </c>
      <c r="I74" s="58">
        <f>SUM(I66:I73)</f>
        <v>961.41000000000008</v>
      </c>
      <c r="J74" s="7"/>
    </row>
    <row r="75" spans="1:10" ht="21.9" customHeight="1">
      <c r="A75" s="528" t="s">
        <v>34</v>
      </c>
      <c r="B75" s="528"/>
      <c r="C75" s="528"/>
      <c r="D75" s="58"/>
      <c r="E75" s="53"/>
      <c r="F75" s="54"/>
      <c r="G75" s="61">
        <v>3995</v>
      </c>
      <c r="H75" s="55" t="s">
        <v>1</v>
      </c>
      <c r="I75" s="57">
        <f>I74*G75</f>
        <v>3840832.95</v>
      </c>
      <c r="J75" s="7"/>
    </row>
    <row r="76" spans="1:10" ht="18" customHeight="1">
      <c r="A76" s="33">
        <v>1</v>
      </c>
      <c r="B76" s="39" t="s">
        <v>178</v>
      </c>
      <c r="C76" s="48">
        <v>41337</v>
      </c>
      <c r="D76" s="27">
        <v>115.18</v>
      </c>
      <c r="E76" s="11" t="s">
        <v>50</v>
      </c>
      <c r="F76" s="10" t="s">
        <v>52</v>
      </c>
      <c r="G76" s="39" t="s">
        <v>178</v>
      </c>
      <c r="H76" s="48">
        <v>41337</v>
      </c>
      <c r="I76" s="27">
        <v>115.18</v>
      </c>
      <c r="J76" s="74" t="s">
        <v>735</v>
      </c>
    </row>
    <row r="77" spans="1:10" ht="18" customHeight="1">
      <c r="A77" s="33">
        <v>2</v>
      </c>
      <c r="B77" s="39" t="s">
        <v>179</v>
      </c>
      <c r="C77" s="48">
        <v>41337</v>
      </c>
      <c r="D77" s="27">
        <v>107.71</v>
      </c>
      <c r="E77" s="11" t="s">
        <v>50</v>
      </c>
      <c r="F77" s="10" t="s">
        <v>52</v>
      </c>
      <c r="G77" s="39" t="s">
        <v>179</v>
      </c>
      <c r="H77" s="48">
        <v>41337</v>
      </c>
      <c r="I77" s="27">
        <v>107.71</v>
      </c>
      <c r="J77" s="74" t="s">
        <v>735</v>
      </c>
    </row>
    <row r="78" spans="1:10" ht="18" customHeight="1">
      <c r="A78" s="33">
        <v>3</v>
      </c>
      <c r="B78" s="39" t="s">
        <v>181</v>
      </c>
      <c r="C78" s="48">
        <v>41344</v>
      </c>
      <c r="D78" s="27">
        <v>109.81</v>
      </c>
      <c r="E78" s="11" t="s">
        <v>50</v>
      </c>
      <c r="F78" s="10" t="s">
        <v>52</v>
      </c>
      <c r="G78" s="39" t="s">
        <v>181</v>
      </c>
      <c r="H78" s="48">
        <v>41344</v>
      </c>
      <c r="I78" s="27">
        <v>109.81</v>
      </c>
      <c r="J78" s="74" t="s">
        <v>735</v>
      </c>
    </row>
    <row r="79" spans="1:10" ht="18" customHeight="1">
      <c r="A79" s="33">
        <v>4</v>
      </c>
      <c r="B79" s="39" t="s">
        <v>725</v>
      </c>
      <c r="C79" s="48">
        <v>41351</v>
      </c>
      <c r="D79" s="27">
        <v>307.83999999999997</v>
      </c>
      <c r="E79" s="11" t="s">
        <v>50</v>
      </c>
      <c r="F79" s="10" t="s">
        <v>52</v>
      </c>
      <c r="G79" s="39" t="s">
        <v>725</v>
      </c>
      <c r="H79" s="48">
        <v>41351</v>
      </c>
      <c r="I79" s="27">
        <v>307.83999999999997</v>
      </c>
      <c r="J79" s="74" t="s">
        <v>735</v>
      </c>
    </row>
    <row r="80" spans="1:10" ht="18" customHeight="1">
      <c r="A80" s="33">
        <v>5</v>
      </c>
      <c r="B80" s="39" t="s">
        <v>189</v>
      </c>
      <c r="C80" s="48">
        <v>41354</v>
      </c>
      <c r="D80" s="27">
        <v>8</v>
      </c>
      <c r="E80" s="11" t="s">
        <v>177</v>
      </c>
      <c r="F80" s="16" t="s">
        <v>52</v>
      </c>
      <c r="G80" s="39" t="s">
        <v>189</v>
      </c>
      <c r="H80" s="48">
        <v>41354</v>
      </c>
      <c r="I80" s="27">
        <v>8</v>
      </c>
      <c r="J80" s="74" t="s">
        <v>735</v>
      </c>
    </row>
    <row r="81" spans="1:10" ht="18" customHeight="1">
      <c r="A81" s="33">
        <v>6</v>
      </c>
      <c r="B81" s="39" t="s">
        <v>190</v>
      </c>
      <c r="C81" s="48">
        <v>41354</v>
      </c>
      <c r="D81" s="27">
        <v>10</v>
      </c>
      <c r="E81" s="11" t="s">
        <v>177</v>
      </c>
      <c r="F81" s="16" t="s">
        <v>52</v>
      </c>
      <c r="G81" s="39" t="s">
        <v>190</v>
      </c>
      <c r="H81" s="48">
        <v>41354</v>
      </c>
      <c r="I81" s="27">
        <v>10</v>
      </c>
      <c r="J81" s="74" t="s">
        <v>735</v>
      </c>
    </row>
    <row r="82" spans="1:10" ht="18" customHeight="1">
      <c r="A82" s="33">
        <v>7</v>
      </c>
      <c r="B82" s="39" t="s">
        <v>194</v>
      </c>
      <c r="C82" s="48">
        <v>41358</v>
      </c>
      <c r="D82" s="27">
        <v>190.8</v>
      </c>
      <c r="E82" s="11" t="s">
        <v>50</v>
      </c>
      <c r="F82" s="10" t="s">
        <v>52</v>
      </c>
      <c r="G82" s="39" t="s">
        <v>194</v>
      </c>
      <c r="H82" s="48">
        <v>41358</v>
      </c>
      <c r="I82" s="27">
        <v>190.8</v>
      </c>
      <c r="J82" s="74" t="s">
        <v>735</v>
      </c>
    </row>
    <row r="83" spans="1:10" ht="18" customHeight="1">
      <c r="A83" s="33">
        <v>8</v>
      </c>
      <c r="B83" s="39" t="s">
        <v>726</v>
      </c>
      <c r="C83" s="48">
        <v>41360</v>
      </c>
      <c r="D83" s="27">
        <v>8</v>
      </c>
      <c r="E83" s="11" t="s">
        <v>177</v>
      </c>
      <c r="F83" s="16" t="s">
        <v>52</v>
      </c>
      <c r="G83" s="39" t="s">
        <v>726</v>
      </c>
      <c r="H83" s="48">
        <v>41360</v>
      </c>
      <c r="I83" s="27">
        <v>8</v>
      </c>
      <c r="J83" s="74" t="s">
        <v>735</v>
      </c>
    </row>
    <row r="84" spans="1:10" ht="18" customHeight="1">
      <c r="A84" s="33">
        <v>9</v>
      </c>
      <c r="B84" s="39" t="s">
        <v>727</v>
      </c>
      <c r="C84" s="48">
        <v>41360</v>
      </c>
      <c r="D84" s="27">
        <v>10</v>
      </c>
      <c r="E84" s="11" t="s">
        <v>177</v>
      </c>
      <c r="F84" s="16" t="s">
        <v>52</v>
      </c>
      <c r="G84" s="39" t="s">
        <v>727</v>
      </c>
      <c r="H84" s="48">
        <v>41360</v>
      </c>
      <c r="I84" s="27">
        <v>10</v>
      </c>
      <c r="J84" s="74" t="s">
        <v>735</v>
      </c>
    </row>
    <row r="85" spans="1:10" ht="18" customHeight="1">
      <c r="A85" s="528" t="s">
        <v>35</v>
      </c>
      <c r="B85" s="528"/>
      <c r="C85" s="528"/>
      <c r="D85" s="58">
        <f>SUM(D76:D84)</f>
        <v>867.33999999999992</v>
      </c>
      <c r="E85" s="53"/>
      <c r="F85" s="54"/>
      <c r="G85" s="59"/>
      <c r="H85" s="55" t="s">
        <v>0</v>
      </c>
      <c r="I85" s="58">
        <f>SUM(I76:I84)</f>
        <v>867.33999999999992</v>
      </c>
      <c r="J85" s="7"/>
    </row>
    <row r="86" spans="1:10" ht="21.9" customHeight="1">
      <c r="A86" s="528" t="s">
        <v>35</v>
      </c>
      <c r="B86" s="528"/>
      <c r="C86" s="528"/>
      <c r="D86" s="58"/>
      <c r="E86" s="53"/>
      <c r="F86" s="54"/>
      <c r="G86" s="56">
        <v>3995</v>
      </c>
      <c r="H86" s="55" t="s">
        <v>1</v>
      </c>
      <c r="I86" s="57">
        <f>I85*G86</f>
        <v>3465023.3</v>
      </c>
      <c r="J86" s="7"/>
    </row>
    <row r="87" spans="1:10" ht="18" customHeight="1">
      <c r="A87" s="60">
        <v>1</v>
      </c>
      <c r="B87" s="39" t="s">
        <v>200</v>
      </c>
      <c r="C87" s="48">
        <v>41365</v>
      </c>
      <c r="D87" s="27">
        <v>40.32</v>
      </c>
      <c r="E87" s="11" t="s">
        <v>177</v>
      </c>
      <c r="F87" s="16" t="s">
        <v>176</v>
      </c>
      <c r="G87" s="39" t="s">
        <v>200</v>
      </c>
      <c r="H87" s="48">
        <v>41365</v>
      </c>
      <c r="I87" s="27">
        <v>40.32</v>
      </c>
      <c r="J87" s="74" t="s">
        <v>735</v>
      </c>
    </row>
    <row r="88" spans="1:10" ht="18" customHeight="1">
      <c r="A88" s="33">
        <v>2</v>
      </c>
      <c r="B88" s="39" t="s">
        <v>201</v>
      </c>
      <c r="C88" s="48">
        <v>41366</v>
      </c>
      <c r="D88" s="27">
        <v>168.98</v>
      </c>
      <c r="E88" s="11" t="s">
        <v>50</v>
      </c>
      <c r="F88" s="10" t="s">
        <v>52</v>
      </c>
      <c r="G88" s="39" t="s">
        <v>201</v>
      </c>
      <c r="H88" s="48">
        <v>41366</v>
      </c>
      <c r="I88" s="27">
        <v>168.98</v>
      </c>
      <c r="J88" s="74" t="s">
        <v>735</v>
      </c>
    </row>
    <row r="89" spans="1:10" ht="18" customHeight="1">
      <c r="A89" s="60">
        <v>3</v>
      </c>
      <c r="B89" s="39" t="s">
        <v>203</v>
      </c>
      <c r="C89" s="48">
        <v>41372</v>
      </c>
      <c r="D89" s="27">
        <v>104.23</v>
      </c>
      <c r="E89" s="11" t="s">
        <v>50</v>
      </c>
      <c r="F89" s="10" t="s">
        <v>52</v>
      </c>
      <c r="G89" s="39" t="s">
        <v>203</v>
      </c>
      <c r="H89" s="48">
        <v>41372</v>
      </c>
      <c r="I89" s="27">
        <v>104.23</v>
      </c>
      <c r="J89" s="74" t="s">
        <v>735</v>
      </c>
    </row>
    <row r="90" spans="1:10" ht="18" customHeight="1">
      <c r="A90" s="33">
        <v>4</v>
      </c>
      <c r="B90" s="39" t="s">
        <v>204</v>
      </c>
      <c r="C90" s="48">
        <v>41372</v>
      </c>
      <c r="D90" s="27">
        <v>222.39</v>
      </c>
      <c r="E90" s="11" t="s">
        <v>50</v>
      </c>
      <c r="F90" s="10" t="s">
        <v>52</v>
      </c>
      <c r="G90" s="39" t="s">
        <v>204</v>
      </c>
      <c r="H90" s="48">
        <v>41372</v>
      </c>
      <c r="I90" s="27">
        <v>222.39</v>
      </c>
      <c r="J90" s="74" t="s">
        <v>735</v>
      </c>
    </row>
    <row r="91" spans="1:10" ht="18" customHeight="1">
      <c r="A91" s="60">
        <v>5</v>
      </c>
      <c r="B91" s="39" t="s">
        <v>208</v>
      </c>
      <c r="C91" s="48">
        <v>41374</v>
      </c>
      <c r="D91" s="27">
        <v>10</v>
      </c>
      <c r="E91" s="11" t="s">
        <v>177</v>
      </c>
      <c r="F91" s="16" t="s">
        <v>176</v>
      </c>
      <c r="G91" s="39" t="s">
        <v>208</v>
      </c>
      <c r="H91" s="48">
        <v>41374</v>
      </c>
      <c r="I91" s="27">
        <v>10</v>
      </c>
      <c r="J91" s="74" t="s">
        <v>735</v>
      </c>
    </row>
    <row r="92" spans="1:10" ht="18" customHeight="1">
      <c r="A92" s="33">
        <v>6</v>
      </c>
      <c r="B92" s="39" t="s">
        <v>728</v>
      </c>
      <c r="C92" s="48">
        <v>41382</v>
      </c>
      <c r="D92" s="27">
        <v>149.76</v>
      </c>
      <c r="E92" s="11" t="s">
        <v>50</v>
      </c>
      <c r="F92" s="10" t="s">
        <v>52</v>
      </c>
      <c r="G92" s="39" t="s">
        <v>728</v>
      </c>
      <c r="H92" s="48">
        <v>41382</v>
      </c>
      <c r="I92" s="27">
        <v>149.76</v>
      </c>
      <c r="J92" s="74" t="s">
        <v>735</v>
      </c>
    </row>
    <row r="93" spans="1:10" ht="18" customHeight="1">
      <c r="A93" s="60">
        <v>7</v>
      </c>
      <c r="B93" s="39" t="s">
        <v>736</v>
      </c>
      <c r="C93" s="48">
        <v>41386</v>
      </c>
      <c r="D93" s="27">
        <v>144.43</v>
      </c>
      <c r="E93" s="11" t="s">
        <v>50</v>
      </c>
      <c r="F93" s="10" t="s">
        <v>52</v>
      </c>
      <c r="G93" s="39" t="s">
        <v>736</v>
      </c>
      <c r="H93" s="48">
        <v>41386</v>
      </c>
      <c r="I93" s="27">
        <v>144.43</v>
      </c>
      <c r="J93" s="74" t="s">
        <v>735</v>
      </c>
    </row>
    <row r="94" spans="1:10" ht="18" customHeight="1">
      <c r="A94" s="33">
        <v>8</v>
      </c>
      <c r="B94" s="39" t="s">
        <v>729</v>
      </c>
      <c r="C94" s="48">
        <v>41387</v>
      </c>
      <c r="D94" s="27">
        <v>8</v>
      </c>
      <c r="E94" s="11" t="s">
        <v>177</v>
      </c>
      <c r="F94" s="16" t="s">
        <v>176</v>
      </c>
      <c r="G94" s="39" t="s">
        <v>729</v>
      </c>
      <c r="H94" s="48">
        <v>41387</v>
      </c>
      <c r="I94" s="27">
        <v>8</v>
      </c>
      <c r="J94" s="74" t="s">
        <v>735</v>
      </c>
    </row>
    <row r="95" spans="1:10" ht="18" customHeight="1">
      <c r="A95" s="60">
        <v>9</v>
      </c>
      <c r="B95" s="39" t="s">
        <v>217</v>
      </c>
      <c r="C95" s="48">
        <v>41394</v>
      </c>
      <c r="D95" s="27">
        <v>134.76</v>
      </c>
      <c r="E95" s="11" t="s">
        <v>50</v>
      </c>
      <c r="F95" s="10" t="s">
        <v>52</v>
      </c>
      <c r="G95" s="39" t="s">
        <v>217</v>
      </c>
      <c r="H95" s="48">
        <v>41394</v>
      </c>
      <c r="I95" s="27">
        <v>134.76</v>
      </c>
      <c r="J95" s="74" t="s">
        <v>735</v>
      </c>
    </row>
    <row r="96" spans="1:10" ht="18" customHeight="1">
      <c r="A96" s="33">
        <v>10</v>
      </c>
      <c r="B96" s="39" t="s">
        <v>730</v>
      </c>
      <c r="C96" s="48">
        <v>41394</v>
      </c>
      <c r="D96" s="27">
        <v>155.38</v>
      </c>
      <c r="E96" s="11" t="s">
        <v>50</v>
      </c>
      <c r="F96" s="10" t="s">
        <v>52</v>
      </c>
      <c r="G96" s="39" t="s">
        <v>730</v>
      </c>
      <c r="H96" s="48">
        <v>41394</v>
      </c>
      <c r="I96" s="27">
        <v>155.38</v>
      </c>
      <c r="J96" s="74" t="s">
        <v>735</v>
      </c>
    </row>
    <row r="97" spans="1:10" ht="18" customHeight="1">
      <c r="A97" s="528" t="s">
        <v>20</v>
      </c>
      <c r="B97" s="528"/>
      <c r="C97" s="528"/>
      <c r="D97" s="58">
        <f>SUM(D87:D96)</f>
        <v>1138.25</v>
      </c>
      <c r="E97" s="53"/>
      <c r="F97" s="54"/>
      <c r="G97" s="59"/>
      <c r="H97" s="55" t="s">
        <v>0</v>
      </c>
      <c r="I97" s="58">
        <f>SUM(I87:I96)</f>
        <v>1138.25</v>
      </c>
      <c r="J97" s="7"/>
    </row>
    <row r="98" spans="1:10" ht="21.9" customHeight="1">
      <c r="A98" s="528" t="s">
        <v>20</v>
      </c>
      <c r="B98" s="528"/>
      <c r="C98" s="528"/>
      <c r="D98" s="58"/>
      <c r="E98" s="53"/>
      <c r="F98" s="54"/>
      <c r="G98" s="56">
        <v>4000</v>
      </c>
      <c r="H98" s="55" t="s">
        <v>1</v>
      </c>
      <c r="I98" s="57">
        <f>I97*G98</f>
        <v>4553000</v>
      </c>
      <c r="J98" s="7"/>
    </row>
    <row r="99" spans="1:10" ht="18" customHeight="1">
      <c r="A99" s="60">
        <v>1</v>
      </c>
      <c r="B99" s="39" t="s">
        <v>733</v>
      </c>
      <c r="C99" s="48">
        <v>41397</v>
      </c>
      <c r="D99" s="27">
        <v>20</v>
      </c>
      <c r="E99" s="11" t="s">
        <v>177</v>
      </c>
      <c r="F99" s="16" t="s">
        <v>176</v>
      </c>
      <c r="G99" s="39" t="s">
        <v>733</v>
      </c>
      <c r="H99" s="48">
        <v>41397</v>
      </c>
      <c r="I99" s="27">
        <v>20</v>
      </c>
      <c r="J99" s="74" t="s">
        <v>735</v>
      </c>
    </row>
    <row r="100" spans="1:10" ht="18" customHeight="1">
      <c r="A100" s="60">
        <v>2</v>
      </c>
      <c r="B100" s="39" t="s">
        <v>220</v>
      </c>
      <c r="C100" s="48">
        <v>41400</v>
      </c>
      <c r="D100" s="27">
        <v>25</v>
      </c>
      <c r="E100" s="11" t="s">
        <v>177</v>
      </c>
      <c r="F100" s="16" t="s">
        <v>176</v>
      </c>
      <c r="G100" s="39" t="s">
        <v>220</v>
      </c>
      <c r="H100" s="48">
        <v>41400</v>
      </c>
      <c r="I100" s="27">
        <v>25</v>
      </c>
      <c r="J100" s="74" t="s">
        <v>735</v>
      </c>
    </row>
    <row r="101" spans="1:10" ht="18" customHeight="1">
      <c r="A101" s="60">
        <v>3</v>
      </c>
      <c r="B101" s="39" t="s">
        <v>221</v>
      </c>
      <c r="C101" s="48">
        <v>41400</v>
      </c>
      <c r="D101" s="27">
        <v>157.30000000000001</v>
      </c>
      <c r="E101" s="11" t="s">
        <v>50</v>
      </c>
      <c r="F101" s="10" t="s">
        <v>52</v>
      </c>
      <c r="G101" s="39" t="s">
        <v>221</v>
      </c>
      <c r="H101" s="48">
        <v>41400</v>
      </c>
      <c r="I101" s="27">
        <v>157.30000000000001</v>
      </c>
      <c r="J101" s="74" t="s">
        <v>735</v>
      </c>
    </row>
    <row r="102" spans="1:10" ht="18" customHeight="1">
      <c r="A102" s="60">
        <v>4</v>
      </c>
      <c r="B102" s="39" t="s">
        <v>731</v>
      </c>
      <c r="C102" s="48">
        <v>41410</v>
      </c>
      <c r="D102" s="27">
        <v>140.63</v>
      </c>
      <c r="E102" s="11" t="s">
        <v>50</v>
      </c>
      <c r="F102" s="10" t="s">
        <v>52</v>
      </c>
      <c r="G102" s="39" t="s">
        <v>731</v>
      </c>
      <c r="H102" s="48">
        <v>41410</v>
      </c>
      <c r="I102" s="27">
        <v>140.63</v>
      </c>
      <c r="J102" s="74" t="s">
        <v>735</v>
      </c>
    </row>
    <row r="103" spans="1:10" ht="18" customHeight="1">
      <c r="A103" s="60">
        <v>5</v>
      </c>
      <c r="B103" s="39" t="s">
        <v>732</v>
      </c>
      <c r="C103" s="48">
        <v>41414</v>
      </c>
      <c r="D103" s="27">
        <v>82.47</v>
      </c>
      <c r="E103" s="11" t="s">
        <v>50</v>
      </c>
      <c r="F103" s="10" t="s">
        <v>52</v>
      </c>
      <c r="G103" s="39" t="s">
        <v>732</v>
      </c>
      <c r="H103" s="48">
        <v>41414</v>
      </c>
      <c r="I103" s="27">
        <v>82.47</v>
      </c>
      <c r="J103" s="74" t="s">
        <v>735</v>
      </c>
    </row>
    <row r="104" spans="1:10" ht="18" customHeight="1">
      <c r="A104" s="60">
        <v>6</v>
      </c>
      <c r="B104" s="39" t="s">
        <v>234</v>
      </c>
      <c r="C104" s="48">
        <v>41415</v>
      </c>
      <c r="D104" s="27">
        <v>92.5</v>
      </c>
      <c r="E104" s="11" t="s">
        <v>50</v>
      </c>
      <c r="F104" s="10" t="s">
        <v>52</v>
      </c>
      <c r="G104" s="39" t="s">
        <v>234</v>
      </c>
      <c r="H104" s="48">
        <v>41415</v>
      </c>
      <c r="I104" s="27">
        <v>92.5</v>
      </c>
      <c r="J104" s="74" t="s">
        <v>735</v>
      </c>
    </row>
    <row r="105" spans="1:10" ht="18" customHeight="1">
      <c r="A105" s="60">
        <v>7</v>
      </c>
      <c r="B105" s="39" t="s">
        <v>235</v>
      </c>
      <c r="C105" s="48">
        <v>41415</v>
      </c>
      <c r="D105" s="27">
        <v>4</v>
      </c>
      <c r="E105" s="11" t="s">
        <v>177</v>
      </c>
      <c r="F105" s="16" t="s">
        <v>176</v>
      </c>
      <c r="G105" s="39" t="s">
        <v>235</v>
      </c>
      <c r="H105" s="48">
        <v>41415</v>
      </c>
      <c r="I105" s="27">
        <v>4</v>
      </c>
      <c r="J105" s="74" t="s">
        <v>735</v>
      </c>
    </row>
    <row r="106" spans="1:10" ht="18" customHeight="1">
      <c r="A106" s="60">
        <v>8</v>
      </c>
      <c r="B106" s="39" t="s">
        <v>239</v>
      </c>
      <c r="C106" s="48">
        <v>41421</v>
      </c>
      <c r="D106" s="27">
        <v>63.52</v>
      </c>
      <c r="E106" s="11" t="s">
        <v>177</v>
      </c>
      <c r="F106" s="16" t="s">
        <v>176</v>
      </c>
      <c r="G106" s="39" t="s">
        <v>239</v>
      </c>
      <c r="H106" s="48">
        <v>41421</v>
      </c>
      <c r="I106" s="27">
        <v>63.52</v>
      </c>
      <c r="J106" s="74" t="s">
        <v>735</v>
      </c>
    </row>
    <row r="107" spans="1:10" ht="18" customHeight="1">
      <c r="A107" s="528" t="s">
        <v>19</v>
      </c>
      <c r="B107" s="528"/>
      <c r="C107" s="528"/>
      <c r="D107" s="58">
        <f>SUM(D99:D106)</f>
        <v>585.41999999999996</v>
      </c>
      <c r="E107" s="53"/>
      <c r="F107" s="54"/>
      <c r="G107" s="62"/>
      <c r="H107" s="55" t="s">
        <v>0</v>
      </c>
      <c r="I107" s="58">
        <f>SUM(I99:I106)</f>
        <v>585.41999999999996</v>
      </c>
      <c r="J107" s="50"/>
    </row>
    <row r="108" spans="1:10" ht="21.9" customHeight="1">
      <c r="A108" s="528" t="s">
        <v>19</v>
      </c>
      <c r="B108" s="528"/>
      <c r="C108" s="528"/>
      <c r="D108" s="58"/>
      <c r="E108" s="53"/>
      <c r="F108" s="54"/>
      <c r="G108" s="56">
        <v>4034</v>
      </c>
      <c r="H108" s="55" t="s">
        <v>1</v>
      </c>
      <c r="I108" s="57">
        <f>I107*G108</f>
        <v>2361584.2799999998</v>
      </c>
      <c r="J108" s="50"/>
    </row>
    <row r="109" spans="1:10" ht="18" customHeight="1">
      <c r="A109" s="33">
        <v>1</v>
      </c>
      <c r="B109" s="39" t="s">
        <v>242</v>
      </c>
      <c r="C109" s="48">
        <v>41428</v>
      </c>
      <c r="D109" s="27">
        <v>148.71</v>
      </c>
      <c r="E109" s="11" t="s">
        <v>50</v>
      </c>
      <c r="F109" s="10" t="s">
        <v>52</v>
      </c>
      <c r="G109" s="39" t="s">
        <v>242</v>
      </c>
      <c r="H109" s="48">
        <v>41428</v>
      </c>
      <c r="I109" s="27">
        <v>148.71</v>
      </c>
      <c r="J109" s="74" t="s">
        <v>735</v>
      </c>
    </row>
    <row r="110" spans="1:10" ht="18" customHeight="1">
      <c r="A110" s="33">
        <v>2</v>
      </c>
      <c r="B110" s="39" t="s">
        <v>245</v>
      </c>
      <c r="C110" s="48">
        <v>41435</v>
      </c>
      <c r="D110" s="27">
        <v>52.58</v>
      </c>
      <c r="E110" s="11" t="s">
        <v>50</v>
      </c>
      <c r="F110" s="16" t="s">
        <v>52</v>
      </c>
      <c r="G110" s="39" t="s">
        <v>245</v>
      </c>
      <c r="H110" s="48">
        <v>41435</v>
      </c>
      <c r="I110" s="27">
        <v>52.58</v>
      </c>
      <c r="J110" s="74" t="s">
        <v>735</v>
      </c>
    </row>
    <row r="111" spans="1:10" ht="18" customHeight="1">
      <c r="A111" s="33">
        <v>3</v>
      </c>
      <c r="B111" s="39" t="s">
        <v>246</v>
      </c>
      <c r="C111" s="48">
        <v>41435</v>
      </c>
      <c r="D111" s="27">
        <v>70.709999999999994</v>
      </c>
      <c r="E111" s="11" t="s">
        <v>50</v>
      </c>
      <c r="F111" s="16" t="s">
        <v>52</v>
      </c>
      <c r="G111" s="39" t="s">
        <v>246</v>
      </c>
      <c r="H111" s="48">
        <v>41435</v>
      </c>
      <c r="I111" s="27">
        <v>70.709999999999994</v>
      </c>
      <c r="J111" s="74" t="s">
        <v>735</v>
      </c>
    </row>
    <row r="112" spans="1:10" ht="18" customHeight="1">
      <c r="A112" s="33">
        <v>4</v>
      </c>
      <c r="B112" s="39" t="s">
        <v>248</v>
      </c>
      <c r="C112" s="48">
        <v>41442</v>
      </c>
      <c r="D112" s="27">
        <v>207.09</v>
      </c>
      <c r="E112" s="11" t="s">
        <v>50</v>
      </c>
      <c r="F112" s="10" t="s">
        <v>52</v>
      </c>
      <c r="G112" s="39" t="s">
        <v>248</v>
      </c>
      <c r="H112" s="48">
        <v>41442</v>
      </c>
      <c r="I112" s="27">
        <v>207.09</v>
      </c>
      <c r="J112" s="74" t="s">
        <v>735</v>
      </c>
    </row>
    <row r="113" spans="1:10" ht="18" customHeight="1">
      <c r="A113" s="33">
        <v>5</v>
      </c>
      <c r="B113" s="39" t="s">
        <v>256</v>
      </c>
      <c r="C113" s="48">
        <v>41449</v>
      </c>
      <c r="D113" s="27">
        <v>79.11</v>
      </c>
      <c r="E113" s="11" t="s">
        <v>50</v>
      </c>
      <c r="F113" s="10" t="s">
        <v>52</v>
      </c>
      <c r="G113" s="39" t="s">
        <v>256</v>
      </c>
      <c r="H113" s="48">
        <v>41449</v>
      </c>
      <c r="I113" s="27">
        <v>79.11</v>
      </c>
      <c r="J113" s="74" t="s">
        <v>735</v>
      </c>
    </row>
    <row r="114" spans="1:10" ht="18" customHeight="1">
      <c r="A114" s="33">
        <v>6</v>
      </c>
      <c r="B114" s="39" t="s">
        <v>257</v>
      </c>
      <c r="C114" s="48">
        <v>41449</v>
      </c>
      <c r="D114" s="27">
        <v>182.92</v>
      </c>
      <c r="E114" s="11" t="s">
        <v>50</v>
      </c>
      <c r="F114" s="10" t="s">
        <v>52</v>
      </c>
      <c r="G114" s="39" t="s">
        <v>257</v>
      </c>
      <c r="H114" s="48">
        <v>41449</v>
      </c>
      <c r="I114" s="27">
        <v>182.92</v>
      </c>
      <c r="J114" s="74" t="s">
        <v>735</v>
      </c>
    </row>
    <row r="115" spans="1:10" ht="18" customHeight="1">
      <c r="A115" s="33">
        <v>7</v>
      </c>
      <c r="B115" s="39" t="s">
        <v>252</v>
      </c>
      <c r="C115" s="48">
        <v>41453</v>
      </c>
      <c r="D115" s="27">
        <v>3.6</v>
      </c>
      <c r="E115" s="11" t="s">
        <v>50</v>
      </c>
      <c r="F115" s="16" t="s">
        <v>52</v>
      </c>
      <c r="G115" s="39" t="s">
        <v>252</v>
      </c>
      <c r="H115" s="48">
        <v>41453</v>
      </c>
      <c r="I115" s="27">
        <v>3.6</v>
      </c>
      <c r="J115" s="74" t="s">
        <v>735</v>
      </c>
    </row>
    <row r="116" spans="1:10" ht="18" customHeight="1">
      <c r="A116" s="528" t="s">
        <v>18</v>
      </c>
      <c r="B116" s="528"/>
      <c r="C116" s="528"/>
      <c r="D116" s="58">
        <f>SUM(D109:D115)</f>
        <v>744.72</v>
      </c>
      <c r="E116" s="53"/>
      <c r="F116" s="54"/>
      <c r="G116" s="62"/>
      <c r="H116" s="55" t="s">
        <v>0</v>
      </c>
      <c r="I116" s="58">
        <f>SUM(I109:I115)</f>
        <v>744.72</v>
      </c>
      <c r="J116" s="7"/>
    </row>
    <row r="117" spans="1:10" ht="21.9" customHeight="1">
      <c r="A117" s="528" t="s">
        <v>18</v>
      </c>
      <c r="B117" s="528"/>
      <c r="C117" s="528"/>
      <c r="D117" s="58"/>
      <c r="E117" s="53"/>
      <c r="F117" s="54"/>
      <c r="G117" s="56">
        <v>4063</v>
      </c>
      <c r="H117" s="55" t="s">
        <v>1</v>
      </c>
      <c r="I117" s="57">
        <f>I116*G117</f>
        <v>3025797.3600000003</v>
      </c>
      <c r="J117" s="7"/>
    </row>
    <row r="118" spans="1:10" ht="18" customHeight="1">
      <c r="A118" s="60">
        <v>1</v>
      </c>
      <c r="B118" s="39" t="s">
        <v>261</v>
      </c>
      <c r="C118" s="48">
        <v>41452</v>
      </c>
      <c r="D118" s="27">
        <v>76.8</v>
      </c>
      <c r="E118" s="11" t="s">
        <v>50</v>
      </c>
      <c r="F118" s="16" t="s">
        <v>52</v>
      </c>
      <c r="G118" s="39" t="s">
        <v>261</v>
      </c>
      <c r="H118" s="48">
        <v>41452</v>
      </c>
      <c r="I118" s="27">
        <v>76.8</v>
      </c>
      <c r="J118" s="74" t="s">
        <v>735</v>
      </c>
    </row>
    <row r="119" spans="1:10" ht="18" customHeight="1">
      <c r="A119" s="33">
        <v>2</v>
      </c>
      <c r="B119" s="39" t="s">
        <v>262</v>
      </c>
      <c r="C119" s="48">
        <v>41456</v>
      </c>
      <c r="D119" s="27">
        <v>305.89</v>
      </c>
      <c r="E119" s="11" t="s">
        <v>50</v>
      </c>
      <c r="F119" s="10" t="s">
        <v>52</v>
      </c>
      <c r="G119" s="39" t="s">
        <v>262</v>
      </c>
      <c r="H119" s="48">
        <v>41456</v>
      </c>
      <c r="I119" s="27">
        <v>305.89</v>
      </c>
      <c r="J119" s="74" t="s">
        <v>735</v>
      </c>
    </row>
    <row r="120" spans="1:10" ht="18" customHeight="1">
      <c r="A120" s="60">
        <v>3</v>
      </c>
      <c r="B120" s="39" t="s">
        <v>263</v>
      </c>
      <c r="C120" s="48">
        <v>41463</v>
      </c>
      <c r="D120" s="27">
        <v>34.86</v>
      </c>
      <c r="E120" s="11" t="s">
        <v>50</v>
      </c>
      <c r="F120" s="16" t="s">
        <v>52</v>
      </c>
      <c r="G120" s="39" t="s">
        <v>263</v>
      </c>
      <c r="H120" s="48">
        <v>41463</v>
      </c>
      <c r="I120" s="27">
        <v>34.86</v>
      </c>
      <c r="J120" s="74" t="s">
        <v>735</v>
      </c>
    </row>
    <row r="121" spans="1:10" ht="18" customHeight="1">
      <c r="A121" s="33">
        <v>4</v>
      </c>
      <c r="B121" s="39" t="s">
        <v>264</v>
      </c>
      <c r="C121" s="48">
        <v>41463</v>
      </c>
      <c r="D121" s="27">
        <v>450.81</v>
      </c>
      <c r="E121" s="11" t="s">
        <v>50</v>
      </c>
      <c r="F121" s="10" t="s">
        <v>52</v>
      </c>
      <c r="G121" s="39" t="s">
        <v>264</v>
      </c>
      <c r="H121" s="48">
        <v>41463</v>
      </c>
      <c r="I121" s="27">
        <v>450.81</v>
      </c>
      <c r="J121" s="74" t="s">
        <v>735</v>
      </c>
    </row>
    <row r="122" spans="1:10" ht="18" customHeight="1">
      <c r="A122" s="60">
        <v>5</v>
      </c>
      <c r="B122" s="39" t="s">
        <v>274</v>
      </c>
      <c r="C122" s="48">
        <v>41470</v>
      </c>
      <c r="D122" s="27">
        <v>54.3</v>
      </c>
      <c r="E122" s="11" t="s">
        <v>50</v>
      </c>
      <c r="F122" s="16" t="s">
        <v>52</v>
      </c>
      <c r="G122" s="39" t="s">
        <v>274</v>
      </c>
      <c r="H122" s="48">
        <v>41470</v>
      </c>
      <c r="I122" s="27">
        <v>54.3</v>
      </c>
      <c r="J122" s="74" t="s">
        <v>735</v>
      </c>
    </row>
    <row r="123" spans="1:10" ht="18" customHeight="1">
      <c r="A123" s="33">
        <v>6</v>
      </c>
      <c r="B123" s="39" t="s">
        <v>273</v>
      </c>
      <c r="C123" s="48">
        <v>41470</v>
      </c>
      <c r="D123" s="27">
        <v>379.69</v>
      </c>
      <c r="E123" s="11" t="s">
        <v>50</v>
      </c>
      <c r="F123" s="10" t="s">
        <v>52</v>
      </c>
      <c r="G123" s="39" t="s">
        <v>273</v>
      </c>
      <c r="H123" s="48">
        <v>41470</v>
      </c>
      <c r="I123" s="27">
        <v>379.69</v>
      </c>
      <c r="J123" s="74" t="s">
        <v>735</v>
      </c>
    </row>
    <row r="124" spans="1:10" ht="18" customHeight="1">
      <c r="A124" s="60">
        <v>7</v>
      </c>
      <c r="B124" s="39" t="s">
        <v>283</v>
      </c>
      <c r="C124" s="48">
        <v>41477</v>
      </c>
      <c r="D124" s="27">
        <v>48.72</v>
      </c>
      <c r="E124" s="11" t="s">
        <v>50</v>
      </c>
      <c r="F124" s="16" t="s">
        <v>52</v>
      </c>
      <c r="G124" s="39" t="s">
        <v>283</v>
      </c>
      <c r="H124" s="48">
        <v>41477</v>
      </c>
      <c r="I124" s="27">
        <v>48.72</v>
      </c>
      <c r="J124" s="74" t="s">
        <v>735</v>
      </c>
    </row>
    <row r="125" spans="1:10" ht="18" customHeight="1">
      <c r="A125" s="33">
        <v>8</v>
      </c>
      <c r="B125" s="39" t="s">
        <v>284</v>
      </c>
      <c r="C125" s="48">
        <v>41478</v>
      </c>
      <c r="D125" s="27">
        <v>175.1</v>
      </c>
      <c r="E125" s="11" t="s">
        <v>50</v>
      </c>
      <c r="F125" s="10" t="s">
        <v>52</v>
      </c>
      <c r="G125" s="39" t="s">
        <v>284</v>
      </c>
      <c r="H125" s="48">
        <v>41478</v>
      </c>
      <c r="I125" s="27">
        <v>175.1</v>
      </c>
      <c r="J125" s="74" t="s">
        <v>735</v>
      </c>
    </row>
    <row r="126" spans="1:10" ht="18" customHeight="1">
      <c r="A126" s="60">
        <v>9</v>
      </c>
      <c r="B126" s="39" t="s">
        <v>289</v>
      </c>
      <c r="C126" s="48">
        <v>41484</v>
      </c>
      <c r="D126" s="27">
        <v>64.260000000000005</v>
      </c>
      <c r="E126" s="11" t="s">
        <v>50</v>
      </c>
      <c r="F126" s="16" t="s">
        <v>52</v>
      </c>
      <c r="G126" s="39" t="s">
        <v>289</v>
      </c>
      <c r="H126" s="48">
        <v>41484</v>
      </c>
      <c r="I126" s="27">
        <v>64.260000000000005</v>
      </c>
      <c r="J126" s="74" t="s">
        <v>735</v>
      </c>
    </row>
    <row r="127" spans="1:10" ht="18" customHeight="1">
      <c r="A127" s="33">
        <v>10</v>
      </c>
      <c r="B127" s="39" t="s">
        <v>290</v>
      </c>
      <c r="C127" s="48">
        <v>41484</v>
      </c>
      <c r="D127" s="27">
        <v>134.24</v>
      </c>
      <c r="E127" s="11" t="s">
        <v>50</v>
      </c>
      <c r="F127" s="10" t="s">
        <v>52</v>
      </c>
      <c r="G127" s="39" t="s">
        <v>290</v>
      </c>
      <c r="H127" s="48">
        <v>41484</v>
      </c>
      <c r="I127" s="27">
        <v>134.24</v>
      </c>
      <c r="J127" s="74" t="s">
        <v>735</v>
      </c>
    </row>
    <row r="128" spans="1:10" ht="18" customHeight="1">
      <c r="A128" s="528" t="s">
        <v>17</v>
      </c>
      <c r="B128" s="528"/>
      <c r="C128" s="528"/>
      <c r="D128" s="58">
        <f>SUM(D118:D127)</f>
        <v>1724.6699999999998</v>
      </c>
      <c r="E128" s="53"/>
      <c r="F128" s="54"/>
      <c r="G128" s="62"/>
      <c r="H128" s="55" t="s">
        <v>0</v>
      </c>
      <c r="I128" s="58">
        <f>SUM(I118:I127)</f>
        <v>1724.6699999999998</v>
      </c>
      <c r="J128" s="7"/>
    </row>
    <row r="129" spans="1:10" ht="21.9" customHeight="1">
      <c r="A129" s="528" t="s">
        <v>17</v>
      </c>
      <c r="B129" s="528"/>
      <c r="C129" s="528"/>
      <c r="D129" s="58"/>
      <c r="E129" s="53"/>
      <c r="F129" s="54"/>
      <c r="G129" s="56">
        <v>4062</v>
      </c>
      <c r="H129" s="55" t="s">
        <v>1</v>
      </c>
      <c r="I129" s="57">
        <f>I128*G129</f>
        <v>7005609.5399999991</v>
      </c>
      <c r="J129" s="7"/>
    </row>
    <row r="130" spans="1:10" ht="18" customHeight="1">
      <c r="A130" s="33">
        <v>1</v>
      </c>
      <c r="B130" s="39" t="s">
        <v>292</v>
      </c>
      <c r="C130" s="48">
        <v>41491</v>
      </c>
      <c r="D130" s="27">
        <v>152.80000000000001</v>
      </c>
      <c r="E130" s="11" t="s">
        <v>50</v>
      </c>
      <c r="F130" s="10" t="s">
        <v>52</v>
      </c>
      <c r="G130" s="39" t="s">
        <v>292</v>
      </c>
      <c r="H130" s="48">
        <v>41491</v>
      </c>
      <c r="I130" s="27">
        <v>152.80000000000001</v>
      </c>
      <c r="J130" s="74" t="s">
        <v>735</v>
      </c>
    </row>
    <row r="131" spans="1:10" ht="18" customHeight="1">
      <c r="A131" s="33">
        <v>2</v>
      </c>
      <c r="B131" s="39" t="s">
        <v>299</v>
      </c>
      <c r="C131" s="48">
        <v>41498</v>
      </c>
      <c r="D131" s="27">
        <v>219.25</v>
      </c>
      <c r="E131" s="11" t="s">
        <v>50</v>
      </c>
      <c r="F131" s="10" t="s">
        <v>52</v>
      </c>
      <c r="G131" s="39" t="s">
        <v>299</v>
      </c>
      <c r="H131" s="48">
        <v>41498</v>
      </c>
      <c r="I131" s="27">
        <v>219.25</v>
      </c>
      <c r="J131" s="74" t="s">
        <v>735</v>
      </c>
    </row>
    <row r="132" spans="1:10" ht="18" customHeight="1">
      <c r="A132" s="33">
        <v>3</v>
      </c>
      <c r="B132" s="39" t="s">
        <v>304</v>
      </c>
      <c r="C132" s="48">
        <v>41505</v>
      </c>
      <c r="D132" s="27">
        <v>43.04</v>
      </c>
      <c r="E132" s="11" t="s">
        <v>50</v>
      </c>
      <c r="F132" s="16" t="s">
        <v>52</v>
      </c>
      <c r="G132" s="39" t="s">
        <v>304</v>
      </c>
      <c r="H132" s="48">
        <v>41505</v>
      </c>
      <c r="I132" s="27">
        <v>43.04</v>
      </c>
      <c r="J132" s="74" t="s">
        <v>735</v>
      </c>
    </row>
    <row r="133" spans="1:10" ht="18" customHeight="1">
      <c r="A133" s="33">
        <v>4</v>
      </c>
      <c r="B133" s="39" t="s">
        <v>305</v>
      </c>
      <c r="C133" s="48">
        <v>41505</v>
      </c>
      <c r="D133" s="27">
        <v>129.59</v>
      </c>
      <c r="E133" s="11" t="s">
        <v>50</v>
      </c>
      <c r="F133" s="10" t="s">
        <v>52</v>
      </c>
      <c r="G133" s="39" t="s">
        <v>305</v>
      </c>
      <c r="H133" s="48">
        <v>41505</v>
      </c>
      <c r="I133" s="27">
        <v>129.59</v>
      </c>
      <c r="J133" s="74" t="s">
        <v>735</v>
      </c>
    </row>
    <row r="134" spans="1:10" ht="18" customHeight="1">
      <c r="A134" s="33">
        <v>5</v>
      </c>
      <c r="B134" s="39" t="s">
        <v>311</v>
      </c>
      <c r="C134" s="48">
        <v>41512</v>
      </c>
      <c r="D134" s="27">
        <v>67.12</v>
      </c>
      <c r="E134" s="11" t="s">
        <v>50</v>
      </c>
      <c r="F134" s="16" t="s">
        <v>52</v>
      </c>
      <c r="G134" s="39" t="s">
        <v>311</v>
      </c>
      <c r="H134" s="48">
        <v>41512</v>
      </c>
      <c r="I134" s="27">
        <v>67.12</v>
      </c>
      <c r="J134" s="74" t="s">
        <v>735</v>
      </c>
    </row>
    <row r="135" spans="1:10" ht="18" customHeight="1">
      <c r="A135" s="528" t="s">
        <v>21</v>
      </c>
      <c r="B135" s="528"/>
      <c r="C135" s="528"/>
      <c r="D135" s="58">
        <f>SUM(D130:D134)</f>
        <v>611.80000000000007</v>
      </c>
      <c r="E135" s="53"/>
      <c r="F135" s="54"/>
      <c r="G135" s="62"/>
      <c r="H135" s="55" t="s">
        <v>0</v>
      </c>
      <c r="I135" s="58">
        <f>SUM(I130:I134)</f>
        <v>611.80000000000007</v>
      </c>
      <c r="J135" s="7"/>
    </row>
    <row r="136" spans="1:10" ht="21.9" customHeight="1">
      <c r="A136" s="528" t="s">
        <v>21</v>
      </c>
      <c r="B136" s="528"/>
      <c r="C136" s="528"/>
      <c r="D136" s="58"/>
      <c r="E136" s="53"/>
      <c r="F136" s="54"/>
      <c r="G136" s="56">
        <v>4062</v>
      </c>
      <c r="H136" s="55" t="s">
        <v>1</v>
      </c>
      <c r="I136" s="57">
        <f>I135*G136</f>
        <v>2485131.6</v>
      </c>
      <c r="J136" s="7"/>
    </row>
    <row r="137" spans="1:10" ht="18" customHeight="1">
      <c r="A137" s="33">
        <v>1</v>
      </c>
      <c r="B137" s="39" t="s">
        <v>316</v>
      </c>
      <c r="C137" s="48">
        <v>41519</v>
      </c>
      <c r="D137" s="27">
        <v>145.02000000000001</v>
      </c>
      <c r="E137" s="11" t="s">
        <v>50</v>
      </c>
      <c r="F137" s="10" t="s">
        <v>52</v>
      </c>
      <c r="G137" s="39" t="s">
        <v>316</v>
      </c>
      <c r="H137" s="48">
        <v>41519</v>
      </c>
      <c r="I137" s="27">
        <v>145.02000000000001</v>
      </c>
      <c r="J137" s="74" t="s">
        <v>735</v>
      </c>
    </row>
    <row r="138" spans="1:10" ht="18" customHeight="1">
      <c r="A138" s="33">
        <v>2</v>
      </c>
      <c r="B138" s="39" t="s">
        <v>317</v>
      </c>
      <c r="C138" s="48">
        <v>41519</v>
      </c>
      <c r="D138" s="27">
        <v>3.6</v>
      </c>
      <c r="E138" s="11" t="s">
        <v>50</v>
      </c>
      <c r="F138" s="16" t="s">
        <v>52</v>
      </c>
      <c r="G138" s="39" t="s">
        <v>317</v>
      </c>
      <c r="H138" s="48">
        <v>41519</v>
      </c>
      <c r="I138" s="27">
        <v>3.6</v>
      </c>
      <c r="J138" s="74" t="s">
        <v>735</v>
      </c>
    </row>
    <row r="139" spans="1:10" ht="18" customHeight="1">
      <c r="A139" s="33">
        <v>3</v>
      </c>
      <c r="B139" s="39" t="s">
        <v>318</v>
      </c>
      <c r="C139" s="48">
        <v>41519</v>
      </c>
      <c r="D139" s="27">
        <v>352.48</v>
      </c>
      <c r="E139" s="11" t="s">
        <v>50</v>
      </c>
      <c r="F139" s="10" t="s">
        <v>52</v>
      </c>
      <c r="G139" s="39" t="s">
        <v>318</v>
      </c>
      <c r="H139" s="48">
        <v>41519</v>
      </c>
      <c r="I139" s="27">
        <v>352.48</v>
      </c>
      <c r="J139" s="74" t="s">
        <v>735</v>
      </c>
    </row>
    <row r="140" spans="1:10" ht="18" customHeight="1">
      <c r="A140" s="33">
        <v>4</v>
      </c>
      <c r="B140" s="39" t="s">
        <v>319</v>
      </c>
      <c r="C140" s="49">
        <v>41526</v>
      </c>
      <c r="D140" s="27">
        <v>37.97</v>
      </c>
      <c r="E140" s="11" t="s">
        <v>50</v>
      </c>
      <c r="F140" s="16" t="s">
        <v>52</v>
      </c>
      <c r="G140" s="39" t="s">
        <v>319</v>
      </c>
      <c r="H140" s="49">
        <v>41526</v>
      </c>
      <c r="I140" s="27">
        <v>37.97</v>
      </c>
      <c r="J140" s="74" t="s">
        <v>735</v>
      </c>
    </row>
    <row r="141" spans="1:10" ht="18" customHeight="1">
      <c r="A141" s="33">
        <v>5</v>
      </c>
      <c r="B141" s="39" t="s">
        <v>323</v>
      </c>
      <c r="C141" s="48">
        <v>41526</v>
      </c>
      <c r="D141" s="27">
        <v>319.7</v>
      </c>
      <c r="E141" s="11" t="s">
        <v>50</v>
      </c>
      <c r="F141" s="10" t="s">
        <v>52</v>
      </c>
      <c r="G141" s="39" t="s">
        <v>323</v>
      </c>
      <c r="H141" s="48">
        <v>41526</v>
      </c>
      <c r="I141" s="27">
        <v>319.7</v>
      </c>
      <c r="J141" s="74" t="s">
        <v>735</v>
      </c>
    </row>
    <row r="142" spans="1:10" ht="18" customHeight="1">
      <c r="A142" s="33">
        <v>6</v>
      </c>
      <c r="B142" s="39" t="s">
        <v>334</v>
      </c>
      <c r="C142" s="48">
        <v>41533</v>
      </c>
      <c r="D142" s="27">
        <v>35.729999999999997</v>
      </c>
      <c r="E142" s="11" t="s">
        <v>50</v>
      </c>
      <c r="F142" s="16" t="s">
        <v>52</v>
      </c>
      <c r="G142" s="39" t="s">
        <v>334</v>
      </c>
      <c r="H142" s="48">
        <v>41533</v>
      </c>
      <c r="I142" s="27">
        <v>35.729999999999997</v>
      </c>
      <c r="J142" s="74" t="s">
        <v>735</v>
      </c>
    </row>
    <row r="143" spans="1:10" ht="18" customHeight="1">
      <c r="A143" s="33">
        <v>7</v>
      </c>
      <c r="B143" s="39" t="s">
        <v>333</v>
      </c>
      <c r="C143" s="48">
        <v>41533</v>
      </c>
      <c r="D143" s="27">
        <v>104.03</v>
      </c>
      <c r="E143" s="11" t="s">
        <v>50</v>
      </c>
      <c r="F143" s="10" t="s">
        <v>52</v>
      </c>
      <c r="G143" s="39" t="s">
        <v>333</v>
      </c>
      <c r="H143" s="48">
        <v>41533</v>
      </c>
      <c r="I143" s="27">
        <v>104.03</v>
      </c>
      <c r="J143" s="74" t="s">
        <v>735</v>
      </c>
    </row>
    <row r="144" spans="1:10" ht="18" customHeight="1">
      <c r="A144" s="33">
        <v>8</v>
      </c>
      <c r="B144" s="39" t="s">
        <v>340</v>
      </c>
      <c r="C144" s="48">
        <v>41540</v>
      </c>
      <c r="D144" s="27">
        <v>61.27</v>
      </c>
      <c r="E144" s="11" t="s">
        <v>50</v>
      </c>
      <c r="F144" s="16" t="s">
        <v>52</v>
      </c>
      <c r="G144" s="39" t="s">
        <v>340</v>
      </c>
      <c r="H144" s="48">
        <v>41540</v>
      </c>
      <c r="I144" s="27">
        <v>61.27</v>
      </c>
      <c r="J144" s="74" t="s">
        <v>735</v>
      </c>
    </row>
    <row r="145" spans="1:10" ht="18" customHeight="1">
      <c r="A145" s="33">
        <v>9</v>
      </c>
      <c r="B145" s="39" t="s">
        <v>341</v>
      </c>
      <c r="C145" s="48">
        <v>41541</v>
      </c>
      <c r="D145" s="27">
        <v>61.8</v>
      </c>
      <c r="E145" s="11" t="s">
        <v>50</v>
      </c>
      <c r="F145" s="16" t="s">
        <v>52</v>
      </c>
      <c r="G145" s="39" t="s">
        <v>341</v>
      </c>
      <c r="H145" s="48">
        <v>41541</v>
      </c>
      <c r="I145" s="27">
        <v>61.8</v>
      </c>
      <c r="J145" s="74" t="s">
        <v>735</v>
      </c>
    </row>
    <row r="146" spans="1:10" ht="18" customHeight="1">
      <c r="A146" s="33">
        <v>10</v>
      </c>
      <c r="B146" s="39" t="s">
        <v>349</v>
      </c>
      <c r="C146" s="48">
        <v>41547</v>
      </c>
      <c r="D146" s="27">
        <v>215.54</v>
      </c>
      <c r="E146" s="11" t="s">
        <v>50</v>
      </c>
      <c r="F146" s="10" t="s">
        <v>52</v>
      </c>
      <c r="G146" s="39" t="s">
        <v>349</v>
      </c>
      <c r="H146" s="48">
        <v>41547</v>
      </c>
      <c r="I146" s="27">
        <v>215.54</v>
      </c>
      <c r="J146" s="74" t="s">
        <v>735</v>
      </c>
    </row>
    <row r="147" spans="1:10" ht="18" customHeight="1">
      <c r="A147" s="528" t="s">
        <v>22</v>
      </c>
      <c r="B147" s="528"/>
      <c r="C147" s="528"/>
      <c r="D147" s="58">
        <f>SUM(D137:D146)</f>
        <v>1337.1399999999999</v>
      </c>
      <c r="E147" s="53"/>
      <c r="F147" s="54"/>
      <c r="G147" s="62"/>
      <c r="H147" s="55" t="s">
        <v>0</v>
      </c>
      <c r="I147" s="58">
        <f>SUM(I137:I146)</f>
        <v>1337.1399999999999</v>
      </c>
      <c r="J147" s="7"/>
    </row>
    <row r="148" spans="1:10" ht="21.9" customHeight="1">
      <c r="A148" s="528" t="s">
        <v>22</v>
      </c>
      <c r="B148" s="528"/>
      <c r="C148" s="528"/>
      <c r="D148" s="58"/>
      <c r="E148" s="53"/>
      <c r="F148" s="54"/>
      <c r="G148" s="56">
        <v>4062</v>
      </c>
      <c r="H148" s="55" t="s">
        <v>1</v>
      </c>
      <c r="I148" s="57">
        <f>I147*G148</f>
        <v>5431462.6799999997</v>
      </c>
      <c r="J148" s="7"/>
    </row>
    <row r="149" spans="1:10" ht="18" customHeight="1">
      <c r="A149" s="33">
        <v>1</v>
      </c>
      <c r="B149" s="39" t="s">
        <v>350</v>
      </c>
      <c r="C149" s="48">
        <v>41554</v>
      </c>
      <c r="D149" s="27">
        <v>214.95</v>
      </c>
      <c r="E149" s="11" t="s">
        <v>50</v>
      </c>
      <c r="F149" s="10" t="s">
        <v>52</v>
      </c>
      <c r="G149" s="39" t="s">
        <v>350</v>
      </c>
      <c r="H149" s="48">
        <v>41554</v>
      </c>
      <c r="I149" s="27">
        <v>214.95</v>
      </c>
      <c r="J149" s="74" t="s">
        <v>735</v>
      </c>
    </row>
    <row r="150" spans="1:10" ht="18" customHeight="1">
      <c r="A150" s="33">
        <v>2</v>
      </c>
      <c r="B150" s="39" t="s">
        <v>358</v>
      </c>
      <c r="C150" s="48">
        <v>41561</v>
      </c>
      <c r="D150" s="27">
        <v>127.3</v>
      </c>
      <c r="E150" s="11" t="s">
        <v>50</v>
      </c>
      <c r="F150" s="10" t="s">
        <v>52</v>
      </c>
      <c r="G150" s="39" t="s">
        <v>358</v>
      </c>
      <c r="H150" s="48">
        <v>41561</v>
      </c>
      <c r="I150" s="27">
        <v>127.3</v>
      </c>
      <c r="J150" s="74" t="s">
        <v>735</v>
      </c>
    </row>
    <row r="151" spans="1:10" ht="18" customHeight="1">
      <c r="A151" s="33">
        <v>3</v>
      </c>
      <c r="B151" s="39" t="s">
        <v>359</v>
      </c>
      <c r="C151" s="49">
        <v>41561</v>
      </c>
      <c r="D151" s="27">
        <v>51.4</v>
      </c>
      <c r="E151" s="11" t="s">
        <v>50</v>
      </c>
      <c r="F151" s="16" t="s">
        <v>52</v>
      </c>
      <c r="G151" s="39" t="s">
        <v>359</v>
      </c>
      <c r="H151" s="49">
        <v>41561</v>
      </c>
      <c r="I151" s="27">
        <v>51.4</v>
      </c>
      <c r="J151" s="74" t="s">
        <v>735</v>
      </c>
    </row>
    <row r="152" spans="1:10" ht="18" customHeight="1">
      <c r="A152" s="33">
        <v>4</v>
      </c>
      <c r="B152" s="39" t="s">
        <v>368</v>
      </c>
      <c r="C152" s="48">
        <v>41568</v>
      </c>
      <c r="D152" s="27">
        <v>30</v>
      </c>
      <c r="E152" s="11" t="s">
        <v>50</v>
      </c>
      <c r="F152" s="16" t="s">
        <v>52</v>
      </c>
      <c r="G152" s="39" t="s">
        <v>368</v>
      </c>
      <c r="H152" s="48">
        <v>41568</v>
      </c>
      <c r="I152" s="27">
        <v>30</v>
      </c>
      <c r="J152" s="74" t="s">
        <v>735</v>
      </c>
    </row>
    <row r="153" spans="1:10" ht="18" customHeight="1">
      <c r="A153" s="33">
        <v>5</v>
      </c>
      <c r="B153" s="39" t="s">
        <v>367</v>
      </c>
      <c r="C153" s="48">
        <v>41568</v>
      </c>
      <c r="D153" s="27">
        <v>121.12</v>
      </c>
      <c r="E153" s="11" t="s">
        <v>50</v>
      </c>
      <c r="F153" s="10" t="s">
        <v>52</v>
      </c>
      <c r="G153" s="39" t="s">
        <v>367</v>
      </c>
      <c r="H153" s="48">
        <v>41568</v>
      </c>
      <c r="I153" s="27">
        <v>121.12</v>
      </c>
      <c r="J153" s="74" t="s">
        <v>735</v>
      </c>
    </row>
    <row r="154" spans="1:10" ht="18" customHeight="1">
      <c r="A154" s="33">
        <v>6</v>
      </c>
      <c r="B154" s="39" t="s">
        <v>375</v>
      </c>
      <c r="C154" s="48">
        <v>41575</v>
      </c>
      <c r="D154" s="27">
        <v>239.21</v>
      </c>
      <c r="E154" s="11" t="s">
        <v>50</v>
      </c>
      <c r="F154" s="10" t="s">
        <v>52</v>
      </c>
      <c r="G154" s="39" t="s">
        <v>375</v>
      </c>
      <c r="H154" s="48">
        <v>41575</v>
      </c>
      <c r="I154" s="27">
        <v>239.21</v>
      </c>
      <c r="J154" s="74" t="s">
        <v>735</v>
      </c>
    </row>
    <row r="155" spans="1:10" ht="18" customHeight="1">
      <c r="A155" s="33">
        <v>7</v>
      </c>
      <c r="B155" s="39" t="s">
        <v>376</v>
      </c>
      <c r="C155" s="48">
        <v>41575</v>
      </c>
      <c r="D155" s="27">
        <v>84.98</v>
      </c>
      <c r="E155" s="11" t="s">
        <v>50</v>
      </c>
      <c r="F155" s="10" t="s">
        <v>52</v>
      </c>
      <c r="G155" s="39" t="s">
        <v>376</v>
      </c>
      <c r="H155" s="48">
        <v>41575</v>
      </c>
      <c r="I155" s="27">
        <v>84.98</v>
      </c>
      <c r="J155" s="74" t="s">
        <v>735</v>
      </c>
    </row>
    <row r="156" spans="1:10" ht="18" customHeight="1">
      <c r="A156" s="528" t="s">
        <v>23</v>
      </c>
      <c r="B156" s="528"/>
      <c r="C156" s="528"/>
      <c r="D156" s="58">
        <f>SUM(D149:D155)</f>
        <v>868.96</v>
      </c>
      <c r="E156" s="53"/>
      <c r="F156" s="54"/>
      <c r="G156" s="62"/>
      <c r="H156" s="55" t="s">
        <v>0</v>
      </c>
      <c r="I156" s="58">
        <f>SUM(I149:I155)</f>
        <v>868.96</v>
      </c>
      <c r="J156" s="7"/>
    </row>
    <row r="157" spans="1:10" ht="21.9" customHeight="1">
      <c r="A157" s="528" t="s">
        <v>23</v>
      </c>
      <c r="B157" s="528"/>
      <c r="C157" s="528"/>
      <c r="D157" s="58"/>
      <c r="E157" s="53"/>
      <c r="F157" s="54"/>
      <c r="G157" s="61">
        <v>4058</v>
      </c>
      <c r="H157" s="55" t="s">
        <v>1</v>
      </c>
      <c r="I157" s="57">
        <f>I156*G157</f>
        <v>3526239.68</v>
      </c>
      <c r="J157" s="7"/>
    </row>
    <row r="158" spans="1:10" ht="18" customHeight="1">
      <c r="A158" s="33">
        <v>1</v>
      </c>
      <c r="B158" s="39" t="s">
        <v>378</v>
      </c>
      <c r="C158" s="48">
        <v>41582</v>
      </c>
      <c r="D158" s="27">
        <v>214.67</v>
      </c>
      <c r="E158" s="11" t="s">
        <v>50</v>
      </c>
      <c r="F158" s="10" t="s">
        <v>52</v>
      </c>
      <c r="G158" s="39" t="s">
        <v>378</v>
      </c>
      <c r="H158" s="48">
        <v>41582</v>
      </c>
      <c r="I158" s="27">
        <v>214.67</v>
      </c>
      <c r="J158" s="74" t="s">
        <v>735</v>
      </c>
    </row>
    <row r="159" spans="1:10" ht="18" customHeight="1">
      <c r="A159" s="33">
        <v>2</v>
      </c>
      <c r="B159" s="47" t="s">
        <v>377</v>
      </c>
      <c r="C159" s="63">
        <v>41589</v>
      </c>
      <c r="D159" s="27">
        <v>52.7</v>
      </c>
      <c r="E159" s="11" t="s">
        <v>50</v>
      </c>
      <c r="F159" s="16" t="s">
        <v>52</v>
      </c>
      <c r="G159" s="47" t="s">
        <v>377</v>
      </c>
      <c r="H159" s="63">
        <v>41589</v>
      </c>
      <c r="I159" s="27">
        <v>52.7</v>
      </c>
      <c r="J159" s="74" t="s">
        <v>735</v>
      </c>
    </row>
    <row r="160" spans="1:10" ht="18" customHeight="1">
      <c r="A160" s="33">
        <v>3</v>
      </c>
      <c r="B160" s="39" t="s">
        <v>386</v>
      </c>
      <c r="C160" s="48">
        <v>41603</v>
      </c>
      <c r="D160" s="27">
        <v>41.07</v>
      </c>
      <c r="E160" s="11" t="s">
        <v>50</v>
      </c>
      <c r="F160" s="16" t="s">
        <v>52</v>
      </c>
      <c r="G160" s="39" t="s">
        <v>386</v>
      </c>
      <c r="H160" s="48">
        <v>41603</v>
      </c>
      <c r="I160" s="27">
        <v>41.07</v>
      </c>
      <c r="J160" s="74" t="s">
        <v>735</v>
      </c>
    </row>
    <row r="161" spans="1:10" ht="18" customHeight="1">
      <c r="A161" s="528" t="s">
        <v>24</v>
      </c>
      <c r="B161" s="528"/>
      <c r="C161" s="528"/>
      <c r="D161" s="58">
        <f>SUM(D158:D160)</f>
        <v>308.44</v>
      </c>
      <c r="E161" s="53"/>
      <c r="F161" s="62"/>
      <c r="G161" s="62"/>
      <c r="H161" s="55" t="s">
        <v>0</v>
      </c>
      <c r="I161" s="58">
        <f>SUM(I158:I160)</f>
        <v>308.44</v>
      </c>
      <c r="J161" s="7"/>
    </row>
    <row r="162" spans="1:10" ht="21.9" customHeight="1">
      <c r="A162" s="528" t="s">
        <v>24</v>
      </c>
      <c r="B162" s="528"/>
      <c r="C162" s="528"/>
      <c r="D162" s="58"/>
      <c r="E162" s="53"/>
      <c r="F162" s="62"/>
      <c r="G162" s="56">
        <v>4006</v>
      </c>
      <c r="H162" s="55" t="s">
        <v>1</v>
      </c>
      <c r="I162" s="57">
        <f>I161*G162</f>
        <v>1235610.6399999999</v>
      </c>
      <c r="J162" s="7"/>
    </row>
    <row r="163" spans="1:10" ht="18" customHeight="1">
      <c r="A163" s="60">
        <v>1</v>
      </c>
      <c r="B163" s="39" t="s">
        <v>389</v>
      </c>
      <c r="C163" s="48">
        <v>41610</v>
      </c>
      <c r="D163" s="27">
        <v>32.29</v>
      </c>
      <c r="E163" s="11" t="s">
        <v>50</v>
      </c>
      <c r="F163" s="16" t="s">
        <v>52</v>
      </c>
      <c r="G163" s="39" t="s">
        <v>389</v>
      </c>
      <c r="H163" s="48">
        <v>41610</v>
      </c>
      <c r="I163" s="27">
        <v>32.29</v>
      </c>
      <c r="J163" s="74" t="s">
        <v>735</v>
      </c>
    </row>
    <row r="164" spans="1:10" ht="18" customHeight="1">
      <c r="A164" s="33">
        <v>2</v>
      </c>
      <c r="B164" s="39" t="s">
        <v>392</v>
      </c>
      <c r="C164" s="48">
        <v>41617</v>
      </c>
      <c r="D164" s="27">
        <v>330.27</v>
      </c>
      <c r="E164" s="11" t="s">
        <v>50</v>
      </c>
      <c r="F164" s="10" t="s">
        <v>52</v>
      </c>
      <c r="G164" s="39" t="s">
        <v>392</v>
      </c>
      <c r="H164" s="48">
        <v>41617</v>
      </c>
      <c r="I164" s="27">
        <v>330.27</v>
      </c>
      <c r="J164" s="74" t="s">
        <v>735</v>
      </c>
    </row>
    <row r="165" spans="1:10" ht="18" customHeight="1">
      <c r="A165" s="60">
        <v>3</v>
      </c>
      <c r="B165" s="39" t="s">
        <v>393</v>
      </c>
      <c r="C165" s="48">
        <v>41617</v>
      </c>
      <c r="D165" s="27">
        <v>122.13</v>
      </c>
      <c r="E165" s="11" t="s">
        <v>50</v>
      </c>
      <c r="F165" s="10" t="s">
        <v>52</v>
      </c>
      <c r="G165" s="39" t="s">
        <v>393</v>
      </c>
      <c r="H165" s="48">
        <v>41617</v>
      </c>
      <c r="I165" s="27">
        <v>122.13</v>
      </c>
      <c r="J165" s="74" t="s">
        <v>735</v>
      </c>
    </row>
    <row r="166" spans="1:10" ht="18" customHeight="1">
      <c r="A166" s="33">
        <v>4</v>
      </c>
      <c r="B166" s="39" t="s">
        <v>401</v>
      </c>
      <c r="C166" s="48">
        <v>41624</v>
      </c>
      <c r="D166" s="27">
        <v>180.09</v>
      </c>
      <c r="E166" s="11" t="s">
        <v>50</v>
      </c>
      <c r="F166" s="10" t="s">
        <v>52</v>
      </c>
      <c r="G166" s="39" t="s">
        <v>401</v>
      </c>
      <c r="H166" s="48">
        <v>41624</v>
      </c>
      <c r="I166" s="27">
        <v>180.09</v>
      </c>
      <c r="J166" s="74" t="s">
        <v>735</v>
      </c>
    </row>
    <row r="167" spans="1:10" ht="18" customHeight="1">
      <c r="A167" s="60">
        <v>5</v>
      </c>
      <c r="B167" s="39" t="s">
        <v>408</v>
      </c>
      <c r="C167" s="48">
        <v>41631</v>
      </c>
      <c r="D167" s="27">
        <v>60.45</v>
      </c>
      <c r="E167" s="11" t="s">
        <v>50</v>
      </c>
      <c r="F167" s="16" t="s">
        <v>52</v>
      </c>
      <c r="G167" s="39" t="s">
        <v>408</v>
      </c>
      <c r="H167" s="48">
        <v>41631</v>
      </c>
      <c r="I167" s="27">
        <v>60.45</v>
      </c>
      <c r="J167" s="74" t="s">
        <v>735</v>
      </c>
    </row>
    <row r="168" spans="1:10" ht="18" customHeight="1">
      <c r="A168" s="33">
        <v>6</v>
      </c>
      <c r="B168" s="39" t="s">
        <v>413</v>
      </c>
      <c r="C168" s="48">
        <v>41639</v>
      </c>
      <c r="D168" s="27">
        <v>120.68</v>
      </c>
      <c r="E168" s="11" t="s">
        <v>50</v>
      </c>
      <c r="F168" s="10" t="s">
        <v>52</v>
      </c>
      <c r="G168" s="39" t="s">
        <v>413</v>
      </c>
      <c r="H168" s="48">
        <v>41639</v>
      </c>
      <c r="I168" s="27">
        <v>120.68</v>
      </c>
      <c r="J168" s="74" t="s">
        <v>735</v>
      </c>
    </row>
    <row r="169" spans="1:10" ht="18" customHeight="1">
      <c r="A169" s="528" t="s">
        <v>25</v>
      </c>
      <c r="B169" s="528"/>
      <c r="C169" s="528"/>
      <c r="D169" s="58">
        <f>SUM(D163:D168)</f>
        <v>845.91000000000008</v>
      </c>
      <c r="E169" s="53"/>
      <c r="F169" s="54"/>
      <c r="G169" s="62"/>
      <c r="H169" s="55" t="s">
        <v>0</v>
      </c>
      <c r="I169" s="58">
        <f>SUM(I163:I168)</f>
        <v>845.91000000000008</v>
      </c>
      <c r="J169" s="7"/>
    </row>
    <row r="170" spans="1:10" ht="21.9" customHeight="1">
      <c r="A170" s="528" t="s">
        <v>25</v>
      </c>
      <c r="B170" s="528"/>
      <c r="C170" s="528"/>
      <c r="D170" s="58"/>
      <c r="E170" s="53"/>
      <c r="F170" s="54"/>
      <c r="G170" s="56">
        <v>3995</v>
      </c>
      <c r="H170" s="55" t="s">
        <v>1</v>
      </c>
      <c r="I170" s="57">
        <f>I169*G170</f>
        <v>3379410.45</v>
      </c>
      <c r="J170" s="7"/>
    </row>
    <row r="171" spans="1:10" ht="18" customHeight="1">
      <c r="A171" s="60">
        <v>1</v>
      </c>
      <c r="B171" s="20" t="s">
        <v>414</v>
      </c>
      <c r="C171" s="21">
        <v>41645</v>
      </c>
      <c r="D171" s="26">
        <v>36.200000000000003</v>
      </c>
      <c r="E171" s="19" t="s">
        <v>50</v>
      </c>
      <c r="F171" s="20" t="s">
        <v>52</v>
      </c>
      <c r="G171" s="20" t="s">
        <v>414</v>
      </c>
      <c r="H171" s="21">
        <v>41645</v>
      </c>
      <c r="I171" s="26">
        <v>36.200000000000003</v>
      </c>
      <c r="J171" s="74" t="s">
        <v>735</v>
      </c>
    </row>
    <row r="172" spans="1:10" ht="18" customHeight="1">
      <c r="A172" s="33">
        <v>2</v>
      </c>
      <c r="B172" s="20" t="s">
        <v>415</v>
      </c>
      <c r="C172" s="21">
        <v>41645</v>
      </c>
      <c r="D172" s="26">
        <v>212.17</v>
      </c>
      <c r="E172" s="11" t="s">
        <v>50</v>
      </c>
      <c r="F172" s="10" t="s">
        <v>52</v>
      </c>
      <c r="G172" s="20" t="s">
        <v>415</v>
      </c>
      <c r="H172" s="21">
        <v>41645</v>
      </c>
      <c r="I172" s="26">
        <v>212.17</v>
      </c>
      <c r="J172" s="74" t="s">
        <v>735</v>
      </c>
    </row>
    <row r="173" spans="1:10" ht="18" customHeight="1">
      <c r="A173" s="60">
        <v>3</v>
      </c>
      <c r="B173" s="20" t="s">
        <v>418</v>
      </c>
      <c r="C173" s="21">
        <v>41646</v>
      </c>
      <c r="D173" s="26">
        <v>4</v>
      </c>
      <c r="E173" s="19" t="s">
        <v>50</v>
      </c>
      <c r="F173" s="20" t="s">
        <v>52</v>
      </c>
      <c r="G173" s="20" t="s">
        <v>418</v>
      </c>
      <c r="H173" s="21">
        <v>41646</v>
      </c>
      <c r="I173" s="26">
        <v>4</v>
      </c>
      <c r="J173" s="74" t="s">
        <v>735</v>
      </c>
    </row>
    <row r="174" spans="1:10" ht="18" customHeight="1">
      <c r="A174" s="33">
        <v>4</v>
      </c>
      <c r="B174" s="20" t="s">
        <v>419</v>
      </c>
      <c r="C174" s="21">
        <v>41652</v>
      </c>
      <c r="D174" s="26">
        <v>239.84</v>
      </c>
      <c r="E174" s="11" t="s">
        <v>50</v>
      </c>
      <c r="F174" s="10" t="s">
        <v>52</v>
      </c>
      <c r="G174" s="20" t="s">
        <v>419</v>
      </c>
      <c r="H174" s="21">
        <v>41652</v>
      </c>
      <c r="I174" s="26">
        <v>239.84</v>
      </c>
      <c r="J174" s="74" t="s">
        <v>735</v>
      </c>
    </row>
    <row r="175" spans="1:10" ht="18" customHeight="1">
      <c r="A175" s="60">
        <v>5</v>
      </c>
      <c r="B175" s="20" t="s">
        <v>420</v>
      </c>
      <c r="C175" s="21">
        <v>41653</v>
      </c>
      <c r="D175" s="26">
        <v>65.94</v>
      </c>
      <c r="E175" s="19" t="s">
        <v>50</v>
      </c>
      <c r="F175" s="20" t="s">
        <v>52</v>
      </c>
      <c r="G175" s="20" t="s">
        <v>420</v>
      </c>
      <c r="H175" s="21">
        <v>41653</v>
      </c>
      <c r="I175" s="26">
        <v>65.94</v>
      </c>
      <c r="J175" s="74" t="s">
        <v>735</v>
      </c>
    </row>
    <row r="176" spans="1:10" ht="18" customHeight="1">
      <c r="A176" s="33">
        <v>6</v>
      </c>
      <c r="B176" s="20" t="s">
        <v>427</v>
      </c>
      <c r="C176" s="21">
        <v>41659</v>
      </c>
      <c r="D176" s="26">
        <v>125.78</v>
      </c>
      <c r="E176" s="19" t="s">
        <v>50</v>
      </c>
      <c r="F176" s="20" t="s">
        <v>52</v>
      </c>
      <c r="G176" s="20" t="s">
        <v>427</v>
      </c>
      <c r="H176" s="21">
        <v>41659</v>
      </c>
      <c r="I176" s="26">
        <v>125.78</v>
      </c>
      <c r="J176" s="74" t="s">
        <v>735</v>
      </c>
    </row>
    <row r="177" spans="1:10" ht="18" customHeight="1">
      <c r="A177" s="60">
        <v>7</v>
      </c>
      <c r="B177" s="20" t="s">
        <v>435</v>
      </c>
      <c r="C177" s="21">
        <v>41666</v>
      </c>
      <c r="D177" s="26">
        <v>73.14</v>
      </c>
      <c r="E177" s="19" t="s">
        <v>50</v>
      </c>
      <c r="F177" s="20" t="s">
        <v>52</v>
      </c>
      <c r="G177" s="20" t="s">
        <v>435</v>
      </c>
      <c r="H177" s="21">
        <v>41666</v>
      </c>
      <c r="I177" s="26">
        <v>73.14</v>
      </c>
      <c r="J177" s="74" t="s">
        <v>735</v>
      </c>
    </row>
    <row r="178" spans="1:10" ht="18" customHeight="1">
      <c r="A178" s="528" t="s">
        <v>26</v>
      </c>
      <c r="B178" s="528"/>
      <c r="C178" s="528"/>
      <c r="D178" s="52">
        <f>SUM(D171:D177)</f>
        <v>757.07</v>
      </c>
      <c r="E178" s="53"/>
      <c r="F178" s="54"/>
      <c r="G178" s="64"/>
      <c r="H178" s="55" t="s">
        <v>0</v>
      </c>
      <c r="I178" s="52">
        <f>SUM(I171:I177)</f>
        <v>757.07</v>
      </c>
      <c r="J178" s="7"/>
    </row>
    <row r="179" spans="1:10" ht="21.9" customHeight="1">
      <c r="A179" s="528" t="s">
        <v>26</v>
      </c>
      <c r="B179" s="528"/>
      <c r="C179" s="528"/>
      <c r="D179" s="52"/>
      <c r="E179" s="53"/>
      <c r="F179" s="54"/>
      <c r="G179" s="56">
        <v>3995</v>
      </c>
      <c r="H179" s="55" t="s">
        <v>1</v>
      </c>
      <c r="I179" s="57">
        <f>I178*G179</f>
        <v>3024494.6500000004</v>
      </c>
      <c r="J179" s="7"/>
    </row>
    <row r="180" spans="1:10" ht="18" customHeight="1">
      <c r="A180" s="33">
        <v>1</v>
      </c>
      <c r="B180" s="20" t="s">
        <v>438</v>
      </c>
      <c r="C180" s="21">
        <v>41674</v>
      </c>
      <c r="D180" s="26">
        <v>174.58</v>
      </c>
      <c r="E180" s="11" t="s">
        <v>50</v>
      </c>
      <c r="F180" s="10" t="s">
        <v>52</v>
      </c>
      <c r="G180" s="20" t="s">
        <v>438</v>
      </c>
      <c r="H180" s="21">
        <v>41674</v>
      </c>
      <c r="I180" s="26">
        <v>174.58</v>
      </c>
      <c r="J180" s="74" t="s">
        <v>735</v>
      </c>
    </row>
    <row r="181" spans="1:10" ht="18" customHeight="1">
      <c r="A181" s="33">
        <v>2</v>
      </c>
      <c r="B181" s="20" t="s">
        <v>444</v>
      </c>
      <c r="C181" s="21">
        <v>41680</v>
      </c>
      <c r="D181" s="26">
        <v>415.68</v>
      </c>
      <c r="E181" s="11" t="s">
        <v>50</v>
      </c>
      <c r="F181" s="10" t="s">
        <v>52</v>
      </c>
      <c r="G181" s="20" t="s">
        <v>444</v>
      </c>
      <c r="H181" s="21">
        <v>41680</v>
      </c>
      <c r="I181" s="26">
        <v>415.68</v>
      </c>
      <c r="J181" s="74" t="s">
        <v>735</v>
      </c>
    </row>
    <row r="182" spans="1:10" ht="18" customHeight="1">
      <c r="A182" s="33">
        <v>3</v>
      </c>
      <c r="B182" s="20" t="s">
        <v>448</v>
      </c>
      <c r="C182" s="21">
        <v>41687</v>
      </c>
      <c r="D182" s="26">
        <v>40.6</v>
      </c>
      <c r="E182" s="19" t="s">
        <v>50</v>
      </c>
      <c r="F182" s="20" t="s">
        <v>52</v>
      </c>
      <c r="G182" s="20" t="s">
        <v>448</v>
      </c>
      <c r="H182" s="21">
        <v>41687</v>
      </c>
      <c r="I182" s="26">
        <v>40.6</v>
      </c>
      <c r="J182" s="74" t="s">
        <v>735</v>
      </c>
    </row>
    <row r="183" spans="1:10" ht="18" customHeight="1">
      <c r="A183" s="33">
        <v>4</v>
      </c>
      <c r="B183" s="20" t="s">
        <v>449</v>
      </c>
      <c r="C183" s="21">
        <v>41687</v>
      </c>
      <c r="D183" s="26">
        <v>304.44</v>
      </c>
      <c r="E183" s="11" t="s">
        <v>50</v>
      </c>
      <c r="F183" s="10" t="s">
        <v>52</v>
      </c>
      <c r="G183" s="20" t="s">
        <v>449</v>
      </c>
      <c r="H183" s="21">
        <v>41687</v>
      </c>
      <c r="I183" s="26">
        <v>304.44</v>
      </c>
      <c r="J183" s="74" t="s">
        <v>735</v>
      </c>
    </row>
    <row r="184" spans="1:10" ht="18" customHeight="1">
      <c r="A184" s="33">
        <v>5</v>
      </c>
      <c r="B184" s="20" t="s">
        <v>455</v>
      </c>
      <c r="C184" s="21">
        <v>41688</v>
      </c>
      <c r="D184" s="26">
        <v>104.76</v>
      </c>
      <c r="E184" s="11" t="s">
        <v>50</v>
      </c>
      <c r="F184" s="10" t="s">
        <v>52</v>
      </c>
      <c r="G184" s="20" t="s">
        <v>455</v>
      </c>
      <c r="H184" s="21">
        <v>41688</v>
      </c>
      <c r="I184" s="26">
        <v>104.76</v>
      </c>
      <c r="J184" s="74" t="s">
        <v>735</v>
      </c>
    </row>
    <row r="185" spans="1:10" ht="18" customHeight="1">
      <c r="A185" s="33">
        <v>6</v>
      </c>
      <c r="B185" s="20" t="s">
        <v>456</v>
      </c>
      <c r="C185" s="21">
        <v>41689</v>
      </c>
      <c r="D185" s="26">
        <v>4</v>
      </c>
      <c r="E185" s="19" t="s">
        <v>50</v>
      </c>
      <c r="F185" s="20" t="s">
        <v>52</v>
      </c>
      <c r="G185" s="20" t="s">
        <v>456</v>
      </c>
      <c r="H185" s="21">
        <v>41689</v>
      </c>
      <c r="I185" s="26">
        <v>4</v>
      </c>
      <c r="J185" s="74" t="s">
        <v>735</v>
      </c>
    </row>
    <row r="186" spans="1:10" ht="18" customHeight="1">
      <c r="A186" s="33">
        <v>7</v>
      </c>
      <c r="B186" s="20" t="s">
        <v>457</v>
      </c>
      <c r="C186" s="21">
        <v>41694</v>
      </c>
      <c r="D186" s="26">
        <v>85.78</v>
      </c>
      <c r="E186" s="11" t="s">
        <v>50</v>
      </c>
      <c r="F186" s="10" t="s">
        <v>52</v>
      </c>
      <c r="G186" s="20" t="s">
        <v>457</v>
      </c>
      <c r="H186" s="21">
        <v>41694</v>
      </c>
      <c r="I186" s="26">
        <v>85.78</v>
      </c>
      <c r="J186" s="74" t="s">
        <v>735</v>
      </c>
    </row>
    <row r="187" spans="1:10" ht="18" customHeight="1">
      <c r="A187" s="33">
        <v>8</v>
      </c>
      <c r="B187" s="20" t="s">
        <v>458</v>
      </c>
      <c r="C187" s="21">
        <v>41694</v>
      </c>
      <c r="D187" s="26">
        <v>270.20999999999998</v>
      </c>
      <c r="E187" s="11" t="s">
        <v>50</v>
      </c>
      <c r="F187" s="10" t="s">
        <v>52</v>
      </c>
      <c r="G187" s="20" t="s">
        <v>458</v>
      </c>
      <c r="H187" s="21">
        <v>41694</v>
      </c>
      <c r="I187" s="26">
        <v>270.20999999999998</v>
      </c>
      <c r="J187" s="74" t="s">
        <v>735</v>
      </c>
    </row>
    <row r="188" spans="1:10" ht="18" customHeight="1">
      <c r="A188" s="528" t="s">
        <v>36</v>
      </c>
      <c r="B188" s="528"/>
      <c r="C188" s="528"/>
      <c r="D188" s="52">
        <f>SUM(D180:D187)</f>
        <v>1400.05</v>
      </c>
      <c r="E188" s="53"/>
      <c r="F188" s="54"/>
      <c r="G188" s="64"/>
      <c r="H188" s="55" t="s">
        <v>0</v>
      </c>
      <c r="I188" s="52">
        <f>SUM(I180:I187)</f>
        <v>1400.05</v>
      </c>
      <c r="J188" s="7"/>
    </row>
    <row r="189" spans="1:10" ht="21.9" customHeight="1">
      <c r="A189" s="528" t="s">
        <v>36</v>
      </c>
      <c r="B189" s="528"/>
      <c r="C189" s="528"/>
      <c r="D189" s="52"/>
      <c r="E189" s="53"/>
      <c r="F189" s="54"/>
      <c r="G189" s="56">
        <v>3984</v>
      </c>
      <c r="H189" s="55" t="s">
        <v>1</v>
      </c>
      <c r="I189" s="57">
        <f>I188*G189</f>
        <v>5577799.2000000002</v>
      </c>
      <c r="J189" s="7"/>
    </row>
    <row r="190" spans="1:10" ht="18" customHeight="1">
      <c r="A190" s="33">
        <v>1</v>
      </c>
      <c r="B190" s="20" t="s">
        <v>462</v>
      </c>
      <c r="C190" s="21">
        <v>41701</v>
      </c>
      <c r="D190" s="26">
        <v>83.61</v>
      </c>
      <c r="E190" s="11" t="s">
        <v>50</v>
      </c>
      <c r="F190" s="10" t="s">
        <v>52</v>
      </c>
      <c r="G190" s="20" t="s">
        <v>462</v>
      </c>
      <c r="H190" s="21">
        <v>41701</v>
      </c>
      <c r="I190" s="26">
        <v>83.61</v>
      </c>
      <c r="J190" s="74" t="s">
        <v>735</v>
      </c>
    </row>
    <row r="191" spans="1:10" ht="18" customHeight="1">
      <c r="A191" s="33">
        <v>2</v>
      </c>
      <c r="B191" s="20" t="s">
        <v>464</v>
      </c>
      <c r="C191" s="21">
        <v>41708</v>
      </c>
      <c r="D191" s="26">
        <v>103.64</v>
      </c>
      <c r="E191" s="11" t="s">
        <v>50</v>
      </c>
      <c r="F191" s="10" t="s">
        <v>52</v>
      </c>
      <c r="G191" s="20" t="s">
        <v>464</v>
      </c>
      <c r="H191" s="21">
        <v>41708</v>
      </c>
      <c r="I191" s="26">
        <v>103.64</v>
      </c>
      <c r="J191" s="74" t="s">
        <v>735</v>
      </c>
    </row>
    <row r="192" spans="1:10" ht="18" customHeight="1">
      <c r="A192" s="33">
        <v>3</v>
      </c>
      <c r="B192" s="20" t="s">
        <v>465</v>
      </c>
      <c r="C192" s="21">
        <v>41709</v>
      </c>
      <c r="D192" s="26">
        <v>440.98</v>
      </c>
      <c r="E192" s="11" t="s">
        <v>50</v>
      </c>
      <c r="F192" s="10" t="s">
        <v>52</v>
      </c>
      <c r="G192" s="20" t="s">
        <v>465</v>
      </c>
      <c r="H192" s="21">
        <v>41709</v>
      </c>
      <c r="I192" s="26">
        <v>440.98</v>
      </c>
      <c r="J192" s="74" t="s">
        <v>735</v>
      </c>
    </row>
    <row r="193" spans="1:10" ht="18" customHeight="1">
      <c r="A193" s="33">
        <v>4</v>
      </c>
      <c r="B193" s="20" t="s">
        <v>474</v>
      </c>
      <c r="C193" s="21">
        <v>41715</v>
      </c>
      <c r="D193" s="26">
        <v>381.77</v>
      </c>
      <c r="E193" s="11" t="s">
        <v>50</v>
      </c>
      <c r="F193" s="10" t="s">
        <v>52</v>
      </c>
      <c r="G193" s="20" t="s">
        <v>474</v>
      </c>
      <c r="H193" s="21">
        <v>41715</v>
      </c>
      <c r="I193" s="26">
        <v>381.77</v>
      </c>
      <c r="J193" s="74" t="s">
        <v>735</v>
      </c>
    </row>
    <row r="194" spans="1:10" ht="18" customHeight="1">
      <c r="A194" s="33">
        <v>5</v>
      </c>
      <c r="B194" s="20" t="s">
        <v>479</v>
      </c>
      <c r="C194" s="21">
        <v>41717</v>
      </c>
      <c r="D194" s="26">
        <v>16</v>
      </c>
      <c r="E194" s="19" t="s">
        <v>50</v>
      </c>
      <c r="F194" s="20" t="s">
        <v>52</v>
      </c>
      <c r="G194" s="20" t="s">
        <v>479</v>
      </c>
      <c r="H194" s="21">
        <v>41717</v>
      </c>
      <c r="I194" s="26">
        <v>16</v>
      </c>
      <c r="J194" s="74" t="s">
        <v>735</v>
      </c>
    </row>
    <row r="195" spans="1:10" ht="18" customHeight="1">
      <c r="A195" s="33">
        <v>6</v>
      </c>
      <c r="B195" s="20" t="s">
        <v>480</v>
      </c>
      <c r="C195" s="21">
        <v>41722</v>
      </c>
      <c r="D195" s="26">
        <v>107.59</v>
      </c>
      <c r="E195" s="11" t="s">
        <v>50</v>
      </c>
      <c r="F195" s="10" t="s">
        <v>52</v>
      </c>
      <c r="G195" s="20" t="s">
        <v>480</v>
      </c>
      <c r="H195" s="21">
        <v>41722</v>
      </c>
      <c r="I195" s="26">
        <v>107.59</v>
      </c>
      <c r="J195" s="74" t="s">
        <v>735</v>
      </c>
    </row>
    <row r="196" spans="1:10" ht="18" customHeight="1">
      <c r="A196" s="33">
        <v>7</v>
      </c>
      <c r="B196" s="20" t="s">
        <v>486</v>
      </c>
      <c r="C196" s="21">
        <v>41729</v>
      </c>
      <c r="D196" s="26">
        <v>139.13999999999999</v>
      </c>
      <c r="E196" s="19" t="s">
        <v>50</v>
      </c>
      <c r="F196" s="20" t="s">
        <v>52</v>
      </c>
      <c r="G196" s="20" t="s">
        <v>486</v>
      </c>
      <c r="H196" s="21">
        <v>41729</v>
      </c>
      <c r="I196" s="26">
        <v>139.13999999999999</v>
      </c>
      <c r="J196" s="74" t="s">
        <v>735</v>
      </c>
    </row>
    <row r="197" spans="1:10" ht="18" customHeight="1">
      <c r="A197" s="528" t="s">
        <v>37</v>
      </c>
      <c r="B197" s="528"/>
      <c r="C197" s="528"/>
      <c r="D197" s="52">
        <f>SUM(D190:D196)</f>
        <v>1272.73</v>
      </c>
      <c r="E197" s="53"/>
      <c r="F197" s="54"/>
      <c r="G197" s="64"/>
      <c r="H197" s="55" t="s">
        <v>0</v>
      </c>
      <c r="I197" s="52">
        <f>SUM(I190:I196)</f>
        <v>1272.73</v>
      </c>
      <c r="J197" s="7"/>
    </row>
    <row r="198" spans="1:10" ht="21.9" customHeight="1">
      <c r="A198" s="528" t="s">
        <v>37</v>
      </c>
      <c r="B198" s="528"/>
      <c r="C198" s="528"/>
      <c r="D198" s="52"/>
      <c r="E198" s="53"/>
      <c r="F198" s="54"/>
      <c r="G198" s="56">
        <v>4002</v>
      </c>
      <c r="H198" s="55" t="s">
        <v>1</v>
      </c>
      <c r="I198" s="57">
        <f>I197*G198</f>
        <v>5093465.46</v>
      </c>
      <c r="J198" s="7"/>
    </row>
    <row r="199" spans="1:10" ht="18" customHeight="1">
      <c r="A199" s="33">
        <v>1</v>
      </c>
      <c r="B199" s="20" t="s">
        <v>488</v>
      </c>
      <c r="C199" s="21">
        <v>41736</v>
      </c>
      <c r="D199" s="26">
        <v>295.52</v>
      </c>
      <c r="E199" s="11" t="s">
        <v>50</v>
      </c>
      <c r="F199" s="10" t="s">
        <v>52</v>
      </c>
      <c r="G199" s="20" t="s">
        <v>488</v>
      </c>
      <c r="H199" s="21">
        <v>41736</v>
      </c>
      <c r="I199" s="26">
        <v>295.52</v>
      </c>
      <c r="J199" s="74" t="s">
        <v>735</v>
      </c>
    </row>
    <row r="200" spans="1:10" ht="18" customHeight="1">
      <c r="A200" s="33">
        <v>2</v>
      </c>
      <c r="B200" s="20" t="s">
        <v>487</v>
      </c>
      <c r="C200" s="21">
        <v>41731</v>
      </c>
      <c r="D200" s="26">
        <v>4</v>
      </c>
      <c r="E200" s="19" t="s">
        <v>50</v>
      </c>
      <c r="F200" s="20" t="s">
        <v>52</v>
      </c>
      <c r="G200" s="20" t="s">
        <v>487</v>
      </c>
      <c r="H200" s="21">
        <v>41731</v>
      </c>
      <c r="I200" s="26">
        <v>4</v>
      </c>
      <c r="J200" s="74" t="s">
        <v>735</v>
      </c>
    </row>
    <row r="201" spans="1:10" ht="18" customHeight="1">
      <c r="A201" s="33">
        <v>3</v>
      </c>
      <c r="B201" s="20" t="s">
        <v>495</v>
      </c>
      <c r="C201" s="21">
        <v>41744</v>
      </c>
      <c r="D201" s="26">
        <v>242.83</v>
      </c>
      <c r="E201" s="11" t="s">
        <v>50</v>
      </c>
      <c r="F201" s="10" t="s">
        <v>52</v>
      </c>
      <c r="G201" s="20" t="s">
        <v>495</v>
      </c>
      <c r="H201" s="21">
        <v>41744</v>
      </c>
      <c r="I201" s="26">
        <v>242.83</v>
      </c>
      <c r="J201" s="74" t="s">
        <v>735</v>
      </c>
    </row>
    <row r="202" spans="1:10" ht="18" customHeight="1">
      <c r="A202" s="33">
        <v>4</v>
      </c>
      <c r="B202" s="20" t="s">
        <v>502</v>
      </c>
      <c r="C202" s="21">
        <v>41750</v>
      </c>
      <c r="D202" s="26">
        <v>130.46</v>
      </c>
      <c r="E202" s="11" t="s">
        <v>50</v>
      </c>
      <c r="F202" s="10" t="s">
        <v>52</v>
      </c>
      <c r="G202" s="20" t="s">
        <v>502</v>
      </c>
      <c r="H202" s="21">
        <v>41750</v>
      </c>
      <c r="I202" s="26">
        <v>130.46</v>
      </c>
      <c r="J202" s="74" t="s">
        <v>735</v>
      </c>
    </row>
    <row r="203" spans="1:10" ht="18" customHeight="1">
      <c r="A203" s="33">
        <v>5</v>
      </c>
      <c r="B203" s="20" t="s">
        <v>509</v>
      </c>
      <c r="C203" s="21">
        <v>41757</v>
      </c>
      <c r="D203" s="26">
        <v>113.27</v>
      </c>
      <c r="E203" s="11" t="s">
        <v>50</v>
      </c>
      <c r="F203" s="10" t="s">
        <v>52</v>
      </c>
      <c r="G203" s="20" t="s">
        <v>509</v>
      </c>
      <c r="H203" s="21">
        <v>41757</v>
      </c>
      <c r="I203" s="26">
        <v>113.27</v>
      </c>
      <c r="J203" s="74" t="s">
        <v>735</v>
      </c>
    </row>
    <row r="204" spans="1:10" ht="18" customHeight="1">
      <c r="A204" s="528" t="s">
        <v>38</v>
      </c>
      <c r="B204" s="528"/>
      <c r="C204" s="528"/>
      <c r="D204" s="52">
        <f>SUM(D199:D203)</f>
        <v>786.08</v>
      </c>
      <c r="E204" s="53"/>
      <c r="F204" s="54"/>
      <c r="G204" s="64"/>
      <c r="H204" s="55" t="s">
        <v>0</v>
      </c>
      <c r="I204" s="52">
        <f>SUM(I199:I203)</f>
        <v>786.08</v>
      </c>
      <c r="J204" s="7"/>
    </row>
    <row r="205" spans="1:10" ht="21.9" customHeight="1">
      <c r="A205" s="528" t="s">
        <v>38</v>
      </c>
      <c r="B205" s="528"/>
      <c r="C205" s="528"/>
      <c r="D205" s="52"/>
      <c r="E205" s="53"/>
      <c r="F205" s="54"/>
      <c r="G205" s="56">
        <v>4015</v>
      </c>
      <c r="H205" s="55" t="s">
        <v>1</v>
      </c>
      <c r="I205" s="57">
        <f>I204*G205</f>
        <v>3156111.2</v>
      </c>
      <c r="J205" s="7"/>
    </row>
    <row r="206" spans="1:10" ht="18" customHeight="1">
      <c r="A206" s="33">
        <v>1</v>
      </c>
      <c r="B206" s="24" t="s">
        <v>512</v>
      </c>
      <c r="C206" s="21">
        <v>41764</v>
      </c>
      <c r="D206" s="26">
        <v>237.93</v>
      </c>
      <c r="E206" s="11" t="s">
        <v>50</v>
      </c>
      <c r="F206" s="10" t="s">
        <v>52</v>
      </c>
      <c r="G206" s="24" t="s">
        <v>512</v>
      </c>
      <c r="H206" s="21">
        <v>41764</v>
      </c>
      <c r="I206" s="26">
        <v>237.93</v>
      </c>
      <c r="J206" s="74" t="s">
        <v>735</v>
      </c>
    </row>
    <row r="207" spans="1:10" ht="18" customHeight="1">
      <c r="A207" s="33">
        <v>2</v>
      </c>
      <c r="B207" s="24" t="s">
        <v>520</v>
      </c>
      <c r="C207" s="21">
        <v>41772</v>
      </c>
      <c r="D207" s="26">
        <v>188.08</v>
      </c>
      <c r="E207" s="11" t="s">
        <v>50</v>
      </c>
      <c r="F207" s="10" t="s">
        <v>52</v>
      </c>
      <c r="G207" s="24" t="s">
        <v>520</v>
      </c>
      <c r="H207" s="21">
        <v>41772</v>
      </c>
      <c r="I207" s="26">
        <v>188.08</v>
      </c>
      <c r="J207" s="74" t="s">
        <v>735</v>
      </c>
    </row>
    <row r="208" spans="1:10" ht="18" customHeight="1">
      <c r="A208" s="33">
        <v>3</v>
      </c>
      <c r="B208" s="24" t="s">
        <v>522</v>
      </c>
      <c r="C208" s="21">
        <v>41778</v>
      </c>
      <c r="D208" s="26">
        <v>119.01</v>
      </c>
      <c r="E208" s="11" t="s">
        <v>50</v>
      </c>
      <c r="F208" s="10" t="s">
        <v>52</v>
      </c>
      <c r="G208" s="24" t="s">
        <v>522</v>
      </c>
      <c r="H208" s="21">
        <v>41778</v>
      </c>
      <c r="I208" s="26">
        <v>119.01</v>
      </c>
      <c r="J208" s="74" t="s">
        <v>735</v>
      </c>
    </row>
    <row r="209" spans="1:10" ht="18" customHeight="1">
      <c r="A209" s="33">
        <v>4</v>
      </c>
      <c r="B209" s="24" t="s">
        <v>526</v>
      </c>
      <c r="C209" s="21">
        <v>41782</v>
      </c>
      <c r="D209" s="26">
        <v>30</v>
      </c>
      <c r="E209" s="10" t="s">
        <v>50</v>
      </c>
      <c r="F209" s="24" t="s">
        <v>52</v>
      </c>
      <c r="G209" s="24" t="s">
        <v>526</v>
      </c>
      <c r="H209" s="21">
        <v>41782</v>
      </c>
      <c r="I209" s="26">
        <v>30</v>
      </c>
      <c r="J209" s="74" t="s">
        <v>735</v>
      </c>
    </row>
    <row r="210" spans="1:10" ht="18" customHeight="1">
      <c r="A210" s="33">
        <v>5</v>
      </c>
      <c r="B210" s="24" t="s">
        <v>527</v>
      </c>
      <c r="C210" s="21">
        <v>41785</v>
      </c>
      <c r="D210" s="26">
        <v>100.65</v>
      </c>
      <c r="E210" s="10" t="s">
        <v>50</v>
      </c>
      <c r="F210" s="24" t="s">
        <v>52</v>
      </c>
      <c r="G210" s="24" t="s">
        <v>527</v>
      </c>
      <c r="H210" s="21">
        <v>41785</v>
      </c>
      <c r="I210" s="26">
        <v>100.65</v>
      </c>
      <c r="J210" s="74" t="s">
        <v>735</v>
      </c>
    </row>
    <row r="211" spans="1:10" ht="18" customHeight="1">
      <c r="A211" s="528" t="s">
        <v>39</v>
      </c>
      <c r="B211" s="528"/>
      <c r="C211" s="528"/>
      <c r="D211" s="52">
        <f>SUM(D206:D210)</f>
        <v>675.67</v>
      </c>
      <c r="E211" s="53"/>
      <c r="F211" s="54"/>
      <c r="G211" s="65"/>
      <c r="H211" s="55" t="s">
        <v>0</v>
      </c>
      <c r="I211" s="52">
        <f>SUM(I206:I210)</f>
        <v>675.67</v>
      </c>
      <c r="J211" s="7"/>
    </row>
    <row r="212" spans="1:10" ht="21.9" customHeight="1">
      <c r="A212" s="528" t="s">
        <v>39</v>
      </c>
      <c r="B212" s="528"/>
      <c r="C212" s="528"/>
      <c r="D212" s="52"/>
      <c r="E212" s="53"/>
      <c r="F212" s="54"/>
      <c r="G212" s="56">
        <v>4025</v>
      </c>
      <c r="H212" s="55" t="s">
        <v>1</v>
      </c>
      <c r="I212" s="57">
        <f>I211*G212</f>
        <v>2719571.75</v>
      </c>
      <c r="J212" s="7"/>
    </row>
    <row r="213" spans="1:10" ht="18" customHeight="1">
      <c r="A213" s="33">
        <v>1</v>
      </c>
      <c r="B213" s="24" t="s">
        <v>529</v>
      </c>
      <c r="C213" s="21">
        <v>41792</v>
      </c>
      <c r="D213" s="26">
        <v>209.57</v>
      </c>
      <c r="E213" s="11" t="s">
        <v>50</v>
      </c>
      <c r="F213" s="10" t="s">
        <v>52</v>
      </c>
      <c r="G213" s="24" t="s">
        <v>529</v>
      </c>
      <c r="H213" s="21">
        <v>41792</v>
      </c>
      <c r="I213" s="26">
        <v>209.57</v>
      </c>
      <c r="J213" s="76" t="s">
        <v>735</v>
      </c>
    </row>
    <row r="214" spans="1:10" ht="18" customHeight="1">
      <c r="A214" s="33">
        <v>2</v>
      </c>
      <c r="B214" s="24" t="s">
        <v>533</v>
      </c>
      <c r="C214" s="21">
        <v>41799</v>
      </c>
      <c r="D214" s="26">
        <v>188.93</v>
      </c>
      <c r="E214" s="11" t="s">
        <v>50</v>
      </c>
      <c r="F214" s="10" t="s">
        <v>52</v>
      </c>
      <c r="G214" s="24" t="s">
        <v>533</v>
      </c>
      <c r="H214" s="21">
        <v>41799</v>
      </c>
      <c r="I214" s="26">
        <v>188.93</v>
      </c>
      <c r="J214" s="76" t="s">
        <v>735</v>
      </c>
    </row>
    <row r="215" spans="1:10" ht="18" customHeight="1">
      <c r="A215" s="33">
        <v>3</v>
      </c>
      <c r="B215" s="24" t="s">
        <v>541</v>
      </c>
      <c r="C215" s="21">
        <v>41806</v>
      </c>
      <c r="D215" s="26">
        <v>26.87</v>
      </c>
      <c r="E215" s="11" t="s">
        <v>50</v>
      </c>
      <c r="F215" s="24" t="s">
        <v>52</v>
      </c>
      <c r="G215" s="24" t="s">
        <v>541</v>
      </c>
      <c r="H215" s="21">
        <v>41806</v>
      </c>
      <c r="I215" s="26">
        <v>26.87</v>
      </c>
      <c r="J215" s="76" t="s">
        <v>735</v>
      </c>
    </row>
    <row r="216" spans="1:10" ht="18" customHeight="1">
      <c r="A216" s="33">
        <v>4</v>
      </c>
      <c r="B216" s="24" t="s">
        <v>551</v>
      </c>
      <c r="C216" s="21">
        <v>41813</v>
      </c>
      <c r="D216" s="26">
        <v>173.82</v>
      </c>
      <c r="E216" s="10" t="s">
        <v>50</v>
      </c>
      <c r="F216" s="24" t="s">
        <v>52</v>
      </c>
      <c r="G216" s="24" t="s">
        <v>551</v>
      </c>
      <c r="H216" s="21">
        <v>41813</v>
      </c>
      <c r="I216" s="26">
        <v>173.82</v>
      </c>
      <c r="J216" s="76" t="s">
        <v>735</v>
      </c>
    </row>
    <row r="217" spans="1:10" ht="18" customHeight="1">
      <c r="A217" s="33">
        <v>5</v>
      </c>
      <c r="B217" s="24" t="s">
        <v>555</v>
      </c>
      <c r="C217" s="21">
        <v>41820</v>
      </c>
      <c r="D217" s="26">
        <v>139.37</v>
      </c>
      <c r="E217" s="11" t="s">
        <v>50</v>
      </c>
      <c r="F217" s="10" t="s">
        <v>52</v>
      </c>
      <c r="G217" s="24" t="s">
        <v>555</v>
      </c>
      <c r="H217" s="21">
        <v>41820</v>
      </c>
      <c r="I217" s="26">
        <v>139.37</v>
      </c>
      <c r="J217" s="76" t="s">
        <v>735</v>
      </c>
    </row>
    <row r="218" spans="1:10" ht="18" customHeight="1">
      <c r="A218" s="528" t="s">
        <v>40</v>
      </c>
      <c r="B218" s="528"/>
      <c r="C218" s="528"/>
      <c r="D218" s="52">
        <f>SUM(D213:D217)</f>
        <v>738.56000000000006</v>
      </c>
      <c r="E218" s="53"/>
      <c r="F218" s="54"/>
      <c r="G218" s="65"/>
      <c r="H218" s="55" t="s">
        <v>0</v>
      </c>
      <c r="I218" s="52">
        <f>SUM(I213:I217)</f>
        <v>738.56000000000006</v>
      </c>
      <c r="J218" s="7"/>
    </row>
    <row r="219" spans="1:10" ht="21.9" customHeight="1">
      <c r="A219" s="528" t="s">
        <v>40</v>
      </c>
      <c r="B219" s="528"/>
      <c r="C219" s="528"/>
      <c r="D219" s="52"/>
      <c r="E219" s="53"/>
      <c r="F219" s="54"/>
      <c r="G219" s="56">
        <v>4039</v>
      </c>
      <c r="H219" s="55" t="s">
        <v>1</v>
      </c>
      <c r="I219" s="57">
        <f>I218*G219</f>
        <v>2983043.8400000003</v>
      </c>
      <c r="J219" s="7"/>
    </row>
    <row r="220" spans="1:10" ht="18" customHeight="1">
      <c r="A220" s="33">
        <v>1</v>
      </c>
      <c r="B220" s="24" t="s">
        <v>556</v>
      </c>
      <c r="C220" s="21">
        <v>41827</v>
      </c>
      <c r="D220" s="26">
        <v>84.54</v>
      </c>
      <c r="E220" s="11" t="s">
        <v>50</v>
      </c>
      <c r="F220" s="10" t="s">
        <v>52</v>
      </c>
      <c r="G220" s="24" t="s">
        <v>556</v>
      </c>
      <c r="H220" s="21">
        <v>41827</v>
      </c>
      <c r="I220" s="26">
        <v>84.54</v>
      </c>
      <c r="J220" s="76" t="s">
        <v>735</v>
      </c>
    </row>
    <row r="221" spans="1:10" ht="18" customHeight="1">
      <c r="A221" s="33">
        <v>2</v>
      </c>
      <c r="B221" s="24" t="s">
        <v>560</v>
      </c>
      <c r="C221" s="21">
        <v>41834</v>
      </c>
      <c r="D221" s="26">
        <v>55.59</v>
      </c>
      <c r="E221" s="10" t="s">
        <v>50</v>
      </c>
      <c r="F221" s="24" t="s">
        <v>52</v>
      </c>
      <c r="G221" s="24" t="s">
        <v>560</v>
      </c>
      <c r="H221" s="21">
        <v>41834</v>
      </c>
      <c r="I221" s="26">
        <v>55.59</v>
      </c>
      <c r="J221" s="76" t="s">
        <v>735</v>
      </c>
    </row>
    <row r="222" spans="1:10" ht="18" customHeight="1">
      <c r="A222" s="33">
        <v>3</v>
      </c>
      <c r="B222" s="24" t="s">
        <v>572</v>
      </c>
      <c r="C222" s="21">
        <v>41848</v>
      </c>
      <c r="D222" s="26">
        <v>24.98</v>
      </c>
      <c r="E222" s="10" t="s">
        <v>50</v>
      </c>
      <c r="F222" s="24" t="s">
        <v>52</v>
      </c>
      <c r="G222" s="24" t="s">
        <v>572</v>
      </c>
      <c r="H222" s="21">
        <v>41848</v>
      </c>
      <c r="I222" s="26">
        <v>24.98</v>
      </c>
      <c r="J222" s="76" t="s">
        <v>735</v>
      </c>
    </row>
    <row r="223" spans="1:10" ht="18" customHeight="1">
      <c r="A223" s="528" t="s">
        <v>41</v>
      </c>
      <c r="B223" s="528"/>
      <c r="C223" s="528"/>
      <c r="D223" s="52">
        <f>SUM(D220:D222)</f>
        <v>165.10999999999999</v>
      </c>
      <c r="E223" s="54"/>
      <c r="F223" s="65"/>
      <c r="G223" s="65"/>
      <c r="H223" s="55" t="s">
        <v>0</v>
      </c>
      <c r="I223" s="52">
        <f>SUM(I220:I222)</f>
        <v>165.10999999999999</v>
      </c>
      <c r="J223" s="7"/>
    </row>
    <row r="224" spans="1:10" ht="21.9" customHeight="1">
      <c r="A224" s="528" t="s">
        <v>41</v>
      </c>
      <c r="B224" s="528"/>
      <c r="C224" s="528"/>
      <c r="D224" s="52"/>
      <c r="E224" s="53"/>
      <c r="F224" s="54"/>
      <c r="G224" s="56">
        <v>4045</v>
      </c>
      <c r="H224" s="55" t="s">
        <v>1</v>
      </c>
      <c r="I224" s="57">
        <f>I223*G224</f>
        <v>667869.94999999995</v>
      </c>
      <c r="J224" s="7"/>
    </row>
    <row r="225" spans="1:10" ht="18" customHeight="1">
      <c r="A225" s="33">
        <v>1</v>
      </c>
      <c r="B225" s="24" t="s">
        <v>574</v>
      </c>
      <c r="C225" s="21">
        <v>41855</v>
      </c>
      <c r="D225" s="26">
        <v>105</v>
      </c>
      <c r="E225" s="11" t="s">
        <v>50</v>
      </c>
      <c r="F225" s="10" t="s">
        <v>52</v>
      </c>
      <c r="G225" s="24" t="s">
        <v>574</v>
      </c>
      <c r="H225" s="21">
        <v>41855</v>
      </c>
      <c r="I225" s="26">
        <v>105</v>
      </c>
      <c r="J225" s="76" t="s">
        <v>735</v>
      </c>
    </row>
    <row r="226" spans="1:10" ht="18" customHeight="1">
      <c r="A226" s="33">
        <v>2</v>
      </c>
      <c r="B226" s="24" t="s">
        <v>584</v>
      </c>
      <c r="C226" s="21">
        <v>41862</v>
      </c>
      <c r="D226" s="26">
        <v>132.69</v>
      </c>
      <c r="E226" s="11" t="s">
        <v>50</v>
      </c>
      <c r="F226" s="10" t="s">
        <v>52</v>
      </c>
      <c r="G226" s="24" t="s">
        <v>584</v>
      </c>
      <c r="H226" s="21">
        <v>41862</v>
      </c>
      <c r="I226" s="26">
        <v>132.69</v>
      </c>
      <c r="J226" s="76" t="s">
        <v>735</v>
      </c>
    </row>
    <row r="227" spans="1:10" ht="18" customHeight="1">
      <c r="A227" s="33">
        <v>3</v>
      </c>
      <c r="B227" s="24" t="s">
        <v>592</v>
      </c>
      <c r="C227" s="21">
        <v>41869</v>
      </c>
      <c r="D227" s="26">
        <v>91.69</v>
      </c>
      <c r="E227" s="11" t="s">
        <v>50</v>
      </c>
      <c r="F227" s="10" t="s">
        <v>52</v>
      </c>
      <c r="G227" s="24" t="s">
        <v>592</v>
      </c>
      <c r="H227" s="21">
        <v>41869</v>
      </c>
      <c r="I227" s="26">
        <v>91.69</v>
      </c>
      <c r="J227" s="76" t="s">
        <v>735</v>
      </c>
    </row>
    <row r="228" spans="1:10" ht="18" customHeight="1">
      <c r="A228" s="33">
        <v>4</v>
      </c>
      <c r="B228" s="24" t="s">
        <v>599</v>
      </c>
      <c r="C228" s="21">
        <v>41876</v>
      </c>
      <c r="D228" s="26">
        <v>65.319999999999993</v>
      </c>
      <c r="E228" s="10" t="s">
        <v>50</v>
      </c>
      <c r="F228" s="24" t="s">
        <v>52</v>
      </c>
      <c r="G228" s="24" t="s">
        <v>599</v>
      </c>
      <c r="H228" s="21">
        <v>41876</v>
      </c>
      <c r="I228" s="26">
        <v>65.319999999999993</v>
      </c>
      <c r="J228" s="76" t="s">
        <v>735</v>
      </c>
    </row>
    <row r="229" spans="1:10" ht="18" customHeight="1">
      <c r="A229" s="528" t="s">
        <v>42</v>
      </c>
      <c r="B229" s="528"/>
      <c r="C229" s="528"/>
      <c r="D229" s="52">
        <f>SUM(D225:D228)</f>
        <v>394.7</v>
      </c>
      <c r="E229" s="53"/>
      <c r="F229" s="54"/>
      <c r="G229" s="65"/>
      <c r="H229" s="55" t="s">
        <v>0</v>
      </c>
      <c r="I229" s="52">
        <f>SUM(I225:I228)</f>
        <v>394.7</v>
      </c>
      <c r="J229" s="7"/>
    </row>
    <row r="230" spans="1:10" ht="21.9" customHeight="1">
      <c r="A230" s="528" t="s">
        <v>42</v>
      </c>
      <c r="B230" s="528"/>
      <c r="C230" s="528"/>
      <c r="D230" s="52"/>
      <c r="E230" s="53"/>
      <c r="F230" s="54"/>
      <c r="G230" s="56">
        <v>4058</v>
      </c>
      <c r="H230" s="55" t="s">
        <v>1</v>
      </c>
      <c r="I230" s="57">
        <f>I229*G230</f>
        <v>1601692.5999999999</v>
      </c>
      <c r="J230" s="7"/>
    </row>
    <row r="231" spans="1:10" ht="18" customHeight="1">
      <c r="A231" s="33">
        <v>1</v>
      </c>
      <c r="B231" s="24" t="s">
        <v>610</v>
      </c>
      <c r="C231" s="21">
        <v>41884</v>
      </c>
      <c r="D231" s="26">
        <v>144.47</v>
      </c>
      <c r="E231" s="11" t="s">
        <v>50</v>
      </c>
      <c r="F231" s="10" t="s">
        <v>52</v>
      </c>
      <c r="G231" s="24" t="s">
        <v>610</v>
      </c>
      <c r="H231" s="21">
        <v>41884</v>
      </c>
      <c r="I231" s="26">
        <v>144.47</v>
      </c>
      <c r="J231" s="76" t="s">
        <v>735</v>
      </c>
    </row>
    <row r="232" spans="1:10" ht="18" customHeight="1">
      <c r="A232" s="33">
        <v>2</v>
      </c>
      <c r="B232" s="24" t="s">
        <v>611</v>
      </c>
      <c r="C232" s="21">
        <v>41890</v>
      </c>
      <c r="D232" s="26">
        <v>230.41</v>
      </c>
      <c r="E232" s="11" t="s">
        <v>50</v>
      </c>
      <c r="F232" s="10" t="s">
        <v>52</v>
      </c>
      <c r="G232" s="24" t="s">
        <v>611</v>
      </c>
      <c r="H232" s="21">
        <v>41890</v>
      </c>
      <c r="I232" s="26">
        <v>230.41</v>
      </c>
      <c r="J232" s="76" t="s">
        <v>735</v>
      </c>
    </row>
    <row r="233" spans="1:10" ht="18" customHeight="1">
      <c r="A233" s="33">
        <v>3</v>
      </c>
      <c r="B233" s="24" t="s">
        <v>621</v>
      </c>
      <c r="C233" s="21">
        <v>41897</v>
      </c>
      <c r="D233" s="26">
        <v>81.2</v>
      </c>
      <c r="E233" s="11" t="s">
        <v>50</v>
      </c>
      <c r="F233" s="10" t="s">
        <v>52</v>
      </c>
      <c r="G233" s="24" t="s">
        <v>621</v>
      </c>
      <c r="H233" s="21">
        <v>41897</v>
      </c>
      <c r="I233" s="26">
        <v>81.2</v>
      </c>
      <c r="J233" s="76" t="s">
        <v>735</v>
      </c>
    </row>
    <row r="234" spans="1:10" ht="18" customHeight="1">
      <c r="A234" s="33">
        <v>4</v>
      </c>
      <c r="B234" s="24" t="s">
        <v>630</v>
      </c>
      <c r="C234" s="21">
        <v>41903</v>
      </c>
      <c r="D234" s="26">
        <v>49.75</v>
      </c>
      <c r="E234" s="10" t="s">
        <v>50</v>
      </c>
      <c r="F234" s="24" t="s">
        <v>52</v>
      </c>
      <c r="G234" s="24" t="s">
        <v>630</v>
      </c>
      <c r="H234" s="21">
        <v>41903</v>
      </c>
      <c r="I234" s="26">
        <v>49.75</v>
      </c>
      <c r="J234" s="76" t="s">
        <v>735</v>
      </c>
    </row>
    <row r="235" spans="1:10" ht="18" customHeight="1">
      <c r="A235" s="33">
        <v>5</v>
      </c>
      <c r="B235" s="24" t="s">
        <v>634</v>
      </c>
      <c r="C235" s="21">
        <v>41911</v>
      </c>
      <c r="D235" s="26">
        <v>136.72</v>
      </c>
      <c r="E235" s="11" t="s">
        <v>50</v>
      </c>
      <c r="F235" s="10" t="s">
        <v>52</v>
      </c>
      <c r="G235" s="24" t="s">
        <v>634</v>
      </c>
      <c r="H235" s="21">
        <v>41911</v>
      </c>
      <c r="I235" s="26">
        <v>136.72</v>
      </c>
      <c r="J235" s="76" t="s">
        <v>735</v>
      </c>
    </row>
    <row r="236" spans="1:10" ht="18" customHeight="1">
      <c r="A236" s="528" t="s">
        <v>43</v>
      </c>
      <c r="B236" s="528"/>
      <c r="C236" s="528"/>
      <c r="D236" s="52">
        <f>SUM(D231:D235)</f>
        <v>642.54999999999995</v>
      </c>
      <c r="E236" s="53"/>
      <c r="F236" s="54"/>
      <c r="G236" s="65"/>
      <c r="H236" s="55" t="s">
        <v>0</v>
      </c>
      <c r="I236" s="52">
        <f>SUM(I231:I235)</f>
        <v>642.54999999999995</v>
      </c>
      <c r="J236" s="7"/>
    </row>
    <row r="237" spans="1:10" ht="21.9" customHeight="1">
      <c r="A237" s="528" t="s">
        <v>43</v>
      </c>
      <c r="B237" s="528"/>
      <c r="C237" s="528"/>
      <c r="D237" s="52"/>
      <c r="E237" s="53"/>
      <c r="F237" s="54"/>
      <c r="G237" s="56">
        <v>4076</v>
      </c>
      <c r="H237" s="55" t="s">
        <v>1</v>
      </c>
      <c r="I237" s="57">
        <f>I236*G237</f>
        <v>2619033.7999999998</v>
      </c>
      <c r="J237" s="7"/>
    </row>
    <row r="238" spans="1:10" ht="18" customHeight="1">
      <c r="A238" s="33">
        <v>1</v>
      </c>
      <c r="B238" s="24" t="s">
        <v>640</v>
      </c>
      <c r="C238" s="21">
        <v>41918</v>
      </c>
      <c r="D238" s="26">
        <v>188.11</v>
      </c>
      <c r="E238" s="11" t="s">
        <v>50</v>
      </c>
      <c r="F238" s="10" t="s">
        <v>52</v>
      </c>
      <c r="G238" s="24" t="s">
        <v>640</v>
      </c>
      <c r="H238" s="21">
        <v>41918</v>
      </c>
      <c r="I238" s="26">
        <v>188.11</v>
      </c>
      <c r="J238" s="76" t="s">
        <v>735</v>
      </c>
    </row>
    <row r="239" spans="1:10" ht="18" customHeight="1">
      <c r="A239" s="33">
        <v>2</v>
      </c>
      <c r="B239" s="24" t="s">
        <v>648</v>
      </c>
      <c r="C239" s="21">
        <v>41925</v>
      </c>
      <c r="D239" s="26">
        <v>139.83000000000001</v>
      </c>
      <c r="E239" s="11" t="s">
        <v>50</v>
      </c>
      <c r="F239" s="10" t="s">
        <v>52</v>
      </c>
      <c r="G239" s="24" t="s">
        <v>648</v>
      </c>
      <c r="H239" s="21">
        <v>41925</v>
      </c>
      <c r="I239" s="26">
        <v>139.83000000000001</v>
      </c>
      <c r="J239" s="76" t="s">
        <v>735</v>
      </c>
    </row>
    <row r="240" spans="1:10" ht="18" customHeight="1">
      <c r="A240" s="33">
        <v>3</v>
      </c>
      <c r="B240" s="24" t="s">
        <v>654</v>
      </c>
      <c r="C240" s="21">
        <v>41932</v>
      </c>
      <c r="D240" s="26">
        <v>129.9</v>
      </c>
      <c r="E240" s="11" t="s">
        <v>50</v>
      </c>
      <c r="F240" s="10" t="s">
        <v>52</v>
      </c>
      <c r="G240" s="24" t="s">
        <v>654</v>
      </c>
      <c r="H240" s="21">
        <v>41932</v>
      </c>
      <c r="I240" s="26">
        <v>129.9</v>
      </c>
      <c r="J240" s="76" t="s">
        <v>735</v>
      </c>
    </row>
    <row r="241" spans="1:10" ht="18" customHeight="1">
      <c r="A241" s="33">
        <v>4</v>
      </c>
      <c r="B241" s="24" t="s">
        <v>658</v>
      </c>
      <c r="C241" s="21">
        <v>41939</v>
      </c>
      <c r="D241" s="26">
        <v>145.83000000000001</v>
      </c>
      <c r="E241" s="11" t="s">
        <v>50</v>
      </c>
      <c r="F241" s="10" t="s">
        <v>52</v>
      </c>
      <c r="G241" s="24" t="s">
        <v>658</v>
      </c>
      <c r="H241" s="21">
        <v>41939</v>
      </c>
      <c r="I241" s="26">
        <v>145.83000000000001</v>
      </c>
      <c r="J241" s="76" t="s">
        <v>735</v>
      </c>
    </row>
    <row r="242" spans="1:10" ht="18" customHeight="1">
      <c r="A242" s="528" t="s">
        <v>44</v>
      </c>
      <c r="B242" s="528"/>
      <c r="C242" s="528"/>
      <c r="D242" s="52">
        <f>SUM(D238:D241)</f>
        <v>603.67000000000007</v>
      </c>
      <c r="E242" s="53"/>
      <c r="F242" s="54"/>
      <c r="G242" s="65"/>
      <c r="H242" s="55" t="s">
        <v>0</v>
      </c>
      <c r="I242" s="52">
        <f>SUM(I238:I241)</f>
        <v>603.67000000000007</v>
      </c>
      <c r="J242" s="7"/>
    </row>
    <row r="243" spans="1:10" ht="21.9" customHeight="1">
      <c r="A243" s="528" t="s">
        <v>44</v>
      </c>
      <c r="B243" s="528"/>
      <c r="C243" s="528"/>
      <c r="D243" s="52"/>
      <c r="E243" s="53"/>
      <c r="F243" s="54"/>
      <c r="G243" s="56">
        <v>4081</v>
      </c>
      <c r="H243" s="55" t="s">
        <v>1</v>
      </c>
      <c r="I243" s="57">
        <f>I242*G243</f>
        <v>2463577.2700000005</v>
      </c>
      <c r="J243" s="7"/>
    </row>
    <row r="244" spans="1:10" ht="18" customHeight="1">
      <c r="A244" s="33">
        <v>1</v>
      </c>
      <c r="B244" s="24" t="s">
        <v>661</v>
      </c>
      <c r="C244" s="21">
        <v>41946</v>
      </c>
      <c r="D244" s="26">
        <v>173.73</v>
      </c>
      <c r="E244" s="11" t="s">
        <v>50</v>
      </c>
      <c r="F244" s="10" t="s">
        <v>52</v>
      </c>
      <c r="G244" s="24" t="s">
        <v>661</v>
      </c>
      <c r="H244" s="21">
        <v>41946</v>
      </c>
      <c r="I244" s="26">
        <v>173.73</v>
      </c>
      <c r="J244" s="76" t="s">
        <v>735</v>
      </c>
    </row>
    <row r="245" spans="1:10" ht="18" customHeight="1">
      <c r="A245" s="33">
        <v>2</v>
      </c>
      <c r="B245" s="24" t="s">
        <v>482</v>
      </c>
      <c r="C245" s="21">
        <v>41946</v>
      </c>
      <c r="D245" s="26">
        <v>1.5</v>
      </c>
      <c r="E245" s="10" t="s">
        <v>241</v>
      </c>
      <c r="F245" s="24" t="s">
        <v>52</v>
      </c>
      <c r="G245" s="24" t="s">
        <v>482</v>
      </c>
      <c r="H245" s="21">
        <v>41946</v>
      </c>
      <c r="I245" s="26">
        <v>1.5</v>
      </c>
      <c r="J245" s="76" t="s">
        <v>735</v>
      </c>
    </row>
    <row r="246" spans="1:10" ht="18" customHeight="1">
      <c r="A246" s="33">
        <v>3</v>
      </c>
      <c r="B246" s="24" t="s">
        <v>666</v>
      </c>
      <c r="C246" s="21">
        <v>41953</v>
      </c>
      <c r="D246" s="26">
        <v>35.450000000000003</v>
      </c>
      <c r="E246" s="10" t="s">
        <v>50</v>
      </c>
      <c r="F246" s="24" t="s">
        <v>52</v>
      </c>
      <c r="G246" s="24" t="s">
        <v>666</v>
      </c>
      <c r="H246" s="21">
        <v>41953</v>
      </c>
      <c r="I246" s="26">
        <v>35.450000000000003</v>
      </c>
      <c r="J246" s="76" t="s">
        <v>735</v>
      </c>
    </row>
    <row r="247" spans="1:10" ht="18" customHeight="1">
      <c r="A247" s="33">
        <v>4</v>
      </c>
      <c r="B247" s="24" t="s">
        <v>670</v>
      </c>
      <c r="C247" s="21">
        <v>41960</v>
      </c>
      <c r="D247" s="26">
        <v>24.26</v>
      </c>
      <c r="E247" s="10" t="s">
        <v>50</v>
      </c>
      <c r="F247" s="24" t="s">
        <v>52</v>
      </c>
      <c r="G247" s="24" t="s">
        <v>670</v>
      </c>
      <c r="H247" s="21">
        <v>41960</v>
      </c>
      <c r="I247" s="26">
        <v>24.26</v>
      </c>
      <c r="J247" s="76" t="s">
        <v>735</v>
      </c>
    </row>
    <row r="248" spans="1:10" ht="18" customHeight="1">
      <c r="A248" s="33">
        <v>5</v>
      </c>
      <c r="B248" s="24" t="s">
        <v>675</v>
      </c>
      <c r="C248" s="21">
        <v>41967</v>
      </c>
      <c r="D248" s="26">
        <v>24.9</v>
      </c>
      <c r="E248" s="10" t="s">
        <v>50</v>
      </c>
      <c r="F248" s="24" t="s">
        <v>52</v>
      </c>
      <c r="G248" s="24" t="s">
        <v>675</v>
      </c>
      <c r="H248" s="21">
        <v>41967</v>
      </c>
      <c r="I248" s="26">
        <v>24.9</v>
      </c>
      <c r="J248" s="76" t="s">
        <v>735</v>
      </c>
    </row>
    <row r="249" spans="1:10" ht="18" customHeight="1">
      <c r="A249" s="528" t="s">
        <v>45</v>
      </c>
      <c r="B249" s="528"/>
      <c r="C249" s="528"/>
      <c r="D249" s="52">
        <f>SUM(D244:D248)</f>
        <v>259.83999999999997</v>
      </c>
      <c r="E249" s="54"/>
      <c r="F249" s="65"/>
      <c r="G249" s="65"/>
      <c r="H249" s="55" t="s">
        <v>0</v>
      </c>
      <c r="I249" s="52">
        <f>SUM(I244:I248)</f>
        <v>259.83999999999997</v>
      </c>
      <c r="J249" s="7"/>
    </row>
    <row r="250" spans="1:10" ht="21.9" customHeight="1">
      <c r="A250" s="528" t="s">
        <v>45</v>
      </c>
      <c r="B250" s="528"/>
      <c r="C250" s="528"/>
      <c r="D250" s="52"/>
      <c r="E250" s="54"/>
      <c r="F250" s="65"/>
      <c r="G250" s="56">
        <v>4068</v>
      </c>
      <c r="H250" s="55" t="s">
        <v>1</v>
      </c>
      <c r="I250" s="57">
        <f>I249*G250</f>
        <v>1057029.1199999999</v>
      </c>
      <c r="J250" s="7"/>
    </row>
    <row r="251" spans="1:10" ht="18" customHeight="1">
      <c r="A251" s="33">
        <v>1</v>
      </c>
      <c r="B251" s="24" t="s">
        <v>679</v>
      </c>
      <c r="C251" s="21">
        <v>41974</v>
      </c>
      <c r="D251" s="26">
        <v>163.69</v>
      </c>
      <c r="E251" s="11" t="s">
        <v>50</v>
      </c>
      <c r="F251" s="10" t="s">
        <v>52</v>
      </c>
      <c r="G251" s="24" t="s">
        <v>679</v>
      </c>
      <c r="H251" s="21">
        <v>41974</v>
      </c>
      <c r="I251" s="26">
        <v>163.69</v>
      </c>
      <c r="J251" s="76" t="s">
        <v>735</v>
      </c>
    </row>
    <row r="252" spans="1:10" ht="18" customHeight="1">
      <c r="A252" s="33">
        <v>2</v>
      </c>
      <c r="B252" s="24" t="s">
        <v>680</v>
      </c>
      <c r="C252" s="21">
        <v>41979</v>
      </c>
      <c r="D252" s="26">
        <v>340.66</v>
      </c>
      <c r="E252" s="11" t="s">
        <v>50</v>
      </c>
      <c r="F252" s="10" t="s">
        <v>52</v>
      </c>
      <c r="G252" s="24" t="s">
        <v>680</v>
      </c>
      <c r="H252" s="21">
        <v>41979</v>
      </c>
      <c r="I252" s="26">
        <v>340.66</v>
      </c>
      <c r="J252" s="76" t="s">
        <v>735</v>
      </c>
    </row>
    <row r="253" spans="1:10" ht="18" customHeight="1">
      <c r="A253" s="33">
        <v>3</v>
      </c>
      <c r="B253" s="24" t="s">
        <v>691</v>
      </c>
      <c r="C253" s="21">
        <v>41988</v>
      </c>
      <c r="D253" s="26">
        <v>232.83</v>
      </c>
      <c r="E253" s="11" t="s">
        <v>50</v>
      </c>
      <c r="F253" s="10" t="s">
        <v>52</v>
      </c>
      <c r="G253" s="24" t="s">
        <v>691</v>
      </c>
      <c r="H253" s="21">
        <v>41988</v>
      </c>
      <c r="I253" s="26">
        <v>232.83</v>
      </c>
      <c r="J253" s="76" t="s">
        <v>735</v>
      </c>
    </row>
    <row r="254" spans="1:10" ht="18" customHeight="1">
      <c r="A254" s="33">
        <v>4</v>
      </c>
      <c r="B254" s="24" t="s">
        <v>696</v>
      </c>
      <c r="C254" s="21">
        <v>41995</v>
      </c>
      <c r="D254" s="26">
        <v>78.95</v>
      </c>
      <c r="E254" s="10" t="s">
        <v>50</v>
      </c>
      <c r="F254" s="24" t="s">
        <v>52</v>
      </c>
      <c r="G254" s="24" t="s">
        <v>696</v>
      </c>
      <c r="H254" s="21">
        <v>41995</v>
      </c>
      <c r="I254" s="26">
        <v>78.95</v>
      </c>
      <c r="J254" s="76" t="s">
        <v>735</v>
      </c>
    </row>
    <row r="255" spans="1:10" ht="18" customHeight="1">
      <c r="A255" s="33">
        <v>5</v>
      </c>
      <c r="B255" s="24" t="s">
        <v>706</v>
      </c>
      <c r="C255" s="21">
        <v>42002</v>
      </c>
      <c r="D255" s="26">
        <v>304.68</v>
      </c>
      <c r="E255" s="11" t="s">
        <v>50</v>
      </c>
      <c r="F255" s="10" t="s">
        <v>52</v>
      </c>
      <c r="G255" s="24" t="s">
        <v>706</v>
      </c>
      <c r="H255" s="21">
        <v>42002</v>
      </c>
      <c r="I255" s="26">
        <v>304.68</v>
      </c>
      <c r="J255" s="76" t="s">
        <v>735</v>
      </c>
    </row>
    <row r="256" spans="1:10" ht="18" customHeight="1">
      <c r="A256" s="528" t="s">
        <v>46</v>
      </c>
      <c r="B256" s="528"/>
      <c r="C256" s="528"/>
      <c r="D256" s="52">
        <f>SUM(D251:D255)</f>
        <v>1120.8100000000002</v>
      </c>
      <c r="E256" s="53"/>
      <c r="F256" s="54"/>
      <c r="G256" s="65"/>
      <c r="H256" s="55" t="s">
        <v>0</v>
      </c>
      <c r="I256" s="52">
        <f>SUM(I251:I255)</f>
        <v>1120.8100000000002</v>
      </c>
      <c r="J256" s="7"/>
    </row>
    <row r="257" spans="1:10" ht="21.9" customHeight="1">
      <c r="A257" s="528" t="s">
        <v>46</v>
      </c>
      <c r="B257" s="528"/>
      <c r="C257" s="528"/>
      <c r="D257" s="52"/>
      <c r="E257" s="53"/>
      <c r="F257" s="54"/>
      <c r="G257" s="56">
        <v>4062</v>
      </c>
      <c r="H257" s="55" t="s">
        <v>1</v>
      </c>
      <c r="I257" s="57">
        <f>I256*G257</f>
        <v>4552730.2200000007</v>
      </c>
      <c r="J257" s="7"/>
    </row>
    <row r="258" spans="1:10" ht="18" customHeight="1">
      <c r="A258" s="33">
        <v>1</v>
      </c>
      <c r="B258" s="24" t="s">
        <v>716</v>
      </c>
      <c r="C258" s="21">
        <v>42009</v>
      </c>
      <c r="D258" s="26">
        <v>339.54</v>
      </c>
      <c r="E258" s="11" t="s">
        <v>50</v>
      </c>
      <c r="F258" s="10" t="s">
        <v>52</v>
      </c>
      <c r="G258" s="24" t="s">
        <v>716</v>
      </c>
      <c r="H258" s="21">
        <v>42009</v>
      </c>
      <c r="I258" s="26">
        <v>339.54</v>
      </c>
      <c r="J258" s="76" t="s">
        <v>735</v>
      </c>
    </row>
    <row r="259" spans="1:10" ht="18" customHeight="1">
      <c r="A259" s="33">
        <v>2</v>
      </c>
      <c r="B259" s="24" t="s">
        <v>718</v>
      </c>
      <c r="C259" s="21">
        <v>42016</v>
      </c>
      <c r="D259" s="26">
        <v>301.45</v>
      </c>
      <c r="E259" s="11" t="s">
        <v>50</v>
      </c>
      <c r="F259" s="10" t="s">
        <v>52</v>
      </c>
      <c r="G259" s="24" t="s">
        <v>718</v>
      </c>
      <c r="H259" s="21">
        <v>42016</v>
      </c>
      <c r="I259" s="26">
        <v>301.45</v>
      </c>
      <c r="J259" s="76" t="s">
        <v>735</v>
      </c>
    </row>
    <row r="260" spans="1:10" ht="18" customHeight="1">
      <c r="A260" s="33">
        <v>3</v>
      </c>
      <c r="B260" s="24" t="s">
        <v>720</v>
      </c>
      <c r="C260" s="21">
        <v>42024</v>
      </c>
      <c r="D260" s="26">
        <v>446.06</v>
      </c>
      <c r="E260" s="11" t="s">
        <v>50</v>
      </c>
      <c r="F260" s="10" t="s">
        <v>52</v>
      </c>
      <c r="G260" s="24" t="s">
        <v>720</v>
      </c>
      <c r="H260" s="21">
        <v>42024</v>
      </c>
      <c r="I260" s="26">
        <v>446.06</v>
      </c>
      <c r="J260" s="76" t="s">
        <v>735</v>
      </c>
    </row>
    <row r="261" spans="1:10" ht="18" customHeight="1">
      <c r="A261" s="33">
        <v>4</v>
      </c>
      <c r="B261" s="24" t="s">
        <v>721</v>
      </c>
      <c r="C261" s="21">
        <v>42030</v>
      </c>
      <c r="D261" s="26">
        <v>614.58000000000004</v>
      </c>
      <c r="E261" s="11" t="s">
        <v>50</v>
      </c>
      <c r="F261" s="10" t="s">
        <v>52</v>
      </c>
      <c r="G261" s="24" t="s">
        <v>721</v>
      </c>
      <c r="H261" s="21">
        <v>42030</v>
      </c>
      <c r="I261" s="26">
        <v>614.58000000000004</v>
      </c>
      <c r="J261" s="76" t="s">
        <v>735</v>
      </c>
    </row>
    <row r="262" spans="1:10" ht="18" customHeight="1">
      <c r="A262" s="528" t="s">
        <v>47</v>
      </c>
      <c r="B262" s="528"/>
      <c r="C262" s="528"/>
      <c r="D262" s="52">
        <f>SUM(D258:D261)</f>
        <v>1701.63</v>
      </c>
      <c r="E262" s="53"/>
      <c r="F262" s="54"/>
      <c r="G262" s="65"/>
      <c r="H262" s="55" t="s">
        <v>0</v>
      </c>
      <c r="I262" s="52">
        <f>SUM(I258:I261)</f>
        <v>1701.63</v>
      </c>
      <c r="J262" s="7"/>
    </row>
    <row r="263" spans="1:10" ht="21.9" customHeight="1">
      <c r="A263" s="528" t="s">
        <v>47</v>
      </c>
      <c r="B263" s="528"/>
      <c r="C263" s="528"/>
      <c r="D263" s="52"/>
      <c r="E263" s="53"/>
      <c r="F263" s="54"/>
      <c r="G263" s="56">
        <v>4066</v>
      </c>
      <c r="H263" s="55" t="s">
        <v>1</v>
      </c>
      <c r="I263" s="57">
        <f>I262*G263</f>
        <v>6918827.5800000001</v>
      </c>
      <c r="J263" s="7"/>
    </row>
    <row r="264" spans="1:10" ht="18" customHeight="1">
      <c r="A264" s="33">
        <v>1</v>
      </c>
      <c r="B264" s="24" t="s">
        <v>708</v>
      </c>
      <c r="C264" s="21">
        <v>42037</v>
      </c>
      <c r="D264" s="26">
        <v>314.24</v>
      </c>
      <c r="E264" s="11" t="s">
        <v>50</v>
      </c>
      <c r="F264" s="10" t="s">
        <v>52</v>
      </c>
      <c r="G264" s="24" t="s">
        <v>708</v>
      </c>
      <c r="H264" s="21">
        <v>42037</v>
      </c>
      <c r="I264" s="26">
        <v>314.24</v>
      </c>
      <c r="J264" s="76" t="s">
        <v>735</v>
      </c>
    </row>
    <row r="265" spans="1:10" ht="18" customHeight="1">
      <c r="A265" s="33">
        <v>2</v>
      </c>
      <c r="B265" s="24" t="s">
        <v>710</v>
      </c>
      <c r="C265" s="21">
        <v>42044</v>
      </c>
      <c r="D265" s="26">
        <v>61.89</v>
      </c>
      <c r="E265" s="10" t="s">
        <v>50</v>
      </c>
      <c r="F265" s="24" t="s">
        <v>52</v>
      </c>
      <c r="G265" s="24" t="s">
        <v>710</v>
      </c>
      <c r="H265" s="21">
        <v>42044</v>
      </c>
      <c r="I265" s="26">
        <v>61.89</v>
      </c>
      <c r="J265" s="76" t="s">
        <v>735</v>
      </c>
    </row>
    <row r="266" spans="1:10" ht="18" customHeight="1">
      <c r="A266" s="33">
        <v>3</v>
      </c>
      <c r="B266" s="24" t="s">
        <v>712</v>
      </c>
      <c r="C266" s="21">
        <v>42051</v>
      </c>
      <c r="D266" s="26">
        <v>228.53</v>
      </c>
      <c r="E266" s="11" t="s">
        <v>50</v>
      </c>
      <c r="F266" s="10" t="s">
        <v>52</v>
      </c>
      <c r="G266" s="24" t="s">
        <v>712</v>
      </c>
      <c r="H266" s="21">
        <v>42051</v>
      </c>
      <c r="I266" s="26">
        <v>228.53</v>
      </c>
      <c r="J266" s="76" t="s">
        <v>735</v>
      </c>
    </row>
    <row r="267" spans="1:10" ht="18" customHeight="1">
      <c r="A267" s="33">
        <v>4</v>
      </c>
      <c r="B267" s="28" t="s">
        <v>714</v>
      </c>
      <c r="C267" s="29">
        <v>42059</v>
      </c>
      <c r="D267" s="30">
        <v>177.34</v>
      </c>
      <c r="E267" s="11" t="s">
        <v>50</v>
      </c>
      <c r="F267" s="10" t="s">
        <v>52</v>
      </c>
      <c r="G267" s="28" t="s">
        <v>714</v>
      </c>
      <c r="H267" s="29">
        <v>42059</v>
      </c>
      <c r="I267" s="30">
        <v>177.34</v>
      </c>
      <c r="J267" s="76" t="s">
        <v>735</v>
      </c>
    </row>
    <row r="268" spans="1:10" ht="18" customHeight="1">
      <c r="A268" s="528" t="s">
        <v>48</v>
      </c>
      <c r="B268" s="528"/>
      <c r="C268" s="528"/>
      <c r="D268" s="66">
        <f>SUM(D264:D267)</f>
        <v>782</v>
      </c>
      <c r="E268" s="53"/>
      <c r="F268" s="54"/>
      <c r="G268" s="67"/>
      <c r="H268" s="55" t="s">
        <v>0</v>
      </c>
      <c r="I268" s="66">
        <f>SUM(I264:I267)</f>
        <v>782</v>
      </c>
      <c r="J268" s="51"/>
    </row>
    <row r="269" spans="1:10" ht="21.9" customHeight="1">
      <c r="A269" s="528" t="s">
        <v>48</v>
      </c>
      <c r="B269" s="528"/>
      <c r="C269" s="528"/>
      <c r="D269" s="66"/>
      <c r="E269" s="53"/>
      <c r="F269" s="54"/>
      <c r="G269" s="56">
        <v>4046</v>
      </c>
      <c r="H269" s="55" t="s">
        <v>1</v>
      </c>
      <c r="I269" s="57">
        <f>I268*G269</f>
        <v>3163972</v>
      </c>
      <c r="J269" s="31"/>
    </row>
    <row r="270" spans="1:10" ht="23.4">
      <c r="A270" s="548" t="s">
        <v>724</v>
      </c>
      <c r="B270" s="549"/>
      <c r="C270" s="550"/>
      <c r="D270" s="68"/>
      <c r="E270" s="69"/>
      <c r="F270" s="69"/>
      <c r="G270" s="70"/>
      <c r="H270" s="55" t="s">
        <v>0</v>
      </c>
      <c r="I270" s="75">
        <f>I18+I25+I32+I37+I43+I52+I64+I74+I85+I97+I107+I116+I128+I135+I147+I156+I161+I169+I178+I188+I197+I204+I211+I218+I223+I229+I236+I242+I249+I256+I262+I268</f>
        <v>25018.910000000007</v>
      </c>
      <c r="J270" s="74" t="s">
        <v>735</v>
      </c>
    </row>
    <row r="271" spans="1:10" ht="24">
      <c r="A271" s="548" t="s">
        <v>724</v>
      </c>
      <c r="B271" s="549"/>
      <c r="C271" s="550"/>
      <c r="D271" s="68"/>
      <c r="E271" s="69"/>
      <c r="F271" s="69"/>
      <c r="G271" s="70"/>
      <c r="H271" s="55" t="s">
        <v>1</v>
      </c>
      <c r="I271" s="71">
        <f>I19+I26+I33+I38+I44+I53+I65+I75+I86+I98+I108+I117+I129+I136+I148+I157+I162+I170+I179+I189+I198+I205+I212+I219+I224+I230+I237+I243+I250+I257+I263+I269</f>
        <v>100871023.15000001</v>
      </c>
      <c r="J271" s="77" t="s">
        <v>735</v>
      </c>
    </row>
    <row r="272" spans="1:10" ht="25.2">
      <c r="A272" s="553" t="s">
        <v>739</v>
      </c>
      <c r="B272" s="553"/>
      <c r="C272" s="553"/>
      <c r="D272" s="553" t="s">
        <v>738</v>
      </c>
      <c r="E272" s="553"/>
      <c r="F272" s="553"/>
      <c r="G272" s="553"/>
      <c r="H272" s="553"/>
      <c r="I272" s="78">
        <v>100871023</v>
      </c>
      <c r="J272" s="79" t="s">
        <v>737</v>
      </c>
    </row>
    <row r="273" spans="1:10" ht="46.5" customHeight="1">
      <c r="A273" s="553" t="s">
        <v>741</v>
      </c>
      <c r="B273" s="553"/>
      <c r="C273" s="553"/>
      <c r="D273" s="569" t="s">
        <v>742</v>
      </c>
      <c r="E273" s="570"/>
      <c r="F273" s="570"/>
      <c r="G273" s="570"/>
      <c r="H273" s="571"/>
      <c r="I273" s="80">
        <v>194826746</v>
      </c>
      <c r="J273" s="79" t="s">
        <v>737</v>
      </c>
    </row>
    <row r="274" spans="1:10" ht="25.2">
      <c r="A274" s="554" t="s">
        <v>740</v>
      </c>
      <c r="B274" s="555"/>
      <c r="C274" s="556"/>
      <c r="D274" s="563" t="s">
        <v>743</v>
      </c>
      <c r="E274" s="564"/>
      <c r="F274" s="564"/>
      <c r="G274" s="564"/>
      <c r="H274" s="565"/>
      <c r="I274" s="80">
        <v>295697769</v>
      </c>
      <c r="J274" s="79" t="s">
        <v>737</v>
      </c>
    </row>
    <row r="275" spans="1:10" ht="25.2">
      <c r="A275" s="557"/>
      <c r="B275" s="558"/>
      <c r="C275" s="559"/>
      <c r="D275" s="566" t="s">
        <v>744</v>
      </c>
      <c r="E275" s="567"/>
      <c r="F275" s="567"/>
      <c r="G275" s="567"/>
      <c r="H275" s="568"/>
      <c r="I275" s="81">
        <v>297231546</v>
      </c>
      <c r="J275" s="82" t="s">
        <v>737</v>
      </c>
    </row>
    <row r="276" spans="1:10" ht="25.2">
      <c r="A276" s="557"/>
      <c r="B276" s="558"/>
      <c r="C276" s="559"/>
      <c r="D276" s="566" t="s">
        <v>745</v>
      </c>
      <c r="E276" s="567"/>
      <c r="F276" s="567"/>
      <c r="G276" s="567"/>
      <c r="H276" s="568"/>
      <c r="I276" s="81">
        <v>1533777</v>
      </c>
      <c r="J276" s="82" t="s">
        <v>737</v>
      </c>
    </row>
    <row r="277" spans="1:10" ht="25.2">
      <c r="A277" s="560"/>
      <c r="B277" s="561"/>
      <c r="C277" s="562"/>
      <c r="D277" s="566" t="s">
        <v>743</v>
      </c>
      <c r="E277" s="567"/>
      <c r="F277" s="567"/>
      <c r="G277" s="567"/>
      <c r="H277" s="568"/>
      <c r="I277" s="81">
        <v>295697769</v>
      </c>
      <c r="J277" s="82" t="s">
        <v>737</v>
      </c>
    </row>
    <row r="278" spans="1:10" ht="25.2">
      <c r="H278" s="551" t="s">
        <v>748</v>
      </c>
      <c r="I278" s="551"/>
      <c r="J278" s="551"/>
    </row>
    <row r="279" spans="1:10" ht="25.2">
      <c r="H279" s="552" t="s">
        <v>746</v>
      </c>
      <c r="I279" s="552"/>
      <c r="J279" s="552"/>
    </row>
    <row r="286" spans="1:10" ht="25.2">
      <c r="H286" s="552" t="s">
        <v>747</v>
      </c>
      <c r="I286" s="552"/>
      <c r="J286" s="552"/>
    </row>
  </sheetData>
  <mergeCells count="90">
    <mergeCell ref="A270:C270"/>
    <mergeCell ref="A271:C271"/>
    <mergeCell ref="H278:J278"/>
    <mergeCell ref="H279:J279"/>
    <mergeCell ref="H286:J286"/>
    <mergeCell ref="D272:H272"/>
    <mergeCell ref="A272:C272"/>
    <mergeCell ref="A273:C273"/>
    <mergeCell ref="A274:C277"/>
    <mergeCell ref="D274:H274"/>
    <mergeCell ref="D275:H275"/>
    <mergeCell ref="D276:H276"/>
    <mergeCell ref="D277:H277"/>
    <mergeCell ref="D273:H273"/>
    <mergeCell ref="A179:C179"/>
    <mergeCell ref="A269:C269"/>
    <mergeCell ref="A229:C229"/>
    <mergeCell ref="A230:C230"/>
    <mergeCell ref="A242:C242"/>
    <mergeCell ref="A243:C243"/>
    <mergeCell ref="A249:C249"/>
    <mergeCell ref="A250:C250"/>
    <mergeCell ref="A236:C236"/>
    <mergeCell ref="A237:C237"/>
    <mergeCell ref="A256:C256"/>
    <mergeCell ref="A257:C257"/>
    <mergeCell ref="A262:C262"/>
    <mergeCell ref="A263:C263"/>
    <mergeCell ref="A268:C268"/>
    <mergeCell ref="A224:C224"/>
    <mergeCell ref="A212:C212"/>
    <mergeCell ref="A218:C218"/>
    <mergeCell ref="A219:C219"/>
    <mergeCell ref="A188:C188"/>
    <mergeCell ref="A189:C189"/>
    <mergeCell ref="A197:C197"/>
    <mergeCell ref="A198:C198"/>
    <mergeCell ref="A204:C204"/>
    <mergeCell ref="A223:C223"/>
    <mergeCell ref="A128:C128"/>
    <mergeCell ref="A129:C129"/>
    <mergeCell ref="A135:C135"/>
    <mergeCell ref="A136:C136"/>
    <mergeCell ref="A178:C178"/>
    <mergeCell ref="A156:C156"/>
    <mergeCell ref="A157:C157"/>
    <mergeCell ref="A161:C161"/>
    <mergeCell ref="A162:C162"/>
    <mergeCell ref="A147:C147"/>
    <mergeCell ref="A148:C148"/>
    <mergeCell ref="A169:C169"/>
    <mergeCell ref="A170:C170"/>
    <mergeCell ref="A205:C205"/>
    <mergeCell ref="A211:C211"/>
    <mergeCell ref="A85:C85"/>
    <mergeCell ref="A86:C86"/>
    <mergeCell ref="A97:C97"/>
    <mergeCell ref="A98:C98"/>
    <mergeCell ref="A107:C107"/>
    <mergeCell ref="A108:C108"/>
    <mergeCell ref="A116:C116"/>
    <mergeCell ref="A117:C117"/>
    <mergeCell ref="A1:J1"/>
    <mergeCell ref="A2:J2"/>
    <mergeCell ref="A3:E3"/>
    <mergeCell ref="A4:D4"/>
    <mergeCell ref="A5:A7"/>
    <mergeCell ref="B5:D5"/>
    <mergeCell ref="E5:I5"/>
    <mergeCell ref="J5:J7"/>
    <mergeCell ref="B6:D6"/>
    <mergeCell ref="G6:I6"/>
    <mergeCell ref="A25:C25"/>
    <mergeCell ref="A26:C26"/>
    <mergeCell ref="A18:C18"/>
    <mergeCell ref="A19:C19"/>
    <mergeCell ref="E6:E7"/>
    <mergeCell ref="F6:F7"/>
    <mergeCell ref="A32:C32"/>
    <mergeCell ref="A33:C33"/>
    <mergeCell ref="A37:C37"/>
    <mergeCell ref="A38:C38"/>
    <mergeCell ref="A43:C43"/>
    <mergeCell ref="A44:C44"/>
    <mergeCell ref="A52:C52"/>
    <mergeCell ref="A53:C53"/>
    <mergeCell ref="A64:C64"/>
    <mergeCell ref="A65:C65"/>
    <mergeCell ref="A74:C74"/>
    <mergeCell ref="A75:C75"/>
  </mergeCells>
  <printOptions horizontalCentered="1"/>
  <pageMargins left="0.2" right="0.2" top="0.35" bottom="0.5" header="0.5" footer="0.3"/>
  <pageSetup paperSize="9" scale="70" orientation="portrait" r:id="rId1"/>
  <headerFooter alignWithMargins="0"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44"/>
  <sheetViews>
    <sheetView workbookViewId="0">
      <selection activeCell="C8" sqref="C8"/>
    </sheetView>
  </sheetViews>
  <sheetFormatPr defaultRowHeight="13.2"/>
  <cols>
    <col min="1" max="1" width="7" customWidth="1"/>
    <col min="2" max="2" width="14.33203125" customWidth="1"/>
    <col min="3" max="3" width="10.6640625" customWidth="1"/>
    <col min="4" max="4" width="11.109375" customWidth="1"/>
    <col min="5" max="5" width="20.33203125" customWidth="1"/>
    <col min="6" max="6" width="13.109375" customWidth="1"/>
    <col min="7" max="7" width="10.6640625" customWidth="1"/>
    <col min="8" max="8" width="11.5546875" customWidth="1"/>
    <col min="9" max="9" width="12.6640625" customWidth="1"/>
    <col min="10" max="10" width="10.88671875" customWidth="1"/>
  </cols>
  <sheetData>
    <row r="1" spans="1:10" ht="33.6">
      <c r="A1" s="531" t="s">
        <v>10</v>
      </c>
      <c r="B1" s="531"/>
      <c r="C1" s="531"/>
      <c r="D1" s="531"/>
      <c r="E1" s="531"/>
      <c r="F1" s="531"/>
      <c r="G1" s="531"/>
      <c r="H1" s="531"/>
      <c r="I1" s="531"/>
      <c r="J1" s="531"/>
    </row>
    <row r="2" spans="1:10" ht="33.6">
      <c r="A2" s="531" t="s">
        <v>16</v>
      </c>
      <c r="B2" s="531"/>
      <c r="C2" s="531"/>
      <c r="D2" s="531"/>
      <c r="E2" s="531"/>
      <c r="F2" s="531"/>
      <c r="G2" s="531"/>
      <c r="H2" s="531"/>
      <c r="I2" s="531"/>
      <c r="J2" s="531"/>
    </row>
    <row r="3" spans="1:10" ht="27">
      <c r="A3" s="574" t="s">
        <v>723</v>
      </c>
      <c r="B3" s="574"/>
      <c r="C3" s="574"/>
      <c r="D3" s="574"/>
      <c r="E3" s="574"/>
      <c r="F3" s="4"/>
      <c r="G3" s="4"/>
      <c r="H3" s="4"/>
      <c r="I3" s="4"/>
      <c r="J3" s="4"/>
    </row>
    <row r="4" spans="1:10" ht="27">
      <c r="A4" s="533" t="s">
        <v>49</v>
      </c>
      <c r="B4" s="533"/>
      <c r="C4" s="533"/>
      <c r="D4" s="533"/>
      <c r="E4" s="5"/>
      <c r="F4" s="4"/>
      <c r="G4" s="4"/>
      <c r="H4" s="4"/>
      <c r="I4" s="4"/>
      <c r="J4" s="4"/>
    </row>
    <row r="5" spans="1:10" ht="25.2">
      <c r="A5" s="575" t="s">
        <v>2</v>
      </c>
      <c r="B5" s="578" t="s">
        <v>11</v>
      </c>
      <c r="C5" s="579"/>
      <c r="D5" s="580"/>
      <c r="E5" s="581" t="s">
        <v>5</v>
      </c>
      <c r="F5" s="582"/>
      <c r="G5" s="582"/>
      <c r="H5" s="582"/>
      <c r="I5" s="582"/>
      <c r="J5" s="583" t="s">
        <v>15</v>
      </c>
    </row>
    <row r="6" spans="1:10" ht="25.2">
      <c r="A6" s="576"/>
      <c r="B6" s="586" t="s">
        <v>12</v>
      </c>
      <c r="C6" s="587"/>
      <c r="D6" s="588"/>
      <c r="E6" s="589" t="s">
        <v>4</v>
      </c>
      <c r="F6" s="590" t="s">
        <v>14</v>
      </c>
      <c r="G6" s="586" t="s">
        <v>12</v>
      </c>
      <c r="H6" s="587"/>
      <c r="I6" s="588"/>
      <c r="J6" s="584"/>
    </row>
    <row r="7" spans="1:10" ht="25.2">
      <c r="A7" s="577"/>
      <c r="B7" s="8" t="s">
        <v>6</v>
      </c>
      <c r="C7" s="8" t="s">
        <v>13</v>
      </c>
      <c r="D7" s="8" t="s">
        <v>3</v>
      </c>
      <c r="E7" s="590"/>
      <c r="F7" s="590"/>
      <c r="G7" s="8" t="s">
        <v>6</v>
      </c>
      <c r="H7" s="8" t="s">
        <v>13</v>
      </c>
      <c r="I7" s="8" t="s">
        <v>3</v>
      </c>
      <c r="J7" s="585"/>
    </row>
    <row r="8" spans="1:10" ht="18" customHeight="1">
      <c r="A8" s="33">
        <v>1</v>
      </c>
      <c r="B8" s="24" t="s">
        <v>567</v>
      </c>
      <c r="C8" s="21">
        <v>41842</v>
      </c>
      <c r="D8" s="26">
        <v>41.5</v>
      </c>
      <c r="E8" s="10" t="s">
        <v>387</v>
      </c>
      <c r="F8" s="24" t="s">
        <v>388</v>
      </c>
      <c r="G8" s="24" t="s">
        <v>567</v>
      </c>
      <c r="H8" s="21">
        <v>41842</v>
      </c>
      <c r="I8" s="26">
        <v>41.5</v>
      </c>
      <c r="J8" s="9"/>
    </row>
    <row r="9" spans="1:10" ht="18" customHeight="1">
      <c r="A9" s="33">
        <v>2</v>
      </c>
      <c r="B9" s="24" t="s">
        <v>568</v>
      </c>
      <c r="C9" s="21">
        <v>41842</v>
      </c>
      <c r="D9" s="26">
        <v>64.569999999999993</v>
      </c>
      <c r="E9" s="10" t="s">
        <v>387</v>
      </c>
      <c r="F9" s="24" t="s">
        <v>388</v>
      </c>
      <c r="G9" s="24" t="s">
        <v>568</v>
      </c>
      <c r="H9" s="21">
        <v>41842</v>
      </c>
      <c r="I9" s="26">
        <v>64.569999999999993</v>
      </c>
      <c r="J9" s="9"/>
    </row>
    <row r="10" spans="1:10" ht="18" customHeight="1">
      <c r="A10" s="33">
        <v>3</v>
      </c>
      <c r="B10" s="24" t="s">
        <v>569</v>
      </c>
      <c r="C10" s="21">
        <v>41842</v>
      </c>
      <c r="D10" s="26">
        <v>59.11</v>
      </c>
      <c r="E10" s="10" t="s">
        <v>387</v>
      </c>
      <c r="F10" s="24" t="s">
        <v>388</v>
      </c>
      <c r="G10" s="24" t="s">
        <v>569</v>
      </c>
      <c r="H10" s="21">
        <v>41842</v>
      </c>
      <c r="I10" s="26">
        <v>59.11</v>
      </c>
      <c r="J10" s="9"/>
    </row>
    <row r="11" spans="1:10" ht="18" customHeight="1">
      <c r="A11" s="33">
        <v>4</v>
      </c>
      <c r="B11" s="24" t="s">
        <v>573</v>
      </c>
      <c r="C11" s="21">
        <v>41849</v>
      </c>
      <c r="D11" s="26">
        <v>75.930000000000007</v>
      </c>
      <c r="E11" s="10" t="s">
        <v>387</v>
      </c>
      <c r="F11" s="24" t="s">
        <v>388</v>
      </c>
      <c r="G11" s="24" t="s">
        <v>573</v>
      </c>
      <c r="H11" s="21">
        <v>41849</v>
      </c>
      <c r="I11" s="26">
        <v>75.930000000000007</v>
      </c>
      <c r="J11" s="9"/>
    </row>
    <row r="12" spans="1:10" ht="18" customHeight="1">
      <c r="A12" s="33">
        <v>5</v>
      </c>
      <c r="B12" s="24" t="s">
        <v>575</v>
      </c>
      <c r="C12" s="21">
        <v>41856</v>
      </c>
      <c r="D12" s="26">
        <v>46.05</v>
      </c>
      <c r="E12" s="10" t="s">
        <v>387</v>
      </c>
      <c r="F12" s="24" t="s">
        <v>388</v>
      </c>
      <c r="G12" s="24" t="s">
        <v>575</v>
      </c>
      <c r="H12" s="21">
        <v>41856</v>
      </c>
      <c r="I12" s="26">
        <v>46.05</v>
      </c>
      <c r="J12" s="9"/>
    </row>
    <row r="13" spans="1:10" ht="18" customHeight="1">
      <c r="A13" s="33">
        <v>6</v>
      </c>
      <c r="B13" s="24" t="s">
        <v>576</v>
      </c>
      <c r="C13" s="21">
        <v>41856</v>
      </c>
      <c r="D13" s="26">
        <v>41.5</v>
      </c>
      <c r="E13" s="10" t="s">
        <v>387</v>
      </c>
      <c r="F13" s="24" t="s">
        <v>388</v>
      </c>
      <c r="G13" s="24" t="s">
        <v>576</v>
      </c>
      <c r="H13" s="21">
        <v>41856</v>
      </c>
      <c r="I13" s="26">
        <v>41.5</v>
      </c>
      <c r="J13" s="9"/>
    </row>
    <row r="14" spans="1:10" ht="18" customHeight="1">
      <c r="A14" s="33">
        <v>7</v>
      </c>
      <c r="B14" s="24" t="s">
        <v>591</v>
      </c>
      <c r="C14" s="21">
        <v>41864</v>
      </c>
      <c r="D14" s="26">
        <v>27.9</v>
      </c>
      <c r="E14" s="10" t="s">
        <v>387</v>
      </c>
      <c r="F14" s="24" t="s">
        <v>388</v>
      </c>
      <c r="G14" s="24" t="s">
        <v>591</v>
      </c>
      <c r="H14" s="21">
        <v>41864</v>
      </c>
      <c r="I14" s="26">
        <v>27.9</v>
      </c>
      <c r="J14" s="9"/>
    </row>
    <row r="15" spans="1:10" ht="18" customHeight="1">
      <c r="A15" s="33">
        <v>8</v>
      </c>
      <c r="B15" s="24" t="s">
        <v>606</v>
      </c>
      <c r="C15" s="21">
        <v>41882</v>
      </c>
      <c r="D15" s="26">
        <v>143</v>
      </c>
      <c r="E15" s="10" t="s">
        <v>387</v>
      </c>
      <c r="F15" s="24" t="s">
        <v>388</v>
      </c>
      <c r="G15" s="24" t="s">
        <v>606</v>
      </c>
      <c r="H15" s="21">
        <v>41882</v>
      </c>
      <c r="I15" s="26">
        <v>143</v>
      </c>
      <c r="J15" s="9"/>
    </row>
    <row r="16" spans="1:10" ht="18" customHeight="1">
      <c r="A16" s="33">
        <v>9</v>
      </c>
      <c r="B16" s="24" t="s">
        <v>607</v>
      </c>
      <c r="C16" s="21">
        <v>41882</v>
      </c>
      <c r="D16" s="26">
        <v>60.33</v>
      </c>
      <c r="E16" s="10" t="s">
        <v>387</v>
      </c>
      <c r="F16" s="24" t="s">
        <v>388</v>
      </c>
      <c r="G16" s="24" t="s">
        <v>607</v>
      </c>
      <c r="H16" s="21">
        <v>41882</v>
      </c>
      <c r="I16" s="26">
        <v>60.33</v>
      </c>
      <c r="J16" s="9"/>
    </row>
    <row r="17" spans="1:11" ht="18" customHeight="1">
      <c r="A17" s="33">
        <v>10</v>
      </c>
      <c r="B17" s="24" t="s">
        <v>618</v>
      </c>
      <c r="C17" s="21">
        <v>41892</v>
      </c>
      <c r="D17" s="26">
        <v>27.53</v>
      </c>
      <c r="E17" s="10" t="s">
        <v>387</v>
      </c>
      <c r="F17" s="24" t="s">
        <v>388</v>
      </c>
      <c r="G17" s="24" t="s">
        <v>618</v>
      </c>
      <c r="H17" s="21">
        <v>41892</v>
      </c>
      <c r="I17" s="26">
        <v>27.53</v>
      </c>
      <c r="J17" s="9"/>
    </row>
    <row r="18" spans="1:11" ht="18" customHeight="1">
      <c r="A18" s="33">
        <v>11</v>
      </c>
      <c r="B18" s="24" t="s">
        <v>619</v>
      </c>
      <c r="C18" s="21">
        <v>41892</v>
      </c>
      <c r="D18" s="26">
        <v>53.64</v>
      </c>
      <c r="E18" s="10" t="s">
        <v>387</v>
      </c>
      <c r="F18" s="24" t="s">
        <v>388</v>
      </c>
      <c r="G18" s="24" t="s">
        <v>619</v>
      </c>
      <c r="H18" s="21">
        <v>41892</v>
      </c>
      <c r="I18" s="26">
        <v>53.64</v>
      </c>
      <c r="J18" s="9"/>
    </row>
    <row r="19" spans="1:11" ht="18" customHeight="1">
      <c r="A19" s="33">
        <v>12</v>
      </c>
      <c r="B19" s="24" t="s">
        <v>628</v>
      </c>
      <c r="C19" s="21">
        <v>41898</v>
      </c>
      <c r="D19" s="26">
        <v>34.770000000000003</v>
      </c>
      <c r="E19" s="10" t="s">
        <v>387</v>
      </c>
      <c r="F19" s="24" t="s">
        <v>388</v>
      </c>
      <c r="G19" s="24" t="s">
        <v>628</v>
      </c>
      <c r="H19" s="21">
        <v>41898</v>
      </c>
      <c r="I19" s="26">
        <v>34.770000000000003</v>
      </c>
      <c r="J19" s="9"/>
    </row>
    <row r="20" spans="1:11" ht="18" customHeight="1">
      <c r="A20" s="33">
        <v>13</v>
      </c>
      <c r="B20" s="24" t="s">
        <v>632</v>
      </c>
      <c r="C20" s="21">
        <v>41908</v>
      </c>
      <c r="D20" s="26">
        <v>68.5</v>
      </c>
      <c r="E20" s="10" t="s">
        <v>387</v>
      </c>
      <c r="F20" s="24" t="s">
        <v>388</v>
      </c>
      <c r="G20" s="24" t="s">
        <v>632</v>
      </c>
      <c r="H20" s="21">
        <v>41908</v>
      </c>
      <c r="I20" s="26">
        <v>68.5</v>
      </c>
      <c r="J20" s="9"/>
    </row>
    <row r="21" spans="1:11" ht="18" customHeight="1">
      <c r="A21" s="33">
        <v>14</v>
      </c>
      <c r="B21" s="24" t="s">
        <v>637</v>
      </c>
      <c r="C21" s="21">
        <v>41912</v>
      </c>
      <c r="D21" s="26">
        <v>32</v>
      </c>
      <c r="E21" s="10" t="s">
        <v>387</v>
      </c>
      <c r="F21" s="24" t="s">
        <v>388</v>
      </c>
      <c r="G21" s="24" t="s">
        <v>637</v>
      </c>
      <c r="H21" s="21">
        <v>41912</v>
      </c>
      <c r="I21" s="26">
        <v>32</v>
      </c>
      <c r="J21" s="9"/>
    </row>
    <row r="22" spans="1:11" ht="18" customHeight="1">
      <c r="A22" s="33">
        <v>15</v>
      </c>
      <c r="B22" s="24" t="s">
        <v>638</v>
      </c>
      <c r="C22" s="21">
        <v>41912</v>
      </c>
      <c r="D22" s="26">
        <v>26.65</v>
      </c>
      <c r="E22" s="10" t="s">
        <v>387</v>
      </c>
      <c r="F22" s="24" t="s">
        <v>388</v>
      </c>
      <c r="G22" s="24" t="s">
        <v>638</v>
      </c>
      <c r="H22" s="21">
        <v>41912</v>
      </c>
      <c r="I22" s="26">
        <v>26.65</v>
      </c>
      <c r="J22" s="9"/>
    </row>
    <row r="23" spans="1:11" ht="18" customHeight="1">
      <c r="A23" s="33">
        <v>16</v>
      </c>
      <c r="B23" s="24" t="s">
        <v>639</v>
      </c>
      <c r="C23" s="21">
        <v>41912</v>
      </c>
      <c r="D23" s="26">
        <v>34.86</v>
      </c>
      <c r="E23" s="10" t="s">
        <v>387</v>
      </c>
      <c r="F23" s="24" t="s">
        <v>388</v>
      </c>
      <c r="G23" s="24" t="s">
        <v>639</v>
      </c>
      <c r="H23" s="21">
        <v>41912</v>
      </c>
      <c r="I23" s="26">
        <v>34.86</v>
      </c>
      <c r="J23" s="9"/>
    </row>
    <row r="24" spans="1:11" ht="18" customHeight="1">
      <c r="A24" s="33">
        <v>17</v>
      </c>
      <c r="B24" s="24" t="s">
        <v>643</v>
      </c>
      <c r="C24" s="21">
        <v>41919</v>
      </c>
      <c r="D24" s="26">
        <v>26.44</v>
      </c>
      <c r="E24" s="10" t="s">
        <v>387</v>
      </c>
      <c r="F24" s="24" t="s">
        <v>388</v>
      </c>
      <c r="G24" s="24" t="s">
        <v>643</v>
      </c>
      <c r="H24" s="21">
        <v>41919</v>
      </c>
      <c r="I24" s="26">
        <v>26.44</v>
      </c>
      <c r="J24" s="9"/>
    </row>
    <row r="25" spans="1:11" ht="18" customHeight="1">
      <c r="A25" s="33">
        <v>18</v>
      </c>
      <c r="B25" s="24" t="s">
        <v>653</v>
      </c>
      <c r="C25" s="21">
        <v>41928</v>
      </c>
      <c r="D25" s="26">
        <v>44.22</v>
      </c>
      <c r="E25" s="10" t="s">
        <v>387</v>
      </c>
      <c r="F25" s="24" t="s">
        <v>388</v>
      </c>
      <c r="G25" s="24" t="s">
        <v>653</v>
      </c>
      <c r="H25" s="21">
        <v>41928</v>
      </c>
      <c r="I25" s="26">
        <v>44.22</v>
      </c>
      <c r="J25" s="9"/>
    </row>
    <row r="26" spans="1:11" ht="18" customHeight="1">
      <c r="A26" s="33">
        <v>19</v>
      </c>
      <c r="B26" s="24" t="s">
        <v>657</v>
      </c>
      <c r="C26" s="21">
        <v>41939</v>
      </c>
      <c r="D26" s="26">
        <v>27.75</v>
      </c>
      <c r="E26" s="10" t="s">
        <v>387</v>
      </c>
      <c r="F26" s="24" t="s">
        <v>388</v>
      </c>
      <c r="G26" s="24" t="s">
        <v>657</v>
      </c>
      <c r="H26" s="21">
        <v>41939</v>
      </c>
      <c r="I26" s="26">
        <v>27.75</v>
      </c>
      <c r="J26" s="9"/>
    </row>
    <row r="27" spans="1:11" ht="18" customHeight="1">
      <c r="A27" s="33">
        <v>20</v>
      </c>
      <c r="B27" s="24" t="s">
        <v>660</v>
      </c>
      <c r="C27" s="21">
        <v>41946</v>
      </c>
      <c r="D27" s="26">
        <v>90.92</v>
      </c>
      <c r="E27" s="10" t="s">
        <v>387</v>
      </c>
      <c r="F27" s="24" t="s">
        <v>388</v>
      </c>
      <c r="G27" s="24" t="s">
        <v>660</v>
      </c>
      <c r="H27" s="21">
        <v>41946</v>
      </c>
      <c r="I27" s="26">
        <v>90.92</v>
      </c>
      <c r="J27" s="9"/>
    </row>
    <row r="28" spans="1:11" ht="18" customHeight="1">
      <c r="A28" s="33">
        <v>21</v>
      </c>
      <c r="B28" s="24" t="s">
        <v>669</v>
      </c>
      <c r="C28" s="21">
        <v>41956</v>
      </c>
      <c r="D28" s="26">
        <v>110.34</v>
      </c>
      <c r="E28" s="10" t="s">
        <v>387</v>
      </c>
      <c r="F28" s="24" t="s">
        <v>388</v>
      </c>
      <c r="G28" s="24" t="s">
        <v>669</v>
      </c>
      <c r="H28" s="21">
        <v>41956</v>
      </c>
      <c r="I28" s="26">
        <v>110.34</v>
      </c>
      <c r="J28" s="9"/>
    </row>
    <row r="29" spans="1:11" ht="18" customHeight="1">
      <c r="A29" s="33">
        <v>22</v>
      </c>
      <c r="B29" s="24" t="s">
        <v>674</v>
      </c>
      <c r="C29" s="21">
        <v>41967</v>
      </c>
      <c r="D29" s="26">
        <v>26.98</v>
      </c>
      <c r="E29" s="10" t="s">
        <v>387</v>
      </c>
      <c r="F29" s="24" t="s">
        <v>388</v>
      </c>
      <c r="G29" s="24" t="s">
        <v>674</v>
      </c>
      <c r="H29" s="21">
        <v>41967</v>
      </c>
      <c r="I29" s="26">
        <v>26.98</v>
      </c>
      <c r="J29" s="9"/>
    </row>
    <row r="30" spans="1:11" ht="18" customHeight="1">
      <c r="A30" s="33">
        <v>23</v>
      </c>
      <c r="B30" s="24" t="s">
        <v>678</v>
      </c>
      <c r="C30" s="21">
        <v>41973</v>
      </c>
      <c r="D30" s="26">
        <v>36.35</v>
      </c>
      <c r="E30" s="10" t="s">
        <v>387</v>
      </c>
      <c r="F30" s="24" t="s">
        <v>388</v>
      </c>
      <c r="G30" s="24" t="s">
        <v>678</v>
      </c>
      <c r="H30" s="21">
        <v>41973</v>
      </c>
      <c r="I30" s="26">
        <v>36.35</v>
      </c>
      <c r="J30" s="21"/>
      <c r="K30" s="25"/>
    </row>
    <row r="31" spans="1:11" ht="18" customHeight="1">
      <c r="A31" s="33">
        <v>24</v>
      </c>
      <c r="B31" s="24" t="s">
        <v>692</v>
      </c>
      <c r="C31" s="21">
        <v>41988</v>
      </c>
      <c r="D31" s="26">
        <v>61.63</v>
      </c>
      <c r="E31" s="10" t="s">
        <v>387</v>
      </c>
      <c r="F31" s="24" t="s">
        <v>388</v>
      </c>
      <c r="G31" s="24" t="s">
        <v>692</v>
      </c>
      <c r="H31" s="21">
        <v>41988</v>
      </c>
      <c r="I31" s="26">
        <v>61.63</v>
      </c>
      <c r="J31" s="9"/>
    </row>
    <row r="32" spans="1:11" ht="18" customHeight="1">
      <c r="A32" s="33">
        <v>25</v>
      </c>
      <c r="B32" s="24" t="s">
        <v>697</v>
      </c>
      <c r="C32" s="21">
        <v>41995</v>
      </c>
      <c r="D32" s="26">
        <v>47.71</v>
      </c>
      <c r="E32" s="10" t="s">
        <v>387</v>
      </c>
      <c r="F32" s="24" t="s">
        <v>388</v>
      </c>
      <c r="G32" s="24" t="s">
        <v>697</v>
      </c>
      <c r="H32" s="21">
        <v>41995</v>
      </c>
      <c r="I32" s="26">
        <v>47.71</v>
      </c>
      <c r="J32" s="9"/>
    </row>
    <row r="33" spans="1:10" ht="18" customHeight="1">
      <c r="A33" s="33">
        <v>26</v>
      </c>
      <c r="B33" s="24" t="s">
        <v>707</v>
      </c>
      <c r="C33" s="21">
        <v>42003</v>
      </c>
      <c r="D33" s="26">
        <v>54.5</v>
      </c>
      <c r="E33" s="10" t="s">
        <v>387</v>
      </c>
      <c r="F33" s="24" t="s">
        <v>388</v>
      </c>
      <c r="G33" s="24" t="s">
        <v>707</v>
      </c>
      <c r="H33" s="21">
        <v>42003</v>
      </c>
      <c r="I33" s="26">
        <v>54.5</v>
      </c>
      <c r="J33" s="9"/>
    </row>
    <row r="34" spans="1:10" ht="18" customHeight="1">
      <c r="A34" s="33">
        <v>27</v>
      </c>
      <c r="B34" s="24" t="s">
        <v>715</v>
      </c>
      <c r="C34" s="21">
        <v>42009</v>
      </c>
      <c r="D34" s="26">
        <v>73.5</v>
      </c>
      <c r="E34" s="10" t="s">
        <v>387</v>
      </c>
      <c r="F34" s="24" t="s">
        <v>388</v>
      </c>
      <c r="G34" s="24" t="s">
        <v>715</v>
      </c>
      <c r="H34" s="21">
        <v>42009</v>
      </c>
      <c r="I34" s="26">
        <v>73.5</v>
      </c>
      <c r="J34" s="9"/>
    </row>
    <row r="35" spans="1:10" ht="18" customHeight="1">
      <c r="A35" s="33">
        <v>28</v>
      </c>
      <c r="B35" s="24" t="s">
        <v>717</v>
      </c>
      <c r="C35" s="21">
        <v>42016</v>
      </c>
      <c r="D35" s="26">
        <v>102.28</v>
      </c>
      <c r="E35" s="10" t="s">
        <v>387</v>
      </c>
      <c r="F35" s="24" t="s">
        <v>388</v>
      </c>
      <c r="G35" s="24" t="s">
        <v>717</v>
      </c>
      <c r="H35" s="21">
        <v>42016</v>
      </c>
      <c r="I35" s="26">
        <v>102.28</v>
      </c>
      <c r="J35" s="9"/>
    </row>
    <row r="36" spans="1:10" ht="18" customHeight="1">
      <c r="A36" s="33">
        <v>29</v>
      </c>
      <c r="B36" s="24" t="s">
        <v>719</v>
      </c>
      <c r="C36" s="21">
        <v>42024</v>
      </c>
      <c r="D36" s="26">
        <v>39.92</v>
      </c>
      <c r="E36" s="10" t="s">
        <v>387</v>
      </c>
      <c r="F36" s="24" t="s">
        <v>388</v>
      </c>
      <c r="G36" s="24" t="s">
        <v>719</v>
      </c>
      <c r="H36" s="21">
        <v>42024</v>
      </c>
      <c r="I36" s="26">
        <v>39.92</v>
      </c>
      <c r="J36" s="9"/>
    </row>
    <row r="37" spans="1:10" ht="18" customHeight="1">
      <c r="A37" s="33">
        <v>30</v>
      </c>
      <c r="B37" s="24" t="s">
        <v>722</v>
      </c>
      <c r="C37" s="21">
        <v>42031</v>
      </c>
      <c r="D37" s="26">
        <v>62.39</v>
      </c>
      <c r="E37" s="10" t="s">
        <v>387</v>
      </c>
      <c r="F37" s="24" t="s">
        <v>388</v>
      </c>
      <c r="G37" s="24" t="s">
        <v>722</v>
      </c>
      <c r="H37" s="21">
        <v>42031</v>
      </c>
      <c r="I37" s="26">
        <v>62.39</v>
      </c>
      <c r="J37" s="9"/>
    </row>
    <row r="38" spans="1:10" ht="18" customHeight="1">
      <c r="A38" s="33">
        <v>31</v>
      </c>
      <c r="B38" s="24" t="s">
        <v>709</v>
      </c>
      <c r="C38" s="21">
        <v>42040</v>
      </c>
      <c r="D38" s="26">
        <v>56.55</v>
      </c>
      <c r="E38" s="10" t="s">
        <v>387</v>
      </c>
      <c r="F38" s="24" t="s">
        <v>388</v>
      </c>
      <c r="G38" s="24" t="s">
        <v>709</v>
      </c>
      <c r="H38" s="21">
        <v>42040</v>
      </c>
      <c r="I38" s="26">
        <v>56.55</v>
      </c>
      <c r="J38" s="9"/>
    </row>
    <row r="39" spans="1:10" ht="18" customHeight="1">
      <c r="A39" s="33">
        <v>32</v>
      </c>
      <c r="B39" s="24" t="s">
        <v>711</v>
      </c>
      <c r="C39" s="21">
        <v>42045</v>
      </c>
      <c r="D39" s="26">
        <v>29.21</v>
      </c>
      <c r="E39" s="10" t="s">
        <v>387</v>
      </c>
      <c r="F39" s="24" t="s">
        <v>388</v>
      </c>
      <c r="G39" s="24" t="s">
        <v>711</v>
      </c>
      <c r="H39" s="21">
        <v>42045</v>
      </c>
      <c r="I39" s="26">
        <v>29.21</v>
      </c>
      <c r="J39" s="9"/>
    </row>
    <row r="40" spans="1:10" ht="18" customHeight="1">
      <c r="A40" s="33">
        <v>33</v>
      </c>
      <c r="B40" s="24" t="s">
        <v>713</v>
      </c>
      <c r="C40" s="21">
        <v>42059</v>
      </c>
      <c r="D40" s="26">
        <v>102.92</v>
      </c>
      <c r="E40" s="10" t="s">
        <v>387</v>
      </c>
      <c r="F40" s="24" t="s">
        <v>388</v>
      </c>
      <c r="G40" s="24" t="s">
        <v>713</v>
      </c>
      <c r="H40" s="21">
        <v>42059</v>
      </c>
      <c r="I40" s="26">
        <v>102.92</v>
      </c>
      <c r="J40" s="9"/>
    </row>
    <row r="41" spans="1:10" ht="24">
      <c r="A41" s="572" t="s">
        <v>724</v>
      </c>
      <c r="B41" s="573"/>
      <c r="C41" s="34"/>
      <c r="D41" s="14">
        <f>SUM(D8:D40)</f>
        <v>1831.4500000000003</v>
      </c>
      <c r="E41" s="35"/>
      <c r="F41" s="35"/>
      <c r="G41" s="36"/>
      <c r="H41" s="34"/>
      <c r="I41" s="14">
        <f>SUM(I8:I40)</f>
        <v>1831.4500000000003</v>
      </c>
      <c r="J41" s="32"/>
    </row>
    <row r="44" spans="1:10" ht="21">
      <c r="E44" s="11" t="s">
        <v>387</v>
      </c>
      <c r="F44" s="16" t="s">
        <v>388</v>
      </c>
      <c r="G44" s="17" t="s">
        <v>400</v>
      </c>
      <c r="H44" s="18">
        <v>41619</v>
      </c>
      <c r="I44" s="15">
        <v>5</v>
      </c>
    </row>
  </sheetData>
  <mergeCells count="13">
    <mergeCell ref="A41:B41"/>
    <mergeCell ref="A1:J1"/>
    <mergeCell ref="A2:J2"/>
    <mergeCell ref="A3:E3"/>
    <mergeCell ref="A4:D4"/>
    <mergeCell ref="A5:A7"/>
    <mergeCell ref="B5:D5"/>
    <mergeCell ref="E5:I5"/>
    <mergeCell ref="J5:J7"/>
    <mergeCell ref="B6:D6"/>
    <mergeCell ref="E6:E7"/>
    <mergeCell ref="F6:F7"/>
    <mergeCell ref="G6:I6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459"/>
  <sheetViews>
    <sheetView workbookViewId="0">
      <selection activeCell="A11" sqref="A11"/>
    </sheetView>
  </sheetViews>
  <sheetFormatPr defaultRowHeight="13.2"/>
  <cols>
    <col min="1" max="1" width="6.6640625" customWidth="1"/>
    <col min="2" max="2" width="12.33203125" customWidth="1"/>
    <col min="3" max="3" width="12.44140625" customWidth="1"/>
    <col min="4" max="4" width="13.33203125" customWidth="1"/>
    <col min="5" max="5" width="16.88671875" customWidth="1"/>
    <col min="6" max="6" width="14" customWidth="1"/>
    <col min="7" max="7" width="11" customWidth="1"/>
    <col min="9" max="9" width="12.88671875" customWidth="1"/>
  </cols>
  <sheetData>
    <row r="1" spans="1:10" ht="33.6">
      <c r="A1" s="531" t="s">
        <v>10</v>
      </c>
      <c r="B1" s="531"/>
      <c r="C1" s="531"/>
      <c r="D1" s="531"/>
      <c r="E1" s="531"/>
      <c r="F1" s="531"/>
      <c r="G1" s="531"/>
      <c r="H1" s="531"/>
      <c r="I1" s="531"/>
      <c r="J1" s="531"/>
    </row>
    <row r="2" spans="1:10" ht="33.6">
      <c r="A2" s="531" t="s">
        <v>16</v>
      </c>
      <c r="B2" s="531"/>
      <c r="C2" s="531"/>
      <c r="D2" s="531"/>
      <c r="E2" s="531"/>
      <c r="F2" s="531"/>
      <c r="G2" s="531"/>
      <c r="H2" s="531"/>
      <c r="I2" s="531"/>
      <c r="J2" s="531"/>
    </row>
    <row r="3" spans="1:10" ht="27">
      <c r="A3" s="574" t="s">
        <v>723</v>
      </c>
      <c r="B3" s="574"/>
      <c r="C3" s="574"/>
      <c r="D3" s="574"/>
      <c r="E3" s="574"/>
      <c r="F3" s="4"/>
      <c r="G3" s="4"/>
      <c r="H3" s="4"/>
      <c r="I3" s="4"/>
      <c r="J3" s="4"/>
    </row>
    <row r="4" spans="1:10" ht="27">
      <c r="A4" s="533" t="s">
        <v>49</v>
      </c>
      <c r="B4" s="533"/>
      <c r="C4" s="533"/>
      <c r="D4" s="533"/>
      <c r="E4" s="5"/>
      <c r="F4" s="4"/>
      <c r="G4" s="4"/>
      <c r="H4" s="4"/>
      <c r="I4" s="4"/>
      <c r="J4" s="4"/>
    </row>
    <row r="5" spans="1:10" ht="25.2">
      <c r="A5" s="575" t="s">
        <v>2</v>
      </c>
      <c r="B5" s="578" t="s">
        <v>11</v>
      </c>
      <c r="C5" s="579"/>
      <c r="D5" s="580"/>
      <c r="E5" s="581" t="s">
        <v>5</v>
      </c>
      <c r="F5" s="582"/>
      <c r="G5" s="582"/>
      <c r="H5" s="582"/>
      <c r="I5" s="582"/>
      <c r="J5" s="583" t="s">
        <v>15</v>
      </c>
    </row>
    <row r="6" spans="1:10" ht="25.2">
      <c r="A6" s="576"/>
      <c r="B6" s="586" t="s">
        <v>12</v>
      </c>
      <c r="C6" s="587"/>
      <c r="D6" s="588"/>
      <c r="E6" s="589" t="s">
        <v>4</v>
      </c>
      <c r="F6" s="590" t="s">
        <v>14</v>
      </c>
      <c r="G6" s="586" t="s">
        <v>12</v>
      </c>
      <c r="H6" s="587"/>
      <c r="I6" s="588"/>
      <c r="J6" s="584"/>
    </row>
    <row r="7" spans="1:10" ht="25.2">
      <c r="A7" s="577"/>
      <c r="B7" s="8" t="s">
        <v>6</v>
      </c>
      <c r="C7" s="8" t="s">
        <v>13</v>
      </c>
      <c r="D7" s="8" t="s">
        <v>3</v>
      </c>
      <c r="E7" s="590"/>
      <c r="F7" s="590"/>
      <c r="G7" s="8" t="s">
        <v>6</v>
      </c>
      <c r="H7" s="8" t="s">
        <v>13</v>
      </c>
      <c r="I7" s="8" t="s">
        <v>3</v>
      </c>
      <c r="J7" s="585"/>
    </row>
    <row r="8" spans="1:10" ht="18" customHeight="1">
      <c r="A8" s="33">
        <v>1</v>
      </c>
      <c r="B8" s="12" t="s">
        <v>55</v>
      </c>
      <c r="C8" s="13">
        <v>41246</v>
      </c>
      <c r="D8" s="43">
        <v>8.5</v>
      </c>
      <c r="E8" s="11" t="s">
        <v>51</v>
      </c>
      <c r="F8" s="10" t="s">
        <v>53</v>
      </c>
      <c r="G8" s="12" t="s">
        <v>55</v>
      </c>
      <c r="H8" s="13">
        <v>41246</v>
      </c>
      <c r="I8" s="43">
        <v>8.5</v>
      </c>
      <c r="J8" s="9"/>
    </row>
    <row r="9" spans="1:10" ht="18" customHeight="1">
      <c r="A9" s="33">
        <v>2</v>
      </c>
      <c r="B9" s="12" t="s">
        <v>56</v>
      </c>
      <c r="C9" s="13">
        <v>41246</v>
      </c>
      <c r="D9" s="43">
        <v>52.36</v>
      </c>
      <c r="E9" s="11" t="s">
        <v>51</v>
      </c>
      <c r="F9" s="10" t="s">
        <v>53</v>
      </c>
      <c r="G9" s="12" t="s">
        <v>56</v>
      </c>
      <c r="H9" s="13">
        <v>41246</v>
      </c>
      <c r="I9" s="43">
        <v>52.36</v>
      </c>
      <c r="J9" s="9"/>
    </row>
    <row r="10" spans="1:10" ht="18" customHeight="1">
      <c r="A10" s="33">
        <v>3</v>
      </c>
      <c r="B10" s="12" t="s">
        <v>60</v>
      </c>
      <c r="C10" s="13">
        <v>41255</v>
      </c>
      <c r="D10" s="43">
        <v>21.2</v>
      </c>
      <c r="E10" s="11" t="s">
        <v>51</v>
      </c>
      <c r="F10" s="10" t="s">
        <v>53</v>
      </c>
      <c r="G10" s="12" t="s">
        <v>60</v>
      </c>
      <c r="H10" s="13">
        <v>41255</v>
      </c>
      <c r="I10" s="43">
        <v>21.2</v>
      </c>
      <c r="J10" s="9"/>
    </row>
    <row r="11" spans="1:10" ht="18" customHeight="1">
      <c r="A11" s="33">
        <v>4</v>
      </c>
      <c r="B11" s="12" t="s">
        <v>61</v>
      </c>
      <c r="C11" s="13">
        <v>41255</v>
      </c>
      <c r="D11" s="43">
        <v>29.57</v>
      </c>
      <c r="E11" s="11" t="s">
        <v>51</v>
      </c>
      <c r="F11" s="10" t="s">
        <v>53</v>
      </c>
      <c r="G11" s="12" t="s">
        <v>61</v>
      </c>
      <c r="H11" s="13">
        <v>41255</v>
      </c>
      <c r="I11" s="43">
        <v>29.57</v>
      </c>
      <c r="J11" s="9"/>
    </row>
    <row r="12" spans="1:10" ht="18" customHeight="1">
      <c r="A12" s="33">
        <v>5</v>
      </c>
      <c r="B12" s="12" t="s">
        <v>62</v>
      </c>
      <c r="C12" s="13">
        <v>41260</v>
      </c>
      <c r="D12" s="43">
        <v>34.24</v>
      </c>
      <c r="E12" s="11" t="s">
        <v>51</v>
      </c>
      <c r="F12" s="10" t="s">
        <v>53</v>
      </c>
      <c r="G12" s="12" t="s">
        <v>62</v>
      </c>
      <c r="H12" s="13">
        <v>41260</v>
      </c>
      <c r="I12" s="43">
        <v>34.24</v>
      </c>
      <c r="J12" s="9"/>
    </row>
    <row r="13" spans="1:10" ht="18" customHeight="1">
      <c r="A13" s="33">
        <v>6</v>
      </c>
      <c r="B13" s="12" t="s">
        <v>63</v>
      </c>
      <c r="C13" s="13">
        <v>41260</v>
      </c>
      <c r="D13" s="43">
        <v>8.93</v>
      </c>
      <c r="E13" s="11" t="s">
        <v>51</v>
      </c>
      <c r="F13" s="10" t="s">
        <v>53</v>
      </c>
      <c r="G13" s="12" t="s">
        <v>63</v>
      </c>
      <c r="H13" s="13">
        <v>41260</v>
      </c>
      <c r="I13" s="43">
        <v>8.93</v>
      </c>
      <c r="J13" s="9"/>
    </row>
    <row r="14" spans="1:10" ht="18" customHeight="1">
      <c r="A14" s="33">
        <v>7</v>
      </c>
      <c r="B14" s="12" t="s">
        <v>64</v>
      </c>
      <c r="C14" s="13">
        <v>41260</v>
      </c>
      <c r="D14" s="43">
        <v>27.62</v>
      </c>
      <c r="E14" s="11" t="s">
        <v>51</v>
      </c>
      <c r="F14" s="10" t="s">
        <v>53</v>
      </c>
      <c r="G14" s="12" t="s">
        <v>64</v>
      </c>
      <c r="H14" s="13">
        <v>41260</v>
      </c>
      <c r="I14" s="43">
        <v>27.62</v>
      </c>
      <c r="J14" s="9"/>
    </row>
    <row r="15" spans="1:10" ht="18" customHeight="1">
      <c r="A15" s="33">
        <v>8</v>
      </c>
      <c r="B15" s="12" t="s">
        <v>69</v>
      </c>
      <c r="C15" s="13">
        <v>41261</v>
      </c>
      <c r="D15" s="43">
        <v>57.77</v>
      </c>
      <c r="E15" s="11" t="s">
        <v>51</v>
      </c>
      <c r="F15" s="10" t="s">
        <v>53</v>
      </c>
      <c r="G15" s="12" t="s">
        <v>69</v>
      </c>
      <c r="H15" s="13">
        <v>41261</v>
      </c>
      <c r="I15" s="43">
        <v>57.77</v>
      </c>
      <c r="J15" s="9"/>
    </row>
    <row r="16" spans="1:10" ht="18" customHeight="1">
      <c r="A16" s="33">
        <v>9</v>
      </c>
      <c r="B16" s="12" t="s">
        <v>70</v>
      </c>
      <c r="C16" s="13">
        <v>41261</v>
      </c>
      <c r="D16" s="43">
        <v>24</v>
      </c>
      <c r="E16" s="11" t="s">
        <v>51</v>
      </c>
      <c r="F16" s="10" t="s">
        <v>53</v>
      </c>
      <c r="G16" s="12" t="s">
        <v>70</v>
      </c>
      <c r="H16" s="13">
        <v>41261</v>
      </c>
      <c r="I16" s="43">
        <v>24</v>
      </c>
      <c r="J16" s="9"/>
    </row>
    <row r="17" spans="1:10" ht="18" customHeight="1">
      <c r="A17" s="33">
        <v>10</v>
      </c>
      <c r="B17" s="12" t="s">
        <v>71</v>
      </c>
      <c r="C17" s="13">
        <v>41261</v>
      </c>
      <c r="D17" s="43">
        <v>28.88</v>
      </c>
      <c r="E17" s="11" t="s">
        <v>51</v>
      </c>
      <c r="F17" s="10" t="s">
        <v>53</v>
      </c>
      <c r="G17" s="12" t="s">
        <v>71</v>
      </c>
      <c r="H17" s="13">
        <v>41261</v>
      </c>
      <c r="I17" s="43">
        <v>28.88</v>
      </c>
      <c r="J17" s="9"/>
    </row>
    <row r="18" spans="1:10" ht="18" customHeight="1">
      <c r="A18" s="33">
        <v>11</v>
      </c>
      <c r="B18" s="12" t="s">
        <v>74</v>
      </c>
      <c r="C18" s="13">
        <v>41274</v>
      </c>
      <c r="D18" s="43">
        <v>24</v>
      </c>
      <c r="E18" s="11" t="s">
        <v>51</v>
      </c>
      <c r="F18" s="10" t="s">
        <v>53</v>
      </c>
      <c r="G18" s="12" t="s">
        <v>74</v>
      </c>
      <c r="H18" s="13">
        <v>41274</v>
      </c>
      <c r="I18" s="43">
        <v>24</v>
      </c>
      <c r="J18" s="9"/>
    </row>
    <row r="19" spans="1:10" ht="18" customHeight="1">
      <c r="A19" s="33">
        <v>12</v>
      </c>
      <c r="B19" s="12" t="s">
        <v>75</v>
      </c>
      <c r="C19" s="13">
        <v>41274</v>
      </c>
      <c r="D19" s="43">
        <v>36.26</v>
      </c>
      <c r="E19" s="11" t="s">
        <v>51</v>
      </c>
      <c r="F19" s="10" t="s">
        <v>53</v>
      </c>
      <c r="G19" s="12" t="s">
        <v>75</v>
      </c>
      <c r="H19" s="13">
        <v>41274</v>
      </c>
      <c r="I19" s="43">
        <v>36.26</v>
      </c>
      <c r="J19" s="9"/>
    </row>
    <row r="20" spans="1:10" ht="18" customHeight="1">
      <c r="A20" s="33">
        <v>13</v>
      </c>
      <c r="B20" s="12" t="s">
        <v>79</v>
      </c>
      <c r="C20" s="13">
        <v>41225</v>
      </c>
      <c r="D20" s="43">
        <v>24.64</v>
      </c>
      <c r="E20" s="11" t="s">
        <v>51</v>
      </c>
      <c r="F20" s="10" t="s">
        <v>53</v>
      </c>
      <c r="G20" s="12" t="s">
        <v>79</v>
      </c>
      <c r="H20" s="13">
        <v>41225</v>
      </c>
      <c r="I20" s="43">
        <v>24.64</v>
      </c>
      <c r="J20" s="9"/>
    </row>
    <row r="21" spans="1:10" ht="18" customHeight="1">
      <c r="A21" s="33">
        <v>14</v>
      </c>
      <c r="B21" s="12" t="s">
        <v>82</v>
      </c>
      <c r="C21" s="13">
        <v>41237</v>
      </c>
      <c r="D21" s="43">
        <v>49.82</v>
      </c>
      <c r="E21" s="11" t="s">
        <v>51</v>
      </c>
      <c r="F21" s="10" t="s">
        <v>53</v>
      </c>
      <c r="G21" s="12" t="s">
        <v>82</v>
      </c>
      <c r="H21" s="13">
        <v>41237</v>
      </c>
      <c r="I21" s="43">
        <v>49.82</v>
      </c>
      <c r="J21" s="9"/>
    </row>
    <row r="22" spans="1:10" ht="18" customHeight="1">
      <c r="A22" s="33">
        <v>15</v>
      </c>
      <c r="B22" s="12" t="s">
        <v>85</v>
      </c>
      <c r="C22" s="13">
        <v>41190</v>
      </c>
      <c r="D22" s="43">
        <v>26.3</v>
      </c>
      <c r="E22" s="11" t="s">
        <v>51</v>
      </c>
      <c r="F22" s="10" t="s">
        <v>53</v>
      </c>
      <c r="G22" s="12" t="s">
        <v>85</v>
      </c>
      <c r="H22" s="13">
        <v>41190</v>
      </c>
      <c r="I22" s="43">
        <v>26.3</v>
      </c>
      <c r="J22" s="9"/>
    </row>
    <row r="23" spans="1:10" ht="18" customHeight="1">
      <c r="A23" s="33">
        <v>16</v>
      </c>
      <c r="B23" s="12" t="s">
        <v>86</v>
      </c>
      <c r="C23" s="13">
        <v>41190</v>
      </c>
      <c r="D23" s="43">
        <v>26.01</v>
      </c>
      <c r="E23" s="11" t="s">
        <v>51</v>
      </c>
      <c r="F23" s="10" t="s">
        <v>53</v>
      </c>
      <c r="G23" s="12" t="s">
        <v>86</v>
      </c>
      <c r="H23" s="13">
        <v>41190</v>
      </c>
      <c r="I23" s="43">
        <v>26.01</v>
      </c>
      <c r="J23" s="9"/>
    </row>
    <row r="24" spans="1:10" ht="18" customHeight="1">
      <c r="A24" s="33">
        <v>18</v>
      </c>
      <c r="B24" s="12" t="s">
        <v>87</v>
      </c>
      <c r="C24" s="13">
        <v>41194</v>
      </c>
      <c r="D24" s="43">
        <v>31.78</v>
      </c>
      <c r="E24" s="11" t="s">
        <v>51</v>
      </c>
      <c r="F24" s="10" t="s">
        <v>53</v>
      </c>
      <c r="G24" s="12" t="s">
        <v>87</v>
      </c>
      <c r="H24" s="13">
        <v>41194</v>
      </c>
      <c r="I24" s="43">
        <v>31.78</v>
      </c>
      <c r="J24" s="9"/>
    </row>
    <row r="25" spans="1:10" ht="18" customHeight="1">
      <c r="A25" s="33">
        <v>19</v>
      </c>
      <c r="B25" s="12" t="s">
        <v>88</v>
      </c>
      <c r="C25" s="13">
        <v>41194</v>
      </c>
      <c r="D25" s="43">
        <v>5</v>
      </c>
      <c r="E25" s="11" t="s">
        <v>51</v>
      </c>
      <c r="F25" s="10" t="s">
        <v>53</v>
      </c>
      <c r="G25" s="12" t="s">
        <v>88</v>
      </c>
      <c r="H25" s="13">
        <v>41194</v>
      </c>
      <c r="I25" s="43">
        <v>5</v>
      </c>
      <c r="J25" s="9"/>
    </row>
    <row r="26" spans="1:10" ht="18" customHeight="1">
      <c r="A26" s="33">
        <v>20</v>
      </c>
      <c r="B26" s="12" t="s">
        <v>90</v>
      </c>
      <c r="C26" s="13">
        <v>41204</v>
      </c>
      <c r="D26" s="43">
        <v>22.41</v>
      </c>
      <c r="E26" s="11" t="s">
        <v>51</v>
      </c>
      <c r="F26" s="10" t="s">
        <v>53</v>
      </c>
      <c r="G26" s="12" t="s">
        <v>90</v>
      </c>
      <c r="H26" s="13">
        <v>41204</v>
      </c>
      <c r="I26" s="43">
        <v>22.41</v>
      </c>
      <c r="J26" s="9"/>
    </row>
    <row r="27" spans="1:10" ht="18" customHeight="1">
      <c r="A27" s="33">
        <v>21</v>
      </c>
      <c r="B27" s="12" t="s">
        <v>92</v>
      </c>
      <c r="C27" s="13">
        <v>41204</v>
      </c>
      <c r="D27" s="43">
        <v>21.7</v>
      </c>
      <c r="E27" s="11" t="s">
        <v>51</v>
      </c>
      <c r="F27" s="10" t="s">
        <v>53</v>
      </c>
      <c r="G27" s="12" t="s">
        <v>92</v>
      </c>
      <c r="H27" s="13">
        <v>41204</v>
      </c>
      <c r="I27" s="43">
        <v>21.7</v>
      </c>
      <c r="J27" s="9"/>
    </row>
    <row r="28" spans="1:10" ht="18" customHeight="1">
      <c r="A28" s="33">
        <v>22</v>
      </c>
      <c r="B28" s="12" t="s">
        <v>94</v>
      </c>
      <c r="C28" s="13">
        <v>41212</v>
      </c>
      <c r="D28" s="43">
        <v>25.12</v>
      </c>
      <c r="E28" s="11" t="s">
        <v>51</v>
      </c>
      <c r="F28" s="10" t="s">
        <v>53</v>
      </c>
      <c r="G28" s="12" t="s">
        <v>94</v>
      </c>
      <c r="H28" s="13">
        <v>41212</v>
      </c>
      <c r="I28" s="43">
        <v>25.12</v>
      </c>
      <c r="J28" s="9"/>
    </row>
    <row r="29" spans="1:10" ht="18" customHeight="1">
      <c r="A29" s="33">
        <v>23</v>
      </c>
      <c r="B29" s="12" t="s">
        <v>95</v>
      </c>
      <c r="C29" s="13">
        <v>41212</v>
      </c>
      <c r="D29" s="43">
        <v>33.19</v>
      </c>
      <c r="E29" s="11" t="s">
        <v>51</v>
      </c>
      <c r="F29" s="10" t="s">
        <v>53</v>
      </c>
      <c r="G29" s="12" t="s">
        <v>95</v>
      </c>
      <c r="H29" s="13">
        <v>41212</v>
      </c>
      <c r="I29" s="43">
        <v>33.19</v>
      </c>
      <c r="J29" s="9"/>
    </row>
    <row r="30" spans="1:10" ht="18" customHeight="1">
      <c r="A30" s="33">
        <v>24</v>
      </c>
      <c r="B30" s="12" t="s">
        <v>96</v>
      </c>
      <c r="C30" s="13">
        <v>41156</v>
      </c>
      <c r="D30" s="43">
        <v>15.08</v>
      </c>
      <c r="E30" s="11" t="s">
        <v>51</v>
      </c>
      <c r="F30" s="10" t="s">
        <v>53</v>
      </c>
      <c r="G30" s="12" t="s">
        <v>96</v>
      </c>
      <c r="H30" s="13">
        <v>41156</v>
      </c>
      <c r="I30" s="43">
        <v>15.08</v>
      </c>
      <c r="J30" s="9"/>
    </row>
    <row r="31" spans="1:10" ht="18" customHeight="1">
      <c r="A31" s="33">
        <v>25</v>
      </c>
      <c r="B31" s="12" t="s">
        <v>98</v>
      </c>
      <c r="C31" s="13">
        <v>41163</v>
      </c>
      <c r="D31" s="43">
        <v>9.6199999999999992</v>
      </c>
      <c r="E31" s="11" t="s">
        <v>51</v>
      </c>
      <c r="F31" s="10" t="s">
        <v>53</v>
      </c>
      <c r="G31" s="12" t="s">
        <v>98</v>
      </c>
      <c r="H31" s="13">
        <v>41163</v>
      </c>
      <c r="I31" s="43">
        <v>9.6199999999999992</v>
      </c>
      <c r="J31" s="9"/>
    </row>
    <row r="32" spans="1:10" ht="18" customHeight="1">
      <c r="A32" s="33">
        <v>26</v>
      </c>
      <c r="B32" s="12" t="s">
        <v>99</v>
      </c>
      <c r="C32" s="13">
        <v>41164</v>
      </c>
      <c r="D32" s="43">
        <v>9.24</v>
      </c>
      <c r="E32" s="11" t="s">
        <v>51</v>
      </c>
      <c r="F32" s="10" t="s">
        <v>53</v>
      </c>
      <c r="G32" s="12" t="s">
        <v>99</v>
      </c>
      <c r="H32" s="13">
        <v>41164</v>
      </c>
      <c r="I32" s="43">
        <v>9.24</v>
      </c>
      <c r="J32" s="9"/>
    </row>
    <row r="33" spans="1:10" ht="18" customHeight="1">
      <c r="A33" s="33">
        <v>27</v>
      </c>
      <c r="B33" s="12" t="s">
        <v>101</v>
      </c>
      <c r="C33" s="13">
        <v>41170</v>
      </c>
      <c r="D33" s="43">
        <v>26.71</v>
      </c>
      <c r="E33" s="11" t="s">
        <v>51</v>
      </c>
      <c r="F33" s="10" t="s">
        <v>53</v>
      </c>
      <c r="G33" s="12" t="s">
        <v>101</v>
      </c>
      <c r="H33" s="13">
        <v>41170</v>
      </c>
      <c r="I33" s="43">
        <v>26.71</v>
      </c>
      <c r="J33" s="9"/>
    </row>
    <row r="34" spans="1:10" ht="18" customHeight="1">
      <c r="A34" s="33">
        <v>28</v>
      </c>
      <c r="B34" s="12" t="s">
        <v>102</v>
      </c>
      <c r="C34" s="13">
        <v>41170</v>
      </c>
      <c r="D34" s="43">
        <v>34.479999999999997</v>
      </c>
      <c r="E34" s="11" t="s">
        <v>51</v>
      </c>
      <c r="F34" s="10" t="s">
        <v>53</v>
      </c>
      <c r="G34" s="12" t="s">
        <v>102</v>
      </c>
      <c r="H34" s="13">
        <v>41170</v>
      </c>
      <c r="I34" s="43">
        <v>34.479999999999997</v>
      </c>
      <c r="J34" s="9"/>
    </row>
    <row r="35" spans="1:10" ht="18" customHeight="1">
      <c r="A35" s="33">
        <v>29</v>
      </c>
      <c r="B35" s="12" t="s">
        <v>104</v>
      </c>
      <c r="C35" s="13">
        <v>41177</v>
      </c>
      <c r="D35" s="43">
        <v>48.74</v>
      </c>
      <c r="E35" s="11" t="s">
        <v>51</v>
      </c>
      <c r="F35" s="10" t="s">
        <v>53</v>
      </c>
      <c r="G35" s="12" t="s">
        <v>104</v>
      </c>
      <c r="H35" s="13">
        <v>41177</v>
      </c>
      <c r="I35" s="43">
        <v>48.74</v>
      </c>
      <c r="J35" s="9"/>
    </row>
    <row r="36" spans="1:10" ht="18" customHeight="1">
      <c r="A36" s="33">
        <v>30</v>
      </c>
      <c r="B36" s="12" t="s">
        <v>105</v>
      </c>
      <c r="C36" s="13">
        <v>41178</v>
      </c>
      <c r="D36" s="43">
        <v>23.06</v>
      </c>
      <c r="E36" s="11" t="s">
        <v>51</v>
      </c>
      <c r="F36" s="10" t="s">
        <v>53</v>
      </c>
      <c r="G36" s="12" t="s">
        <v>105</v>
      </c>
      <c r="H36" s="13">
        <v>41178</v>
      </c>
      <c r="I36" s="43">
        <v>23.06</v>
      </c>
      <c r="J36" s="9"/>
    </row>
    <row r="37" spans="1:10" ht="18" customHeight="1">
      <c r="A37" s="33">
        <v>31</v>
      </c>
      <c r="B37" s="12" t="s">
        <v>106</v>
      </c>
      <c r="C37" s="13">
        <v>41182</v>
      </c>
      <c r="D37" s="43">
        <v>22.2</v>
      </c>
      <c r="E37" s="11" t="s">
        <v>51</v>
      </c>
      <c r="F37" s="10" t="s">
        <v>53</v>
      </c>
      <c r="G37" s="12" t="s">
        <v>106</v>
      </c>
      <c r="H37" s="13">
        <v>41182</v>
      </c>
      <c r="I37" s="43">
        <v>22.2</v>
      </c>
      <c r="J37" s="9"/>
    </row>
    <row r="38" spans="1:10" ht="18" customHeight="1">
      <c r="A38" s="33">
        <v>32</v>
      </c>
      <c r="B38" s="12" t="s">
        <v>107</v>
      </c>
      <c r="C38" s="13">
        <v>41182</v>
      </c>
      <c r="D38" s="43">
        <v>2.5</v>
      </c>
      <c r="E38" s="11" t="s">
        <v>51</v>
      </c>
      <c r="F38" s="10" t="s">
        <v>53</v>
      </c>
      <c r="G38" s="12" t="s">
        <v>107</v>
      </c>
      <c r="H38" s="13">
        <v>41182</v>
      </c>
      <c r="I38" s="43">
        <v>2.5</v>
      </c>
      <c r="J38" s="9"/>
    </row>
    <row r="39" spans="1:10" ht="18" customHeight="1">
      <c r="A39" s="33">
        <v>33</v>
      </c>
      <c r="B39" s="12" t="s">
        <v>108</v>
      </c>
      <c r="C39" s="13">
        <v>41182</v>
      </c>
      <c r="D39" s="43">
        <v>18.09</v>
      </c>
      <c r="E39" s="11" t="s">
        <v>51</v>
      </c>
      <c r="F39" s="10" t="s">
        <v>53</v>
      </c>
      <c r="G39" s="12" t="s">
        <v>108</v>
      </c>
      <c r="H39" s="13">
        <v>41182</v>
      </c>
      <c r="I39" s="43">
        <v>18.09</v>
      </c>
      <c r="J39" s="9"/>
    </row>
    <row r="40" spans="1:10" ht="18" customHeight="1">
      <c r="A40" s="33">
        <v>34</v>
      </c>
      <c r="B40" s="12" t="s">
        <v>110</v>
      </c>
      <c r="C40" s="13">
        <v>41128</v>
      </c>
      <c r="D40" s="43">
        <v>2.7</v>
      </c>
      <c r="E40" s="11" t="s">
        <v>51</v>
      </c>
      <c r="F40" s="10" t="s">
        <v>53</v>
      </c>
      <c r="G40" s="12" t="s">
        <v>110</v>
      </c>
      <c r="H40" s="13">
        <v>41128</v>
      </c>
      <c r="I40" s="43">
        <v>2.7</v>
      </c>
      <c r="J40" s="9"/>
    </row>
    <row r="41" spans="1:10" ht="18" customHeight="1">
      <c r="A41" s="33">
        <v>35</v>
      </c>
      <c r="B41" s="12" t="s">
        <v>112</v>
      </c>
      <c r="C41" s="13">
        <v>41135</v>
      </c>
      <c r="D41" s="43">
        <v>3.87</v>
      </c>
      <c r="E41" s="11" t="s">
        <v>51</v>
      </c>
      <c r="F41" s="10" t="s">
        <v>53</v>
      </c>
      <c r="G41" s="12" t="s">
        <v>112</v>
      </c>
      <c r="H41" s="13">
        <v>41135</v>
      </c>
      <c r="I41" s="43">
        <v>3.87</v>
      </c>
      <c r="J41" s="9"/>
    </row>
    <row r="42" spans="1:10" ht="18" customHeight="1">
      <c r="A42" s="33">
        <v>36</v>
      </c>
      <c r="B42" s="12" t="s">
        <v>114</v>
      </c>
      <c r="C42" s="13">
        <v>41142</v>
      </c>
      <c r="D42" s="43">
        <v>11.58</v>
      </c>
      <c r="E42" s="11" t="s">
        <v>51</v>
      </c>
      <c r="F42" s="10" t="s">
        <v>53</v>
      </c>
      <c r="G42" s="12" t="s">
        <v>114</v>
      </c>
      <c r="H42" s="13">
        <v>41142</v>
      </c>
      <c r="I42" s="43">
        <v>11.58</v>
      </c>
      <c r="J42" s="9"/>
    </row>
    <row r="43" spans="1:10" ht="18" customHeight="1">
      <c r="A43" s="33">
        <v>37</v>
      </c>
      <c r="B43" s="12" t="s">
        <v>118</v>
      </c>
      <c r="C43" s="13">
        <v>41100</v>
      </c>
      <c r="D43" s="43">
        <v>5.09</v>
      </c>
      <c r="E43" s="11" t="s">
        <v>51</v>
      </c>
      <c r="F43" s="10" t="s">
        <v>53</v>
      </c>
      <c r="G43" s="12" t="s">
        <v>118</v>
      </c>
      <c r="H43" s="13">
        <v>41100</v>
      </c>
      <c r="I43" s="43">
        <v>5.09</v>
      </c>
      <c r="J43" s="9"/>
    </row>
    <row r="44" spans="1:10" ht="18" customHeight="1">
      <c r="A44" s="33">
        <v>38</v>
      </c>
      <c r="B44" s="12" t="s">
        <v>119</v>
      </c>
      <c r="C44" s="13">
        <v>41106</v>
      </c>
      <c r="D44" s="43">
        <v>8.14</v>
      </c>
      <c r="E44" s="11" t="s">
        <v>51</v>
      </c>
      <c r="F44" s="10" t="s">
        <v>53</v>
      </c>
      <c r="G44" s="12" t="s">
        <v>119</v>
      </c>
      <c r="H44" s="13">
        <v>41106</v>
      </c>
      <c r="I44" s="43">
        <v>8.14</v>
      </c>
      <c r="J44" s="9"/>
    </row>
    <row r="45" spans="1:10" ht="18" customHeight="1">
      <c r="A45" s="33">
        <v>39</v>
      </c>
      <c r="B45" s="12" t="s">
        <v>121</v>
      </c>
      <c r="C45" s="13">
        <v>41107</v>
      </c>
      <c r="D45" s="43">
        <v>21.57</v>
      </c>
      <c r="E45" s="11" t="s">
        <v>51</v>
      </c>
      <c r="F45" s="10" t="s">
        <v>53</v>
      </c>
      <c r="G45" s="12" t="s">
        <v>121</v>
      </c>
      <c r="H45" s="13">
        <v>41107</v>
      </c>
      <c r="I45" s="43">
        <v>21.57</v>
      </c>
      <c r="J45" s="9"/>
    </row>
    <row r="46" spans="1:10" ht="18" customHeight="1">
      <c r="A46" s="33">
        <v>40</v>
      </c>
      <c r="B46" s="12" t="s">
        <v>123</v>
      </c>
      <c r="C46" s="13">
        <v>41113</v>
      </c>
      <c r="D46" s="43">
        <v>8.8699999999999992</v>
      </c>
      <c r="E46" s="11" t="s">
        <v>51</v>
      </c>
      <c r="F46" s="10" t="s">
        <v>53</v>
      </c>
      <c r="G46" s="12" t="s">
        <v>123</v>
      </c>
      <c r="H46" s="13">
        <v>41113</v>
      </c>
      <c r="I46" s="43">
        <v>8.8699999999999992</v>
      </c>
      <c r="J46" s="9"/>
    </row>
    <row r="47" spans="1:10" ht="18" customHeight="1">
      <c r="A47" s="33">
        <v>41</v>
      </c>
      <c r="B47" s="12" t="s">
        <v>124</v>
      </c>
      <c r="C47" s="13">
        <v>41113</v>
      </c>
      <c r="D47" s="43">
        <v>3.88</v>
      </c>
      <c r="E47" s="11" t="s">
        <v>51</v>
      </c>
      <c r="F47" s="10" t="s">
        <v>53</v>
      </c>
      <c r="G47" s="12" t="s">
        <v>124</v>
      </c>
      <c r="H47" s="13">
        <v>41113</v>
      </c>
      <c r="I47" s="43">
        <v>3.88</v>
      </c>
      <c r="J47" s="9"/>
    </row>
    <row r="48" spans="1:10" ht="18" customHeight="1">
      <c r="A48" s="33">
        <v>42</v>
      </c>
      <c r="B48" s="12" t="s">
        <v>128</v>
      </c>
      <c r="C48" s="13">
        <v>41121</v>
      </c>
      <c r="D48" s="43">
        <v>23.99</v>
      </c>
      <c r="E48" s="11" t="s">
        <v>51</v>
      </c>
      <c r="F48" s="10" t="s">
        <v>53</v>
      </c>
      <c r="G48" s="12" t="s">
        <v>128</v>
      </c>
      <c r="H48" s="13">
        <v>41121</v>
      </c>
      <c r="I48" s="43">
        <v>23.99</v>
      </c>
      <c r="J48" s="9"/>
    </row>
    <row r="49" spans="1:10" ht="18" customHeight="1">
      <c r="A49" s="33">
        <v>43</v>
      </c>
      <c r="B49" s="17" t="s">
        <v>131</v>
      </c>
      <c r="C49" s="18">
        <v>41267</v>
      </c>
      <c r="D49" s="44">
        <v>86.04</v>
      </c>
      <c r="E49" s="11" t="s">
        <v>51</v>
      </c>
      <c r="F49" s="10" t="s">
        <v>53</v>
      </c>
      <c r="G49" s="17" t="s">
        <v>131</v>
      </c>
      <c r="H49" s="18">
        <v>41267</v>
      </c>
      <c r="I49" s="44">
        <v>86.04</v>
      </c>
      <c r="J49" s="9"/>
    </row>
    <row r="50" spans="1:10" ht="18" customHeight="1">
      <c r="A50" s="33">
        <v>44</v>
      </c>
      <c r="B50" s="17" t="s">
        <v>132</v>
      </c>
      <c r="C50" s="18">
        <v>41268</v>
      </c>
      <c r="D50" s="44">
        <v>21.2</v>
      </c>
      <c r="E50" s="11" t="s">
        <v>51</v>
      </c>
      <c r="F50" s="10" t="s">
        <v>53</v>
      </c>
      <c r="G50" s="17" t="s">
        <v>132</v>
      </c>
      <c r="H50" s="18">
        <v>41268</v>
      </c>
      <c r="I50" s="44">
        <v>21.2</v>
      </c>
      <c r="J50" s="9"/>
    </row>
    <row r="51" spans="1:10" ht="18" customHeight="1">
      <c r="A51" s="33">
        <v>45</v>
      </c>
      <c r="B51" s="17" t="s">
        <v>133</v>
      </c>
      <c r="C51" s="18">
        <v>41281</v>
      </c>
      <c r="D51" s="44">
        <v>23.7</v>
      </c>
      <c r="E51" s="11" t="s">
        <v>51</v>
      </c>
      <c r="F51" s="10" t="s">
        <v>53</v>
      </c>
      <c r="G51" s="17" t="s">
        <v>133</v>
      </c>
      <c r="H51" s="18">
        <v>41281</v>
      </c>
      <c r="I51" s="44">
        <v>23.7</v>
      </c>
      <c r="J51" s="9"/>
    </row>
    <row r="52" spans="1:10" ht="18" customHeight="1">
      <c r="A52" s="33">
        <v>46</v>
      </c>
      <c r="B52" s="17" t="s">
        <v>136</v>
      </c>
      <c r="C52" s="18">
        <v>41281</v>
      </c>
      <c r="D52" s="44">
        <v>28.45</v>
      </c>
      <c r="E52" s="11" t="s">
        <v>51</v>
      </c>
      <c r="F52" s="10" t="s">
        <v>53</v>
      </c>
      <c r="G52" s="17" t="s">
        <v>136</v>
      </c>
      <c r="H52" s="18">
        <v>41281</v>
      </c>
      <c r="I52" s="44">
        <v>28.45</v>
      </c>
      <c r="J52" s="9"/>
    </row>
    <row r="53" spans="1:10" ht="18" customHeight="1">
      <c r="A53" s="33">
        <v>47</v>
      </c>
      <c r="B53" s="17" t="s">
        <v>133</v>
      </c>
      <c r="C53" s="18">
        <v>41281</v>
      </c>
      <c r="D53" s="44">
        <v>23.7</v>
      </c>
      <c r="E53" s="11" t="s">
        <v>51</v>
      </c>
      <c r="F53" s="10" t="s">
        <v>53</v>
      </c>
      <c r="G53" s="17" t="s">
        <v>133</v>
      </c>
      <c r="H53" s="18">
        <v>41281</v>
      </c>
      <c r="I53" s="44">
        <v>23.7</v>
      </c>
      <c r="J53" s="9"/>
    </row>
    <row r="54" spans="1:10" ht="18" customHeight="1">
      <c r="A54" s="33">
        <v>48</v>
      </c>
      <c r="B54" s="17" t="s">
        <v>137</v>
      </c>
      <c r="C54" s="18">
        <v>41282</v>
      </c>
      <c r="D54" s="44">
        <v>28.76</v>
      </c>
      <c r="E54" s="11" t="s">
        <v>51</v>
      </c>
      <c r="F54" s="10" t="s">
        <v>53</v>
      </c>
      <c r="G54" s="17" t="s">
        <v>137</v>
      </c>
      <c r="H54" s="18">
        <v>41282</v>
      </c>
      <c r="I54" s="44">
        <v>28.76</v>
      </c>
      <c r="J54" s="9"/>
    </row>
    <row r="55" spans="1:10" ht="18" customHeight="1">
      <c r="A55" s="33">
        <v>49</v>
      </c>
      <c r="B55" s="17" t="s">
        <v>142</v>
      </c>
      <c r="C55" s="18">
        <v>41289</v>
      </c>
      <c r="D55" s="44">
        <v>27.42</v>
      </c>
      <c r="E55" s="11" t="s">
        <v>51</v>
      </c>
      <c r="F55" s="10" t="s">
        <v>53</v>
      </c>
      <c r="G55" s="17" t="s">
        <v>142</v>
      </c>
      <c r="H55" s="18">
        <v>41289</v>
      </c>
      <c r="I55" s="44">
        <v>27.42</v>
      </c>
      <c r="J55" s="9"/>
    </row>
    <row r="56" spans="1:10" ht="18" customHeight="1">
      <c r="A56" s="33">
        <v>50</v>
      </c>
      <c r="B56" s="17" t="s">
        <v>143</v>
      </c>
      <c r="C56" s="18">
        <v>41289</v>
      </c>
      <c r="D56" s="44">
        <v>21.46</v>
      </c>
      <c r="E56" s="11" t="s">
        <v>51</v>
      </c>
      <c r="F56" s="10" t="s">
        <v>53</v>
      </c>
      <c r="G56" s="17" t="s">
        <v>143</v>
      </c>
      <c r="H56" s="18">
        <v>41289</v>
      </c>
      <c r="I56" s="44">
        <v>21.46</v>
      </c>
      <c r="J56" s="9"/>
    </row>
    <row r="57" spans="1:10" ht="18" customHeight="1">
      <c r="A57" s="33">
        <v>51</v>
      </c>
      <c r="B57" s="17" t="s">
        <v>144</v>
      </c>
      <c r="C57" s="18">
        <v>41289</v>
      </c>
      <c r="D57" s="44">
        <v>35.64</v>
      </c>
      <c r="E57" s="11" t="s">
        <v>51</v>
      </c>
      <c r="F57" s="10" t="s">
        <v>53</v>
      </c>
      <c r="G57" s="17" t="s">
        <v>144</v>
      </c>
      <c r="H57" s="18">
        <v>41289</v>
      </c>
      <c r="I57" s="44">
        <v>35.64</v>
      </c>
      <c r="J57" s="9"/>
    </row>
    <row r="58" spans="1:10" ht="18" customHeight="1">
      <c r="A58" s="33">
        <v>52</v>
      </c>
      <c r="B58" s="17" t="s">
        <v>145</v>
      </c>
      <c r="C58" s="18">
        <v>41295</v>
      </c>
      <c r="D58" s="44">
        <v>21</v>
      </c>
      <c r="E58" s="11" t="s">
        <v>51</v>
      </c>
      <c r="F58" s="10" t="s">
        <v>53</v>
      </c>
      <c r="G58" s="17" t="s">
        <v>145</v>
      </c>
      <c r="H58" s="18">
        <v>41295</v>
      </c>
      <c r="I58" s="44">
        <v>21</v>
      </c>
      <c r="J58" s="9"/>
    </row>
    <row r="59" spans="1:10" ht="18" customHeight="1">
      <c r="A59" s="33">
        <v>53</v>
      </c>
      <c r="B59" s="17" t="s">
        <v>146</v>
      </c>
      <c r="C59" s="18">
        <v>41296</v>
      </c>
      <c r="D59" s="44">
        <v>36.19</v>
      </c>
      <c r="E59" s="11" t="s">
        <v>51</v>
      </c>
      <c r="F59" s="10" t="s">
        <v>53</v>
      </c>
      <c r="G59" s="17" t="s">
        <v>146</v>
      </c>
      <c r="H59" s="18">
        <v>41296</v>
      </c>
      <c r="I59" s="44">
        <v>36.19</v>
      </c>
      <c r="J59" s="9"/>
    </row>
    <row r="60" spans="1:10" ht="18" customHeight="1">
      <c r="A60" s="33">
        <v>54</v>
      </c>
      <c r="B60" s="17" t="s">
        <v>149</v>
      </c>
      <c r="C60" s="18">
        <v>41302</v>
      </c>
      <c r="D60" s="44">
        <v>2.7</v>
      </c>
      <c r="E60" s="11" t="s">
        <v>51</v>
      </c>
      <c r="F60" s="10" t="s">
        <v>53</v>
      </c>
      <c r="G60" s="17" t="s">
        <v>149</v>
      </c>
      <c r="H60" s="18">
        <v>41302</v>
      </c>
      <c r="I60" s="44">
        <v>2.7</v>
      </c>
      <c r="J60" s="9"/>
    </row>
    <row r="61" spans="1:10" ht="18" customHeight="1">
      <c r="A61" s="33">
        <v>55</v>
      </c>
      <c r="B61" s="17" t="s">
        <v>150</v>
      </c>
      <c r="C61" s="18">
        <v>41302</v>
      </c>
      <c r="D61" s="44">
        <v>24.92</v>
      </c>
      <c r="E61" s="11" t="s">
        <v>51</v>
      </c>
      <c r="F61" s="10" t="s">
        <v>53</v>
      </c>
      <c r="G61" s="17" t="s">
        <v>150</v>
      </c>
      <c r="H61" s="18">
        <v>41302</v>
      </c>
      <c r="I61" s="44">
        <v>24.92</v>
      </c>
      <c r="J61" s="9"/>
    </row>
    <row r="62" spans="1:10" ht="18" customHeight="1">
      <c r="A62" s="33">
        <v>56</v>
      </c>
      <c r="B62" s="17" t="s">
        <v>151</v>
      </c>
      <c r="C62" s="18">
        <v>41302</v>
      </c>
      <c r="D62" s="44">
        <v>40.06</v>
      </c>
      <c r="E62" s="11" t="s">
        <v>51</v>
      </c>
      <c r="F62" s="10" t="s">
        <v>53</v>
      </c>
      <c r="G62" s="17" t="s">
        <v>151</v>
      </c>
      <c r="H62" s="18">
        <v>41302</v>
      </c>
      <c r="I62" s="44">
        <v>40.06</v>
      </c>
      <c r="J62" s="9"/>
    </row>
    <row r="63" spans="1:10" ht="18" customHeight="1">
      <c r="A63" s="33">
        <v>57</v>
      </c>
      <c r="B63" s="17" t="s">
        <v>152</v>
      </c>
      <c r="C63" s="18">
        <v>41303</v>
      </c>
      <c r="D63" s="44">
        <v>25.36</v>
      </c>
      <c r="E63" s="11" t="s">
        <v>51</v>
      </c>
      <c r="F63" s="10" t="s">
        <v>53</v>
      </c>
      <c r="G63" s="17" t="s">
        <v>152</v>
      </c>
      <c r="H63" s="18">
        <v>41303</v>
      </c>
      <c r="I63" s="44">
        <v>25.36</v>
      </c>
      <c r="J63" s="9"/>
    </row>
    <row r="64" spans="1:10" ht="18" customHeight="1">
      <c r="A64" s="33">
        <v>58</v>
      </c>
      <c r="B64" s="17" t="s">
        <v>153</v>
      </c>
      <c r="C64" s="18">
        <v>41303</v>
      </c>
      <c r="D64" s="44">
        <v>5.8</v>
      </c>
      <c r="E64" s="11" t="s">
        <v>51</v>
      </c>
      <c r="F64" s="10" t="s">
        <v>53</v>
      </c>
      <c r="G64" s="17" t="s">
        <v>153</v>
      </c>
      <c r="H64" s="18">
        <v>41303</v>
      </c>
      <c r="I64" s="44">
        <v>5.8</v>
      </c>
      <c r="J64" s="9"/>
    </row>
    <row r="65" spans="1:10" ht="18" customHeight="1">
      <c r="A65" s="33">
        <v>59</v>
      </c>
      <c r="B65" s="17" t="s">
        <v>154</v>
      </c>
      <c r="C65" s="18">
        <v>41310</v>
      </c>
      <c r="D65" s="44">
        <v>41.05</v>
      </c>
      <c r="E65" s="11" t="s">
        <v>51</v>
      </c>
      <c r="F65" s="10" t="s">
        <v>53</v>
      </c>
      <c r="G65" s="17" t="s">
        <v>154</v>
      </c>
      <c r="H65" s="18">
        <v>41310</v>
      </c>
      <c r="I65" s="44">
        <v>41.05</v>
      </c>
      <c r="J65" s="9"/>
    </row>
    <row r="66" spans="1:10" ht="18" customHeight="1">
      <c r="A66" s="33">
        <v>60</v>
      </c>
      <c r="B66" s="17" t="s">
        <v>155</v>
      </c>
      <c r="C66" s="18">
        <v>41310</v>
      </c>
      <c r="D66" s="44">
        <v>29.35</v>
      </c>
      <c r="E66" s="11" t="s">
        <v>51</v>
      </c>
      <c r="F66" s="10" t="s">
        <v>53</v>
      </c>
      <c r="G66" s="17" t="s">
        <v>155</v>
      </c>
      <c r="H66" s="18">
        <v>41310</v>
      </c>
      <c r="I66" s="44">
        <v>29.35</v>
      </c>
      <c r="J66" s="9"/>
    </row>
    <row r="67" spans="1:10" ht="18" customHeight="1">
      <c r="A67" s="33">
        <v>61</v>
      </c>
      <c r="B67" s="17" t="s">
        <v>156</v>
      </c>
      <c r="C67" s="18">
        <v>41310</v>
      </c>
      <c r="D67" s="44">
        <v>5</v>
      </c>
      <c r="E67" s="11" t="s">
        <v>51</v>
      </c>
      <c r="F67" s="10" t="s">
        <v>53</v>
      </c>
      <c r="G67" s="17" t="s">
        <v>156</v>
      </c>
      <c r="H67" s="18">
        <v>41310</v>
      </c>
      <c r="I67" s="44">
        <v>5</v>
      </c>
      <c r="J67" s="9"/>
    </row>
    <row r="68" spans="1:10" ht="18" customHeight="1">
      <c r="A68" s="33">
        <v>62</v>
      </c>
      <c r="B68" s="17" t="s">
        <v>159</v>
      </c>
      <c r="C68" s="18">
        <v>41311</v>
      </c>
      <c r="D68" s="44">
        <v>38.020000000000003</v>
      </c>
      <c r="E68" s="11" t="s">
        <v>51</v>
      </c>
      <c r="F68" s="10" t="s">
        <v>53</v>
      </c>
      <c r="G68" s="17" t="s">
        <v>159</v>
      </c>
      <c r="H68" s="18">
        <v>41311</v>
      </c>
      <c r="I68" s="44">
        <v>38.020000000000003</v>
      </c>
      <c r="J68" s="9"/>
    </row>
    <row r="69" spans="1:10" ht="18" customHeight="1">
      <c r="A69" s="33">
        <v>63</v>
      </c>
      <c r="B69" s="17" t="s">
        <v>160</v>
      </c>
      <c r="C69" s="18">
        <v>41311</v>
      </c>
      <c r="D69" s="44">
        <v>27.42</v>
      </c>
      <c r="E69" s="11" t="s">
        <v>51</v>
      </c>
      <c r="F69" s="10" t="s">
        <v>53</v>
      </c>
      <c r="G69" s="17" t="s">
        <v>160</v>
      </c>
      <c r="H69" s="18">
        <v>41311</v>
      </c>
      <c r="I69" s="44">
        <v>27.42</v>
      </c>
      <c r="J69" s="9"/>
    </row>
    <row r="70" spans="1:10" ht="18" customHeight="1">
      <c r="A70" s="33">
        <v>64</v>
      </c>
      <c r="B70" s="17" t="s">
        <v>161</v>
      </c>
      <c r="C70" s="18">
        <v>41311</v>
      </c>
      <c r="D70" s="44">
        <v>65.599999999999994</v>
      </c>
      <c r="E70" s="11" t="s">
        <v>51</v>
      </c>
      <c r="F70" s="10" t="s">
        <v>53</v>
      </c>
      <c r="G70" s="17" t="s">
        <v>161</v>
      </c>
      <c r="H70" s="18">
        <v>41311</v>
      </c>
      <c r="I70" s="44">
        <v>65.599999999999994</v>
      </c>
      <c r="J70" s="9"/>
    </row>
    <row r="71" spans="1:10" ht="18" customHeight="1">
      <c r="A71" s="33">
        <v>65</v>
      </c>
      <c r="B71" s="17" t="s">
        <v>165</v>
      </c>
      <c r="C71" s="18">
        <v>41317</v>
      </c>
      <c r="D71" s="44">
        <v>21.5</v>
      </c>
      <c r="E71" s="11" t="s">
        <v>51</v>
      </c>
      <c r="F71" s="10" t="s">
        <v>53</v>
      </c>
      <c r="G71" s="17" t="s">
        <v>165</v>
      </c>
      <c r="H71" s="18">
        <v>41317</v>
      </c>
      <c r="I71" s="44">
        <v>21.5</v>
      </c>
      <c r="J71" s="9"/>
    </row>
    <row r="72" spans="1:10" ht="18" customHeight="1">
      <c r="A72" s="33">
        <v>66</v>
      </c>
      <c r="B72" s="17" t="s">
        <v>167</v>
      </c>
      <c r="C72" s="18">
        <v>41323</v>
      </c>
      <c r="D72" s="44">
        <v>72.52</v>
      </c>
      <c r="E72" s="11" t="s">
        <v>51</v>
      </c>
      <c r="F72" s="10" t="s">
        <v>53</v>
      </c>
      <c r="G72" s="17" t="s">
        <v>167</v>
      </c>
      <c r="H72" s="18">
        <v>41323</v>
      </c>
      <c r="I72" s="44">
        <v>72.52</v>
      </c>
      <c r="J72" s="9"/>
    </row>
    <row r="73" spans="1:10" ht="18" customHeight="1">
      <c r="A73" s="33">
        <v>67</v>
      </c>
      <c r="B73" s="17" t="s">
        <v>168</v>
      </c>
      <c r="C73" s="18">
        <v>41323</v>
      </c>
      <c r="D73" s="44">
        <v>35.5</v>
      </c>
      <c r="E73" s="11" t="s">
        <v>51</v>
      </c>
      <c r="F73" s="10" t="s">
        <v>53</v>
      </c>
      <c r="G73" s="17" t="s">
        <v>168</v>
      </c>
      <c r="H73" s="18">
        <v>41323</v>
      </c>
      <c r="I73" s="44">
        <v>35.5</v>
      </c>
      <c r="J73" s="9"/>
    </row>
    <row r="74" spans="1:10" ht="18" customHeight="1">
      <c r="A74" s="33">
        <v>68</v>
      </c>
      <c r="B74" s="17" t="s">
        <v>169</v>
      </c>
      <c r="C74" s="18">
        <v>41324</v>
      </c>
      <c r="D74" s="44">
        <v>33.53</v>
      </c>
      <c r="E74" s="11" t="s">
        <v>51</v>
      </c>
      <c r="F74" s="10" t="s">
        <v>53</v>
      </c>
      <c r="G74" s="17" t="s">
        <v>169</v>
      </c>
      <c r="H74" s="18">
        <v>41324</v>
      </c>
      <c r="I74" s="44">
        <v>33.53</v>
      </c>
      <c r="J74" s="9"/>
    </row>
    <row r="75" spans="1:10" ht="18" customHeight="1">
      <c r="A75" s="33">
        <v>69</v>
      </c>
      <c r="B75" s="17" t="s">
        <v>170</v>
      </c>
      <c r="C75" s="18">
        <v>41324</v>
      </c>
      <c r="D75" s="44">
        <v>5.8</v>
      </c>
      <c r="E75" s="11" t="s">
        <v>51</v>
      </c>
      <c r="F75" s="10" t="s">
        <v>53</v>
      </c>
      <c r="G75" s="17" t="s">
        <v>170</v>
      </c>
      <c r="H75" s="18">
        <v>41324</v>
      </c>
      <c r="I75" s="44">
        <v>5.8</v>
      </c>
      <c r="J75" s="9"/>
    </row>
    <row r="76" spans="1:10" ht="18" customHeight="1">
      <c r="A76" s="33">
        <v>70</v>
      </c>
      <c r="B76" s="17" t="s">
        <v>172</v>
      </c>
      <c r="C76" s="18">
        <v>41330</v>
      </c>
      <c r="D76" s="44">
        <v>24.95</v>
      </c>
      <c r="E76" s="11" t="s">
        <v>51</v>
      </c>
      <c r="F76" s="10" t="s">
        <v>53</v>
      </c>
      <c r="G76" s="17" t="s">
        <v>172</v>
      </c>
      <c r="H76" s="18">
        <v>41330</v>
      </c>
      <c r="I76" s="44">
        <v>24.95</v>
      </c>
      <c r="J76" s="9"/>
    </row>
    <row r="77" spans="1:10" ht="18" customHeight="1">
      <c r="A77" s="33">
        <v>71</v>
      </c>
      <c r="B77" s="17" t="s">
        <v>173</v>
      </c>
      <c r="C77" s="18">
        <v>41330</v>
      </c>
      <c r="D77" s="44">
        <v>24.2</v>
      </c>
      <c r="E77" s="11" t="s">
        <v>51</v>
      </c>
      <c r="F77" s="10" t="s">
        <v>53</v>
      </c>
      <c r="G77" s="17" t="s">
        <v>173</v>
      </c>
      <c r="H77" s="18">
        <v>41330</v>
      </c>
      <c r="I77" s="44">
        <v>24.2</v>
      </c>
      <c r="J77" s="9"/>
    </row>
    <row r="78" spans="1:10" ht="18" customHeight="1">
      <c r="A78" s="33">
        <v>72</v>
      </c>
      <c r="B78" s="17" t="s">
        <v>174</v>
      </c>
      <c r="C78" s="18">
        <v>41330</v>
      </c>
      <c r="D78" s="44">
        <v>76.52</v>
      </c>
      <c r="E78" s="11" t="s">
        <v>51</v>
      </c>
      <c r="F78" s="10" t="s">
        <v>53</v>
      </c>
      <c r="G78" s="17" t="s">
        <v>174</v>
      </c>
      <c r="H78" s="18">
        <v>41330</v>
      </c>
      <c r="I78" s="44">
        <v>76.52</v>
      </c>
      <c r="J78" s="9"/>
    </row>
    <row r="79" spans="1:10" ht="18" customHeight="1">
      <c r="A79" s="33">
        <v>73</v>
      </c>
      <c r="B79" s="17" t="s">
        <v>180</v>
      </c>
      <c r="C79" s="18">
        <v>41337</v>
      </c>
      <c r="D79" s="44">
        <v>55.26</v>
      </c>
      <c r="E79" s="11" t="s">
        <v>51</v>
      </c>
      <c r="F79" s="10" t="s">
        <v>53</v>
      </c>
      <c r="G79" s="17" t="s">
        <v>180</v>
      </c>
      <c r="H79" s="18">
        <v>41337</v>
      </c>
      <c r="I79" s="44">
        <v>55.26</v>
      </c>
      <c r="J79" s="9"/>
    </row>
    <row r="80" spans="1:10" ht="18" customHeight="1">
      <c r="A80" s="33">
        <v>74</v>
      </c>
      <c r="B80" s="17" t="s">
        <v>182</v>
      </c>
      <c r="C80" s="18">
        <v>41345</v>
      </c>
      <c r="D80" s="44">
        <v>24.57</v>
      </c>
      <c r="E80" s="11" t="s">
        <v>51</v>
      </c>
      <c r="F80" s="10" t="s">
        <v>53</v>
      </c>
      <c r="G80" s="17" t="s">
        <v>182</v>
      </c>
      <c r="H80" s="18">
        <v>41345</v>
      </c>
      <c r="I80" s="44">
        <v>24.57</v>
      </c>
      <c r="J80" s="9"/>
    </row>
    <row r="81" spans="1:10" ht="18" customHeight="1">
      <c r="A81" s="33">
        <v>75</v>
      </c>
      <c r="B81" s="17" t="s">
        <v>183</v>
      </c>
      <c r="C81" s="18">
        <v>41345</v>
      </c>
      <c r="D81" s="44">
        <v>32.299999999999997</v>
      </c>
      <c r="E81" s="11" t="s">
        <v>51</v>
      </c>
      <c r="F81" s="10" t="s">
        <v>53</v>
      </c>
      <c r="G81" s="17" t="s">
        <v>183</v>
      </c>
      <c r="H81" s="18">
        <v>41345</v>
      </c>
      <c r="I81" s="44">
        <v>32.299999999999997</v>
      </c>
      <c r="J81" s="9"/>
    </row>
    <row r="82" spans="1:10" ht="18" customHeight="1">
      <c r="A82" s="33">
        <v>76</v>
      </c>
      <c r="B82" s="17" t="s">
        <v>184</v>
      </c>
      <c r="C82" s="18">
        <v>41345</v>
      </c>
      <c r="D82" s="44">
        <v>21.2</v>
      </c>
      <c r="E82" s="11" t="s">
        <v>51</v>
      </c>
      <c r="F82" s="10" t="s">
        <v>53</v>
      </c>
      <c r="G82" s="17" t="s">
        <v>184</v>
      </c>
      <c r="H82" s="18">
        <v>41345</v>
      </c>
      <c r="I82" s="44">
        <v>21.2</v>
      </c>
      <c r="J82" s="9"/>
    </row>
    <row r="83" spans="1:10" ht="18" customHeight="1">
      <c r="A83" s="33">
        <v>77</v>
      </c>
      <c r="B83" s="17" t="s">
        <v>185</v>
      </c>
      <c r="C83" s="18">
        <v>41345</v>
      </c>
      <c r="D83" s="44">
        <v>28.04</v>
      </c>
      <c r="E83" s="11" t="s">
        <v>51</v>
      </c>
      <c r="F83" s="10" t="s">
        <v>53</v>
      </c>
      <c r="G83" s="17" t="s">
        <v>185</v>
      </c>
      <c r="H83" s="18">
        <v>41345</v>
      </c>
      <c r="I83" s="44">
        <v>28.04</v>
      </c>
      <c r="J83" s="9"/>
    </row>
    <row r="84" spans="1:10" ht="18" customHeight="1">
      <c r="A84" s="33">
        <v>78</v>
      </c>
      <c r="B84" s="17" t="s">
        <v>186</v>
      </c>
      <c r="C84" s="18">
        <v>41352</v>
      </c>
      <c r="D84" s="44">
        <v>65.72</v>
      </c>
      <c r="E84" s="11" t="s">
        <v>51</v>
      </c>
      <c r="F84" s="10" t="s">
        <v>53</v>
      </c>
      <c r="G84" s="17" t="s">
        <v>186</v>
      </c>
      <c r="H84" s="18">
        <v>41352</v>
      </c>
      <c r="I84" s="44">
        <v>65.72</v>
      </c>
      <c r="J84" s="9"/>
    </row>
    <row r="85" spans="1:10" ht="18" customHeight="1">
      <c r="A85" s="33">
        <v>79</v>
      </c>
      <c r="B85" s="17" t="s">
        <v>187</v>
      </c>
      <c r="C85" s="18">
        <v>41352</v>
      </c>
      <c r="D85" s="44">
        <v>25.46</v>
      </c>
      <c r="E85" s="11" t="s">
        <v>51</v>
      </c>
      <c r="F85" s="10" t="s">
        <v>53</v>
      </c>
      <c r="G85" s="17" t="s">
        <v>187</v>
      </c>
      <c r="H85" s="18">
        <v>41352</v>
      </c>
      <c r="I85" s="44">
        <v>25.46</v>
      </c>
      <c r="J85" s="9"/>
    </row>
    <row r="86" spans="1:10" ht="18" customHeight="1">
      <c r="A86" s="33">
        <v>80</v>
      </c>
      <c r="B86" s="17" t="s">
        <v>188</v>
      </c>
      <c r="C86" s="18">
        <v>41352</v>
      </c>
      <c r="D86" s="44">
        <v>26.96</v>
      </c>
      <c r="E86" s="11" t="s">
        <v>51</v>
      </c>
      <c r="F86" s="10" t="s">
        <v>53</v>
      </c>
      <c r="G86" s="17" t="s">
        <v>188</v>
      </c>
      <c r="H86" s="18">
        <v>41352</v>
      </c>
      <c r="I86" s="44">
        <v>26.96</v>
      </c>
      <c r="J86" s="9"/>
    </row>
    <row r="87" spans="1:10" ht="18" customHeight="1">
      <c r="A87" s="33">
        <v>81</v>
      </c>
      <c r="B87" s="17" t="s">
        <v>191</v>
      </c>
      <c r="C87" s="18">
        <v>41358</v>
      </c>
      <c r="D87" s="44">
        <v>21.2</v>
      </c>
      <c r="E87" s="11" t="s">
        <v>51</v>
      </c>
      <c r="F87" s="10" t="s">
        <v>53</v>
      </c>
      <c r="G87" s="17" t="s">
        <v>191</v>
      </c>
      <c r="H87" s="18">
        <v>41358</v>
      </c>
      <c r="I87" s="44">
        <v>21.2</v>
      </c>
      <c r="J87" s="9"/>
    </row>
    <row r="88" spans="1:10" ht="18" customHeight="1">
      <c r="A88" s="33">
        <v>82</v>
      </c>
      <c r="B88" s="17" t="s">
        <v>192</v>
      </c>
      <c r="C88" s="18">
        <v>41358</v>
      </c>
      <c r="D88" s="44">
        <v>29.84</v>
      </c>
      <c r="E88" s="11" t="s">
        <v>51</v>
      </c>
      <c r="F88" s="10" t="s">
        <v>53</v>
      </c>
      <c r="G88" s="17" t="s">
        <v>192</v>
      </c>
      <c r="H88" s="18">
        <v>41358</v>
      </c>
      <c r="I88" s="44">
        <v>29.84</v>
      </c>
      <c r="J88" s="9"/>
    </row>
    <row r="89" spans="1:10" ht="18" customHeight="1">
      <c r="A89" s="33">
        <v>83</v>
      </c>
      <c r="B89" s="17" t="s">
        <v>193</v>
      </c>
      <c r="C89" s="18">
        <v>41358</v>
      </c>
      <c r="D89" s="44">
        <v>3</v>
      </c>
      <c r="E89" s="11" t="s">
        <v>51</v>
      </c>
      <c r="F89" s="10" t="s">
        <v>53</v>
      </c>
      <c r="G89" s="17" t="s">
        <v>193</v>
      </c>
      <c r="H89" s="18">
        <v>41358</v>
      </c>
      <c r="I89" s="44">
        <v>3</v>
      </c>
      <c r="J89" s="9"/>
    </row>
    <row r="90" spans="1:10" ht="18" customHeight="1">
      <c r="A90" s="33">
        <v>84</v>
      </c>
      <c r="B90" s="17" t="s">
        <v>195</v>
      </c>
      <c r="C90" s="18">
        <v>41359</v>
      </c>
      <c r="D90" s="44">
        <v>36.25</v>
      </c>
      <c r="E90" s="11" t="s">
        <v>51</v>
      </c>
      <c r="F90" s="10" t="s">
        <v>53</v>
      </c>
      <c r="G90" s="17" t="s">
        <v>195</v>
      </c>
      <c r="H90" s="18">
        <v>41359</v>
      </c>
      <c r="I90" s="44">
        <v>36.25</v>
      </c>
      <c r="J90" s="9"/>
    </row>
    <row r="91" spans="1:10" ht="18" customHeight="1">
      <c r="A91" s="33">
        <v>85</v>
      </c>
      <c r="B91" s="17" t="s">
        <v>196</v>
      </c>
      <c r="C91" s="18">
        <v>41363</v>
      </c>
      <c r="D91" s="44">
        <v>41.6</v>
      </c>
      <c r="E91" s="11" t="s">
        <v>51</v>
      </c>
      <c r="F91" s="10" t="s">
        <v>53</v>
      </c>
      <c r="G91" s="17" t="s">
        <v>196</v>
      </c>
      <c r="H91" s="18">
        <v>41363</v>
      </c>
      <c r="I91" s="44">
        <v>41.6</v>
      </c>
      <c r="J91" s="9"/>
    </row>
    <row r="92" spans="1:10" ht="18" customHeight="1">
      <c r="A92" s="33">
        <v>86</v>
      </c>
      <c r="B92" s="17" t="s">
        <v>197</v>
      </c>
      <c r="C92" s="18">
        <v>41363</v>
      </c>
      <c r="D92" s="44">
        <v>26.76</v>
      </c>
      <c r="E92" s="11" t="s">
        <v>51</v>
      </c>
      <c r="F92" s="10" t="s">
        <v>53</v>
      </c>
      <c r="G92" s="17" t="s">
        <v>197</v>
      </c>
      <c r="H92" s="18">
        <v>41363</v>
      </c>
      <c r="I92" s="44">
        <v>26.76</v>
      </c>
      <c r="J92" s="9"/>
    </row>
    <row r="93" spans="1:10" ht="18" customHeight="1">
      <c r="A93" s="33">
        <v>87</v>
      </c>
      <c r="B93" s="17" t="s">
        <v>198</v>
      </c>
      <c r="C93" s="18">
        <v>41364</v>
      </c>
      <c r="D93" s="44">
        <v>21.2</v>
      </c>
      <c r="E93" s="11" t="s">
        <v>51</v>
      </c>
      <c r="F93" s="10" t="s">
        <v>53</v>
      </c>
      <c r="G93" s="17" t="s">
        <v>198</v>
      </c>
      <c r="H93" s="18">
        <v>41364</v>
      </c>
      <c r="I93" s="44">
        <v>21.2</v>
      </c>
      <c r="J93" s="9"/>
    </row>
    <row r="94" spans="1:10" ht="18" customHeight="1">
      <c r="A94" s="33">
        <v>88</v>
      </c>
      <c r="B94" s="17" t="s">
        <v>199</v>
      </c>
      <c r="C94" s="18">
        <v>41364</v>
      </c>
      <c r="D94" s="44">
        <v>25.14</v>
      </c>
      <c r="E94" s="11" t="s">
        <v>51</v>
      </c>
      <c r="F94" s="10" t="s">
        <v>53</v>
      </c>
      <c r="G94" s="17" t="s">
        <v>199</v>
      </c>
      <c r="H94" s="18">
        <v>41364</v>
      </c>
      <c r="I94" s="44">
        <v>25.14</v>
      </c>
      <c r="J94" s="9"/>
    </row>
    <row r="95" spans="1:10" ht="18" customHeight="1">
      <c r="A95" s="33">
        <v>89</v>
      </c>
      <c r="B95" s="17" t="s">
        <v>202</v>
      </c>
      <c r="C95" s="18">
        <v>41372</v>
      </c>
      <c r="D95" s="44">
        <v>58.4</v>
      </c>
      <c r="E95" s="11" t="s">
        <v>51</v>
      </c>
      <c r="F95" s="10" t="s">
        <v>53</v>
      </c>
      <c r="G95" s="17" t="s">
        <v>202</v>
      </c>
      <c r="H95" s="18">
        <v>41372</v>
      </c>
      <c r="I95" s="44">
        <v>58.4</v>
      </c>
      <c r="J95" s="9"/>
    </row>
    <row r="96" spans="1:10" ht="18" customHeight="1">
      <c r="A96" s="33">
        <v>90</v>
      </c>
      <c r="B96" s="17" t="s">
        <v>205</v>
      </c>
      <c r="C96" s="18">
        <v>41373</v>
      </c>
      <c r="D96" s="44">
        <v>58.49</v>
      </c>
      <c r="E96" s="11" t="s">
        <v>51</v>
      </c>
      <c r="F96" s="10" t="s">
        <v>53</v>
      </c>
      <c r="G96" s="17" t="s">
        <v>205</v>
      </c>
      <c r="H96" s="18">
        <v>41373</v>
      </c>
      <c r="I96" s="44">
        <v>58.49</v>
      </c>
      <c r="J96" s="9"/>
    </row>
    <row r="97" spans="1:10" ht="18" customHeight="1">
      <c r="A97" s="33">
        <v>91</v>
      </c>
      <c r="B97" s="17" t="s">
        <v>206</v>
      </c>
      <c r="C97" s="18">
        <v>41373</v>
      </c>
      <c r="D97" s="44">
        <v>21.27</v>
      </c>
      <c r="E97" s="11" t="s">
        <v>51</v>
      </c>
      <c r="F97" s="10" t="s">
        <v>53</v>
      </c>
      <c r="G97" s="17" t="s">
        <v>206</v>
      </c>
      <c r="H97" s="18">
        <v>41373</v>
      </c>
      <c r="I97" s="44">
        <v>21.27</v>
      </c>
      <c r="J97" s="9"/>
    </row>
    <row r="98" spans="1:10" ht="18" customHeight="1">
      <c r="A98" s="33">
        <v>92</v>
      </c>
      <c r="B98" s="17" t="s">
        <v>207</v>
      </c>
      <c r="C98" s="18">
        <v>41373</v>
      </c>
      <c r="D98" s="44">
        <v>29.03</v>
      </c>
      <c r="E98" s="11" t="s">
        <v>51</v>
      </c>
      <c r="F98" s="10" t="s">
        <v>53</v>
      </c>
      <c r="G98" s="17" t="s">
        <v>207</v>
      </c>
      <c r="H98" s="18">
        <v>41373</v>
      </c>
      <c r="I98" s="44">
        <v>29.03</v>
      </c>
      <c r="J98" s="9"/>
    </row>
    <row r="99" spans="1:10" ht="18" customHeight="1">
      <c r="A99" s="33">
        <v>93</v>
      </c>
      <c r="B99" s="17" t="s">
        <v>209</v>
      </c>
      <c r="C99" s="18">
        <v>41382</v>
      </c>
      <c r="D99" s="44">
        <v>42.92</v>
      </c>
      <c r="E99" s="11" t="s">
        <v>51</v>
      </c>
      <c r="F99" s="10" t="s">
        <v>53</v>
      </c>
      <c r="G99" s="17" t="s">
        <v>209</v>
      </c>
      <c r="H99" s="18">
        <v>41382</v>
      </c>
      <c r="I99" s="44">
        <v>42.92</v>
      </c>
      <c r="J99" s="9"/>
    </row>
    <row r="100" spans="1:10" ht="18" customHeight="1">
      <c r="A100" s="33">
        <v>94</v>
      </c>
      <c r="B100" s="17" t="s">
        <v>210</v>
      </c>
      <c r="C100" s="18">
        <v>41382</v>
      </c>
      <c r="D100" s="44">
        <v>28.46</v>
      </c>
      <c r="E100" s="11" t="s">
        <v>51</v>
      </c>
      <c r="F100" s="10" t="s">
        <v>53</v>
      </c>
      <c r="G100" s="17" t="s">
        <v>210</v>
      </c>
      <c r="H100" s="18">
        <v>41382</v>
      </c>
      <c r="I100" s="44">
        <v>28.46</v>
      </c>
      <c r="J100" s="9"/>
    </row>
    <row r="101" spans="1:10" ht="18" customHeight="1">
      <c r="A101" s="33">
        <v>95</v>
      </c>
      <c r="B101" s="17" t="s">
        <v>211</v>
      </c>
      <c r="C101" s="18">
        <v>41382</v>
      </c>
      <c r="D101" s="44">
        <v>51.42</v>
      </c>
      <c r="E101" s="11" t="s">
        <v>51</v>
      </c>
      <c r="F101" s="10" t="s">
        <v>53</v>
      </c>
      <c r="G101" s="17" t="s">
        <v>211</v>
      </c>
      <c r="H101" s="18">
        <v>41382</v>
      </c>
      <c r="I101" s="44">
        <v>51.42</v>
      </c>
      <c r="J101" s="9"/>
    </row>
    <row r="102" spans="1:10" ht="18" customHeight="1">
      <c r="A102" s="33">
        <v>96</v>
      </c>
      <c r="B102" s="17" t="s">
        <v>212</v>
      </c>
      <c r="C102" s="18">
        <v>41382</v>
      </c>
      <c r="D102" s="44">
        <v>31.56</v>
      </c>
      <c r="E102" s="11" t="s">
        <v>51</v>
      </c>
      <c r="F102" s="10" t="s">
        <v>53</v>
      </c>
      <c r="G102" s="17" t="s">
        <v>212</v>
      </c>
      <c r="H102" s="18">
        <v>41382</v>
      </c>
      <c r="I102" s="44">
        <v>31.56</v>
      </c>
      <c r="J102" s="9"/>
    </row>
    <row r="103" spans="1:10" ht="18" customHeight="1">
      <c r="A103" s="33">
        <v>97</v>
      </c>
      <c r="B103" s="17" t="s">
        <v>213</v>
      </c>
      <c r="C103" s="18">
        <v>41387</v>
      </c>
      <c r="D103" s="44">
        <v>21.2</v>
      </c>
      <c r="E103" s="11" t="s">
        <v>51</v>
      </c>
      <c r="F103" s="10" t="s">
        <v>53</v>
      </c>
      <c r="G103" s="17" t="s">
        <v>213</v>
      </c>
      <c r="H103" s="18">
        <v>41387</v>
      </c>
      <c r="I103" s="44">
        <v>21.2</v>
      </c>
      <c r="J103" s="9"/>
    </row>
    <row r="104" spans="1:10" ht="18" customHeight="1">
      <c r="A104" s="33">
        <v>98</v>
      </c>
      <c r="B104" s="17" t="s">
        <v>214</v>
      </c>
      <c r="C104" s="18">
        <v>41387</v>
      </c>
      <c r="D104" s="44">
        <v>44.78</v>
      </c>
      <c r="E104" s="11" t="s">
        <v>51</v>
      </c>
      <c r="F104" s="10" t="s">
        <v>53</v>
      </c>
      <c r="G104" s="17" t="s">
        <v>214</v>
      </c>
      <c r="H104" s="18">
        <v>41387</v>
      </c>
      <c r="I104" s="44">
        <v>44.78</v>
      </c>
      <c r="J104" s="9"/>
    </row>
    <row r="105" spans="1:10" ht="18" customHeight="1">
      <c r="A105" s="33">
        <v>99</v>
      </c>
      <c r="B105" s="17" t="s">
        <v>215</v>
      </c>
      <c r="C105" s="18">
        <v>41393</v>
      </c>
      <c r="D105" s="44">
        <v>21.5</v>
      </c>
      <c r="E105" s="11" t="s">
        <v>51</v>
      </c>
      <c r="F105" s="10" t="s">
        <v>53</v>
      </c>
      <c r="G105" s="17" t="s">
        <v>215</v>
      </c>
      <c r="H105" s="18">
        <v>41393</v>
      </c>
      <c r="I105" s="44">
        <v>21.5</v>
      </c>
      <c r="J105" s="9"/>
    </row>
    <row r="106" spans="1:10" ht="18" customHeight="1">
      <c r="A106" s="33">
        <v>100</v>
      </c>
      <c r="B106" s="17" t="s">
        <v>216</v>
      </c>
      <c r="C106" s="18">
        <v>41393</v>
      </c>
      <c r="D106" s="44">
        <v>33.090000000000003</v>
      </c>
      <c r="E106" s="11" t="s">
        <v>51</v>
      </c>
      <c r="F106" s="10" t="s">
        <v>53</v>
      </c>
      <c r="G106" s="17" t="s">
        <v>216</v>
      </c>
      <c r="H106" s="18">
        <v>41393</v>
      </c>
      <c r="I106" s="44">
        <v>33.090000000000003</v>
      </c>
      <c r="J106" s="9"/>
    </row>
    <row r="107" spans="1:10" ht="18" customHeight="1">
      <c r="A107" s="33">
        <v>101</v>
      </c>
      <c r="B107" s="17" t="s">
        <v>218</v>
      </c>
      <c r="C107" s="18">
        <v>41394</v>
      </c>
      <c r="D107" s="44">
        <v>26.31</v>
      </c>
      <c r="E107" s="11" t="s">
        <v>51</v>
      </c>
      <c r="F107" s="10" t="s">
        <v>53</v>
      </c>
      <c r="G107" s="17" t="s">
        <v>218</v>
      </c>
      <c r="H107" s="18">
        <v>41394</v>
      </c>
      <c r="I107" s="44">
        <v>26.31</v>
      </c>
      <c r="J107" s="9"/>
    </row>
    <row r="108" spans="1:10" ht="18" customHeight="1">
      <c r="A108" s="33">
        <v>102</v>
      </c>
      <c r="B108" s="17" t="s">
        <v>219</v>
      </c>
      <c r="C108" s="18">
        <v>41394</v>
      </c>
      <c r="D108" s="44">
        <v>5</v>
      </c>
      <c r="E108" s="11" t="s">
        <v>51</v>
      </c>
      <c r="F108" s="10" t="s">
        <v>53</v>
      </c>
      <c r="G108" s="17" t="s">
        <v>219</v>
      </c>
      <c r="H108" s="18">
        <v>41394</v>
      </c>
      <c r="I108" s="44">
        <v>5</v>
      </c>
      <c r="J108" s="9"/>
    </row>
    <row r="109" spans="1:10" ht="18" customHeight="1">
      <c r="A109" s="33">
        <v>103</v>
      </c>
      <c r="B109" s="17" t="s">
        <v>222</v>
      </c>
      <c r="C109" s="18">
        <v>41400</v>
      </c>
      <c r="D109" s="44">
        <v>107.97</v>
      </c>
      <c r="E109" s="11" t="s">
        <v>51</v>
      </c>
      <c r="F109" s="10" t="s">
        <v>53</v>
      </c>
      <c r="G109" s="17" t="s">
        <v>222</v>
      </c>
      <c r="H109" s="18">
        <v>41400</v>
      </c>
      <c r="I109" s="44">
        <v>107.97</v>
      </c>
      <c r="J109" s="9"/>
    </row>
    <row r="110" spans="1:10" ht="18" customHeight="1">
      <c r="A110" s="33">
        <v>104</v>
      </c>
      <c r="B110" s="17" t="s">
        <v>223</v>
      </c>
      <c r="C110" s="18">
        <v>41400</v>
      </c>
      <c r="D110" s="44">
        <v>27.28</v>
      </c>
      <c r="E110" s="11" t="s">
        <v>51</v>
      </c>
      <c r="F110" s="10" t="s">
        <v>53</v>
      </c>
      <c r="G110" s="17" t="s">
        <v>223</v>
      </c>
      <c r="H110" s="18">
        <v>41400</v>
      </c>
      <c r="I110" s="44">
        <v>27.28</v>
      </c>
      <c r="J110" s="9"/>
    </row>
    <row r="111" spans="1:10" ht="18" customHeight="1">
      <c r="A111" s="33">
        <v>105</v>
      </c>
      <c r="B111" s="17" t="s">
        <v>224</v>
      </c>
      <c r="C111" s="18">
        <v>41401</v>
      </c>
      <c r="D111" s="44">
        <v>26.6</v>
      </c>
      <c r="E111" s="11" t="s">
        <v>51</v>
      </c>
      <c r="F111" s="10" t="s">
        <v>53</v>
      </c>
      <c r="G111" s="17" t="s">
        <v>224</v>
      </c>
      <c r="H111" s="18">
        <v>41401</v>
      </c>
      <c r="I111" s="44">
        <v>26.6</v>
      </c>
      <c r="J111" s="9"/>
    </row>
    <row r="112" spans="1:10" ht="18" customHeight="1">
      <c r="A112" s="33">
        <v>106</v>
      </c>
      <c r="B112" s="17" t="s">
        <v>225</v>
      </c>
      <c r="C112" s="18">
        <v>41401</v>
      </c>
      <c r="D112" s="44">
        <v>100.61</v>
      </c>
      <c r="E112" s="11" t="s">
        <v>51</v>
      </c>
      <c r="F112" s="10" t="s">
        <v>53</v>
      </c>
      <c r="G112" s="17" t="s">
        <v>225</v>
      </c>
      <c r="H112" s="18">
        <v>41401</v>
      </c>
      <c r="I112" s="44">
        <v>100.61</v>
      </c>
      <c r="J112" s="9"/>
    </row>
    <row r="113" spans="1:10" ht="18" customHeight="1">
      <c r="A113" s="33">
        <v>107</v>
      </c>
      <c r="B113" s="17" t="s">
        <v>226</v>
      </c>
      <c r="C113" s="18">
        <v>41405</v>
      </c>
      <c r="D113" s="44">
        <v>36.590000000000003</v>
      </c>
      <c r="E113" s="11" t="s">
        <v>51</v>
      </c>
      <c r="F113" s="10" t="s">
        <v>53</v>
      </c>
      <c r="G113" s="17" t="s">
        <v>226</v>
      </c>
      <c r="H113" s="18">
        <v>41405</v>
      </c>
      <c r="I113" s="44">
        <v>36.590000000000003</v>
      </c>
      <c r="J113" s="9"/>
    </row>
    <row r="114" spans="1:10" ht="18" customHeight="1">
      <c r="A114" s="33">
        <v>108</v>
      </c>
      <c r="B114" s="17" t="s">
        <v>227</v>
      </c>
      <c r="C114" s="18">
        <v>41409</v>
      </c>
      <c r="D114" s="44">
        <v>53.83</v>
      </c>
      <c r="E114" s="11" t="s">
        <v>51</v>
      </c>
      <c r="F114" s="10" t="s">
        <v>53</v>
      </c>
      <c r="G114" s="17" t="s">
        <v>227</v>
      </c>
      <c r="H114" s="18">
        <v>41409</v>
      </c>
      <c r="I114" s="44">
        <v>53.83</v>
      </c>
      <c r="J114" s="9"/>
    </row>
    <row r="115" spans="1:10" ht="18" customHeight="1">
      <c r="A115" s="33">
        <v>109</v>
      </c>
      <c r="B115" s="17" t="s">
        <v>228</v>
      </c>
      <c r="C115" s="18">
        <v>41409</v>
      </c>
      <c r="D115" s="44">
        <v>25.46</v>
      </c>
      <c r="E115" s="11" t="s">
        <v>51</v>
      </c>
      <c r="F115" s="10" t="s">
        <v>53</v>
      </c>
      <c r="G115" s="17" t="s">
        <v>228</v>
      </c>
      <c r="H115" s="18">
        <v>41409</v>
      </c>
      <c r="I115" s="44">
        <v>25.46</v>
      </c>
      <c r="J115" s="9"/>
    </row>
    <row r="116" spans="1:10" ht="18" customHeight="1">
      <c r="A116" s="33">
        <v>110</v>
      </c>
      <c r="B116" s="17" t="s">
        <v>229</v>
      </c>
      <c r="C116" s="18">
        <v>41410</v>
      </c>
      <c r="D116" s="44">
        <v>5</v>
      </c>
      <c r="E116" s="11" t="s">
        <v>51</v>
      </c>
      <c r="F116" s="10" t="s">
        <v>53</v>
      </c>
      <c r="G116" s="17" t="s">
        <v>229</v>
      </c>
      <c r="H116" s="18">
        <v>41410</v>
      </c>
      <c r="I116" s="44">
        <v>5</v>
      </c>
      <c r="J116" s="9"/>
    </row>
    <row r="117" spans="1:10" ht="18" customHeight="1">
      <c r="A117" s="33">
        <v>111</v>
      </c>
      <c r="B117" s="17" t="s">
        <v>230</v>
      </c>
      <c r="C117" s="18">
        <v>41410</v>
      </c>
      <c r="D117" s="44">
        <v>5</v>
      </c>
      <c r="E117" s="11" t="s">
        <v>51</v>
      </c>
      <c r="F117" s="10" t="s">
        <v>53</v>
      </c>
      <c r="G117" s="17" t="s">
        <v>230</v>
      </c>
      <c r="H117" s="18">
        <v>41410</v>
      </c>
      <c r="I117" s="44">
        <v>5</v>
      </c>
      <c r="J117" s="9"/>
    </row>
    <row r="118" spans="1:10" ht="18" customHeight="1">
      <c r="A118" s="33">
        <v>112</v>
      </c>
      <c r="B118" s="17" t="s">
        <v>231</v>
      </c>
      <c r="C118" s="18">
        <v>41410</v>
      </c>
      <c r="D118" s="44">
        <v>5</v>
      </c>
      <c r="E118" s="11" t="s">
        <v>51</v>
      </c>
      <c r="F118" s="10" t="s">
        <v>53</v>
      </c>
      <c r="G118" s="17" t="s">
        <v>231</v>
      </c>
      <c r="H118" s="18">
        <v>41410</v>
      </c>
      <c r="I118" s="44">
        <v>5</v>
      </c>
      <c r="J118" s="9"/>
    </row>
    <row r="119" spans="1:10" ht="18" customHeight="1">
      <c r="A119" s="33">
        <v>113</v>
      </c>
      <c r="B119" s="17" t="s">
        <v>232</v>
      </c>
      <c r="C119" s="18">
        <v>41410</v>
      </c>
      <c r="D119" s="44">
        <v>5</v>
      </c>
      <c r="E119" s="11" t="s">
        <v>51</v>
      </c>
      <c r="F119" s="10" t="s">
        <v>53</v>
      </c>
      <c r="G119" s="17" t="s">
        <v>232</v>
      </c>
      <c r="H119" s="18">
        <v>41410</v>
      </c>
      <c r="I119" s="44">
        <v>5</v>
      </c>
      <c r="J119" s="9"/>
    </row>
    <row r="120" spans="1:10" ht="18" customHeight="1">
      <c r="A120" s="33">
        <v>114</v>
      </c>
      <c r="B120" s="17" t="s">
        <v>233</v>
      </c>
      <c r="C120" s="18">
        <v>41414</v>
      </c>
      <c r="D120" s="44">
        <v>26.62</v>
      </c>
      <c r="E120" s="11" t="s">
        <v>51</v>
      </c>
      <c r="F120" s="10" t="s">
        <v>53</v>
      </c>
      <c r="G120" s="17" t="s">
        <v>233</v>
      </c>
      <c r="H120" s="18">
        <v>41414</v>
      </c>
      <c r="I120" s="44">
        <v>26.62</v>
      </c>
      <c r="J120" s="9"/>
    </row>
    <row r="121" spans="1:10" ht="18" customHeight="1">
      <c r="A121" s="33">
        <v>115</v>
      </c>
      <c r="B121" s="17" t="s">
        <v>236</v>
      </c>
      <c r="C121" s="18">
        <v>41415</v>
      </c>
      <c r="D121" s="44">
        <v>60.4</v>
      </c>
      <c r="E121" s="11" t="s">
        <v>51</v>
      </c>
      <c r="F121" s="10" t="s">
        <v>53</v>
      </c>
      <c r="G121" s="17" t="s">
        <v>236</v>
      </c>
      <c r="H121" s="18">
        <v>41415</v>
      </c>
      <c r="I121" s="44">
        <v>60.4</v>
      </c>
      <c r="J121" s="9"/>
    </row>
    <row r="122" spans="1:10" ht="18" customHeight="1">
      <c r="A122" s="33">
        <v>116</v>
      </c>
      <c r="B122" s="17" t="s">
        <v>237</v>
      </c>
      <c r="C122" s="18">
        <v>41419</v>
      </c>
      <c r="D122" s="44">
        <v>5.8</v>
      </c>
      <c r="E122" s="11" t="s">
        <v>51</v>
      </c>
      <c r="F122" s="10" t="s">
        <v>53</v>
      </c>
      <c r="G122" s="17" t="s">
        <v>237</v>
      </c>
      <c r="H122" s="18">
        <v>41419</v>
      </c>
      <c r="I122" s="44">
        <v>5.8</v>
      </c>
      <c r="J122" s="9"/>
    </row>
    <row r="123" spans="1:10" ht="18" customHeight="1">
      <c r="A123" s="33">
        <v>117</v>
      </c>
      <c r="B123" s="17" t="s">
        <v>238</v>
      </c>
      <c r="C123" s="18">
        <v>41421</v>
      </c>
      <c r="D123" s="44">
        <v>22.59</v>
      </c>
      <c r="E123" s="11" t="s">
        <v>51</v>
      </c>
      <c r="F123" s="10" t="s">
        <v>53</v>
      </c>
      <c r="G123" s="17" t="s">
        <v>238</v>
      </c>
      <c r="H123" s="18">
        <v>41421</v>
      </c>
      <c r="I123" s="44">
        <v>22.59</v>
      </c>
      <c r="J123" s="9"/>
    </row>
    <row r="124" spans="1:10" ht="18" customHeight="1">
      <c r="A124" s="33">
        <v>118</v>
      </c>
      <c r="B124" s="17" t="s">
        <v>240</v>
      </c>
      <c r="C124" s="18">
        <v>41422</v>
      </c>
      <c r="D124" s="44">
        <v>35.24</v>
      </c>
      <c r="E124" s="11" t="s">
        <v>51</v>
      </c>
      <c r="F124" s="10" t="s">
        <v>53</v>
      </c>
      <c r="G124" s="17" t="s">
        <v>240</v>
      </c>
      <c r="H124" s="18">
        <v>41422</v>
      </c>
      <c r="I124" s="44">
        <v>35.24</v>
      </c>
      <c r="J124" s="9"/>
    </row>
    <row r="125" spans="1:10" ht="18" customHeight="1">
      <c r="A125" s="33">
        <v>120</v>
      </c>
      <c r="B125" s="17" t="s">
        <v>243</v>
      </c>
      <c r="C125" s="18">
        <v>41429</v>
      </c>
      <c r="D125" s="44">
        <v>48.59</v>
      </c>
      <c r="E125" s="11" t="s">
        <v>51</v>
      </c>
      <c r="F125" s="10" t="s">
        <v>53</v>
      </c>
      <c r="G125" s="17" t="s">
        <v>243</v>
      </c>
      <c r="H125" s="18">
        <v>41429</v>
      </c>
      <c r="I125" s="44">
        <v>48.59</v>
      </c>
      <c r="J125" s="9"/>
    </row>
    <row r="126" spans="1:10" ht="18" customHeight="1">
      <c r="A126" s="33">
        <v>121</v>
      </c>
      <c r="B126" s="17" t="s">
        <v>244</v>
      </c>
      <c r="C126" s="18">
        <v>41430</v>
      </c>
      <c r="D126" s="44">
        <v>22.73</v>
      </c>
      <c r="E126" s="11" t="s">
        <v>51</v>
      </c>
      <c r="F126" s="10" t="s">
        <v>53</v>
      </c>
      <c r="G126" s="17" t="s">
        <v>244</v>
      </c>
      <c r="H126" s="18">
        <v>41430</v>
      </c>
      <c r="I126" s="44">
        <v>22.73</v>
      </c>
      <c r="J126" s="9"/>
    </row>
    <row r="127" spans="1:10" ht="18" customHeight="1">
      <c r="A127" s="33">
        <v>122</v>
      </c>
      <c r="B127" s="17" t="s">
        <v>247</v>
      </c>
      <c r="C127" s="18">
        <v>41436</v>
      </c>
      <c r="D127" s="44">
        <v>64.430000000000007</v>
      </c>
      <c r="E127" s="11" t="s">
        <v>51</v>
      </c>
      <c r="F127" s="10" t="s">
        <v>53</v>
      </c>
      <c r="G127" s="17" t="s">
        <v>247</v>
      </c>
      <c r="H127" s="18">
        <v>41436</v>
      </c>
      <c r="I127" s="44">
        <v>64.430000000000007</v>
      </c>
      <c r="J127" s="9"/>
    </row>
    <row r="128" spans="1:10" ht="18" customHeight="1">
      <c r="A128" s="33">
        <v>123</v>
      </c>
      <c r="B128" s="17" t="s">
        <v>249</v>
      </c>
      <c r="C128" s="18">
        <v>41444</v>
      </c>
      <c r="D128" s="44">
        <v>80.61</v>
      </c>
      <c r="E128" s="11" t="s">
        <v>51</v>
      </c>
      <c r="F128" s="10" t="s">
        <v>53</v>
      </c>
      <c r="G128" s="17" t="s">
        <v>249</v>
      </c>
      <c r="H128" s="18">
        <v>41444</v>
      </c>
      <c r="I128" s="44">
        <v>80.61</v>
      </c>
      <c r="J128" s="9"/>
    </row>
    <row r="129" spans="1:10" ht="18" customHeight="1">
      <c r="A129" s="33">
        <v>124</v>
      </c>
      <c r="B129" s="17" t="s">
        <v>250</v>
      </c>
      <c r="C129" s="18">
        <v>41444</v>
      </c>
      <c r="D129" s="44">
        <v>22.1</v>
      </c>
      <c r="E129" s="11" t="s">
        <v>51</v>
      </c>
      <c r="F129" s="10" t="s">
        <v>53</v>
      </c>
      <c r="G129" s="17" t="s">
        <v>250</v>
      </c>
      <c r="H129" s="18">
        <v>41444</v>
      </c>
      <c r="I129" s="44">
        <v>22.1</v>
      </c>
      <c r="J129" s="9"/>
    </row>
    <row r="130" spans="1:10" ht="18" customHeight="1">
      <c r="A130" s="33">
        <v>125</v>
      </c>
      <c r="B130" s="17" t="s">
        <v>251</v>
      </c>
      <c r="C130" s="18">
        <v>41444</v>
      </c>
      <c r="D130" s="44">
        <v>52.61</v>
      </c>
      <c r="E130" s="11" t="s">
        <v>51</v>
      </c>
      <c r="F130" s="10" t="s">
        <v>53</v>
      </c>
      <c r="G130" s="17" t="s">
        <v>251</v>
      </c>
      <c r="H130" s="18">
        <v>41444</v>
      </c>
      <c r="I130" s="44">
        <v>52.61</v>
      </c>
      <c r="J130" s="9"/>
    </row>
    <row r="131" spans="1:10" ht="18" customHeight="1">
      <c r="A131" s="33">
        <v>126</v>
      </c>
      <c r="B131" s="17" t="s">
        <v>253</v>
      </c>
      <c r="C131" s="18">
        <v>41454</v>
      </c>
      <c r="D131" s="44">
        <v>69.87</v>
      </c>
      <c r="E131" s="11" t="s">
        <v>51</v>
      </c>
      <c r="F131" s="10" t="s">
        <v>53</v>
      </c>
      <c r="G131" s="17" t="s">
        <v>253</v>
      </c>
      <c r="H131" s="18">
        <v>41454</v>
      </c>
      <c r="I131" s="44">
        <v>69.87</v>
      </c>
      <c r="J131" s="9"/>
    </row>
    <row r="132" spans="1:10" ht="18" customHeight="1">
      <c r="A132" s="33">
        <v>127</v>
      </c>
      <c r="B132" s="17" t="s">
        <v>254</v>
      </c>
      <c r="C132" s="18">
        <v>41454</v>
      </c>
      <c r="D132" s="44">
        <v>82.29</v>
      </c>
      <c r="E132" s="11" t="s">
        <v>51</v>
      </c>
      <c r="F132" s="10" t="s">
        <v>53</v>
      </c>
      <c r="G132" s="17" t="s">
        <v>254</v>
      </c>
      <c r="H132" s="18">
        <v>41454</v>
      </c>
      <c r="I132" s="44">
        <v>82.29</v>
      </c>
      <c r="J132" s="9"/>
    </row>
    <row r="133" spans="1:10" ht="18" customHeight="1">
      <c r="A133" s="33">
        <v>128</v>
      </c>
      <c r="B133" s="17" t="s">
        <v>255</v>
      </c>
      <c r="C133" s="18">
        <v>41455</v>
      </c>
      <c r="D133" s="44">
        <v>33.950000000000003</v>
      </c>
      <c r="E133" s="11" t="s">
        <v>51</v>
      </c>
      <c r="F133" s="10" t="s">
        <v>53</v>
      </c>
      <c r="G133" s="17" t="s">
        <v>255</v>
      </c>
      <c r="H133" s="18">
        <v>41455</v>
      </c>
      <c r="I133" s="44">
        <v>33.950000000000003</v>
      </c>
      <c r="J133" s="9"/>
    </row>
    <row r="134" spans="1:10" ht="18" customHeight="1">
      <c r="A134" s="33">
        <v>129</v>
      </c>
      <c r="B134" s="17" t="s">
        <v>258</v>
      </c>
      <c r="C134" s="18">
        <v>41449</v>
      </c>
      <c r="D134" s="44">
        <v>72.59</v>
      </c>
      <c r="E134" s="11" t="s">
        <v>51</v>
      </c>
      <c r="F134" s="10" t="s">
        <v>53</v>
      </c>
      <c r="G134" s="17" t="s">
        <v>258</v>
      </c>
      <c r="H134" s="18">
        <v>41449</v>
      </c>
      <c r="I134" s="44">
        <v>72.59</v>
      </c>
      <c r="J134" s="9"/>
    </row>
    <row r="135" spans="1:10" ht="18" customHeight="1">
      <c r="A135" s="33">
        <v>130</v>
      </c>
      <c r="B135" s="17" t="s">
        <v>259</v>
      </c>
      <c r="C135" s="18">
        <v>41449</v>
      </c>
      <c r="D135" s="44">
        <v>22.1</v>
      </c>
      <c r="E135" s="11" t="s">
        <v>51</v>
      </c>
      <c r="F135" s="10" t="s">
        <v>53</v>
      </c>
      <c r="G135" s="17" t="s">
        <v>259</v>
      </c>
      <c r="H135" s="18">
        <v>41449</v>
      </c>
      <c r="I135" s="44">
        <v>22.1</v>
      </c>
      <c r="J135" s="9"/>
    </row>
    <row r="136" spans="1:10" ht="18" customHeight="1">
      <c r="A136" s="33">
        <v>131</v>
      </c>
      <c r="B136" s="17" t="s">
        <v>260</v>
      </c>
      <c r="C136" s="18">
        <v>41450</v>
      </c>
      <c r="D136" s="44">
        <v>32.51</v>
      </c>
      <c r="E136" s="11" t="s">
        <v>51</v>
      </c>
      <c r="F136" s="10" t="s">
        <v>53</v>
      </c>
      <c r="G136" s="17" t="s">
        <v>260</v>
      </c>
      <c r="H136" s="18">
        <v>41450</v>
      </c>
      <c r="I136" s="44">
        <v>32.51</v>
      </c>
      <c r="J136" s="9"/>
    </row>
    <row r="137" spans="1:10" ht="18" customHeight="1">
      <c r="A137" s="33">
        <v>132</v>
      </c>
      <c r="B137" s="17" t="s">
        <v>265</v>
      </c>
      <c r="C137" s="18">
        <v>41464</v>
      </c>
      <c r="D137" s="44">
        <v>34.42</v>
      </c>
      <c r="E137" s="11" t="s">
        <v>51</v>
      </c>
      <c r="F137" s="10" t="s">
        <v>53</v>
      </c>
      <c r="G137" s="17" t="s">
        <v>265</v>
      </c>
      <c r="H137" s="18">
        <v>41464</v>
      </c>
      <c r="I137" s="44">
        <v>34.42</v>
      </c>
      <c r="J137" s="9"/>
    </row>
    <row r="138" spans="1:10" ht="18" customHeight="1">
      <c r="A138" s="33">
        <v>133</v>
      </c>
      <c r="B138" s="17" t="s">
        <v>266</v>
      </c>
      <c r="C138" s="18">
        <v>41464</v>
      </c>
      <c r="D138" s="44">
        <v>47.83</v>
      </c>
      <c r="E138" s="11" t="s">
        <v>51</v>
      </c>
      <c r="F138" s="10" t="s">
        <v>53</v>
      </c>
      <c r="G138" s="17" t="s">
        <v>266</v>
      </c>
      <c r="H138" s="18">
        <v>41464</v>
      </c>
      <c r="I138" s="44">
        <v>47.83</v>
      </c>
      <c r="J138" s="9"/>
    </row>
    <row r="139" spans="1:10" ht="18" customHeight="1">
      <c r="A139" s="33">
        <v>134</v>
      </c>
      <c r="B139" s="17" t="s">
        <v>267</v>
      </c>
      <c r="C139" s="18">
        <v>41464</v>
      </c>
      <c r="D139" s="44">
        <v>26.89</v>
      </c>
      <c r="E139" s="11" t="s">
        <v>51</v>
      </c>
      <c r="F139" s="10" t="s">
        <v>53</v>
      </c>
      <c r="G139" s="17" t="s">
        <v>267</v>
      </c>
      <c r="H139" s="18">
        <v>41464</v>
      </c>
      <c r="I139" s="44">
        <v>26.89</v>
      </c>
      <c r="J139" s="9"/>
    </row>
    <row r="140" spans="1:10" ht="18" customHeight="1">
      <c r="A140" s="33">
        <v>135</v>
      </c>
      <c r="B140" s="17" t="s">
        <v>268</v>
      </c>
      <c r="C140" s="18">
        <v>41464</v>
      </c>
      <c r="D140" s="44">
        <v>44.67</v>
      </c>
      <c r="E140" s="11" t="s">
        <v>51</v>
      </c>
      <c r="F140" s="10" t="s">
        <v>53</v>
      </c>
      <c r="G140" s="17" t="s">
        <v>268</v>
      </c>
      <c r="H140" s="18">
        <v>41464</v>
      </c>
      <c r="I140" s="44">
        <v>44.67</v>
      </c>
      <c r="J140" s="9"/>
    </row>
    <row r="141" spans="1:10" ht="18" customHeight="1">
      <c r="A141" s="33">
        <v>136</v>
      </c>
      <c r="B141" s="17" t="s">
        <v>269</v>
      </c>
      <c r="C141" s="18">
        <v>41464</v>
      </c>
      <c r="D141" s="44">
        <v>39.33</v>
      </c>
      <c r="E141" s="11" t="s">
        <v>51</v>
      </c>
      <c r="F141" s="10" t="s">
        <v>53</v>
      </c>
      <c r="G141" s="17" t="s">
        <v>269</v>
      </c>
      <c r="H141" s="18">
        <v>41464</v>
      </c>
      <c r="I141" s="44">
        <v>39.33</v>
      </c>
      <c r="J141" s="9"/>
    </row>
    <row r="142" spans="1:10" ht="18" customHeight="1">
      <c r="A142" s="33">
        <v>137</v>
      </c>
      <c r="B142" s="17" t="s">
        <v>270</v>
      </c>
      <c r="C142" s="18">
        <v>41465</v>
      </c>
      <c r="D142" s="44">
        <v>62.7</v>
      </c>
      <c r="E142" s="11" t="s">
        <v>51</v>
      </c>
      <c r="F142" s="10" t="s">
        <v>53</v>
      </c>
      <c r="G142" s="17" t="s">
        <v>270</v>
      </c>
      <c r="H142" s="18">
        <v>41465</v>
      </c>
      <c r="I142" s="44">
        <v>62.7</v>
      </c>
      <c r="J142" s="9"/>
    </row>
    <row r="143" spans="1:10" ht="18" customHeight="1">
      <c r="A143" s="33">
        <v>138</v>
      </c>
      <c r="B143" s="17" t="s">
        <v>271</v>
      </c>
      <c r="C143" s="18">
        <v>41465</v>
      </c>
      <c r="D143" s="44">
        <v>101.07</v>
      </c>
      <c r="E143" s="11" t="s">
        <v>51</v>
      </c>
      <c r="F143" s="10" t="s">
        <v>53</v>
      </c>
      <c r="G143" s="17" t="s">
        <v>271</v>
      </c>
      <c r="H143" s="18">
        <v>41465</v>
      </c>
      <c r="I143" s="44">
        <v>101.07</v>
      </c>
      <c r="J143" s="9"/>
    </row>
    <row r="144" spans="1:10" ht="18" customHeight="1">
      <c r="A144" s="33">
        <v>139</v>
      </c>
      <c r="B144" s="17" t="s">
        <v>272</v>
      </c>
      <c r="C144" s="18">
        <v>41465</v>
      </c>
      <c r="D144" s="44">
        <v>129.26</v>
      </c>
      <c r="E144" s="11" t="s">
        <v>51</v>
      </c>
      <c r="F144" s="10" t="s">
        <v>53</v>
      </c>
      <c r="G144" s="17" t="s">
        <v>272</v>
      </c>
      <c r="H144" s="18">
        <v>41465</v>
      </c>
      <c r="I144" s="44">
        <v>129.26</v>
      </c>
      <c r="J144" s="9"/>
    </row>
    <row r="145" spans="1:10" ht="18" customHeight="1">
      <c r="A145" s="33">
        <v>140</v>
      </c>
      <c r="B145" s="17" t="s">
        <v>275</v>
      </c>
      <c r="C145" s="18">
        <v>41471</v>
      </c>
      <c r="D145" s="44">
        <v>22.3</v>
      </c>
      <c r="E145" s="11" t="s">
        <v>51</v>
      </c>
      <c r="F145" s="10" t="s">
        <v>53</v>
      </c>
      <c r="G145" s="17" t="s">
        <v>275</v>
      </c>
      <c r="H145" s="18">
        <v>41471</v>
      </c>
      <c r="I145" s="44">
        <v>22.3</v>
      </c>
      <c r="J145" s="9"/>
    </row>
    <row r="146" spans="1:10" ht="18" customHeight="1">
      <c r="A146" s="33">
        <v>141</v>
      </c>
      <c r="B146" s="17" t="s">
        <v>276</v>
      </c>
      <c r="C146" s="18">
        <v>41471</v>
      </c>
      <c r="D146" s="44">
        <v>26.2</v>
      </c>
      <c r="E146" s="11" t="s">
        <v>51</v>
      </c>
      <c r="F146" s="10" t="s">
        <v>53</v>
      </c>
      <c r="G146" s="17" t="s">
        <v>276</v>
      </c>
      <c r="H146" s="18">
        <v>41471</v>
      </c>
      <c r="I146" s="44">
        <v>26.2</v>
      </c>
      <c r="J146" s="9"/>
    </row>
    <row r="147" spans="1:10" ht="18" customHeight="1">
      <c r="A147" s="33">
        <v>142</v>
      </c>
      <c r="B147" s="17" t="s">
        <v>277</v>
      </c>
      <c r="C147" s="18">
        <v>41471</v>
      </c>
      <c r="D147" s="44">
        <v>113.51</v>
      </c>
      <c r="E147" s="11" t="s">
        <v>51</v>
      </c>
      <c r="F147" s="10" t="s">
        <v>53</v>
      </c>
      <c r="G147" s="17" t="s">
        <v>277</v>
      </c>
      <c r="H147" s="18">
        <v>41471</v>
      </c>
      <c r="I147" s="44">
        <v>113.51</v>
      </c>
      <c r="J147" s="9"/>
    </row>
    <row r="148" spans="1:10" ht="18" customHeight="1">
      <c r="A148" s="33">
        <v>143</v>
      </c>
      <c r="B148" s="17" t="s">
        <v>278</v>
      </c>
      <c r="C148" s="18">
        <v>41471</v>
      </c>
      <c r="D148" s="44">
        <v>35.22</v>
      </c>
      <c r="E148" s="11" t="s">
        <v>51</v>
      </c>
      <c r="F148" s="10" t="s">
        <v>53</v>
      </c>
      <c r="G148" s="17" t="s">
        <v>278</v>
      </c>
      <c r="H148" s="18">
        <v>41471</v>
      </c>
      <c r="I148" s="44">
        <v>35.22</v>
      </c>
      <c r="J148" s="9"/>
    </row>
    <row r="149" spans="1:10" ht="18" customHeight="1">
      <c r="A149" s="33">
        <v>144</v>
      </c>
      <c r="B149" s="17" t="s">
        <v>279</v>
      </c>
      <c r="C149" s="18">
        <v>41471</v>
      </c>
      <c r="D149" s="44">
        <v>72.790000000000006</v>
      </c>
      <c r="E149" s="11" t="s">
        <v>51</v>
      </c>
      <c r="F149" s="10" t="s">
        <v>53</v>
      </c>
      <c r="G149" s="17" t="s">
        <v>279</v>
      </c>
      <c r="H149" s="18">
        <v>41471</v>
      </c>
      <c r="I149" s="44">
        <v>72.790000000000006</v>
      </c>
      <c r="J149" s="9"/>
    </row>
    <row r="150" spans="1:10" ht="18" customHeight="1">
      <c r="A150" s="33">
        <v>145</v>
      </c>
      <c r="B150" s="17" t="s">
        <v>280</v>
      </c>
      <c r="C150" s="18">
        <v>41471</v>
      </c>
      <c r="D150" s="44">
        <v>26.6</v>
      </c>
      <c r="E150" s="11" t="s">
        <v>51</v>
      </c>
      <c r="F150" s="10" t="s">
        <v>53</v>
      </c>
      <c r="G150" s="17" t="s">
        <v>280</v>
      </c>
      <c r="H150" s="18">
        <v>41471</v>
      </c>
      <c r="I150" s="44">
        <v>26.6</v>
      </c>
      <c r="J150" s="9"/>
    </row>
    <row r="151" spans="1:10" ht="18" customHeight="1">
      <c r="A151" s="33">
        <v>146</v>
      </c>
      <c r="B151" s="17" t="s">
        <v>281</v>
      </c>
      <c r="C151" s="18">
        <v>41471</v>
      </c>
      <c r="D151" s="44">
        <v>26.55</v>
      </c>
      <c r="E151" s="11" t="s">
        <v>51</v>
      </c>
      <c r="F151" s="10" t="s">
        <v>53</v>
      </c>
      <c r="G151" s="17" t="s">
        <v>281</v>
      </c>
      <c r="H151" s="18">
        <v>41471</v>
      </c>
      <c r="I151" s="44">
        <v>26.55</v>
      </c>
      <c r="J151" s="9"/>
    </row>
    <row r="152" spans="1:10" ht="18" customHeight="1">
      <c r="A152" s="33">
        <v>147</v>
      </c>
      <c r="B152" s="17" t="s">
        <v>282</v>
      </c>
      <c r="C152" s="18">
        <v>41477</v>
      </c>
      <c r="D152" s="44">
        <v>51.32</v>
      </c>
      <c r="E152" s="11" t="s">
        <v>51</v>
      </c>
      <c r="F152" s="10" t="s">
        <v>53</v>
      </c>
      <c r="G152" s="17" t="s">
        <v>282</v>
      </c>
      <c r="H152" s="18">
        <v>41477</v>
      </c>
      <c r="I152" s="44">
        <v>51.32</v>
      </c>
      <c r="J152" s="9"/>
    </row>
    <row r="153" spans="1:10" ht="18" customHeight="1">
      <c r="A153" s="33">
        <v>148</v>
      </c>
      <c r="B153" s="17" t="s">
        <v>285</v>
      </c>
      <c r="C153" s="18">
        <v>41478</v>
      </c>
      <c r="D153" s="44">
        <v>26.96</v>
      </c>
      <c r="E153" s="11" t="s">
        <v>51</v>
      </c>
      <c r="F153" s="10" t="s">
        <v>53</v>
      </c>
      <c r="G153" s="17" t="s">
        <v>285</v>
      </c>
      <c r="H153" s="18">
        <v>41478</v>
      </c>
      <c r="I153" s="44">
        <v>26.96</v>
      </c>
      <c r="J153" s="9"/>
    </row>
    <row r="154" spans="1:10" ht="18" customHeight="1">
      <c r="A154" s="33">
        <v>149</v>
      </c>
      <c r="B154" s="17" t="s">
        <v>286</v>
      </c>
      <c r="C154" s="18">
        <v>41478</v>
      </c>
      <c r="D154" s="44">
        <v>52.06</v>
      </c>
      <c r="E154" s="11" t="s">
        <v>51</v>
      </c>
      <c r="F154" s="10" t="s">
        <v>53</v>
      </c>
      <c r="G154" s="17" t="s">
        <v>286</v>
      </c>
      <c r="H154" s="18">
        <v>41478</v>
      </c>
      <c r="I154" s="44">
        <v>52.06</v>
      </c>
      <c r="J154" s="9"/>
    </row>
    <row r="155" spans="1:10" ht="18" customHeight="1">
      <c r="A155" s="33">
        <v>150</v>
      </c>
      <c r="B155" s="17" t="s">
        <v>287</v>
      </c>
      <c r="C155" s="18">
        <v>41484</v>
      </c>
      <c r="D155" s="44">
        <v>26.2</v>
      </c>
      <c r="E155" s="11" t="s">
        <v>51</v>
      </c>
      <c r="F155" s="10" t="s">
        <v>53</v>
      </c>
      <c r="G155" s="17" t="s">
        <v>287</v>
      </c>
      <c r="H155" s="18">
        <v>41484</v>
      </c>
      <c r="I155" s="44">
        <v>26.2</v>
      </c>
      <c r="J155" s="9"/>
    </row>
    <row r="156" spans="1:10" ht="18" customHeight="1">
      <c r="A156" s="33">
        <v>151</v>
      </c>
      <c r="B156" s="17" t="s">
        <v>288</v>
      </c>
      <c r="C156" s="18">
        <v>41484</v>
      </c>
      <c r="D156" s="44">
        <v>5</v>
      </c>
      <c r="E156" s="11" t="s">
        <v>51</v>
      </c>
      <c r="F156" s="10" t="s">
        <v>53</v>
      </c>
      <c r="G156" s="17" t="s">
        <v>288</v>
      </c>
      <c r="H156" s="18">
        <v>41484</v>
      </c>
      <c r="I156" s="44">
        <v>5</v>
      </c>
      <c r="J156" s="9"/>
    </row>
    <row r="157" spans="1:10" ht="18" customHeight="1">
      <c r="A157" s="33">
        <v>152</v>
      </c>
      <c r="B157" s="17" t="s">
        <v>291</v>
      </c>
      <c r="C157" s="18">
        <v>41485</v>
      </c>
      <c r="D157" s="44">
        <v>29.73</v>
      </c>
      <c r="E157" s="11" t="s">
        <v>51</v>
      </c>
      <c r="F157" s="10" t="s">
        <v>53</v>
      </c>
      <c r="G157" s="17" t="s">
        <v>291</v>
      </c>
      <c r="H157" s="18">
        <v>41485</v>
      </c>
      <c r="I157" s="44">
        <v>29.73</v>
      </c>
      <c r="J157" s="9"/>
    </row>
    <row r="158" spans="1:10" ht="18" customHeight="1">
      <c r="A158" s="33">
        <v>153</v>
      </c>
      <c r="B158" s="17" t="s">
        <v>293</v>
      </c>
      <c r="C158" s="18">
        <v>41491</v>
      </c>
      <c r="D158" s="44">
        <v>26.32</v>
      </c>
      <c r="E158" s="11" t="s">
        <v>51</v>
      </c>
      <c r="F158" s="10" t="s">
        <v>53</v>
      </c>
      <c r="G158" s="17" t="s">
        <v>293</v>
      </c>
      <c r="H158" s="18">
        <v>41491</v>
      </c>
      <c r="I158" s="44">
        <v>26.32</v>
      </c>
      <c r="J158" s="9"/>
    </row>
    <row r="159" spans="1:10" ht="18" customHeight="1">
      <c r="A159" s="33">
        <v>154</v>
      </c>
      <c r="B159" s="17" t="s">
        <v>294</v>
      </c>
      <c r="C159" s="18">
        <v>41491</v>
      </c>
      <c r="D159" s="44">
        <v>30.9</v>
      </c>
      <c r="E159" s="11" t="s">
        <v>51</v>
      </c>
      <c r="F159" s="10" t="s">
        <v>53</v>
      </c>
      <c r="G159" s="17" t="s">
        <v>294</v>
      </c>
      <c r="H159" s="18">
        <v>41491</v>
      </c>
      <c r="I159" s="44">
        <v>30.9</v>
      </c>
      <c r="J159" s="9"/>
    </row>
    <row r="160" spans="1:10" ht="18" customHeight="1">
      <c r="A160" s="33">
        <v>155</v>
      </c>
      <c r="B160" s="17" t="s">
        <v>295</v>
      </c>
      <c r="C160" s="18">
        <v>41492</v>
      </c>
      <c r="D160" s="44">
        <v>48.13</v>
      </c>
      <c r="E160" s="11" t="s">
        <v>51</v>
      </c>
      <c r="F160" s="10" t="s">
        <v>53</v>
      </c>
      <c r="G160" s="17" t="s">
        <v>295</v>
      </c>
      <c r="H160" s="18">
        <v>41492</v>
      </c>
      <c r="I160" s="44">
        <v>48.13</v>
      </c>
      <c r="J160" s="9"/>
    </row>
    <row r="161" spans="1:10" ht="18" customHeight="1">
      <c r="A161" s="33">
        <v>156</v>
      </c>
      <c r="B161" s="17" t="s">
        <v>296</v>
      </c>
      <c r="C161" s="18">
        <v>41492</v>
      </c>
      <c r="D161" s="44">
        <v>25.81</v>
      </c>
      <c r="E161" s="11" t="s">
        <v>51</v>
      </c>
      <c r="F161" s="10" t="s">
        <v>53</v>
      </c>
      <c r="G161" s="17" t="s">
        <v>296</v>
      </c>
      <c r="H161" s="18">
        <v>41492</v>
      </c>
      <c r="I161" s="44">
        <v>25.81</v>
      </c>
      <c r="J161" s="9"/>
    </row>
    <row r="162" spans="1:10" ht="18" customHeight="1">
      <c r="A162" s="33">
        <v>157</v>
      </c>
      <c r="B162" s="17" t="s">
        <v>297</v>
      </c>
      <c r="C162" s="18">
        <v>41492</v>
      </c>
      <c r="D162" s="44">
        <v>39.69</v>
      </c>
      <c r="E162" s="11" t="s">
        <v>51</v>
      </c>
      <c r="F162" s="10" t="s">
        <v>53</v>
      </c>
      <c r="G162" s="17" t="s">
        <v>297</v>
      </c>
      <c r="H162" s="18">
        <v>41492</v>
      </c>
      <c r="I162" s="44">
        <v>39.69</v>
      </c>
      <c r="J162" s="9"/>
    </row>
    <row r="163" spans="1:10" ht="18" customHeight="1">
      <c r="A163" s="33">
        <v>158</v>
      </c>
      <c r="B163" s="17" t="s">
        <v>298</v>
      </c>
      <c r="C163" s="18">
        <v>41492</v>
      </c>
      <c r="D163" s="44">
        <v>75.8</v>
      </c>
      <c r="E163" s="11" t="s">
        <v>51</v>
      </c>
      <c r="F163" s="10" t="s">
        <v>53</v>
      </c>
      <c r="G163" s="17" t="s">
        <v>298</v>
      </c>
      <c r="H163" s="18">
        <v>41492</v>
      </c>
      <c r="I163" s="44">
        <v>75.8</v>
      </c>
      <c r="J163" s="9"/>
    </row>
    <row r="164" spans="1:10" ht="18" customHeight="1">
      <c r="A164" s="33">
        <v>159</v>
      </c>
      <c r="B164" s="17" t="s">
        <v>300</v>
      </c>
      <c r="C164" s="18">
        <v>41499</v>
      </c>
      <c r="D164" s="44">
        <v>61.05</v>
      </c>
      <c r="E164" s="11" t="s">
        <v>51</v>
      </c>
      <c r="F164" s="10" t="s">
        <v>53</v>
      </c>
      <c r="G164" s="17" t="s">
        <v>300</v>
      </c>
      <c r="H164" s="18">
        <v>41499</v>
      </c>
      <c r="I164" s="44">
        <v>61.05</v>
      </c>
      <c r="J164" s="9"/>
    </row>
    <row r="165" spans="1:10" ht="18" customHeight="1">
      <c r="A165" s="33">
        <v>160</v>
      </c>
      <c r="B165" s="17" t="s">
        <v>301</v>
      </c>
      <c r="C165" s="18">
        <v>41499</v>
      </c>
      <c r="D165" s="44">
        <v>35.53</v>
      </c>
      <c r="E165" s="11" t="s">
        <v>51</v>
      </c>
      <c r="F165" s="10" t="s">
        <v>53</v>
      </c>
      <c r="G165" s="17" t="s">
        <v>301</v>
      </c>
      <c r="H165" s="18">
        <v>41499</v>
      </c>
      <c r="I165" s="44">
        <v>35.53</v>
      </c>
      <c r="J165" s="9"/>
    </row>
    <row r="166" spans="1:10" ht="18" customHeight="1">
      <c r="A166" s="33">
        <v>161</v>
      </c>
      <c r="B166" s="17" t="s">
        <v>302</v>
      </c>
      <c r="C166" s="18">
        <v>41499</v>
      </c>
      <c r="D166" s="44">
        <v>63.41</v>
      </c>
      <c r="E166" s="11" t="s">
        <v>51</v>
      </c>
      <c r="F166" s="10" t="s">
        <v>53</v>
      </c>
      <c r="G166" s="17" t="s">
        <v>302</v>
      </c>
      <c r="H166" s="18">
        <v>41499</v>
      </c>
      <c r="I166" s="44">
        <v>63.41</v>
      </c>
      <c r="J166" s="9"/>
    </row>
    <row r="167" spans="1:10" ht="18" customHeight="1">
      <c r="A167" s="33">
        <v>162</v>
      </c>
      <c r="B167" s="17" t="s">
        <v>303</v>
      </c>
      <c r="C167" s="18">
        <v>41499</v>
      </c>
      <c r="D167" s="44">
        <v>35.31</v>
      </c>
      <c r="E167" s="11" t="s">
        <v>51</v>
      </c>
      <c r="F167" s="10" t="s">
        <v>53</v>
      </c>
      <c r="G167" s="17" t="s">
        <v>303</v>
      </c>
      <c r="H167" s="18">
        <v>41499</v>
      </c>
      <c r="I167" s="44">
        <v>35.31</v>
      </c>
      <c r="J167" s="9"/>
    </row>
    <row r="168" spans="1:10" ht="18" customHeight="1">
      <c r="A168" s="33">
        <v>163</v>
      </c>
      <c r="B168" s="17" t="s">
        <v>306</v>
      </c>
      <c r="C168" s="18">
        <v>41506</v>
      </c>
      <c r="D168" s="44">
        <v>22.3</v>
      </c>
      <c r="E168" s="11" t="s">
        <v>51</v>
      </c>
      <c r="F168" s="10" t="s">
        <v>53</v>
      </c>
      <c r="G168" s="17" t="s">
        <v>306</v>
      </c>
      <c r="H168" s="18">
        <v>41506</v>
      </c>
      <c r="I168" s="44">
        <v>22.3</v>
      </c>
      <c r="J168" s="9"/>
    </row>
    <row r="169" spans="1:10" ht="18" customHeight="1">
      <c r="A169" s="33">
        <v>164</v>
      </c>
      <c r="B169" s="17" t="s">
        <v>307</v>
      </c>
      <c r="C169" s="18">
        <v>41506</v>
      </c>
      <c r="D169" s="44">
        <v>22.74</v>
      </c>
      <c r="E169" s="11" t="s">
        <v>51</v>
      </c>
      <c r="F169" s="10" t="s">
        <v>53</v>
      </c>
      <c r="G169" s="17" t="s">
        <v>307</v>
      </c>
      <c r="H169" s="18">
        <v>41506</v>
      </c>
      <c r="I169" s="44">
        <v>22.74</v>
      </c>
      <c r="J169" s="9"/>
    </row>
    <row r="170" spans="1:10" ht="18" customHeight="1">
      <c r="A170" s="33">
        <v>165</v>
      </c>
      <c r="B170" s="17" t="s">
        <v>308</v>
      </c>
      <c r="C170" s="18">
        <v>41506</v>
      </c>
      <c r="D170" s="44">
        <v>38.68</v>
      </c>
      <c r="E170" s="11" t="s">
        <v>51</v>
      </c>
      <c r="F170" s="10" t="s">
        <v>53</v>
      </c>
      <c r="G170" s="17" t="s">
        <v>308</v>
      </c>
      <c r="H170" s="18">
        <v>41506</v>
      </c>
      <c r="I170" s="44">
        <v>38.68</v>
      </c>
      <c r="J170" s="9"/>
    </row>
    <row r="171" spans="1:10" ht="18" customHeight="1">
      <c r="A171" s="33">
        <v>166</v>
      </c>
      <c r="B171" s="17" t="s">
        <v>309</v>
      </c>
      <c r="C171" s="18">
        <v>41506</v>
      </c>
      <c r="D171" s="44">
        <v>95.64</v>
      </c>
      <c r="E171" s="11" t="s">
        <v>51</v>
      </c>
      <c r="F171" s="10" t="s">
        <v>53</v>
      </c>
      <c r="G171" s="17" t="s">
        <v>309</v>
      </c>
      <c r="H171" s="18">
        <v>41506</v>
      </c>
      <c r="I171" s="44">
        <v>95.64</v>
      </c>
      <c r="J171" s="9"/>
    </row>
    <row r="172" spans="1:10" ht="18" customHeight="1">
      <c r="A172" s="33">
        <v>167</v>
      </c>
      <c r="B172" s="17" t="s">
        <v>310</v>
      </c>
      <c r="C172" s="18">
        <v>41506</v>
      </c>
      <c r="D172" s="44">
        <v>22.34</v>
      </c>
      <c r="E172" s="11" t="s">
        <v>51</v>
      </c>
      <c r="F172" s="10" t="s">
        <v>53</v>
      </c>
      <c r="G172" s="17" t="s">
        <v>310</v>
      </c>
      <c r="H172" s="18">
        <v>41506</v>
      </c>
      <c r="I172" s="44">
        <v>22.34</v>
      </c>
      <c r="J172" s="9"/>
    </row>
    <row r="173" spans="1:10" ht="18" customHeight="1">
      <c r="A173" s="33">
        <v>168</v>
      </c>
      <c r="B173" s="17" t="s">
        <v>312</v>
      </c>
      <c r="C173" s="18">
        <v>41512</v>
      </c>
      <c r="D173" s="44">
        <v>27.28</v>
      </c>
      <c r="E173" s="11" t="s">
        <v>51</v>
      </c>
      <c r="F173" s="10" t="s">
        <v>53</v>
      </c>
      <c r="G173" s="17" t="s">
        <v>312</v>
      </c>
      <c r="H173" s="18">
        <v>41512</v>
      </c>
      <c r="I173" s="44">
        <v>27.28</v>
      </c>
      <c r="J173" s="9"/>
    </row>
    <row r="174" spans="1:10" ht="18" customHeight="1">
      <c r="A174" s="33">
        <v>169</v>
      </c>
      <c r="B174" s="17" t="s">
        <v>313</v>
      </c>
      <c r="C174" s="18">
        <v>41512</v>
      </c>
      <c r="D174" s="44">
        <v>86.19</v>
      </c>
      <c r="E174" s="11" t="s">
        <v>51</v>
      </c>
      <c r="F174" s="10" t="s">
        <v>53</v>
      </c>
      <c r="G174" s="17" t="s">
        <v>313</v>
      </c>
      <c r="H174" s="18">
        <v>41512</v>
      </c>
      <c r="I174" s="44">
        <v>86.19</v>
      </c>
      <c r="J174" s="9"/>
    </row>
    <row r="175" spans="1:10" ht="18" customHeight="1">
      <c r="A175" s="33">
        <v>170</v>
      </c>
      <c r="B175" s="17" t="s">
        <v>314</v>
      </c>
      <c r="C175" s="18">
        <v>41513</v>
      </c>
      <c r="D175" s="44">
        <v>33.75</v>
      </c>
      <c r="E175" s="11" t="s">
        <v>51</v>
      </c>
      <c r="F175" s="10" t="s">
        <v>53</v>
      </c>
      <c r="G175" s="17" t="s">
        <v>314</v>
      </c>
      <c r="H175" s="18">
        <v>41513</v>
      </c>
      <c r="I175" s="44">
        <v>33.75</v>
      </c>
      <c r="J175" s="9"/>
    </row>
    <row r="176" spans="1:10" ht="18" customHeight="1">
      <c r="A176" s="33">
        <v>171</v>
      </c>
      <c r="B176" s="17" t="s">
        <v>315</v>
      </c>
      <c r="C176" s="18">
        <v>41519</v>
      </c>
      <c r="D176" s="44">
        <v>24.84</v>
      </c>
      <c r="E176" s="11" t="s">
        <v>51</v>
      </c>
      <c r="F176" s="10" t="s">
        <v>53</v>
      </c>
      <c r="G176" s="17" t="s">
        <v>315</v>
      </c>
      <c r="H176" s="18">
        <v>41519</v>
      </c>
      <c r="I176" s="44">
        <v>24.84</v>
      </c>
      <c r="J176" s="9"/>
    </row>
    <row r="177" spans="1:10" ht="18" customHeight="1">
      <c r="A177" s="33">
        <v>172</v>
      </c>
      <c r="B177" s="17" t="s">
        <v>320</v>
      </c>
      <c r="C177" s="18">
        <v>41520</v>
      </c>
      <c r="D177" s="44">
        <v>26.6</v>
      </c>
      <c r="E177" s="11" t="s">
        <v>51</v>
      </c>
      <c r="F177" s="10" t="s">
        <v>53</v>
      </c>
      <c r="G177" s="17" t="s">
        <v>320</v>
      </c>
      <c r="H177" s="18">
        <v>41520</v>
      </c>
      <c r="I177" s="44">
        <v>26.6</v>
      </c>
      <c r="J177" s="9"/>
    </row>
    <row r="178" spans="1:10" ht="18" customHeight="1">
      <c r="A178" s="33">
        <v>173</v>
      </c>
      <c r="B178" s="17" t="s">
        <v>321</v>
      </c>
      <c r="C178" s="18">
        <v>41520</v>
      </c>
      <c r="D178" s="44">
        <v>51.81</v>
      </c>
      <c r="E178" s="11" t="s">
        <v>51</v>
      </c>
      <c r="F178" s="10" t="s">
        <v>53</v>
      </c>
      <c r="G178" s="17" t="s">
        <v>321</v>
      </c>
      <c r="H178" s="18">
        <v>41520</v>
      </c>
      <c r="I178" s="44">
        <v>51.81</v>
      </c>
      <c r="J178" s="9"/>
    </row>
    <row r="179" spans="1:10" ht="18" customHeight="1">
      <c r="A179" s="33">
        <v>174</v>
      </c>
      <c r="B179" s="17" t="s">
        <v>322</v>
      </c>
      <c r="C179" s="18">
        <v>41520</v>
      </c>
      <c r="D179" s="44">
        <v>36.479999999999997</v>
      </c>
      <c r="E179" s="11" t="s">
        <v>51</v>
      </c>
      <c r="F179" s="10" t="s">
        <v>53</v>
      </c>
      <c r="G179" s="17" t="s">
        <v>322</v>
      </c>
      <c r="H179" s="18">
        <v>41520</v>
      </c>
      <c r="I179" s="44">
        <v>36.479999999999997</v>
      </c>
      <c r="J179" s="9"/>
    </row>
    <row r="180" spans="1:10" ht="18" customHeight="1">
      <c r="A180" s="33">
        <v>175</v>
      </c>
      <c r="B180" s="17" t="s">
        <v>324</v>
      </c>
      <c r="C180" s="18">
        <v>41526</v>
      </c>
      <c r="D180" s="44">
        <v>5</v>
      </c>
      <c r="E180" s="11" t="s">
        <v>51</v>
      </c>
      <c r="F180" s="10" t="s">
        <v>53</v>
      </c>
      <c r="G180" s="17" t="s">
        <v>324</v>
      </c>
      <c r="H180" s="18">
        <v>41526</v>
      </c>
      <c r="I180" s="44">
        <v>5</v>
      </c>
      <c r="J180" s="9"/>
    </row>
    <row r="181" spans="1:10" ht="18" customHeight="1">
      <c r="A181" s="33">
        <v>176</v>
      </c>
      <c r="B181" s="17" t="s">
        <v>325</v>
      </c>
      <c r="C181" s="18">
        <v>41527</v>
      </c>
      <c r="D181" s="44">
        <v>44.95</v>
      </c>
      <c r="E181" s="11" t="s">
        <v>51</v>
      </c>
      <c r="F181" s="10" t="s">
        <v>53</v>
      </c>
      <c r="G181" s="17" t="s">
        <v>325</v>
      </c>
      <c r="H181" s="18">
        <v>41527</v>
      </c>
      <c r="I181" s="44">
        <v>44.95</v>
      </c>
      <c r="J181" s="9"/>
    </row>
    <row r="182" spans="1:10" ht="18" customHeight="1">
      <c r="A182" s="33">
        <v>177</v>
      </c>
      <c r="B182" s="17" t="s">
        <v>326</v>
      </c>
      <c r="C182" s="18">
        <v>41527</v>
      </c>
      <c r="D182" s="44">
        <v>33.31</v>
      </c>
      <c r="E182" s="11" t="s">
        <v>51</v>
      </c>
      <c r="F182" s="10" t="s">
        <v>53</v>
      </c>
      <c r="G182" s="17" t="s">
        <v>326</v>
      </c>
      <c r="H182" s="18">
        <v>41527</v>
      </c>
      <c r="I182" s="44">
        <v>33.31</v>
      </c>
      <c r="J182" s="9"/>
    </row>
    <row r="183" spans="1:10" ht="18" customHeight="1">
      <c r="A183" s="33">
        <v>178</v>
      </c>
      <c r="B183" s="17" t="s">
        <v>327</v>
      </c>
      <c r="C183" s="18">
        <v>41527</v>
      </c>
      <c r="D183" s="44">
        <v>22.51</v>
      </c>
      <c r="E183" s="11" t="s">
        <v>51</v>
      </c>
      <c r="F183" s="10" t="s">
        <v>53</v>
      </c>
      <c r="G183" s="17" t="s">
        <v>327</v>
      </c>
      <c r="H183" s="18">
        <v>41527</v>
      </c>
      <c r="I183" s="44">
        <v>22.51</v>
      </c>
      <c r="J183" s="9"/>
    </row>
    <row r="184" spans="1:10" ht="18" customHeight="1">
      <c r="A184" s="33">
        <v>179</v>
      </c>
      <c r="B184" s="17" t="s">
        <v>328</v>
      </c>
      <c r="C184" s="18">
        <v>41528</v>
      </c>
      <c r="D184" s="44">
        <v>28.01</v>
      </c>
      <c r="E184" s="11" t="s">
        <v>51</v>
      </c>
      <c r="F184" s="10" t="s">
        <v>53</v>
      </c>
      <c r="G184" s="17" t="s">
        <v>328</v>
      </c>
      <c r="H184" s="18">
        <v>41528</v>
      </c>
      <c r="I184" s="44">
        <v>28.01</v>
      </c>
      <c r="J184" s="9"/>
    </row>
    <row r="185" spans="1:10" ht="18" customHeight="1">
      <c r="A185" s="33">
        <v>180</v>
      </c>
      <c r="B185" s="17" t="s">
        <v>329</v>
      </c>
      <c r="C185" s="18">
        <v>41528</v>
      </c>
      <c r="D185" s="44">
        <v>86.57</v>
      </c>
      <c r="E185" s="11" t="s">
        <v>51</v>
      </c>
      <c r="F185" s="10" t="s">
        <v>53</v>
      </c>
      <c r="G185" s="17" t="s">
        <v>329</v>
      </c>
      <c r="H185" s="18">
        <v>41528</v>
      </c>
      <c r="I185" s="44">
        <v>86.57</v>
      </c>
      <c r="J185" s="9"/>
    </row>
    <row r="186" spans="1:10" ht="18" customHeight="1">
      <c r="A186" s="33">
        <v>181</v>
      </c>
      <c r="B186" s="17" t="s">
        <v>330</v>
      </c>
      <c r="C186" s="18">
        <v>41528</v>
      </c>
      <c r="D186" s="44">
        <v>36.700000000000003</v>
      </c>
      <c r="E186" s="11" t="s">
        <v>51</v>
      </c>
      <c r="F186" s="10" t="s">
        <v>53</v>
      </c>
      <c r="G186" s="17" t="s">
        <v>330</v>
      </c>
      <c r="H186" s="18">
        <v>41528</v>
      </c>
      <c r="I186" s="44">
        <v>36.700000000000003</v>
      </c>
      <c r="J186" s="9"/>
    </row>
    <row r="187" spans="1:10" ht="18" customHeight="1">
      <c r="A187" s="33">
        <v>182</v>
      </c>
      <c r="B187" s="17" t="s">
        <v>331</v>
      </c>
      <c r="C187" s="18">
        <v>41528</v>
      </c>
      <c r="D187" s="44">
        <v>59.52</v>
      </c>
      <c r="E187" s="11" t="s">
        <v>51</v>
      </c>
      <c r="F187" s="10" t="s">
        <v>53</v>
      </c>
      <c r="G187" s="17" t="s">
        <v>331</v>
      </c>
      <c r="H187" s="18">
        <v>41528</v>
      </c>
      <c r="I187" s="44">
        <v>59.52</v>
      </c>
      <c r="J187" s="9"/>
    </row>
    <row r="188" spans="1:10" ht="18" customHeight="1">
      <c r="A188" s="33">
        <v>183</v>
      </c>
      <c r="B188" s="17" t="s">
        <v>332</v>
      </c>
      <c r="C188" s="18">
        <v>41528</v>
      </c>
      <c r="D188" s="44">
        <v>195.16</v>
      </c>
      <c r="E188" s="11" t="s">
        <v>51</v>
      </c>
      <c r="F188" s="10" t="s">
        <v>53</v>
      </c>
      <c r="G188" s="17" t="s">
        <v>332</v>
      </c>
      <c r="H188" s="18">
        <v>41528</v>
      </c>
      <c r="I188" s="44">
        <v>195.16</v>
      </c>
      <c r="J188" s="9"/>
    </row>
    <row r="189" spans="1:10" ht="18" customHeight="1">
      <c r="A189" s="33">
        <v>184</v>
      </c>
      <c r="B189" s="17" t="s">
        <v>335</v>
      </c>
      <c r="C189" s="18">
        <v>41533</v>
      </c>
      <c r="D189" s="44">
        <v>28.82</v>
      </c>
      <c r="E189" s="11" t="s">
        <v>51</v>
      </c>
      <c r="F189" s="10" t="s">
        <v>53</v>
      </c>
      <c r="G189" s="17" t="s">
        <v>335</v>
      </c>
      <c r="H189" s="18">
        <v>41533</v>
      </c>
      <c r="I189" s="44">
        <v>28.82</v>
      </c>
      <c r="J189" s="9"/>
    </row>
    <row r="190" spans="1:10" ht="18" customHeight="1">
      <c r="A190" s="33">
        <v>185</v>
      </c>
      <c r="B190" s="17" t="s">
        <v>336</v>
      </c>
      <c r="C190" s="18">
        <v>41534</v>
      </c>
      <c r="D190" s="44">
        <v>22.3</v>
      </c>
      <c r="E190" s="11" t="s">
        <v>51</v>
      </c>
      <c r="F190" s="10" t="s">
        <v>53</v>
      </c>
      <c r="G190" s="17" t="s">
        <v>336</v>
      </c>
      <c r="H190" s="18">
        <v>41534</v>
      </c>
      <c r="I190" s="44">
        <v>22.3</v>
      </c>
      <c r="J190" s="9"/>
    </row>
    <row r="191" spans="1:10" ht="18" customHeight="1">
      <c r="A191" s="33">
        <v>186</v>
      </c>
      <c r="B191" s="17" t="s">
        <v>337</v>
      </c>
      <c r="C191" s="18">
        <v>41534</v>
      </c>
      <c r="D191" s="44">
        <v>39.630000000000003</v>
      </c>
      <c r="E191" s="11" t="s">
        <v>51</v>
      </c>
      <c r="F191" s="10" t="s">
        <v>53</v>
      </c>
      <c r="G191" s="17" t="s">
        <v>337</v>
      </c>
      <c r="H191" s="18">
        <v>41534</v>
      </c>
      <c r="I191" s="44">
        <v>39.630000000000003</v>
      </c>
      <c r="J191" s="9"/>
    </row>
    <row r="192" spans="1:10" ht="18" customHeight="1">
      <c r="A192" s="33">
        <v>187</v>
      </c>
      <c r="B192" s="17" t="s">
        <v>338</v>
      </c>
      <c r="C192" s="18">
        <v>41534</v>
      </c>
      <c r="D192" s="44">
        <v>37.340000000000003</v>
      </c>
      <c r="E192" s="11" t="s">
        <v>51</v>
      </c>
      <c r="F192" s="10" t="s">
        <v>53</v>
      </c>
      <c r="G192" s="17" t="s">
        <v>338</v>
      </c>
      <c r="H192" s="18">
        <v>41534</v>
      </c>
      <c r="I192" s="44">
        <v>37.340000000000003</v>
      </c>
      <c r="J192" s="9"/>
    </row>
    <row r="193" spans="1:10" ht="18" customHeight="1">
      <c r="A193" s="33">
        <v>188</v>
      </c>
      <c r="B193" s="17" t="s">
        <v>339</v>
      </c>
      <c r="C193" s="18">
        <v>41534</v>
      </c>
      <c r="D193" s="44">
        <v>22.1</v>
      </c>
      <c r="E193" s="11" t="s">
        <v>51</v>
      </c>
      <c r="F193" s="10" t="s">
        <v>53</v>
      </c>
      <c r="G193" s="17" t="s">
        <v>339</v>
      </c>
      <c r="H193" s="18">
        <v>41534</v>
      </c>
      <c r="I193" s="44">
        <v>22.1</v>
      </c>
      <c r="J193" s="9"/>
    </row>
    <row r="194" spans="1:10" ht="18" customHeight="1">
      <c r="A194" s="33">
        <v>189</v>
      </c>
      <c r="B194" s="17" t="s">
        <v>342</v>
      </c>
      <c r="C194" s="18">
        <v>41542</v>
      </c>
      <c r="D194" s="44">
        <v>37</v>
      </c>
      <c r="E194" s="11" t="s">
        <v>51</v>
      </c>
      <c r="F194" s="10" t="s">
        <v>53</v>
      </c>
      <c r="G194" s="17" t="s">
        <v>342</v>
      </c>
      <c r="H194" s="18">
        <v>41542</v>
      </c>
      <c r="I194" s="44">
        <v>37</v>
      </c>
      <c r="J194" s="9"/>
    </row>
    <row r="195" spans="1:10" ht="18" customHeight="1">
      <c r="A195" s="33">
        <v>190</v>
      </c>
      <c r="B195" s="17" t="s">
        <v>343</v>
      </c>
      <c r="C195" s="18">
        <v>41542</v>
      </c>
      <c r="D195" s="44">
        <v>22.3</v>
      </c>
      <c r="E195" s="11" t="s">
        <v>51</v>
      </c>
      <c r="F195" s="10" t="s">
        <v>53</v>
      </c>
      <c r="G195" s="17" t="s">
        <v>343</v>
      </c>
      <c r="H195" s="18">
        <v>41542</v>
      </c>
      <c r="I195" s="44">
        <v>22.3</v>
      </c>
      <c r="J195" s="9"/>
    </row>
    <row r="196" spans="1:10" ht="18" customHeight="1">
      <c r="A196" s="33">
        <v>191</v>
      </c>
      <c r="B196" s="17" t="s">
        <v>344</v>
      </c>
      <c r="C196" s="18">
        <v>41542</v>
      </c>
      <c r="D196" s="44">
        <v>66.61</v>
      </c>
      <c r="E196" s="11" t="s">
        <v>51</v>
      </c>
      <c r="F196" s="10" t="s">
        <v>53</v>
      </c>
      <c r="G196" s="17" t="s">
        <v>344</v>
      </c>
      <c r="H196" s="18">
        <v>41542</v>
      </c>
      <c r="I196" s="44">
        <v>66.61</v>
      </c>
      <c r="J196" s="9"/>
    </row>
    <row r="197" spans="1:10" ht="18" customHeight="1">
      <c r="A197" s="33">
        <v>192</v>
      </c>
      <c r="B197" s="17" t="s">
        <v>345</v>
      </c>
      <c r="C197" s="18">
        <v>41547</v>
      </c>
      <c r="D197" s="44">
        <v>22.3</v>
      </c>
      <c r="E197" s="11" t="s">
        <v>51</v>
      </c>
      <c r="F197" s="10" t="s">
        <v>53</v>
      </c>
      <c r="G197" s="17" t="s">
        <v>345</v>
      </c>
      <c r="H197" s="18">
        <v>41547</v>
      </c>
      <c r="I197" s="44">
        <v>22.3</v>
      </c>
      <c r="J197" s="9"/>
    </row>
    <row r="198" spans="1:10" ht="18" customHeight="1">
      <c r="A198" s="33">
        <v>193</v>
      </c>
      <c r="B198" s="17" t="s">
        <v>346</v>
      </c>
      <c r="C198" s="18">
        <v>41547</v>
      </c>
      <c r="D198" s="44">
        <v>34.020000000000003</v>
      </c>
      <c r="E198" s="11" t="s">
        <v>51</v>
      </c>
      <c r="F198" s="10" t="s">
        <v>53</v>
      </c>
      <c r="G198" s="17" t="s">
        <v>346</v>
      </c>
      <c r="H198" s="18">
        <v>41547</v>
      </c>
      <c r="I198" s="44">
        <v>34.020000000000003</v>
      </c>
      <c r="J198" s="9"/>
    </row>
    <row r="199" spans="1:10" ht="18" customHeight="1">
      <c r="A199" s="33">
        <v>194</v>
      </c>
      <c r="B199" s="17" t="s">
        <v>347</v>
      </c>
      <c r="C199" s="18">
        <v>41547</v>
      </c>
      <c r="D199" s="44">
        <v>23.38</v>
      </c>
      <c r="E199" s="11" t="s">
        <v>51</v>
      </c>
      <c r="F199" s="10" t="s">
        <v>53</v>
      </c>
      <c r="G199" s="17" t="s">
        <v>347</v>
      </c>
      <c r="H199" s="18">
        <v>41547</v>
      </c>
      <c r="I199" s="44">
        <v>23.38</v>
      </c>
      <c r="J199" s="9"/>
    </row>
    <row r="200" spans="1:10" ht="18" customHeight="1">
      <c r="A200" s="33">
        <v>195</v>
      </c>
      <c r="B200" s="17" t="s">
        <v>348</v>
      </c>
      <c r="C200" s="18">
        <v>41547</v>
      </c>
      <c r="D200" s="44">
        <v>23.87</v>
      </c>
      <c r="E200" s="11" t="s">
        <v>51</v>
      </c>
      <c r="F200" s="10" t="s">
        <v>53</v>
      </c>
      <c r="G200" s="17" t="s">
        <v>348</v>
      </c>
      <c r="H200" s="18">
        <v>41547</v>
      </c>
      <c r="I200" s="44">
        <v>23.87</v>
      </c>
      <c r="J200" s="9"/>
    </row>
    <row r="201" spans="1:10" ht="18" customHeight="1">
      <c r="A201" s="33">
        <v>196</v>
      </c>
      <c r="B201" s="17" t="s">
        <v>351</v>
      </c>
      <c r="C201" s="18">
        <v>41555</v>
      </c>
      <c r="D201" s="44">
        <v>26.6</v>
      </c>
      <c r="E201" s="11" t="s">
        <v>51</v>
      </c>
      <c r="F201" s="10" t="s">
        <v>53</v>
      </c>
      <c r="G201" s="17" t="s">
        <v>351</v>
      </c>
      <c r="H201" s="18">
        <v>41555</v>
      </c>
      <c r="I201" s="44">
        <v>26.6</v>
      </c>
      <c r="J201" s="9"/>
    </row>
    <row r="202" spans="1:10" ht="18" customHeight="1">
      <c r="A202" s="33">
        <v>197</v>
      </c>
      <c r="B202" s="17" t="s">
        <v>352</v>
      </c>
      <c r="C202" s="18">
        <v>41555</v>
      </c>
      <c r="D202" s="44">
        <v>22.1</v>
      </c>
      <c r="E202" s="11" t="s">
        <v>51</v>
      </c>
      <c r="F202" s="10" t="s">
        <v>53</v>
      </c>
      <c r="G202" s="17" t="s">
        <v>352</v>
      </c>
      <c r="H202" s="18">
        <v>41555</v>
      </c>
      <c r="I202" s="44">
        <v>22.1</v>
      </c>
      <c r="J202" s="9"/>
    </row>
    <row r="203" spans="1:10" ht="18" customHeight="1">
      <c r="A203" s="33">
        <v>198</v>
      </c>
      <c r="B203" s="17" t="s">
        <v>353</v>
      </c>
      <c r="C203" s="18">
        <v>41555</v>
      </c>
      <c r="D203" s="44">
        <v>23.74</v>
      </c>
      <c r="E203" s="11" t="s">
        <v>51</v>
      </c>
      <c r="F203" s="10" t="s">
        <v>53</v>
      </c>
      <c r="G203" s="17" t="s">
        <v>353</v>
      </c>
      <c r="H203" s="18">
        <v>41555</v>
      </c>
      <c r="I203" s="44">
        <v>23.74</v>
      </c>
      <c r="J203" s="9"/>
    </row>
    <row r="204" spans="1:10" ht="18" customHeight="1">
      <c r="A204" s="33">
        <v>199</v>
      </c>
      <c r="B204" s="17" t="s">
        <v>354</v>
      </c>
      <c r="C204" s="18">
        <v>41555</v>
      </c>
      <c r="D204" s="44">
        <v>27.52</v>
      </c>
      <c r="E204" s="11" t="s">
        <v>51</v>
      </c>
      <c r="F204" s="10" t="s">
        <v>53</v>
      </c>
      <c r="G204" s="17" t="s">
        <v>354</v>
      </c>
      <c r="H204" s="18">
        <v>41555</v>
      </c>
      <c r="I204" s="44">
        <v>27.52</v>
      </c>
      <c r="J204" s="9"/>
    </row>
    <row r="205" spans="1:10" ht="18" customHeight="1">
      <c r="A205" s="33">
        <v>200</v>
      </c>
      <c r="B205" s="17" t="s">
        <v>355</v>
      </c>
      <c r="C205" s="18">
        <v>41555</v>
      </c>
      <c r="D205" s="44">
        <v>43.05</v>
      </c>
      <c r="E205" s="11" t="s">
        <v>51</v>
      </c>
      <c r="F205" s="10" t="s">
        <v>53</v>
      </c>
      <c r="G205" s="17" t="s">
        <v>355</v>
      </c>
      <c r="H205" s="18">
        <v>41555</v>
      </c>
      <c r="I205" s="44">
        <v>43.05</v>
      </c>
      <c r="J205" s="9"/>
    </row>
    <row r="206" spans="1:10" ht="18" customHeight="1">
      <c r="A206" s="33">
        <v>201</v>
      </c>
      <c r="B206" s="17" t="s">
        <v>356</v>
      </c>
      <c r="C206" s="18">
        <v>41555</v>
      </c>
      <c r="D206" s="44">
        <v>57.65</v>
      </c>
      <c r="E206" s="11" t="s">
        <v>51</v>
      </c>
      <c r="F206" s="10" t="s">
        <v>53</v>
      </c>
      <c r="G206" s="17" t="s">
        <v>356</v>
      </c>
      <c r="H206" s="18">
        <v>41555</v>
      </c>
      <c r="I206" s="44">
        <v>57.65</v>
      </c>
      <c r="J206" s="9"/>
    </row>
    <row r="207" spans="1:10" ht="18" customHeight="1">
      <c r="A207" s="33">
        <v>202</v>
      </c>
      <c r="B207" s="17" t="s">
        <v>357</v>
      </c>
      <c r="C207" s="18">
        <v>41556</v>
      </c>
      <c r="D207" s="44">
        <v>35.94</v>
      </c>
      <c r="E207" s="11" t="s">
        <v>51</v>
      </c>
      <c r="F207" s="10" t="s">
        <v>53</v>
      </c>
      <c r="G207" s="17" t="s">
        <v>357</v>
      </c>
      <c r="H207" s="18">
        <v>41556</v>
      </c>
      <c r="I207" s="44">
        <v>35.94</v>
      </c>
      <c r="J207" s="9"/>
    </row>
    <row r="208" spans="1:10" ht="18" customHeight="1">
      <c r="A208" s="33">
        <v>203</v>
      </c>
      <c r="B208" s="17" t="s">
        <v>360</v>
      </c>
      <c r="C208" s="18">
        <v>41558</v>
      </c>
      <c r="D208" s="44">
        <v>69.25</v>
      </c>
      <c r="E208" s="11" t="s">
        <v>51</v>
      </c>
      <c r="F208" s="10" t="s">
        <v>53</v>
      </c>
      <c r="G208" s="17" t="s">
        <v>360</v>
      </c>
      <c r="H208" s="18">
        <v>41558</v>
      </c>
      <c r="I208" s="44">
        <v>69.25</v>
      </c>
      <c r="J208" s="9"/>
    </row>
    <row r="209" spans="1:10" ht="18" customHeight="1">
      <c r="A209" s="33">
        <v>204</v>
      </c>
      <c r="B209" s="17" t="s">
        <v>361</v>
      </c>
      <c r="C209" s="18">
        <v>41558</v>
      </c>
      <c r="D209" s="44">
        <v>26.81</v>
      </c>
      <c r="E209" s="11" t="s">
        <v>51</v>
      </c>
      <c r="F209" s="10" t="s">
        <v>53</v>
      </c>
      <c r="G209" s="17" t="s">
        <v>361</v>
      </c>
      <c r="H209" s="18">
        <v>41558</v>
      </c>
      <c r="I209" s="44">
        <v>26.81</v>
      </c>
      <c r="J209" s="9"/>
    </row>
    <row r="210" spans="1:10" ht="18" customHeight="1">
      <c r="A210" s="33">
        <v>205</v>
      </c>
      <c r="B210" s="17" t="s">
        <v>362</v>
      </c>
      <c r="C210" s="18">
        <v>41558</v>
      </c>
      <c r="D210" s="44">
        <v>55.79</v>
      </c>
      <c r="E210" s="11" t="s">
        <v>51</v>
      </c>
      <c r="F210" s="10" t="s">
        <v>53</v>
      </c>
      <c r="G210" s="17" t="s">
        <v>362</v>
      </c>
      <c r="H210" s="18">
        <v>41558</v>
      </c>
      <c r="I210" s="44">
        <v>55.79</v>
      </c>
      <c r="J210" s="9"/>
    </row>
    <row r="211" spans="1:10" ht="18" customHeight="1">
      <c r="A211" s="33">
        <v>206</v>
      </c>
      <c r="B211" s="17" t="s">
        <v>363</v>
      </c>
      <c r="C211" s="18">
        <v>41563</v>
      </c>
      <c r="D211" s="44">
        <v>30.39</v>
      </c>
      <c r="E211" s="11" t="s">
        <v>51</v>
      </c>
      <c r="F211" s="10" t="s">
        <v>53</v>
      </c>
      <c r="G211" s="17" t="s">
        <v>363</v>
      </c>
      <c r="H211" s="18">
        <v>41563</v>
      </c>
      <c r="I211" s="44">
        <v>30.39</v>
      </c>
      <c r="J211" s="9"/>
    </row>
    <row r="212" spans="1:10" ht="18" customHeight="1">
      <c r="A212" s="33">
        <v>207</v>
      </c>
      <c r="B212" s="17" t="s">
        <v>364</v>
      </c>
      <c r="C212" s="18">
        <v>41568</v>
      </c>
      <c r="D212" s="44">
        <v>25.7</v>
      </c>
      <c r="E212" s="11" t="s">
        <v>51</v>
      </c>
      <c r="F212" s="10" t="s">
        <v>53</v>
      </c>
      <c r="G212" s="17" t="s">
        <v>364</v>
      </c>
      <c r="H212" s="18">
        <v>41568</v>
      </c>
      <c r="I212" s="44">
        <v>25.7</v>
      </c>
      <c r="J212" s="9"/>
    </row>
    <row r="213" spans="1:10" ht="18" customHeight="1">
      <c r="A213" s="33">
        <v>208</v>
      </c>
      <c r="B213" s="17" t="s">
        <v>365</v>
      </c>
      <c r="C213" s="18">
        <v>41568</v>
      </c>
      <c r="D213" s="44">
        <v>25.14</v>
      </c>
      <c r="E213" s="11" t="s">
        <v>51</v>
      </c>
      <c r="F213" s="10" t="s">
        <v>53</v>
      </c>
      <c r="G213" s="17" t="s">
        <v>365</v>
      </c>
      <c r="H213" s="18">
        <v>41568</v>
      </c>
      <c r="I213" s="44">
        <v>25.14</v>
      </c>
      <c r="J213" s="9"/>
    </row>
    <row r="214" spans="1:10" ht="18" customHeight="1">
      <c r="A214" s="33">
        <v>209</v>
      </c>
      <c r="B214" s="17" t="s">
        <v>366</v>
      </c>
      <c r="C214" s="18">
        <v>41568</v>
      </c>
      <c r="D214" s="44">
        <v>39.39</v>
      </c>
      <c r="E214" s="11" t="s">
        <v>51</v>
      </c>
      <c r="F214" s="10" t="s">
        <v>53</v>
      </c>
      <c r="G214" s="17" t="s">
        <v>366</v>
      </c>
      <c r="H214" s="18">
        <v>41568</v>
      </c>
      <c r="I214" s="44">
        <v>39.39</v>
      </c>
      <c r="J214" s="9"/>
    </row>
    <row r="215" spans="1:10" ht="18" customHeight="1">
      <c r="A215" s="33">
        <v>210</v>
      </c>
      <c r="B215" s="17" t="s">
        <v>369</v>
      </c>
      <c r="C215" s="18">
        <v>41569</v>
      </c>
      <c r="D215" s="44">
        <v>30.9</v>
      </c>
      <c r="E215" s="11" t="s">
        <v>51</v>
      </c>
      <c r="F215" s="10" t="s">
        <v>53</v>
      </c>
      <c r="G215" s="17" t="s">
        <v>369</v>
      </c>
      <c r="H215" s="18">
        <v>41569</v>
      </c>
      <c r="I215" s="44">
        <v>30.9</v>
      </c>
      <c r="J215" s="9"/>
    </row>
    <row r="216" spans="1:10" ht="18" customHeight="1">
      <c r="A216" s="33">
        <v>211</v>
      </c>
      <c r="B216" s="17" t="s">
        <v>370</v>
      </c>
      <c r="C216" s="18">
        <v>41575</v>
      </c>
      <c r="D216" s="44">
        <v>26.81</v>
      </c>
      <c r="E216" s="11" t="s">
        <v>51</v>
      </c>
      <c r="F216" s="10" t="s">
        <v>53</v>
      </c>
      <c r="G216" s="17" t="s">
        <v>370</v>
      </c>
      <c r="H216" s="18">
        <v>41575</v>
      </c>
      <c r="I216" s="44">
        <v>26.81</v>
      </c>
      <c r="J216" s="9"/>
    </row>
    <row r="217" spans="1:10" ht="18" customHeight="1">
      <c r="A217" s="33">
        <v>212</v>
      </c>
      <c r="B217" s="17" t="s">
        <v>371</v>
      </c>
      <c r="C217" s="18">
        <v>41575</v>
      </c>
      <c r="D217" s="44">
        <v>26.76</v>
      </c>
      <c r="E217" s="11" t="s">
        <v>51</v>
      </c>
      <c r="F217" s="10" t="s">
        <v>53</v>
      </c>
      <c r="G217" s="17" t="s">
        <v>371</v>
      </c>
      <c r="H217" s="18">
        <v>41575</v>
      </c>
      <c r="I217" s="44">
        <v>26.76</v>
      </c>
      <c r="J217" s="9"/>
    </row>
    <row r="218" spans="1:10" ht="18" customHeight="1">
      <c r="A218" s="33">
        <v>213</v>
      </c>
      <c r="B218" s="17" t="s">
        <v>372</v>
      </c>
      <c r="C218" s="18">
        <v>41575</v>
      </c>
      <c r="D218" s="44">
        <v>36.049999999999997</v>
      </c>
      <c r="E218" s="11" t="s">
        <v>51</v>
      </c>
      <c r="F218" s="10" t="s">
        <v>53</v>
      </c>
      <c r="G218" s="17" t="s">
        <v>372</v>
      </c>
      <c r="H218" s="18">
        <v>41575</v>
      </c>
      <c r="I218" s="44">
        <v>36.049999999999997</v>
      </c>
      <c r="J218" s="9"/>
    </row>
    <row r="219" spans="1:10" ht="18" customHeight="1">
      <c r="A219" s="33">
        <v>214</v>
      </c>
      <c r="B219" s="17" t="s">
        <v>373</v>
      </c>
      <c r="C219" s="18">
        <v>41575</v>
      </c>
      <c r="D219" s="44">
        <v>31.7</v>
      </c>
      <c r="E219" s="11" t="s">
        <v>51</v>
      </c>
      <c r="F219" s="10" t="s">
        <v>53</v>
      </c>
      <c r="G219" s="17" t="s">
        <v>373</v>
      </c>
      <c r="H219" s="18">
        <v>41575</v>
      </c>
      <c r="I219" s="44">
        <v>31.7</v>
      </c>
      <c r="J219" s="9"/>
    </row>
    <row r="220" spans="1:10" ht="18" customHeight="1">
      <c r="A220" s="33">
        <v>215</v>
      </c>
      <c r="B220" s="17" t="s">
        <v>374</v>
      </c>
      <c r="C220" s="18">
        <v>41575</v>
      </c>
      <c r="D220" s="44">
        <v>52.45</v>
      </c>
      <c r="E220" s="11" t="s">
        <v>51</v>
      </c>
      <c r="F220" s="10" t="s">
        <v>53</v>
      </c>
      <c r="G220" s="17" t="s">
        <v>374</v>
      </c>
      <c r="H220" s="18">
        <v>41575</v>
      </c>
      <c r="I220" s="44">
        <v>52.45</v>
      </c>
      <c r="J220" s="9"/>
    </row>
    <row r="221" spans="1:10" ht="18" customHeight="1">
      <c r="A221" s="33">
        <v>216</v>
      </c>
      <c r="B221" s="17" t="s">
        <v>379</v>
      </c>
      <c r="C221" s="18">
        <v>41582</v>
      </c>
      <c r="D221" s="44">
        <v>22.1</v>
      </c>
      <c r="E221" s="11" t="s">
        <v>51</v>
      </c>
      <c r="F221" s="10" t="s">
        <v>53</v>
      </c>
      <c r="G221" s="17" t="s">
        <v>379</v>
      </c>
      <c r="H221" s="18">
        <v>41582</v>
      </c>
      <c r="I221" s="44">
        <v>22.1</v>
      </c>
      <c r="J221" s="9"/>
    </row>
    <row r="222" spans="1:10" ht="18" customHeight="1">
      <c r="A222" s="33">
        <v>217</v>
      </c>
      <c r="B222" s="17" t="s">
        <v>380</v>
      </c>
      <c r="C222" s="18">
        <v>41583</v>
      </c>
      <c r="D222" s="44">
        <v>29.5</v>
      </c>
      <c r="E222" s="11" t="s">
        <v>51</v>
      </c>
      <c r="F222" s="10" t="s">
        <v>53</v>
      </c>
      <c r="G222" s="17" t="s">
        <v>380</v>
      </c>
      <c r="H222" s="18">
        <v>41583</v>
      </c>
      <c r="I222" s="44">
        <v>29.5</v>
      </c>
      <c r="J222" s="9"/>
    </row>
    <row r="223" spans="1:10" ht="18" customHeight="1">
      <c r="A223" s="33">
        <v>218</v>
      </c>
      <c r="B223" s="17" t="s">
        <v>381</v>
      </c>
      <c r="C223" s="18">
        <v>41583</v>
      </c>
      <c r="D223" s="44">
        <v>5</v>
      </c>
      <c r="E223" s="11" t="s">
        <v>51</v>
      </c>
      <c r="F223" s="10" t="s">
        <v>53</v>
      </c>
      <c r="G223" s="17" t="s">
        <v>381</v>
      </c>
      <c r="H223" s="18">
        <v>41583</v>
      </c>
      <c r="I223" s="44">
        <v>5</v>
      </c>
      <c r="J223" s="9"/>
    </row>
    <row r="224" spans="1:10" ht="18" customHeight="1">
      <c r="A224" s="33">
        <v>219</v>
      </c>
      <c r="B224" s="17" t="s">
        <v>382</v>
      </c>
      <c r="C224" s="18">
        <v>41583</v>
      </c>
      <c r="D224" s="44">
        <v>117.01</v>
      </c>
      <c r="E224" s="11" t="s">
        <v>51</v>
      </c>
      <c r="F224" s="10" t="s">
        <v>53</v>
      </c>
      <c r="G224" s="17" t="s">
        <v>382</v>
      </c>
      <c r="H224" s="18">
        <v>41583</v>
      </c>
      <c r="I224" s="44">
        <v>117.01</v>
      </c>
      <c r="J224" s="9"/>
    </row>
    <row r="225" spans="1:10" ht="18" customHeight="1">
      <c r="A225" s="33">
        <v>220</v>
      </c>
      <c r="B225" s="17" t="s">
        <v>383</v>
      </c>
      <c r="C225" s="18">
        <v>41589</v>
      </c>
      <c r="D225" s="44">
        <v>28.02</v>
      </c>
      <c r="E225" s="11" t="s">
        <v>51</v>
      </c>
      <c r="F225" s="10" t="s">
        <v>53</v>
      </c>
      <c r="G225" s="17" t="s">
        <v>383</v>
      </c>
      <c r="H225" s="18">
        <v>41589</v>
      </c>
      <c r="I225" s="44">
        <v>28.02</v>
      </c>
      <c r="J225" s="9"/>
    </row>
    <row r="226" spans="1:10" ht="18" customHeight="1">
      <c r="A226" s="33">
        <v>221</v>
      </c>
      <c r="B226" s="17" t="s">
        <v>384</v>
      </c>
      <c r="C226" s="18">
        <v>41589</v>
      </c>
      <c r="D226" s="44">
        <v>24.8</v>
      </c>
      <c r="E226" s="11" t="s">
        <v>51</v>
      </c>
      <c r="F226" s="10" t="s">
        <v>53</v>
      </c>
      <c r="G226" s="17" t="s">
        <v>384</v>
      </c>
      <c r="H226" s="18">
        <v>41589</v>
      </c>
      <c r="I226" s="44">
        <v>24.8</v>
      </c>
      <c r="J226" s="9"/>
    </row>
    <row r="227" spans="1:10" ht="18" customHeight="1">
      <c r="A227" s="33">
        <v>222</v>
      </c>
      <c r="B227" s="17" t="s">
        <v>385</v>
      </c>
      <c r="C227" s="18">
        <v>41593</v>
      </c>
      <c r="D227" s="44">
        <v>27.56</v>
      </c>
      <c r="E227" s="11" t="s">
        <v>51</v>
      </c>
      <c r="F227" s="10" t="s">
        <v>53</v>
      </c>
      <c r="G227" s="17" t="s">
        <v>385</v>
      </c>
      <c r="H227" s="18">
        <v>41593</v>
      </c>
      <c r="I227" s="44">
        <v>27.56</v>
      </c>
      <c r="J227" s="9"/>
    </row>
    <row r="228" spans="1:10" ht="18" customHeight="1">
      <c r="A228" s="33">
        <v>223</v>
      </c>
      <c r="B228" s="17" t="s">
        <v>390</v>
      </c>
      <c r="C228" s="18">
        <v>41610</v>
      </c>
      <c r="D228" s="44">
        <v>30.96</v>
      </c>
      <c r="E228" s="11" t="s">
        <v>51</v>
      </c>
      <c r="F228" s="10" t="s">
        <v>53</v>
      </c>
      <c r="G228" s="17" t="s">
        <v>390</v>
      </c>
      <c r="H228" s="18">
        <v>41610</v>
      </c>
      <c r="I228" s="44">
        <v>30.96</v>
      </c>
      <c r="J228" s="9"/>
    </row>
    <row r="229" spans="1:10" ht="18" customHeight="1">
      <c r="A229" s="33">
        <v>224</v>
      </c>
      <c r="B229" s="17" t="s">
        <v>391</v>
      </c>
      <c r="C229" s="18">
        <v>41611</v>
      </c>
      <c r="D229" s="44">
        <v>59.29</v>
      </c>
      <c r="E229" s="11" t="s">
        <v>51</v>
      </c>
      <c r="F229" s="10" t="s">
        <v>53</v>
      </c>
      <c r="G229" s="17" t="s">
        <v>391</v>
      </c>
      <c r="H229" s="18">
        <v>41611</v>
      </c>
      <c r="I229" s="44">
        <v>59.29</v>
      </c>
      <c r="J229" s="9"/>
    </row>
    <row r="230" spans="1:10" ht="18" customHeight="1">
      <c r="A230" s="33">
        <v>225</v>
      </c>
      <c r="B230" s="17" t="s">
        <v>394</v>
      </c>
      <c r="C230" s="18">
        <v>41618</v>
      </c>
      <c r="D230" s="44">
        <v>22.52</v>
      </c>
      <c r="E230" s="11" t="s">
        <v>51</v>
      </c>
      <c r="F230" s="10" t="s">
        <v>53</v>
      </c>
      <c r="G230" s="17" t="s">
        <v>394</v>
      </c>
      <c r="H230" s="18">
        <v>41618</v>
      </c>
      <c r="I230" s="44">
        <v>22.52</v>
      </c>
      <c r="J230" s="9"/>
    </row>
    <row r="231" spans="1:10" ht="18" customHeight="1">
      <c r="A231" s="33">
        <v>226</v>
      </c>
      <c r="B231" s="17" t="s">
        <v>395</v>
      </c>
      <c r="C231" s="18">
        <v>41619</v>
      </c>
      <c r="D231" s="44">
        <v>149.28</v>
      </c>
      <c r="E231" s="11" t="s">
        <v>51</v>
      </c>
      <c r="F231" s="10" t="s">
        <v>53</v>
      </c>
      <c r="G231" s="17" t="s">
        <v>395</v>
      </c>
      <c r="H231" s="18">
        <v>41619</v>
      </c>
      <c r="I231" s="44">
        <v>149.28</v>
      </c>
      <c r="J231" s="9"/>
    </row>
    <row r="232" spans="1:10" ht="18" customHeight="1">
      <c r="A232" s="33">
        <v>227</v>
      </c>
      <c r="B232" s="17" t="s">
        <v>396</v>
      </c>
      <c r="C232" s="18">
        <v>41619</v>
      </c>
      <c r="D232" s="44">
        <v>75.19</v>
      </c>
      <c r="E232" s="11" t="s">
        <v>51</v>
      </c>
      <c r="F232" s="10" t="s">
        <v>53</v>
      </c>
      <c r="G232" s="17" t="s">
        <v>396</v>
      </c>
      <c r="H232" s="18">
        <v>41619</v>
      </c>
      <c r="I232" s="44">
        <v>75.19</v>
      </c>
      <c r="J232" s="9"/>
    </row>
    <row r="233" spans="1:10" ht="18" customHeight="1">
      <c r="A233" s="33">
        <v>228</v>
      </c>
      <c r="B233" s="17" t="s">
        <v>397</v>
      </c>
      <c r="C233" s="18">
        <v>41619</v>
      </c>
      <c r="D233" s="44">
        <v>23.89</v>
      </c>
      <c r="E233" s="11" t="s">
        <v>51</v>
      </c>
      <c r="F233" s="10" t="s">
        <v>53</v>
      </c>
      <c r="G233" s="17" t="s">
        <v>397</v>
      </c>
      <c r="H233" s="18">
        <v>41619</v>
      </c>
      <c r="I233" s="44">
        <v>23.89</v>
      </c>
      <c r="J233" s="9"/>
    </row>
    <row r="234" spans="1:10" ht="18" customHeight="1">
      <c r="A234" s="33">
        <v>229</v>
      </c>
      <c r="B234" s="17" t="s">
        <v>398</v>
      </c>
      <c r="C234" s="18">
        <v>41619</v>
      </c>
      <c r="D234" s="44">
        <v>60.08</v>
      </c>
      <c r="E234" s="11" t="s">
        <v>51</v>
      </c>
      <c r="F234" s="10" t="s">
        <v>53</v>
      </c>
      <c r="G234" s="17" t="s">
        <v>398</v>
      </c>
      <c r="H234" s="18">
        <v>41619</v>
      </c>
      <c r="I234" s="44">
        <v>60.08</v>
      </c>
      <c r="J234" s="9"/>
    </row>
    <row r="235" spans="1:10" ht="18" customHeight="1">
      <c r="A235" s="33">
        <v>230</v>
      </c>
      <c r="B235" s="17" t="s">
        <v>399</v>
      </c>
      <c r="C235" s="18">
        <v>41619</v>
      </c>
      <c r="D235" s="44">
        <v>31.16</v>
      </c>
      <c r="E235" s="11" t="s">
        <v>51</v>
      </c>
      <c r="F235" s="10" t="s">
        <v>53</v>
      </c>
      <c r="G235" s="17" t="s">
        <v>399</v>
      </c>
      <c r="H235" s="18">
        <v>41619</v>
      </c>
      <c r="I235" s="44">
        <v>31.16</v>
      </c>
      <c r="J235" s="9"/>
    </row>
    <row r="236" spans="1:10" ht="18" customHeight="1">
      <c r="A236" s="33">
        <v>231</v>
      </c>
      <c r="B236" s="17" t="s">
        <v>402</v>
      </c>
      <c r="C236" s="18">
        <v>41624</v>
      </c>
      <c r="D236" s="44">
        <v>45.38</v>
      </c>
      <c r="E236" s="11" t="s">
        <v>51</v>
      </c>
      <c r="F236" s="10" t="s">
        <v>53</v>
      </c>
      <c r="G236" s="17" t="s">
        <v>402</v>
      </c>
      <c r="H236" s="18">
        <v>41624</v>
      </c>
      <c r="I236" s="44">
        <v>45.38</v>
      </c>
      <c r="J236" s="9"/>
    </row>
    <row r="237" spans="1:10" ht="18" customHeight="1">
      <c r="A237" s="33">
        <v>232</v>
      </c>
      <c r="B237" s="17" t="s">
        <v>403</v>
      </c>
      <c r="C237" s="18">
        <v>41625</v>
      </c>
      <c r="D237" s="44">
        <v>22.3</v>
      </c>
      <c r="E237" s="11" t="s">
        <v>51</v>
      </c>
      <c r="F237" s="10" t="s">
        <v>53</v>
      </c>
      <c r="G237" s="17" t="s">
        <v>403</v>
      </c>
      <c r="H237" s="18">
        <v>41625</v>
      </c>
      <c r="I237" s="44">
        <v>22.3</v>
      </c>
      <c r="J237" s="9"/>
    </row>
    <row r="238" spans="1:10" ht="18" customHeight="1">
      <c r="A238" s="33">
        <v>233</v>
      </c>
      <c r="B238" s="17" t="s">
        <v>404</v>
      </c>
      <c r="C238" s="18">
        <v>41625</v>
      </c>
      <c r="D238" s="44">
        <v>22.3</v>
      </c>
      <c r="E238" s="11" t="s">
        <v>51</v>
      </c>
      <c r="F238" s="10" t="s">
        <v>53</v>
      </c>
      <c r="G238" s="17" t="s">
        <v>404</v>
      </c>
      <c r="H238" s="18">
        <v>41625</v>
      </c>
      <c r="I238" s="44">
        <v>22.3</v>
      </c>
      <c r="J238" s="9"/>
    </row>
    <row r="239" spans="1:10" ht="18" customHeight="1">
      <c r="A239" s="33">
        <v>234</v>
      </c>
      <c r="B239" s="17" t="s">
        <v>405</v>
      </c>
      <c r="C239" s="18">
        <v>41625</v>
      </c>
      <c r="D239" s="44">
        <v>26.79</v>
      </c>
      <c r="E239" s="11" t="s">
        <v>51</v>
      </c>
      <c r="F239" s="10" t="s">
        <v>53</v>
      </c>
      <c r="G239" s="17" t="s">
        <v>405</v>
      </c>
      <c r="H239" s="18">
        <v>41625</v>
      </c>
      <c r="I239" s="44">
        <v>26.79</v>
      </c>
      <c r="J239" s="9"/>
    </row>
    <row r="240" spans="1:10" ht="18" customHeight="1">
      <c r="A240" s="33">
        <v>235</v>
      </c>
      <c r="B240" s="17" t="s">
        <v>406</v>
      </c>
      <c r="C240" s="18">
        <v>41631</v>
      </c>
      <c r="D240" s="44">
        <v>39.28</v>
      </c>
      <c r="E240" s="11" t="s">
        <v>51</v>
      </c>
      <c r="F240" s="10" t="s">
        <v>53</v>
      </c>
      <c r="G240" s="17" t="s">
        <v>406</v>
      </c>
      <c r="H240" s="18">
        <v>41631</v>
      </c>
      <c r="I240" s="44">
        <v>39.28</v>
      </c>
      <c r="J240" s="9"/>
    </row>
    <row r="241" spans="1:10" ht="18" customHeight="1">
      <c r="A241" s="33">
        <v>236</v>
      </c>
      <c r="B241" s="17" t="s">
        <v>407</v>
      </c>
      <c r="C241" s="18">
        <v>41631</v>
      </c>
      <c r="D241" s="44">
        <v>25.73</v>
      </c>
      <c r="E241" s="11" t="s">
        <v>51</v>
      </c>
      <c r="F241" s="10" t="s">
        <v>53</v>
      </c>
      <c r="G241" s="17" t="s">
        <v>407</v>
      </c>
      <c r="H241" s="18">
        <v>41631</v>
      </c>
      <c r="I241" s="44">
        <v>25.73</v>
      </c>
      <c r="J241" s="9"/>
    </row>
    <row r="242" spans="1:10" ht="18" customHeight="1">
      <c r="A242" s="33">
        <v>237</v>
      </c>
      <c r="B242" s="17" t="s">
        <v>409</v>
      </c>
      <c r="C242" s="18">
        <v>41638</v>
      </c>
      <c r="D242" s="44">
        <v>28.56</v>
      </c>
      <c r="E242" s="11" t="s">
        <v>51</v>
      </c>
      <c r="F242" s="10" t="s">
        <v>53</v>
      </c>
      <c r="G242" s="17" t="s">
        <v>409</v>
      </c>
      <c r="H242" s="18">
        <v>41638</v>
      </c>
      <c r="I242" s="44">
        <v>28.56</v>
      </c>
      <c r="J242" s="9"/>
    </row>
    <row r="243" spans="1:10" ht="18" customHeight="1">
      <c r="A243" s="33">
        <v>238</v>
      </c>
      <c r="B243" s="17" t="s">
        <v>409</v>
      </c>
      <c r="C243" s="18">
        <v>41638</v>
      </c>
      <c r="D243" s="44">
        <v>28.56</v>
      </c>
      <c r="E243" s="11" t="s">
        <v>51</v>
      </c>
      <c r="F243" s="10" t="s">
        <v>53</v>
      </c>
      <c r="G243" s="17" t="s">
        <v>409</v>
      </c>
      <c r="H243" s="18">
        <v>41638</v>
      </c>
      <c r="I243" s="44">
        <v>28.56</v>
      </c>
      <c r="J243" s="9"/>
    </row>
    <row r="244" spans="1:10" ht="18" customHeight="1">
      <c r="A244" s="33">
        <v>239</v>
      </c>
      <c r="B244" s="17" t="s">
        <v>410</v>
      </c>
      <c r="C244" s="18">
        <v>41639</v>
      </c>
      <c r="D244" s="44">
        <v>22.3</v>
      </c>
      <c r="E244" s="11" t="s">
        <v>51</v>
      </c>
      <c r="F244" s="10" t="s">
        <v>53</v>
      </c>
      <c r="G244" s="17" t="s">
        <v>410</v>
      </c>
      <c r="H244" s="18">
        <v>41639</v>
      </c>
      <c r="I244" s="44">
        <v>22.3</v>
      </c>
      <c r="J244" s="9"/>
    </row>
    <row r="245" spans="1:10" ht="18" customHeight="1">
      <c r="A245" s="33">
        <v>240</v>
      </c>
      <c r="B245" s="17" t="s">
        <v>411</v>
      </c>
      <c r="C245" s="18">
        <v>41639</v>
      </c>
      <c r="D245" s="44">
        <v>50.47</v>
      </c>
      <c r="E245" s="11" t="s">
        <v>51</v>
      </c>
      <c r="F245" s="10" t="s">
        <v>53</v>
      </c>
      <c r="G245" s="17" t="s">
        <v>411</v>
      </c>
      <c r="H245" s="18">
        <v>41639</v>
      </c>
      <c r="I245" s="44">
        <v>50.47</v>
      </c>
      <c r="J245" s="9"/>
    </row>
    <row r="246" spans="1:10" ht="18" customHeight="1">
      <c r="A246" s="33">
        <v>241</v>
      </c>
      <c r="B246" s="17" t="s">
        <v>412</v>
      </c>
      <c r="C246" s="18">
        <v>41639</v>
      </c>
      <c r="D246" s="44">
        <v>5</v>
      </c>
      <c r="E246" s="11" t="s">
        <v>51</v>
      </c>
      <c r="F246" s="10" t="s">
        <v>53</v>
      </c>
      <c r="G246" s="17" t="s">
        <v>412</v>
      </c>
      <c r="H246" s="18">
        <v>41639</v>
      </c>
      <c r="I246" s="44">
        <v>5</v>
      </c>
      <c r="J246" s="9"/>
    </row>
    <row r="247" spans="1:10" ht="18" customHeight="1">
      <c r="A247" s="33">
        <v>242</v>
      </c>
      <c r="B247" s="17" t="s">
        <v>410</v>
      </c>
      <c r="C247" s="18">
        <v>41639</v>
      </c>
      <c r="D247" s="44">
        <v>22.3</v>
      </c>
      <c r="E247" s="11" t="s">
        <v>51</v>
      </c>
      <c r="F247" s="10" t="s">
        <v>53</v>
      </c>
      <c r="G247" s="17" t="s">
        <v>410</v>
      </c>
      <c r="H247" s="18">
        <v>41639</v>
      </c>
      <c r="I247" s="44">
        <v>22.3</v>
      </c>
      <c r="J247" s="9"/>
    </row>
    <row r="248" spans="1:10" ht="18" customHeight="1">
      <c r="A248" s="33">
        <v>243</v>
      </c>
      <c r="B248" s="17" t="s">
        <v>411</v>
      </c>
      <c r="C248" s="18">
        <v>41639</v>
      </c>
      <c r="D248" s="44">
        <v>50.47</v>
      </c>
      <c r="E248" s="11" t="s">
        <v>51</v>
      </c>
      <c r="F248" s="10" t="s">
        <v>53</v>
      </c>
      <c r="G248" s="17" t="s">
        <v>411</v>
      </c>
      <c r="H248" s="18">
        <v>41639</v>
      </c>
      <c r="I248" s="44">
        <v>50.47</v>
      </c>
      <c r="J248" s="9"/>
    </row>
    <row r="249" spans="1:10" ht="18" customHeight="1">
      <c r="A249" s="33">
        <v>244</v>
      </c>
      <c r="B249" s="17" t="s">
        <v>412</v>
      </c>
      <c r="C249" s="18">
        <v>41639</v>
      </c>
      <c r="D249" s="44">
        <v>5</v>
      </c>
      <c r="E249" s="11" t="s">
        <v>51</v>
      </c>
      <c r="F249" s="10" t="s">
        <v>53</v>
      </c>
      <c r="G249" s="17" t="s">
        <v>412</v>
      </c>
      <c r="H249" s="18">
        <v>41639</v>
      </c>
      <c r="I249" s="44">
        <v>5</v>
      </c>
      <c r="J249" s="9"/>
    </row>
    <row r="250" spans="1:10" ht="18" customHeight="1">
      <c r="A250" s="33">
        <v>245</v>
      </c>
      <c r="B250" s="20" t="s">
        <v>416</v>
      </c>
      <c r="C250" s="21">
        <v>41646</v>
      </c>
      <c r="D250" s="43">
        <v>36.07</v>
      </c>
      <c r="E250" s="11" t="s">
        <v>51</v>
      </c>
      <c r="F250" s="10" t="s">
        <v>53</v>
      </c>
      <c r="G250" s="20" t="s">
        <v>416</v>
      </c>
      <c r="H250" s="21">
        <v>41646</v>
      </c>
      <c r="I250" s="43">
        <v>36.07</v>
      </c>
      <c r="J250" s="9"/>
    </row>
    <row r="251" spans="1:10" ht="18" customHeight="1">
      <c r="A251" s="33">
        <v>246</v>
      </c>
      <c r="B251" s="20" t="s">
        <v>417</v>
      </c>
      <c r="C251" s="21">
        <v>41646</v>
      </c>
      <c r="D251" s="43">
        <v>100.41</v>
      </c>
      <c r="E251" s="11" t="s">
        <v>51</v>
      </c>
      <c r="F251" s="10" t="s">
        <v>53</v>
      </c>
      <c r="G251" s="20" t="s">
        <v>417</v>
      </c>
      <c r="H251" s="21">
        <v>41646</v>
      </c>
      <c r="I251" s="43">
        <v>100.41</v>
      </c>
      <c r="J251" s="9"/>
    </row>
    <row r="252" spans="1:10" ht="18" customHeight="1">
      <c r="A252" s="33">
        <v>247</v>
      </c>
      <c r="B252" s="20" t="s">
        <v>421</v>
      </c>
      <c r="C252" s="21">
        <v>41653</v>
      </c>
      <c r="D252" s="43">
        <v>43.29</v>
      </c>
      <c r="E252" s="11" t="s">
        <v>51</v>
      </c>
      <c r="F252" s="10" t="s">
        <v>53</v>
      </c>
      <c r="G252" s="20" t="s">
        <v>421</v>
      </c>
      <c r="H252" s="21">
        <v>41653</v>
      </c>
      <c r="I252" s="43">
        <v>43.29</v>
      </c>
      <c r="J252" s="9"/>
    </row>
    <row r="253" spans="1:10" ht="18" customHeight="1">
      <c r="A253" s="33">
        <v>248</v>
      </c>
      <c r="B253" s="20" t="s">
        <v>422</v>
      </c>
      <c r="C253" s="21">
        <v>41653</v>
      </c>
      <c r="D253" s="43">
        <v>34.049999999999997</v>
      </c>
      <c r="E253" s="11" t="s">
        <v>51</v>
      </c>
      <c r="F253" s="10" t="s">
        <v>53</v>
      </c>
      <c r="G253" s="20" t="s">
        <v>422</v>
      </c>
      <c r="H253" s="21">
        <v>41653</v>
      </c>
      <c r="I253" s="43">
        <v>34.049999999999997</v>
      </c>
      <c r="J253" s="9"/>
    </row>
    <row r="254" spans="1:10" ht="18" customHeight="1">
      <c r="A254" s="33">
        <v>249</v>
      </c>
      <c r="B254" s="20" t="s">
        <v>423</v>
      </c>
      <c r="C254" s="21">
        <v>41653</v>
      </c>
      <c r="D254" s="43">
        <v>109.52</v>
      </c>
      <c r="E254" s="11" t="s">
        <v>51</v>
      </c>
      <c r="F254" s="10" t="s">
        <v>53</v>
      </c>
      <c r="G254" s="20" t="s">
        <v>423</v>
      </c>
      <c r="H254" s="21">
        <v>41653</v>
      </c>
      <c r="I254" s="43">
        <v>109.52</v>
      </c>
      <c r="J254" s="9"/>
    </row>
    <row r="255" spans="1:10" ht="18" customHeight="1">
      <c r="A255" s="33">
        <v>250</v>
      </c>
      <c r="B255" s="20" t="s">
        <v>424</v>
      </c>
      <c r="C255" s="21">
        <v>41653</v>
      </c>
      <c r="D255" s="43">
        <v>56.94</v>
      </c>
      <c r="E255" s="11" t="s">
        <v>51</v>
      </c>
      <c r="F255" s="10" t="s">
        <v>53</v>
      </c>
      <c r="G255" s="20" t="s">
        <v>424</v>
      </c>
      <c r="H255" s="21">
        <v>41653</v>
      </c>
      <c r="I255" s="43">
        <v>56.94</v>
      </c>
      <c r="J255" s="9"/>
    </row>
    <row r="256" spans="1:10" ht="18" customHeight="1">
      <c r="A256" s="33">
        <v>251</v>
      </c>
      <c r="B256" s="20" t="s">
        <v>425</v>
      </c>
      <c r="C256" s="21">
        <v>41654</v>
      </c>
      <c r="D256" s="43">
        <v>48</v>
      </c>
      <c r="E256" s="11" t="s">
        <v>51</v>
      </c>
      <c r="F256" s="10" t="s">
        <v>53</v>
      </c>
      <c r="G256" s="20" t="s">
        <v>425</v>
      </c>
      <c r="H256" s="21">
        <v>41654</v>
      </c>
      <c r="I256" s="43">
        <v>48</v>
      </c>
      <c r="J256" s="9"/>
    </row>
    <row r="257" spans="1:10" ht="18" customHeight="1">
      <c r="A257" s="33">
        <v>252</v>
      </c>
      <c r="B257" s="20" t="s">
        <v>426</v>
      </c>
      <c r="C257" s="21">
        <v>41654</v>
      </c>
      <c r="D257" s="43">
        <v>22.51</v>
      </c>
      <c r="E257" s="11" t="s">
        <v>51</v>
      </c>
      <c r="F257" s="10" t="s">
        <v>53</v>
      </c>
      <c r="G257" s="20" t="s">
        <v>426</v>
      </c>
      <c r="H257" s="21">
        <v>41654</v>
      </c>
      <c r="I257" s="43">
        <v>22.51</v>
      </c>
      <c r="J257" s="9"/>
    </row>
    <row r="258" spans="1:10" ht="18" customHeight="1">
      <c r="A258" s="33">
        <v>253</v>
      </c>
      <c r="B258" s="20" t="s">
        <v>428</v>
      </c>
      <c r="C258" s="21">
        <v>41660</v>
      </c>
      <c r="D258" s="43">
        <v>23.18</v>
      </c>
      <c r="E258" s="11" t="s">
        <v>51</v>
      </c>
      <c r="F258" s="10" t="s">
        <v>53</v>
      </c>
      <c r="G258" s="20" t="s">
        <v>428</v>
      </c>
      <c r="H258" s="21">
        <v>41660</v>
      </c>
      <c r="I258" s="43">
        <v>23.18</v>
      </c>
      <c r="J258" s="9"/>
    </row>
    <row r="259" spans="1:10" ht="18" customHeight="1">
      <c r="A259" s="33">
        <v>254</v>
      </c>
      <c r="B259" s="20" t="s">
        <v>429</v>
      </c>
      <c r="C259" s="21">
        <v>41660</v>
      </c>
      <c r="D259" s="43">
        <v>55.08</v>
      </c>
      <c r="E259" s="11" t="s">
        <v>51</v>
      </c>
      <c r="F259" s="10" t="s">
        <v>53</v>
      </c>
      <c r="G259" s="20" t="s">
        <v>429</v>
      </c>
      <c r="H259" s="21">
        <v>41660</v>
      </c>
      <c r="I259" s="43">
        <v>55.08</v>
      </c>
      <c r="J259" s="9"/>
    </row>
    <row r="260" spans="1:10" ht="18" customHeight="1">
      <c r="A260" s="33">
        <v>255</v>
      </c>
      <c r="B260" s="20" t="s">
        <v>430</v>
      </c>
      <c r="C260" s="21">
        <v>41660</v>
      </c>
      <c r="D260" s="43">
        <v>23.63</v>
      </c>
      <c r="E260" s="11" t="s">
        <v>51</v>
      </c>
      <c r="F260" s="10" t="s">
        <v>53</v>
      </c>
      <c r="G260" s="20" t="s">
        <v>430</v>
      </c>
      <c r="H260" s="21">
        <v>41660</v>
      </c>
      <c r="I260" s="43">
        <v>23.63</v>
      </c>
      <c r="J260" s="9"/>
    </row>
    <row r="261" spans="1:10" ht="18" customHeight="1">
      <c r="A261" s="33">
        <v>256</v>
      </c>
      <c r="B261" s="20" t="s">
        <v>431</v>
      </c>
      <c r="C261" s="21">
        <v>41660</v>
      </c>
      <c r="D261" s="43">
        <v>46.83</v>
      </c>
      <c r="E261" s="11" t="s">
        <v>51</v>
      </c>
      <c r="F261" s="10" t="s">
        <v>53</v>
      </c>
      <c r="G261" s="20" t="s">
        <v>431</v>
      </c>
      <c r="H261" s="21">
        <v>41660</v>
      </c>
      <c r="I261" s="43">
        <v>46.83</v>
      </c>
      <c r="J261" s="9"/>
    </row>
    <row r="262" spans="1:10" ht="18" customHeight="1">
      <c r="A262" s="33">
        <v>257</v>
      </c>
      <c r="B262" s="20" t="s">
        <v>432</v>
      </c>
      <c r="C262" s="21">
        <v>41660</v>
      </c>
      <c r="D262" s="43">
        <v>79.760000000000005</v>
      </c>
      <c r="E262" s="11" t="s">
        <v>51</v>
      </c>
      <c r="F262" s="10" t="s">
        <v>53</v>
      </c>
      <c r="G262" s="20" t="s">
        <v>432</v>
      </c>
      <c r="H262" s="21">
        <v>41660</v>
      </c>
      <c r="I262" s="43">
        <v>79.760000000000005</v>
      </c>
      <c r="J262" s="9"/>
    </row>
    <row r="263" spans="1:10" ht="18" customHeight="1">
      <c r="A263" s="33">
        <v>258</v>
      </c>
      <c r="B263" s="20" t="s">
        <v>433</v>
      </c>
      <c r="C263" s="21">
        <v>41660</v>
      </c>
      <c r="D263" s="43">
        <v>42.45</v>
      </c>
      <c r="E263" s="11" t="s">
        <v>51</v>
      </c>
      <c r="F263" s="10" t="s">
        <v>53</v>
      </c>
      <c r="G263" s="20" t="s">
        <v>433</v>
      </c>
      <c r="H263" s="21">
        <v>41660</v>
      </c>
      <c r="I263" s="43">
        <v>42.45</v>
      </c>
      <c r="J263" s="9"/>
    </row>
    <row r="264" spans="1:10" ht="18" customHeight="1">
      <c r="A264" s="33">
        <v>259</v>
      </c>
      <c r="B264" s="20" t="s">
        <v>434</v>
      </c>
      <c r="C264" s="21">
        <v>21</v>
      </c>
      <c r="D264" s="43">
        <v>28.6</v>
      </c>
      <c r="E264" s="11" t="s">
        <v>51</v>
      </c>
      <c r="F264" s="10" t="s">
        <v>53</v>
      </c>
      <c r="G264" s="20" t="s">
        <v>434</v>
      </c>
      <c r="H264" s="21">
        <v>21</v>
      </c>
      <c r="I264" s="43">
        <v>28.6</v>
      </c>
      <c r="J264" s="9"/>
    </row>
    <row r="265" spans="1:10" ht="18" customHeight="1">
      <c r="A265" s="33">
        <v>260</v>
      </c>
      <c r="B265" s="20" t="s">
        <v>436</v>
      </c>
      <c r="C265" s="21">
        <v>41666</v>
      </c>
      <c r="D265" s="43">
        <v>27.97</v>
      </c>
      <c r="E265" s="11" t="s">
        <v>51</v>
      </c>
      <c r="F265" s="10" t="s">
        <v>53</v>
      </c>
      <c r="G265" s="20" t="s">
        <v>436</v>
      </c>
      <c r="H265" s="21">
        <v>41666</v>
      </c>
      <c r="I265" s="43">
        <v>27.97</v>
      </c>
      <c r="J265" s="9"/>
    </row>
    <row r="266" spans="1:10" ht="18" customHeight="1">
      <c r="A266" s="33">
        <v>261</v>
      </c>
      <c r="B266" s="20" t="s">
        <v>437</v>
      </c>
      <c r="C266" s="21">
        <v>41668</v>
      </c>
      <c r="D266" s="43">
        <v>22.3</v>
      </c>
      <c r="E266" s="11" t="s">
        <v>51</v>
      </c>
      <c r="F266" s="10" t="s">
        <v>53</v>
      </c>
      <c r="G266" s="20" t="s">
        <v>437</v>
      </c>
      <c r="H266" s="21">
        <v>41668</v>
      </c>
      <c r="I266" s="43">
        <v>22.3</v>
      </c>
      <c r="J266" s="9"/>
    </row>
    <row r="267" spans="1:10" ht="18" customHeight="1">
      <c r="A267" s="33">
        <v>262</v>
      </c>
      <c r="B267" s="20" t="s">
        <v>439</v>
      </c>
      <c r="C267" s="21">
        <v>41674</v>
      </c>
      <c r="D267" s="43">
        <v>71.040000000000006</v>
      </c>
      <c r="E267" s="11" t="s">
        <v>51</v>
      </c>
      <c r="F267" s="10" t="s">
        <v>53</v>
      </c>
      <c r="G267" s="20" t="s">
        <v>439</v>
      </c>
      <c r="H267" s="21">
        <v>41674</v>
      </c>
      <c r="I267" s="43">
        <v>71.040000000000006</v>
      </c>
      <c r="J267" s="9"/>
    </row>
    <row r="268" spans="1:10" ht="18" customHeight="1">
      <c r="A268" s="33">
        <v>263</v>
      </c>
      <c r="B268" s="20" t="s">
        <v>440</v>
      </c>
      <c r="C268" s="21">
        <v>41674</v>
      </c>
      <c r="D268" s="43">
        <v>35.49</v>
      </c>
      <c r="E268" s="11" t="s">
        <v>51</v>
      </c>
      <c r="F268" s="10" t="s">
        <v>53</v>
      </c>
      <c r="G268" s="20" t="s">
        <v>440</v>
      </c>
      <c r="H268" s="21">
        <v>41674</v>
      </c>
      <c r="I268" s="43">
        <v>35.49</v>
      </c>
      <c r="J268" s="9"/>
    </row>
    <row r="269" spans="1:10" ht="18" customHeight="1">
      <c r="A269" s="33">
        <v>264</v>
      </c>
      <c r="B269" s="20" t="s">
        <v>441</v>
      </c>
      <c r="C269" s="21">
        <v>41674</v>
      </c>
      <c r="D269" s="43">
        <v>22.1</v>
      </c>
      <c r="E269" s="11" t="s">
        <v>51</v>
      </c>
      <c r="F269" s="10" t="s">
        <v>53</v>
      </c>
      <c r="G269" s="20" t="s">
        <v>441</v>
      </c>
      <c r="H269" s="21">
        <v>41674</v>
      </c>
      <c r="I269" s="43">
        <v>22.1</v>
      </c>
      <c r="J269" s="9"/>
    </row>
    <row r="270" spans="1:10" ht="18" customHeight="1">
      <c r="A270" s="33">
        <v>265</v>
      </c>
      <c r="B270" s="20" t="s">
        <v>442</v>
      </c>
      <c r="C270" s="21">
        <v>41674</v>
      </c>
      <c r="D270" s="43">
        <v>27.57</v>
      </c>
      <c r="E270" s="11" t="s">
        <v>51</v>
      </c>
      <c r="F270" s="10" t="s">
        <v>53</v>
      </c>
      <c r="G270" s="20" t="s">
        <v>442</v>
      </c>
      <c r="H270" s="21">
        <v>41674</v>
      </c>
      <c r="I270" s="43">
        <v>27.57</v>
      </c>
      <c r="J270" s="9"/>
    </row>
    <row r="271" spans="1:10" ht="18" customHeight="1">
      <c r="A271" s="33">
        <v>266</v>
      </c>
      <c r="B271" s="20" t="s">
        <v>443</v>
      </c>
      <c r="C271" s="21">
        <v>41674</v>
      </c>
      <c r="D271" s="43">
        <v>32.04</v>
      </c>
      <c r="E271" s="11" t="s">
        <v>51</v>
      </c>
      <c r="F271" s="10" t="s">
        <v>53</v>
      </c>
      <c r="G271" s="20" t="s">
        <v>443</v>
      </c>
      <c r="H271" s="21">
        <v>41674</v>
      </c>
      <c r="I271" s="43">
        <v>32.04</v>
      </c>
      <c r="J271" s="9"/>
    </row>
    <row r="272" spans="1:10" ht="18" customHeight="1">
      <c r="A272" s="33">
        <v>267</v>
      </c>
      <c r="B272" s="20" t="s">
        <v>445</v>
      </c>
      <c r="C272" s="21">
        <v>41681</v>
      </c>
      <c r="D272" s="43">
        <v>53.23</v>
      </c>
      <c r="E272" s="11" t="s">
        <v>51</v>
      </c>
      <c r="F272" s="10" t="s">
        <v>53</v>
      </c>
      <c r="G272" s="20" t="s">
        <v>445</v>
      </c>
      <c r="H272" s="21">
        <v>41681</v>
      </c>
      <c r="I272" s="43">
        <v>53.23</v>
      </c>
      <c r="J272" s="9"/>
    </row>
    <row r="273" spans="1:10" ht="18" customHeight="1">
      <c r="A273" s="33">
        <v>268</v>
      </c>
      <c r="B273" s="20" t="s">
        <v>446</v>
      </c>
      <c r="C273" s="21">
        <v>41681</v>
      </c>
      <c r="D273" s="43">
        <v>39.89</v>
      </c>
      <c r="E273" s="11" t="s">
        <v>51</v>
      </c>
      <c r="F273" s="10" t="s">
        <v>53</v>
      </c>
      <c r="G273" s="20" t="s">
        <v>446</v>
      </c>
      <c r="H273" s="21">
        <v>41681</v>
      </c>
      <c r="I273" s="43">
        <v>39.89</v>
      </c>
      <c r="J273" s="9"/>
    </row>
    <row r="274" spans="1:10" ht="18" customHeight="1">
      <c r="A274" s="33">
        <v>269</v>
      </c>
      <c r="B274" s="20" t="s">
        <v>447</v>
      </c>
      <c r="C274" s="21">
        <v>41681</v>
      </c>
      <c r="D274" s="43">
        <v>71.63</v>
      </c>
      <c r="E274" s="11" t="s">
        <v>51</v>
      </c>
      <c r="F274" s="10" t="s">
        <v>53</v>
      </c>
      <c r="G274" s="20" t="s">
        <v>447</v>
      </c>
      <c r="H274" s="21">
        <v>41681</v>
      </c>
      <c r="I274" s="43">
        <v>71.63</v>
      </c>
      <c r="J274" s="9"/>
    </row>
    <row r="275" spans="1:10" ht="18" customHeight="1">
      <c r="A275" s="33">
        <v>270</v>
      </c>
      <c r="B275" s="20" t="s">
        <v>450</v>
      </c>
      <c r="C275" s="21">
        <v>41687</v>
      </c>
      <c r="D275" s="43">
        <v>81.22</v>
      </c>
      <c r="E275" s="11" t="s">
        <v>51</v>
      </c>
      <c r="F275" s="10" t="s">
        <v>53</v>
      </c>
      <c r="G275" s="20" t="s">
        <v>450</v>
      </c>
      <c r="H275" s="21">
        <v>41687</v>
      </c>
      <c r="I275" s="43">
        <v>81.22</v>
      </c>
      <c r="J275" s="9"/>
    </row>
    <row r="276" spans="1:10" ht="18" customHeight="1">
      <c r="A276" s="33">
        <v>271</v>
      </c>
      <c r="B276" s="20" t="s">
        <v>451</v>
      </c>
      <c r="C276" s="21">
        <v>41687</v>
      </c>
      <c r="D276" s="43">
        <v>71.16</v>
      </c>
      <c r="E276" s="11" t="s">
        <v>51</v>
      </c>
      <c r="F276" s="10" t="s">
        <v>53</v>
      </c>
      <c r="G276" s="20" t="s">
        <v>451</v>
      </c>
      <c r="H276" s="21">
        <v>41687</v>
      </c>
      <c r="I276" s="43">
        <v>71.16</v>
      </c>
      <c r="J276" s="9"/>
    </row>
    <row r="277" spans="1:10" ht="18" customHeight="1">
      <c r="A277" s="33">
        <v>272</v>
      </c>
      <c r="B277" s="20" t="s">
        <v>452</v>
      </c>
      <c r="C277" s="21">
        <v>41688</v>
      </c>
      <c r="D277" s="43">
        <v>22.3</v>
      </c>
      <c r="E277" s="11" t="s">
        <v>51</v>
      </c>
      <c r="F277" s="10" t="s">
        <v>53</v>
      </c>
      <c r="G277" s="20" t="s">
        <v>452</v>
      </c>
      <c r="H277" s="21">
        <v>41688</v>
      </c>
      <c r="I277" s="43">
        <v>22.3</v>
      </c>
      <c r="J277" s="9"/>
    </row>
    <row r="278" spans="1:10" ht="18" customHeight="1">
      <c r="A278" s="33">
        <v>273</v>
      </c>
      <c r="B278" s="20" t="s">
        <v>453</v>
      </c>
      <c r="C278" s="21">
        <v>41688</v>
      </c>
      <c r="D278" s="43">
        <v>60.23</v>
      </c>
      <c r="E278" s="11" t="s">
        <v>51</v>
      </c>
      <c r="F278" s="10" t="s">
        <v>53</v>
      </c>
      <c r="G278" s="20" t="s">
        <v>453</v>
      </c>
      <c r="H278" s="21">
        <v>41688</v>
      </c>
      <c r="I278" s="43">
        <v>60.23</v>
      </c>
      <c r="J278" s="9"/>
    </row>
    <row r="279" spans="1:10" ht="18" customHeight="1">
      <c r="A279" s="33">
        <v>274</v>
      </c>
      <c r="B279" s="20" t="s">
        <v>454</v>
      </c>
      <c r="C279" s="21">
        <v>41688</v>
      </c>
      <c r="D279" s="43">
        <v>24.8</v>
      </c>
      <c r="E279" s="11" t="s">
        <v>51</v>
      </c>
      <c r="F279" s="10" t="s">
        <v>53</v>
      </c>
      <c r="G279" s="20" t="s">
        <v>454</v>
      </c>
      <c r="H279" s="21">
        <v>41688</v>
      </c>
      <c r="I279" s="43">
        <v>24.8</v>
      </c>
      <c r="J279" s="9"/>
    </row>
    <row r="280" spans="1:10" ht="18" customHeight="1">
      <c r="A280" s="33">
        <v>275</v>
      </c>
      <c r="B280" s="20" t="s">
        <v>459</v>
      </c>
      <c r="C280" s="21">
        <v>41695</v>
      </c>
      <c r="D280" s="43">
        <v>124.82</v>
      </c>
      <c r="E280" s="11" t="s">
        <v>51</v>
      </c>
      <c r="F280" s="10" t="s">
        <v>53</v>
      </c>
      <c r="G280" s="20" t="s">
        <v>459</v>
      </c>
      <c r="H280" s="21">
        <v>41695</v>
      </c>
      <c r="I280" s="43">
        <v>124.82</v>
      </c>
      <c r="J280" s="9"/>
    </row>
    <row r="281" spans="1:10" ht="18" customHeight="1">
      <c r="A281" s="33">
        <v>276</v>
      </c>
      <c r="B281" s="20" t="s">
        <v>460</v>
      </c>
      <c r="C281" s="21">
        <v>41695</v>
      </c>
      <c r="D281" s="43">
        <v>58.99</v>
      </c>
      <c r="E281" s="11" t="s">
        <v>51</v>
      </c>
      <c r="F281" s="10" t="s">
        <v>53</v>
      </c>
      <c r="G281" s="20" t="s">
        <v>460</v>
      </c>
      <c r="H281" s="21">
        <v>41695</v>
      </c>
      <c r="I281" s="43">
        <v>58.99</v>
      </c>
      <c r="J281" s="9"/>
    </row>
    <row r="282" spans="1:10" ht="18" customHeight="1">
      <c r="A282" s="33">
        <v>277</v>
      </c>
      <c r="B282" s="20" t="s">
        <v>461</v>
      </c>
      <c r="C282" s="21">
        <v>41695</v>
      </c>
      <c r="D282" s="43">
        <v>29.35</v>
      </c>
      <c r="E282" s="11" t="s">
        <v>51</v>
      </c>
      <c r="F282" s="10" t="s">
        <v>53</v>
      </c>
      <c r="G282" s="20" t="s">
        <v>461</v>
      </c>
      <c r="H282" s="21">
        <v>41695</v>
      </c>
      <c r="I282" s="43">
        <v>29.35</v>
      </c>
      <c r="J282" s="9"/>
    </row>
    <row r="283" spans="1:10" ht="18" customHeight="1">
      <c r="A283" s="33">
        <v>278</v>
      </c>
      <c r="B283" s="20" t="s">
        <v>463</v>
      </c>
      <c r="C283" s="21">
        <v>41702</v>
      </c>
      <c r="D283" s="43">
        <v>22.3</v>
      </c>
      <c r="E283" s="11" t="s">
        <v>51</v>
      </c>
      <c r="F283" s="10" t="s">
        <v>53</v>
      </c>
      <c r="G283" s="20" t="s">
        <v>463</v>
      </c>
      <c r="H283" s="21">
        <v>41702</v>
      </c>
      <c r="I283" s="43">
        <v>22.3</v>
      </c>
      <c r="J283" s="9"/>
    </row>
    <row r="284" spans="1:10" ht="18" customHeight="1">
      <c r="A284" s="33">
        <v>279</v>
      </c>
      <c r="B284" s="20" t="s">
        <v>466</v>
      </c>
      <c r="C284" s="21">
        <v>41709</v>
      </c>
      <c r="D284" s="43">
        <v>32.520000000000003</v>
      </c>
      <c r="E284" s="11" t="s">
        <v>51</v>
      </c>
      <c r="F284" s="10" t="s">
        <v>53</v>
      </c>
      <c r="G284" s="20" t="s">
        <v>466</v>
      </c>
      <c r="H284" s="21">
        <v>41709</v>
      </c>
      <c r="I284" s="43">
        <v>32.520000000000003</v>
      </c>
      <c r="J284" s="9"/>
    </row>
    <row r="285" spans="1:10" ht="18" customHeight="1">
      <c r="A285" s="33">
        <v>280</v>
      </c>
      <c r="B285" s="20" t="s">
        <v>467</v>
      </c>
      <c r="C285" s="21">
        <v>41710</v>
      </c>
      <c r="D285" s="43">
        <v>38.630000000000003</v>
      </c>
      <c r="E285" s="11" t="s">
        <v>51</v>
      </c>
      <c r="F285" s="10" t="s">
        <v>53</v>
      </c>
      <c r="G285" s="20" t="s">
        <v>467</v>
      </c>
      <c r="H285" s="21">
        <v>41710</v>
      </c>
      <c r="I285" s="43">
        <v>38.630000000000003</v>
      </c>
      <c r="J285" s="9"/>
    </row>
    <row r="286" spans="1:10" ht="18" customHeight="1">
      <c r="A286" s="33">
        <v>281</v>
      </c>
      <c r="B286" s="20" t="s">
        <v>468</v>
      </c>
      <c r="C286" s="21">
        <v>41710</v>
      </c>
      <c r="D286" s="43">
        <v>42.61</v>
      </c>
      <c r="E286" s="11" t="s">
        <v>51</v>
      </c>
      <c r="F286" s="10" t="s">
        <v>53</v>
      </c>
      <c r="G286" s="20" t="s">
        <v>468</v>
      </c>
      <c r="H286" s="21">
        <v>41710</v>
      </c>
      <c r="I286" s="43">
        <v>42.61</v>
      </c>
      <c r="J286" s="9"/>
    </row>
    <row r="287" spans="1:10" ht="18" customHeight="1">
      <c r="A287" s="33">
        <v>282</v>
      </c>
      <c r="B287" s="20" t="s">
        <v>469</v>
      </c>
      <c r="C287" s="21">
        <v>41710</v>
      </c>
      <c r="D287" s="45">
        <v>56.46</v>
      </c>
      <c r="E287" s="11" t="s">
        <v>51</v>
      </c>
      <c r="F287" s="10" t="s">
        <v>53</v>
      </c>
      <c r="G287" s="20" t="s">
        <v>469</v>
      </c>
      <c r="H287" s="21">
        <v>41710</v>
      </c>
      <c r="I287" s="45">
        <v>56.46</v>
      </c>
      <c r="J287" s="9"/>
    </row>
    <row r="288" spans="1:10" ht="18" customHeight="1">
      <c r="A288" s="33">
        <v>283</v>
      </c>
      <c r="B288" s="20" t="s">
        <v>470</v>
      </c>
      <c r="C288" s="21">
        <v>41710</v>
      </c>
      <c r="D288" s="43">
        <v>50.1</v>
      </c>
      <c r="E288" s="11" t="s">
        <v>51</v>
      </c>
      <c r="F288" s="10" t="s">
        <v>53</v>
      </c>
      <c r="G288" s="20" t="s">
        <v>470</v>
      </c>
      <c r="H288" s="21">
        <v>41710</v>
      </c>
      <c r="I288" s="43">
        <v>50.1</v>
      </c>
      <c r="J288" s="9"/>
    </row>
    <row r="289" spans="1:10" ht="18" customHeight="1">
      <c r="A289" s="33">
        <v>284</v>
      </c>
      <c r="B289" s="20" t="s">
        <v>471</v>
      </c>
      <c r="C289" s="21">
        <v>41710</v>
      </c>
      <c r="D289" s="43">
        <v>27.97</v>
      </c>
      <c r="E289" s="11" t="s">
        <v>51</v>
      </c>
      <c r="F289" s="10" t="s">
        <v>53</v>
      </c>
      <c r="G289" s="20" t="s">
        <v>471</v>
      </c>
      <c r="H289" s="21">
        <v>41710</v>
      </c>
      <c r="I289" s="43">
        <v>27.97</v>
      </c>
      <c r="J289" s="9"/>
    </row>
    <row r="290" spans="1:10" ht="18" customHeight="1">
      <c r="A290" s="33">
        <v>285</v>
      </c>
      <c r="B290" s="20" t="s">
        <v>472</v>
      </c>
      <c r="C290" s="21">
        <v>41710</v>
      </c>
      <c r="D290" s="43">
        <v>37.9</v>
      </c>
      <c r="E290" s="11" t="s">
        <v>51</v>
      </c>
      <c r="F290" s="10" t="s">
        <v>53</v>
      </c>
      <c r="G290" s="20" t="s">
        <v>472</v>
      </c>
      <c r="H290" s="21">
        <v>41710</v>
      </c>
      <c r="I290" s="43">
        <v>37.9</v>
      </c>
      <c r="J290" s="9"/>
    </row>
    <row r="291" spans="1:10" ht="18" customHeight="1">
      <c r="A291" s="33">
        <v>286</v>
      </c>
      <c r="B291" s="20" t="s">
        <v>473</v>
      </c>
      <c r="C291" s="21">
        <v>41710</v>
      </c>
      <c r="D291" s="43">
        <v>26.66</v>
      </c>
      <c r="E291" s="11" t="s">
        <v>51</v>
      </c>
      <c r="F291" s="10" t="s">
        <v>53</v>
      </c>
      <c r="G291" s="20" t="s">
        <v>473</v>
      </c>
      <c r="H291" s="21">
        <v>41710</v>
      </c>
      <c r="I291" s="43">
        <v>26.66</v>
      </c>
      <c r="J291" s="9"/>
    </row>
    <row r="292" spans="1:10" ht="18" customHeight="1">
      <c r="A292" s="33">
        <v>287</v>
      </c>
      <c r="B292" s="20" t="s">
        <v>475</v>
      </c>
      <c r="C292" s="21">
        <v>41716</v>
      </c>
      <c r="D292" s="43">
        <v>45.05</v>
      </c>
      <c r="E292" s="11" t="s">
        <v>51</v>
      </c>
      <c r="F292" s="10" t="s">
        <v>53</v>
      </c>
      <c r="G292" s="20" t="s">
        <v>475</v>
      </c>
      <c r="H292" s="21">
        <v>41716</v>
      </c>
      <c r="I292" s="43">
        <v>45.05</v>
      </c>
      <c r="J292" s="9"/>
    </row>
    <row r="293" spans="1:10" ht="18" customHeight="1">
      <c r="A293" s="33">
        <v>288</v>
      </c>
      <c r="B293" s="20" t="s">
        <v>476</v>
      </c>
      <c r="C293" s="21">
        <v>41716</v>
      </c>
      <c r="D293" s="43">
        <v>101.57</v>
      </c>
      <c r="E293" s="11" t="s">
        <v>51</v>
      </c>
      <c r="F293" s="10" t="s">
        <v>53</v>
      </c>
      <c r="G293" s="20" t="s">
        <v>476</v>
      </c>
      <c r="H293" s="21">
        <v>41716</v>
      </c>
      <c r="I293" s="43">
        <v>101.57</v>
      </c>
      <c r="J293" s="9"/>
    </row>
    <row r="294" spans="1:10" ht="18" customHeight="1">
      <c r="A294" s="33">
        <v>289</v>
      </c>
      <c r="B294" s="20" t="s">
        <v>477</v>
      </c>
      <c r="C294" s="21">
        <v>41716</v>
      </c>
      <c r="D294" s="43">
        <v>69.010000000000005</v>
      </c>
      <c r="E294" s="11" t="s">
        <v>51</v>
      </c>
      <c r="F294" s="10" t="s">
        <v>53</v>
      </c>
      <c r="G294" s="20" t="s">
        <v>477</v>
      </c>
      <c r="H294" s="21">
        <v>41716</v>
      </c>
      <c r="I294" s="43">
        <v>69.010000000000005</v>
      </c>
      <c r="J294" s="9"/>
    </row>
    <row r="295" spans="1:10" ht="18" customHeight="1">
      <c r="A295" s="33">
        <v>290</v>
      </c>
      <c r="B295" s="20" t="s">
        <v>478</v>
      </c>
      <c r="C295" s="21">
        <v>41716</v>
      </c>
      <c r="D295" s="43">
        <v>29.48</v>
      </c>
      <c r="E295" s="11" t="s">
        <v>51</v>
      </c>
      <c r="F295" s="10" t="s">
        <v>53</v>
      </c>
      <c r="G295" s="20" t="s">
        <v>478</v>
      </c>
      <c r="H295" s="21">
        <v>41716</v>
      </c>
      <c r="I295" s="43">
        <v>29.48</v>
      </c>
      <c r="J295" s="9"/>
    </row>
    <row r="296" spans="1:10" ht="18" customHeight="1">
      <c r="A296" s="33">
        <v>291</v>
      </c>
      <c r="B296" s="20" t="s">
        <v>481</v>
      </c>
      <c r="C296" s="21">
        <v>41723</v>
      </c>
      <c r="D296" s="43">
        <v>28.65</v>
      </c>
      <c r="E296" s="11" t="s">
        <v>51</v>
      </c>
      <c r="F296" s="10" t="s">
        <v>53</v>
      </c>
      <c r="G296" s="20" t="s">
        <v>481</v>
      </c>
      <c r="H296" s="21">
        <v>41723</v>
      </c>
      <c r="I296" s="43">
        <v>28.65</v>
      </c>
      <c r="J296" s="9"/>
    </row>
    <row r="297" spans="1:10" ht="18" customHeight="1">
      <c r="A297" s="33">
        <v>292</v>
      </c>
      <c r="B297" s="20" t="s">
        <v>483</v>
      </c>
      <c r="C297" s="21">
        <v>41729</v>
      </c>
      <c r="D297" s="43">
        <v>23.85</v>
      </c>
      <c r="E297" s="11" t="s">
        <v>51</v>
      </c>
      <c r="F297" s="10" t="s">
        <v>53</v>
      </c>
      <c r="G297" s="20" t="s">
        <v>483</v>
      </c>
      <c r="H297" s="21">
        <v>41729</v>
      </c>
      <c r="I297" s="43">
        <v>23.85</v>
      </c>
      <c r="J297" s="9"/>
    </row>
    <row r="298" spans="1:10" ht="18" customHeight="1">
      <c r="A298" s="33">
        <v>293</v>
      </c>
      <c r="B298" s="20" t="s">
        <v>484</v>
      </c>
      <c r="C298" s="21">
        <v>41729</v>
      </c>
      <c r="D298" s="43">
        <v>27</v>
      </c>
      <c r="E298" s="11" t="s">
        <v>51</v>
      </c>
      <c r="F298" s="10" t="s">
        <v>53</v>
      </c>
      <c r="G298" s="20" t="s">
        <v>484</v>
      </c>
      <c r="H298" s="21">
        <v>41729</v>
      </c>
      <c r="I298" s="43">
        <v>27</v>
      </c>
      <c r="J298" s="9"/>
    </row>
    <row r="299" spans="1:10" ht="18" customHeight="1">
      <c r="A299" s="33">
        <v>294</v>
      </c>
      <c r="B299" s="20" t="s">
        <v>485</v>
      </c>
      <c r="C299" s="21">
        <v>41729</v>
      </c>
      <c r="D299" s="43">
        <v>40.090000000000003</v>
      </c>
      <c r="E299" s="11" t="s">
        <v>51</v>
      </c>
      <c r="F299" s="10" t="s">
        <v>53</v>
      </c>
      <c r="G299" s="20" t="s">
        <v>485</v>
      </c>
      <c r="H299" s="21">
        <v>41729</v>
      </c>
      <c r="I299" s="43">
        <v>40.090000000000003</v>
      </c>
      <c r="J299" s="9"/>
    </row>
    <row r="300" spans="1:10" ht="18" customHeight="1">
      <c r="A300" s="33">
        <v>295</v>
      </c>
      <c r="B300" s="20" t="s">
        <v>489</v>
      </c>
      <c r="C300" s="21">
        <v>41737</v>
      </c>
      <c r="D300" s="43">
        <v>85.06</v>
      </c>
      <c r="E300" s="11" t="s">
        <v>51</v>
      </c>
      <c r="F300" s="10" t="s">
        <v>53</v>
      </c>
      <c r="G300" s="20" t="s">
        <v>489</v>
      </c>
      <c r="H300" s="21">
        <v>41737</v>
      </c>
      <c r="I300" s="43">
        <v>85.06</v>
      </c>
      <c r="J300" s="9"/>
    </row>
    <row r="301" spans="1:10" ht="18" customHeight="1">
      <c r="A301" s="33">
        <v>296</v>
      </c>
      <c r="B301" s="20" t="s">
        <v>490</v>
      </c>
      <c r="C301" s="21">
        <v>41737</v>
      </c>
      <c r="D301" s="43">
        <v>51.16</v>
      </c>
      <c r="E301" s="11" t="s">
        <v>51</v>
      </c>
      <c r="F301" s="10" t="s">
        <v>53</v>
      </c>
      <c r="G301" s="20" t="s">
        <v>490</v>
      </c>
      <c r="H301" s="21">
        <v>41737</v>
      </c>
      <c r="I301" s="43">
        <v>51.16</v>
      </c>
      <c r="J301" s="9"/>
    </row>
    <row r="302" spans="1:10" ht="18" customHeight="1">
      <c r="A302" s="33">
        <v>297</v>
      </c>
      <c r="B302" s="20" t="s">
        <v>491</v>
      </c>
      <c r="C302" s="21">
        <v>41737</v>
      </c>
      <c r="D302" s="43">
        <v>77.349999999999994</v>
      </c>
      <c r="E302" s="11" t="s">
        <v>51</v>
      </c>
      <c r="F302" s="10" t="s">
        <v>53</v>
      </c>
      <c r="G302" s="20" t="s">
        <v>491</v>
      </c>
      <c r="H302" s="21">
        <v>41737</v>
      </c>
      <c r="I302" s="43">
        <v>77.349999999999994</v>
      </c>
      <c r="J302" s="9"/>
    </row>
    <row r="303" spans="1:10" ht="18" customHeight="1">
      <c r="A303" s="33">
        <v>298</v>
      </c>
      <c r="B303" s="20" t="s">
        <v>492</v>
      </c>
      <c r="C303" s="21">
        <v>41737</v>
      </c>
      <c r="D303" s="43">
        <v>30.9</v>
      </c>
      <c r="E303" s="11" t="s">
        <v>51</v>
      </c>
      <c r="F303" s="10" t="s">
        <v>53</v>
      </c>
      <c r="G303" s="20" t="s">
        <v>492</v>
      </c>
      <c r="H303" s="21">
        <v>41737</v>
      </c>
      <c r="I303" s="43">
        <v>30.9</v>
      </c>
      <c r="J303" s="9"/>
    </row>
    <row r="304" spans="1:10" ht="18" customHeight="1">
      <c r="A304" s="33">
        <v>299</v>
      </c>
      <c r="B304" s="20" t="s">
        <v>493</v>
      </c>
      <c r="C304" s="21">
        <v>41737</v>
      </c>
      <c r="D304" s="43">
        <v>22.3</v>
      </c>
      <c r="E304" s="11" t="s">
        <v>51</v>
      </c>
      <c r="F304" s="10" t="s">
        <v>53</v>
      </c>
      <c r="G304" s="20" t="s">
        <v>493</v>
      </c>
      <c r="H304" s="21">
        <v>41737</v>
      </c>
      <c r="I304" s="43">
        <v>22.3</v>
      </c>
      <c r="J304" s="9"/>
    </row>
    <row r="305" spans="1:10" ht="18" customHeight="1">
      <c r="A305" s="33">
        <v>300</v>
      </c>
      <c r="B305" s="20" t="s">
        <v>494</v>
      </c>
      <c r="C305" s="21">
        <v>41737</v>
      </c>
      <c r="D305" s="43">
        <v>29.07</v>
      </c>
      <c r="E305" s="11" t="s">
        <v>51</v>
      </c>
      <c r="F305" s="10" t="s">
        <v>53</v>
      </c>
      <c r="G305" s="20" t="s">
        <v>494</v>
      </c>
      <c r="H305" s="21">
        <v>41737</v>
      </c>
      <c r="I305" s="43">
        <v>29.07</v>
      </c>
      <c r="J305" s="9"/>
    </row>
    <row r="306" spans="1:10" ht="18" customHeight="1">
      <c r="A306" s="33">
        <v>301</v>
      </c>
      <c r="B306" s="20" t="s">
        <v>496</v>
      </c>
      <c r="C306" s="21">
        <v>41746</v>
      </c>
      <c r="D306" s="43">
        <v>24.8</v>
      </c>
      <c r="E306" s="11" t="s">
        <v>51</v>
      </c>
      <c r="F306" s="10" t="s">
        <v>53</v>
      </c>
      <c r="G306" s="20" t="s">
        <v>496</v>
      </c>
      <c r="H306" s="21">
        <v>41746</v>
      </c>
      <c r="I306" s="43">
        <v>24.8</v>
      </c>
      <c r="J306" s="9"/>
    </row>
    <row r="307" spans="1:10" ht="18" customHeight="1">
      <c r="A307" s="33">
        <v>302</v>
      </c>
      <c r="B307" s="20" t="s">
        <v>497</v>
      </c>
      <c r="C307" s="21">
        <v>41746</v>
      </c>
      <c r="D307" s="43">
        <v>39.869999999999997</v>
      </c>
      <c r="E307" s="11" t="s">
        <v>51</v>
      </c>
      <c r="F307" s="10" t="s">
        <v>53</v>
      </c>
      <c r="G307" s="20" t="s">
        <v>497</v>
      </c>
      <c r="H307" s="21">
        <v>41746</v>
      </c>
      <c r="I307" s="43">
        <v>39.869999999999997</v>
      </c>
      <c r="J307" s="9"/>
    </row>
    <row r="308" spans="1:10" ht="18" customHeight="1">
      <c r="A308" s="33">
        <v>303</v>
      </c>
      <c r="B308" s="20" t="s">
        <v>498</v>
      </c>
      <c r="C308" s="21">
        <v>41746</v>
      </c>
      <c r="D308" s="43">
        <v>68.849999999999994</v>
      </c>
      <c r="E308" s="11" t="s">
        <v>51</v>
      </c>
      <c r="F308" s="10" t="s">
        <v>53</v>
      </c>
      <c r="G308" s="20" t="s">
        <v>498</v>
      </c>
      <c r="H308" s="21">
        <v>41746</v>
      </c>
      <c r="I308" s="43">
        <v>68.849999999999994</v>
      </c>
      <c r="J308" s="9"/>
    </row>
    <row r="309" spans="1:10" ht="18" customHeight="1">
      <c r="A309" s="33">
        <v>304</v>
      </c>
      <c r="B309" s="20" t="s">
        <v>499</v>
      </c>
      <c r="C309" s="21">
        <v>41746</v>
      </c>
      <c r="D309" s="43">
        <v>58.6</v>
      </c>
      <c r="E309" s="11" t="s">
        <v>51</v>
      </c>
      <c r="F309" s="10" t="s">
        <v>53</v>
      </c>
      <c r="G309" s="20" t="s">
        <v>499</v>
      </c>
      <c r="H309" s="21">
        <v>41746</v>
      </c>
      <c r="I309" s="43">
        <v>58.6</v>
      </c>
      <c r="J309" s="9"/>
    </row>
    <row r="310" spans="1:10" ht="18" customHeight="1">
      <c r="A310" s="33">
        <v>305</v>
      </c>
      <c r="B310" s="20" t="s">
        <v>500</v>
      </c>
      <c r="C310" s="21">
        <v>41746</v>
      </c>
      <c r="D310" s="43">
        <v>31.67</v>
      </c>
      <c r="E310" s="11" t="s">
        <v>51</v>
      </c>
      <c r="F310" s="10" t="s">
        <v>53</v>
      </c>
      <c r="G310" s="20" t="s">
        <v>500</v>
      </c>
      <c r="H310" s="21">
        <v>41746</v>
      </c>
      <c r="I310" s="43">
        <v>31.67</v>
      </c>
      <c r="J310" s="9"/>
    </row>
    <row r="311" spans="1:10" ht="18" customHeight="1">
      <c r="A311" s="33">
        <v>306</v>
      </c>
      <c r="B311" s="20" t="s">
        <v>501</v>
      </c>
      <c r="C311" s="21">
        <v>41746</v>
      </c>
      <c r="D311" s="43">
        <v>63.52</v>
      </c>
      <c r="E311" s="11" t="s">
        <v>51</v>
      </c>
      <c r="F311" s="10" t="s">
        <v>53</v>
      </c>
      <c r="G311" s="20" t="s">
        <v>501</v>
      </c>
      <c r="H311" s="21">
        <v>41746</v>
      </c>
      <c r="I311" s="43">
        <v>63.52</v>
      </c>
      <c r="J311" s="9"/>
    </row>
    <row r="312" spans="1:10" ht="18" customHeight="1">
      <c r="A312" s="33">
        <v>307</v>
      </c>
      <c r="B312" s="20" t="s">
        <v>503</v>
      </c>
      <c r="C312" s="21">
        <v>41750</v>
      </c>
      <c r="D312" s="43">
        <v>5.8</v>
      </c>
      <c r="E312" s="11" t="s">
        <v>51</v>
      </c>
      <c r="F312" s="10" t="s">
        <v>53</v>
      </c>
      <c r="G312" s="20" t="s">
        <v>503</v>
      </c>
      <c r="H312" s="21">
        <v>41750</v>
      </c>
      <c r="I312" s="43">
        <v>5.8</v>
      </c>
      <c r="J312" s="9"/>
    </row>
    <row r="313" spans="1:10" ht="18" customHeight="1">
      <c r="A313" s="33">
        <v>308</v>
      </c>
      <c r="B313" s="20" t="s">
        <v>504</v>
      </c>
      <c r="C313" s="21">
        <v>41750</v>
      </c>
      <c r="D313" s="43">
        <v>24.38</v>
      </c>
      <c r="E313" s="11" t="s">
        <v>51</v>
      </c>
      <c r="F313" s="10" t="s">
        <v>53</v>
      </c>
      <c r="G313" s="20" t="s">
        <v>504</v>
      </c>
      <c r="H313" s="21">
        <v>41750</v>
      </c>
      <c r="I313" s="43">
        <v>24.38</v>
      </c>
      <c r="J313" s="9"/>
    </row>
    <row r="314" spans="1:10" ht="18" customHeight="1">
      <c r="A314" s="33">
        <v>309</v>
      </c>
      <c r="B314" s="20" t="s">
        <v>505</v>
      </c>
      <c r="C314" s="21">
        <v>41750</v>
      </c>
      <c r="D314" s="43">
        <v>33.020000000000003</v>
      </c>
      <c r="E314" s="11" t="s">
        <v>51</v>
      </c>
      <c r="F314" s="10" t="s">
        <v>53</v>
      </c>
      <c r="G314" s="20" t="s">
        <v>505</v>
      </c>
      <c r="H314" s="21">
        <v>41750</v>
      </c>
      <c r="I314" s="43">
        <v>33.020000000000003</v>
      </c>
      <c r="J314" s="9"/>
    </row>
    <row r="315" spans="1:10" ht="18" customHeight="1">
      <c r="A315" s="33">
        <v>310</v>
      </c>
      <c r="B315" s="20" t="s">
        <v>506</v>
      </c>
      <c r="C315" s="21">
        <v>41750</v>
      </c>
      <c r="D315" s="43">
        <v>35.47</v>
      </c>
      <c r="E315" s="11" t="s">
        <v>51</v>
      </c>
      <c r="F315" s="10" t="s">
        <v>53</v>
      </c>
      <c r="G315" s="20" t="s">
        <v>506</v>
      </c>
      <c r="H315" s="21">
        <v>41750</v>
      </c>
      <c r="I315" s="43">
        <v>35.47</v>
      </c>
      <c r="J315" s="9"/>
    </row>
    <row r="316" spans="1:10" ht="18" customHeight="1">
      <c r="A316" s="33">
        <v>311</v>
      </c>
      <c r="B316" s="20" t="s">
        <v>507</v>
      </c>
      <c r="C316" s="21">
        <v>41757</v>
      </c>
      <c r="D316" s="43">
        <v>24.67</v>
      </c>
      <c r="E316" s="11" t="s">
        <v>51</v>
      </c>
      <c r="F316" s="10" t="s">
        <v>53</v>
      </c>
      <c r="G316" s="20" t="s">
        <v>507</v>
      </c>
      <c r="H316" s="21">
        <v>41757</v>
      </c>
      <c r="I316" s="43">
        <v>24.67</v>
      </c>
      <c r="J316" s="9"/>
    </row>
    <row r="317" spans="1:10" ht="18" customHeight="1">
      <c r="A317" s="33">
        <v>312</v>
      </c>
      <c r="B317" s="20" t="s">
        <v>508</v>
      </c>
      <c r="C317" s="21">
        <v>41757</v>
      </c>
      <c r="D317" s="43">
        <v>36.380000000000003</v>
      </c>
      <c r="E317" s="11" t="s">
        <v>51</v>
      </c>
      <c r="F317" s="10" t="s">
        <v>53</v>
      </c>
      <c r="G317" s="20" t="s">
        <v>508</v>
      </c>
      <c r="H317" s="21">
        <v>41757</v>
      </c>
      <c r="I317" s="43">
        <v>36.380000000000003</v>
      </c>
      <c r="J317" s="9"/>
    </row>
    <row r="318" spans="1:10" ht="18" customHeight="1">
      <c r="A318" s="33">
        <v>313</v>
      </c>
      <c r="B318" s="20" t="s">
        <v>510</v>
      </c>
      <c r="C318" s="21">
        <v>41757</v>
      </c>
      <c r="D318" s="43">
        <v>26.29</v>
      </c>
      <c r="E318" s="11" t="s">
        <v>51</v>
      </c>
      <c r="F318" s="10" t="s">
        <v>53</v>
      </c>
      <c r="G318" s="20" t="s">
        <v>510</v>
      </c>
      <c r="H318" s="21">
        <v>41757</v>
      </c>
      <c r="I318" s="43">
        <v>26.29</v>
      </c>
      <c r="J318" s="9"/>
    </row>
    <row r="319" spans="1:10" ht="18" customHeight="1">
      <c r="A319" s="33">
        <v>314</v>
      </c>
      <c r="B319" s="20" t="s">
        <v>511</v>
      </c>
      <c r="C319" s="21">
        <v>41759</v>
      </c>
      <c r="D319" s="43">
        <v>5</v>
      </c>
      <c r="E319" s="11" t="s">
        <v>51</v>
      </c>
      <c r="F319" s="10" t="s">
        <v>53</v>
      </c>
      <c r="G319" s="20" t="s">
        <v>511</v>
      </c>
      <c r="H319" s="21">
        <v>41759</v>
      </c>
      <c r="I319" s="43">
        <v>5</v>
      </c>
      <c r="J319" s="9"/>
    </row>
    <row r="320" spans="1:10" ht="18" customHeight="1">
      <c r="A320" s="33">
        <v>315</v>
      </c>
      <c r="B320" s="23" t="s">
        <v>513</v>
      </c>
      <c r="C320" s="21">
        <v>41765</v>
      </c>
      <c r="D320" s="43">
        <v>22.99</v>
      </c>
      <c r="E320" s="11" t="s">
        <v>51</v>
      </c>
      <c r="F320" s="10" t="s">
        <v>53</v>
      </c>
      <c r="G320" s="23" t="s">
        <v>513</v>
      </c>
      <c r="H320" s="21">
        <v>41765</v>
      </c>
      <c r="I320" s="43">
        <v>22.99</v>
      </c>
      <c r="J320" s="9"/>
    </row>
    <row r="321" spans="1:10" ht="18" customHeight="1">
      <c r="A321" s="33">
        <v>316</v>
      </c>
      <c r="B321" s="23" t="s">
        <v>514</v>
      </c>
      <c r="C321" s="21">
        <v>41765</v>
      </c>
      <c r="D321" s="43">
        <v>41.9</v>
      </c>
      <c r="E321" s="11" t="s">
        <v>51</v>
      </c>
      <c r="F321" s="10" t="s">
        <v>53</v>
      </c>
      <c r="G321" s="23" t="s">
        <v>514</v>
      </c>
      <c r="H321" s="21">
        <v>41765</v>
      </c>
      <c r="I321" s="43">
        <v>41.9</v>
      </c>
      <c r="J321" s="9"/>
    </row>
    <row r="322" spans="1:10" ht="18" customHeight="1">
      <c r="A322" s="33">
        <v>317</v>
      </c>
      <c r="B322" s="23" t="s">
        <v>515</v>
      </c>
      <c r="C322" s="21">
        <v>41765</v>
      </c>
      <c r="D322" s="43">
        <v>27.55</v>
      </c>
      <c r="E322" s="11" t="s">
        <v>51</v>
      </c>
      <c r="F322" s="10" t="s">
        <v>53</v>
      </c>
      <c r="G322" s="23" t="s">
        <v>515</v>
      </c>
      <c r="H322" s="21">
        <v>41765</v>
      </c>
      <c r="I322" s="43">
        <v>27.55</v>
      </c>
      <c r="J322" s="9"/>
    </row>
    <row r="323" spans="1:10" ht="18" customHeight="1">
      <c r="A323" s="33">
        <v>318</v>
      </c>
      <c r="B323" s="23" t="s">
        <v>516</v>
      </c>
      <c r="C323" s="21">
        <v>41766</v>
      </c>
      <c r="D323" s="43">
        <v>82.68</v>
      </c>
      <c r="E323" s="11" t="s">
        <v>51</v>
      </c>
      <c r="F323" s="10" t="s">
        <v>53</v>
      </c>
      <c r="G323" s="23" t="s">
        <v>516</v>
      </c>
      <c r="H323" s="21">
        <v>41766</v>
      </c>
      <c r="I323" s="43">
        <v>82.68</v>
      </c>
      <c r="J323" s="9"/>
    </row>
    <row r="324" spans="1:10" ht="18" customHeight="1">
      <c r="A324" s="33">
        <v>319</v>
      </c>
      <c r="B324" s="23" t="s">
        <v>517</v>
      </c>
      <c r="C324" s="21">
        <v>41771</v>
      </c>
      <c r="D324" s="43">
        <v>50.65</v>
      </c>
      <c r="E324" s="11" t="s">
        <v>51</v>
      </c>
      <c r="F324" s="10" t="s">
        <v>53</v>
      </c>
      <c r="G324" s="23" t="s">
        <v>517</v>
      </c>
      <c r="H324" s="21">
        <v>41771</v>
      </c>
      <c r="I324" s="43">
        <v>50.65</v>
      </c>
      <c r="J324" s="9"/>
    </row>
    <row r="325" spans="1:10" ht="18" customHeight="1">
      <c r="A325" s="33">
        <v>320</v>
      </c>
      <c r="B325" s="23" t="s">
        <v>518</v>
      </c>
      <c r="C325" s="21">
        <v>41771</v>
      </c>
      <c r="D325" s="43">
        <v>22.3</v>
      </c>
      <c r="E325" s="11" t="s">
        <v>51</v>
      </c>
      <c r="F325" s="10" t="s">
        <v>53</v>
      </c>
      <c r="G325" s="23" t="s">
        <v>518</v>
      </c>
      <c r="H325" s="21">
        <v>41771</v>
      </c>
      <c r="I325" s="43">
        <v>22.3</v>
      </c>
      <c r="J325" s="9"/>
    </row>
    <row r="326" spans="1:10" ht="18" customHeight="1">
      <c r="A326" s="33">
        <v>321</v>
      </c>
      <c r="B326" s="23" t="s">
        <v>519</v>
      </c>
      <c r="C326" s="21">
        <v>41772</v>
      </c>
      <c r="D326" s="43">
        <v>22.3</v>
      </c>
      <c r="E326" s="11" t="s">
        <v>51</v>
      </c>
      <c r="F326" s="10" t="s">
        <v>53</v>
      </c>
      <c r="G326" s="23" t="s">
        <v>519</v>
      </c>
      <c r="H326" s="21">
        <v>41772</v>
      </c>
      <c r="I326" s="43">
        <v>22.3</v>
      </c>
      <c r="J326" s="9"/>
    </row>
    <row r="327" spans="1:10" ht="18" customHeight="1">
      <c r="A327" s="33">
        <v>322</v>
      </c>
      <c r="B327" s="23" t="s">
        <v>521</v>
      </c>
      <c r="C327" s="21">
        <v>41772</v>
      </c>
      <c r="D327" s="43">
        <v>22.32</v>
      </c>
      <c r="E327" s="11" t="s">
        <v>51</v>
      </c>
      <c r="F327" s="10" t="s">
        <v>53</v>
      </c>
      <c r="G327" s="23" t="s">
        <v>521</v>
      </c>
      <c r="H327" s="21">
        <v>41772</v>
      </c>
      <c r="I327" s="43">
        <v>22.32</v>
      </c>
      <c r="J327" s="9"/>
    </row>
    <row r="328" spans="1:10" ht="18" customHeight="1">
      <c r="A328" s="33">
        <v>323</v>
      </c>
      <c r="B328" s="23" t="s">
        <v>523</v>
      </c>
      <c r="C328" s="21">
        <v>41778</v>
      </c>
      <c r="D328" s="43">
        <v>22.3</v>
      </c>
      <c r="E328" s="11" t="s">
        <v>51</v>
      </c>
      <c r="F328" s="10" t="s">
        <v>53</v>
      </c>
      <c r="G328" s="23" t="s">
        <v>523</v>
      </c>
      <c r="H328" s="21">
        <v>41778</v>
      </c>
      <c r="I328" s="43">
        <v>22.3</v>
      </c>
      <c r="J328" s="9"/>
    </row>
    <row r="329" spans="1:10" ht="18" customHeight="1">
      <c r="A329" s="33">
        <v>324</v>
      </c>
      <c r="B329" s="23" t="s">
        <v>524</v>
      </c>
      <c r="C329" s="21">
        <v>41779</v>
      </c>
      <c r="D329" s="43">
        <v>27.35</v>
      </c>
      <c r="E329" s="11" t="s">
        <v>51</v>
      </c>
      <c r="F329" s="10" t="s">
        <v>53</v>
      </c>
      <c r="G329" s="23" t="s">
        <v>524</v>
      </c>
      <c r="H329" s="21">
        <v>41779</v>
      </c>
      <c r="I329" s="43">
        <v>27.35</v>
      </c>
      <c r="J329" s="9"/>
    </row>
    <row r="330" spans="1:10" ht="18" customHeight="1">
      <c r="A330" s="33">
        <v>325</v>
      </c>
      <c r="B330" s="23" t="s">
        <v>525</v>
      </c>
      <c r="C330" s="21">
        <v>41779</v>
      </c>
      <c r="D330" s="43">
        <v>29.44</v>
      </c>
      <c r="E330" s="11" t="s">
        <v>51</v>
      </c>
      <c r="F330" s="10" t="s">
        <v>53</v>
      </c>
      <c r="G330" s="23" t="s">
        <v>525</v>
      </c>
      <c r="H330" s="21">
        <v>41779</v>
      </c>
      <c r="I330" s="43">
        <v>29.44</v>
      </c>
      <c r="J330" s="9"/>
    </row>
    <row r="331" spans="1:10" ht="18" customHeight="1">
      <c r="A331" s="33">
        <v>326</v>
      </c>
      <c r="B331" s="23" t="s">
        <v>528</v>
      </c>
      <c r="C331" s="21">
        <v>41786</v>
      </c>
      <c r="D331" s="43">
        <v>28.01</v>
      </c>
      <c r="E331" s="11" t="s">
        <v>51</v>
      </c>
      <c r="F331" s="10" t="s">
        <v>53</v>
      </c>
      <c r="G331" s="23" t="s">
        <v>528</v>
      </c>
      <c r="H331" s="21">
        <v>41786</v>
      </c>
      <c r="I331" s="43">
        <v>28.01</v>
      </c>
      <c r="J331" s="9"/>
    </row>
    <row r="332" spans="1:10" ht="18" customHeight="1">
      <c r="A332" s="33">
        <v>327</v>
      </c>
      <c r="B332" s="24" t="s">
        <v>530</v>
      </c>
      <c r="C332" s="21">
        <v>41793</v>
      </c>
      <c r="D332" s="43">
        <v>22.1</v>
      </c>
      <c r="E332" s="11" t="s">
        <v>51</v>
      </c>
      <c r="F332" s="10" t="s">
        <v>53</v>
      </c>
      <c r="G332" s="24" t="s">
        <v>530</v>
      </c>
      <c r="H332" s="21">
        <v>41793</v>
      </c>
      <c r="I332" s="43">
        <v>22.1</v>
      </c>
      <c r="J332" s="9"/>
    </row>
    <row r="333" spans="1:10" ht="18" customHeight="1">
      <c r="A333" s="33">
        <v>328</v>
      </c>
      <c r="B333" s="24" t="s">
        <v>531</v>
      </c>
      <c r="C333" s="21">
        <v>41793</v>
      </c>
      <c r="D333" s="43">
        <v>30.9</v>
      </c>
      <c r="E333" s="11" t="s">
        <v>51</v>
      </c>
      <c r="F333" s="10" t="s">
        <v>53</v>
      </c>
      <c r="G333" s="24" t="s">
        <v>531</v>
      </c>
      <c r="H333" s="21">
        <v>41793</v>
      </c>
      <c r="I333" s="43">
        <v>30.9</v>
      </c>
      <c r="J333" s="9"/>
    </row>
    <row r="334" spans="1:10" ht="18" customHeight="1">
      <c r="A334" s="33">
        <v>329</v>
      </c>
      <c r="B334" s="24" t="s">
        <v>532</v>
      </c>
      <c r="C334" s="21">
        <v>41793</v>
      </c>
      <c r="D334" s="43">
        <v>45.25</v>
      </c>
      <c r="E334" s="11" t="s">
        <v>51</v>
      </c>
      <c r="F334" s="10" t="s">
        <v>53</v>
      </c>
      <c r="G334" s="24" t="s">
        <v>532</v>
      </c>
      <c r="H334" s="21">
        <v>41793</v>
      </c>
      <c r="I334" s="43">
        <v>45.25</v>
      </c>
      <c r="J334" s="9"/>
    </row>
    <row r="335" spans="1:10" ht="18" customHeight="1">
      <c r="A335" s="33">
        <v>330</v>
      </c>
      <c r="B335" s="24" t="s">
        <v>534</v>
      </c>
      <c r="C335" s="21">
        <v>41799</v>
      </c>
      <c r="D335" s="43">
        <v>31.74</v>
      </c>
      <c r="E335" s="11" t="s">
        <v>51</v>
      </c>
      <c r="F335" s="10" t="s">
        <v>53</v>
      </c>
      <c r="G335" s="24" t="s">
        <v>534</v>
      </c>
      <c r="H335" s="21">
        <v>41799</v>
      </c>
      <c r="I335" s="43">
        <v>31.74</v>
      </c>
      <c r="J335" s="9"/>
    </row>
    <row r="336" spans="1:10" ht="18" customHeight="1">
      <c r="A336" s="33">
        <v>331</v>
      </c>
      <c r="B336" s="24" t="s">
        <v>535</v>
      </c>
      <c r="C336" s="21">
        <v>41799</v>
      </c>
      <c r="D336" s="43">
        <v>104.78</v>
      </c>
      <c r="E336" s="11" t="s">
        <v>51</v>
      </c>
      <c r="F336" s="10" t="s">
        <v>53</v>
      </c>
      <c r="G336" s="24" t="s">
        <v>535</v>
      </c>
      <c r="H336" s="21">
        <v>41799</v>
      </c>
      <c r="I336" s="43">
        <v>104.78</v>
      </c>
      <c r="J336" s="9"/>
    </row>
    <row r="337" spans="1:10" ht="18" customHeight="1">
      <c r="A337" s="33">
        <v>332</v>
      </c>
      <c r="B337" s="24" t="s">
        <v>536</v>
      </c>
      <c r="C337" s="21">
        <v>41800</v>
      </c>
      <c r="D337" s="43">
        <v>32.6</v>
      </c>
      <c r="E337" s="11" t="s">
        <v>51</v>
      </c>
      <c r="F337" s="10" t="s">
        <v>53</v>
      </c>
      <c r="G337" s="24" t="s">
        <v>536</v>
      </c>
      <c r="H337" s="21">
        <v>41800</v>
      </c>
      <c r="I337" s="43">
        <v>32.6</v>
      </c>
      <c r="J337" s="9"/>
    </row>
    <row r="338" spans="1:10" ht="18" customHeight="1">
      <c r="A338" s="33">
        <v>333</v>
      </c>
      <c r="B338" s="24" t="s">
        <v>537</v>
      </c>
      <c r="C338" s="21">
        <v>41800</v>
      </c>
      <c r="D338" s="43">
        <v>42.96</v>
      </c>
      <c r="E338" s="11" t="s">
        <v>51</v>
      </c>
      <c r="F338" s="10" t="s">
        <v>53</v>
      </c>
      <c r="G338" s="24" t="s">
        <v>537</v>
      </c>
      <c r="H338" s="21">
        <v>41800</v>
      </c>
      <c r="I338" s="43">
        <v>42.96</v>
      </c>
      <c r="J338" s="9"/>
    </row>
    <row r="339" spans="1:10" ht="18" customHeight="1">
      <c r="A339" s="33">
        <v>334</v>
      </c>
      <c r="B339" s="24" t="s">
        <v>538</v>
      </c>
      <c r="C339" s="21">
        <v>41800</v>
      </c>
      <c r="D339" s="43">
        <v>112.27</v>
      </c>
      <c r="E339" s="11" t="s">
        <v>51</v>
      </c>
      <c r="F339" s="10" t="s">
        <v>53</v>
      </c>
      <c r="G339" s="24" t="s">
        <v>538</v>
      </c>
      <c r="H339" s="21">
        <v>41800</v>
      </c>
      <c r="I339" s="43">
        <v>112.27</v>
      </c>
      <c r="J339" s="9"/>
    </row>
    <row r="340" spans="1:10" ht="18" customHeight="1">
      <c r="A340" s="33">
        <v>335</v>
      </c>
      <c r="B340" s="24" t="s">
        <v>539</v>
      </c>
      <c r="C340" s="21">
        <v>41800</v>
      </c>
      <c r="D340" s="43">
        <v>31.53</v>
      </c>
      <c r="E340" s="11" t="s">
        <v>51</v>
      </c>
      <c r="F340" s="10" t="s">
        <v>53</v>
      </c>
      <c r="G340" s="24" t="s">
        <v>539</v>
      </c>
      <c r="H340" s="21">
        <v>41800</v>
      </c>
      <c r="I340" s="43">
        <v>31.53</v>
      </c>
      <c r="J340" s="9"/>
    </row>
    <row r="341" spans="1:10" ht="18" customHeight="1">
      <c r="A341" s="33">
        <v>336</v>
      </c>
      <c r="B341" s="24" t="s">
        <v>540</v>
      </c>
      <c r="C341" s="21">
        <v>41800</v>
      </c>
      <c r="D341" s="43">
        <v>35.450000000000003</v>
      </c>
      <c r="E341" s="11" t="s">
        <v>51</v>
      </c>
      <c r="F341" s="10" t="s">
        <v>53</v>
      </c>
      <c r="G341" s="24" t="s">
        <v>540</v>
      </c>
      <c r="H341" s="21">
        <v>41800</v>
      </c>
      <c r="I341" s="43">
        <v>35.450000000000003</v>
      </c>
      <c r="J341" s="9"/>
    </row>
    <row r="342" spans="1:10" ht="18" customHeight="1">
      <c r="A342" s="33">
        <v>337</v>
      </c>
      <c r="B342" s="24" t="s">
        <v>542</v>
      </c>
      <c r="C342" s="21">
        <v>41806</v>
      </c>
      <c r="D342" s="43">
        <v>29.64</v>
      </c>
      <c r="E342" s="11" t="s">
        <v>51</v>
      </c>
      <c r="F342" s="10" t="s">
        <v>53</v>
      </c>
      <c r="G342" s="24" t="s">
        <v>542</v>
      </c>
      <c r="H342" s="21">
        <v>41806</v>
      </c>
      <c r="I342" s="43">
        <v>29.64</v>
      </c>
      <c r="J342" s="9"/>
    </row>
    <row r="343" spans="1:10" ht="18" customHeight="1">
      <c r="A343" s="33">
        <v>338</v>
      </c>
      <c r="B343" s="24" t="s">
        <v>543</v>
      </c>
      <c r="C343" s="21">
        <v>41806</v>
      </c>
      <c r="D343" s="43">
        <v>63.68</v>
      </c>
      <c r="E343" s="11" t="s">
        <v>51</v>
      </c>
      <c r="F343" s="10" t="s">
        <v>53</v>
      </c>
      <c r="G343" s="24" t="s">
        <v>543</v>
      </c>
      <c r="H343" s="21">
        <v>41806</v>
      </c>
      <c r="I343" s="43">
        <v>63.68</v>
      </c>
      <c r="J343" s="9"/>
    </row>
    <row r="344" spans="1:10" ht="18" customHeight="1">
      <c r="A344" s="33">
        <v>341</v>
      </c>
      <c r="B344" s="24" t="s">
        <v>544</v>
      </c>
      <c r="C344" s="21">
        <v>41807</v>
      </c>
      <c r="D344" s="43">
        <v>77.8</v>
      </c>
      <c r="E344" s="11" t="s">
        <v>51</v>
      </c>
      <c r="F344" s="10" t="s">
        <v>53</v>
      </c>
      <c r="G344" s="24" t="s">
        <v>544</v>
      </c>
      <c r="H344" s="21">
        <v>41807</v>
      </c>
      <c r="I344" s="43">
        <v>77.8</v>
      </c>
      <c r="J344" s="9"/>
    </row>
    <row r="345" spans="1:10" ht="18" customHeight="1">
      <c r="A345" s="33">
        <v>342</v>
      </c>
      <c r="B345" s="24" t="s">
        <v>545</v>
      </c>
      <c r="C345" s="21">
        <v>41807</v>
      </c>
      <c r="D345" s="43">
        <v>36.520000000000003</v>
      </c>
      <c r="E345" s="11" t="s">
        <v>51</v>
      </c>
      <c r="F345" s="10" t="s">
        <v>53</v>
      </c>
      <c r="G345" s="24" t="s">
        <v>545</v>
      </c>
      <c r="H345" s="21">
        <v>41807</v>
      </c>
      <c r="I345" s="43">
        <v>36.520000000000003</v>
      </c>
      <c r="J345" s="9"/>
    </row>
    <row r="346" spans="1:10" ht="18" customHeight="1">
      <c r="A346" s="33">
        <v>343</v>
      </c>
      <c r="B346" s="24" t="s">
        <v>546</v>
      </c>
      <c r="C346" s="21">
        <v>41807</v>
      </c>
      <c r="D346" s="43">
        <v>6.5</v>
      </c>
      <c r="E346" s="11" t="s">
        <v>51</v>
      </c>
      <c r="F346" s="10" t="s">
        <v>53</v>
      </c>
      <c r="G346" s="24" t="s">
        <v>546</v>
      </c>
      <c r="H346" s="21">
        <v>41807</v>
      </c>
      <c r="I346" s="43">
        <v>6.5</v>
      </c>
      <c r="J346" s="9"/>
    </row>
    <row r="347" spans="1:10" ht="18" customHeight="1">
      <c r="A347" s="33">
        <v>344</v>
      </c>
      <c r="B347" s="24" t="s">
        <v>547</v>
      </c>
      <c r="C347" s="21">
        <v>41807</v>
      </c>
      <c r="D347" s="43">
        <v>27.35</v>
      </c>
      <c r="E347" s="11" t="s">
        <v>51</v>
      </c>
      <c r="F347" s="10" t="s">
        <v>53</v>
      </c>
      <c r="G347" s="24" t="s">
        <v>547</v>
      </c>
      <c r="H347" s="21">
        <v>41807</v>
      </c>
      <c r="I347" s="43">
        <v>27.35</v>
      </c>
      <c r="J347" s="9"/>
    </row>
    <row r="348" spans="1:10" ht="18" customHeight="1">
      <c r="A348" s="33">
        <v>345</v>
      </c>
      <c r="B348" s="24" t="s">
        <v>548</v>
      </c>
      <c r="C348" s="21">
        <v>41809</v>
      </c>
      <c r="D348" s="43">
        <v>6.5</v>
      </c>
      <c r="E348" s="11" t="s">
        <v>51</v>
      </c>
      <c r="F348" s="10" t="s">
        <v>53</v>
      </c>
      <c r="G348" s="24" t="s">
        <v>548</v>
      </c>
      <c r="H348" s="21">
        <v>41809</v>
      </c>
      <c r="I348" s="43">
        <v>6.5</v>
      </c>
      <c r="J348" s="9"/>
    </row>
    <row r="349" spans="1:10" ht="18" customHeight="1">
      <c r="A349" s="33">
        <v>346</v>
      </c>
      <c r="B349" s="24" t="s">
        <v>549</v>
      </c>
      <c r="C349" s="21">
        <v>41810</v>
      </c>
      <c r="D349" s="43">
        <v>6.5</v>
      </c>
      <c r="E349" s="11" t="s">
        <v>51</v>
      </c>
      <c r="F349" s="10" t="s">
        <v>53</v>
      </c>
      <c r="G349" s="24" t="s">
        <v>549</v>
      </c>
      <c r="H349" s="21">
        <v>41810</v>
      </c>
      <c r="I349" s="43">
        <v>6.5</v>
      </c>
      <c r="J349" s="9"/>
    </row>
    <row r="350" spans="1:10" ht="18" customHeight="1">
      <c r="A350" s="33">
        <v>347</v>
      </c>
      <c r="B350" s="24" t="s">
        <v>550</v>
      </c>
      <c r="C350" s="21">
        <v>41813</v>
      </c>
      <c r="D350" s="43">
        <v>31.41</v>
      </c>
      <c r="E350" s="11" t="s">
        <v>51</v>
      </c>
      <c r="F350" s="10" t="s">
        <v>53</v>
      </c>
      <c r="G350" s="24" t="s">
        <v>550</v>
      </c>
      <c r="H350" s="21">
        <v>41813</v>
      </c>
      <c r="I350" s="43">
        <v>31.41</v>
      </c>
      <c r="J350" s="9"/>
    </row>
    <row r="351" spans="1:10" ht="18" customHeight="1">
      <c r="A351" s="33">
        <v>348</v>
      </c>
      <c r="B351" s="24" t="s">
        <v>552</v>
      </c>
      <c r="C351" s="21">
        <v>41814</v>
      </c>
      <c r="D351" s="43">
        <v>62.52</v>
      </c>
      <c r="E351" s="11" t="s">
        <v>51</v>
      </c>
      <c r="F351" s="10" t="s">
        <v>53</v>
      </c>
      <c r="G351" s="24" t="s">
        <v>552</v>
      </c>
      <c r="H351" s="21">
        <v>41814</v>
      </c>
      <c r="I351" s="43">
        <v>62.52</v>
      </c>
      <c r="J351" s="9"/>
    </row>
    <row r="352" spans="1:10" ht="18" customHeight="1">
      <c r="A352" s="33">
        <v>349</v>
      </c>
      <c r="B352" s="24" t="s">
        <v>553</v>
      </c>
      <c r="C352" s="21">
        <v>41820</v>
      </c>
      <c r="D352" s="43">
        <v>30.38</v>
      </c>
      <c r="E352" s="11" t="s">
        <v>51</v>
      </c>
      <c r="F352" s="10" t="s">
        <v>53</v>
      </c>
      <c r="G352" s="24" t="s">
        <v>553</v>
      </c>
      <c r="H352" s="21">
        <v>41820</v>
      </c>
      <c r="I352" s="43">
        <v>30.38</v>
      </c>
      <c r="J352" s="9"/>
    </row>
    <row r="353" spans="1:10" ht="18" customHeight="1">
      <c r="A353" s="33">
        <v>350</v>
      </c>
      <c r="B353" s="24" t="s">
        <v>554</v>
      </c>
      <c r="C353" s="21">
        <v>41820</v>
      </c>
      <c r="D353" s="43">
        <v>23.41</v>
      </c>
      <c r="E353" s="11" t="s">
        <v>51</v>
      </c>
      <c r="F353" s="10" t="s">
        <v>53</v>
      </c>
      <c r="G353" s="24" t="s">
        <v>554</v>
      </c>
      <c r="H353" s="21">
        <v>41820</v>
      </c>
      <c r="I353" s="43">
        <v>23.41</v>
      </c>
      <c r="J353" s="9"/>
    </row>
    <row r="354" spans="1:10" ht="18" customHeight="1">
      <c r="A354" s="33">
        <v>351</v>
      </c>
      <c r="B354" s="24" t="s">
        <v>557</v>
      </c>
      <c r="C354" s="21">
        <v>41828</v>
      </c>
      <c r="D354" s="43">
        <v>37.200000000000003</v>
      </c>
      <c r="E354" s="11" t="s">
        <v>51</v>
      </c>
      <c r="F354" s="10" t="s">
        <v>53</v>
      </c>
      <c r="G354" s="24" t="s">
        <v>557</v>
      </c>
      <c r="H354" s="21">
        <v>41828</v>
      </c>
      <c r="I354" s="43">
        <v>37.200000000000003</v>
      </c>
      <c r="J354" s="9"/>
    </row>
    <row r="355" spans="1:10" ht="18" customHeight="1">
      <c r="A355" s="33">
        <v>352</v>
      </c>
      <c r="B355" s="24" t="s">
        <v>558</v>
      </c>
      <c r="C355" s="21">
        <v>41828</v>
      </c>
      <c r="D355" s="43">
        <v>22.3</v>
      </c>
      <c r="E355" s="11" t="s">
        <v>51</v>
      </c>
      <c r="F355" s="10" t="s">
        <v>53</v>
      </c>
      <c r="G355" s="24" t="s">
        <v>558</v>
      </c>
      <c r="H355" s="21">
        <v>41828</v>
      </c>
      <c r="I355" s="43">
        <v>22.3</v>
      </c>
      <c r="J355" s="9"/>
    </row>
    <row r="356" spans="1:10" ht="18" customHeight="1">
      <c r="A356" s="33">
        <v>353</v>
      </c>
      <c r="B356" s="24" t="s">
        <v>559</v>
      </c>
      <c r="C356" s="21">
        <v>41828</v>
      </c>
      <c r="D356" s="43">
        <v>38.53</v>
      </c>
      <c r="E356" s="11" t="s">
        <v>51</v>
      </c>
      <c r="F356" s="10" t="s">
        <v>53</v>
      </c>
      <c r="G356" s="24" t="s">
        <v>559</v>
      </c>
      <c r="H356" s="21">
        <v>41828</v>
      </c>
      <c r="I356" s="43">
        <v>38.53</v>
      </c>
      <c r="J356" s="9"/>
    </row>
    <row r="357" spans="1:10" ht="18" customHeight="1">
      <c r="A357" s="33">
        <v>354</v>
      </c>
      <c r="B357" s="24" t="s">
        <v>561</v>
      </c>
      <c r="C357" s="21">
        <v>41835</v>
      </c>
      <c r="D357" s="43">
        <v>88.75</v>
      </c>
      <c r="E357" s="11" t="s">
        <v>51</v>
      </c>
      <c r="F357" s="10" t="s">
        <v>53</v>
      </c>
      <c r="G357" s="24" t="s">
        <v>561</v>
      </c>
      <c r="H357" s="21">
        <v>41835</v>
      </c>
      <c r="I357" s="43">
        <v>88.75</v>
      </c>
      <c r="J357" s="9"/>
    </row>
    <row r="358" spans="1:10" ht="18" customHeight="1">
      <c r="A358" s="33">
        <v>355</v>
      </c>
      <c r="B358" s="24" t="s">
        <v>562</v>
      </c>
      <c r="C358" s="21">
        <v>41835</v>
      </c>
      <c r="D358" s="43">
        <v>142.72999999999999</v>
      </c>
      <c r="E358" s="11" t="s">
        <v>51</v>
      </c>
      <c r="F358" s="10" t="s">
        <v>53</v>
      </c>
      <c r="G358" s="24" t="s">
        <v>562</v>
      </c>
      <c r="H358" s="21">
        <v>41835</v>
      </c>
      <c r="I358" s="43">
        <v>142.72999999999999</v>
      </c>
      <c r="J358" s="9"/>
    </row>
    <row r="359" spans="1:10" ht="18" customHeight="1">
      <c r="A359" s="33">
        <v>356</v>
      </c>
      <c r="B359" s="24" t="s">
        <v>563</v>
      </c>
      <c r="C359" s="21">
        <v>41835</v>
      </c>
      <c r="D359" s="43">
        <v>22.3</v>
      </c>
      <c r="E359" s="11" t="s">
        <v>51</v>
      </c>
      <c r="F359" s="10" t="s">
        <v>53</v>
      </c>
      <c r="G359" s="24" t="s">
        <v>563</v>
      </c>
      <c r="H359" s="21">
        <v>41835</v>
      </c>
      <c r="I359" s="43">
        <v>22.3</v>
      </c>
      <c r="J359" s="9"/>
    </row>
    <row r="360" spans="1:10" ht="18" customHeight="1">
      <c r="A360" s="33">
        <v>357</v>
      </c>
      <c r="B360" s="24" t="s">
        <v>564</v>
      </c>
      <c r="C360" s="21">
        <v>41835</v>
      </c>
      <c r="D360" s="43">
        <v>5</v>
      </c>
      <c r="E360" s="11" t="s">
        <v>51</v>
      </c>
      <c r="F360" s="10" t="s">
        <v>53</v>
      </c>
      <c r="G360" s="24" t="s">
        <v>564</v>
      </c>
      <c r="H360" s="21">
        <v>41835</v>
      </c>
      <c r="I360" s="43">
        <v>5</v>
      </c>
      <c r="J360" s="9"/>
    </row>
    <row r="361" spans="1:10" ht="18" customHeight="1">
      <c r="A361" s="33">
        <v>358</v>
      </c>
      <c r="B361" s="24" t="s">
        <v>565</v>
      </c>
      <c r="C361" s="21">
        <v>41837</v>
      </c>
      <c r="D361" s="43">
        <v>5</v>
      </c>
      <c r="E361" s="11" t="s">
        <v>51</v>
      </c>
      <c r="F361" s="10" t="s">
        <v>53</v>
      </c>
      <c r="G361" s="24" t="s">
        <v>565</v>
      </c>
      <c r="H361" s="21">
        <v>41837</v>
      </c>
      <c r="I361" s="43">
        <v>5</v>
      </c>
      <c r="J361" s="9"/>
    </row>
    <row r="362" spans="1:10" ht="18" customHeight="1">
      <c r="A362" s="33">
        <v>359</v>
      </c>
      <c r="B362" s="24" t="s">
        <v>566</v>
      </c>
      <c r="C362" s="21">
        <v>41837</v>
      </c>
      <c r="D362" s="43">
        <v>5</v>
      </c>
      <c r="E362" s="11" t="s">
        <v>51</v>
      </c>
      <c r="F362" s="10" t="s">
        <v>53</v>
      </c>
      <c r="G362" s="24" t="s">
        <v>566</v>
      </c>
      <c r="H362" s="21">
        <v>41837</v>
      </c>
      <c r="I362" s="43">
        <v>5</v>
      </c>
      <c r="J362" s="9"/>
    </row>
    <row r="363" spans="1:10" ht="18" customHeight="1">
      <c r="A363" s="33">
        <v>360</v>
      </c>
      <c r="B363" s="24" t="s">
        <v>570</v>
      </c>
      <c r="C363" s="21">
        <v>41842</v>
      </c>
      <c r="D363" s="43">
        <v>59.41</v>
      </c>
      <c r="E363" s="11" t="s">
        <v>51</v>
      </c>
      <c r="F363" s="10" t="s">
        <v>53</v>
      </c>
      <c r="G363" s="24" t="s">
        <v>570</v>
      </c>
      <c r="H363" s="21">
        <v>41842</v>
      </c>
      <c r="I363" s="43">
        <v>59.41</v>
      </c>
      <c r="J363" s="9"/>
    </row>
    <row r="364" spans="1:10" ht="18" customHeight="1">
      <c r="A364" s="33">
        <v>361</v>
      </c>
      <c r="B364" s="24" t="s">
        <v>571</v>
      </c>
      <c r="C364" s="21">
        <v>41848</v>
      </c>
      <c r="D364" s="43">
        <v>5</v>
      </c>
      <c r="E364" s="11" t="s">
        <v>51</v>
      </c>
      <c r="F364" s="10" t="s">
        <v>53</v>
      </c>
      <c r="G364" s="24" t="s">
        <v>571</v>
      </c>
      <c r="H364" s="21">
        <v>41848</v>
      </c>
      <c r="I364" s="43">
        <v>5</v>
      </c>
      <c r="J364" s="9"/>
    </row>
    <row r="365" spans="1:10" ht="18" customHeight="1">
      <c r="A365" s="33">
        <v>362</v>
      </c>
      <c r="B365" s="24" t="s">
        <v>513</v>
      </c>
      <c r="C365" s="21">
        <v>41765</v>
      </c>
      <c r="D365" s="43">
        <v>22.99</v>
      </c>
      <c r="E365" s="11" t="s">
        <v>51</v>
      </c>
      <c r="F365" s="10" t="s">
        <v>53</v>
      </c>
      <c r="G365" s="42" t="s">
        <v>513</v>
      </c>
      <c r="H365" s="21">
        <v>41765</v>
      </c>
      <c r="I365" s="43">
        <v>22.99</v>
      </c>
      <c r="J365" s="9"/>
    </row>
    <row r="366" spans="1:10" ht="18" customHeight="1">
      <c r="A366" s="33">
        <v>363</v>
      </c>
      <c r="B366" s="24" t="s">
        <v>514</v>
      </c>
      <c r="C366" s="21">
        <v>41765</v>
      </c>
      <c r="D366" s="43">
        <v>41.9</v>
      </c>
      <c r="E366" s="11" t="s">
        <v>51</v>
      </c>
      <c r="F366" s="10" t="s">
        <v>53</v>
      </c>
      <c r="G366" s="42" t="s">
        <v>514</v>
      </c>
      <c r="H366" s="21">
        <v>41765</v>
      </c>
      <c r="I366" s="43">
        <v>41.9</v>
      </c>
      <c r="J366" s="9"/>
    </row>
    <row r="367" spans="1:10" ht="18" customHeight="1">
      <c r="A367" s="33">
        <v>364</v>
      </c>
      <c r="B367" s="24" t="s">
        <v>515</v>
      </c>
      <c r="C367" s="21">
        <v>41765</v>
      </c>
      <c r="D367" s="43">
        <v>27.55</v>
      </c>
      <c r="E367" s="11" t="s">
        <v>51</v>
      </c>
      <c r="F367" s="10" t="s">
        <v>53</v>
      </c>
      <c r="G367" s="42" t="s">
        <v>515</v>
      </c>
      <c r="H367" s="21">
        <v>41765</v>
      </c>
      <c r="I367" s="43">
        <v>27.55</v>
      </c>
      <c r="J367" s="9"/>
    </row>
    <row r="368" spans="1:10" ht="18" customHeight="1">
      <c r="A368" s="33">
        <v>365</v>
      </c>
      <c r="B368" s="24" t="s">
        <v>516</v>
      </c>
      <c r="C368" s="21">
        <v>41766</v>
      </c>
      <c r="D368" s="43">
        <v>82.68</v>
      </c>
      <c r="E368" s="11" t="s">
        <v>51</v>
      </c>
      <c r="F368" s="10" t="s">
        <v>53</v>
      </c>
      <c r="G368" s="42" t="s">
        <v>516</v>
      </c>
      <c r="H368" s="21">
        <v>41766</v>
      </c>
      <c r="I368" s="43">
        <v>82.68</v>
      </c>
      <c r="J368" s="9"/>
    </row>
    <row r="369" spans="1:10" ht="18" customHeight="1">
      <c r="A369" s="33">
        <v>366</v>
      </c>
      <c r="B369" s="24" t="s">
        <v>577</v>
      </c>
      <c r="C369" s="21">
        <v>41856</v>
      </c>
      <c r="D369" s="43">
        <v>54.09</v>
      </c>
      <c r="E369" s="11" t="s">
        <v>51</v>
      </c>
      <c r="F369" s="10" t="s">
        <v>53</v>
      </c>
      <c r="G369" s="24" t="s">
        <v>577</v>
      </c>
      <c r="H369" s="21">
        <v>41856</v>
      </c>
      <c r="I369" s="43">
        <v>54.09</v>
      </c>
      <c r="J369" s="9"/>
    </row>
    <row r="370" spans="1:10" ht="18" customHeight="1">
      <c r="A370" s="33">
        <v>367</v>
      </c>
      <c r="B370" s="24" t="s">
        <v>578</v>
      </c>
      <c r="C370" s="21">
        <v>41856</v>
      </c>
      <c r="D370" s="43">
        <v>30.93</v>
      </c>
      <c r="E370" s="11" t="s">
        <v>51</v>
      </c>
      <c r="F370" s="10" t="s">
        <v>53</v>
      </c>
      <c r="G370" s="24" t="s">
        <v>578</v>
      </c>
      <c r="H370" s="21">
        <v>41856</v>
      </c>
      <c r="I370" s="43">
        <v>30.93</v>
      </c>
      <c r="J370" s="9"/>
    </row>
    <row r="371" spans="1:10" ht="18" customHeight="1">
      <c r="A371" s="33">
        <v>368</v>
      </c>
      <c r="B371" s="24" t="s">
        <v>579</v>
      </c>
      <c r="C371" s="21">
        <v>41856</v>
      </c>
      <c r="D371" s="43">
        <v>31.94</v>
      </c>
      <c r="E371" s="11" t="s">
        <v>51</v>
      </c>
      <c r="F371" s="10" t="s">
        <v>53</v>
      </c>
      <c r="G371" s="24" t="s">
        <v>579</v>
      </c>
      <c r="H371" s="21">
        <v>41856</v>
      </c>
      <c r="I371" s="43">
        <v>31.94</v>
      </c>
      <c r="J371" s="9"/>
    </row>
    <row r="372" spans="1:10" ht="18" customHeight="1">
      <c r="A372" s="33">
        <v>369</v>
      </c>
      <c r="B372" s="24" t="s">
        <v>580</v>
      </c>
      <c r="C372" s="21">
        <v>41856</v>
      </c>
      <c r="D372" s="43">
        <v>22.3</v>
      </c>
      <c r="E372" s="11" t="s">
        <v>51</v>
      </c>
      <c r="F372" s="10" t="s">
        <v>53</v>
      </c>
      <c r="G372" s="24" t="s">
        <v>580</v>
      </c>
      <c r="H372" s="21">
        <v>41856</v>
      </c>
      <c r="I372" s="43">
        <v>22.3</v>
      </c>
      <c r="J372" s="9"/>
    </row>
    <row r="373" spans="1:10" ht="18" customHeight="1">
      <c r="A373" s="33">
        <v>370</v>
      </c>
      <c r="B373" s="24" t="s">
        <v>581</v>
      </c>
      <c r="C373" s="21">
        <v>41856</v>
      </c>
      <c r="D373" s="43">
        <v>30.36</v>
      </c>
      <c r="E373" s="11" t="s">
        <v>51</v>
      </c>
      <c r="F373" s="10" t="s">
        <v>53</v>
      </c>
      <c r="G373" s="24" t="s">
        <v>581</v>
      </c>
      <c r="H373" s="21">
        <v>41856</v>
      </c>
      <c r="I373" s="43">
        <v>30.36</v>
      </c>
      <c r="J373" s="9"/>
    </row>
    <row r="374" spans="1:10" ht="18" customHeight="1">
      <c r="A374" s="33">
        <v>371</v>
      </c>
      <c r="B374" s="24" t="s">
        <v>582</v>
      </c>
      <c r="C374" s="21">
        <v>41858</v>
      </c>
      <c r="D374" s="43">
        <v>5</v>
      </c>
      <c r="E374" s="11" t="s">
        <v>51</v>
      </c>
      <c r="F374" s="10" t="s">
        <v>53</v>
      </c>
      <c r="G374" s="24" t="s">
        <v>582</v>
      </c>
      <c r="H374" s="21">
        <v>41858</v>
      </c>
      <c r="I374" s="43">
        <v>5</v>
      </c>
      <c r="J374" s="9"/>
    </row>
    <row r="375" spans="1:10" ht="18" customHeight="1">
      <c r="A375" s="33">
        <v>372</v>
      </c>
      <c r="B375" s="24" t="s">
        <v>583</v>
      </c>
      <c r="C375" s="21">
        <v>41862</v>
      </c>
      <c r="D375" s="43">
        <v>5</v>
      </c>
      <c r="E375" s="11" t="s">
        <v>51</v>
      </c>
      <c r="F375" s="10" t="s">
        <v>53</v>
      </c>
      <c r="G375" s="24" t="s">
        <v>583</v>
      </c>
      <c r="H375" s="21">
        <v>41862</v>
      </c>
      <c r="I375" s="43">
        <v>5</v>
      </c>
      <c r="J375" s="9"/>
    </row>
    <row r="376" spans="1:10" ht="18" customHeight="1">
      <c r="A376" s="33">
        <v>373</v>
      </c>
      <c r="B376" s="24" t="s">
        <v>585</v>
      </c>
      <c r="C376" s="21">
        <v>41863</v>
      </c>
      <c r="D376" s="43">
        <v>26.6</v>
      </c>
      <c r="E376" s="11" t="s">
        <v>51</v>
      </c>
      <c r="F376" s="10" t="s">
        <v>53</v>
      </c>
      <c r="G376" s="24" t="s">
        <v>585</v>
      </c>
      <c r="H376" s="21">
        <v>41863</v>
      </c>
      <c r="I376" s="43">
        <v>26.6</v>
      </c>
      <c r="J376" s="9"/>
    </row>
    <row r="377" spans="1:10" ht="18" customHeight="1">
      <c r="A377" s="33">
        <v>374</v>
      </c>
      <c r="B377" s="24" t="s">
        <v>586</v>
      </c>
      <c r="C377" s="21">
        <v>41863</v>
      </c>
      <c r="D377" s="43">
        <v>25.27</v>
      </c>
      <c r="E377" s="11" t="s">
        <v>51</v>
      </c>
      <c r="F377" s="10" t="s">
        <v>53</v>
      </c>
      <c r="G377" s="24" t="s">
        <v>586</v>
      </c>
      <c r="H377" s="21">
        <v>41863</v>
      </c>
      <c r="I377" s="43">
        <v>25.27</v>
      </c>
      <c r="J377" s="9"/>
    </row>
    <row r="378" spans="1:10" ht="18" customHeight="1">
      <c r="A378" s="33">
        <v>375</v>
      </c>
      <c r="B378" s="24" t="s">
        <v>587</v>
      </c>
      <c r="C378" s="21">
        <v>41863</v>
      </c>
      <c r="D378" s="43">
        <v>64.75</v>
      </c>
      <c r="E378" s="11" t="s">
        <v>51</v>
      </c>
      <c r="F378" s="10" t="s">
        <v>53</v>
      </c>
      <c r="G378" s="24" t="s">
        <v>587</v>
      </c>
      <c r="H378" s="21">
        <v>41863</v>
      </c>
      <c r="I378" s="43">
        <v>64.75</v>
      </c>
      <c r="J378" s="9"/>
    </row>
    <row r="379" spans="1:10" ht="18" customHeight="1">
      <c r="A379" s="33">
        <v>376</v>
      </c>
      <c r="B379" s="24" t="s">
        <v>588</v>
      </c>
      <c r="C379" s="21">
        <v>41863</v>
      </c>
      <c r="D379" s="43">
        <v>84.08</v>
      </c>
      <c r="E379" s="11" t="s">
        <v>51</v>
      </c>
      <c r="F379" s="10" t="s">
        <v>53</v>
      </c>
      <c r="G379" s="24" t="s">
        <v>588</v>
      </c>
      <c r="H379" s="21">
        <v>41863</v>
      </c>
      <c r="I379" s="43">
        <v>84.08</v>
      </c>
      <c r="J379" s="9"/>
    </row>
    <row r="380" spans="1:10" ht="18" customHeight="1">
      <c r="A380" s="33">
        <v>377</v>
      </c>
      <c r="B380" s="24" t="s">
        <v>589</v>
      </c>
      <c r="C380" s="21">
        <v>41863</v>
      </c>
      <c r="D380" s="43">
        <v>28.4</v>
      </c>
      <c r="E380" s="11" t="s">
        <v>51</v>
      </c>
      <c r="F380" s="10" t="s">
        <v>53</v>
      </c>
      <c r="G380" s="24" t="s">
        <v>589</v>
      </c>
      <c r="H380" s="21">
        <v>41863</v>
      </c>
      <c r="I380" s="43">
        <v>28.4</v>
      </c>
      <c r="J380" s="9"/>
    </row>
    <row r="381" spans="1:10" ht="18" customHeight="1">
      <c r="A381" s="33">
        <v>378</v>
      </c>
      <c r="B381" s="24" t="s">
        <v>590</v>
      </c>
      <c r="C381" s="21">
        <v>41863</v>
      </c>
      <c r="D381" s="43">
        <v>23.09</v>
      </c>
      <c r="E381" s="11" t="s">
        <v>51</v>
      </c>
      <c r="F381" s="10" t="s">
        <v>53</v>
      </c>
      <c r="G381" s="24" t="s">
        <v>590</v>
      </c>
      <c r="H381" s="21">
        <v>41863</v>
      </c>
      <c r="I381" s="43">
        <v>23.09</v>
      </c>
      <c r="J381" s="9"/>
    </row>
    <row r="382" spans="1:10" ht="18" customHeight="1">
      <c r="A382" s="33">
        <v>379</v>
      </c>
      <c r="B382" s="24" t="s">
        <v>593</v>
      </c>
      <c r="C382" s="21">
        <v>41869</v>
      </c>
      <c r="D382" s="43">
        <v>33.19</v>
      </c>
      <c r="E382" s="11" t="s">
        <v>51</v>
      </c>
      <c r="F382" s="10" t="s">
        <v>53</v>
      </c>
      <c r="G382" s="24" t="s">
        <v>593</v>
      </c>
      <c r="H382" s="21">
        <v>41869</v>
      </c>
      <c r="I382" s="43">
        <v>33.19</v>
      </c>
      <c r="J382" s="9"/>
    </row>
    <row r="383" spans="1:10" ht="18" customHeight="1">
      <c r="A383" s="33">
        <v>380</v>
      </c>
      <c r="B383" s="24" t="s">
        <v>594</v>
      </c>
      <c r="C383" s="21">
        <v>41869</v>
      </c>
      <c r="D383" s="43">
        <v>35.99</v>
      </c>
      <c r="E383" s="11" t="s">
        <v>51</v>
      </c>
      <c r="F383" s="10" t="s">
        <v>53</v>
      </c>
      <c r="G383" s="24" t="s">
        <v>594</v>
      </c>
      <c r="H383" s="21">
        <v>41869</v>
      </c>
      <c r="I383" s="43">
        <v>35.99</v>
      </c>
      <c r="J383" s="9"/>
    </row>
    <row r="384" spans="1:10" ht="18" customHeight="1">
      <c r="A384" s="33">
        <v>381</v>
      </c>
      <c r="B384" s="24" t="s">
        <v>595</v>
      </c>
      <c r="C384" s="21">
        <v>41876</v>
      </c>
      <c r="D384" s="43">
        <v>33.26</v>
      </c>
      <c r="E384" s="11" t="s">
        <v>51</v>
      </c>
      <c r="F384" s="10" t="s">
        <v>53</v>
      </c>
      <c r="G384" s="24" t="s">
        <v>595</v>
      </c>
      <c r="H384" s="21">
        <v>41876</v>
      </c>
      <c r="I384" s="43">
        <v>33.26</v>
      </c>
      <c r="J384" s="9"/>
    </row>
    <row r="385" spans="1:10" ht="18" customHeight="1">
      <c r="A385" s="33">
        <v>382</v>
      </c>
      <c r="B385" s="24" t="s">
        <v>596</v>
      </c>
      <c r="C385" s="21">
        <v>41876</v>
      </c>
      <c r="D385" s="43">
        <v>22.3</v>
      </c>
      <c r="E385" s="11" t="s">
        <v>51</v>
      </c>
      <c r="F385" s="10" t="s">
        <v>53</v>
      </c>
      <c r="G385" s="24" t="s">
        <v>596</v>
      </c>
      <c r="H385" s="21">
        <v>41876</v>
      </c>
      <c r="I385" s="43">
        <v>22.3</v>
      </c>
      <c r="J385" s="9"/>
    </row>
    <row r="386" spans="1:10" ht="18" customHeight="1">
      <c r="A386" s="33">
        <v>383</v>
      </c>
      <c r="B386" s="24" t="s">
        <v>597</v>
      </c>
      <c r="C386" s="21">
        <v>41876</v>
      </c>
      <c r="D386" s="43">
        <v>5</v>
      </c>
      <c r="E386" s="11" t="s">
        <v>51</v>
      </c>
      <c r="F386" s="10" t="s">
        <v>53</v>
      </c>
      <c r="G386" s="24" t="s">
        <v>597</v>
      </c>
      <c r="H386" s="21">
        <v>41876</v>
      </c>
      <c r="I386" s="43">
        <v>5</v>
      </c>
      <c r="J386" s="9"/>
    </row>
    <row r="387" spans="1:10" ht="18" customHeight="1">
      <c r="A387" s="33">
        <v>384</v>
      </c>
      <c r="B387" s="24" t="s">
        <v>598</v>
      </c>
      <c r="C387" s="21">
        <v>41876</v>
      </c>
      <c r="D387" s="43">
        <v>5</v>
      </c>
      <c r="E387" s="11" t="s">
        <v>51</v>
      </c>
      <c r="F387" s="10" t="s">
        <v>53</v>
      </c>
      <c r="G387" s="24" t="s">
        <v>598</v>
      </c>
      <c r="H387" s="21">
        <v>41876</v>
      </c>
      <c r="I387" s="43">
        <v>5</v>
      </c>
      <c r="J387" s="9"/>
    </row>
    <row r="388" spans="1:10" ht="18" customHeight="1">
      <c r="A388" s="33">
        <v>385</v>
      </c>
      <c r="B388" s="24" t="s">
        <v>600</v>
      </c>
      <c r="C388" s="21">
        <v>41877</v>
      </c>
      <c r="D388" s="43">
        <v>38.770000000000003</v>
      </c>
      <c r="E388" s="11" t="s">
        <v>51</v>
      </c>
      <c r="F388" s="10" t="s">
        <v>53</v>
      </c>
      <c r="G388" s="24" t="s">
        <v>600</v>
      </c>
      <c r="H388" s="21">
        <v>41877</v>
      </c>
      <c r="I388" s="43">
        <v>38.770000000000003</v>
      </c>
      <c r="J388" s="9"/>
    </row>
    <row r="389" spans="1:10" ht="18" customHeight="1">
      <c r="A389" s="33">
        <v>386</v>
      </c>
      <c r="B389" s="24" t="s">
        <v>601</v>
      </c>
      <c r="C389" s="21">
        <v>41877</v>
      </c>
      <c r="D389" s="43">
        <v>5</v>
      </c>
      <c r="E389" s="11" t="s">
        <v>51</v>
      </c>
      <c r="F389" s="10" t="s">
        <v>53</v>
      </c>
      <c r="G389" s="24" t="s">
        <v>601</v>
      </c>
      <c r="H389" s="21">
        <v>41877</v>
      </c>
      <c r="I389" s="43">
        <v>5</v>
      </c>
      <c r="J389" s="9"/>
    </row>
    <row r="390" spans="1:10" ht="18" customHeight="1">
      <c r="A390" s="33">
        <v>387</v>
      </c>
      <c r="B390" s="24" t="s">
        <v>602</v>
      </c>
      <c r="C390" s="21">
        <v>41881</v>
      </c>
      <c r="D390" s="43">
        <v>42.84</v>
      </c>
      <c r="E390" s="11" t="s">
        <v>51</v>
      </c>
      <c r="F390" s="10" t="s">
        <v>53</v>
      </c>
      <c r="G390" s="24" t="s">
        <v>602</v>
      </c>
      <c r="H390" s="21">
        <v>41881</v>
      </c>
      <c r="I390" s="43">
        <v>42.84</v>
      </c>
      <c r="J390" s="9"/>
    </row>
    <row r="391" spans="1:10" ht="18" customHeight="1">
      <c r="A391" s="33">
        <v>388</v>
      </c>
      <c r="B391" s="24" t="s">
        <v>603</v>
      </c>
      <c r="C391" s="21">
        <v>41881</v>
      </c>
      <c r="D391" s="43">
        <v>5</v>
      </c>
      <c r="E391" s="11" t="s">
        <v>51</v>
      </c>
      <c r="F391" s="10" t="s">
        <v>53</v>
      </c>
      <c r="G391" s="24" t="s">
        <v>603</v>
      </c>
      <c r="H391" s="21">
        <v>41881</v>
      </c>
      <c r="I391" s="43">
        <v>5</v>
      </c>
      <c r="J391" s="9"/>
    </row>
    <row r="392" spans="1:10" ht="18" customHeight="1">
      <c r="A392" s="33">
        <v>389</v>
      </c>
      <c r="B392" s="24" t="s">
        <v>604</v>
      </c>
      <c r="C392" s="21">
        <v>41881</v>
      </c>
      <c r="D392" s="43">
        <v>5</v>
      </c>
      <c r="E392" s="11" t="s">
        <v>51</v>
      </c>
      <c r="F392" s="10" t="s">
        <v>53</v>
      </c>
      <c r="G392" s="24" t="s">
        <v>604</v>
      </c>
      <c r="H392" s="21">
        <v>41881</v>
      </c>
      <c r="I392" s="43">
        <v>5</v>
      </c>
      <c r="J392" s="9"/>
    </row>
    <row r="393" spans="1:10" ht="18" customHeight="1">
      <c r="A393" s="33">
        <v>390</v>
      </c>
      <c r="B393" s="24" t="s">
        <v>605</v>
      </c>
      <c r="C393" s="21">
        <v>41881</v>
      </c>
      <c r="D393" s="43">
        <v>5</v>
      </c>
      <c r="E393" s="11" t="s">
        <v>51</v>
      </c>
      <c r="F393" s="10" t="s">
        <v>53</v>
      </c>
      <c r="G393" s="24" t="s">
        <v>605</v>
      </c>
      <c r="H393" s="21">
        <v>41881</v>
      </c>
      <c r="I393" s="43">
        <v>5</v>
      </c>
      <c r="J393" s="9"/>
    </row>
    <row r="394" spans="1:10" ht="18" customHeight="1">
      <c r="A394" s="33">
        <v>391</v>
      </c>
      <c r="B394" s="24" t="s">
        <v>608</v>
      </c>
      <c r="C394" s="21">
        <v>41882</v>
      </c>
      <c r="D394" s="43">
        <v>23.84</v>
      </c>
      <c r="E394" s="11" t="s">
        <v>51</v>
      </c>
      <c r="F394" s="10" t="s">
        <v>53</v>
      </c>
      <c r="G394" s="24" t="s">
        <v>608</v>
      </c>
      <c r="H394" s="21">
        <v>41882</v>
      </c>
      <c r="I394" s="43">
        <v>23.84</v>
      </c>
      <c r="J394" s="9"/>
    </row>
    <row r="395" spans="1:10" ht="18" customHeight="1">
      <c r="A395" s="33">
        <v>392</v>
      </c>
      <c r="B395" s="24" t="s">
        <v>609</v>
      </c>
      <c r="C395" s="21">
        <v>41882</v>
      </c>
      <c r="D395" s="43">
        <v>40.29</v>
      </c>
      <c r="E395" s="11" t="s">
        <v>51</v>
      </c>
      <c r="F395" s="10" t="s">
        <v>53</v>
      </c>
      <c r="G395" s="24" t="s">
        <v>609</v>
      </c>
      <c r="H395" s="21">
        <v>41882</v>
      </c>
      <c r="I395" s="43">
        <v>40.29</v>
      </c>
      <c r="J395" s="9"/>
    </row>
    <row r="396" spans="1:10" ht="18" customHeight="1">
      <c r="A396" s="33">
        <v>393</v>
      </c>
      <c r="B396" s="24" t="s">
        <v>612</v>
      </c>
      <c r="C396" s="21">
        <v>41890</v>
      </c>
      <c r="D396" s="43">
        <v>29.84</v>
      </c>
      <c r="E396" s="11" t="s">
        <v>51</v>
      </c>
      <c r="F396" s="10" t="s">
        <v>53</v>
      </c>
      <c r="G396" s="24" t="s">
        <v>612</v>
      </c>
      <c r="H396" s="21">
        <v>41890</v>
      </c>
      <c r="I396" s="43">
        <v>29.84</v>
      </c>
      <c r="J396" s="9"/>
    </row>
    <row r="397" spans="1:10" ht="18" customHeight="1">
      <c r="A397" s="33">
        <v>394</v>
      </c>
      <c r="B397" s="24" t="s">
        <v>613</v>
      </c>
      <c r="C397" s="21">
        <v>41891</v>
      </c>
      <c r="D397" s="43">
        <v>25.19</v>
      </c>
      <c r="E397" s="11" t="s">
        <v>51</v>
      </c>
      <c r="F397" s="10" t="s">
        <v>53</v>
      </c>
      <c r="G397" s="24" t="s">
        <v>613</v>
      </c>
      <c r="H397" s="21">
        <v>41891</v>
      </c>
      <c r="I397" s="43">
        <v>25.19</v>
      </c>
      <c r="J397" s="9"/>
    </row>
    <row r="398" spans="1:10" ht="18" customHeight="1">
      <c r="A398" s="33">
        <v>395</v>
      </c>
      <c r="B398" s="24" t="s">
        <v>614</v>
      </c>
      <c r="C398" s="21">
        <v>41891</v>
      </c>
      <c r="D398" s="43">
        <v>22.58</v>
      </c>
      <c r="E398" s="11" t="s">
        <v>51</v>
      </c>
      <c r="F398" s="10" t="s">
        <v>53</v>
      </c>
      <c r="G398" s="24" t="s">
        <v>614</v>
      </c>
      <c r="H398" s="21">
        <v>41891</v>
      </c>
      <c r="I398" s="43">
        <v>22.58</v>
      </c>
      <c r="J398" s="9"/>
    </row>
    <row r="399" spans="1:10" ht="18" customHeight="1">
      <c r="A399" s="33">
        <v>396</v>
      </c>
      <c r="B399" s="24" t="s">
        <v>615</v>
      </c>
      <c r="C399" s="21">
        <v>41891</v>
      </c>
      <c r="D399" s="43">
        <v>55.57</v>
      </c>
      <c r="E399" s="11" t="s">
        <v>51</v>
      </c>
      <c r="F399" s="10" t="s">
        <v>53</v>
      </c>
      <c r="G399" s="24" t="s">
        <v>615</v>
      </c>
      <c r="H399" s="21">
        <v>41891</v>
      </c>
      <c r="I399" s="43">
        <v>55.57</v>
      </c>
      <c r="J399" s="9"/>
    </row>
    <row r="400" spans="1:10" ht="18" customHeight="1">
      <c r="A400" s="33">
        <v>397</v>
      </c>
      <c r="B400" s="24" t="s">
        <v>616</v>
      </c>
      <c r="C400" s="21">
        <v>41891</v>
      </c>
      <c r="D400" s="43">
        <v>41.18</v>
      </c>
      <c r="E400" s="11" t="s">
        <v>51</v>
      </c>
      <c r="F400" s="10" t="s">
        <v>53</v>
      </c>
      <c r="G400" s="24" t="s">
        <v>616</v>
      </c>
      <c r="H400" s="21">
        <v>41891</v>
      </c>
      <c r="I400" s="43">
        <v>41.18</v>
      </c>
      <c r="J400" s="9"/>
    </row>
    <row r="401" spans="1:10" ht="18" customHeight="1">
      <c r="A401" s="33">
        <v>398</v>
      </c>
      <c r="B401" s="24" t="s">
        <v>617</v>
      </c>
      <c r="C401" s="21">
        <v>41891</v>
      </c>
      <c r="D401" s="43">
        <v>28.4</v>
      </c>
      <c r="E401" s="11" t="s">
        <v>51</v>
      </c>
      <c r="F401" s="10" t="s">
        <v>53</v>
      </c>
      <c r="G401" s="24" t="s">
        <v>617</v>
      </c>
      <c r="H401" s="21">
        <v>41891</v>
      </c>
      <c r="I401" s="43">
        <v>28.4</v>
      </c>
      <c r="J401" s="9"/>
    </row>
    <row r="402" spans="1:10" ht="18" customHeight="1">
      <c r="A402" s="33">
        <v>399</v>
      </c>
      <c r="B402" s="24" t="s">
        <v>620</v>
      </c>
      <c r="C402" s="21">
        <v>41896</v>
      </c>
      <c r="D402" s="43">
        <v>24.08</v>
      </c>
      <c r="E402" s="11" t="s">
        <v>51</v>
      </c>
      <c r="F402" s="10" t="s">
        <v>53</v>
      </c>
      <c r="G402" s="24" t="s">
        <v>620</v>
      </c>
      <c r="H402" s="21">
        <v>41896</v>
      </c>
      <c r="I402" s="43">
        <v>24.08</v>
      </c>
      <c r="J402" s="9"/>
    </row>
    <row r="403" spans="1:10" ht="18" customHeight="1">
      <c r="A403" s="33">
        <v>400</v>
      </c>
      <c r="B403" s="24" t="s">
        <v>622</v>
      </c>
      <c r="C403" s="21">
        <v>41897</v>
      </c>
      <c r="D403" s="43">
        <v>26.6</v>
      </c>
      <c r="E403" s="11" t="s">
        <v>51</v>
      </c>
      <c r="F403" s="10" t="s">
        <v>53</v>
      </c>
      <c r="G403" s="24" t="s">
        <v>622</v>
      </c>
      <c r="H403" s="21">
        <v>41897</v>
      </c>
      <c r="I403" s="43">
        <v>26.6</v>
      </c>
      <c r="J403" s="9"/>
    </row>
    <row r="404" spans="1:10" ht="18" customHeight="1">
      <c r="A404" s="33">
        <v>401</v>
      </c>
      <c r="B404" s="24" t="s">
        <v>623</v>
      </c>
      <c r="C404" s="21">
        <v>41898</v>
      </c>
      <c r="D404" s="43">
        <v>5</v>
      </c>
      <c r="E404" s="11" t="s">
        <v>51</v>
      </c>
      <c r="F404" s="10" t="s">
        <v>53</v>
      </c>
      <c r="G404" s="24" t="s">
        <v>623</v>
      </c>
      <c r="H404" s="21">
        <v>41898</v>
      </c>
      <c r="I404" s="43">
        <v>5</v>
      </c>
      <c r="J404" s="9"/>
    </row>
    <row r="405" spans="1:10" ht="18" customHeight="1">
      <c r="A405" s="33">
        <v>402</v>
      </c>
      <c r="B405" s="24" t="s">
        <v>624</v>
      </c>
      <c r="C405" s="21">
        <v>41898</v>
      </c>
      <c r="D405" s="43">
        <v>5</v>
      </c>
      <c r="E405" s="11" t="s">
        <v>51</v>
      </c>
      <c r="F405" s="10" t="s">
        <v>53</v>
      </c>
      <c r="G405" s="24" t="s">
        <v>624</v>
      </c>
      <c r="H405" s="21">
        <v>41898</v>
      </c>
      <c r="I405" s="43">
        <v>5</v>
      </c>
      <c r="J405" s="9"/>
    </row>
    <row r="406" spans="1:10" ht="18" customHeight="1">
      <c r="A406" s="33">
        <v>403</v>
      </c>
      <c r="B406" s="24" t="s">
        <v>625</v>
      </c>
      <c r="C406" s="21">
        <v>41898</v>
      </c>
      <c r="D406" s="43">
        <v>37.96</v>
      </c>
      <c r="E406" s="11" t="s">
        <v>51</v>
      </c>
      <c r="F406" s="10" t="s">
        <v>53</v>
      </c>
      <c r="G406" s="24" t="s">
        <v>625</v>
      </c>
      <c r="H406" s="21">
        <v>41898</v>
      </c>
      <c r="I406" s="43">
        <v>37.96</v>
      </c>
      <c r="J406" s="9"/>
    </row>
    <row r="407" spans="1:10" ht="18" customHeight="1">
      <c r="A407" s="33">
        <v>404</v>
      </c>
      <c r="B407" s="24" t="s">
        <v>626</v>
      </c>
      <c r="C407" s="21">
        <v>41898</v>
      </c>
      <c r="D407" s="43">
        <v>34.93</v>
      </c>
      <c r="E407" s="11" t="s">
        <v>51</v>
      </c>
      <c r="F407" s="10" t="s">
        <v>53</v>
      </c>
      <c r="G407" s="24" t="s">
        <v>626</v>
      </c>
      <c r="H407" s="21">
        <v>41898</v>
      </c>
      <c r="I407" s="43">
        <v>34.93</v>
      </c>
      <c r="J407" s="9"/>
    </row>
    <row r="408" spans="1:10" ht="18" customHeight="1">
      <c r="A408" s="33">
        <v>405</v>
      </c>
      <c r="B408" s="24" t="s">
        <v>627</v>
      </c>
      <c r="C408" s="21">
        <v>41898</v>
      </c>
      <c r="D408" s="43">
        <v>22.3</v>
      </c>
      <c r="E408" s="11" t="s">
        <v>51</v>
      </c>
      <c r="F408" s="10" t="s">
        <v>53</v>
      </c>
      <c r="G408" s="24" t="s">
        <v>627</v>
      </c>
      <c r="H408" s="21">
        <v>41898</v>
      </c>
      <c r="I408" s="43">
        <v>22.3</v>
      </c>
      <c r="J408" s="9"/>
    </row>
    <row r="409" spans="1:10" ht="18" customHeight="1">
      <c r="A409" s="33">
        <v>406</v>
      </c>
      <c r="B409" s="24" t="s">
        <v>629</v>
      </c>
      <c r="C409" s="21">
        <v>41899</v>
      </c>
      <c r="D409" s="43">
        <v>5</v>
      </c>
      <c r="E409" s="11" t="s">
        <v>51</v>
      </c>
      <c r="F409" s="10" t="s">
        <v>53</v>
      </c>
      <c r="G409" s="24" t="s">
        <v>629</v>
      </c>
      <c r="H409" s="21">
        <v>41899</v>
      </c>
      <c r="I409" s="43">
        <v>5</v>
      </c>
      <c r="J409" s="9"/>
    </row>
    <row r="410" spans="1:10" ht="18" customHeight="1">
      <c r="A410" s="33">
        <v>407</v>
      </c>
      <c r="B410" s="24" t="s">
        <v>631</v>
      </c>
      <c r="C410" s="21">
        <v>41907</v>
      </c>
      <c r="D410" s="43">
        <v>25.55</v>
      </c>
      <c r="E410" s="11" t="s">
        <v>51</v>
      </c>
      <c r="F410" s="10" t="s">
        <v>53</v>
      </c>
      <c r="G410" s="24" t="s">
        <v>631</v>
      </c>
      <c r="H410" s="21">
        <v>41907</v>
      </c>
      <c r="I410" s="43">
        <v>25.55</v>
      </c>
      <c r="J410" s="9"/>
    </row>
    <row r="411" spans="1:10" ht="18" customHeight="1">
      <c r="A411" s="33">
        <v>408</v>
      </c>
      <c r="B411" s="24" t="s">
        <v>633</v>
      </c>
      <c r="C411" s="21">
        <v>41911</v>
      </c>
      <c r="D411" s="43">
        <v>5</v>
      </c>
      <c r="E411" s="11" t="s">
        <v>51</v>
      </c>
      <c r="F411" s="10" t="s">
        <v>53</v>
      </c>
      <c r="G411" s="24" t="s">
        <v>633</v>
      </c>
      <c r="H411" s="21">
        <v>41911</v>
      </c>
      <c r="I411" s="43">
        <v>5</v>
      </c>
      <c r="J411" s="9"/>
    </row>
    <row r="412" spans="1:10" ht="18" customHeight="1">
      <c r="A412" s="33">
        <v>409</v>
      </c>
      <c r="B412" s="24" t="s">
        <v>635</v>
      </c>
      <c r="C412" s="21">
        <v>41912</v>
      </c>
      <c r="D412" s="43">
        <v>22.3</v>
      </c>
      <c r="E412" s="11" t="s">
        <v>51</v>
      </c>
      <c r="F412" s="10" t="s">
        <v>53</v>
      </c>
      <c r="G412" s="24" t="s">
        <v>635</v>
      </c>
      <c r="H412" s="21">
        <v>41912</v>
      </c>
      <c r="I412" s="43">
        <v>22.3</v>
      </c>
      <c r="J412" s="9"/>
    </row>
    <row r="413" spans="1:10" ht="18" customHeight="1">
      <c r="A413" s="33">
        <v>410</v>
      </c>
      <c r="B413" s="24" t="s">
        <v>636</v>
      </c>
      <c r="C413" s="21">
        <v>41912</v>
      </c>
      <c r="D413" s="43">
        <v>22.3</v>
      </c>
      <c r="E413" s="11" t="s">
        <v>51</v>
      </c>
      <c r="F413" s="10" t="s">
        <v>53</v>
      </c>
      <c r="G413" s="24" t="s">
        <v>636</v>
      </c>
      <c r="H413" s="21">
        <v>41912</v>
      </c>
      <c r="I413" s="43">
        <v>22.3</v>
      </c>
      <c r="J413" s="9"/>
    </row>
    <row r="414" spans="1:10" ht="18" customHeight="1">
      <c r="A414" s="33">
        <v>411</v>
      </c>
      <c r="B414" s="24" t="s">
        <v>641</v>
      </c>
      <c r="C414" s="21">
        <v>41919</v>
      </c>
      <c r="D414" s="43">
        <v>5</v>
      </c>
      <c r="E414" s="11" t="s">
        <v>51</v>
      </c>
      <c r="F414" s="10" t="s">
        <v>53</v>
      </c>
      <c r="G414" s="24" t="s">
        <v>641</v>
      </c>
      <c r="H414" s="21">
        <v>41919</v>
      </c>
      <c r="I414" s="43">
        <v>5</v>
      </c>
      <c r="J414" s="9"/>
    </row>
    <row r="415" spans="1:10" ht="18" customHeight="1">
      <c r="A415" s="33">
        <v>412</v>
      </c>
      <c r="B415" s="24" t="s">
        <v>642</v>
      </c>
      <c r="C415" s="21">
        <v>41919</v>
      </c>
      <c r="D415" s="43">
        <v>63.66</v>
      </c>
      <c r="E415" s="11" t="s">
        <v>51</v>
      </c>
      <c r="F415" s="10" t="s">
        <v>53</v>
      </c>
      <c r="G415" s="24" t="s">
        <v>642</v>
      </c>
      <c r="H415" s="21">
        <v>41919</v>
      </c>
      <c r="I415" s="43">
        <v>63.66</v>
      </c>
      <c r="J415" s="9"/>
    </row>
    <row r="416" spans="1:10" ht="18" customHeight="1">
      <c r="A416" s="33">
        <v>413</v>
      </c>
      <c r="B416" s="24" t="s">
        <v>644</v>
      </c>
      <c r="C416" s="21">
        <v>41920</v>
      </c>
      <c r="D416" s="43">
        <v>34.369999999999997</v>
      </c>
      <c r="E416" s="11" t="s">
        <v>51</v>
      </c>
      <c r="F416" s="10" t="s">
        <v>53</v>
      </c>
      <c r="G416" s="24" t="s">
        <v>644</v>
      </c>
      <c r="H416" s="21">
        <v>41920</v>
      </c>
      <c r="I416" s="43">
        <v>34.369999999999997</v>
      </c>
      <c r="J416" s="9"/>
    </row>
    <row r="417" spans="1:10" ht="18" customHeight="1">
      <c r="A417" s="33">
        <v>414</v>
      </c>
      <c r="B417" s="24" t="s">
        <v>645</v>
      </c>
      <c r="C417" s="21">
        <v>41921</v>
      </c>
      <c r="D417" s="43">
        <v>26.6</v>
      </c>
      <c r="E417" s="11" t="s">
        <v>51</v>
      </c>
      <c r="F417" s="10" t="s">
        <v>53</v>
      </c>
      <c r="G417" s="24" t="s">
        <v>645</v>
      </c>
      <c r="H417" s="21">
        <v>41921</v>
      </c>
      <c r="I417" s="43">
        <v>26.6</v>
      </c>
      <c r="J417" s="9"/>
    </row>
    <row r="418" spans="1:10" ht="18" customHeight="1">
      <c r="A418" s="33">
        <v>415</v>
      </c>
      <c r="B418" s="24" t="s">
        <v>646</v>
      </c>
      <c r="C418" s="21">
        <v>41921</v>
      </c>
      <c r="D418" s="43">
        <v>52.59</v>
      </c>
      <c r="E418" s="11" t="s">
        <v>51</v>
      </c>
      <c r="F418" s="10" t="s">
        <v>53</v>
      </c>
      <c r="G418" s="24" t="s">
        <v>646</v>
      </c>
      <c r="H418" s="21">
        <v>41921</v>
      </c>
      <c r="I418" s="43">
        <v>52.59</v>
      </c>
      <c r="J418" s="9"/>
    </row>
    <row r="419" spans="1:10" ht="18" customHeight="1">
      <c r="A419" s="33">
        <v>416</v>
      </c>
      <c r="B419" s="24" t="s">
        <v>647</v>
      </c>
      <c r="C419" s="21">
        <v>41925</v>
      </c>
      <c r="D419" s="43">
        <v>27.43</v>
      </c>
      <c r="E419" s="11" t="s">
        <v>51</v>
      </c>
      <c r="F419" s="10" t="s">
        <v>53</v>
      </c>
      <c r="G419" s="24" t="s">
        <v>647</v>
      </c>
      <c r="H419" s="21">
        <v>41925</v>
      </c>
      <c r="I419" s="43">
        <v>27.43</v>
      </c>
      <c r="J419" s="9"/>
    </row>
    <row r="420" spans="1:10" ht="18" customHeight="1">
      <c r="A420" s="33">
        <v>417</v>
      </c>
      <c r="B420" s="24" t="s">
        <v>649</v>
      </c>
      <c r="C420" s="21">
        <v>41925</v>
      </c>
      <c r="D420" s="43">
        <v>32.57</v>
      </c>
      <c r="E420" s="11" t="s">
        <v>51</v>
      </c>
      <c r="F420" s="10" t="s">
        <v>53</v>
      </c>
      <c r="G420" s="24" t="s">
        <v>649</v>
      </c>
      <c r="H420" s="21">
        <v>41925</v>
      </c>
      <c r="I420" s="43">
        <v>32.57</v>
      </c>
      <c r="J420" s="9"/>
    </row>
    <row r="421" spans="1:10" ht="18" customHeight="1">
      <c r="A421" s="33">
        <v>418</v>
      </c>
      <c r="B421" s="24" t="s">
        <v>650</v>
      </c>
      <c r="C421" s="21">
        <v>41926</v>
      </c>
      <c r="D421" s="43">
        <v>29.73</v>
      </c>
      <c r="E421" s="11" t="s">
        <v>51</v>
      </c>
      <c r="F421" s="10" t="s">
        <v>53</v>
      </c>
      <c r="G421" s="24" t="s">
        <v>650</v>
      </c>
      <c r="H421" s="21">
        <v>41926</v>
      </c>
      <c r="I421" s="43">
        <v>29.73</v>
      </c>
      <c r="J421" s="9"/>
    </row>
    <row r="422" spans="1:10" ht="18" customHeight="1">
      <c r="A422" s="33">
        <v>419</v>
      </c>
      <c r="B422" s="24" t="s">
        <v>651</v>
      </c>
      <c r="C422" s="21">
        <v>41926</v>
      </c>
      <c r="D422" s="43">
        <v>24.2</v>
      </c>
      <c r="E422" s="11" t="s">
        <v>51</v>
      </c>
      <c r="F422" s="10" t="s">
        <v>53</v>
      </c>
      <c r="G422" s="24" t="s">
        <v>651</v>
      </c>
      <c r="H422" s="21">
        <v>41926</v>
      </c>
      <c r="I422" s="43">
        <v>24.2</v>
      </c>
      <c r="J422" s="9"/>
    </row>
    <row r="423" spans="1:10" ht="18" customHeight="1">
      <c r="A423" s="33">
        <v>420</v>
      </c>
      <c r="B423" s="24" t="s">
        <v>652</v>
      </c>
      <c r="C423" s="21">
        <v>41926</v>
      </c>
      <c r="D423" s="43">
        <v>52.82</v>
      </c>
      <c r="E423" s="11" t="s">
        <v>51</v>
      </c>
      <c r="F423" s="10" t="s">
        <v>53</v>
      </c>
      <c r="G423" s="24" t="s">
        <v>652</v>
      </c>
      <c r="H423" s="21">
        <v>41926</v>
      </c>
      <c r="I423" s="43">
        <v>52.82</v>
      </c>
      <c r="J423" s="9"/>
    </row>
    <row r="424" spans="1:10" ht="18" customHeight="1">
      <c r="A424" s="33">
        <v>421</v>
      </c>
      <c r="B424" s="24" t="s">
        <v>655</v>
      </c>
      <c r="C424" s="21">
        <v>41933</v>
      </c>
      <c r="D424" s="43">
        <v>29.71</v>
      </c>
      <c r="E424" s="11" t="s">
        <v>51</v>
      </c>
      <c r="F424" s="10" t="s">
        <v>53</v>
      </c>
      <c r="G424" s="24" t="s">
        <v>655</v>
      </c>
      <c r="H424" s="21">
        <v>41933</v>
      </c>
      <c r="I424" s="43">
        <v>29.71</v>
      </c>
      <c r="J424" s="9"/>
    </row>
    <row r="425" spans="1:10" ht="18" customHeight="1">
      <c r="A425" s="33">
        <v>422</v>
      </c>
      <c r="B425" s="24" t="s">
        <v>656</v>
      </c>
      <c r="C425" s="21">
        <v>41933</v>
      </c>
      <c r="D425" s="43">
        <v>39.18</v>
      </c>
      <c r="E425" s="11" t="s">
        <v>51</v>
      </c>
      <c r="F425" s="10" t="s">
        <v>53</v>
      </c>
      <c r="G425" s="24" t="s">
        <v>656</v>
      </c>
      <c r="H425" s="21">
        <v>41933</v>
      </c>
      <c r="I425" s="43">
        <v>39.18</v>
      </c>
      <c r="J425" s="9"/>
    </row>
    <row r="426" spans="1:10" ht="18" customHeight="1">
      <c r="A426" s="33">
        <v>423</v>
      </c>
      <c r="B426" s="24" t="s">
        <v>659</v>
      </c>
      <c r="C426" s="21">
        <v>41940</v>
      </c>
      <c r="D426" s="43">
        <v>23.89</v>
      </c>
      <c r="E426" s="11" t="s">
        <v>51</v>
      </c>
      <c r="F426" s="10" t="s">
        <v>53</v>
      </c>
      <c r="G426" s="24" t="s">
        <v>659</v>
      </c>
      <c r="H426" s="21">
        <v>41940</v>
      </c>
      <c r="I426" s="43">
        <v>23.89</v>
      </c>
      <c r="J426" s="9"/>
    </row>
    <row r="427" spans="1:10" ht="18" customHeight="1">
      <c r="A427" s="33">
        <v>424</v>
      </c>
      <c r="B427" s="24" t="s">
        <v>662</v>
      </c>
      <c r="C427" s="21">
        <v>41946</v>
      </c>
      <c r="D427" s="43">
        <v>22.3</v>
      </c>
      <c r="E427" s="11" t="s">
        <v>51</v>
      </c>
      <c r="F427" s="10" t="s">
        <v>53</v>
      </c>
      <c r="G427" s="24" t="s">
        <v>662</v>
      </c>
      <c r="H427" s="21">
        <v>41946</v>
      </c>
      <c r="I427" s="43">
        <v>22.3</v>
      </c>
      <c r="J427" s="9"/>
    </row>
    <row r="428" spans="1:10" ht="18" customHeight="1">
      <c r="A428" s="33">
        <v>425</v>
      </c>
      <c r="B428" s="24" t="s">
        <v>663</v>
      </c>
      <c r="C428" s="21">
        <v>41947</v>
      </c>
      <c r="D428" s="43">
        <v>27.35</v>
      </c>
      <c r="E428" s="11" t="s">
        <v>51</v>
      </c>
      <c r="F428" s="10" t="s">
        <v>53</v>
      </c>
      <c r="G428" s="24" t="s">
        <v>663</v>
      </c>
      <c r="H428" s="21">
        <v>41947</v>
      </c>
      <c r="I428" s="43">
        <v>27.35</v>
      </c>
      <c r="J428" s="9"/>
    </row>
    <row r="429" spans="1:10" ht="18" customHeight="1">
      <c r="A429" s="33">
        <v>426</v>
      </c>
      <c r="B429" s="24" t="s">
        <v>664</v>
      </c>
      <c r="C429" s="21">
        <v>41947</v>
      </c>
      <c r="D429" s="43">
        <v>52.29</v>
      </c>
      <c r="E429" s="11" t="s">
        <v>51</v>
      </c>
      <c r="F429" s="10" t="s">
        <v>53</v>
      </c>
      <c r="G429" s="24" t="s">
        <v>664</v>
      </c>
      <c r="H429" s="21">
        <v>41947</v>
      </c>
      <c r="I429" s="43">
        <v>52.29</v>
      </c>
      <c r="J429" s="9"/>
    </row>
    <row r="430" spans="1:10" ht="18" customHeight="1">
      <c r="A430" s="33">
        <v>427</v>
      </c>
      <c r="B430" s="24" t="s">
        <v>665</v>
      </c>
      <c r="C430" s="21">
        <v>41947</v>
      </c>
      <c r="D430" s="43">
        <v>35.229999999999997</v>
      </c>
      <c r="E430" s="11" t="s">
        <v>51</v>
      </c>
      <c r="F430" s="10" t="s">
        <v>53</v>
      </c>
      <c r="G430" s="24" t="s">
        <v>665</v>
      </c>
      <c r="H430" s="21">
        <v>41947</v>
      </c>
      <c r="I430" s="43">
        <v>35.229999999999997</v>
      </c>
      <c r="J430" s="9"/>
    </row>
    <row r="431" spans="1:10" ht="18" customHeight="1">
      <c r="A431" s="33">
        <v>428</v>
      </c>
      <c r="B431" s="24" t="s">
        <v>667</v>
      </c>
      <c r="C431" s="21">
        <v>41954</v>
      </c>
      <c r="D431" s="43">
        <v>26.96</v>
      </c>
      <c r="E431" s="11" t="s">
        <v>51</v>
      </c>
      <c r="F431" s="10" t="s">
        <v>53</v>
      </c>
      <c r="G431" s="24" t="s">
        <v>667</v>
      </c>
      <c r="H431" s="21">
        <v>41954</v>
      </c>
      <c r="I431" s="43">
        <v>26.96</v>
      </c>
      <c r="J431" s="9"/>
    </row>
    <row r="432" spans="1:10" ht="18" customHeight="1">
      <c r="A432" s="33">
        <v>429</v>
      </c>
      <c r="B432" s="24" t="s">
        <v>668</v>
      </c>
      <c r="C432" s="21">
        <v>41955</v>
      </c>
      <c r="D432" s="43">
        <v>27.26</v>
      </c>
      <c r="E432" s="11" t="s">
        <v>51</v>
      </c>
      <c r="F432" s="10" t="s">
        <v>53</v>
      </c>
      <c r="G432" s="24" t="s">
        <v>668</v>
      </c>
      <c r="H432" s="21">
        <v>41955</v>
      </c>
      <c r="I432" s="43">
        <v>27.26</v>
      </c>
      <c r="J432" s="9"/>
    </row>
    <row r="433" spans="1:10" ht="18" customHeight="1">
      <c r="A433" s="33">
        <v>430</v>
      </c>
      <c r="B433" s="24" t="s">
        <v>671</v>
      </c>
      <c r="C433" s="21">
        <v>41961</v>
      </c>
      <c r="D433" s="43">
        <v>26.23</v>
      </c>
      <c r="E433" s="11" t="s">
        <v>51</v>
      </c>
      <c r="F433" s="10" t="s">
        <v>53</v>
      </c>
      <c r="G433" s="24" t="s">
        <v>671</v>
      </c>
      <c r="H433" s="21">
        <v>41961</v>
      </c>
      <c r="I433" s="43">
        <v>26.23</v>
      </c>
      <c r="J433" s="9"/>
    </row>
    <row r="434" spans="1:10" ht="18" customHeight="1">
      <c r="A434" s="33">
        <v>431</v>
      </c>
      <c r="B434" s="24" t="s">
        <v>672</v>
      </c>
      <c r="C434" s="21">
        <v>41961</v>
      </c>
      <c r="D434" s="43">
        <v>22.3</v>
      </c>
      <c r="E434" s="11" t="s">
        <v>51</v>
      </c>
      <c r="F434" s="10" t="s">
        <v>53</v>
      </c>
      <c r="G434" s="24" t="s">
        <v>672</v>
      </c>
      <c r="H434" s="21">
        <v>41961</v>
      </c>
      <c r="I434" s="43">
        <v>22.3</v>
      </c>
      <c r="J434" s="9"/>
    </row>
    <row r="435" spans="1:10" ht="18" customHeight="1">
      <c r="A435" s="33">
        <v>432</v>
      </c>
      <c r="B435" s="24" t="s">
        <v>673</v>
      </c>
      <c r="C435" s="21">
        <v>41967</v>
      </c>
      <c r="D435" s="43">
        <v>5</v>
      </c>
      <c r="E435" s="11" t="s">
        <v>51</v>
      </c>
      <c r="F435" s="10" t="s">
        <v>53</v>
      </c>
      <c r="G435" s="24" t="s">
        <v>673</v>
      </c>
      <c r="H435" s="21">
        <v>41967</v>
      </c>
      <c r="I435" s="43">
        <v>5</v>
      </c>
      <c r="J435" s="9"/>
    </row>
    <row r="436" spans="1:10" ht="18" customHeight="1">
      <c r="A436" s="33">
        <v>433</v>
      </c>
      <c r="B436" s="24" t="s">
        <v>676</v>
      </c>
      <c r="C436" s="21">
        <v>41968</v>
      </c>
      <c r="D436" s="43">
        <v>26.71</v>
      </c>
      <c r="E436" s="11" t="s">
        <v>51</v>
      </c>
      <c r="F436" s="10" t="s">
        <v>53</v>
      </c>
      <c r="G436" s="24" t="s">
        <v>676</v>
      </c>
      <c r="H436" s="21">
        <v>41968</v>
      </c>
      <c r="I436" s="43">
        <v>26.71</v>
      </c>
      <c r="J436" s="9"/>
    </row>
    <row r="437" spans="1:10" ht="18" customHeight="1">
      <c r="A437" s="33">
        <v>434</v>
      </c>
      <c r="B437" s="24" t="s">
        <v>677</v>
      </c>
      <c r="C437" s="21">
        <v>41973</v>
      </c>
      <c r="D437" s="43">
        <v>29.64</v>
      </c>
      <c r="E437" s="11" t="s">
        <v>51</v>
      </c>
      <c r="F437" s="10" t="s">
        <v>53</v>
      </c>
      <c r="G437" s="24" t="s">
        <v>677</v>
      </c>
      <c r="H437" s="21">
        <v>41973</v>
      </c>
      <c r="I437" s="43">
        <v>29.64</v>
      </c>
      <c r="J437" s="9"/>
    </row>
    <row r="438" spans="1:10" ht="18" customHeight="1">
      <c r="A438" s="33">
        <v>435</v>
      </c>
      <c r="B438" s="24" t="s">
        <v>681</v>
      </c>
      <c r="C438" s="21">
        <v>41981</v>
      </c>
      <c r="D438" s="43">
        <v>5</v>
      </c>
      <c r="E438" s="11" t="s">
        <v>51</v>
      </c>
      <c r="F438" s="10" t="s">
        <v>53</v>
      </c>
      <c r="G438" s="24" t="s">
        <v>681</v>
      </c>
      <c r="H438" s="21">
        <v>41981</v>
      </c>
      <c r="I438" s="43">
        <v>5</v>
      </c>
      <c r="J438" s="9"/>
    </row>
    <row r="439" spans="1:10" ht="18" customHeight="1">
      <c r="A439" s="33">
        <v>436</v>
      </c>
      <c r="B439" s="24" t="s">
        <v>682</v>
      </c>
      <c r="C439" s="21">
        <v>41982</v>
      </c>
      <c r="D439" s="43">
        <v>37.35</v>
      </c>
      <c r="E439" s="11" t="s">
        <v>51</v>
      </c>
      <c r="F439" s="10" t="s">
        <v>53</v>
      </c>
      <c r="G439" s="24" t="s">
        <v>682</v>
      </c>
      <c r="H439" s="21">
        <v>41982</v>
      </c>
      <c r="I439" s="43">
        <v>37.35</v>
      </c>
      <c r="J439" s="9"/>
    </row>
    <row r="440" spans="1:10" ht="18" customHeight="1">
      <c r="A440" s="33">
        <v>437</v>
      </c>
      <c r="B440" s="24" t="s">
        <v>683</v>
      </c>
      <c r="C440" s="21">
        <v>41982</v>
      </c>
      <c r="D440" s="43">
        <v>61.37</v>
      </c>
      <c r="E440" s="11" t="s">
        <v>51</v>
      </c>
      <c r="F440" s="10" t="s">
        <v>53</v>
      </c>
      <c r="G440" s="24" t="s">
        <v>683</v>
      </c>
      <c r="H440" s="21">
        <v>41982</v>
      </c>
      <c r="I440" s="43">
        <v>61.37</v>
      </c>
      <c r="J440" s="9"/>
    </row>
    <row r="441" spans="1:10" ht="18" customHeight="1">
      <c r="A441" s="33">
        <v>438</v>
      </c>
      <c r="B441" s="24" t="s">
        <v>684</v>
      </c>
      <c r="C441" s="21">
        <v>41982</v>
      </c>
      <c r="D441" s="43">
        <v>66.349999999999994</v>
      </c>
      <c r="E441" s="11" t="s">
        <v>51</v>
      </c>
      <c r="F441" s="10" t="s">
        <v>53</v>
      </c>
      <c r="G441" s="24" t="s">
        <v>684</v>
      </c>
      <c r="H441" s="21">
        <v>41982</v>
      </c>
      <c r="I441" s="43">
        <v>66.349999999999994</v>
      </c>
      <c r="J441" s="9"/>
    </row>
    <row r="442" spans="1:10" ht="18" customHeight="1">
      <c r="A442" s="33">
        <v>439</v>
      </c>
      <c r="B442" s="24" t="s">
        <v>685</v>
      </c>
      <c r="C442" s="21">
        <v>41982</v>
      </c>
      <c r="D442" s="43">
        <v>6.8</v>
      </c>
      <c r="E442" s="11" t="s">
        <v>51</v>
      </c>
      <c r="F442" s="10" t="s">
        <v>53</v>
      </c>
      <c r="G442" s="24" t="s">
        <v>685</v>
      </c>
      <c r="H442" s="21">
        <v>41982</v>
      </c>
      <c r="I442" s="43">
        <v>6.8</v>
      </c>
      <c r="J442" s="9"/>
    </row>
    <row r="443" spans="1:10" ht="18" customHeight="1">
      <c r="A443" s="33">
        <v>440</v>
      </c>
      <c r="B443" s="24" t="s">
        <v>686</v>
      </c>
      <c r="C443" s="21">
        <v>41983</v>
      </c>
      <c r="D443" s="43">
        <v>27.22</v>
      </c>
      <c r="E443" s="11" t="s">
        <v>51</v>
      </c>
      <c r="F443" s="10" t="s">
        <v>53</v>
      </c>
      <c r="G443" s="24" t="s">
        <v>686</v>
      </c>
      <c r="H443" s="21">
        <v>41983</v>
      </c>
      <c r="I443" s="43">
        <v>27.22</v>
      </c>
      <c r="J443" s="9"/>
    </row>
    <row r="444" spans="1:10" ht="18" customHeight="1">
      <c r="A444" s="33">
        <v>441</v>
      </c>
      <c r="B444" s="24" t="s">
        <v>687</v>
      </c>
      <c r="C444" s="21">
        <v>41983</v>
      </c>
      <c r="D444" s="43">
        <v>26.55</v>
      </c>
      <c r="E444" s="11" t="s">
        <v>51</v>
      </c>
      <c r="F444" s="10" t="s">
        <v>53</v>
      </c>
      <c r="G444" s="24" t="s">
        <v>687</v>
      </c>
      <c r="H444" s="21">
        <v>41983</v>
      </c>
      <c r="I444" s="43">
        <v>26.55</v>
      </c>
      <c r="J444" s="9"/>
    </row>
    <row r="445" spans="1:10" ht="18" customHeight="1">
      <c r="A445" s="33">
        <v>442</v>
      </c>
      <c r="B445" s="24" t="s">
        <v>688</v>
      </c>
      <c r="C445" s="21">
        <v>41983</v>
      </c>
      <c r="D445" s="43">
        <v>84.88</v>
      </c>
      <c r="E445" s="11" t="s">
        <v>51</v>
      </c>
      <c r="F445" s="10" t="s">
        <v>53</v>
      </c>
      <c r="G445" s="24" t="s">
        <v>688</v>
      </c>
      <c r="H445" s="21">
        <v>41983</v>
      </c>
      <c r="I445" s="43">
        <v>84.88</v>
      </c>
      <c r="J445" s="9"/>
    </row>
    <row r="446" spans="1:10" ht="18" customHeight="1">
      <c r="A446" s="33">
        <v>443</v>
      </c>
      <c r="B446" s="24" t="s">
        <v>689</v>
      </c>
      <c r="C446" s="21">
        <v>41983</v>
      </c>
      <c r="D446" s="43">
        <v>31.72</v>
      </c>
      <c r="E446" s="11" t="s">
        <v>51</v>
      </c>
      <c r="F446" s="10" t="s">
        <v>53</v>
      </c>
      <c r="G446" s="24" t="s">
        <v>689</v>
      </c>
      <c r="H446" s="21">
        <v>41983</v>
      </c>
      <c r="I446" s="43">
        <v>31.72</v>
      </c>
      <c r="J446" s="9"/>
    </row>
    <row r="447" spans="1:10" ht="18" customHeight="1">
      <c r="A447" s="33">
        <v>444</v>
      </c>
      <c r="B447" s="24" t="s">
        <v>690</v>
      </c>
      <c r="C447" s="21">
        <v>41984</v>
      </c>
      <c r="D447" s="43">
        <v>5</v>
      </c>
      <c r="E447" s="11" t="s">
        <v>51</v>
      </c>
      <c r="F447" s="10" t="s">
        <v>53</v>
      </c>
      <c r="G447" s="24" t="s">
        <v>690</v>
      </c>
      <c r="H447" s="21">
        <v>41984</v>
      </c>
      <c r="I447" s="43">
        <v>5</v>
      </c>
      <c r="J447" s="9"/>
    </row>
    <row r="448" spans="1:10" ht="18" customHeight="1">
      <c r="A448" s="33">
        <v>445</v>
      </c>
      <c r="B448" s="24" t="s">
        <v>693</v>
      </c>
      <c r="C448" s="21">
        <v>41989</v>
      </c>
      <c r="D448" s="43">
        <v>47.94</v>
      </c>
      <c r="E448" s="11" t="s">
        <v>51</v>
      </c>
      <c r="F448" s="10" t="s">
        <v>53</v>
      </c>
      <c r="G448" s="24" t="s">
        <v>693</v>
      </c>
      <c r="H448" s="21">
        <v>41989</v>
      </c>
      <c r="I448" s="43">
        <v>47.94</v>
      </c>
      <c r="J448" s="9"/>
    </row>
    <row r="449" spans="1:10" ht="18" customHeight="1">
      <c r="A449" s="33">
        <v>446</v>
      </c>
      <c r="B449" s="24" t="s">
        <v>694</v>
      </c>
      <c r="C449" s="21">
        <v>41989</v>
      </c>
      <c r="D449" s="43">
        <v>40.67</v>
      </c>
      <c r="E449" s="11" t="s">
        <v>51</v>
      </c>
      <c r="F449" s="10" t="s">
        <v>53</v>
      </c>
      <c r="G449" s="24" t="s">
        <v>694</v>
      </c>
      <c r="H449" s="21">
        <v>41989</v>
      </c>
      <c r="I449" s="43">
        <v>40.67</v>
      </c>
      <c r="J449" s="9"/>
    </row>
    <row r="450" spans="1:10" ht="18" customHeight="1">
      <c r="A450" s="33">
        <v>447</v>
      </c>
      <c r="B450" s="24" t="s">
        <v>695</v>
      </c>
      <c r="C450" s="21">
        <v>41989</v>
      </c>
      <c r="D450" s="43">
        <v>52.57</v>
      </c>
      <c r="E450" s="11" t="s">
        <v>51</v>
      </c>
      <c r="F450" s="10" t="s">
        <v>53</v>
      </c>
      <c r="G450" s="24" t="s">
        <v>695</v>
      </c>
      <c r="H450" s="21">
        <v>41989</v>
      </c>
      <c r="I450" s="43">
        <v>52.57</v>
      </c>
      <c r="J450" s="9"/>
    </row>
    <row r="451" spans="1:10" ht="18" customHeight="1">
      <c r="A451" s="33">
        <v>448</v>
      </c>
      <c r="B451" s="24" t="s">
        <v>698</v>
      </c>
      <c r="C451" s="21">
        <v>41996</v>
      </c>
      <c r="D451" s="43">
        <v>26</v>
      </c>
      <c r="E451" s="11" t="s">
        <v>51</v>
      </c>
      <c r="F451" s="10" t="s">
        <v>53</v>
      </c>
      <c r="G451" s="24" t="s">
        <v>698</v>
      </c>
      <c r="H451" s="21">
        <v>41996</v>
      </c>
      <c r="I451" s="43">
        <v>26</v>
      </c>
      <c r="J451" s="9"/>
    </row>
    <row r="452" spans="1:10" ht="18" customHeight="1">
      <c r="A452" s="33">
        <v>449</v>
      </c>
      <c r="B452" s="24" t="s">
        <v>699</v>
      </c>
      <c r="C452" s="21">
        <v>41996</v>
      </c>
      <c r="D452" s="43">
        <v>43.05</v>
      </c>
      <c r="E452" s="11" t="s">
        <v>51</v>
      </c>
      <c r="F452" s="10" t="s">
        <v>53</v>
      </c>
      <c r="G452" s="24" t="s">
        <v>699</v>
      </c>
      <c r="H452" s="21">
        <v>41996</v>
      </c>
      <c r="I452" s="43">
        <v>43.05</v>
      </c>
      <c r="J452" s="9"/>
    </row>
    <row r="453" spans="1:10" ht="18" customHeight="1">
      <c r="A453" s="33">
        <v>450</v>
      </c>
      <c r="B453" s="24" t="s">
        <v>700</v>
      </c>
      <c r="C453" s="21">
        <v>41996</v>
      </c>
      <c r="D453" s="43">
        <v>27.32</v>
      </c>
      <c r="E453" s="11" t="s">
        <v>51</v>
      </c>
      <c r="F453" s="10" t="s">
        <v>53</v>
      </c>
      <c r="G453" s="24" t="s">
        <v>700</v>
      </c>
      <c r="H453" s="21">
        <v>41996</v>
      </c>
      <c r="I453" s="43">
        <v>27.32</v>
      </c>
      <c r="J453" s="9"/>
    </row>
    <row r="454" spans="1:10" ht="18" customHeight="1">
      <c r="A454" s="33">
        <v>451</v>
      </c>
      <c r="B454" s="24" t="s">
        <v>701</v>
      </c>
      <c r="C454" s="21">
        <v>42001</v>
      </c>
      <c r="D454" s="43">
        <v>22.3</v>
      </c>
      <c r="E454" s="11" t="s">
        <v>51</v>
      </c>
      <c r="F454" s="10" t="s">
        <v>53</v>
      </c>
      <c r="G454" s="24" t="s">
        <v>701</v>
      </c>
      <c r="H454" s="21">
        <v>42001</v>
      </c>
      <c r="I454" s="43">
        <v>22.3</v>
      </c>
      <c r="J454" s="9"/>
    </row>
    <row r="455" spans="1:10" ht="18" customHeight="1">
      <c r="A455" s="33">
        <v>452</v>
      </c>
      <c r="B455" s="24" t="s">
        <v>702</v>
      </c>
      <c r="C455" s="21">
        <v>42001</v>
      </c>
      <c r="D455" s="43">
        <v>33.44</v>
      </c>
      <c r="E455" s="11" t="s">
        <v>51</v>
      </c>
      <c r="F455" s="10" t="s">
        <v>53</v>
      </c>
      <c r="G455" s="24" t="s">
        <v>702</v>
      </c>
      <c r="H455" s="21">
        <v>42001</v>
      </c>
      <c r="I455" s="43">
        <v>33.44</v>
      </c>
      <c r="J455" s="9"/>
    </row>
    <row r="456" spans="1:10" ht="18" customHeight="1">
      <c r="A456" s="33">
        <v>453</v>
      </c>
      <c r="B456" s="24" t="s">
        <v>703</v>
      </c>
      <c r="C456" s="21">
        <v>42002</v>
      </c>
      <c r="D456" s="43">
        <v>27.41</v>
      </c>
      <c r="E456" s="11" t="s">
        <v>51</v>
      </c>
      <c r="F456" s="10" t="s">
        <v>53</v>
      </c>
      <c r="G456" s="24" t="s">
        <v>703</v>
      </c>
      <c r="H456" s="21">
        <v>42002</v>
      </c>
      <c r="I456" s="43">
        <v>27.41</v>
      </c>
      <c r="J456" s="9"/>
    </row>
    <row r="457" spans="1:10" ht="18" customHeight="1">
      <c r="A457" s="33">
        <v>454</v>
      </c>
      <c r="B457" s="24" t="s">
        <v>704</v>
      </c>
      <c r="C457" s="21">
        <v>42002</v>
      </c>
      <c r="D457" s="43">
        <v>31.33</v>
      </c>
      <c r="E457" s="11" t="s">
        <v>51</v>
      </c>
      <c r="F457" s="10" t="s">
        <v>53</v>
      </c>
      <c r="G457" s="24" t="s">
        <v>704</v>
      </c>
      <c r="H457" s="21">
        <v>42002</v>
      </c>
      <c r="I457" s="43">
        <v>31.33</v>
      </c>
      <c r="J457" s="9"/>
    </row>
    <row r="458" spans="1:10" ht="18" customHeight="1">
      <c r="A458" s="33">
        <v>455</v>
      </c>
      <c r="B458" s="24" t="s">
        <v>705</v>
      </c>
      <c r="C458" s="21">
        <v>42002</v>
      </c>
      <c r="D458" s="43">
        <v>44.24</v>
      </c>
      <c r="E458" s="11" t="s">
        <v>51</v>
      </c>
      <c r="F458" s="10" t="s">
        <v>53</v>
      </c>
      <c r="G458" s="24" t="s">
        <v>705</v>
      </c>
      <c r="H458" s="21">
        <v>42002</v>
      </c>
      <c r="I458" s="43">
        <v>44.24</v>
      </c>
      <c r="J458" s="9"/>
    </row>
    <row r="459" spans="1:10" ht="24">
      <c r="A459" s="591" t="s">
        <v>724</v>
      </c>
      <c r="B459" s="592"/>
      <c r="C459" s="34"/>
      <c r="D459" s="14">
        <f>SUM(D8:D458)</f>
        <v>16281.499999999982</v>
      </c>
      <c r="E459" s="35"/>
      <c r="F459" s="35"/>
      <c r="G459" s="36"/>
      <c r="H459" s="34"/>
      <c r="I459" s="14">
        <f>SUM(I8:I458)</f>
        <v>16281.499999999982</v>
      </c>
      <c r="J459" s="32"/>
    </row>
  </sheetData>
  <mergeCells count="13">
    <mergeCell ref="A459:B459"/>
    <mergeCell ref="F6:F7"/>
    <mergeCell ref="G6:I6"/>
    <mergeCell ref="A1:J1"/>
    <mergeCell ref="A2:J2"/>
    <mergeCell ref="A3:E3"/>
    <mergeCell ref="A4:D4"/>
    <mergeCell ref="A5:A7"/>
    <mergeCell ref="B5:D5"/>
    <mergeCell ref="E5:I5"/>
    <mergeCell ref="J5:J7"/>
    <mergeCell ref="B6:D6"/>
    <mergeCell ref="E6:E7"/>
  </mergeCells>
  <pageMargins left="0.7" right="0.7" top="0.75" bottom="0.75" header="0.3" footer="0.3"/>
  <pageSetup paperSize="9" scale="75" orientation="portrait" verticalDpi="0" r:id="rId1"/>
  <headerFooter>
    <oddFooter>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38"/>
  <sheetViews>
    <sheetView topLeftCell="A2" workbookViewId="0">
      <selection activeCell="K11" sqref="K11"/>
    </sheetView>
  </sheetViews>
  <sheetFormatPr defaultRowHeight="13.2"/>
  <cols>
    <col min="2" max="2" width="12.5546875" customWidth="1"/>
    <col min="3" max="3" width="13" customWidth="1"/>
    <col min="4" max="4" width="13.33203125" customWidth="1"/>
    <col min="5" max="5" width="12.5546875" customWidth="1"/>
    <col min="6" max="6" width="12.88671875" customWidth="1"/>
    <col min="7" max="7" width="12.33203125" customWidth="1"/>
    <col min="8" max="8" width="15.33203125" customWidth="1"/>
    <col min="9" max="9" width="12" customWidth="1"/>
  </cols>
  <sheetData>
    <row r="1" spans="1:10" ht="33.6">
      <c r="A1" s="531" t="s">
        <v>10</v>
      </c>
      <c r="B1" s="531"/>
      <c r="C1" s="531"/>
      <c r="D1" s="531"/>
      <c r="E1" s="531"/>
      <c r="F1" s="531"/>
      <c r="G1" s="531"/>
      <c r="H1" s="531"/>
      <c r="I1" s="531"/>
      <c r="J1" s="531"/>
    </row>
    <row r="2" spans="1:10" ht="33.6">
      <c r="A2" s="531" t="s">
        <v>16</v>
      </c>
      <c r="B2" s="531"/>
      <c r="C2" s="531"/>
      <c r="D2" s="531"/>
      <c r="E2" s="531"/>
      <c r="F2" s="531"/>
      <c r="G2" s="531"/>
      <c r="H2" s="531"/>
      <c r="I2" s="531"/>
      <c r="J2" s="531"/>
    </row>
    <row r="3" spans="1:10" ht="27">
      <c r="A3" s="574" t="s">
        <v>723</v>
      </c>
      <c r="B3" s="574"/>
      <c r="C3" s="574"/>
      <c r="D3" s="574"/>
      <c r="E3" s="574"/>
      <c r="F3" s="4"/>
      <c r="G3" s="4"/>
      <c r="H3" s="4"/>
      <c r="I3" s="4"/>
      <c r="J3" s="4"/>
    </row>
    <row r="4" spans="1:10" ht="27">
      <c r="A4" s="533" t="s">
        <v>49</v>
      </c>
      <c r="B4" s="533"/>
      <c r="C4" s="533"/>
      <c r="D4" s="533"/>
      <c r="E4" s="5"/>
      <c r="F4" s="4"/>
      <c r="G4" s="4"/>
      <c r="H4" s="4"/>
      <c r="I4" s="4"/>
      <c r="J4" s="4"/>
    </row>
    <row r="5" spans="1:10" ht="25.2">
      <c r="A5" s="575" t="s">
        <v>2</v>
      </c>
      <c r="B5" s="578" t="s">
        <v>11</v>
      </c>
      <c r="C5" s="579"/>
      <c r="D5" s="580"/>
      <c r="E5" s="581" t="s">
        <v>5</v>
      </c>
      <c r="F5" s="582"/>
      <c r="G5" s="582"/>
      <c r="H5" s="582"/>
      <c r="I5" s="582"/>
      <c r="J5" s="583" t="s">
        <v>15</v>
      </c>
    </row>
    <row r="6" spans="1:10" ht="25.2">
      <c r="A6" s="576"/>
      <c r="B6" s="586" t="s">
        <v>12</v>
      </c>
      <c r="C6" s="587"/>
      <c r="D6" s="588"/>
      <c r="E6" s="589" t="s">
        <v>4</v>
      </c>
      <c r="F6" s="590" t="s">
        <v>14</v>
      </c>
      <c r="G6" s="586" t="s">
        <v>12</v>
      </c>
      <c r="H6" s="587"/>
      <c r="I6" s="588"/>
      <c r="J6" s="584"/>
    </row>
    <row r="7" spans="1:10" ht="25.2">
      <c r="A7" s="577"/>
      <c r="B7" s="8" t="s">
        <v>6</v>
      </c>
      <c r="C7" s="8" t="s">
        <v>13</v>
      </c>
      <c r="D7" s="8" t="s">
        <v>3</v>
      </c>
      <c r="E7" s="590"/>
      <c r="F7" s="590"/>
      <c r="G7" s="8" t="s">
        <v>6</v>
      </c>
      <c r="H7" s="8" t="s">
        <v>13</v>
      </c>
      <c r="I7" s="8" t="s">
        <v>3</v>
      </c>
      <c r="J7" s="585"/>
    </row>
    <row r="8" spans="1:10" ht="25.2">
      <c r="A8" s="6"/>
      <c r="B8" s="12"/>
      <c r="C8" s="13"/>
      <c r="D8" s="26"/>
      <c r="E8" s="11"/>
      <c r="F8" s="38"/>
      <c r="G8" s="12"/>
      <c r="H8" s="13"/>
      <c r="I8" s="26"/>
      <c r="J8" s="9"/>
    </row>
    <row r="9" spans="1:10" ht="25.2">
      <c r="A9" s="6"/>
      <c r="B9" s="12"/>
      <c r="C9" s="13"/>
      <c r="D9" s="26"/>
      <c r="E9" s="11"/>
      <c r="F9" s="38"/>
      <c r="G9" s="12"/>
      <c r="H9" s="13"/>
      <c r="I9" s="26"/>
      <c r="J9" s="9"/>
    </row>
    <row r="10" spans="1:10" ht="25.2">
      <c r="A10" s="6"/>
      <c r="B10" s="12"/>
      <c r="C10" s="13"/>
      <c r="D10" s="26"/>
      <c r="E10" s="11"/>
      <c r="F10" s="38"/>
      <c r="G10" s="12"/>
      <c r="H10" s="13"/>
      <c r="I10" s="26"/>
      <c r="J10" s="9"/>
    </row>
    <row r="11" spans="1:10" ht="25.2">
      <c r="A11" s="6"/>
      <c r="B11" s="12"/>
      <c r="C11" s="13"/>
      <c r="D11" s="26"/>
      <c r="E11" s="11"/>
      <c r="F11" s="37"/>
      <c r="G11" s="12"/>
      <c r="H11" s="13"/>
      <c r="I11" s="26"/>
      <c r="J11" s="9"/>
    </row>
    <row r="12" spans="1:10" ht="25.2">
      <c r="A12" s="6"/>
      <c r="B12" s="12"/>
      <c r="C12" s="13"/>
      <c r="D12" s="26"/>
      <c r="E12" s="11"/>
      <c r="F12" s="10"/>
      <c r="G12" s="12"/>
      <c r="H12" s="13"/>
      <c r="I12" s="26"/>
      <c r="J12" s="9"/>
    </row>
    <row r="13" spans="1:10" ht="25.2">
      <c r="A13" s="6"/>
      <c r="B13" s="12"/>
      <c r="C13" s="13"/>
      <c r="D13" s="26"/>
      <c r="E13" s="11"/>
      <c r="F13" s="38"/>
      <c r="G13" s="12"/>
      <c r="H13" s="13"/>
      <c r="I13" s="26"/>
      <c r="J13" s="9"/>
    </row>
    <row r="14" spans="1:10" ht="25.2">
      <c r="A14" s="6"/>
      <c r="B14" s="12"/>
      <c r="C14" s="13"/>
      <c r="D14" s="26"/>
      <c r="E14" s="11"/>
      <c r="F14" s="38"/>
      <c r="G14" s="12"/>
      <c r="H14" s="13"/>
      <c r="I14" s="26"/>
      <c r="J14" s="9"/>
    </row>
    <row r="15" spans="1:10" ht="25.2">
      <c r="A15" s="6"/>
      <c r="B15" s="17"/>
      <c r="C15" s="18"/>
      <c r="D15" s="27"/>
      <c r="E15" s="11"/>
      <c r="F15" s="16"/>
      <c r="G15" s="17"/>
      <c r="H15" s="18"/>
      <c r="I15" s="27"/>
      <c r="J15" s="9"/>
    </row>
    <row r="16" spans="1:10" ht="25.2">
      <c r="A16" s="6"/>
      <c r="B16" s="39"/>
      <c r="C16" s="18"/>
      <c r="D16" s="27"/>
      <c r="E16" s="11"/>
      <c r="F16" s="16"/>
      <c r="G16" s="17"/>
      <c r="H16" s="18"/>
      <c r="I16" s="27"/>
      <c r="J16" s="9"/>
    </row>
    <row r="17" spans="1:10" ht="25.2">
      <c r="A17" s="6"/>
      <c r="B17" s="17"/>
      <c r="C17" s="18"/>
      <c r="D17" s="27"/>
      <c r="E17" s="11"/>
      <c r="F17" s="16"/>
      <c r="G17" s="17"/>
      <c r="H17" s="18"/>
      <c r="I17" s="27"/>
      <c r="J17" s="9"/>
    </row>
    <row r="18" spans="1:10" ht="25.2">
      <c r="A18" s="6"/>
      <c r="B18" s="17"/>
      <c r="C18" s="18"/>
      <c r="D18" s="27"/>
      <c r="E18" s="11"/>
      <c r="F18" s="16"/>
      <c r="G18" s="17"/>
      <c r="H18" s="18"/>
      <c r="I18" s="27"/>
      <c r="J18" s="9"/>
    </row>
    <row r="19" spans="1:10" ht="25.2">
      <c r="A19" s="6"/>
      <c r="B19" s="17"/>
      <c r="C19" s="18"/>
      <c r="D19" s="27"/>
      <c r="E19" s="11"/>
      <c r="F19" s="16"/>
      <c r="G19" s="17"/>
      <c r="H19" s="18"/>
      <c r="I19" s="27"/>
      <c r="J19" s="9"/>
    </row>
    <row r="20" spans="1:10" ht="25.2">
      <c r="A20" s="6"/>
      <c r="B20" s="17"/>
      <c r="C20" s="18"/>
      <c r="D20" s="27"/>
      <c r="E20" s="11"/>
      <c r="F20" s="16"/>
      <c r="G20" s="17"/>
      <c r="H20" s="18"/>
      <c r="I20" s="27"/>
      <c r="J20" s="9"/>
    </row>
    <row r="21" spans="1:10" ht="25.2">
      <c r="A21" s="6"/>
      <c r="B21" s="17"/>
      <c r="C21" s="18"/>
      <c r="D21" s="27"/>
      <c r="E21" s="11"/>
      <c r="F21" s="16"/>
      <c r="G21" s="17"/>
      <c r="H21" s="18"/>
      <c r="I21" s="27"/>
      <c r="J21" s="9"/>
    </row>
    <row r="22" spans="1:10" ht="25.2">
      <c r="A22" s="6"/>
      <c r="B22" s="17"/>
      <c r="C22" s="18"/>
      <c r="D22" s="27"/>
      <c r="E22" s="11"/>
      <c r="F22" s="16"/>
      <c r="G22" s="17"/>
      <c r="H22" s="18"/>
      <c r="I22" s="27"/>
      <c r="J22" s="9"/>
    </row>
    <row r="23" spans="1:10" ht="25.2">
      <c r="A23" s="6"/>
      <c r="B23" s="17"/>
      <c r="C23" s="18"/>
      <c r="D23" s="27"/>
      <c r="E23" s="11"/>
      <c r="F23" s="16"/>
      <c r="G23" s="17"/>
      <c r="H23" s="18"/>
      <c r="I23" s="27"/>
      <c r="J23" s="9"/>
    </row>
    <row r="24" spans="1:10" ht="25.2">
      <c r="A24" s="6"/>
      <c r="B24" s="17"/>
      <c r="C24" s="18"/>
      <c r="D24" s="27"/>
      <c r="E24" s="11"/>
      <c r="F24" s="16"/>
      <c r="G24" s="17"/>
      <c r="H24" s="18"/>
      <c r="I24" s="27"/>
      <c r="J24" s="9"/>
    </row>
    <row r="25" spans="1:10" ht="25.2">
      <c r="A25" s="6"/>
      <c r="B25" s="17"/>
      <c r="C25" s="18"/>
      <c r="D25" s="27"/>
      <c r="E25" s="11"/>
      <c r="F25" s="40"/>
      <c r="G25" s="17"/>
      <c r="H25" s="18"/>
      <c r="I25" s="27"/>
      <c r="J25" s="9"/>
    </row>
    <row r="26" spans="1:10" ht="25.2">
      <c r="A26" s="6"/>
      <c r="B26" s="17"/>
      <c r="C26" s="18"/>
      <c r="D26" s="27"/>
      <c r="E26" s="11"/>
      <c r="F26" s="16"/>
      <c r="G26" s="17"/>
      <c r="H26" s="18"/>
      <c r="I26" s="27"/>
      <c r="J26" s="9"/>
    </row>
    <row r="27" spans="1:10" ht="25.2">
      <c r="A27" s="6"/>
      <c r="B27" s="20"/>
      <c r="C27" s="21"/>
      <c r="D27" s="26"/>
      <c r="E27" s="19"/>
      <c r="F27" s="20"/>
      <c r="G27" s="20"/>
      <c r="H27" s="21"/>
      <c r="I27" s="26"/>
      <c r="J27" s="9"/>
    </row>
    <row r="28" spans="1:10" ht="25.2">
      <c r="A28" s="6"/>
      <c r="B28" s="20"/>
      <c r="C28" s="21"/>
      <c r="D28" s="26"/>
      <c r="E28" s="19"/>
      <c r="F28" s="41"/>
      <c r="G28" s="20"/>
      <c r="H28" s="21"/>
      <c r="I28" s="26"/>
      <c r="J28" s="9"/>
    </row>
    <row r="29" spans="1:10" ht="25.2">
      <c r="A29" s="6"/>
      <c r="B29" s="20"/>
      <c r="C29" s="21"/>
      <c r="D29" s="26"/>
      <c r="E29" s="19"/>
      <c r="F29" s="20"/>
      <c r="G29" s="20"/>
      <c r="H29" s="21"/>
      <c r="I29" s="26"/>
      <c r="J29" s="9"/>
    </row>
    <row r="30" spans="1:10" ht="25.2">
      <c r="A30" s="6"/>
      <c r="B30" s="20"/>
      <c r="C30" s="21"/>
      <c r="D30" s="26"/>
      <c r="E30" s="19"/>
      <c r="F30" s="20"/>
      <c r="G30" s="20"/>
      <c r="H30" s="21"/>
      <c r="I30" s="26"/>
      <c r="J30" s="9"/>
    </row>
    <row r="31" spans="1:10" ht="25.2">
      <c r="A31" s="6"/>
      <c r="B31" s="23"/>
      <c r="C31" s="21"/>
      <c r="D31" s="26"/>
      <c r="E31" s="22"/>
      <c r="F31" s="23"/>
      <c r="G31" s="23"/>
      <c r="H31" s="21"/>
      <c r="I31" s="26"/>
      <c r="J31" s="9"/>
    </row>
    <row r="32" spans="1:10" ht="25.2">
      <c r="A32" s="6"/>
      <c r="B32" s="24"/>
      <c r="C32" s="21"/>
      <c r="D32" s="26"/>
      <c r="E32" s="11"/>
      <c r="F32" s="24"/>
      <c r="G32" s="24"/>
      <c r="H32" s="21"/>
      <c r="I32" s="26"/>
      <c r="J32" s="9"/>
    </row>
    <row r="33" spans="1:10" ht="25.2">
      <c r="A33" s="6"/>
      <c r="B33" s="24"/>
      <c r="C33" s="21"/>
      <c r="D33" s="26"/>
      <c r="E33" s="38"/>
      <c r="F33" s="42"/>
      <c r="G33" s="24"/>
      <c r="H33" s="21"/>
      <c r="I33" s="26"/>
      <c r="J33" s="9"/>
    </row>
    <row r="34" spans="1:10" ht="25.2">
      <c r="A34" s="6"/>
      <c r="B34" s="24"/>
      <c r="C34" s="21"/>
      <c r="D34" s="26"/>
      <c r="E34" s="10"/>
      <c r="F34" s="24"/>
      <c r="G34" s="24"/>
      <c r="H34" s="21"/>
      <c r="I34" s="26"/>
      <c r="J34" s="9"/>
    </row>
    <row r="35" spans="1:10" ht="25.2">
      <c r="A35" s="6"/>
      <c r="B35" s="24"/>
      <c r="C35" s="21"/>
      <c r="D35" s="26"/>
      <c r="E35" s="10"/>
      <c r="F35" s="24"/>
      <c r="G35" s="24"/>
      <c r="H35" s="21"/>
      <c r="I35" s="26"/>
      <c r="J35" s="9"/>
    </row>
    <row r="36" spans="1:10" ht="25.2">
      <c r="A36" s="6"/>
      <c r="B36" s="24"/>
      <c r="C36" s="21"/>
      <c r="D36" s="26"/>
      <c r="E36" s="10"/>
      <c r="F36" s="24"/>
      <c r="G36" s="24"/>
      <c r="H36" s="21"/>
      <c r="I36" s="26"/>
      <c r="J36" s="9"/>
    </row>
    <row r="37" spans="1:10" ht="25.2">
      <c r="A37" s="6"/>
      <c r="B37" s="24"/>
      <c r="C37" s="21"/>
      <c r="D37" s="26"/>
      <c r="E37" s="10"/>
      <c r="F37" s="24"/>
      <c r="G37" s="24"/>
      <c r="H37" s="21"/>
      <c r="I37" s="26"/>
      <c r="J37" s="9"/>
    </row>
    <row r="38" spans="1:10" ht="25.2">
      <c r="A38" s="6"/>
      <c r="B38" s="24"/>
      <c r="C38" s="21"/>
      <c r="D38" s="26"/>
      <c r="E38" s="10"/>
      <c r="F38" s="42"/>
      <c r="G38" s="24"/>
      <c r="H38" s="21"/>
      <c r="I38" s="26"/>
      <c r="J38" s="9"/>
    </row>
  </sheetData>
  <mergeCells count="12">
    <mergeCell ref="F6:F7"/>
    <mergeCell ref="G6:I6"/>
    <mergeCell ref="A1:J1"/>
    <mergeCell ref="A2:J2"/>
    <mergeCell ref="A3:E3"/>
    <mergeCell ref="A4:D4"/>
    <mergeCell ref="A5:A7"/>
    <mergeCell ref="B5:D5"/>
    <mergeCell ref="E5:I5"/>
    <mergeCell ref="J5:J7"/>
    <mergeCell ref="B6:D6"/>
    <mergeCell ref="E6:E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48"/>
  <sheetViews>
    <sheetView topLeftCell="A10" zoomScale="145" zoomScaleNormal="145" workbookViewId="0">
      <selection activeCell="B26" sqref="B26"/>
    </sheetView>
  </sheetViews>
  <sheetFormatPr defaultColWidth="9.109375" defaultRowHeight="14.25" customHeight="1"/>
  <cols>
    <col min="1" max="1" width="8.109375" style="156" customWidth="1"/>
    <col min="2" max="2" width="7" style="155" customWidth="1"/>
    <col min="3" max="3" width="19.33203125" style="155" customWidth="1"/>
    <col min="4" max="4" width="7.44140625" style="155" customWidth="1"/>
    <col min="5" max="5" width="17.88671875" style="155" customWidth="1"/>
    <col min="6" max="6" width="8.33203125" style="157" customWidth="1"/>
    <col min="7" max="7" width="11.109375" style="155" customWidth="1"/>
    <col min="8" max="8" width="11.88671875" style="167" customWidth="1"/>
    <col min="9" max="9" width="9" style="155" customWidth="1"/>
    <col min="10" max="10" width="5.44140625" style="155" customWidth="1"/>
    <col min="11" max="11" width="8.44140625" style="155" customWidth="1"/>
    <col min="12" max="12" width="4.33203125" style="155" customWidth="1"/>
    <col min="13" max="13" width="13.33203125" style="155" customWidth="1"/>
    <col min="14" max="14" width="15.109375" style="155" bestFit="1" customWidth="1"/>
    <col min="15" max="16384" width="9.109375" style="155"/>
  </cols>
  <sheetData>
    <row r="1" spans="1:15" s="84" customFormat="1" ht="23.25" customHeight="1">
      <c r="A1" s="602" t="s">
        <v>749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83"/>
    </row>
    <row r="2" spans="1:15" s="85" customFormat="1" ht="22.5" customHeight="1">
      <c r="A2" s="603" t="s">
        <v>907</v>
      </c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83"/>
    </row>
    <row r="3" spans="1:15" s="95" customFormat="1" ht="22.5" customHeight="1">
      <c r="A3" s="86" t="s">
        <v>751</v>
      </c>
      <c r="B3" s="87"/>
      <c r="C3" s="88"/>
      <c r="D3" s="87"/>
      <c r="E3" s="88"/>
      <c r="F3" s="89"/>
      <c r="G3" s="89"/>
      <c r="H3" s="89"/>
      <c r="I3" s="90"/>
      <c r="J3" s="91"/>
      <c r="K3" s="86" t="s">
        <v>752</v>
      </c>
      <c r="L3" s="92"/>
      <c r="M3" s="93"/>
      <c r="N3" s="94"/>
      <c r="O3" s="94"/>
    </row>
    <row r="4" spans="1:15" s="104" customFormat="1" ht="18" customHeight="1" thickBot="1">
      <c r="A4" s="96" t="s">
        <v>753</v>
      </c>
      <c r="B4" s="97"/>
      <c r="C4" s="98"/>
      <c r="D4" s="99"/>
      <c r="E4" s="99"/>
      <c r="F4" s="100"/>
      <c r="G4" s="100"/>
      <c r="H4" s="100"/>
      <c r="I4" s="101"/>
      <c r="J4" s="93"/>
      <c r="K4" s="97" t="s">
        <v>754</v>
      </c>
      <c r="L4" s="102">
        <v>4088</v>
      </c>
      <c r="M4" s="93"/>
      <c r="N4" s="103"/>
      <c r="O4" s="94"/>
    </row>
    <row r="5" spans="1:15" s="104" customFormat="1" ht="16.5" customHeight="1">
      <c r="A5" s="604" t="s">
        <v>755</v>
      </c>
      <c r="B5" s="605"/>
      <c r="C5" s="605"/>
      <c r="D5" s="605"/>
      <c r="E5" s="605"/>
      <c r="F5" s="605"/>
      <c r="G5" s="605"/>
      <c r="H5" s="605"/>
      <c r="I5" s="606" t="s">
        <v>756</v>
      </c>
      <c r="J5" s="606"/>
      <c r="K5" s="606"/>
      <c r="L5" s="606"/>
      <c r="M5" s="105"/>
    </row>
    <row r="6" spans="1:15" s="104" customFormat="1" ht="14.25" customHeight="1">
      <c r="A6" s="106" t="s">
        <v>757</v>
      </c>
      <c r="B6" s="107" t="s">
        <v>755</v>
      </c>
      <c r="C6" s="107" t="s">
        <v>758</v>
      </c>
      <c r="D6" s="107" t="s">
        <v>759</v>
      </c>
      <c r="E6" s="107" t="s">
        <v>760</v>
      </c>
      <c r="F6" s="607" t="s">
        <v>761</v>
      </c>
      <c r="G6" s="607"/>
      <c r="H6" s="108"/>
      <c r="I6" s="608" t="s">
        <v>762</v>
      </c>
      <c r="J6" s="609"/>
      <c r="K6" s="609"/>
      <c r="L6" s="609"/>
      <c r="M6" s="109" t="s">
        <v>763</v>
      </c>
    </row>
    <row r="7" spans="1:15" s="104" customFormat="1" ht="14.25" customHeight="1">
      <c r="A7" s="110"/>
      <c r="B7" s="111"/>
      <c r="C7" s="111"/>
      <c r="D7" s="112" t="s">
        <v>764</v>
      </c>
      <c r="E7" s="113"/>
      <c r="F7" s="182"/>
      <c r="G7" s="114" t="s">
        <v>756</v>
      </c>
      <c r="H7" s="114" t="s">
        <v>765</v>
      </c>
      <c r="I7" s="596" t="s">
        <v>766</v>
      </c>
      <c r="J7" s="596"/>
      <c r="K7" s="596" t="s">
        <v>767</v>
      </c>
      <c r="L7" s="596"/>
      <c r="M7" s="109" t="s">
        <v>768</v>
      </c>
    </row>
    <row r="8" spans="1:15" s="104" customFormat="1" ht="14.25" customHeight="1">
      <c r="A8" s="115"/>
      <c r="B8" s="116"/>
      <c r="C8" s="116"/>
      <c r="D8" s="117"/>
      <c r="E8" s="118"/>
      <c r="F8" s="183"/>
      <c r="G8" s="184" t="s">
        <v>769</v>
      </c>
      <c r="H8" s="119" t="s">
        <v>770</v>
      </c>
      <c r="I8" s="120" t="s">
        <v>771</v>
      </c>
      <c r="J8" s="120" t="s">
        <v>772</v>
      </c>
      <c r="K8" s="120" t="s">
        <v>771</v>
      </c>
      <c r="L8" s="120" t="s">
        <v>772</v>
      </c>
      <c r="M8" s="121"/>
    </row>
    <row r="9" spans="1:15" s="96" customFormat="1" ht="14.25" customHeight="1">
      <c r="A9" s="122">
        <v>42160</v>
      </c>
      <c r="B9" s="132" t="s">
        <v>908</v>
      </c>
      <c r="C9" s="124" t="s">
        <v>778</v>
      </c>
      <c r="D9" s="125"/>
      <c r="E9" s="126" t="s">
        <v>909</v>
      </c>
      <c r="F9" s="130" t="s">
        <v>910</v>
      </c>
      <c r="G9" s="129"/>
      <c r="H9" s="130">
        <v>41519138</v>
      </c>
      <c r="I9" s="120"/>
      <c r="J9" s="120"/>
      <c r="K9" s="129"/>
      <c r="L9" s="120"/>
      <c r="M9" s="131">
        <f>G9+H9</f>
        <v>41519138</v>
      </c>
    </row>
    <row r="10" spans="1:15" s="96" customFormat="1" ht="14.25" customHeight="1">
      <c r="A10" s="122">
        <v>42160</v>
      </c>
      <c r="B10" s="132" t="s">
        <v>911</v>
      </c>
      <c r="C10" s="124" t="s">
        <v>862</v>
      </c>
      <c r="D10" s="125"/>
      <c r="E10" s="126" t="s">
        <v>797</v>
      </c>
      <c r="F10" s="130" t="s">
        <v>912</v>
      </c>
      <c r="G10" s="129"/>
      <c r="H10" s="130">
        <v>157610622</v>
      </c>
      <c r="I10" s="120"/>
      <c r="J10" s="120"/>
      <c r="K10" s="129"/>
      <c r="L10" s="120"/>
      <c r="M10" s="131">
        <f t="shared" ref="M10:M22" si="0">G10+H10</f>
        <v>157610622</v>
      </c>
    </row>
    <row r="11" spans="1:15" s="96" customFormat="1" ht="14.25" customHeight="1">
      <c r="A11" s="122">
        <v>42160</v>
      </c>
      <c r="B11" s="132" t="s">
        <v>913</v>
      </c>
      <c r="C11" s="124" t="s">
        <v>914</v>
      </c>
      <c r="D11" s="125"/>
      <c r="E11" s="126" t="s">
        <v>915</v>
      </c>
      <c r="F11" s="130" t="s">
        <v>916</v>
      </c>
      <c r="G11" s="129"/>
      <c r="H11" s="130">
        <v>75926121</v>
      </c>
      <c r="I11" s="120"/>
      <c r="J11" s="120"/>
      <c r="K11" s="129"/>
      <c r="L11" s="120"/>
      <c r="M11" s="131">
        <f t="shared" si="0"/>
        <v>75926121</v>
      </c>
    </row>
    <row r="12" spans="1:15" s="96" customFormat="1" ht="14.25" customHeight="1">
      <c r="A12" s="122">
        <v>42164</v>
      </c>
      <c r="B12" s="132" t="s">
        <v>917</v>
      </c>
      <c r="C12" s="124" t="s">
        <v>914</v>
      </c>
      <c r="D12" s="125"/>
      <c r="E12" s="126" t="s">
        <v>918</v>
      </c>
      <c r="F12" s="130" t="s">
        <v>919</v>
      </c>
      <c r="G12" s="129"/>
      <c r="H12" s="130">
        <v>109260590</v>
      </c>
      <c r="I12" s="120"/>
      <c r="J12" s="120"/>
      <c r="K12" s="129"/>
      <c r="L12" s="120"/>
      <c r="M12" s="131">
        <f t="shared" si="0"/>
        <v>109260590</v>
      </c>
    </row>
    <row r="13" spans="1:15" s="96" customFormat="1" ht="14.25" customHeight="1">
      <c r="A13" s="122">
        <v>42167</v>
      </c>
      <c r="B13" s="132" t="s">
        <v>920</v>
      </c>
      <c r="C13" s="124" t="s">
        <v>862</v>
      </c>
      <c r="D13" s="125"/>
      <c r="E13" s="126" t="s">
        <v>921</v>
      </c>
      <c r="F13" s="130" t="s">
        <v>922</v>
      </c>
      <c r="G13" s="129"/>
      <c r="H13" s="130">
        <v>136860570</v>
      </c>
      <c r="I13" s="120"/>
      <c r="J13" s="120"/>
      <c r="K13" s="129"/>
      <c r="L13" s="120"/>
      <c r="M13" s="131">
        <f t="shared" si="0"/>
        <v>136860570</v>
      </c>
    </row>
    <row r="14" spans="1:15" s="96" customFormat="1" ht="14.25" customHeight="1">
      <c r="A14" s="122">
        <v>42167</v>
      </c>
      <c r="B14" s="132" t="s">
        <v>923</v>
      </c>
      <c r="C14" s="124" t="s">
        <v>778</v>
      </c>
      <c r="D14" s="125"/>
      <c r="E14" s="126" t="s">
        <v>909</v>
      </c>
      <c r="F14" s="130" t="s">
        <v>924</v>
      </c>
      <c r="G14" s="129"/>
      <c r="H14" s="130">
        <v>189450332</v>
      </c>
      <c r="I14" s="120"/>
      <c r="J14" s="120"/>
      <c r="K14" s="129"/>
      <c r="L14" s="120"/>
      <c r="M14" s="131">
        <f t="shared" si="0"/>
        <v>189450332</v>
      </c>
    </row>
    <row r="15" spans="1:15" s="96" customFormat="1" ht="14.25" customHeight="1">
      <c r="A15" s="122">
        <v>42174</v>
      </c>
      <c r="B15" s="132" t="s">
        <v>925</v>
      </c>
      <c r="C15" s="124" t="s">
        <v>926</v>
      </c>
      <c r="D15" s="125"/>
      <c r="E15" s="126" t="s">
        <v>927</v>
      </c>
      <c r="F15" s="130" t="s">
        <v>928</v>
      </c>
      <c r="G15" s="129"/>
      <c r="H15" s="130">
        <v>267888456</v>
      </c>
      <c r="I15" s="120"/>
      <c r="J15" s="120"/>
      <c r="K15" s="129"/>
      <c r="L15" s="120"/>
      <c r="M15" s="131">
        <f t="shared" si="0"/>
        <v>267888456</v>
      </c>
    </row>
    <row r="16" spans="1:15" s="96" customFormat="1" ht="14.25" customHeight="1">
      <c r="A16" s="122">
        <v>42174</v>
      </c>
      <c r="B16" s="132" t="s">
        <v>929</v>
      </c>
      <c r="C16" s="124" t="s">
        <v>778</v>
      </c>
      <c r="D16" s="125"/>
      <c r="E16" s="124" t="s">
        <v>786</v>
      </c>
      <c r="F16" s="130" t="s">
        <v>930</v>
      </c>
      <c r="G16" s="129"/>
      <c r="H16" s="130">
        <v>233561904</v>
      </c>
      <c r="I16" s="120"/>
      <c r="J16" s="120"/>
      <c r="K16" s="129"/>
      <c r="L16" s="120"/>
      <c r="M16" s="131">
        <f t="shared" si="0"/>
        <v>233561904</v>
      </c>
    </row>
    <row r="17" spans="1:14" s="96" customFormat="1" ht="14.25" customHeight="1">
      <c r="A17" s="122">
        <v>42174</v>
      </c>
      <c r="B17" s="132" t="s">
        <v>931</v>
      </c>
      <c r="C17" s="124" t="s">
        <v>778</v>
      </c>
      <c r="D17" s="125"/>
      <c r="E17" s="126" t="s">
        <v>932</v>
      </c>
      <c r="F17" s="130" t="s">
        <v>933</v>
      </c>
      <c r="G17" s="129"/>
      <c r="H17" s="130">
        <v>106100285</v>
      </c>
      <c r="I17" s="120"/>
      <c r="J17" s="120"/>
      <c r="K17" s="129"/>
      <c r="L17" s="120"/>
      <c r="M17" s="131">
        <f t="shared" si="0"/>
        <v>106100285</v>
      </c>
    </row>
    <row r="18" spans="1:14" s="96" customFormat="1" ht="14.25" customHeight="1">
      <c r="A18" s="122">
        <v>42175</v>
      </c>
      <c r="B18" s="132" t="s">
        <v>934</v>
      </c>
      <c r="C18" s="124" t="s">
        <v>935</v>
      </c>
      <c r="D18" s="125"/>
      <c r="E18" s="126" t="s">
        <v>936</v>
      </c>
      <c r="F18" s="130" t="s">
        <v>937</v>
      </c>
      <c r="G18" s="129"/>
      <c r="H18" s="130">
        <v>145296432</v>
      </c>
      <c r="I18" s="120"/>
      <c r="J18" s="120"/>
      <c r="K18" s="129"/>
      <c r="L18" s="120"/>
      <c r="M18" s="131">
        <f t="shared" si="0"/>
        <v>145296432</v>
      </c>
    </row>
    <row r="19" spans="1:14" s="96" customFormat="1" ht="14.25" customHeight="1">
      <c r="A19" s="122">
        <v>42175</v>
      </c>
      <c r="B19" s="132" t="s">
        <v>938</v>
      </c>
      <c r="C19" s="124" t="s">
        <v>866</v>
      </c>
      <c r="D19" s="125"/>
      <c r="E19" s="126" t="s">
        <v>797</v>
      </c>
      <c r="F19" s="130" t="s">
        <v>939</v>
      </c>
      <c r="G19" s="129"/>
      <c r="H19" s="130">
        <v>299682480</v>
      </c>
      <c r="I19" s="120"/>
      <c r="J19" s="120"/>
      <c r="K19" s="129"/>
      <c r="L19" s="120"/>
      <c r="M19" s="131">
        <f t="shared" si="0"/>
        <v>299682480</v>
      </c>
    </row>
    <row r="20" spans="1:14" s="96" customFormat="1" ht="14.25" customHeight="1">
      <c r="A20" s="122">
        <v>42181</v>
      </c>
      <c r="B20" s="132" t="s">
        <v>940</v>
      </c>
      <c r="C20" s="124" t="s">
        <v>941</v>
      </c>
      <c r="D20" s="125"/>
      <c r="E20" s="126" t="s">
        <v>942</v>
      </c>
      <c r="F20" s="130" t="s">
        <v>943</v>
      </c>
      <c r="G20" s="129"/>
      <c r="H20" s="130">
        <v>6493691</v>
      </c>
      <c r="I20" s="120"/>
      <c r="J20" s="120"/>
      <c r="K20" s="129"/>
      <c r="L20" s="120"/>
      <c r="M20" s="131">
        <f t="shared" si="0"/>
        <v>6493691</v>
      </c>
    </row>
    <row r="21" spans="1:14" s="96" customFormat="1" ht="14.25" customHeight="1">
      <c r="A21" s="122">
        <v>42181</v>
      </c>
      <c r="B21" s="132" t="s">
        <v>944</v>
      </c>
      <c r="C21" s="124" t="s">
        <v>778</v>
      </c>
      <c r="D21" s="125"/>
      <c r="E21" s="126" t="s">
        <v>909</v>
      </c>
      <c r="F21" s="130" t="s">
        <v>945</v>
      </c>
      <c r="G21" s="129"/>
      <c r="H21" s="130">
        <v>26361287</v>
      </c>
      <c r="I21" s="120"/>
      <c r="J21" s="120"/>
      <c r="K21" s="129"/>
      <c r="L21" s="120"/>
      <c r="M21" s="131">
        <f t="shared" si="0"/>
        <v>26361287</v>
      </c>
    </row>
    <row r="22" spans="1:14" s="96" customFormat="1" ht="20.25" customHeight="1">
      <c r="A22" s="122">
        <v>42181</v>
      </c>
      <c r="B22" s="132" t="s">
        <v>946</v>
      </c>
      <c r="C22" s="124" t="s">
        <v>935</v>
      </c>
      <c r="D22" s="125"/>
      <c r="E22" s="126" t="s">
        <v>947</v>
      </c>
      <c r="F22" s="130" t="s">
        <v>948</v>
      </c>
      <c r="G22" s="129"/>
      <c r="H22" s="130">
        <v>94840834</v>
      </c>
      <c r="I22" s="120"/>
      <c r="J22" s="120"/>
      <c r="K22" s="129"/>
      <c r="L22" s="120"/>
      <c r="M22" s="131">
        <f t="shared" si="0"/>
        <v>94840834</v>
      </c>
    </row>
    <row r="23" spans="1:14" s="139" customFormat="1" ht="14.25" customHeight="1">
      <c r="A23" s="597">
        <f>L4</f>
        <v>4088</v>
      </c>
      <c r="B23" s="597"/>
      <c r="C23" s="597"/>
      <c r="D23" s="597"/>
      <c r="E23" s="133" t="s">
        <v>847</v>
      </c>
      <c r="F23" s="185">
        <f>SUM(F9:F22)</f>
        <v>0</v>
      </c>
      <c r="G23" s="135"/>
      <c r="H23" s="136">
        <f>SUM(H9:H22)</f>
        <v>1890852742</v>
      </c>
      <c r="I23" s="137"/>
      <c r="J23" s="137"/>
      <c r="K23" s="137"/>
      <c r="L23" s="137"/>
      <c r="M23" s="138">
        <f>SUM(M9:M22)</f>
        <v>1890852742</v>
      </c>
    </row>
    <row r="24" spans="1:14" s="139" customFormat="1" ht="14.25" customHeight="1" thickBot="1">
      <c r="A24" s="598" t="s">
        <v>848</v>
      </c>
      <c r="B24" s="599"/>
      <c r="C24" s="599"/>
      <c r="D24" s="599"/>
      <c r="E24" s="140" t="s">
        <v>0</v>
      </c>
      <c r="F24" s="186"/>
      <c r="G24" s="143">
        <f>G23/L4</f>
        <v>0</v>
      </c>
      <c r="H24" s="144">
        <f>H23/L4</f>
        <v>462537.36350293545</v>
      </c>
      <c r="I24" s="145">
        <f t="shared" ref="I24:K24" si="1">I23*4034</f>
        <v>0</v>
      </c>
      <c r="J24" s="145">
        <f t="shared" si="1"/>
        <v>0</v>
      </c>
      <c r="K24" s="145">
        <f t="shared" si="1"/>
        <v>0</v>
      </c>
      <c r="L24" s="145">
        <f>L23*4034</f>
        <v>0</v>
      </c>
      <c r="M24" s="146">
        <f>M23/L4</f>
        <v>462537.36350293545</v>
      </c>
    </row>
    <row r="25" spans="1:14" s="151" customFormat="1" ht="15.75" customHeight="1">
      <c r="A25" s="147"/>
      <c r="B25" s="148"/>
      <c r="C25" s="148"/>
      <c r="D25" s="148"/>
      <c r="E25" s="148"/>
      <c r="F25" s="149"/>
      <c r="G25" s="148" t="s">
        <v>849</v>
      </c>
      <c r="H25" s="150" t="s">
        <v>906</v>
      </c>
      <c r="I25" s="148" t="s">
        <v>851</v>
      </c>
      <c r="J25" s="148" t="s">
        <v>852</v>
      </c>
      <c r="K25" s="148" t="s">
        <v>851</v>
      </c>
      <c r="L25" s="148" t="s">
        <v>852</v>
      </c>
      <c r="M25" s="148"/>
    </row>
    <row r="26" spans="1:14" ht="14.25" customHeight="1">
      <c r="A26" s="152"/>
      <c r="B26" s="153"/>
      <c r="C26" s="153"/>
      <c r="D26" s="153"/>
      <c r="E26" s="153"/>
      <c r="F26" s="154"/>
      <c r="G26" s="153"/>
      <c r="H26" s="600" t="s">
        <v>853</v>
      </c>
      <c r="I26" s="600"/>
      <c r="J26" s="600"/>
      <c r="K26" s="600"/>
      <c r="L26" s="600"/>
      <c r="M26" s="600"/>
    </row>
    <row r="27" spans="1:14" ht="19.5" customHeight="1">
      <c r="H27" s="601"/>
      <c r="I27" s="601"/>
      <c r="J27" s="601"/>
      <c r="K27" s="601"/>
      <c r="L27" s="601"/>
      <c r="M27" s="601"/>
      <c r="N27" s="158">
        <f>H23*1%</f>
        <v>18908527.420000002</v>
      </c>
    </row>
    <row r="28" spans="1:14" ht="18" hidden="1" customHeight="1">
      <c r="H28" s="159">
        <f>H24*1%</f>
        <v>4625.3736350293548</v>
      </c>
      <c r="I28" s="160"/>
      <c r="J28" s="188"/>
      <c r="K28" s="162"/>
      <c r="L28" s="162"/>
    </row>
    <row r="29" spans="1:14" ht="14.25" customHeight="1">
      <c r="G29" s="155" t="s">
        <v>953</v>
      </c>
      <c r="H29" s="163"/>
      <c r="I29" s="593"/>
      <c r="J29" s="593"/>
      <c r="K29" s="593"/>
      <c r="L29" s="163"/>
    </row>
    <row r="30" spans="1:14" ht="14.25" customHeight="1">
      <c r="C30" s="164"/>
      <c r="D30" s="165"/>
      <c r="E30" s="165"/>
      <c r="F30" s="166"/>
      <c r="G30" s="189" t="s">
        <v>949</v>
      </c>
      <c r="H30" s="190">
        <f>'Sale - Jul'!H30</f>
        <v>3379679902</v>
      </c>
      <c r="I30" s="174" t="s">
        <v>955</v>
      </c>
    </row>
    <row r="31" spans="1:14" ht="14.25" customHeight="1">
      <c r="F31" s="168"/>
      <c r="G31" s="189" t="s">
        <v>950</v>
      </c>
      <c r="H31" s="191">
        <f>'Sale - Aug'!I47</f>
        <v>5225078447</v>
      </c>
      <c r="I31" s="174" t="s">
        <v>956</v>
      </c>
    </row>
    <row r="32" spans="1:14" ht="14.25" customHeight="1">
      <c r="C32" s="170"/>
      <c r="D32" s="171"/>
      <c r="E32" s="172"/>
      <c r="F32" s="171"/>
      <c r="G32" s="189" t="s">
        <v>951</v>
      </c>
      <c r="H32" s="192">
        <f>H23</f>
        <v>1890852742</v>
      </c>
      <c r="I32" s="174" t="s">
        <v>954</v>
      </c>
      <c r="J32" s="175"/>
      <c r="K32" s="175"/>
    </row>
    <row r="33" spans="6:13" ht="14.25" customHeight="1" thickBot="1">
      <c r="F33" s="168"/>
      <c r="G33" s="155" t="s">
        <v>952</v>
      </c>
      <c r="H33" s="193">
        <f>SUM(H30:H32)</f>
        <v>10495611091</v>
      </c>
      <c r="I33" s="177">
        <f>14+38+21</f>
        <v>73</v>
      </c>
      <c r="J33" s="177"/>
      <c r="K33" s="139"/>
    </row>
    <row r="34" spans="6:13" ht="14.25" customHeight="1" thickTop="1">
      <c r="H34" s="173"/>
      <c r="I34" s="178"/>
      <c r="J34" s="139"/>
      <c r="K34" s="139"/>
    </row>
    <row r="35" spans="6:13" ht="14.25" customHeight="1">
      <c r="H35" s="179"/>
      <c r="I35" s="180"/>
      <c r="J35" s="139"/>
      <c r="K35" s="139"/>
    </row>
    <row r="36" spans="6:13" ht="14.25" customHeight="1">
      <c r="H36" s="594"/>
      <c r="I36" s="594"/>
      <c r="J36" s="139"/>
      <c r="K36" s="139"/>
      <c r="M36" s="181"/>
    </row>
    <row r="37" spans="6:13" ht="14.25" hidden="1" customHeight="1">
      <c r="H37" s="595">
        <f>H24*1%</f>
        <v>4625.3736350293548</v>
      </c>
      <c r="I37" s="595"/>
    </row>
    <row r="38" spans="6:13" ht="14.25" customHeight="1">
      <c r="H38" s="175"/>
      <c r="I38" s="139"/>
    </row>
    <row r="39" spans="6:13" ht="14.25" customHeight="1">
      <c r="H39" s="175"/>
    </row>
    <row r="40" spans="6:13" ht="14.25" customHeight="1">
      <c r="H40" s="175"/>
    </row>
    <row r="41" spans="6:13" ht="14.25" customHeight="1">
      <c r="H41" s="175"/>
    </row>
    <row r="42" spans="6:13" ht="14.25" customHeight="1">
      <c r="H42" s="180"/>
    </row>
    <row r="43" spans="6:13" ht="14.25" customHeight="1">
      <c r="H43" s="175"/>
    </row>
    <row r="44" spans="6:13" ht="14.25" customHeight="1">
      <c r="H44" s="175"/>
    </row>
    <row r="45" spans="6:13" ht="14.25" customHeight="1">
      <c r="H45" s="175"/>
    </row>
    <row r="46" spans="6:13" ht="14.25" customHeight="1">
      <c r="H46" s="175"/>
    </row>
    <row r="47" spans="6:13" ht="14.25" customHeight="1">
      <c r="H47" s="175"/>
    </row>
    <row r="48" spans="6:13" ht="14.25" customHeight="1">
      <c r="H48" s="175"/>
    </row>
  </sheetData>
  <mergeCells count="15">
    <mergeCell ref="A23:D23"/>
    <mergeCell ref="A24:D24"/>
    <mergeCell ref="H26:M26"/>
    <mergeCell ref="H27:M27"/>
    <mergeCell ref="A1:M1"/>
    <mergeCell ref="A2:M2"/>
    <mergeCell ref="A5:H5"/>
    <mergeCell ref="I5:L5"/>
    <mergeCell ref="F6:G6"/>
    <mergeCell ref="I6:L6"/>
    <mergeCell ref="I29:K29"/>
    <mergeCell ref="H36:I36"/>
    <mergeCell ref="H37:I37"/>
    <mergeCell ref="I7:J7"/>
    <mergeCell ref="K7:L7"/>
  </mergeCells>
  <pageMargins left="0.45" right="0.16" top="0.51" bottom="0.5" header="0.46" footer="0.2"/>
  <pageSetup orientation="landscape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55"/>
  <sheetViews>
    <sheetView topLeftCell="A16" zoomScale="145" zoomScaleNormal="145" workbookViewId="0">
      <selection activeCell="D32" sqref="D32"/>
    </sheetView>
  </sheetViews>
  <sheetFormatPr defaultColWidth="9.109375" defaultRowHeight="14.25" customHeight="1"/>
  <cols>
    <col min="1" max="1" width="8.109375" style="156" customWidth="1"/>
    <col min="2" max="2" width="7" style="155" customWidth="1"/>
    <col min="3" max="3" width="19.33203125" style="155" customWidth="1"/>
    <col min="4" max="4" width="7.44140625" style="155" customWidth="1"/>
    <col min="5" max="5" width="17.88671875" style="155" customWidth="1"/>
    <col min="6" max="6" width="8.33203125" style="157" customWidth="1"/>
    <col min="7" max="7" width="11.109375" style="155" customWidth="1"/>
    <col min="8" max="8" width="11.88671875" style="167" customWidth="1"/>
    <col min="9" max="9" width="9" style="155" customWidth="1"/>
    <col min="10" max="10" width="5.44140625" style="155" customWidth="1"/>
    <col min="11" max="11" width="8.44140625" style="155" customWidth="1"/>
    <col min="12" max="12" width="4.33203125" style="155" customWidth="1"/>
    <col min="13" max="13" width="13.33203125" style="155" customWidth="1"/>
    <col min="14" max="14" width="15.109375" style="155" bestFit="1" customWidth="1"/>
    <col min="15" max="16384" width="9.109375" style="155"/>
  </cols>
  <sheetData>
    <row r="1" spans="1:15" s="84" customFormat="1" ht="23.25" customHeight="1">
      <c r="A1" s="602" t="s">
        <v>749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83"/>
    </row>
    <row r="2" spans="1:15" s="85" customFormat="1" ht="22.5" customHeight="1">
      <c r="A2" s="603" t="s">
        <v>854</v>
      </c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83"/>
    </row>
    <row r="3" spans="1:15" s="95" customFormat="1" ht="22.5" customHeight="1">
      <c r="A3" s="86" t="s">
        <v>751</v>
      </c>
      <c r="B3" s="87"/>
      <c r="C3" s="88"/>
      <c r="D3" s="87"/>
      <c r="E3" s="88"/>
      <c r="F3" s="89"/>
      <c r="G3" s="89"/>
      <c r="H3" s="89"/>
      <c r="I3" s="90"/>
      <c r="J3" s="91"/>
      <c r="K3" s="86" t="s">
        <v>752</v>
      </c>
      <c r="L3" s="92"/>
      <c r="M3" s="93"/>
      <c r="N3" s="94"/>
      <c r="O3" s="94"/>
    </row>
    <row r="4" spans="1:15" s="104" customFormat="1" ht="18" customHeight="1" thickBot="1">
      <c r="A4" s="96" t="s">
        <v>753</v>
      </c>
      <c r="B4" s="97"/>
      <c r="C4" s="98"/>
      <c r="D4" s="99"/>
      <c r="E4" s="99"/>
      <c r="F4" s="100"/>
      <c r="G4" s="100"/>
      <c r="H4" s="100"/>
      <c r="I4" s="101"/>
      <c r="J4" s="93"/>
      <c r="K4" s="97" t="s">
        <v>754</v>
      </c>
      <c r="L4" s="102">
        <v>4099</v>
      </c>
      <c r="M4" s="93"/>
      <c r="N4" s="103"/>
      <c r="O4" s="94"/>
    </row>
    <row r="5" spans="1:15" s="104" customFormat="1" ht="16.5" customHeight="1">
      <c r="A5" s="604" t="s">
        <v>755</v>
      </c>
      <c r="B5" s="605"/>
      <c r="C5" s="605"/>
      <c r="D5" s="605"/>
      <c r="E5" s="605"/>
      <c r="F5" s="605"/>
      <c r="G5" s="605"/>
      <c r="H5" s="605"/>
      <c r="I5" s="606" t="s">
        <v>756</v>
      </c>
      <c r="J5" s="606"/>
      <c r="K5" s="606"/>
      <c r="L5" s="606"/>
      <c r="M5" s="105"/>
    </row>
    <row r="6" spans="1:15" s="104" customFormat="1" ht="14.25" customHeight="1">
      <c r="A6" s="106" t="s">
        <v>757</v>
      </c>
      <c r="B6" s="107" t="s">
        <v>755</v>
      </c>
      <c r="C6" s="107" t="s">
        <v>758</v>
      </c>
      <c r="D6" s="107" t="s">
        <v>759</v>
      </c>
      <c r="E6" s="107" t="s">
        <v>760</v>
      </c>
      <c r="F6" s="607" t="s">
        <v>761</v>
      </c>
      <c r="G6" s="607"/>
      <c r="H6" s="108"/>
      <c r="I6" s="608" t="s">
        <v>762</v>
      </c>
      <c r="J6" s="609"/>
      <c r="K6" s="609"/>
      <c r="L6" s="609"/>
      <c r="M6" s="109" t="s">
        <v>763</v>
      </c>
    </row>
    <row r="7" spans="1:15" s="104" customFormat="1" ht="14.25" customHeight="1">
      <c r="A7" s="110"/>
      <c r="B7" s="111"/>
      <c r="C7" s="111"/>
      <c r="D7" s="112" t="s">
        <v>764</v>
      </c>
      <c r="E7" s="113"/>
      <c r="F7" s="182"/>
      <c r="G7" s="114" t="s">
        <v>756</v>
      </c>
      <c r="H7" s="114" t="s">
        <v>765</v>
      </c>
      <c r="I7" s="596" t="s">
        <v>766</v>
      </c>
      <c r="J7" s="596"/>
      <c r="K7" s="596" t="s">
        <v>767</v>
      </c>
      <c r="L7" s="596"/>
      <c r="M7" s="109" t="s">
        <v>768</v>
      </c>
    </row>
    <row r="8" spans="1:15" s="104" customFormat="1" ht="14.25" customHeight="1">
      <c r="A8" s="115"/>
      <c r="B8" s="116"/>
      <c r="C8" s="116"/>
      <c r="D8" s="117"/>
      <c r="E8" s="118"/>
      <c r="F8" s="183"/>
      <c r="G8" s="184" t="s">
        <v>769</v>
      </c>
      <c r="H8" s="119" t="s">
        <v>770</v>
      </c>
      <c r="I8" s="120" t="s">
        <v>771</v>
      </c>
      <c r="J8" s="120" t="s">
        <v>772</v>
      </c>
      <c r="K8" s="120" t="s">
        <v>771</v>
      </c>
      <c r="L8" s="120" t="s">
        <v>772</v>
      </c>
      <c r="M8" s="121"/>
    </row>
    <row r="9" spans="1:15" s="96" customFormat="1" ht="14.25" customHeight="1">
      <c r="A9" s="122">
        <v>42188</v>
      </c>
      <c r="B9" s="123" t="s">
        <v>855</v>
      </c>
      <c r="C9" s="124" t="s">
        <v>778</v>
      </c>
      <c r="D9" s="125"/>
      <c r="E9" s="126" t="s">
        <v>786</v>
      </c>
      <c r="F9" s="130" t="s">
        <v>856</v>
      </c>
      <c r="G9" s="129"/>
      <c r="H9" s="130">
        <v>469164366</v>
      </c>
      <c r="I9" s="120"/>
      <c r="J9" s="120"/>
      <c r="K9" s="129"/>
      <c r="L9" s="120"/>
      <c r="M9" s="131">
        <f>G9+H9</f>
        <v>469164366</v>
      </c>
    </row>
    <row r="10" spans="1:15" s="96" customFormat="1" ht="14.25" customHeight="1">
      <c r="A10" s="122">
        <v>42188</v>
      </c>
      <c r="B10" s="123" t="s">
        <v>855</v>
      </c>
      <c r="C10" s="124" t="s">
        <v>778</v>
      </c>
      <c r="D10" s="125"/>
      <c r="E10" s="126" t="s">
        <v>794</v>
      </c>
      <c r="F10" s="130" t="s">
        <v>857</v>
      </c>
      <c r="G10" s="129"/>
      <c r="H10" s="130">
        <v>224637197</v>
      </c>
      <c r="I10" s="120"/>
      <c r="J10" s="120"/>
      <c r="K10" s="129"/>
      <c r="L10" s="120"/>
      <c r="M10" s="131">
        <f t="shared" ref="M10:M29" si="0">G10+H10</f>
        <v>224637197</v>
      </c>
    </row>
    <row r="11" spans="1:15" s="96" customFormat="1" ht="14.25" customHeight="1">
      <c r="A11" s="122">
        <v>42188</v>
      </c>
      <c r="B11" s="123" t="s">
        <v>858</v>
      </c>
      <c r="C11" s="124" t="s">
        <v>859</v>
      </c>
      <c r="D11" s="125"/>
      <c r="E11" s="126" t="s">
        <v>811</v>
      </c>
      <c r="F11" s="130" t="s">
        <v>860</v>
      </c>
      <c r="G11" s="129"/>
      <c r="H11" s="130">
        <v>88553682</v>
      </c>
      <c r="I11" s="120"/>
      <c r="J11" s="120"/>
      <c r="K11" s="129"/>
      <c r="L11" s="120"/>
      <c r="M11" s="131">
        <f t="shared" si="0"/>
        <v>88553682</v>
      </c>
    </row>
    <row r="12" spans="1:15" s="96" customFormat="1" ht="14.25" customHeight="1">
      <c r="A12" s="122">
        <v>42189</v>
      </c>
      <c r="B12" s="123" t="s">
        <v>861</v>
      </c>
      <c r="C12" s="124" t="s">
        <v>862</v>
      </c>
      <c r="D12" s="125"/>
      <c r="E12" s="126" t="s">
        <v>863</v>
      </c>
      <c r="F12" s="130" t="s">
        <v>864</v>
      </c>
      <c r="G12" s="129"/>
      <c r="H12" s="130">
        <v>282184182</v>
      </c>
      <c r="I12" s="120"/>
      <c r="J12" s="120"/>
      <c r="K12" s="129"/>
      <c r="L12" s="120"/>
      <c r="M12" s="131">
        <f t="shared" si="0"/>
        <v>282184182</v>
      </c>
    </row>
    <row r="13" spans="1:15" s="96" customFormat="1" ht="14.25" customHeight="1">
      <c r="A13" s="122">
        <v>42194</v>
      </c>
      <c r="B13" s="123" t="s">
        <v>865</v>
      </c>
      <c r="C13" s="124" t="s">
        <v>866</v>
      </c>
      <c r="D13" s="125"/>
      <c r="E13" s="126" t="s">
        <v>867</v>
      </c>
      <c r="F13" s="130" t="s">
        <v>868</v>
      </c>
      <c r="G13" s="129"/>
      <c r="H13" s="130">
        <v>137692800</v>
      </c>
      <c r="I13" s="120"/>
      <c r="J13" s="120"/>
      <c r="K13" s="129"/>
      <c r="L13" s="120"/>
      <c r="M13" s="131">
        <f t="shared" si="0"/>
        <v>137692800</v>
      </c>
    </row>
    <row r="14" spans="1:15" s="96" customFormat="1" ht="14.25" customHeight="1">
      <c r="A14" s="122">
        <v>42194</v>
      </c>
      <c r="B14" s="123" t="s">
        <v>869</v>
      </c>
      <c r="C14" s="124" t="s">
        <v>862</v>
      </c>
      <c r="D14" s="125"/>
      <c r="E14" s="126" t="s">
        <v>811</v>
      </c>
      <c r="F14" s="130" t="s">
        <v>870</v>
      </c>
      <c r="G14" s="129"/>
      <c r="H14" s="130">
        <v>199310328</v>
      </c>
      <c r="I14" s="120"/>
      <c r="J14" s="120"/>
      <c r="K14" s="129"/>
      <c r="L14" s="120"/>
      <c r="M14" s="131">
        <f t="shared" si="0"/>
        <v>199310328</v>
      </c>
    </row>
    <row r="15" spans="1:15" s="96" customFormat="1" ht="14.25" customHeight="1">
      <c r="A15" s="122">
        <v>42195</v>
      </c>
      <c r="B15" s="123" t="s">
        <v>871</v>
      </c>
      <c r="C15" s="124" t="s">
        <v>778</v>
      </c>
      <c r="D15" s="125"/>
      <c r="E15" s="126" t="s">
        <v>872</v>
      </c>
      <c r="F15" s="130" t="s">
        <v>873</v>
      </c>
      <c r="G15" s="129"/>
      <c r="H15" s="130">
        <v>222232983</v>
      </c>
      <c r="I15" s="120"/>
      <c r="J15" s="120"/>
      <c r="K15" s="129"/>
      <c r="L15" s="120"/>
      <c r="M15" s="131">
        <f t="shared" si="0"/>
        <v>222232983</v>
      </c>
    </row>
    <row r="16" spans="1:15" s="96" customFormat="1" ht="14.25" customHeight="1">
      <c r="A16" s="122">
        <v>42195</v>
      </c>
      <c r="B16" s="123" t="s">
        <v>871</v>
      </c>
      <c r="C16" s="124" t="s">
        <v>778</v>
      </c>
      <c r="D16" s="125"/>
      <c r="E16" s="126" t="s">
        <v>794</v>
      </c>
      <c r="F16" s="130" t="s">
        <v>874</v>
      </c>
      <c r="G16" s="129"/>
      <c r="H16" s="130">
        <v>15787217</v>
      </c>
      <c r="I16" s="120"/>
      <c r="J16" s="120"/>
      <c r="K16" s="129"/>
      <c r="L16" s="120"/>
      <c r="M16" s="131">
        <f t="shared" si="0"/>
        <v>15787217</v>
      </c>
    </row>
    <row r="17" spans="1:13" s="96" customFormat="1" ht="14.25" customHeight="1">
      <c r="A17" s="122">
        <v>42195</v>
      </c>
      <c r="B17" s="123" t="s">
        <v>875</v>
      </c>
      <c r="C17" s="124" t="s">
        <v>866</v>
      </c>
      <c r="D17" s="125"/>
      <c r="E17" s="126" t="s">
        <v>876</v>
      </c>
      <c r="F17" s="130" t="s">
        <v>877</v>
      </c>
      <c r="G17" s="129"/>
      <c r="H17" s="130">
        <v>147298512</v>
      </c>
      <c r="I17" s="120"/>
      <c r="J17" s="120"/>
      <c r="K17" s="129"/>
      <c r="L17" s="120"/>
      <c r="M17" s="131">
        <f t="shared" si="0"/>
        <v>147298512</v>
      </c>
    </row>
    <row r="18" spans="1:13" s="96" customFormat="1" ht="14.25" customHeight="1">
      <c r="A18" s="122">
        <v>42196</v>
      </c>
      <c r="B18" s="123" t="s">
        <v>878</v>
      </c>
      <c r="C18" s="124" t="s">
        <v>778</v>
      </c>
      <c r="D18" s="125"/>
      <c r="E18" s="126" t="s">
        <v>793</v>
      </c>
      <c r="F18" s="130" t="s">
        <v>879</v>
      </c>
      <c r="G18" s="129"/>
      <c r="H18" s="130">
        <v>108300780</v>
      </c>
      <c r="I18" s="120"/>
      <c r="J18" s="120"/>
      <c r="K18" s="129"/>
      <c r="L18" s="120"/>
      <c r="M18" s="131">
        <f t="shared" si="0"/>
        <v>108300780</v>
      </c>
    </row>
    <row r="19" spans="1:13" s="96" customFormat="1" ht="14.25" customHeight="1">
      <c r="A19" s="122">
        <v>42196</v>
      </c>
      <c r="B19" s="123" t="s">
        <v>878</v>
      </c>
      <c r="C19" s="124" t="s">
        <v>778</v>
      </c>
      <c r="D19" s="125"/>
      <c r="E19" s="126" t="s">
        <v>794</v>
      </c>
      <c r="F19" s="130" t="s">
        <v>880</v>
      </c>
      <c r="G19" s="129"/>
      <c r="H19" s="130">
        <v>39649873</v>
      </c>
      <c r="I19" s="120"/>
      <c r="J19" s="120"/>
      <c r="K19" s="129"/>
      <c r="L19" s="120"/>
      <c r="M19" s="131">
        <f t="shared" si="0"/>
        <v>39649873</v>
      </c>
    </row>
    <row r="20" spans="1:13" s="96" customFormat="1" ht="14.25" customHeight="1">
      <c r="A20" s="122">
        <v>42196</v>
      </c>
      <c r="B20" s="123" t="s">
        <v>881</v>
      </c>
      <c r="C20" s="124" t="s">
        <v>859</v>
      </c>
      <c r="D20" s="125"/>
      <c r="E20" s="126" t="s">
        <v>811</v>
      </c>
      <c r="F20" s="130" t="s">
        <v>882</v>
      </c>
      <c r="G20" s="129"/>
      <c r="H20" s="130">
        <v>532736694</v>
      </c>
      <c r="I20" s="120"/>
      <c r="J20" s="120"/>
      <c r="K20" s="129"/>
      <c r="L20" s="120"/>
      <c r="M20" s="131">
        <f t="shared" si="0"/>
        <v>532736694</v>
      </c>
    </row>
    <row r="21" spans="1:13" s="96" customFormat="1" ht="14.25" customHeight="1">
      <c r="A21" s="122">
        <v>42200</v>
      </c>
      <c r="B21" s="123" t="s">
        <v>883</v>
      </c>
      <c r="C21" s="124" t="s">
        <v>866</v>
      </c>
      <c r="D21" s="125"/>
      <c r="E21" s="126" t="s">
        <v>884</v>
      </c>
      <c r="F21" s="130" t="s">
        <v>885</v>
      </c>
      <c r="G21" s="129"/>
      <c r="H21" s="130">
        <v>111616110</v>
      </c>
      <c r="I21" s="120"/>
      <c r="J21" s="120"/>
      <c r="K21" s="129"/>
      <c r="L21" s="120"/>
      <c r="M21" s="131">
        <f t="shared" si="0"/>
        <v>111616110</v>
      </c>
    </row>
    <row r="22" spans="1:13" s="96" customFormat="1" ht="14.25" customHeight="1">
      <c r="A22" s="122">
        <v>42202</v>
      </c>
      <c r="B22" s="123" t="s">
        <v>886</v>
      </c>
      <c r="C22" s="124" t="s">
        <v>778</v>
      </c>
      <c r="D22" s="125"/>
      <c r="E22" s="126" t="s">
        <v>887</v>
      </c>
      <c r="F22" s="130" t="s">
        <v>888</v>
      </c>
      <c r="G22" s="129"/>
      <c r="H22" s="130">
        <v>145841012</v>
      </c>
      <c r="I22" s="120"/>
      <c r="J22" s="120"/>
      <c r="K22" s="129"/>
      <c r="L22" s="120"/>
      <c r="M22" s="131">
        <f t="shared" si="0"/>
        <v>145841012</v>
      </c>
    </row>
    <row r="23" spans="1:13" s="96" customFormat="1" ht="14.25" customHeight="1">
      <c r="A23" s="122">
        <v>42203</v>
      </c>
      <c r="B23" s="123" t="s">
        <v>889</v>
      </c>
      <c r="C23" s="124" t="s">
        <v>890</v>
      </c>
      <c r="D23" s="125"/>
      <c r="E23" s="126" t="s">
        <v>891</v>
      </c>
      <c r="F23" s="130" t="s">
        <v>892</v>
      </c>
      <c r="G23" s="129"/>
      <c r="H23" s="130">
        <v>30111334</v>
      </c>
      <c r="I23" s="120"/>
      <c r="J23" s="120"/>
      <c r="K23" s="129"/>
      <c r="L23" s="120"/>
      <c r="M23" s="131">
        <f t="shared" si="0"/>
        <v>30111334</v>
      </c>
    </row>
    <row r="24" spans="1:13" s="96" customFormat="1" ht="14.25" customHeight="1">
      <c r="A24" s="122">
        <v>42203</v>
      </c>
      <c r="B24" s="123" t="s">
        <v>893</v>
      </c>
      <c r="C24" s="124" t="s">
        <v>894</v>
      </c>
      <c r="D24" s="125"/>
      <c r="E24" s="126" t="s">
        <v>895</v>
      </c>
      <c r="F24" s="130" t="s">
        <v>896</v>
      </c>
      <c r="G24" s="129"/>
      <c r="H24" s="130">
        <v>149495808</v>
      </c>
      <c r="I24" s="120"/>
      <c r="J24" s="120"/>
      <c r="K24" s="129"/>
      <c r="L24" s="120"/>
      <c r="M24" s="131">
        <f t="shared" si="0"/>
        <v>149495808</v>
      </c>
    </row>
    <row r="25" spans="1:13" s="96" customFormat="1" ht="14.25" customHeight="1">
      <c r="A25" s="122">
        <v>42203</v>
      </c>
      <c r="B25" s="123" t="s">
        <v>897</v>
      </c>
      <c r="C25" s="124" t="s">
        <v>778</v>
      </c>
      <c r="D25" s="125"/>
      <c r="E25" s="126" t="s">
        <v>793</v>
      </c>
      <c r="F25" s="130" t="s">
        <v>898</v>
      </c>
      <c r="G25" s="129"/>
      <c r="H25" s="130">
        <v>96535757</v>
      </c>
      <c r="I25" s="120"/>
      <c r="J25" s="120"/>
      <c r="K25" s="129"/>
      <c r="L25" s="120"/>
      <c r="M25" s="131">
        <f t="shared" si="0"/>
        <v>96535757</v>
      </c>
    </row>
    <row r="26" spans="1:13" s="96" customFormat="1" ht="14.25" customHeight="1">
      <c r="A26" s="122">
        <v>42203</v>
      </c>
      <c r="B26" s="123" t="s">
        <v>897</v>
      </c>
      <c r="C26" s="124" t="s">
        <v>778</v>
      </c>
      <c r="D26" s="125"/>
      <c r="E26" s="126" t="s">
        <v>887</v>
      </c>
      <c r="F26" s="130" t="s">
        <v>899</v>
      </c>
      <c r="G26" s="129"/>
      <c r="H26" s="130">
        <v>67763405</v>
      </c>
      <c r="I26" s="120"/>
      <c r="J26" s="120"/>
      <c r="K26" s="129"/>
      <c r="L26" s="120"/>
      <c r="M26" s="131">
        <f t="shared" si="0"/>
        <v>67763405</v>
      </c>
    </row>
    <row r="27" spans="1:13" s="96" customFormat="1" ht="14.25" customHeight="1">
      <c r="A27" s="122">
        <v>42203</v>
      </c>
      <c r="B27" s="123" t="s">
        <v>897</v>
      </c>
      <c r="C27" s="124" t="s">
        <v>778</v>
      </c>
      <c r="D27" s="125"/>
      <c r="E27" s="126" t="s">
        <v>814</v>
      </c>
      <c r="F27" s="130" t="s">
        <v>900</v>
      </c>
      <c r="G27" s="129"/>
      <c r="H27" s="130">
        <v>45686784</v>
      </c>
      <c r="I27" s="120"/>
      <c r="J27" s="120"/>
      <c r="K27" s="129"/>
      <c r="L27" s="120"/>
      <c r="M27" s="131">
        <f t="shared" si="0"/>
        <v>45686784</v>
      </c>
    </row>
    <row r="28" spans="1:13" s="96" customFormat="1" ht="14.25" customHeight="1">
      <c r="A28" s="122">
        <v>42203</v>
      </c>
      <c r="B28" s="123" t="s">
        <v>901</v>
      </c>
      <c r="C28" s="124" t="s">
        <v>890</v>
      </c>
      <c r="D28" s="125"/>
      <c r="E28" s="126" t="s">
        <v>902</v>
      </c>
      <c r="F28" s="130" t="s">
        <v>903</v>
      </c>
      <c r="G28" s="129"/>
      <c r="H28" s="130">
        <v>150505472</v>
      </c>
      <c r="I28" s="120"/>
      <c r="J28" s="120"/>
      <c r="K28" s="129"/>
      <c r="L28" s="120"/>
      <c r="M28" s="131">
        <f t="shared" si="0"/>
        <v>150505472</v>
      </c>
    </row>
    <row r="29" spans="1:13" s="96" customFormat="1" ht="13.5" customHeight="1">
      <c r="A29" s="122">
        <v>42203</v>
      </c>
      <c r="B29" s="123" t="s">
        <v>901</v>
      </c>
      <c r="C29" s="124" t="s">
        <v>890</v>
      </c>
      <c r="D29" s="125"/>
      <c r="E29" s="126" t="s">
        <v>904</v>
      </c>
      <c r="F29" s="130" t="s">
        <v>905</v>
      </c>
      <c r="G29" s="129"/>
      <c r="H29" s="130">
        <v>114575606</v>
      </c>
      <c r="I29" s="120"/>
      <c r="J29" s="120"/>
      <c r="K29" s="129"/>
      <c r="L29" s="120"/>
      <c r="M29" s="131">
        <f t="shared" si="0"/>
        <v>114575606</v>
      </c>
    </row>
    <row r="30" spans="1:13" s="139" customFormat="1" ht="14.25" customHeight="1">
      <c r="A30" s="597">
        <f>L4</f>
        <v>4099</v>
      </c>
      <c r="B30" s="597"/>
      <c r="C30" s="597"/>
      <c r="D30" s="597"/>
      <c r="E30" s="133" t="s">
        <v>847</v>
      </c>
      <c r="F30" s="185">
        <f>SUM(F9:F29)</f>
        <v>0</v>
      </c>
      <c r="G30" s="135"/>
      <c r="H30" s="136">
        <f>SUM(H9:H29)</f>
        <v>3379679902</v>
      </c>
      <c r="I30" s="137"/>
      <c r="J30" s="137"/>
      <c r="K30" s="137"/>
      <c r="L30" s="137"/>
      <c r="M30" s="138">
        <f>SUM(M9:M29)</f>
        <v>3379679902</v>
      </c>
    </row>
    <row r="31" spans="1:13" s="139" customFormat="1" ht="14.25" customHeight="1" thickBot="1">
      <c r="A31" s="598" t="s">
        <v>848</v>
      </c>
      <c r="B31" s="599"/>
      <c r="C31" s="599"/>
      <c r="D31" s="599"/>
      <c r="E31" s="140" t="s">
        <v>0</v>
      </c>
      <c r="F31" s="186"/>
      <c r="G31" s="143">
        <f>G30/L4</f>
        <v>0</v>
      </c>
      <c r="H31" s="144">
        <f>H30/L4</f>
        <v>824513.27201756521</v>
      </c>
      <c r="I31" s="145">
        <f t="shared" ref="I31:K31" si="1">I30*4034</f>
        <v>0</v>
      </c>
      <c r="J31" s="145">
        <f t="shared" si="1"/>
        <v>0</v>
      </c>
      <c r="K31" s="145">
        <f t="shared" si="1"/>
        <v>0</v>
      </c>
      <c r="L31" s="145">
        <f>L30*4034</f>
        <v>0</v>
      </c>
      <c r="M31" s="146">
        <f>M30/L4</f>
        <v>824513.27201756521</v>
      </c>
    </row>
    <row r="32" spans="1:13" s="151" customFormat="1" ht="15.75" customHeight="1">
      <c r="A32" s="147"/>
      <c r="B32" s="148"/>
      <c r="C32" s="148"/>
      <c r="D32" s="148"/>
      <c r="E32" s="148"/>
      <c r="F32" s="149"/>
      <c r="G32" s="148" t="s">
        <v>849</v>
      </c>
      <c r="H32" s="150" t="s">
        <v>906</v>
      </c>
      <c r="I32" s="148" t="s">
        <v>851</v>
      </c>
      <c r="J32" s="148" t="s">
        <v>852</v>
      </c>
      <c r="K32" s="148" t="s">
        <v>851</v>
      </c>
      <c r="L32" s="148" t="s">
        <v>852</v>
      </c>
      <c r="M32" s="148"/>
    </row>
    <row r="33" spans="1:14" ht="14.25" customHeight="1">
      <c r="A33" s="152"/>
      <c r="B33" s="153"/>
      <c r="C33" s="153"/>
      <c r="D33" s="153"/>
      <c r="E33" s="153"/>
      <c r="F33" s="154"/>
      <c r="G33" s="153"/>
      <c r="H33" s="600" t="s">
        <v>853</v>
      </c>
      <c r="I33" s="600"/>
      <c r="J33" s="600"/>
      <c r="K33" s="600"/>
      <c r="L33" s="600"/>
      <c r="M33" s="600"/>
    </row>
    <row r="34" spans="1:14" ht="19.5" customHeight="1">
      <c r="H34" s="601"/>
      <c r="I34" s="601"/>
      <c r="J34" s="601"/>
      <c r="K34" s="601"/>
      <c r="L34" s="601"/>
      <c r="M34" s="601"/>
      <c r="N34" s="158"/>
    </row>
    <row r="35" spans="1:14" ht="18" hidden="1" customHeight="1">
      <c r="H35" s="159">
        <f>H31*1%</f>
        <v>8245.1327201756521</v>
      </c>
      <c r="I35" s="160"/>
      <c r="J35" s="187"/>
      <c r="K35" s="162"/>
      <c r="L35" s="162"/>
    </row>
    <row r="36" spans="1:14" ht="14.25" customHeight="1">
      <c r="H36" s="163"/>
      <c r="I36" s="593"/>
      <c r="J36" s="593"/>
      <c r="K36" s="593"/>
      <c r="L36" s="163"/>
    </row>
    <row r="37" spans="1:14" ht="14.25" customHeight="1">
      <c r="C37" s="164"/>
      <c r="D37" s="165"/>
      <c r="E37" s="165"/>
      <c r="F37" s="166"/>
    </row>
    <row r="38" spans="1:14" ht="14.25" customHeight="1">
      <c r="F38" s="168"/>
      <c r="G38" s="610"/>
      <c r="H38" s="610"/>
      <c r="I38" s="169"/>
    </row>
    <row r="39" spans="1:14" ht="14.25" customHeight="1">
      <c r="C39" s="170"/>
      <c r="D39" s="171"/>
      <c r="E39" s="172"/>
      <c r="F39" s="171"/>
      <c r="G39" s="160"/>
      <c r="H39" s="173"/>
      <c r="I39" s="174"/>
      <c r="J39" s="175"/>
      <c r="K39" s="175"/>
    </row>
    <row r="40" spans="1:14" ht="14.25" customHeight="1">
      <c r="F40" s="168"/>
      <c r="H40" s="176"/>
      <c r="I40" s="177"/>
      <c r="J40" s="177"/>
      <c r="K40" s="139"/>
    </row>
    <row r="41" spans="1:14" ht="14.25" customHeight="1">
      <c r="H41" s="173"/>
      <c r="I41" s="178"/>
      <c r="J41" s="139"/>
      <c r="K41" s="139"/>
    </row>
    <row r="42" spans="1:14" ht="14.25" customHeight="1">
      <c r="H42" s="179"/>
      <c r="I42" s="180"/>
      <c r="J42" s="139"/>
      <c r="K42" s="139"/>
    </row>
    <row r="43" spans="1:14" ht="14.25" customHeight="1">
      <c r="H43" s="594"/>
      <c r="I43" s="594"/>
      <c r="J43" s="139"/>
      <c r="K43" s="139"/>
      <c r="M43" s="181"/>
    </row>
    <row r="44" spans="1:14" ht="14.25" hidden="1" customHeight="1">
      <c r="H44" s="595">
        <f>H31*1%</f>
        <v>8245.1327201756521</v>
      </c>
      <c r="I44" s="595"/>
    </row>
    <row r="45" spans="1:14" ht="14.25" customHeight="1">
      <c r="H45" s="175"/>
      <c r="I45" s="139"/>
    </row>
    <row r="46" spans="1:14" ht="14.25" customHeight="1">
      <c r="H46" s="175"/>
    </row>
    <row r="47" spans="1:14" ht="14.25" customHeight="1">
      <c r="H47" s="175"/>
    </row>
    <row r="48" spans="1:14" ht="14.25" customHeight="1">
      <c r="H48" s="175"/>
    </row>
    <row r="49" spans="8:8" ht="14.25" customHeight="1">
      <c r="H49" s="180"/>
    </row>
    <row r="50" spans="8:8" ht="14.25" customHeight="1">
      <c r="H50" s="175"/>
    </row>
    <row r="51" spans="8:8" ht="14.25" customHeight="1">
      <c r="H51" s="175"/>
    </row>
    <row r="52" spans="8:8" ht="14.25" customHeight="1">
      <c r="H52" s="175"/>
    </row>
    <row r="53" spans="8:8" ht="14.25" customHeight="1">
      <c r="H53" s="175"/>
    </row>
    <row r="54" spans="8:8" ht="14.25" customHeight="1">
      <c r="H54" s="175"/>
    </row>
    <row r="55" spans="8:8" ht="14.25" customHeight="1">
      <c r="H55" s="175"/>
    </row>
  </sheetData>
  <mergeCells count="16">
    <mergeCell ref="A30:D30"/>
    <mergeCell ref="A31:D31"/>
    <mergeCell ref="H33:M33"/>
    <mergeCell ref="H34:M34"/>
    <mergeCell ref="A1:M1"/>
    <mergeCell ref="A2:M2"/>
    <mergeCell ref="A5:H5"/>
    <mergeCell ref="I5:L5"/>
    <mergeCell ref="F6:G6"/>
    <mergeCell ref="I6:L6"/>
    <mergeCell ref="I36:K36"/>
    <mergeCell ref="G38:H38"/>
    <mergeCell ref="H43:I43"/>
    <mergeCell ref="H44:I44"/>
    <mergeCell ref="I7:J7"/>
    <mergeCell ref="K7:L7"/>
  </mergeCells>
  <pageMargins left="0.45" right="0.16" top="0.51" bottom="0.5" header="0.46" footer="0.2"/>
  <pageSetup orientation="landscape" horizontalDpi="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72"/>
  <sheetViews>
    <sheetView topLeftCell="F35" zoomScale="190" zoomScaleNormal="190" workbookViewId="0">
      <selection activeCell="I9" sqref="I9:I46"/>
    </sheetView>
  </sheetViews>
  <sheetFormatPr defaultColWidth="9.109375" defaultRowHeight="14.25" customHeight="1"/>
  <cols>
    <col min="1" max="1" width="8.109375" style="156" customWidth="1"/>
    <col min="2" max="2" width="7" style="155" customWidth="1"/>
    <col min="3" max="3" width="19.33203125" style="155" customWidth="1"/>
    <col min="4" max="4" width="7.44140625" style="155" customWidth="1"/>
    <col min="5" max="5" width="17.88671875" style="155" customWidth="1"/>
    <col min="6" max="6" width="4.6640625" style="157" customWidth="1"/>
    <col min="7" max="7" width="3" style="157" customWidth="1"/>
    <col min="8" max="8" width="11.109375" style="155" customWidth="1"/>
    <col min="9" max="9" width="11.88671875" style="167" customWidth="1"/>
    <col min="10" max="10" width="9" style="155" customWidth="1"/>
    <col min="11" max="11" width="5.44140625" style="155" customWidth="1"/>
    <col min="12" max="12" width="8.44140625" style="155" customWidth="1"/>
    <col min="13" max="13" width="4.33203125" style="155" customWidth="1"/>
    <col min="14" max="14" width="13.33203125" style="155" customWidth="1"/>
    <col min="15" max="15" width="15.109375" style="155" bestFit="1" customWidth="1"/>
    <col min="16" max="16384" width="9.109375" style="155"/>
  </cols>
  <sheetData>
    <row r="1" spans="1:16" s="84" customFormat="1" ht="23.25" customHeight="1">
      <c r="A1" s="602" t="s">
        <v>749</v>
      </c>
      <c r="B1" s="602"/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2"/>
      <c r="N1" s="602"/>
      <c r="O1" s="83"/>
    </row>
    <row r="2" spans="1:16" s="85" customFormat="1" ht="22.5" customHeight="1">
      <c r="A2" s="603" t="s">
        <v>750</v>
      </c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603"/>
      <c r="O2" s="83"/>
    </row>
    <row r="3" spans="1:16" s="95" customFormat="1" ht="22.5" customHeight="1">
      <c r="A3" s="86" t="s">
        <v>751</v>
      </c>
      <c r="B3" s="87"/>
      <c r="C3" s="88"/>
      <c r="D3" s="87"/>
      <c r="E3" s="88"/>
      <c r="F3" s="89"/>
      <c r="G3" s="89"/>
      <c r="H3" s="89"/>
      <c r="I3" s="89"/>
      <c r="J3" s="90"/>
      <c r="K3" s="91"/>
      <c r="L3" s="86" t="s">
        <v>752</v>
      </c>
      <c r="M3" s="92"/>
      <c r="N3" s="93"/>
      <c r="O3" s="94"/>
      <c r="P3" s="94"/>
    </row>
    <row r="4" spans="1:16" s="104" customFormat="1" ht="18" customHeight="1" thickBot="1">
      <c r="A4" s="96" t="s">
        <v>753</v>
      </c>
      <c r="B4" s="97"/>
      <c r="C4" s="98"/>
      <c r="D4" s="99"/>
      <c r="E4" s="99"/>
      <c r="F4" s="100"/>
      <c r="G4" s="100"/>
      <c r="H4" s="100"/>
      <c r="I4" s="100"/>
      <c r="J4" s="101"/>
      <c r="K4" s="93"/>
      <c r="L4" s="97" t="s">
        <v>754</v>
      </c>
      <c r="M4" s="102">
        <v>4095</v>
      </c>
      <c r="N4" s="93"/>
      <c r="O4" s="103"/>
      <c r="P4" s="94"/>
    </row>
    <row r="5" spans="1:16" s="104" customFormat="1" ht="16.5" customHeight="1">
      <c r="A5" s="604" t="s">
        <v>755</v>
      </c>
      <c r="B5" s="605"/>
      <c r="C5" s="605"/>
      <c r="D5" s="605"/>
      <c r="E5" s="605"/>
      <c r="F5" s="605"/>
      <c r="G5" s="605"/>
      <c r="H5" s="605"/>
      <c r="I5" s="605"/>
      <c r="J5" s="606" t="s">
        <v>756</v>
      </c>
      <c r="K5" s="606"/>
      <c r="L5" s="606"/>
      <c r="M5" s="606"/>
      <c r="N5" s="105"/>
    </row>
    <row r="6" spans="1:16" s="104" customFormat="1" ht="14.25" customHeight="1">
      <c r="A6" s="106" t="s">
        <v>757</v>
      </c>
      <c r="B6" s="107" t="s">
        <v>755</v>
      </c>
      <c r="C6" s="107" t="s">
        <v>758</v>
      </c>
      <c r="D6" s="107" t="s">
        <v>759</v>
      </c>
      <c r="E6" s="107" t="s">
        <v>760</v>
      </c>
      <c r="F6" s="607" t="s">
        <v>761</v>
      </c>
      <c r="G6" s="607"/>
      <c r="H6" s="607"/>
      <c r="I6" s="108"/>
      <c r="J6" s="608" t="s">
        <v>762</v>
      </c>
      <c r="K6" s="609"/>
      <c r="L6" s="609"/>
      <c r="M6" s="609"/>
      <c r="N6" s="109" t="s">
        <v>763</v>
      </c>
    </row>
    <row r="7" spans="1:16" s="104" customFormat="1" ht="14.25" customHeight="1">
      <c r="A7" s="110"/>
      <c r="B7" s="111"/>
      <c r="C7" s="111"/>
      <c r="D7" s="112" t="s">
        <v>764</v>
      </c>
      <c r="E7" s="113"/>
      <c r="F7" s="611" t="s">
        <v>756</v>
      </c>
      <c r="G7" s="612"/>
      <c r="H7" s="613"/>
      <c r="I7" s="114" t="s">
        <v>765</v>
      </c>
      <c r="J7" s="596" t="s">
        <v>766</v>
      </c>
      <c r="K7" s="596"/>
      <c r="L7" s="596" t="s">
        <v>767</v>
      </c>
      <c r="M7" s="596"/>
      <c r="N7" s="109" t="s">
        <v>768</v>
      </c>
    </row>
    <row r="8" spans="1:16" s="104" customFormat="1" ht="14.25" customHeight="1">
      <c r="A8" s="115"/>
      <c r="B8" s="116"/>
      <c r="C8" s="116"/>
      <c r="D8" s="117"/>
      <c r="E8" s="118"/>
      <c r="F8" s="611" t="s">
        <v>769</v>
      </c>
      <c r="G8" s="612"/>
      <c r="H8" s="613"/>
      <c r="I8" s="119" t="s">
        <v>770</v>
      </c>
      <c r="J8" s="120" t="s">
        <v>771</v>
      </c>
      <c r="K8" s="120" t="s">
        <v>772</v>
      </c>
      <c r="L8" s="120" t="s">
        <v>771</v>
      </c>
      <c r="M8" s="120" t="s">
        <v>772</v>
      </c>
      <c r="N8" s="121"/>
    </row>
    <row r="9" spans="1:16" s="96" customFormat="1" ht="14.25" customHeight="1">
      <c r="A9" s="122">
        <v>42202</v>
      </c>
      <c r="B9" s="123" t="s">
        <v>773</v>
      </c>
      <c r="C9" s="124" t="s">
        <v>774</v>
      </c>
      <c r="D9" s="125"/>
      <c r="E9" s="126" t="s">
        <v>775</v>
      </c>
      <c r="F9" s="127">
        <v>65</v>
      </c>
      <c r="G9" s="128" t="s">
        <v>776</v>
      </c>
      <c r="H9" s="129"/>
      <c r="I9" s="130">
        <v>16764930</v>
      </c>
      <c r="J9" s="120"/>
      <c r="K9" s="120"/>
      <c r="L9" s="129"/>
      <c r="M9" s="120"/>
      <c r="N9" s="131">
        <f>H9+I9</f>
        <v>16764930</v>
      </c>
    </row>
    <row r="10" spans="1:16" s="96" customFormat="1" ht="14.25" customHeight="1">
      <c r="A10" s="122">
        <v>42203</v>
      </c>
      <c r="B10" s="123" t="s">
        <v>777</v>
      </c>
      <c r="C10" s="124" t="s">
        <v>778</v>
      </c>
      <c r="D10" s="125"/>
      <c r="E10" s="126" t="s">
        <v>779</v>
      </c>
      <c r="F10" s="127">
        <v>64</v>
      </c>
      <c r="G10" s="128" t="s">
        <v>776</v>
      </c>
      <c r="H10" s="129"/>
      <c r="I10" s="130">
        <v>26424115</v>
      </c>
      <c r="J10" s="120"/>
      <c r="K10" s="120"/>
      <c r="L10" s="129"/>
      <c r="M10" s="120"/>
      <c r="N10" s="131">
        <f>H10+I10</f>
        <v>26424115</v>
      </c>
    </row>
    <row r="11" spans="1:16" s="96" customFormat="1" ht="14.25" customHeight="1">
      <c r="A11" s="122">
        <v>42208</v>
      </c>
      <c r="B11" s="123" t="s">
        <v>780</v>
      </c>
      <c r="C11" s="124" t="s">
        <v>781</v>
      </c>
      <c r="D11" s="125"/>
      <c r="E11" s="126" t="s">
        <v>782</v>
      </c>
      <c r="F11" s="127">
        <v>36</v>
      </c>
      <c r="G11" s="128" t="s">
        <v>776</v>
      </c>
      <c r="H11" s="129"/>
      <c r="I11" s="130">
        <v>29192000</v>
      </c>
      <c r="J11" s="120"/>
      <c r="K11" s="120"/>
      <c r="L11" s="129"/>
      <c r="M11" s="120"/>
      <c r="N11" s="131">
        <f>H11+I11</f>
        <v>29192000</v>
      </c>
    </row>
    <row r="12" spans="1:16" s="96" customFormat="1" ht="14.25" customHeight="1">
      <c r="A12" s="122">
        <v>42209</v>
      </c>
      <c r="B12" s="123" t="s">
        <v>783</v>
      </c>
      <c r="C12" s="124" t="s">
        <v>774</v>
      </c>
      <c r="D12" s="125"/>
      <c r="E12" s="126" t="s">
        <v>784</v>
      </c>
      <c r="F12" s="127">
        <v>305</v>
      </c>
      <c r="G12" s="128" t="s">
        <v>776</v>
      </c>
      <c r="H12" s="129"/>
      <c r="I12" s="130">
        <v>70028000</v>
      </c>
      <c r="J12" s="120"/>
      <c r="K12" s="120"/>
      <c r="L12" s="129"/>
      <c r="M12" s="120"/>
      <c r="N12" s="131">
        <f t="shared" ref="N12:N46" si="0">H12+I12</f>
        <v>70028000</v>
      </c>
    </row>
    <row r="13" spans="1:16" s="96" customFormat="1" ht="14.25" customHeight="1">
      <c r="A13" s="122">
        <v>42209</v>
      </c>
      <c r="B13" s="123" t="s">
        <v>785</v>
      </c>
      <c r="C13" s="124" t="s">
        <v>778</v>
      </c>
      <c r="D13" s="125"/>
      <c r="E13" s="126" t="s">
        <v>786</v>
      </c>
      <c r="F13" s="127">
        <v>904</v>
      </c>
      <c r="G13" s="128" t="s">
        <v>776</v>
      </c>
      <c r="H13" s="129"/>
      <c r="I13" s="130">
        <v>242980473</v>
      </c>
      <c r="J13" s="120"/>
      <c r="K13" s="120"/>
      <c r="L13" s="129"/>
      <c r="M13" s="120"/>
      <c r="N13" s="131">
        <f t="shared" si="0"/>
        <v>242980473</v>
      </c>
    </row>
    <row r="14" spans="1:16" s="96" customFormat="1" ht="14.25" customHeight="1">
      <c r="A14" s="122">
        <v>42210</v>
      </c>
      <c r="B14" s="123" t="s">
        <v>787</v>
      </c>
      <c r="C14" s="124" t="s">
        <v>788</v>
      </c>
      <c r="D14" s="125"/>
      <c r="E14" s="126" t="s">
        <v>775</v>
      </c>
      <c r="F14" s="127">
        <v>700</v>
      </c>
      <c r="G14" s="128" t="s">
        <v>776</v>
      </c>
      <c r="H14" s="129"/>
      <c r="I14" s="130">
        <v>180986400</v>
      </c>
      <c r="J14" s="120"/>
      <c r="K14" s="120"/>
      <c r="L14" s="129"/>
      <c r="M14" s="120"/>
      <c r="N14" s="131">
        <f t="shared" si="0"/>
        <v>180986400</v>
      </c>
    </row>
    <row r="15" spans="1:16" s="96" customFormat="1" ht="14.25" customHeight="1">
      <c r="A15" s="122">
        <v>42210</v>
      </c>
      <c r="B15" s="123" t="s">
        <v>789</v>
      </c>
      <c r="C15" s="124" t="s">
        <v>790</v>
      </c>
      <c r="D15" s="125"/>
      <c r="E15" s="126" t="s">
        <v>791</v>
      </c>
      <c r="F15" s="127">
        <v>800</v>
      </c>
      <c r="G15" s="128" t="s">
        <v>776</v>
      </c>
      <c r="H15" s="129"/>
      <c r="I15" s="130">
        <v>174420000</v>
      </c>
      <c r="J15" s="120"/>
      <c r="K15" s="120"/>
      <c r="L15" s="129"/>
      <c r="M15" s="120"/>
      <c r="N15" s="131">
        <f t="shared" si="0"/>
        <v>174420000</v>
      </c>
    </row>
    <row r="16" spans="1:16" s="96" customFormat="1" ht="14.25" customHeight="1">
      <c r="A16" s="122">
        <v>42210</v>
      </c>
      <c r="B16" s="123" t="s">
        <v>792</v>
      </c>
      <c r="C16" s="124" t="s">
        <v>778</v>
      </c>
      <c r="D16" s="125"/>
      <c r="E16" s="126" t="s">
        <v>793</v>
      </c>
      <c r="F16" s="127">
        <v>680</v>
      </c>
      <c r="G16" s="128" t="s">
        <v>776</v>
      </c>
      <c r="H16" s="129"/>
      <c r="I16" s="130">
        <v>178829338</v>
      </c>
      <c r="J16" s="120"/>
      <c r="K16" s="120"/>
      <c r="L16" s="129"/>
      <c r="M16" s="120"/>
      <c r="N16" s="131">
        <f t="shared" si="0"/>
        <v>178829338</v>
      </c>
    </row>
    <row r="17" spans="1:14" s="96" customFormat="1" ht="14.25" customHeight="1">
      <c r="A17" s="122">
        <v>42210</v>
      </c>
      <c r="B17" s="123" t="s">
        <v>792</v>
      </c>
      <c r="C17" s="124" t="s">
        <v>778</v>
      </c>
      <c r="D17" s="125"/>
      <c r="E17" s="126" t="s">
        <v>794</v>
      </c>
      <c r="F17" s="127">
        <v>93</v>
      </c>
      <c r="G17" s="128" t="s">
        <v>776</v>
      </c>
      <c r="H17" s="129"/>
      <c r="I17" s="130">
        <v>36022203</v>
      </c>
      <c r="J17" s="120"/>
      <c r="K17" s="120"/>
      <c r="L17" s="129"/>
      <c r="M17" s="120"/>
      <c r="N17" s="131">
        <f t="shared" si="0"/>
        <v>36022203</v>
      </c>
    </row>
    <row r="18" spans="1:14" s="96" customFormat="1" ht="14.25" customHeight="1">
      <c r="A18" s="122">
        <v>42215</v>
      </c>
      <c r="B18" s="132" t="s">
        <v>795</v>
      </c>
      <c r="C18" s="124" t="s">
        <v>796</v>
      </c>
      <c r="D18" s="125"/>
      <c r="E18" s="126" t="s">
        <v>797</v>
      </c>
      <c r="F18" s="127">
        <v>355</v>
      </c>
      <c r="G18" s="128" t="s">
        <v>776</v>
      </c>
      <c r="H18" s="129"/>
      <c r="I18" s="130">
        <v>89531330</v>
      </c>
      <c r="J18" s="120"/>
      <c r="K18" s="120"/>
      <c r="L18" s="129"/>
      <c r="M18" s="120"/>
      <c r="N18" s="131">
        <f t="shared" si="0"/>
        <v>89531330</v>
      </c>
    </row>
    <row r="19" spans="1:14" s="96" customFormat="1" ht="14.25" customHeight="1">
      <c r="A19" s="122">
        <v>42215</v>
      </c>
      <c r="B19" s="132" t="s">
        <v>795</v>
      </c>
      <c r="C19" s="124" t="s">
        <v>796</v>
      </c>
      <c r="D19" s="125"/>
      <c r="E19" s="126" t="s">
        <v>798</v>
      </c>
      <c r="F19" s="127">
        <v>267</v>
      </c>
      <c r="G19" s="128" t="s">
        <v>776</v>
      </c>
      <c r="H19" s="129"/>
      <c r="I19" s="130">
        <v>191743220</v>
      </c>
      <c r="J19" s="120"/>
      <c r="K19" s="120"/>
      <c r="L19" s="129"/>
      <c r="M19" s="120"/>
      <c r="N19" s="131">
        <f t="shared" si="0"/>
        <v>191743220</v>
      </c>
    </row>
    <row r="20" spans="1:14" s="96" customFormat="1" ht="14.25" customHeight="1">
      <c r="A20" s="122">
        <v>42216</v>
      </c>
      <c r="B20" s="132" t="s">
        <v>799</v>
      </c>
      <c r="C20" s="124" t="s">
        <v>774</v>
      </c>
      <c r="D20" s="125"/>
      <c r="E20" s="126" t="s">
        <v>800</v>
      </c>
      <c r="F20" s="127">
        <v>70</v>
      </c>
      <c r="G20" s="128" t="s">
        <v>776</v>
      </c>
      <c r="H20" s="129"/>
      <c r="I20" s="130">
        <v>18116280</v>
      </c>
      <c r="J20" s="120"/>
      <c r="K20" s="120"/>
      <c r="L20" s="129"/>
      <c r="M20" s="120"/>
      <c r="N20" s="131">
        <f t="shared" si="0"/>
        <v>18116280</v>
      </c>
    </row>
    <row r="21" spans="1:14" s="96" customFormat="1" ht="14.25" customHeight="1">
      <c r="A21" s="122">
        <v>42216</v>
      </c>
      <c r="B21" s="132" t="s">
        <v>801</v>
      </c>
      <c r="C21" s="124" t="s">
        <v>778</v>
      </c>
      <c r="D21" s="125"/>
      <c r="E21" s="126" t="s">
        <v>794</v>
      </c>
      <c r="F21" s="127">
        <v>256</v>
      </c>
      <c r="G21" s="128" t="s">
        <v>776</v>
      </c>
      <c r="H21" s="129"/>
      <c r="I21" s="130">
        <v>101220463</v>
      </c>
      <c r="J21" s="120"/>
      <c r="K21" s="120"/>
      <c r="L21" s="129"/>
      <c r="M21" s="120"/>
      <c r="N21" s="131">
        <f t="shared" si="0"/>
        <v>101220463</v>
      </c>
    </row>
    <row r="22" spans="1:14" s="96" customFormat="1" ht="14.25" customHeight="1">
      <c r="A22" s="122">
        <v>42216</v>
      </c>
      <c r="B22" s="132" t="s">
        <v>801</v>
      </c>
      <c r="C22" s="124" t="s">
        <v>778</v>
      </c>
      <c r="D22" s="125"/>
      <c r="E22" s="126" t="s">
        <v>786</v>
      </c>
      <c r="F22" s="127">
        <v>79</v>
      </c>
      <c r="G22" s="128" t="s">
        <v>776</v>
      </c>
      <c r="H22" s="129"/>
      <c r="I22" s="130">
        <v>18672092</v>
      </c>
      <c r="J22" s="120"/>
      <c r="K22" s="120"/>
      <c r="L22" s="129"/>
      <c r="M22" s="120"/>
      <c r="N22" s="131">
        <f t="shared" si="0"/>
        <v>18672092</v>
      </c>
    </row>
    <row r="23" spans="1:14" s="96" customFormat="1" ht="14.25" customHeight="1">
      <c r="A23" s="122">
        <v>42216</v>
      </c>
      <c r="B23" s="132" t="s">
        <v>802</v>
      </c>
      <c r="C23" s="124" t="s">
        <v>790</v>
      </c>
      <c r="D23" s="125"/>
      <c r="E23" s="126" t="s">
        <v>803</v>
      </c>
      <c r="F23" s="127">
        <v>500</v>
      </c>
      <c r="G23" s="128" t="s">
        <v>776</v>
      </c>
      <c r="H23" s="129"/>
      <c r="I23" s="130">
        <v>359244600</v>
      </c>
      <c r="J23" s="120"/>
      <c r="K23" s="120"/>
      <c r="L23" s="129"/>
      <c r="M23" s="120"/>
      <c r="N23" s="131">
        <f t="shared" si="0"/>
        <v>359244600</v>
      </c>
    </row>
    <row r="24" spans="1:14" s="96" customFormat="1" ht="14.25" customHeight="1">
      <c r="A24" s="122">
        <v>42217</v>
      </c>
      <c r="B24" s="132" t="s">
        <v>804</v>
      </c>
      <c r="C24" s="124" t="s">
        <v>790</v>
      </c>
      <c r="D24" s="125"/>
      <c r="E24" s="126" t="s">
        <v>805</v>
      </c>
      <c r="F24" s="127">
        <v>640</v>
      </c>
      <c r="G24" s="128" t="s">
        <v>776</v>
      </c>
      <c r="H24" s="129"/>
      <c r="I24" s="130">
        <v>141980760</v>
      </c>
      <c r="J24" s="120"/>
      <c r="K24" s="120"/>
      <c r="L24" s="129"/>
      <c r="M24" s="120"/>
      <c r="N24" s="131">
        <f t="shared" si="0"/>
        <v>141980760</v>
      </c>
    </row>
    <row r="25" spans="1:14" s="96" customFormat="1" ht="14.25" customHeight="1">
      <c r="A25" s="122">
        <v>42217</v>
      </c>
      <c r="B25" s="132" t="s">
        <v>806</v>
      </c>
      <c r="C25" s="124" t="s">
        <v>807</v>
      </c>
      <c r="D25" s="125"/>
      <c r="E25" s="126" t="s">
        <v>808</v>
      </c>
      <c r="F25" s="127">
        <v>635</v>
      </c>
      <c r="G25" s="128" t="s">
        <v>776</v>
      </c>
      <c r="H25" s="129"/>
      <c r="I25" s="130">
        <v>311688076</v>
      </c>
      <c r="J25" s="120"/>
      <c r="K25" s="120"/>
      <c r="L25" s="129"/>
      <c r="M25" s="120"/>
      <c r="N25" s="131">
        <f t="shared" si="0"/>
        <v>311688076</v>
      </c>
    </row>
    <row r="26" spans="1:14" s="96" customFormat="1" ht="14.25" customHeight="1">
      <c r="A26" s="122">
        <v>42217</v>
      </c>
      <c r="B26" s="132" t="s">
        <v>809</v>
      </c>
      <c r="C26" s="124" t="s">
        <v>810</v>
      </c>
      <c r="D26" s="125"/>
      <c r="E26" s="126" t="s">
        <v>811</v>
      </c>
      <c r="F26" s="127">
        <v>2285</v>
      </c>
      <c r="G26" s="128" t="s">
        <v>776</v>
      </c>
      <c r="H26" s="129"/>
      <c r="I26" s="130">
        <v>592086915</v>
      </c>
      <c r="J26" s="120"/>
      <c r="K26" s="120"/>
      <c r="L26" s="129"/>
      <c r="M26" s="120"/>
      <c r="N26" s="131">
        <f t="shared" si="0"/>
        <v>592086915</v>
      </c>
    </row>
    <row r="27" spans="1:14" s="96" customFormat="1" ht="14.25" customHeight="1">
      <c r="A27" s="122">
        <v>42217</v>
      </c>
      <c r="B27" s="132" t="s">
        <v>812</v>
      </c>
      <c r="C27" s="124" t="s">
        <v>796</v>
      </c>
      <c r="D27" s="125"/>
      <c r="E27" s="126" t="s">
        <v>811</v>
      </c>
      <c r="F27" s="127">
        <v>695</v>
      </c>
      <c r="G27" s="128" t="s">
        <v>776</v>
      </c>
      <c r="H27" s="129"/>
      <c r="I27" s="130">
        <v>180087705</v>
      </c>
      <c r="J27" s="120"/>
      <c r="K27" s="120"/>
      <c r="L27" s="129"/>
      <c r="M27" s="120"/>
      <c r="N27" s="131">
        <f t="shared" si="0"/>
        <v>180087705</v>
      </c>
    </row>
    <row r="28" spans="1:14" s="96" customFormat="1" ht="14.25" customHeight="1">
      <c r="A28" s="122">
        <v>42220</v>
      </c>
      <c r="B28" s="132" t="s">
        <v>813</v>
      </c>
      <c r="C28" s="124" t="s">
        <v>778</v>
      </c>
      <c r="D28" s="125"/>
      <c r="E28" s="126" t="s">
        <v>814</v>
      </c>
      <c r="F28" s="127">
        <v>292</v>
      </c>
      <c r="G28" s="128" t="s">
        <v>776</v>
      </c>
      <c r="H28" s="129"/>
      <c r="I28" s="130">
        <v>67012117</v>
      </c>
      <c r="J28" s="120"/>
      <c r="K28" s="120"/>
      <c r="L28" s="129"/>
      <c r="M28" s="120"/>
      <c r="N28" s="131">
        <f t="shared" si="0"/>
        <v>67012117</v>
      </c>
    </row>
    <row r="29" spans="1:14" s="96" customFormat="1" ht="14.25" customHeight="1">
      <c r="A29" s="122">
        <v>42222</v>
      </c>
      <c r="B29" s="132" t="s">
        <v>815</v>
      </c>
      <c r="C29" s="124" t="s">
        <v>816</v>
      </c>
      <c r="D29" s="125"/>
      <c r="E29" s="126" t="s">
        <v>817</v>
      </c>
      <c r="F29" s="127">
        <v>2875</v>
      </c>
      <c r="G29" s="128" t="s">
        <v>776</v>
      </c>
      <c r="H29" s="129"/>
      <c r="I29" s="130">
        <v>344438512</v>
      </c>
      <c r="J29" s="120"/>
      <c r="K29" s="120"/>
      <c r="L29" s="129"/>
      <c r="M29" s="120"/>
      <c r="N29" s="131">
        <f t="shared" si="0"/>
        <v>344438512</v>
      </c>
    </row>
    <row r="30" spans="1:14" s="96" customFormat="1" ht="14.25" customHeight="1">
      <c r="A30" s="122">
        <v>42223</v>
      </c>
      <c r="B30" s="132" t="s">
        <v>818</v>
      </c>
      <c r="C30" s="124" t="s">
        <v>796</v>
      </c>
      <c r="D30" s="125"/>
      <c r="E30" s="126" t="s">
        <v>819</v>
      </c>
      <c r="F30" s="127">
        <v>75</v>
      </c>
      <c r="G30" s="128" t="s">
        <v>776</v>
      </c>
      <c r="H30" s="129"/>
      <c r="I30" s="130">
        <v>18300065</v>
      </c>
      <c r="J30" s="120"/>
      <c r="K30" s="120"/>
      <c r="L30" s="129"/>
      <c r="M30" s="120"/>
      <c r="N30" s="131">
        <f t="shared" si="0"/>
        <v>18300065</v>
      </c>
    </row>
    <row r="31" spans="1:14" s="96" customFormat="1" ht="14.25" customHeight="1">
      <c r="A31" s="122">
        <v>42223</v>
      </c>
      <c r="B31" s="132" t="s">
        <v>818</v>
      </c>
      <c r="C31" s="124" t="s">
        <v>796</v>
      </c>
      <c r="D31" s="125"/>
      <c r="E31" s="126" t="s">
        <v>803</v>
      </c>
      <c r="F31" s="127">
        <v>100</v>
      </c>
      <c r="G31" s="128" t="s">
        <v>776</v>
      </c>
      <c r="H31" s="129"/>
      <c r="I31" s="130">
        <v>43228500</v>
      </c>
      <c r="J31" s="120"/>
      <c r="K31" s="120"/>
      <c r="L31" s="129"/>
      <c r="M31" s="120"/>
      <c r="N31" s="131">
        <f t="shared" si="0"/>
        <v>43228500</v>
      </c>
    </row>
    <row r="32" spans="1:14" s="96" customFormat="1" ht="14.25" customHeight="1">
      <c r="A32" s="122">
        <v>42223</v>
      </c>
      <c r="B32" s="132" t="s">
        <v>820</v>
      </c>
      <c r="C32" s="124" t="s">
        <v>790</v>
      </c>
      <c r="D32" s="125"/>
      <c r="E32" s="126" t="s">
        <v>821</v>
      </c>
      <c r="F32" s="127">
        <v>720</v>
      </c>
      <c r="G32" s="128" t="s">
        <v>776</v>
      </c>
      <c r="H32" s="129"/>
      <c r="I32" s="130">
        <v>158751520</v>
      </c>
      <c r="J32" s="120"/>
      <c r="K32" s="120"/>
      <c r="L32" s="129"/>
      <c r="M32" s="120"/>
      <c r="N32" s="131">
        <f t="shared" si="0"/>
        <v>158751520</v>
      </c>
    </row>
    <row r="33" spans="1:14" s="96" customFormat="1" ht="14.25" customHeight="1">
      <c r="A33" s="122">
        <v>42224</v>
      </c>
      <c r="B33" s="132" t="s">
        <v>822</v>
      </c>
      <c r="C33" s="124" t="s">
        <v>790</v>
      </c>
      <c r="D33" s="125"/>
      <c r="E33" s="126" t="s">
        <v>823</v>
      </c>
      <c r="F33" s="127">
        <v>167</v>
      </c>
      <c r="G33" s="128" t="s">
        <v>776</v>
      </c>
      <c r="H33" s="129"/>
      <c r="I33" s="130">
        <v>72191595</v>
      </c>
      <c r="J33" s="120"/>
      <c r="K33" s="120"/>
      <c r="L33" s="129"/>
      <c r="M33" s="120"/>
      <c r="N33" s="131">
        <f t="shared" si="0"/>
        <v>72191595</v>
      </c>
    </row>
    <row r="34" spans="1:14" s="96" customFormat="1" ht="14.25" customHeight="1">
      <c r="A34" s="122">
        <v>42229</v>
      </c>
      <c r="B34" s="132" t="s">
        <v>824</v>
      </c>
      <c r="C34" s="124" t="s">
        <v>825</v>
      </c>
      <c r="D34" s="125"/>
      <c r="E34" s="126" t="s">
        <v>826</v>
      </c>
      <c r="F34" s="127">
        <v>853</v>
      </c>
      <c r="G34" s="128" t="s">
        <v>776</v>
      </c>
      <c r="H34" s="129"/>
      <c r="I34" s="130">
        <v>348972482</v>
      </c>
      <c r="J34" s="120"/>
      <c r="K34" s="120"/>
      <c r="L34" s="129"/>
      <c r="M34" s="120"/>
      <c r="N34" s="131">
        <f t="shared" si="0"/>
        <v>348972482</v>
      </c>
    </row>
    <row r="35" spans="1:14" s="96" customFormat="1" ht="14.25" customHeight="1">
      <c r="A35" s="122">
        <v>42229</v>
      </c>
      <c r="B35" s="132" t="s">
        <v>824</v>
      </c>
      <c r="C35" s="124" t="s">
        <v>825</v>
      </c>
      <c r="D35" s="125"/>
      <c r="E35" s="126" t="s">
        <v>827</v>
      </c>
      <c r="F35" s="127">
        <v>171</v>
      </c>
      <c r="G35" s="128" t="s">
        <v>776</v>
      </c>
      <c r="H35" s="129"/>
      <c r="I35" s="130">
        <v>103909128</v>
      </c>
      <c r="J35" s="120"/>
      <c r="K35" s="120"/>
      <c r="L35" s="129"/>
      <c r="M35" s="120"/>
      <c r="N35" s="131">
        <f t="shared" si="0"/>
        <v>103909128</v>
      </c>
    </row>
    <row r="36" spans="1:14" s="96" customFormat="1" ht="14.25" customHeight="1">
      <c r="A36" s="122">
        <v>42230</v>
      </c>
      <c r="B36" s="132" t="s">
        <v>828</v>
      </c>
      <c r="C36" s="124" t="s">
        <v>778</v>
      </c>
      <c r="D36" s="125"/>
      <c r="E36" s="126" t="s">
        <v>829</v>
      </c>
      <c r="F36" s="127">
        <v>230</v>
      </c>
      <c r="G36" s="128" t="s">
        <v>776</v>
      </c>
      <c r="H36" s="129"/>
      <c r="I36" s="130">
        <v>83919611</v>
      </c>
      <c r="J36" s="120"/>
      <c r="K36" s="120"/>
      <c r="L36" s="129"/>
      <c r="M36" s="120"/>
      <c r="N36" s="131">
        <f t="shared" si="0"/>
        <v>83919611</v>
      </c>
    </row>
    <row r="37" spans="1:14" s="96" customFormat="1" ht="18.75" customHeight="1">
      <c r="A37" s="122">
        <v>42230</v>
      </c>
      <c r="B37" s="132" t="s">
        <v>830</v>
      </c>
      <c r="C37" s="124" t="s">
        <v>807</v>
      </c>
      <c r="D37" s="125"/>
      <c r="E37" s="126" t="s">
        <v>831</v>
      </c>
      <c r="F37" s="127">
        <v>244</v>
      </c>
      <c r="G37" s="128" t="s">
        <v>776</v>
      </c>
      <c r="H37" s="129"/>
      <c r="I37" s="130">
        <v>123404769</v>
      </c>
      <c r="J37" s="120"/>
      <c r="K37" s="120"/>
      <c r="L37" s="129"/>
      <c r="M37" s="120"/>
      <c r="N37" s="131">
        <f t="shared" si="0"/>
        <v>123404769</v>
      </c>
    </row>
    <row r="38" spans="1:14" s="96" customFormat="1" ht="14.25" customHeight="1">
      <c r="A38" s="122">
        <v>42230</v>
      </c>
      <c r="B38" s="132" t="s">
        <v>830</v>
      </c>
      <c r="C38" s="124" t="s">
        <v>807</v>
      </c>
      <c r="D38" s="125"/>
      <c r="E38" s="126" t="s">
        <v>832</v>
      </c>
      <c r="F38" s="127">
        <v>178</v>
      </c>
      <c r="G38" s="128" t="s">
        <v>776</v>
      </c>
      <c r="H38" s="129"/>
      <c r="I38" s="130">
        <v>89718899</v>
      </c>
      <c r="J38" s="120"/>
      <c r="K38" s="120"/>
      <c r="L38" s="129"/>
      <c r="M38" s="120"/>
      <c r="N38" s="131">
        <f t="shared" si="0"/>
        <v>89718899</v>
      </c>
    </row>
    <row r="39" spans="1:14" s="96" customFormat="1" ht="14.25" customHeight="1">
      <c r="A39" s="122">
        <v>42236</v>
      </c>
      <c r="B39" s="132" t="s">
        <v>833</v>
      </c>
      <c r="C39" s="124" t="s">
        <v>807</v>
      </c>
      <c r="D39" s="125"/>
      <c r="E39" s="126" t="s">
        <v>834</v>
      </c>
      <c r="F39" s="127">
        <v>253</v>
      </c>
      <c r="G39" s="128" t="s">
        <v>776</v>
      </c>
      <c r="H39" s="129"/>
      <c r="I39" s="130">
        <v>107902807</v>
      </c>
      <c r="J39" s="120"/>
      <c r="K39" s="120"/>
      <c r="L39" s="129"/>
      <c r="M39" s="120"/>
      <c r="N39" s="131">
        <f t="shared" si="0"/>
        <v>107902807</v>
      </c>
    </row>
    <row r="40" spans="1:14" s="96" customFormat="1" ht="14.25" customHeight="1">
      <c r="A40" s="122">
        <v>42237</v>
      </c>
      <c r="B40" s="132" t="s">
        <v>835</v>
      </c>
      <c r="C40" s="124" t="s">
        <v>836</v>
      </c>
      <c r="D40" s="125"/>
      <c r="E40" s="126" t="s">
        <v>837</v>
      </c>
      <c r="F40" s="127">
        <v>17</v>
      </c>
      <c r="G40" s="128" t="s">
        <v>776</v>
      </c>
      <c r="H40" s="129"/>
      <c r="I40" s="130">
        <v>4368609</v>
      </c>
      <c r="J40" s="120"/>
      <c r="K40" s="120"/>
      <c r="L40" s="129"/>
      <c r="M40" s="120"/>
      <c r="N40" s="131">
        <f t="shared" si="0"/>
        <v>4368609</v>
      </c>
    </row>
    <row r="41" spans="1:14" s="96" customFormat="1" ht="14.25" customHeight="1">
      <c r="A41" s="122">
        <v>42237</v>
      </c>
      <c r="B41" s="132" t="s">
        <v>838</v>
      </c>
      <c r="C41" s="124" t="s">
        <v>790</v>
      </c>
      <c r="D41" s="125"/>
      <c r="E41" s="126" t="s">
        <v>839</v>
      </c>
      <c r="F41" s="127">
        <v>200</v>
      </c>
      <c r="G41" s="128" t="s">
        <v>776</v>
      </c>
      <c r="H41" s="129"/>
      <c r="I41" s="130">
        <v>41197900</v>
      </c>
      <c r="J41" s="120"/>
      <c r="K41" s="120"/>
      <c r="L41" s="129"/>
      <c r="M41" s="120"/>
      <c r="N41" s="131">
        <f t="shared" si="0"/>
        <v>41197900</v>
      </c>
    </row>
    <row r="42" spans="1:14" s="96" customFormat="1" ht="14.25" customHeight="1">
      <c r="A42" s="122">
        <v>42237</v>
      </c>
      <c r="B42" s="132" t="s">
        <v>840</v>
      </c>
      <c r="C42" s="124" t="s">
        <v>841</v>
      </c>
      <c r="D42" s="125"/>
      <c r="E42" s="126" t="s">
        <v>842</v>
      </c>
      <c r="F42" s="127">
        <v>250</v>
      </c>
      <c r="G42" s="128" t="s">
        <v>776</v>
      </c>
      <c r="H42" s="129"/>
      <c r="I42" s="130">
        <f>15750*4079</f>
        <v>64244250</v>
      </c>
      <c r="J42" s="120"/>
      <c r="K42" s="120"/>
      <c r="L42" s="129"/>
      <c r="M42" s="120"/>
      <c r="N42" s="131">
        <f t="shared" si="0"/>
        <v>64244250</v>
      </c>
    </row>
    <row r="43" spans="1:14" s="96" customFormat="1" ht="14.25" customHeight="1">
      <c r="A43" s="122">
        <v>42237</v>
      </c>
      <c r="B43" s="132" t="s">
        <v>843</v>
      </c>
      <c r="C43" s="124" t="s">
        <v>844</v>
      </c>
      <c r="D43" s="125"/>
      <c r="E43" s="126" t="s">
        <v>842</v>
      </c>
      <c r="F43" s="127">
        <v>192</v>
      </c>
      <c r="G43" s="128" t="s">
        <v>776</v>
      </c>
      <c r="H43" s="129"/>
      <c r="I43" s="130">
        <v>49339584</v>
      </c>
      <c r="J43" s="120"/>
      <c r="K43" s="120"/>
      <c r="L43" s="129"/>
      <c r="M43" s="120"/>
      <c r="N43" s="131">
        <f t="shared" si="0"/>
        <v>49339584</v>
      </c>
    </row>
    <row r="44" spans="1:14" s="96" customFormat="1" ht="14.25" customHeight="1">
      <c r="A44" s="122">
        <v>42237</v>
      </c>
      <c r="B44" s="132" t="s">
        <v>845</v>
      </c>
      <c r="C44" s="124" t="s">
        <v>790</v>
      </c>
      <c r="D44" s="125"/>
      <c r="E44" s="126" t="s">
        <v>797</v>
      </c>
      <c r="F44" s="127">
        <v>756</v>
      </c>
      <c r="G44" s="128" t="s">
        <v>776</v>
      </c>
      <c r="H44" s="129"/>
      <c r="I44" s="130">
        <v>178378749</v>
      </c>
      <c r="J44" s="120"/>
      <c r="K44" s="120"/>
      <c r="L44" s="129"/>
      <c r="M44" s="120"/>
      <c r="N44" s="131">
        <f t="shared" si="0"/>
        <v>178378749</v>
      </c>
    </row>
    <row r="45" spans="1:14" s="96" customFormat="1" ht="14.25" customHeight="1">
      <c r="A45" s="122">
        <v>42237</v>
      </c>
      <c r="B45" s="132" t="s">
        <v>846</v>
      </c>
      <c r="C45" s="124" t="s">
        <v>778</v>
      </c>
      <c r="D45" s="125"/>
      <c r="E45" s="126" t="s">
        <v>786</v>
      </c>
      <c r="F45" s="127">
        <v>725</v>
      </c>
      <c r="G45" s="128" t="s">
        <v>776</v>
      </c>
      <c r="H45" s="129"/>
      <c r="I45" s="130">
        <v>162100480</v>
      </c>
      <c r="J45" s="120"/>
      <c r="K45" s="120"/>
      <c r="L45" s="129"/>
      <c r="M45" s="120"/>
      <c r="N45" s="131">
        <f t="shared" si="0"/>
        <v>162100480</v>
      </c>
    </row>
    <row r="46" spans="1:14" s="96" customFormat="1" ht="14.25" customHeight="1">
      <c r="A46" s="122">
        <v>42237</v>
      </c>
      <c r="B46" s="132" t="s">
        <v>846</v>
      </c>
      <c r="C46" s="124" t="s">
        <v>778</v>
      </c>
      <c r="D46" s="125"/>
      <c r="E46" s="126" t="s">
        <v>794</v>
      </c>
      <c r="F46" s="127">
        <v>531</v>
      </c>
      <c r="G46" s="128" t="s">
        <v>776</v>
      </c>
      <c r="H46" s="129"/>
      <c r="I46" s="130">
        <v>203679970</v>
      </c>
      <c r="J46" s="120"/>
      <c r="K46" s="120"/>
      <c r="L46" s="129"/>
      <c r="M46" s="120"/>
      <c r="N46" s="131">
        <f t="shared" si="0"/>
        <v>203679970</v>
      </c>
    </row>
    <row r="47" spans="1:14" s="139" customFormat="1" ht="14.25" customHeight="1">
      <c r="A47" s="597">
        <f>M4</f>
        <v>4095</v>
      </c>
      <c r="B47" s="597"/>
      <c r="C47" s="597"/>
      <c r="D47" s="597"/>
      <c r="E47" s="133" t="s">
        <v>847</v>
      </c>
      <c r="F47" s="134"/>
      <c r="G47" s="128"/>
      <c r="H47" s="135"/>
      <c r="I47" s="136">
        <f>SUM(I9:I46)</f>
        <v>5225078447</v>
      </c>
      <c r="J47" s="137"/>
      <c r="K47" s="137"/>
      <c r="L47" s="137"/>
      <c r="M47" s="137"/>
      <c r="N47" s="138">
        <f>SUM(N9:N46)</f>
        <v>5225078447</v>
      </c>
    </row>
    <row r="48" spans="1:14" s="139" customFormat="1" ht="14.25" customHeight="1" thickBot="1">
      <c r="A48" s="598" t="s">
        <v>848</v>
      </c>
      <c r="B48" s="599"/>
      <c r="C48" s="599"/>
      <c r="D48" s="599"/>
      <c r="E48" s="140" t="s">
        <v>0</v>
      </c>
      <c r="F48" s="141"/>
      <c r="G48" s="142"/>
      <c r="H48" s="143">
        <f>H47/M4</f>
        <v>0</v>
      </c>
      <c r="I48" s="144">
        <f>I47/M4</f>
        <v>1275965.4327228328</v>
      </c>
      <c r="J48" s="145">
        <f t="shared" ref="J48:L48" si="1">J47*4034</f>
        <v>0</v>
      </c>
      <c r="K48" s="145">
        <f t="shared" si="1"/>
        <v>0</v>
      </c>
      <c r="L48" s="145">
        <f t="shared" si="1"/>
        <v>0</v>
      </c>
      <c r="M48" s="145">
        <f>M47*4034</f>
        <v>0</v>
      </c>
      <c r="N48" s="146">
        <f>N47/M4</f>
        <v>1275965.4327228328</v>
      </c>
    </row>
    <row r="49" spans="1:15" s="151" customFormat="1" ht="15.75" customHeight="1">
      <c r="A49" s="147"/>
      <c r="B49" s="148"/>
      <c r="C49" s="148"/>
      <c r="D49" s="148"/>
      <c r="E49" s="148"/>
      <c r="F49" s="149"/>
      <c r="G49" s="149"/>
      <c r="H49" s="148" t="s">
        <v>849</v>
      </c>
      <c r="I49" s="150" t="s">
        <v>850</v>
      </c>
      <c r="J49" s="148" t="s">
        <v>851</v>
      </c>
      <c r="K49" s="148" t="s">
        <v>852</v>
      </c>
      <c r="L49" s="148" t="s">
        <v>851</v>
      </c>
      <c r="M49" s="148" t="s">
        <v>852</v>
      </c>
      <c r="N49" s="148"/>
    </row>
    <row r="50" spans="1:15" ht="14.25" customHeight="1">
      <c r="A50" s="152"/>
      <c r="B50" s="153"/>
      <c r="C50" s="153"/>
      <c r="D50" s="153"/>
      <c r="E50" s="153"/>
      <c r="F50" s="154"/>
      <c r="G50" s="154"/>
      <c r="H50" s="153"/>
      <c r="I50" s="600" t="s">
        <v>853</v>
      </c>
      <c r="J50" s="600"/>
      <c r="K50" s="600"/>
      <c r="L50" s="600"/>
      <c r="M50" s="600"/>
      <c r="N50" s="600"/>
    </row>
    <row r="51" spans="1:15" ht="19.5" customHeight="1">
      <c r="I51" s="601"/>
      <c r="J51" s="601"/>
      <c r="K51" s="601"/>
      <c r="L51" s="601"/>
      <c r="M51" s="601"/>
      <c r="N51" s="601"/>
      <c r="O51" s="158"/>
    </row>
    <row r="52" spans="1:15" ht="18" hidden="1" customHeight="1">
      <c r="I52" s="159">
        <f>I48*1%</f>
        <v>12759.654327228329</v>
      </c>
      <c r="J52" s="160"/>
      <c r="K52" s="161"/>
      <c r="L52" s="162"/>
      <c r="M52" s="162"/>
    </row>
    <row r="53" spans="1:15" ht="14.25" customHeight="1">
      <c r="I53" s="163"/>
      <c r="J53" s="593"/>
      <c r="K53" s="593"/>
      <c r="L53" s="593"/>
      <c r="M53" s="163"/>
    </row>
    <row r="54" spans="1:15" ht="14.25" customHeight="1">
      <c r="C54" s="164"/>
      <c r="D54" s="165"/>
      <c r="E54" s="165"/>
      <c r="F54" s="166"/>
      <c r="G54" s="166"/>
    </row>
    <row r="55" spans="1:15" ht="14.25" customHeight="1">
      <c r="F55" s="168"/>
      <c r="G55" s="168"/>
      <c r="H55" s="610"/>
      <c r="I55" s="610"/>
      <c r="J55" s="169"/>
    </row>
    <row r="56" spans="1:15" ht="14.25" customHeight="1">
      <c r="C56" s="170"/>
      <c r="D56" s="171"/>
      <c r="E56" s="172"/>
      <c r="F56" s="171"/>
      <c r="G56" s="171"/>
      <c r="H56" s="160"/>
      <c r="I56" s="173"/>
      <c r="J56" s="174"/>
      <c r="K56" s="175"/>
      <c r="L56" s="175"/>
      <c r="O56" s="169"/>
    </row>
    <row r="57" spans="1:15" ht="14.25" customHeight="1">
      <c r="F57" s="168"/>
      <c r="G57" s="168"/>
      <c r="I57" s="176"/>
      <c r="J57" s="177"/>
      <c r="K57" s="177"/>
      <c r="L57" s="139"/>
    </row>
    <row r="58" spans="1:15" ht="14.25" customHeight="1">
      <c r="I58" s="173"/>
      <c r="J58" s="178"/>
      <c r="K58" s="139"/>
      <c r="L58" s="139"/>
    </row>
    <row r="59" spans="1:15" ht="14.25" customHeight="1">
      <c r="I59" s="179"/>
      <c r="J59" s="180"/>
      <c r="K59" s="139"/>
      <c r="L59" s="139"/>
    </row>
    <row r="60" spans="1:15" ht="14.25" customHeight="1">
      <c r="I60" s="594"/>
      <c r="J60" s="594"/>
      <c r="K60" s="139"/>
      <c r="L60" s="139"/>
      <c r="N60" s="181"/>
    </row>
    <row r="61" spans="1:15" ht="14.25" hidden="1" customHeight="1">
      <c r="I61" s="595">
        <f>I48*1%</f>
        <v>12759.654327228329</v>
      </c>
      <c r="J61" s="595"/>
    </row>
    <row r="62" spans="1:15" ht="14.25" customHeight="1">
      <c r="I62" s="175"/>
      <c r="J62" s="139"/>
    </row>
    <row r="63" spans="1:15" ht="14.25" customHeight="1">
      <c r="I63" s="175"/>
    </row>
    <row r="64" spans="1:15" ht="14.25" customHeight="1">
      <c r="I64" s="175"/>
    </row>
    <row r="65" spans="9:9" ht="14.25" customHeight="1">
      <c r="I65" s="175"/>
    </row>
    <row r="66" spans="9:9" ht="14.25" customHeight="1">
      <c r="I66" s="180"/>
    </row>
    <row r="67" spans="9:9" ht="14.25" customHeight="1">
      <c r="I67" s="175"/>
    </row>
    <row r="68" spans="9:9" ht="14.25" customHeight="1">
      <c r="I68" s="175"/>
    </row>
    <row r="69" spans="9:9" ht="14.25" customHeight="1">
      <c r="I69" s="175"/>
    </row>
    <row r="70" spans="9:9" ht="14.25" customHeight="1">
      <c r="I70" s="175"/>
    </row>
    <row r="71" spans="9:9" ht="14.25" customHeight="1">
      <c r="I71" s="175"/>
    </row>
    <row r="72" spans="9:9" ht="14.25" customHeight="1">
      <c r="I72" s="175"/>
    </row>
  </sheetData>
  <mergeCells count="18">
    <mergeCell ref="A47:D47"/>
    <mergeCell ref="A48:D48"/>
    <mergeCell ref="A1:N1"/>
    <mergeCell ref="A2:N2"/>
    <mergeCell ref="A5:I5"/>
    <mergeCell ref="J5:M5"/>
    <mergeCell ref="F6:H6"/>
    <mergeCell ref="J6:M6"/>
    <mergeCell ref="I61:J61"/>
    <mergeCell ref="F7:H7"/>
    <mergeCell ref="J7:K7"/>
    <mergeCell ref="L7:M7"/>
    <mergeCell ref="F8:H8"/>
    <mergeCell ref="I50:N50"/>
    <mergeCell ref="I51:N51"/>
    <mergeCell ref="J53:L53"/>
    <mergeCell ref="H55:I55"/>
    <mergeCell ref="I60:J60"/>
  </mergeCells>
  <pageMargins left="0.45" right="0.16" top="0.51" bottom="0.5" header="0.46" footer="0.2"/>
  <pageSetup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Company information</vt:lpstr>
      <vt:lpstr>Annex 0-IM State Charge</vt:lpstr>
      <vt:lpstr>Annex I-IM Non-State Charge</vt:lpstr>
      <vt:lpstr>AnnexII-Local Pur</vt:lpstr>
      <vt:lpstr>Annex III-EX</vt:lpstr>
      <vt:lpstr>Annex IV-Local Sale</vt:lpstr>
      <vt:lpstr>303B</vt:lpstr>
      <vt:lpstr>Taxpaid</vt:lpstr>
      <vt:lpstr>Damco</vt:lpstr>
      <vt:lpstr>Chea Fat</vt:lpstr>
      <vt:lpstr>S G L CAMBODIA</vt:lpstr>
      <vt:lpstr>Sheet3</vt:lpstr>
      <vt:lpstr>Sale - June</vt:lpstr>
      <vt:lpstr>Sale - Jul</vt:lpstr>
      <vt:lpstr>Sale - Aug</vt:lpstr>
      <vt:lpstr>'Annex 0-IM State Charge'!Print_Area</vt:lpstr>
      <vt:lpstr>'Annex III-EX'!Print_Area</vt:lpstr>
      <vt:lpstr>'Annex I-IM Non-State Charge'!Print_Area</vt:lpstr>
      <vt:lpstr>'Annex IV-Local Sale'!Print_Area</vt:lpstr>
      <vt:lpstr>'AnnexII-Local Pur'!Print_Area</vt:lpstr>
      <vt:lpstr>'Annex III-EX'!Print_Titles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PHAY</dc:creator>
  <cp:lastModifiedBy>Sophara Rith</cp:lastModifiedBy>
  <cp:lastPrinted>2025-07-13T09:10:49Z</cp:lastPrinted>
  <dcterms:created xsi:type="dcterms:W3CDTF">2002-01-25T08:51:18Z</dcterms:created>
  <dcterms:modified xsi:type="dcterms:W3CDTF">2026-02-16T16:04:19Z</dcterms:modified>
</cp:coreProperties>
</file>