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EB84CFEE-38BB-4E3D-9035-3541DB563D37}" xr6:coauthVersionLast="47" xr6:coauthVersionMax="47" xr10:uidLastSave="{00000000-0000-0000-0000-000000000000}"/>
  <bookViews>
    <workbookView xWindow="-108" yWindow="-108" windowWidth="23256" windowHeight="12456" tabRatio="801" activeTab="3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III-Local Pur (2)" sheetId="41" r:id="rId5"/>
    <sheet name="Annex IV-EX" sheetId="5" r:id="rId6"/>
    <sheet name="Annex V-Local Sale" sheetId="34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Charge'!$A$9:$I$9</definedName>
    <definedName name="_xlnm._FilterDatabase" localSheetId="1" hidden="1">'Annex I-IM State Charge'!$A$8:$I$8</definedName>
    <definedName name="_xlnm._FilterDatabase" localSheetId="5" hidden="1">'Annex IV-EX'!$A$8:$E$8</definedName>
    <definedName name="_xlnm._FilterDatabase" localSheetId="6" hidden="1">'Annex V-Local Sale'!$A$8:$N$8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5">'Annex IV-EX'!$A$1:$E$22</definedName>
    <definedName name="_xlnm.Print_Area" localSheetId="6">'Annex V-Local Sale'!$A$1:$H$8</definedName>
    <definedName name="_xlnm.Print_Area" localSheetId="3">'AnnexIII-Local Pur'!$A$1:$L$8</definedName>
    <definedName name="_xlnm.Print_Area" localSheetId="4">'AnnexIII-Local Pur (2)'!$A$1:$K$790</definedName>
    <definedName name="_xlnm.Print_Titles" localSheetId="5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4" l="1"/>
  <c r="A6" i="5"/>
  <c r="A6" i="37"/>
  <c r="A6" i="33"/>
  <c r="A6" i="1"/>
  <c r="E6" i="5"/>
  <c r="H6" i="34"/>
  <c r="C789" i="41"/>
  <c r="A789" i="41"/>
  <c r="C778" i="41"/>
  <c r="A778" i="41"/>
  <c r="C777" i="41"/>
  <c r="A777" i="41"/>
  <c r="A776" i="41"/>
  <c r="A775" i="41"/>
  <c r="A774" i="41"/>
  <c r="C773" i="41"/>
  <c r="A773" i="41"/>
  <c r="A770" i="41"/>
  <c r="C769" i="41"/>
  <c r="C766" i="41"/>
  <c r="C767" i="41" s="1"/>
  <c r="C764" i="41"/>
  <c r="C763" i="41"/>
  <c r="C765" i="41" s="1"/>
  <c r="C768" i="41" s="1"/>
  <c r="I759" i="41"/>
  <c r="R757" i="41"/>
  <c r="P757" i="41"/>
  <c r="O757" i="41"/>
  <c r="L757" i="41"/>
  <c r="M757" i="41" s="1"/>
  <c r="R756" i="41"/>
  <c r="P756" i="41"/>
  <c r="O756" i="41"/>
  <c r="L756" i="41"/>
  <c r="M756" i="41" s="1"/>
  <c r="R755" i="41"/>
  <c r="P755" i="41"/>
  <c r="O755" i="41"/>
  <c r="M755" i="41"/>
  <c r="L755" i="41"/>
  <c r="R754" i="41"/>
  <c r="P754" i="41"/>
  <c r="O754" i="41"/>
  <c r="M754" i="41"/>
  <c r="L754" i="41"/>
  <c r="R753" i="41"/>
  <c r="P753" i="41"/>
  <c r="O753" i="41"/>
  <c r="M753" i="41"/>
  <c r="L753" i="41"/>
  <c r="R752" i="41"/>
  <c r="P752" i="41"/>
  <c r="O752" i="41"/>
  <c r="M752" i="41"/>
  <c r="L752" i="41"/>
  <c r="R751" i="41"/>
  <c r="P751" i="41"/>
  <c r="O751" i="41"/>
  <c r="L751" i="41"/>
  <c r="M751" i="41" s="1"/>
  <c r="R750" i="41"/>
  <c r="P750" i="41"/>
  <c r="O750" i="41"/>
  <c r="M750" i="41"/>
  <c r="L750" i="41"/>
  <c r="R749" i="41"/>
  <c r="P749" i="41"/>
  <c r="O749" i="41"/>
  <c r="L749" i="41"/>
  <c r="M749" i="41" s="1"/>
  <c r="R748" i="41"/>
  <c r="P748" i="41"/>
  <c r="O748" i="41"/>
  <c r="M748" i="41"/>
  <c r="L748" i="41"/>
  <c r="R747" i="41"/>
  <c r="P747" i="41"/>
  <c r="O747" i="41"/>
  <c r="L747" i="41"/>
  <c r="M747" i="41" s="1"/>
  <c r="R746" i="41"/>
  <c r="P746" i="41"/>
  <c r="O746" i="41"/>
  <c r="L746" i="41"/>
  <c r="M746" i="41" s="1"/>
  <c r="R745" i="41"/>
  <c r="P745" i="41"/>
  <c r="O745" i="41"/>
  <c r="L745" i="41"/>
  <c r="M745" i="41" s="1"/>
  <c r="R744" i="41"/>
  <c r="P744" i="41"/>
  <c r="O744" i="41"/>
  <c r="L744" i="41"/>
  <c r="M744" i="41" s="1"/>
  <c r="R743" i="41"/>
  <c r="P743" i="41"/>
  <c r="O743" i="41"/>
  <c r="M743" i="41"/>
  <c r="L743" i="41"/>
  <c r="R742" i="41"/>
  <c r="P742" i="41"/>
  <c r="O742" i="41"/>
  <c r="M742" i="41"/>
  <c r="L742" i="41"/>
  <c r="R741" i="41"/>
  <c r="P741" i="41"/>
  <c r="O741" i="41"/>
  <c r="M741" i="41"/>
  <c r="L741" i="41"/>
  <c r="R740" i="41"/>
  <c r="P740" i="41"/>
  <c r="O740" i="41"/>
  <c r="M740" i="41"/>
  <c r="L740" i="41"/>
  <c r="R739" i="41"/>
  <c r="P739" i="41"/>
  <c r="O739" i="41"/>
  <c r="L739" i="41"/>
  <c r="M739" i="41" s="1"/>
  <c r="R738" i="41"/>
  <c r="P738" i="41"/>
  <c r="O738" i="41"/>
  <c r="M738" i="41"/>
  <c r="L738" i="41"/>
  <c r="R737" i="41"/>
  <c r="P737" i="41"/>
  <c r="O737" i="41"/>
  <c r="M737" i="41"/>
  <c r="L737" i="41"/>
  <c r="R736" i="41"/>
  <c r="P736" i="41"/>
  <c r="O736" i="41"/>
  <c r="M736" i="41"/>
  <c r="L736" i="41"/>
  <c r="R735" i="41"/>
  <c r="P735" i="41"/>
  <c r="O735" i="41"/>
  <c r="L735" i="41"/>
  <c r="M735" i="41" s="1"/>
  <c r="R734" i="41"/>
  <c r="P734" i="41"/>
  <c r="O734" i="41"/>
  <c r="L734" i="41"/>
  <c r="M734" i="41" s="1"/>
  <c r="R733" i="41"/>
  <c r="P733" i="41"/>
  <c r="O733" i="41"/>
  <c r="L733" i="41"/>
  <c r="M733" i="41" s="1"/>
  <c r="R732" i="41"/>
  <c r="P732" i="41"/>
  <c r="O732" i="41"/>
  <c r="L732" i="41"/>
  <c r="M732" i="41" s="1"/>
  <c r="R731" i="41"/>
  <c r="P731" i="41"/>
  <c r="O731" i="41"/>
  <c r="M731" i="41"/>
  <c r="L731" i="41"/>
  <c r="R730" i="41"/>
  <c r="P730" i="41"/>
  <c r="O730" i="41"/>
  <c r="M730" i="41"/>
  <c r="L730" i="41"/>
  <c r="R729" i="41"/>
  <c r="P729" i="41"/>
  <c r="O729" i="41"/>
  <c r="M729" i="41"/>
  <c r="L729" i="41"/>
  <c r="R728" i="41"/>
  <c r="P728" i="41"/>
  <c r="O728" i="41"/>
  <c r="M728" i="41"/>
  <c r="L728" i="41"/>
  <c r="R727" i="41"/>
  <c r="P727" i="41"/>
  <c r="O727" i="41"/>
  <c r="L727" i="41"/>
  <c r="M727" i="41" s="1"/>
  <c r="R726" i="41"/>
  <c r="P726" i="41"/>
  <c r="O726" i="41"/>
  <c r="M726" i="41"/>
  <c r="L726" i="41"/>
  <c r="R725" i="41"/>
  <c r="P725" i="41"/>
  <c r="O725" i="41"/>
  <c r="M725" i="41"/>
  <c r="L725" i="41"/>
  <c r="R724" i="41"/>
  <c r="P724" i="41"/>
  <c r="O724" i="41"/>
  <c r="M724" i="41"/>
  <c r="L724" i="41"/>
  <c r="R723" i="41"/>
  <c r="P723" i="41"/>
  <c r="O723" i="41"/>
  <c r="L723" i="41"/>
  <c r="M723" i="41" s="1"/>
  <c r="R722" i="41"/>
  <c r="P722" i="41"/>
  <c r="O722" i="41"/>
  <c r="L722" i="41"/>
  <c r="M722" i="41" s="1"/>
  <c r="R721" i="41"/>
  <c r="P721" i="41"/>
  <c r="O721" i="41"/>
  <c r="L721" i="41"/>
  <c r="M721" i="41" s="1"/>
  <c r="R720" i="41"/>
  <c r="P720" i="41"/>
  <c r="O720" i="41"/>
  <c r="L720" i="41"/>
  <c r="M720" i="41" s="1"/>
  <c r="R719" i="41"/>
  <c r="P719" i="41"/>
  <c r="O719" i="41"/>
  <c r="M719" i="41"/>
  <c r="L719" i="41"/>
  <c r="R718" i="41"/>
  <c r="P718" i="41"/>
  <c r="O718" i="41"/>
  <c r="M718" i="41"/>
  <c r="L718" i="41"/>
  <c r="R717" i="41"/>
  <c r="P717" i="41"/>
  <c r="O717" i="41"/>
  <c r="M717" i="41"/>
  <c r="L717" i="41"/>
  <c r="R716" i="41"/>
  <c r="P716" i="41"/>
  <c r="O716" i="41"/>
  <c r="M716" i="41"/>
  <c r="L716" i="41"/>
  <c r="R715" i="41"/>
  <c r="P715" i="41"/>
  <c r="O715" i="41"/>
  <c r="L715" i="41"/>
  <c r="M715" i="41" s="1"/>
  <c r="R714" i="41"/>
  <c r="P714" i="41"/>
  <c r="O714" i="41"/>
  <c r="M714" i="41"/>
  <c r="L714" i="41"/>
  <c r="R713" i="41"/>
  <c r="P713" i="41"/>
  <c r="O713" i="41"/>
  <c r="M713" i="41"/>
  <c r="L713" i="41"/>
  <c r="R712" i="41"/>
  <c r="P712" i="41"/>
  <c r="O712" i="41"/>
  <c r="M712" i="41"/>
  <c r="L712" i="41"/>
  <c r="R711" i="41"/>
  <c r="P711" i="41"/>
  <c r="O711" i="41"/>
  <c r="L711" i="41"/>
  <c r="M711" i="41" s="1"/>
  <c r="R710" i="41"/>
  <c r="P710" i="41"/>
  <c r="O710" i="41"/>
  <c r="L710" i="41"/>
  <c r="M710" i="41" s="1"/>
  <c r="R709" i="41"/>
  <c r="P709" i="41"/>
  <c r="O709" i="41"/>
  <c r="L709" i="41"/>
  <c r="M709" i="41" s="1"/>
  <c r="R708" i="41"/>
  <c r="P708" i="41"/>
  <c r="O708" i="41"/>
  <c r="L708" i="41"/>
  <c r="M708" i="41" s="1"/>
  <c r="R707" i="41"/>
  <c r="P707" i="41"/>
  <c r="O707" i="41"/>
  <c r="M707" i="41"/>
  <c r="L707" i="41"/>
  <c r="R706" i="41"/>
  <c r="P706" i="41"/>
  <c r="O706" i="41"/>
  <c r="M706" i="41"/>
  <c r="L706" i="41"/>
  <c r="R705" i="41"/>
  <c r="P705" i="41"/>
  <c r="O705" i="41"/>
  <c r="M705" i="41"/>
  <c r="L705" i="41"/>
  <c r="R704" i="41"/>
  <c r="P704" i="41"/>
  <c r="O704" i="41"/>
  <c r="M704" i="41"/>
  <c r="L704" i="41"/>
  <c r="R703" i="41"/>
  <c r="P703" i="41"/>
  <c r="O703" i="41"/>
  <c r="L703" i="41"/>
  <c r="M703" i="41" s="1"/>
  <c r="R702" i="41"/>
  <c r="P702" i="41"/>
  <c r="O702" i="41"/>
  <c r="M702" i="41"/>
  <c r="L702" i="41"/>
  <c r="R701" i="41"/>
  <c r="P701" i="41"/>
  <c r="O701" i="41"/>
  <c r="M701" i="41"/>
  <c r="L701" i="41"/>
  <c r="R700" i="41"/>
  <c r="P700" i="41"/>
  <c r="O700" i="41"/>
  <c r="M700" i="41"/>
  <c r="L700" i="41"/>
  <c r="R699" i="41"/>
  <c r="P699" i="41"/>
  <c r="O699" i="41"/>
  <c r="L699" i="41"/>
  <c r="M699" i="41" s="1"/>
  <c r="R698" i="41"/>
  <c r="P698" i="41"/>
  <c r="O698" i="41"/>
  <c r="L698" i="41"/>
  <c r="M698" i="41" s="1"/>
  <c r="R697" i="41"/>
  <c r="P697" i="41"/>
  <c r="O697" i="41"/>
  <c r="L697" i="41"/>
  <c r="M697" i="41" s="1"/>
  <c r="R696" i="41"/>
  <c r="P696" i="41"/>
  <c r="O696" i="41"/>
  <c r="L696" i="41"/>
  <c r="M696" i="41" s="1"/>
  <c r="R695" i="41"/>
  <c r="P695" i="41"/>
  <c r="O695" i="41"/>
  <c r="M695" i="41"/>
  <c r="L695" i="41"/>
  <c r="R694" i="41"/>
  <c r="P694" i="41"/>
  <c r="O694" i="41"/>
  <c r="M694" i="41"/>
  <c r="L694" i="41"/>
  <c r="R693" i="41"/>
  <c r="P693" i="41"/>
  <c r="O693" i="41"/>
  <c r="M693" i="41"/>
  <c r="L693" i="41"/>
  <c r="R692" i="41"/>
  <c r="P692" i="41"/>
  <c r="O692" i="41"/>
  <c r="M692" i="41"/>
  <c r="L692" i="41"/>
  <c r="K692" i="41"/>
  <c r="R691" i="41"/>
  <c r="P691" i="41"/>
  <c r="O691" i="41"/>
  <c r="L691" i="41"/>
  <c r="M691" i="41" s="1"/>
  <c r="R690" i="41"/>
  <c r="P690" i="41"/>
  <c r="O690" i="41"/>
  <c r="M690" i="41"/>
  <c r="L690" i="41"/>
  <c r="R689" i="41"/>
  <c r="P689" i="41"/>
  <c r="O689" i="41"/>
  <c r="M689" i="41"/>
  <c r="L689" i="41"/>
  <c r="R688" i="41"/>
  <c r="P688" i="41"/>
  <c r="O688" i="41"/>
  <c r="M688" i="41"/>
  <c r="L688" i="41"/>
  <c r="R687" i="41"/>
  <c r="P687" i="41"/>
  <c r="O687" i="41"/>
  <c r="M687" i="41"/>
  <c r="L687" i="41"/>
  <c r="R686" i="41"/>
  <c r="P686" i="41"/>
  <c r="O686" i="41"/>
  <c r="L686" i="41"/>
  <c r="M686" i="41" s="1"/>
  <c r="R685" i="41"/>
  <c r="P685" i="41"/>
  <c r="O685" i="41"/>
  <c r="L685" i="41"/>
  <c r="M685" i="41" s="1"/>
  <c r="R684" i="41"/>
  <c r="P684" i="41"/>
  <c r="O684" i="41"/>
  <c r="L684" i="41"/>
  <c r="M684" i="41" s="1"/>
  <c r="R683" i="41"/>
  <c r="P683" i="41"/>
  <c r="O683" i="41"/>
  <c r="L683" i="41"/>
  <c r="M683" i="41" s="1"/>
  <c r="R682" i="41"/>
  <c r="P682" i="41"/>
  <c r="O682" i="41"/>
  <c r="L682" i="41"/>
  <c r="M682" i="41" s="1"/>
  <c r="R681" i="41"/>
  <c r="P681" i="41"/>
  <c r="O681" i="41"/>
  <c r="M681" i="41"/>
  <c r="L681" i="41"/>
  <c r="R680" i="41"/>
  <c r="P680" i="41"/>
  <c r="O680" i="41"/>
  <c r="L680" i="41"/>
  <c r="M680" i="41" s="1"/>
  <c r="R679" i="41"/>
  <c r="P679" i="41"/>
  <c r="O679" i="41"/>
  <c r="L679" i="41"/>
  <c r="M679" i="41" s="1"/>
  <c r="R678" i="41"/>
  <c r="P678" i="41"/>
  <c r="O678" i="41"/>
  <c r="L678" i="41"/>
  <c r="M678" i="41" s="1"/>
  <c r="R677" i="41"/>
  <c r="P677" i="41"/>
  <c r="O677" i="41"/>
  <c r="L677" i="41"/>
  <c r="M677" i="41" s="1"/>
  <c r="R676" i="41"/>
  <c r="P676" i="41"/>
  <c r="O676" i="41"/>
  <c r="M676" i="41"/>
  <c r="L676" i="41"/>
  <c r="R675" i="41"/>
  <c r="P675" i="41"/>
  <c r="O675" i="41"/>
  <c r="M675" i="41"/>
  <c r="L675" i="41"/>
  <c r="R674" i="41"/>
  <c r="P674" i="41"/>
  <c r="O674" i="41"/>
  <c r="L674" i="41"/>
  <c r="M674" i="41" s="1"/>
  <c r="R673" i="41"/>
  <c r="P673" i="41"/>
  <c r="O673" i="41"/>
  <c r="M673" i="41"/>
  <c r="L673" i="41"/>
  <c r="R672" i="41"/>
  <c r="P672" i="41"/>
  <c r="O672" i="41"/>
  <c r="M672" i="41"/>
  <c r="L672" i="41"/>
  <c r="R671" i="41"/>
  <c r="P671" i="41"/>
  <c r="O671" i="41"/>
  <c r="M671" i="41"/>
  <c r="L671" i="41"/>
  <c r="R670" i="41"/>
  <c r="P670" i="41"/>
  <c r="O670" i="41"/>
  <c r="L670" i="41"/>
  <c r="M670" i="41" s="1"/>
  <c r="R669" i="41"/>
  <c r="P669" i="41"/>
  <c r="O669" i="41"/>
  <c r="M669" i="41"/>
  <c r="L669" i="41"/>
  <c r="R668" i="41"/>
  <c r="P668" i="41"/>
  <c r="O668" i="41"/>
  <c r="L668" i="41"/>
  <c r="M668" i="41" s="1"/>
  <c r="R667" i="41"/>
  <c r="P667" i="41"/>
  <c r="O667" i="41"/>
  <c r="L667" i="41"/>
  <c r="M667" i="41" s="1"/>
  <c r="R666" i="41"/>
  <c r="P666" i="41"/>
  <c r="O666" i="41"/>
  <c r="L666" i="41"/>
  <c r="M666" i="41" s="1"/>
  <c r="R665" i="41"/>
  <c r="P665" i="41"/>
  <c r="O665" i="41"/>
  <c r="L665" i="41"/>
  <c r="M665" i="41" s="1"/>
  <c r="R664" i="41"/>
  <c r="P664" i="41"/>
  <c r="O664" i="41"/>
  <c r="M664" i="41"/>
  <c r="L664" i="41"/>
  <c r="R663" i="41"/>
  <c r="P663" i="41"/>
  <c r="O663" i="41"/>
  <c r="M663" i="41"/>
  <c r="L663" i="41"/>
  <c r="R662" i="41"/>
  <c r="P662" i="41"/>
  <c r="O662" i="41"/>
  <c r="L662" i="41"/>
  <c r="M662" i="41" s="1"/>
  <c r="R661" i="41"/>
  <c r="P661" i="41"/>
  <c r="O661" i="41"/>
  <c r="L661" i="41"/>
  <c r="M661" i="41" s="1"/>
  <c r="R660" i="41"/>
  <c r="P660" i="41"/>
  <c r="O660" i="41"/>
  <c r="L660" i="41"/>
  <c r="M660" i="41" s="1"/>
  <c r="R659" i="41"/>
  <c r="P659" i="41"/>
  <c r="O659" i="41"/>
  <c r="L659" i="41"/>
  <c r="M659" i="41" s="1"/>
  <c r="R658" i="41"/>
  <c r="P658" i="41"/>
  <c r="O658" i="41"/>
  <c r="M658" i="41"/>
  <c r="L658" i="41"/>
  <c r="R657" i="41"/>
  <c r="P657" i="41"/>
  <c r="O657" i="41"/>
  <c r="M657" i="41"/>
  <c r="L657" i="41"/>
  <c r="R656" i="41"/>
  <c r="P656" i="41"/>
  <c r="O656" i="41"/>
  <c r="L656" i="41"/>
  <c r="M656" i="41" s="1"/>
  <c r="R655" i="41"/>
  <c r="P655" i="41"/>
  <c r="O655" i="41"/>
  <c r="L655" i="41"/>
  <c r="M655" i="41" s="1"/>
  <c r="R654" i="41"/>
  <c r="P654" i="41"/>
  <c r="O654" i="41"/>
  <c r="M654" i="41"/>
  <c r="L654" i="41"/>
  <c r="R653" i="41"/>
  <c r="P653" i="41"/>
  <c r="O653" i="41"/>
  <c r="M653" i="41"/>
  <c r="L653" i="41"/>
  <c r="R652" i="41"/>
  <c r="P652" i="41"/>
  <c r="O652" i="41"/>
  <c r="M652" i="41"/>
  <c r="L652" i="41"/>
  <c r="R651" i="41"/>
  <c r="P651" i="41"/>
  <c r="O651" i="41"/>
  <c r="M651" i="41"/>
  <c r="L651" i="41"/>
  <c r="R650" i="41"/>
  <c r="P650" i="41"/>
  <c r="O650" i="41"/>
  <c r="L650" i="41"/>
  <c r="M650" i="41" s="1"/>
  <c r="R649" i="41"/>
  <c r="P649" i="41"/>
  <c r="O649" i="41"/>
  <c r="M649" i="41"/>
  <c r="L649" i="41"/>
  <c r="R648" i="41"/>
  <c r="P648" i="41"/>
  <c r="O648" i="41"/>
  <c r="L648" i="41"/>
  <c r="M648" i="41" s="1"/>
  <c r="R647" i="41"/>
  <c r="P647" i="41"/>
  <c r="O647" i="41"/>
  <c r="M647" i="41"/>
  <c r="L647" i="41"/>
  <c r="R646" i="41"/>
  <c r="P646" i="41"/>
  <c r="O646" i="41"/>
  <c r="L646" i="41"/>
  <c r="M646" i="41" s="1"/>
  <c r="R645" i="41"/>
  <c r="P645" i="41"/>
  <c r="O645" i="41"/>
  <c r="M645" i="41"/>
  <c r="L645" i="41"/>
  <c r="R644" i="41"/>
  <c r="P644" i="41"/>
  <c r="O644" i="41"/>
  <c r="L644" i="41"/>
  <c r="M644" i="41" s="1"/>
  <c r="R643" i="41"/>
  <c r="P643" i="41"/>
  <c r="O643" i="41"/>
  <c r="L643" i="41"/>
  <c r="M643" i="41" s="1"/>
  <c r="R642" i="41"/>
  <c r="P642" i="41"/>
  <c r="O642" i="41"/>
  <c r="L642" i="41"/>
  <c r="M642" i="41" s="1"/>
  <c r="R641" i="41"/>
  <c r="P641" i="41"/>
  <c r="O641" i="41"/>
  <c r="L641" i="41"/>
  <c r="M641" i="41" s="1"/>
  <c r="R640" i="41"/>
  <c r="P640" i="41"/>
  <c r="O640" i="41"/>
  <c r="M640" i="41"/>
  <c r="L640" i="41"/>
  <c r="R639" i="41"/>
  <c r="P639" i="41"/>
  <c r="O639" i="41"/>
  <c r="M639" i="41"/>
  <c r="L639" i="41"/>
  <c r="R638" i="41"/>
  <c r="P638" i="41"/>
  <c r="O638" i="41"/>
  <c r="L638" i="41"/>
  <c r="M638" i="41" s="1"/>
  <c r="R637" i="41"/>
  <c r="P637" i="41"/>
  <c r="O637" i="41"/>
  <c r="M637" i="41"/>
  <c r="L637" i="41"/>
  <c r="R636" i="41"/>
  <c r="P636" i="41"/>
  <c r="O636" i="41"/>
  <c r="M636" i="41"/>
  <c r="L636" i="41"/>
  <c r="R635" i="41"/>
  <c r="P635" i="41"/>
  <c r="O635" i="41"/>
  <c r="M635" i="41"/>
  <c r="L635" i="41"/>
  <c r="R634" i="41"/>
  <c r="P634" i="41"/>
  <c r="O634" i="41"/>
  <c r="L634" i="41"/>
  <c r="M634" i="41" s="1"/>
  <c r="R633" i="41"/>
  <c r="P633" i="41"/>
  <c r="O633" i="41"/>
  <c r="M633" i="41"/>
  <c r="L633" i="41"/>
  <c r="R632" i="41"/>
  <c r="P632" i="41"/>
  <c r="O632" i="41"/>
  <c r="L632" i="41"/>
  <c r="M632" i="41" s="1"/>
  <c r="R631" i="41"/>
  <c r="P631" i="41"/>
  <c r="O631" i="41"/>
  <c r="L631" i="41"/>
  <c r="M631" i="41" s="1"/>
  <c r="R630" i="41"/>
  <c r="P630" i="41"/>
  <c r="O630" i="41"/>
  <c r="L630" i="41"/>
  <c r="M630" i="41" s="1"/>
  <c r="R629" i="41"/>
  <c r="P629" i="41"/>
  <c r="O629" i="41"/>
  <c r="M629" i="41"/>
  <c r="L629" i="41"/>
  <c r="R628" i="41"/>
  <c r="P628" i="41"/>
  <c r="O628" i="41"/>
  <c r="M628" i="41"/>
  <c r="L628" i="41"/>
  <c r="R627" i="41"/>
  <c r="P627" i="41"/>
  <c r="O627" i="41"/>
  <c r="M627" i="41"/>
  <c r="L627" i="41"/>
  <c r="R626" i="41"/>
  <c r="P626" i="41"/>
  <c r="O626" i="41"/>
  <c r="L626" i="41"/>
  <c r="M626" i="41" s="1"/>
  <c r="R625" i="41"/>
  <c r="P625" i="41"/>
  <c r="O625" i="41"/>
  <c r="L625" i="41"/>
  <c r="M625" i="41" s="1"/>
  <c r="K625" i="41"/>
  <c r="R624" i="41"/>
  <c r="P624" i="41"/>
  <c r="O624" i="41"/>
  <c r="L624" i="41"/>
  <c r="M624" i="41" s="1"/>
  <c r="R623" i="41"/>
  <c r="P623" i="41"/>
  <c r="O623" i="41"/>
  <c r="M623" i="41"/>
  <c r="L623" i="41"/>
  <c r="R622" i="41"/>
  <c r="P622" i="41"/>
  <c r="O622" i="41"/>
  <c r="M622" i="41"/>
  <c r="L622" i="41"/>
  <c r="K622" i="41"/>
  <c r="R621" i="41"/>
  <c r="P621" i="41"/>
  <c r="O621" i="41"/>
  <c r="L621" i="41"/>
  <c r="M621" i="41" s="1"/>
  <c r="R620" i="41"/>
  <c r="P620" i="41"/>
  <c r="O620" i="41"/>
  <c r="M620" i="41"/>
  <c r="L620" i="41"/>
  <c r="K620" i="41" s="1"/>
  <c r="R619" i="41"/>
  <c r="P619" i="41"/>
  <c r="O619" i="41"/>
  <c r="M619" i="41"/>
  <c r="L619" i="41"/>
  <c r="R618" i="41"/>
  <c r="P618" i="41"/>
  <c r="O618" i="41"/>
  <c r="M618" i="41"/>
  <c r="L618" i="41"/>
  <c r="K618" i="41"/>
  <c r="R617" i="41"/>
  <c r="P617" i="41"/>
  <c r="O617" i="41"/>
  <c r="L617" i="41"/>
  <c r="M617" i="41" s="1"/>
  <c r="R616" i="41"/>
  <c r="P616" i="41"/>
  <c r="O616" i="41"/>
  <c r="L616" i="41"/>
  <c r="M616" i="41" s="1"/>
  <c r="K616" i="41"/>
  <c r="R615" i="41"/>
  <c r="P615" i="41"/>
  <c r="O615" i="41"/>
  <c r="M615" i="41"/>
  <c r="L615" i="41"/>
  <c r="R614" i="41"/>
  <c r="P614" i="41"/>
  <c r="O614" i="41"/>
  <c r="M614" i="41"/>
  <c r="L614" i="41"/>
  <c r="K614" i="41"/>
  <c r="R613" i="41"/>
  <c r="P613" i="41"/>
  <c r="O613" i="41"/>
  <c r="L613" i="41"/>
  <c r="M613" i="41" s="1"/>
  <c r="R612" i="41"/>
  <c r="P612" i="41"/>
  <c r="O612" i="41"/>
  <c r="M612" i="41"/>
  <c r="L612" i="41"/>
  <c r="K612" i="41" s="1"/>
  <c r="R611" i="41"/>
  <c r="P611" i="41"/>
  <c r="O611" i="41"/>
  <c r="M611" i="41"/>
  <c r="L611" i="41"/>
  <c r="K611" i="41" s="1"/>
  <c r="R610" i="41"/>
  <c r="P610" i="41"/>
  <c r="O610" i="41"/>
  <c r="L610" i="41"/>
  <c r="M610" i="41" s="1"/>
  <c r="K610" i="41"/>
  <c r="R609" i="41"/>
  <c r="P609" i="41"/>
  <c r="O609" i="41"/>
  <c r="L609" i="41"/>
  <c r="M609" i="41" s="1"/>
  <c r="R608" i="41"/>
  <c r="P608" i="41"/>
  <c r="O608" i="41"/>
  <c r="L608" i="41"/>
  <c r="M608" i="41" s="1"/>
  <c r="K608" i="41"/>
  <c r="R607" i="41"/>
  <c r="P607" i="41"/>
  <c r="O607" i="41"/>
  <c r="M607" i="41"/>
  <c r="L607" i="41"/>
  <c r="R606" i="41"/>
  <c r="P606" i="41"/>
  <c r="O606" i="41"/>
  <c r="L606" i="41"/>
  <c r="R605" i="41"/>
  <c r="P605" i="41"/>
  <c r="O605" i="41"/>
  <c r="M605" i="41"/>
  <c r="L605" i="41"/>
  <c r="R604" i="41"/>
  <c r="P604" i="41"/>
  <c r="O604" i="41"/>
  <c r="L604" i="41"/>
  <c r="M604" i="41" s="1"/>
  <c r="R603" i="41"/>
  <c r="P603" i="41"/>
  <c r="O603" i="41"/>
  <c r="M603" i="41"/>
  <c r="L603" i="41"/>
  <c r="R602" i="41"/>
  <c r="P602" i="41"/>
  <c r="O602" i="41"/>
  <c r="L602" i="41"/>
  <c r="M602" i="41" s="1"/>
  <c r="R601" i="41"/>
  <c r="P601" i="41"/>
  <c r="O601" i="41"/>
  <c r="M601" i="41"/>
  <c r="L601" i="41"/>
  <c r="R600" i="41"/>
  <c r="P600" i="41"/>
  <c r="O600" i="41"/>
  <c r="L600" i="41"/>
  <c r="M600" i="41" s="1"/>
  <c r="R599" i="41"/>
  <c r="P599" i="41"/>
  <c r="O599" i="41"/>
  <c r="L599" i="41"/>
  <c r="M599" i="41" s="1"/>
  <c r="R598" i="41"/>
  <c r="P598" i="41"/>
  <c r="O598" i="41"/>
  <c r="L598" i="41"/>
  <c r="M598" i="41" s="1"/>
  <c r="R597" i="41"/>
  <c r="P597" i="41"/>
  <c r="O597" i="41"/>
  <c r="M597" i="41"/>
  <c r="L597" i="41"/>
  <c r="R596" i="41"/>
  <c r="P596" i="41"/>
  <c r="O596" i="41"/>
  <c r="M596" i="41"/>
  <c r="L596" i="41"/>
  <c r="R595" i="41"/>
  <c r="P595" i="41"/>
  <c r="O595" i="41"/>
  <c r="L595" i="41"/>
  <c r="M595" i="41" s="1"/>
  <c r="R594" i="41"/>
  <c r="P594" i="41"/>
  <c r="O594" i="41"/>
  <c r="M594" i="41"/>
  <c r="L594" i="41"/>
  <c r="R593" i="41"/>
  <c r="P593" i="41"/>
  <c r="O593" i="41"/>
  <c r="M593" i="41"/>
  <c r="L593" i="41"/>
  <c r="R592" i="41"/>
  <c r="P592" i="41"/>
  <c r="O592" i="41"/>
  <c r="L592" i="41"/>
  <c r="M592" i="41" s="1"/>
  <c r="R591" i="41"/>
  <c r="P591" i="41"/>
  <c r="O591" i="41"/>
  <c r="M591" i="41"/>
  <c r="L591" i="41"/>
  <c r="R590" i="41"/>
  <c r="P590" i="41"/>
  <c r="O590" i="41"/>
  <c r="L590" i="41"/>
  <c r="M590" i="41" s="1"/>
  <c r="R589" i="41"/>
  <c r="P589" i="41"/>
  <c r="O589" i="41"/>
  <c r="M589" i="41"/>
  <c r="L589" i="41"/>
  <c r="R588" i="41"/>
  <c r="P588" i="41"/>
  <c r="O588" i="41"/>
  <c r="L588" i="41"/>
  <c r="M588" i="41" s="1"/>
  <c r="R587" i="41"/>
  <c r="P587" i="41"/>
  <c r="O587" i="41"/>
  <c r="M587" i="41"/>
  <c r="L587" i="41"/>
  <c r="R586" i="41"/>
  <c r="P586" i="41"/>
  <c r="O586" i="41"/>
  <c r="L586" i="41"/>
  <c r="M586" i="41" s="1"/>
  <c r="R585" i="41"/>
  <c r="P585" i="41"/>
  <c r="O585" i="41"/>
  <c r="M585" i="41"/>
  <c r="L585" i="41"/>
  <c r="R584" i="41"/>
  <c r="P584" i="41"/>
  <c r="O584" i="41"/>
  <c r="L584" i="41"/>
  <c r="M584" i="41" s="1"/>
  <c r="R583" i="41"/>
  <c r="P583" i="41"/>
  <c r="O583" i="41"/>
  <c r="L583" i="41"/>
  <c r="M583" i="41" s="1"/>
  <c r="R582" i="41"/>
  <c r="P582" i="41"/>
  <c r="O582" i="41"/>
  <c r="M582" i="41"/>
  <c r="L582" i="41"/>
  <c r="R581" i="41"/>
  <c r="P581" i="41"/>
  <c r="O581" i="41"/>
  <c r="M581" i="41"/>
  <c r="L581" i="41"/>
  <c r="R580" i="41"/>
  <c r="P580" i="41"/>
  <c r="O580" i="41"/>
  <c r="M580" i="41"/>
  <c r="L580" i="41"/>
  <c r="R579" i="41"/>
  <c r="P579" i="41"/>
  <c r="O579" i="41"/>
  <c r="M579" i="41"/>
  <c r="L579" i="41"/>
  <c r="R578" i="41"/>
  <c r="P578" i="41"/>
  <c r="O578" i="41"/>
  <c r="M578" i="41"/>
  <c r="L578" i="41"/>
  <c r="K578" i="41"/>
  <c r="R577" i="41"/>
  <c r="P577" i="41"/>
  <c r="O577" i="41"/>
  <c r="M577" i="41"/>
  <c r="L577" i="41"/>
  <c r="R576" i="41"/>
  <c r="P576" i="41"/>
  <c r="O576" i="41"/>
  <c r="M576" i="41"/>
  <c r="L576" i="41"/>
  <c r="R575" i="41"/>
  <c r="P575" i="41"/>
  <c r="O575" i="41"/>
  <c r="L575" i="41"/>
  <c r="M575" i="41" s="1"/>
  <c r="R574" i="41"/>
  <c r="P574" i="41"/>
  <c r="O574" i="41"/>
  <c r="M574" i="41"/>
  <c r="L574" i="41"/>
  <c r="R573" i="41"/>
  <c r="P573" i="41"/>
  <c r="O573" i="41"/>
  <c r="L573" i="41"/>
  <c r="M573" i="41" s="1"/>
  <c r="R572" i="41"/>
  <c r="P572" i="41"/>
  <c r="O572" i="41"/>
  <c r="M572" i="41"/>
  <c r="L572" i="41"/>
  <c r="R571" i="41"/>
  <c r="P571" i="41"/>
  <c r="O571" i="41"/>
  <c r="L571" i="41"/>
  <c r="M571" i="41" s="1"/>
  <c r="R570" i="41"/>
  <c r="P570" i="41"/>
  <c r="O570" i="41"/>
  <c r="M570" i="41"/>
  <c r="L570" i="41"/>
  <c r="K570" i="41"/>
  <c r="R569" i="41"/>
  <c r="P569" i="41"/>
  <c r="O569" i="41"/>
  <c r="L569" i="41"/>
  <c r="M569" i="41" s="1"/>
  <c r="R568" i="41"/>
  <c r="P568" i="41"/>
  <c r="O568" i="41"/>
  <c r="M568" i="41"/>
  <c r="L568" i="41"/>
  <c r="R567" i="41"/>
  <c r="P567" i="41"/>
  <c r="O567" i="41"/>
  <c r="L567" i="41"/>
  <c r="M567" i="41" s="1"/>
  <c r="R566" i="41"/>
  <c r="P566" i="41"/>
  <c r="O566" i="41"/>
  <c r="L566" i="41"/>
  <c r="M566" i="41" s="1"/>
  <c r="R565" i="41"/>
  <c r="P565" i="41"/>
  <c r="O565" i="41"/>
  <c r="M565" i="41"/>
  <c r="L565" i="41"/>
  <c r="R564" i="41"/>
  <c r="P564" i="41"/>
  <c r="O564" i="41"/>
  <c r="M564" i="41"/>
  <c r="L564" i="41"/>
  <c r="R563" i="41"/>
  <c r="P563" i="41"/>
  <c r="O563" i="41"/>
  <c r="M563" i="41"/>
  <c r="L563" i="41"/>
  <c r="R562" i="41"/>
  <c r="P562" i="41"/>
  <c r="O562" i="41"/>
  <c r="L562" i="41"/>
  <c r="M562" i="41" s="1"/>
  <c r="R561" i="41"/>
  <c r="P561" i="41"/>
  <c r="O561" i="41"/>
  <c r="L561" i="41"/>
  <c r="M561" i="41" s="1"/>
  <c r="R560" i="41"/>
  <c r="P560" i="41"/>
  <c r="O560" i="41"/>
  <c r="M560" i="41"/>
  <c r="L560" i="41"/>
  <c r="R559" i="41"/>
  <c r="P559" i="41"/>
  <c r="O559" i="41"/>
  <c r="M559" i="41"/>
  <c r="L559" i="41"/>
  <c r="R558" i="41"/>
  <c r="P558" i="41"/>
  <c r="O558" i="41"/>
  <c r="M558" i="41"/>
  <c r="L558" i="41"/>
  <c r="R557" i="41"/>
  <c r="P557" i="41"/>
  <c r="O557" i="41"/>
  <c r="M557" i="41"/>
  <c r="L557" i="41"/>
  <c r="R556" i="41"/>
  <c r="P556" i="41"/>
  <c r="O556" i="41"/>
  <c r="M556" i="41"/>
  <c r="L556" i="41"/>
  <c r="K556" i="41" s="1"/>
  <c r="R555" i="41"/>
  <c r="P555" i="41"/>
  <c r="O555" i="41"/>
  <c r="M555" i="41"/>
  <c r="L555" i="41"/>
  <c r="R554" i="41"/>
  <c r="P554" i="41"/>
  <c r="O554" i="41"/>
  <c r="L554" i="41"/>
  <c r="M554" i="41" s="1"/>
  <c r="R553" i="41"/>
  <c r="P553" i="41"/>
  <c r="O553" i="41"/>
  <c r="M553" i="41"/>
  <c r="L553" i="41"/>
  <c r="R552" i="41"/>
  <c r="P552" i="41"/>
  <c r="O552" i="41"/>
  <c r="M552" i="41"/>
  <c r="L552" i="41"/>
  <c r="K552" i="41"/>
  <c r="R551" i="41"/>
  <c r="P551" i="41"/>
  <c r="O551" i="41"/>
  <c r="L551" i="41"/>
  <c r="M551" i="41" s="1"/>
  <c r="R550" i="41"/>
  <c r="P550" i="41"/>
  <c r="O550" i="41"/>
  <c r="M550" i="41"/>
  <c r="L550" i="41"/>
  <c r="R549" i="41"/>
  <c r="P549" i="41"/>
  <c r="O549" i="41"/>
  <c r="M549" i="41"/>
  <c r="L549" i="41"/>
  <c r="R548" i="41"/>
  <c r="P548" i="41"/>
  <c r="O548" i="41"/>
  <c r="M548" i="41"/>
  <c r="L548" i="41"/>
  <c r="K548" i="41" s="1"/>
  <c r="R547" i="41"/>
  <c r="P547" i="41"/>
  <c r="O547" i="41"/>
  <c r="M547" i="41"/>
  <c r="L547" i="41"/>
  <c r="R546" i="41"/>
  <c r="P546" i="41"/>
  <c r="O546" i="41"/>
  <c r="L546" i="41"/>
  <c r="M546" i="41" s="1"/>
  <c r="R545" i="41"/>
  <c r="P545" i="41"/>
  <c r="O545" i="41"/>
  <c r="M545" i="41"/>
  <c r="L545" i="41"/>
  <c r="R544" i="41"/>
  <c r="P544" i="41"/>
  <c r="O544" i="41"/>
  <c r="M544" i="41"/>
  <c r="L544" i="41"/>
  <c r="K544" i="41"/>
  <c r="R543" i="41"/>
  <c r="P543" i="41"/>
  <c r="O543" i="41"/>
  <c r="M543" i="41"/>
  <c r="L543" i="41"/>
  <c r="K543" i="41"/>
  <c r="R542" i="41"/>
  <c r="P542" i="41"/>
  <c r="O542" i="41"/>
  <c r="M542" i="41"/>
  <c r="L542" i="41"/>
  <c r="R541" i="41"/>
  <c r="P541" i="41"/>
  <c r="O541" i="41"/>
  <c r="M541" i="41"/>
  <c r="L541" i="41"/>
  <c r="R540" i="41"/>
  <c r="P540" i="41"/>
  <c r="O540" i="41"/>
  <c r="M540" i="41"/>
  <c r="L540" i="41"/>
  <c r="R539" i="41"/>
  <c r="P539" i="41"/>
  <c r="O539" i="41"/>
  <c r="M539" i="41"/>
  <c r="L539" i="41"/>
  <c r="R538" i="41"/>
  <c r="P538" i="41"/>
  <c r="O538" i="41"/>
  <c r="L538" i="41"/>
  <c r="M538" i="41" s="1"/>
  <c r="K538" i="41"/>
  <c r="R537" i="41"/>
  <c r="P537" i="41"/>
  <c r="O537" i="41"/>
  <c r="L537" i="41"/>
  <c r="M537" i="41" s="1"/>
  <c r="R536" i="41"/>
  <c r="P536" i="41"/>
  <c r="O536" i="41"/>
  <c r="L536" i="41"/>
  <c r="M536" i="41" s="1"/>
  <c r="K536" i="41"/>
  <c r="R535" i="41"/>
  <c r="P535" i="41"/>
  <c r="O535" i="41"/>
  <c r="M535" i="41"/>
  <c r="L535" i="41"/>
  <c r="R534" i="41"/>
  <c r="P534" i="41"/>
  <c r="O534" i="41"/>
  <c r="L534" i="41"/>
  <c r="M534" i="41" s="1"/>
  <c r="K534" i="41"/>
  <c r="R533" i="41"/>
  <c r="P533" i="41"/>
  <c r="O533" i="41"/>
  <c r="M533" i="41"/>
  <c r="L533" i="41"/>
  <c r="R532" i="41"/>
  <c r="P532" i="41"/>
  <c r="O532" i="41"/>
  <c r="M532" i="41"/>
  <c r="L532" i="41"/>
  <c r="K532" i="41" s="1"/>
  <c r="R531" i="41"/>
  <c r="P531" i="41"/>
  <c r="O531" i="41"/>
  <c r="M531" i="41"/>
  <c r="L531" i="41"/>
  <c r="R530" i="41"/>
  <c r="P530" i="41"/>
  <c r="O530" i="41"/>
  <c r="L530" i="41"/>
  <c r="M530" i="41" s="1"/>
  <c r="K530" i="41"/>
  <c r="R529" i="41"/>
  <c r="P529" i="41"/>
  <c r="O529" i="41"/>
  <c r="L529" i="41"/>
  <c r="M529" i="41" s="1"/>
  <c r="R528" i="41"/>
  <c r="P528" i="41"/>
  <c r="O528" i="41"/>
  <c r="L528" i="41"/>
  <c r="M528" i="41" s="1"/>
  <c r="R527" i="41"/>
  <c r="P527" i="41"/>
  <c r="O527" i="41"/>
  <c r="M527" i="41"/>
  <c r="L527" i="41"/>
  <c r="R526" i="41"/>
  <c r="P526" i="41"/>
  <c r="O526" i="41"/>
  <c r="L526" i="41"/>
  <c r="M526" i="41" s="1"/>
  <c r="R525" i="41"/>
  <c r="P525" i="41"/>
  <c r="O525" i="41"/>
  <c r="L525" i="41"/>
  <c r="M525" i="41" s="1"/>
  <c r="R524" i="41"/>
  <c r="P524" i="41"/>
  <c r="O524" i="41"/>
  <c r="L524" i="41"/>
  <c r="M524" i="41" s="1"/>
  <c r="R523" i="41"/>
  <c r="P523" i="41"/>
  <c r="O523" i="41"/>
  <c r="L523" i="41"/>
  <c r="M523" i="41" s="1"/>
  <c r="R522" i="41"/>
  <c r="P522" i="41"/>
  <c r="O522" i="41"/>
  <c r="L522" i="41"/>
  <c r="M522" i="41" s="1"/>
  <c r="R521" i="41"/>
  <c r="P521" i="41"/>
  <c r="O521" i="41"/>
  <c r="M521" i="41"/>
  <c r="L521" i="41"/>
  <c r="R520" i="41"/>
  <c r="P520" i="41"/>
  <c r="O520" i="41"/>
  <c r="L520" i="41"/>
  <c r="M520" i="41" s="1"/>
  <c r="R519" i="41"/>
  <c r="P519" i="41"/>
  <c r="O519" i="41"/>
  <c r="M519" i="41"/>
  <c r="L519" i="41"/>
  <c r="R518" i="41"/>
  <c r="P518" i="41"/>
  <c r="O518" i="41"/>
  <c r="L518" i="41"/>
  <c r="M518" i="41" s="1"/>
  <c r="R517" i="41"/>
  <c r="P517" i="41"/>
  <c r="O517" i="41"/>
  <c r="M517" i="41"/>
  <c r="L517" i="41"/>
  <c r="R516" i="41"/>
  <c r="P516" i="41"/>
  <c r="O516" i="41"/>
  <c r="L516" i="41"/>
  <c r="M516" i="41" s="1"/>
  <c r="R515" i="41"/>
  <c r="P515" i="41"/>
  <c r="O515" i="41"/>
  <c r="M515" i="41"/>
  <c r="L515" i="41"/>
  <c r="R514" i="41"/>
  <c r="P514" i="41"/>
  <c r="O514" i="41"/>
  <c r="M514" i="41"/>
  <c r="L514" i="41"/>
  <c r="R513" i="41"/>
  <c r="P513" i="41"/>
  <c r="O513" i="41"/>
  <c r="L513" i="41"/>
  <c r="M513" i="41" s="1"/>
  <c r="R512" i="41"/>
  <c r="P512" i="41"/>
  <c r="O512" i="41"/>
  <c r="L512" i="41"/>
  <c r="M512" i="41" s="1"/>
  <c r="R511" i="41"/>
  <c r="P511" i="41"/>
  <c r="O511" i="41"/>
  <c r="M511" i="41"/>
  <c r="L511" i="41"/>
  <c r="R510" i="41"/>
  <c r="P510" i="41"/>
  <c r="O510" i="41"/>
  <c r="L510" i="41"/>
  <c r="M510" i="41" s="1"/>
  <c r="R509" i="41"/>
  <c r="P509" i="41"/>
  <c r="O509" i="41"/>
  <c r="M509" i="41"/>
  <c r="L509" i="41"/>
  <c r="R508" i="41"/>
  <c r="P508" i="41"/>
  <c r="O508" i="41"/>
  <c r="L508" i="41"/>
  <c r="M508" i="41" s="1"/>
  <c r="R507" i="41"/>
  <c r="P507" i="41"/>
  <c r="O507" i="41"/>
  <c r="M507" i="41"/>
  <c r="L507" i="41"/>
  <c r="R506" i="41"/>
  <c r="P506" i="41"/>
  <c r="O506" i="41"/>
  <c r="L506" i="41"/>
  <c r="M506" i="41" s="1"/>
  <c r="R505" i="41"/>
  <c r="P505" i="41"/>
  <c r="O505" i="41"/>
  <c r="L505" i="41"/>
  <c r="M505" i="41" s="1"/>
  <c r="R504" i="41"/>
  <c r="P504" i="41"/>
  <c r="O504" i="41"/>
  <c r="L504" i="41"/>
  <c r="M504" i="41" s="1"/>
  <c r="R503" i="41"/>
  <c r="P503" i="41"/>
  <c r="O503" i="41"/>
  <c r="M503" i="41"/>
  <c r="L503" i="41"/>
  <c r="R502" i="41"/>
  <c r="P502" i="41"/>
  <c r="O502" i="41"/>
  <c r="L502" i="41"/>
  <c r="M502" i="41" s="1"/>
  <c r="R501" i="41"/>
  <c r="P501" i="41"/>
  <c r="O501" i="41"/>
  <c r="L501" i="41"/>
  <c r="M501" i="41" s="1"/>
  <c r="R500" i="41"/>
  <c r="P500" i="41"/>
  <c r="O500" i="41"/>
  <c r="L500" i="41"/>
  <c r="M500" i="41" s="1"/>
  <c r="R499" i="41"/>
  <c r="P499" i="41"/>
  <c r="O499" i="41"/>
  <c r="L499" i="41"/>
  <c r="M499" i="41" s="1"/>
  <c r="R498" i="41"/>
  <c r="P498" i="41"/>
  <c r="O498" i="41"/>
  <c r="L498" i="41"/>
  <c r="M498" i="41" s="1"/>
  <c r="R497" i="41"/>
  <c r="P497" i="41"/>
  <c r="O497" i="41"/>
  <c r="L497" i="41"/>
  <c r="M497" i="41" s="1"/>
  <c r="R496" i="41"/>
  <c r="P496" i="41"/>
  <c r="O496" i="41"/>
  <c r="L496" i="41"/>
  <c r="M496" i="41" s="1"/>
  <c r="R495" i="41"/>
  <c r="P495" i="41"/>
  <c r="O495" i="41"/>
  <c r="M495" i="41"/>
  <c r="L495" i="41"/>
  <c r="R494" i="41"/>
  <c r="P494" i="41"/>
  <c r="O494" i="41"/>
  <c r="M494" i="41"/>
  <c r="L494" i="41"/>
  <c r="R493" i="41"/>
  <c r="P493" i="41"/>
  <c r="O493" i="41"/>
  <c r="L493" i="41"/>
  <c r="M493" i="41" s="1"/>
  <c r="R492" i="41"/>
  <c r="P492" i="41"/>
  <c r="O492" i="41"/>
  <c r="M492" i="41"/>
  <c r="L492" i="41"/>
  <c r="R491" i="41"/>
  <c r="P491" i="41"/>
  <c r="O491" i="41"/>
  <c r="M491" i="41"/>
  <c r="L491" i="41"/>
  <c r="R490" i="41"/>
  <c r="P490" i="41"/>
  <c r="O490" i="41"/>
  <c r="M490" i="41"/>
  <c r="L490" i="41"/>
  <c r="R489" i="41"/>
  <c r="P489" i="41"/>
  <c r="O489" i="41"/>
  <c r="L489" i="41"/>
  <c r="M489" i="41" s="1"/>
  <c r="R488" i="41"/>
  <c r="P488" i="41"/>
  <c r="O488" i="41"/>
  <c r="L488" i="41"/>
  <c r="M488" i="41" s="1"/>
  <c r="R487" i="41"/>
  <c r="P487" i="41"/>
  <c r="O487" i="41"/>
  <c r="L487" i="41"/>
  <c r="M487" i="41" s="1"/>
  <c r="R486" i="41"/>
  <c r="P486" i="41"/>
  <c r="O486" i="41"/>
  <c r="M486" i="41"/>
  <c r="L486" i="41"/>
  <c r="R485" i="41"/>
  <c r="P485" i="41"/>
  <c r="O485" i="41"/>
  <c r="L485" i="41"/>
  <c r="M485" i="41" s="1"/>
  <c r="R484" i="41"/>
  <c r="P484" i="41"/>
  <c r="O484" i="41"/>
  <c r="L484" i="41"/>
  <c r="M484" i="41" s="1"/>
  <c r="R483" i="41"/>
  <c r="P483" i="41"/>
  <c r="O483" i="41"/>
  <c r="L483" i="41"/>
  <c r="M483" i="41" s="1"/>
  <c r="R482" i="41"/>
  <c r="P482" i="41"/>
  <c r="O482" i="41"/>
  <c r="M482" i="41"/>
  <c r="L482" i="41"/>
  <c r="R481" i="41"/>
  <c r="P481" i="41"/>
  <c r="O481" i="41"/>
  <c r="L481" i="41"/>
  <c r="M481" i="41" s="1"/>
  <c r="R480" i="41"/>
  <c r="P480" i="41"/>
  <c r="O480" i="41"/>
  <c r="M480" i="41"/>
  <c r="L480" i="41"/>
  <c r="R479" i="41"/>
  <c r="P479" i="41"/>
  <c r="O479" i="41"/>
  <c r="M479" i="41"/>
  <c r="L479" i="41"/>
  <c r="R478" i="41"/>
  <c r="P478" i="41"/>
  <c r="O478" i="41"/>
  <c r="M478" i="41"/>
  <c r="L478" i="41"/>
  <c r="R477" i="41"/>
  <c r="P477" i="41"/>
  <c r="O477" i="41"/>
  <c r="L477" i="41"/>
  <c r="M477" i="41" s="1"/>
  <c r="R476" i="41"/>
  <c r="P476" i="41"/>
  <c r="O476" i="41"/>
  <c r="M476" i="41"/>
  <c r="L476" i="41"/>
  <c r="R475" i="41"/>
  <c r="P475" i="41"/>
  <c r="O475" i="41"/>
  <c r="M475" i="41"/>
  <c r="L475" i="41"/>
  <c r="R474" i="41"/>
  <c r="P474" i="41"/>
  <c r="O474" i="41"/>
  <c r="M474" i="41"/>
  <c r="L474" i="41"/>
  <c r="R473" i="41"/>
  <c r="P473" i="41"/>
  <c r="O473" i="41"/>
  <c r="M473" i="41"/>
  <c r="L473" i="41"/>
  <c r="R472" i="41"/>
  <c r="P472" i="41"/>
  <c r="O472" i="41"/>
  <c r="L472" i="41"/>
  <c r="M472" i="41" s="1"/>
  <c r="R471" i="41"/>
  <c r="P471" i="41"/>
  <c r="O471" i="41"/>
  <c r="L471" i="41"/>
  <c r="M471" i="41" s="1"/>
  <c r="R470" i="41"/>
  <c r="P470" i="41"/>
  <c r="O470" i="41"/>
  <c r="M470" i="41"/>
  <c r="L470" i="41"/>
  <c r="R469" i="41"/>
  <c r="P469" i="41"/>
  <c r="O469" i="41"/>
  <c r="L469" i="41"/>
  <c r="M469" i="41" s="1"/>
  <c r="R468" i="41"/>
  <c r="P468" i="41"/>
  <c r="O468" i="41"/>
  <c r="M468" i="41"/>
  <c r="L468" i="41"/>
  <c r="R467" i="41"/>
  <c r="P467" i="41"/>
  <c r="O467" i="41"/>
  <c r="M467" i="41"/>
  <c r="L467" i="41"/>
  <c r="R466" i="41"/>
  <c r="P466" i="41"/>
  <c r="O466" i="41"/>
  <c r="M466" i="41"/>
  <c r="R465" i="41"/>
  <c r="P465" i="41"/>
  <c r="O465" i="41"/>
  <c r="L465" i="41"/>
  <c r="M465" i="41" s="1"/>
  <c r="R464" i="41"/>
  <c r="P464" i="41"/>
  <c r="O464" i="41"/>
  <c r="M464" i="41"/>
  <c r="L464" i="41"/>
  <c r="R463" i="41"/>
  <c r="P463" i="41"/>
  <c r="O463" i="41"/>
  <c r="L463" i="41"/>
  <c r="M463" i="41" s="1"/>
  <c r="R462" i="41"/>
  <c r="P462" i="41"/>
  <c r="O462" i="41"/>
  <c r="M462" i="41"/>
  <c r="L462" i="41"/>
  <c r="R461" i="41"/>
  <c r="P461" i="41"/>
  <c r="O461" i="41"/>
  <c r="M461" i="41"/>
  <c r="L461" i="41"/>
  <c r="R460" i="41"/>
  <c r="P460" i="41"/>
  <c r="O460" i="41"/>
  <c r="L460" i="41"/>
  <c r="M460" i="41" s="1"/>
  <c r="R459" i="41"/>
  <c r="P459" i="41"/>
  <c r="O459" i="41"/>
  <c r="L459" i="41"/>
  <c r="M459" i="41" s="1"/>
  <c r="R458" i="41"/>
  <c r="P458" i="41"/>
  <c r="O458" i="41"/>
  <c r="L458" i="41"/>
  <c r="M458" i="41" s="1"/>
  <c r="R457" i="41"/>
  <c r="P457" i="41"/>
  <c r="O457" i="41"/>
  <c r="L457" i="41"/>
  <c r="M457" i="41" s="1"/>
  <c r="R456" i="41"/>
  <c r="P456" i="41"/>
  <c r="O456" i="41"/>
  <c r="M456" i="41"/>
  <c r="L456" i="41"/>
  <c r="R455" i="41"/>
  <c r="P455" i="41"/>
  <c r="O455" i="41"/>
  <c r="M455" i="41"/>
  <c r="L455" i="41"/>
  <c r="R454" i="41"/>
  <c r="P454" i="41"/>
  <c r="O454" i="41"/>
  <c r="M454" i="41"/>
  <c r="L454" i="41"/>
  <c r="R453" i="41"/>
  <c r="P453" i="41"/>
  <c r="O453" i="41"/>
  <c r="L453" i="41"/>
  <c r="M453" i="41" s="1"/>
  <c r="R452" i="41"/>
  <c r="P452" i="41"/>
  <c r="O452" i="41"/>
  <c r="M452" i="41"/>
  <c r="L452" i="41"/>
  <c r="R451" i="41"/>
  <c r="P451" i="41"/>
  <c r="O451" i="41"/>
  <c r="M451" i="41"/>
  <c r="L451" i="41"/>
  <c r="R450" i="41"/>
  <c r="P450" i="41"/>
  <c r="O450" i="41"/>
  <c r="M450" i="41"/>
  <c r="L450" i="41"/>
  <c r="R449" i="41"/>
  <c r="P449" i="41"/>
  <c r="O449" i="41"/>
  <c r="M449" i="41"/>
  <c r="L449" i="41"/>
  <c r="R448" i="41"/>
  <c r="P448" i="41"/>
  <c r="O448" i="41"/>
  <c r="L448" i="41"/>
  <c r="M448" i="41" s="1"/>
  <c r="R447" i="41"/>
  <c r="P447" i="41"/>
  <c r="O447" i="41"/>
  <c r="M447" i="41"/>
  <c r="L447" i="41"/>
  <c r="R446" i="41"/>
  <c r="P446" i="41"/>
  <c r="O446" i="41"/>
  <c r="L446" i="41"/>
  <c r="M446" i="41" s="1"/>
  <c r="R445" i="41"/>
  <c r="P445" i="41"/>
  <c r="O445" i="41"/>
  <c r="L445" i="41"/>
  <c r="M445" i="41" s="1"/>
  <c r="R444" i="41"/>
  <c r="P444" i="41"/>
  <c r="O444" i="41"/>
  <c r="M444" i="41"/>
  <c r="L444" i="41"/>
  <c r="R443" i="41"/>
  <c r="P443" i="41"/>
  <c r="O443" i="41"/>
  <c r="M443" i="41"/>
  <c r="L443" i="41"/>
  <c r="R442" i="41"/>
  <c r="P442" i="41"/>
  <c r="O442" i="41"/>
  <c r="L442" i="41"/>
  <c r="M442" i="41" s="1"/>
  <c r="R441" i="41"/>
  <c r="P441" i="41"/>
  <c r="O441" i="41"/>
  <c r="L441" i="41"/>
  <c r="M441" i="41" s="1"/>
  <c r="R440" i="41"/>
  <c r="P440" i="41"/>
  <c r="O440" i="41"/>
  <c r="M440" i="41"/>
  <c r="L440" i="41"/>
  <c r="R439" i="41"/>
  <c r="P439" i="41"/>
  <c r="O439" i="41"/>
  <c r="L439" i="41"/>
  <c r="M439" i="41" s="1"/>
  <c r="R438" i="41"/>
  <c r="P438" i="41"/>
  <c r="O438" i="41"/>
  <c r="L438" i="41"/>
  <c r="M438" i="41" s="1"/>
  <c r="R437" i="41"/>
  <c r="P437" i="41"/>
  <c r="O437" i="41"/>
  <c r="L437" i="41"/>
  <c r="M437" i="41" s="1"/>
  <c r="R436" i="41"/>
  <c r="P436" i="41"/>
  <c r="O436" i="41"/>
  <c r="L436" i="41"/>
  <c r="M436" i="41" s="1"/>
  <c r="R435" i="41"/>
  <c r="P435" i="41"/>
  <c r="O435" i="41"/>
  <c r="L435" i="41"/>
  <c r="M435" i="41" s="1"/>
  <c r="R434" i="41"/>
  <c r="P434" i="41"/>
  <c r="O434" i="41"/>
  <c r="L434" i="41"/>
  <c r="M434" i="41" s="1"/>
  <c r="R433" i="41"/>
  <c r="P433" i="41"/>
  <c r="O433" i="41"/>
  <c r="L433" i="41"/>
  <c r="M433" i="41" s="1"/>
  <c r="R432" i="41"/>
  <c r="P432" i="41"/>
  <c r="O432" i="41"/>
  <c r="M432" i="41"/>
  <c r="L432" i="41"/>
  <c r="R431" i="41"/>
  <c r="P431" i="41"/>
  <c r="O431" i="41"/>
  <c r="L431" i="41"/>
  <c r="M431" i="41" s="1"/>
  <c r="R430" i="41"/>
  <c r="P430" i="41"/>
  <c r="O430" i="41"/>
  <c r="M430" i="41"/>
  <c r="L430" i="41"/>
  <c r="R429" i="41"/>
  <c r="P429" i="41"/>
  <c r="O429" i="41"/>
  <c r="L429" i="41"/>
  <c r="M429" i="41" s="1"/>
  <c r="R428" i="41"/>
  <c r="P428" i="41"/>
  <c r="O428" i="41"/>
  <c r="L428" i="41"/>
  <c r="M428" i="41" s="1"/>
  <c r="R427" i="41"/>
  <c r="P427" i="41"/>
  <c r="O427" i="41"/>
  <c r="L427" i="41"/>
  <c r="M427" i="41" s="1"/>
  <c r="R426" i="41"/>
  <c r="P426" i="41"/>
  <c r="O426" i="41"/>
  <c r="M426" i="41"/>
  <c r="L426" i="41"/>
  <c r="R425" i="41"/>
  <c r="P425" i="41"/>
  <c r="O425" i="41"/>
  <c r="L425" i="41"/>
  <c r="M425" i="41" s="1"/>
  <c r="R424" i="41"/>
  <c r="P424" i="41"/>
  <c r="O424" i="41"/>
  <c r="M424" i="41"/>
  <c r="L424" i="41"/>
  <c r="R423" i="41"/>
  <c r="P423" i="41"/>
  <c r="O423" i="41"/>
  <c r="M423" i="41"/>
  <c r="L423" i="41"/>
  <c r="R422" i="41"/>
  <c r="P422" i="41"/>
  <c r="O422" i="41"/>
  <c r="M422" i="41"/>
  <c r="L422" i="41"/>
  <c r="R421" i="41"/>
  <c r="P421" i="41"/>
  <c r="O421" i="41"/>
  <c r="L421" i="41"/>
  <c r="M421" i="41" s="1"/>
  <c r="R420" i="41"/>
  <c r="P420" i="41"/>
  <c r="O420" i="41"/>
  <c r="L420" i="41"/>
  <c r="M420" i="41" s="1"/>
  <c r="R419" i="41"/>
  <c r="P419" i="41"/>
  <c r="O419" i="41"/>
  <c r="M419" i="41"/>
  <c r="L419" i="41"/>
  <c r="R418" i="41"/>
  <c r="P418" i="41"/>
  <c r="O418" i="41"/>
  <c r="L418" i="41"/>
  <c r="M418" i="41" s="1"/>
  <c r="R417" i="41"/>
  <c r="P417" i="41"/>
  <c r="O417" i="41"/>
  <c r="M417" i="41"/>
  <c r="L417" i="41"/>
  <c r="R416" i="41"/>
  <c r="P416" i="41"/>
  <c r="O416" i="41"/>
  <c r="L416" i="41"/>
  <c r="M416" i="41" s="1"/>
  <c r="R415" i="41"/>
  <c r="P415" i="41"/>
  <c r="O415" i="41"/>
  <c r="L415" i="41"/>
  <c r="M415" i="41" s="1"/>
  <c r="R414" i="41"/>
  <c r="P414" i="41"/>
  <c r="O414" i="41"/>
  <c r="L414" i="41"/>
  <c r="M414" i="41" s="1"/>
  <c r="R413" i="41"/>
  <c r="P413" i="41"/>
  <c r="O413" i="41"/>
  <c r="L413" i="41"/>
  <c r="M413" i="41" s="1"/>
  <c r="R412" i="41"/>
  <c r="P412" i="41"/>
  <c r="O412" i="41"/>
  <c r="M412" i="41"/>
  <c r="L412" i="41"/>
  <c r="R411" i="41"/>
  <c r="P411" i="41"/>
  <c r="O411" i="41"/>
  <c r="M411" i="41"/>
  <c r="L411" i="41"/>
  <c r="R410" i="41"/>
  <c r="P410" i="41"/>
  <c r="O410" i="41"/>
  <c r="M410" i="41"/>
  <c r="L410" i="41"/>
  <c r="R409" i="41"/>
  <c r="P409" i="41"/>
  <c r="O409" i="41"/>
  <c r="L409" i="41"/>
  <c r="M409" i="41" s="1"/>
  <c r="R408" i="41"/>
  <c r="P408" i="41"/>
  <c r="O408" i="41"/>
  <c r="M408" i="41"/>
  <c r="L408" i="41"/>
  <c r="R407" i="41"/>
  <c r="P407" i="41"/>
  <c r="O407" i="41"/>
  <c r="L407" i="41"/>
  <c r="M407" i="41" s="1"/>
  <c r="R406" i="41"/>
  <c r="P406" i="41"/>
  <c r="O406" i="41"/>
  <c r="M406" i="41"/>
  <c r="L406" i="41"/>
  <c r="R405" i="41"/>
  <c r="P405" i="41"/>
  <c r="O405" i="41"/>
  <c r="M405" i="41"/>
  <c r="R404" i="41"/>
  <c r="P404" i="41"/>
  <c r="O404" i="41"/>
  <c r="M404" i="41"/>
  <c r="L404" i="41"/>
  <c r="R403" i="41"/>
  <c r="P403" i="41"/>
  <c r="O403" i="41"/>
  <c r="M403" i="41"/>
  <c r="L403" i="41"/>
  <c r="R402" i="41"/>
  <c r="P402" i="41"/>
  <c r="O402" i="41"/>
  <c r="M402" i="41"/>
  <c r="L402" i="41"/>
  <c r="R401" i="41"/>
  <c r="P401" i="41"/>
  <c r="O401" i="41"/>
  <c r="L401" i="41"/>
  <c r="M401" i="41" s="1"/>
  <c r="R400" i="41"/>
  <c r="P400" i="41"/>
  <c r="O400" i="41"/>
  <c r="M400" i="41"/>
  <c r="L400" i="41"/>
  <c r="R399" i="41"/>
  <c r="P399" i="41"/>
  <c r="O399" i="41"/>
  <c r="L399" i="41"/>
  <c r="M399" i="41" s="1"/>
  <c r="R398" i="41"/>
  <c r="P398" i="41"/>
  <c r="O398" i="41"/>
  <c r="M398" i="41"/>
  <c r="L398" i="41"/>
  <c r="R397" i="41"/>
  <c r="P397" i="41"/>
  <c r="O397" i="41"/>
  <c r="L397" i="41"/>
  <c r="M397" i="41" s="1"/>
  <c r="R396" i="41"/>
  <c r="P396" i="41"/>
  <c r="O396" i="41"/>
  <c r="L396" i="41"/>
  <c r="M396" i="41" s="1"/>
  <c r="R395" i="41"/>
  <c r="P395" i="41"/>
  <c r="O395" i="41"/>
  <c r="L395" i="41"/>
  <c r="M395" i="41" s="1"/>
  <c r="R394" i="41"/>
  <c r="P394" i="41"/>
  <c r="O394" i="41"/>
  <c r="L394" i="41"/>
  <c r="M394" i="41" s="1"/>
  <c r="R393" i="41"/>
  <c r="P393" i="41"/>
  <c r="O393" i="41"/>
  <c r="L393" i="41"/>
  <c r="M393" i="41" s="1"/>
  <c r="R392" i="41"/>
  <c r="P392" i="41"/>
  <c r="O392" i="41"/>
  <c r="M392" i="41"/>
  <c r="L392" i="41"/>
  <c r="R391" i="41"/>
  <c r="P391" i="41"/>
  <c r="O391" i="41"/>
  <c r="M391" i="41"/>
  <c r="L391" i="41"/>
  <c r="R390" i="41"/>
  <c r="P390" i="41"/>
  <c r="O390" i="41"/>
  <c r="M390" i="41"/>
  <c r="L390" i="41"/>
  <c r="R389" i="41"/>
  <c r="P389" i="41"/>
  <c r="O389" i="41"/>
  <c r="M389" i="41"/>
  <c r="L389" i="41"/>
  <c r="R388" i="41"/>
  <c r="P388" i="41"/>
  <c r="O388" i="41"/>
  <c r="L388" i="41"/>
  <c r="M388" i="41" s="1"/>
  <c r="R387" i="41"/>
  <c r="P387" i="41"/>
  <c r="O387" i="41"/>
  <c r="M387" i="41"/>
  <c r="L387" i="41"/>
  <c r="R386" i="41"/>
  <c r="P386" i="41"/>
  <c r="O386" i="41"/>
  <c r="L386" i="41"/>
  <c r="M386" i="41" s="1"/>
  <c r="R385" i="41"/>
  <c r="P385" i="41"/>
  <c r="O385" i="41"/>
  <c r="L385" i="41"/>
  <c r="M385" i="41" s="1"/>
  <c r="R384" i="41"/>
  <c r="P384" i="41"/>
  <c r="O384" i="41"/>
  <c r="L384" i="41"/>
  <c r="M384" i="41" s="1"/>
  <c r="R383" i="41"/>
  <c r="P383" i="41"/>
  <c r="O383" i="41"/>
  <c r="M383" i="41"/>
  <c r="L383" i="41"/>
  <c r="R382" i="41"/>
  <c r="P382" i="41"/>
  <c r="O382" i="41"/>
  <c r="L382" i="41"/>
  <c r="M382" i="41" s="1"/>
  <c r="R381" i="41"/>
  <c r="P381" i="41"/>
  <c r="O381" i="41"/>
  <c r="L381" i="41"/>
  <c r="M381" i="41" s="1"/>
  <c r="R380" i="41"/>
  <c r="P380" i="41"/>
  <c r="O380" i="41"/>
  <c r="M380" i="41"/>
  <c r="L380" i="41"/>
  <c r="R379" i="41"/>
  <c r="P379" i="41"/>
  <c r="O379" i="41"/>
  <c r="M379" i="41"/>
  <c r="L379" i="41"/>
  <c r="R378" i="41"/>
  <c r="P378" i="41"/>
  <c r="O378" i="41"/>
  <c r="M378" i="41"/>
  <c r="L378" i="41"/>
  <c r="R377" i="41"/>
  <c r="P377" i="41"/>
  <c r="O377" i="41"/>
  <c r="L377" i="41"/>
  <c r="M377" i="41" s="1"/>
  <c r="R376" i="41"/>
  <c r="P376" i="41"/>
  <c r="O376" i="41"/>
  <c r="M376" i="41"/>
  <c r="L376" i="41"/>
  <c r="R375" i="41"/>
  <c r="P375" i="41"/>
  <c r="O375" i="41"/>
  <c r="L375" i="41"/>
  <c r="M375" i="41" s="1"/>
  <c r="R374" i="41"/>
  <c r="P374" i="41"/>
  <c r="O374" i="41"/>
  <c r="M374" i="41"/>
  <c r="L374" i="41"/>
  <c r="R373" i="41"/>
  <c r="P373" i="41"/>
  <c r="O373" i="41"/>
  <c r="L373" i="41"/>
  <c r="M373" i="41" s="1"/>
  <c r="R372" i="41"/>
  <c r="P372" i="41"/>
  <c r="O372" i="41"/>
  <c r="L372" i="41"/>
  <c r="M372" i="41" s="1"/>
  <c r="R371" i="41"/>
  <c r="P371" i="41"/>
  <c r="O371" i="41"/>
  <c r="L371" i="41"/>
  <c r="M371" i="41" s="1"/>
  <c r="R370" i="41"/>
  <c r="P370" i="41"/>
  <c r="O370" i="41"/>
  <c r="L370" i="41"/>
  <c r="M370" i="41" s="1"/>
  <c r="R369" i="41"/>
  <c r="P369" i="41"/>
  <c r="O369" i="41"/>
  <c r="L369" i="41"/>
  <c r="M369" i="41" s="1"/>
  <c r="R368" i="41"/>
  <c r="P368" i="41"/>
  <c r="O368" i="41"/>
  <c r="M368" i="41"/>
  <c r="L368" i="41"/>
  <c r="R367" i="41"/>
  <c r="P367" i="41"/>
  <c r="O367" i="41"/>
  <c r="M367" i="41"/>
  <c r="L367" i="41"/>
  <c r="R366" i="41"/>
  <c r="P366" i="41"/>
  <c r="O366" i="41"/>
  <c r="M366" i="41"/>
  <c r="L366" i="41"/>
  <c r="R365" i="41"/>
  <c r="P365" i="41"/>
  <c r="O365" i="41"/>
  <c r="M365" i="41"/>
  <c r="L365" i="41"/>
  <c r="R364" i="41"/>
  <c r="P364" i="41"/>
  <c r="O364" i="41"/>
  <c r="L364" i="41"/>
  <c r="M364" i="41" s="1"/>
  <c r="R363" i="41"/>
  <c r="P363" i="41"/>
  <c r="O363" i="41"/>
  <c r="M363" i="41"/>
  <c r="L363" i="41"/>
  <c r="R362" i="41"/>
  <c r="P362" i="41"/>
  <c r="O362" i="41"/>
  <c r="L362" i="41"/>
  <c r="M362" i="41" s="1"/>
  <c r="R361" i="41"/>
  <c r="P361" i="41"/>
  <c r="O361" i="41"/>
  <c r="L361" i="41"/>
  <c r="M361" i="41" s="1"/>
  <c r="R360" i="41"/>
  <c r="P360" i="41"/>
  <c r="O360" i="41"/>
  <c r="L360" i="41"/>
  <c r="M360" i="41" s="1"/>
  <c r="R359" i="41"/>
  <c r="P359" i="41"/>
  <c r="O359" i="41"/>
  <c r="M359" i="41"/>
  <c r="L359" i="41"/>
  <c r="R358" i="41"/>
  <c r="P358" i="41"/>
  <c r="O358" i="41"/>
  <c r="L358" i="41"/>
  <c r="M358" i="41" s="1"/>
  <c r="R357" i="41"/>
  <c r="P357" i="41"/>
  <c r="O357" i="41"/>
  <c r="L357" i="41"/>
  <c r="M357" i="41" s="1"/>
  <c r="R356" i="41"/>
  <c r="P356" i="41"/>
  <c r="O356" i="41"/>
  <c r="M356" i="41"/>
  <c r="L356" i="41"/>
  <c r="R355" i="41"/>
  <c r="P355" i="41"/>
  <c r="O355" i="41"/>
  <c r="M355" i="41"/>
  <c r="L355" i="41"/>
  <c r="R354" i="41"/>
  <c r="P354" i="41"/>
  <c r="O354" i="41"/>
  <c r="M354" i="41"/>
  <c r="L354" i="41"/>
  <c r="R353" i="41"/>
  <c r="P353" i="41"/>
  <c r="O353" i="41"/>
  <c r="L353" i="41"/>
  <c r="M353" i="41" s="1"/>
  <c r="R352" i="41"/>
  <c r="P352" i="41"/>
  <c r="O352" i="41"/>
  <c r="M352" i="41"/>
  <c r="L352" i="41"/>
  <c r="R351" i="41"/>
  <c r="P351" i="41"/>
  <c r="O351" i="41"/>
  <c r="L351" i="41"/>
  <c r="M351" i="41" s="1"/>
  <c r="R350" i="41"/>
  <c r="P350" i="41"/>
  <c r="O350" i="41"/>
  <c r="M350" i="41"/>
  <c r="L350" i="41"/>
  <c r="R349" i="41"/>
  <c r="P349" i="41"/>
  <c r="O349" i="41"/>
  <c r="L349" i="41"/>
  <c r="M349" i="41" s="1"/>
  <c r="R348" i="41"/>
  <c r="P348" i="41"/>
  <c r="O348" i="41"/>
  <c r="L348" i="41"/>
  <c r="M348" i="41" s="1"/>
  <c r="R347" i="41"/>
  <c r="P347" i="41"/>
  <c r="O347" i="41"/>
  <c r="L347" i="41"/>
  <c r="M347" i="41" s="1"/>
  <c r="R346" i="41"/>
  <c r="P346" i="41"/>
  <c r="O346" i="41"/>
  <c r="L346" i="41"/>
  <c r="M346" i="41" s="1"/>
  <c r="R345" i="41"/>
  <c r="P345" i="41"/>
  <c r="O345" i="41"/>
  <c r="L345" i="41"/>
  <c r="M345" i="41" s="1"/>
  <c r="R344" i="41"/>
  <c r="P344" i="41"/>
  <c r="O344" i="41"/>
  <c r="M344" i="41"/>
  <c r="L344" i="41"/>
  <c r="R343" i="41"/>
  <c r="P343" i="41"/>
  <c r="O343" i="41"/>
  <c r="M343" i="41"/>
  <c r="L343" i="41"/>
  <c r="R342" i="41"/>
  <c r="P342" i="41"/>
  <c r="O342" i="41"/>
  <c r="M342" i="41"/>
  <c r="L342" i="41"/>
  <c r="R341" i="41"/>
  <c r="P341" i="41"/>
  <c r="O341" i="41"/>
  <c r="M341" i="41"/>
  <c r="L341" i="41"/>
  <c r="R340" i="41"/>
  <c r="P340" i="41"/>
  <c r="O340" i="41"/>
  <c r="L340" i="41"/>
  <c r="M340" i="41" s="1"/>
  <c r="R339" i="41"/>
  <c r="P339" i="41"/>
  <c r="O339" i="41"/>
  <c r="M339" i="41"/>
  <c r="L339" i="41"/>
  <c r="R338" i="41"/>
  <c r="P338" i="41"/>
  <c r="O338" i="41"/>
  <c r="L338" i="41"/>
  <c r="K338" i="41" s="1"/>
  <c r="R337" i="41"/>
  <c r="P337" i="41"/>
  <c r="O337" i="41"/>
  <c r="L337" i="41"/>
  <c r="M337" i="41" s="1"/>
  <c r="R336" i="41"/>
  <c r="P336" i="41"/>
  <c r="O336" i="41"/>
  <c r="L336" i="41"/>
  <c r="M336" i="41" s="1"/>
  <c r="R335" i="41"/>
  <c r="P335" i="41"/>
  <c r="O335" i="41"/>
  <c r="L335" i="41"/>
  <c r="M335" i="41" s="1"/>
  <c r="R334" i="41"/>
  <c r="P334" i="41"/>
  <c r="O334" i="41"/>
  <c r="L334" i="41"/>
  <c r="M334" i="41" s="1"/>
  <c r="R333" i="41"/>
  <c r="P333" i="41"/>
  <c r="O333" i="41"/>
  <c r="L333" i="41"/>
  <c r="M333" i="41" s="1"/>
  <c r="R332" i="41"/>
  <c r="P332" i="41"/>
  <c r="O332" i="41"/>
  <c r="L332" i="41"/>
  <c r="M332" i="41" s="1"/>
  <c r="R331" i="41"/>
  <c r="P331" i="41"/>
  <c r="O331" i="41"/>
  <c r="L331" i="41"/>
  <c r="M331" i="41" s="1"/>
  <c r="R330" i="41"/>
  <c r="P330" i="41"/>
  <c r="O330" i="41"/>
  <c r="M330" i="41"/>
  <c r="L330" i="41"/>
  <c r="R329" i="41"/>
  <c r="P329" i="41"/>
  <c r="O329" i="41"/>
  <c r="M329" i="41"/>
  <c r="L329" i="41"/>
  <c r="R328" i="41"/>
  <c r="P328" i="41"/>
  <c r="O328" i="41"/>
  <c r="M328" i="41"/>
  <c r="L328" i="41"/>
  <c r="R327" i="41"/>
  <c r="P327" i="41"/>
  <c r="O327" i="41"/>
  <c r="M327" i="41"/>
  <c r="L327" i="41"/>
  <c r="R326" i="41"/>
  <c r="P326" i="41"/>
  <c r="O326" i="41"/>
  <c r="M326" i="41"/>
  <c r="L326" i="41"/>
  <c r="R325" i="41"/>
  <c r="P325" i="41"/>
  <c r="O325" i="41"/>
  <c r="L325" i="41"/>
  <c r="M325" i="41" s="1"/>
  <c r="R324" i="41"/>
  <c r="P324" i="41"/>
  <c r="O324" i="41"/>
  <c r="L324" i="41"/>
  <c r="M324" i="41" s="1"/>
  <c r="R323" i="41"/>
  <c r="P323" i="41"/>
  <c r="O323" i="41"/>
  <c r="L323" i="41"/>
  <c r="M323" i="41" s="1"/>
  <c r="R322" i="41"/>
  <c r="P322" i="41"/>
  <c r="O322" i="41"/>
  <c r="L322" i="41"/>
  <c r="M322" i="41" s="1"/>
  <c r="R321" i="41"/>
  <c r="Q321" i="41"/>
  <c r="P321" i="41"/>
  <c r="O321" i="41"/>
  <c r="M321" i="41"/>
  <c r="L321" i="41"/>
  <c r="R320" i="41"/>
  <c r="P320" i="41"/>
  <c r="O320" i="41"/>
  <c r="L320" i="41"/>
  <c r="M320" i="41" s="1"/>
  <c r="R319" i="41"/>
  <c r="P319" i="41"/>
  <c r="O319" i="41"/>
  <c r="L319" i="41"/>
  <c r="M319" i="41" s="1"/>
  <c r="R318" i="41"/>
  <c r="P318" i="41"/>
  <c r="O318" i="41"/>
  <c r="L318" i="41"/>
  <c r="M318" i="41" s="1"/>
  <c r="R317" i="41"/>
  <c r="P317" i="41"/>
  <c r="O317" i="41"/>
  <c r="M317" i="41"/>
  <c r="L317" i="41"/>
  <c r="R316" i="41"/>
  <c r="P316" i="41"/>
  <c r="O316" i="41"/>
  <c r="L316" i="41"/>
  <c r="M316" i="41" s="1"/>
  <c r="R315" i="41"/>
  <c r="P315" i="41"/>
  <c r="O315" i="41"/>
  <c r="L315" i="41"/>
  <c r="M315" i="41" s="1"/>
  <c r="R314" i="41"/>
  <c r="P314" i="41"/>
  <c r="O314" i="41"/>
  <c r="L314" i="41"/>
  <c r="M314" i="41" s="1"/>
  <c r="R313" i="41"/>
  <c r="P313" i="41"/>
  <c r="O313" i="41"/>
  <c r="L313" i="41"/>
  <c r="M313" i="41" s="1"/>
  <c r="R312" i="41"/>
  <c r="P312" i="41"/>
  <c r="O312" i="41"/>
  <c r="L312" i="41"/>
  <c r="M312" i="41" s="1"/>
  <c r="R311" i="41"/>
  <c r="P311" i="41"/>
  <c r="O311" i="41"/>
  <c r="M311" i="41"/>
  <c r="L311" i="41"/>
  <c r="R310" i="41"/>
  <c r="P310" i="41"/>
  <c r="O310" i="41"/>
  <c r="M310" i="41"/>
  <c r="L310" i="41"/>
  <c r="R309" i="41"/>
  <c r="P309" i="41"/>
  <c r="O309" i="41"/>
  <c r="L309" i="41"/>
  <c r="M309" i="41" s="1"/>
  <c r="R308" i="41"/>
  <c r="P308" i="41"/>
  <c r="O308" i="41"/>
  <c r="L308" i="41"/>
  <c r="M308" i="41" s="1"/>
  <c r="R307" i="41"/>
  <c r="P307" i="41"/>
  <c r="O307" i="41"/>
  <c r="M307" i="41"/>
  <c r="L307" i="41"/>
  <c r="R306" i="41"/>
  <c r="P306" i="41"/>
  <c r="O306" i="41"/>
  <c r="M306" i="41"/>
  <c r="L306" i="41"/>
  <c r="R305" i="41"/>
  <c r="P305" i="41"/>
  <c r="O305" i="41"/>
  <c r="M305" i="41"/>
  <c r="L305" i="41"/>
  <c r="K305" i="41" s="1"/>
  <c r="R304" i="41"/>
  <c r="P304" i="41"/>
  <c r="O304" i="41"/>
  <c r="L304" i="41"/>
  <c r="M304" i="41" s="1"/>
  <c r="R303" i="41"/>
  <c r="P303" i="41"/>
  <c r="O303" i="41"/>
  <c r="L303" i="41"/>
  <c r="M303" i="41" s="1"/>
  <c r="R302" i="41"/>
  <c r="P302" i="41"/>
  <c r="O302" i="41"/>
  <c r="M302" i="41"/>
  <c r="L302" i="41"/>
  <c r="R301" i="41"/>
  <c r="P301" i="41"/>
  <c r="O301" i="41"/>
  <c r="M301" i="41"/>
  <c r="L301" i="41"/>
  <c r="R300" i="41"/>
  <c r="P300" i="41"/>
  <c r="O300" i="41"/>
  <c r="M300" i="41"/>
  <c r="L300" i="41"/>
  <c r="R299" i="41"/>
  <c r="P299" i="41"/>
  <c r="O299" i="41"/>
  <c r="L299" i="41"/>
  <c r="M299" i="41" s="1"/>
  <c r="R298" i="41"/>
  <c r="P298" i="41"/>
  <c r="O298" i="41"/>
  <c r="L298" i="41"/>
  <c r="M298" i="41" s="1"/>
  <c r="R297" i="41"/>
  <c r="P297" i="41"/>
  <c r="O297" i="41"/>
  <c r="L297" i="41"/>
  <c r="M297" i="41" s="1"/>
  <c r="R296" i="41"/>
  <c r="P296" i="41"/>
  <c r="O296" i="41"/>
  <c r="L296" i="41"/>
  <c r="M296" i="41" s="1"/>
  <c r="R295" i="41"/>
  <c r="P295" i="41"/>
  <c r="O295" i="41"/>
  <c r="M295" i="41"/>
  <c r="L295" i="41"/>
  <c r="R294" i="41"/>
  <c r="P294" i="41"/>
  <c r="O294" i="41"/>
  <c r="L294" i="41"/>
  <c r="M294" i="41" s="1"/>
  <c r="R293" i="41"/>
  <c r="P293" i="41"/>
  <c r="O293" i="41"/>
  <c r="L293" i="41"/>
  <c r="M293" i="41" s="1"/>
  <c r="R292" i="41"/>
  <c r="P292" i="41"/>
  <c r="O292" i="41"/>
  <c r="L292" i="41"/>
  <c r="M292" i="41" s="1"/>
  <c r="R291" i="41"/>
  <c r="P291" i="41"/>
  <c r="O291" i="41"/>
  <c r="L291" i="41"/>
  <c r="M291" i="41" s="1"/>
  <c r="R290" i="41"/>
  <c r="P290" i="41"/>
  <c r="O290" i="41"/>
  <c r="L290" i="41"/>
  <c r="M290" i="41" s="1"/>
  <c r="R289" i="41"/>
  <c r="P289" i="41"/>
  <c r="O289" i="41"/>
  <c r="M289" i="41"/>
  <c r="L289" i="41"/>
  <c r="R288" i="41"/>
  <c r="Q288" i="41"/>
  <c r="P288" i="41"/>
  <c r="O288" i="41"/>
  <c r="M288" i="41"/>
  <c r="L288" i="41"/>
  <c r="R287" i="41"/>
  <c r="P287" i="41"/>
  <c r="O287" i="41"/>
  <c r="L287" i="41"/>
  <c r="M287" i="41" s="1"/>
  <c r="R286" i="41"/>
  <c r="Q286" i="41"/>
  <c r="P286" i="41"/>
  <c r="O286" i="41"/>
  <c r="L286" i="41"/>
  <c r="M286" i="41" s="1"/>
  <c r="R285" i="41"/>
  <c r="P285" i="41"/>
  <c r="O285" i="41"/>
  <c r="L285" i="41"/>
  <c r="M285" i="41" s="1"/>
  <c r="R284" i="41"/>
  <c r="P284" i="41"/>
  <c r="O284" i="41"/>
  <c r="L284" i="41"/>
  <c r="M284" i="41" s="1"/>
  <c r="R283" i="41"/>
  <c r="P283" i="41"/>
  <c r="O283" i="41"/>
  <c r="M283" i="41"/>
  <c r="L283" i="41"/>
  <c r="R282" i="41"/>
  <c r="P282" i="41"/>
  <c r="O282" i="41"/>
  <c r="L282" i="41"/>
  <c r="M282" i="41" s="1"/>
  <c r="R281" i="41"/>
  <c r="P281" i="41"/>
  <c r="O281" i="41"/>
  <c r="L281" i="41"/>
  <c r="M281" i="41" s="1"/>
  <c r="R280" i="41"/>
  <c r="P280" i="41"/>
  <c r="O280" i="41"/>
  <c r="L280" i="41"/>
  <c r="M280" i="41" s="1"/>
  <c r="R279" i="41"/>
  <c r="P279" i="41"/>
  <c r="O279" i="41"/>
  <c r="L279" i="41"/>
  <c r="M279" i="41" s="1"/>
  <c r="R278" i="41"/>
  <c r="P278" i="41"/>
  <c r="O278" i="41"/>
  <c r="L278" i="41"/>
  <c r="M278" i="41" s="1"/>
  <c r="R277" i="41"/>
  <c r="P277" i="41"/>
  <c r="O277" i="41"/>
  <c r="M277" i="41"/>
  <c r="L277" i="41"/>
  <c r="R276" i="41"/>
  <c r="P276" i="41"/>
  <c r="O276" i="41"/>
  <c r="M276" i="41"/>
  <c r="L276" i="41"/>
  <c r="R275" i="41"/>
  <c r="P275" i="41"/>
  <c r="O275" i="41"/>
  <c r="L275" i="41"/>
  <c r="M275" i="41" s="1"/>
  <c r="R274" i="41"/>
  <c r="P274" i="41"/>
  <c r="O274" i="41"/>
  <c r="L274" i="41"/>
  <c r="M274" i="41" s="1"/>
  <c r="R273" i="41"/>
  <c r="P273" i="41"/>
  <c r="O273" i="41"/>
  <c r="M273" i="41"/>
  <c r="L273" i="41"/>
  <c r="R272" i="41"/>
  <c r="P272" i="41"/>
  <c r="O272" i="41"/>
  <c r="M272" i="41"/>
  <c r="L272" i="41"/>
  <c r="R271" i="41"/>
  <c r="P271" i="41"/>
  <c r="O271" i="41"/>
  <c r="M271" i="41"/>
  <c r="L271" i="41"/>
  <c r="R270" i="41"/>
  <c r="P270" i="41"/>
  <c r="O270" i="41"/>
  <c r="L270" i="41"/>
  <c r="M270" i="41" s="1"/>
  <c r="R269" i="41"/>
  <c r="P269" i="41"/>
  <c r="O269" i="41"/>
  <c r="L269" i="41"/>
  <c r="M269" i="41" s="1"/>
  <c r="R268" i="41"/>
  <c r="P268" i="41"/>
  <c r="O268" i="41"/>
  <c r="M268" i="41"/>
  <c r="L268" i="41"/>
  <c r="R267" i="41"/>
  <c r="P267" i="41"/>
  <c r="O267" i="41"/>
  <c r="M267" i="41"/>
  <c r="L267" i="41"/>
  <c r="R266" i="41"/>
  <c r="P266" i="41"/>
  <c r="O266" i="41"/>
  <c r="M266" i="41"/>
  <c r="L266" i="41"/>
  <c r="R265" i="41"/>
  <c r="P265" i="41"/>
  <c r="O265" i="41"/>
  <c r="M265" i="41"/>
  <c r="L265" i="41"/>
  <c r="R264" i="41"/>
  <c r="P264" i="41"/>
  <c r="O264" i="41"/>
  <c r="M264" i="41"/>
  <c r="L264" i="41"/>
  <c r="R263" i="41"/>
  <c r="P263" i="41"/>
  <c r="O263" i="41"/>
  <c r="L263" i="41"/>
  <c r="M263" i="41" s="1"/>
  <c r="R262" i="41"/>
  <c r="P262" i="41"/>
  <c r="O262" i="41"/>
  <c r="L262" i="41"/>
  <c r="M262" i="41" s="1"/>
  <c r="R261" i="41"/>
  <c r="P261" i="41"/>
  <c r="O261" i="41"/>
  <c r="L261" i="41"/>
  <c r="M261" i="41" s="1"/>
  <c r="R260" i="41"/>
  <c r="P260" i="41"/>
  <c r="O260" i="41"/>
  <c r="L260" i="41"/>
  <c r="M260" i="41" s="1"/>
  <c r="R259" i="41"/>
  <c r="P259" i="41"/>
  <c r="O259" i="41"/>
  <c r="M259" i="41"/>
  <c r="L259" i="41"/>
  <c r="R258" i="41"/>
  <c r="P258" i="41"/>
  <c r="O258" i="41"/>
  <c r="L258" i="41"/>
  <c r="M258" i="41" s="1"/>
  <c r="R257" i="41"/>
  <c r="P257" i="41"/>
  <c r="O257" i="41"/>
  <c r="L257" i="41"/>
  <c r="M257" i="41" s="1"/>
  <c r="R256" i="41"/>
  <c r="P256" i="41"/>
  <c r="O256" i="41"/>
  <c r="L256" i="41"/>
  <c r="M256" i="41" s="1"/>
  <c r="R255" i="41"/>
  <c r="P255" i="41"/>
  <c r="O255" i="41"/>
  <c r="L255" i="41"/>
  <c r="M255" i="41" s="1"/>
  <c r="R254" i="41"/>
  <c r="P254" i="41"/>
  <c r="O254" i="41"/>
  <c r="L254" i="41"/>
  <c r="M254" i="41" s="1"/>
  <c r="R253" i="41"/>
  <c r="P253" i="41"/>
  <c r="O253" i="41"/>
  <c r="M253" i="41"/>
  <c r="L253" i="41"/>
  <c r="R252" i="41"/>
  <c r="P252" i="41"/>
  <c r="O252" i="41"/>
  <c r="M252" i="41"/>
  <c r="L252" i="41"/>
  <c r="R251" i="41"/>
  <c r="Q251" i="41"/>
  <c r="P251" i="41"/>
  <c r="O251" i="41"/>
  <c r="L251" i="41"/>
  <c r="M251" i="41" s="1"/>
  <c r="R250" i="41"/>
  <c r="P250" i="41"/>
  <c r="O250" i="41"/>
  <c r="L250" i="41"/>
  <c r="M250" i="41" s="1"/>
  <c r="R249" i="41"/>
  <c r="P249" i="41"/>
  <c r="O249" i="41"/>
  <c r="L249" i="41"/>
  <c r="M249" i="41" s="1"/>
  <c r="R248" i="41"/>
  <c r="P248" i="41"/>
  <c r="O248" i="41"/>
  <c r="L248" i="41"/>
  <c r="M248" i="41" s="1"/>
  <c r="R247" i="41"/>
  <c r="P247" i="41"/>
  <c r="O247" i="41"/>
  <c r="M247" i="41"/>
  <c r="R246" i="41"/>
  <c r="P246" i="41"/>
  <c r="O246" i="41"/>
  <c r="M246" i="41"/>
  <c r="R245" i="41"/>
  <c r="P245" i="41"/>
  <c r="O245" i="41"/>
  <c r="M245" i="41"/>
  <c r="L245" i="41"/>
  <c r="R244" i="41"/>
  <c r="P244" i="41"/>
  <c r="O244" i="41"/>
  <c r="L244" i="41"/>
  <c r="M244" i="41" s="1"/>
  <c r="R243" i="41"/>
  <c r="P243" i="41"/>
  <c r="O243" i="41"/>
  <c r="L243" i="41"/>
  <c r="M243" i="41" s="1"/>
  <c r="R242" i="41"/>
  <c r="P242" i="41"/>
  <c r="O242" i="41"/>
  <c r="L242" i="41"/>
  <c r="M242" i="41" s="1"/>
  <c r="R241" i="41"/>
  <c r="P241" i="41"/>
  <c r="O241" i="41"/>
  <c r="M241" i="41"/>
  <c r="R240" i="41"/>
  <c r="P240" i="41"/>
  <c r="O240" i="41"/>
  <c r="L240" i="41"/>
  <c r="M240" i="41" s="1"/>
  <c r="R239" i="41"/>
  <c r="P239" i="41"/>
  <c r="O239" i="41"/>
  <c r="L239" i="41"/>
  <c r="M239" i="41" s="1"/>
  <c r="R238" i="41"/>
  <c r="P238" i="41"/>
  <c r="O238" i="41"/>
  <c r="M238" i="41"/>
  <c r="L238" i="41"/>
  <c r="R237" i="41"/>
  <c r="P237" i="41"/>
  <c r="O237" i="41"/>
  <c r="L237" i="41"/>
  <c r="M237" i="41" s="1"/>
  <c r="R236" i="41"/>
  <c r="P236" i="41"/>
  <c r="O236" i="41"/>
  <c r="L236" i="41"/>
  <c r="M236" i="41" s="1"/>
  <c r="R235" i="41"/>
  <c r="P235" i="41"/>
  <c r="O235" i="41"/>
  <c r="L235" i="41"/>
  <c r="M235" i="41" s="1"/>
  <c r="K235" i="41"/>
  <c r="R234" i="41"/>
  <c r="P234" i="41"/>
  <c r="O234" i="41"/>
  <c r="M234" i="41"/>
  <c r="R233" i="41"/>
  <c r="P233" i="41"/>
  <c r="O233" i="41"/>
  <c r="L233" i="41"/>
  <c r="M233" i="41" s="1"/>
  <c r="R232" i="41"/>
  <c r="P232" i="41"/>
  <c r="O232" i="41"/>
  <c r="M232" i="41"/>
  <c r="L232" i="41"/>
  <c r="R231" i="41"/>
  <c r="P231" i="41"/>
  <c r="O231" i="41"/>
  <c r="M231" i="41"/>
  <c r="L231" i="41"/>
  <c r="K231" i="41"/>
  <c r="R230" i="41"/>
  <c r="P230" i="41"/>
  <c r="O230" i="41"/>
  <c r="M230" i="41"/>
  <c r="L230" i="41"/>
  <c r="R229" i="41"/>
  <c r="P229" i="41"/>
  <c r="O229" i="41"/>
  <c r="L229" i="41"/>
  <c r="M229" i="41" s="1"/>
  <c r="R228" i="41"/>
  <c r="P228" i="41"/>
  <c r="O228" i="41"/>
  <c r="M228" i="41"/>
  <c r="L228" i="41"/>
  <c r="R227" i="41"/>
  <c r="P227" i="41"/>
  <c r="O227" i="41"/>
  <c r="M227" i="41"/>
  <c r="L227" i="41"/>
  <c r="R226" i="41"/>
  <c r="P226" i="41"/>
  <c r="O226" i="41"/>
  <c r="M226" i="41"/>
  <c r="L226" i="41"/>
  <c r="R225" i="41"/>
  <c r="P225" i="41"/>
  <c r="O225" i="41"/>
  <c r="L225" i="41"/>
  <c r="M225" i="41" s="1"/>
  <c r="R224" i="41"/>
  <c r="P224" i="41"/>
  <c r="O224" i="41"/>
  <c r="L224" i="41"/>
  <c r="M224" i="41" s="1"/>
  <c r="R223" i="41"/>
  <c r="P223" i="41"/>
  <c r="O223" i="41"/>
  <c r="L223" i="41"/>
  <c r="M223" i="41" s="1"/>
  <c r="R222" i="41"/>
  <c r="P222" i="41"/>
  <c r="O222" i="41"/>
  <c r="L222" i="41"/>
  <c r="M222" i="41" s="1"/>
  <c r="R221" i="41"/>
  <c r="P221" i="41"/>
  <c r="O221" i="41"/>
  <c r="L221" i="41"/>
  <c r="M221" i="41" s="1"/>
  <c r="R220" i="41"/>
  <c r="Q220" i="41"/>
  <c r="P220" i="41"/>
  <c r="O220" i="41"/>
  <c r="L220" i="41"/>
  <c r="M220" i="41" s="1"/>
  <c r="R219" i="41"/>
  <c r="P219" i="41"/>
  <c r="O219" i="41"/>
  <c r="L219" i="41"/>
  <c r="M219" i="41" s="1"/>
  <c r="R218" i="41"/>
  <c r="Q218" i="41"/>
  <c r="P218" i="41"/>
  <c r="O218" i="41"/>
  <c r="L218" i="41"/>
  <c r="M218" i="41" s="1"/>
  <c r="R217" i="41"/>
  <c r="P217" i="41"/>
  <c r="O217" i="41"/>
  <c r="L217" i="41"/>
  <c r="M217" i="41" s="1"/>
  <c r="R216" i="41"/>
  <c r="P216" i="41"/>
  <c r="O216" i="41"/>
  <c r="L216" i="41"/>
  <c r="M216" i="41" s="1"/>
  <c r="R215" i="41"/>
  <c r="P215" i="41"/>
  <c r="O215" i="41"/>
  <c r="M215" i="41"/>
  <c r="L215" i="41"/>
  <c r="R214" i="41"/>
  <c r="P214" i="41"/>
  <c r="O214" i="41"/>
  <c r="M214" i="41"/>
  <c r="L214" i="41"/>
  <c r="R213" i="41"/>
  <c r="P213" i="41"/>
  <c r="O213" i="41"/>
  <c r="L213" i="41"/>
  <c r="M213" i="41" s="1"/>
  <c r="R212" i="41"/>
  <c r="P212" i="41"/>
  <c r="O212" i="41"/>
  <c r="L212" i="41"/>
  <c r="M212" i="41" s="1"/>
  <c r="R211" i="41"/>
  <c r="P211" i="41"/>
  <c r="O211" i="41"/>
  <c r="L211" i="41"/>
  <c r="M211" i="41" s="1"/>
  <c r="R210" i="41"/>
  <c r="P210" i="41"/>
  <c r="O210" i="41"/>
  <c r="L210" i="41"/>
  <c r="M210" i="41" s="1"/>
  <c r="R209" i="41"/>
  <c r="P209" i="41"/>
  <c r="O209" i="41"/>
  <c r="L209" i="41"/>
  <c r="M209" i="41" s="1"/>
  <c r="R208" i="41"/>
  <c r="P208" i="41"/>
  <c r="O208" i="41"/>
  <c r="L208" i="41"/>
  <c r="M208" i="41" s="1"/>
  <c r="R207" i="41"/>
  <c r="P207" i="41"/>
  <c r="O207" i="41"/>
  <c r="L207" i="41"/>
  <c r="M207" i="41" s="1"/>
  <c r="R206" i="41"/>
  <c r="P206" i="41"/>
  <c r="O206" i="41"/>
  <c r="L206" i="41"/>
  <c r="M206" i="41" s="1"/>
  <c r="R205" i="41"/>
  <c r="P205" i="41"/>
  <c r="O205" i="41"/>
  <c r="M205" i="41"/>
  <c r="L205" i="41"/>
  <c r="R204" i="41"/>
  <c r="P204" i="41"/>
  <c r="O204" i="41"/>
  <c r="M204" i="41"/>
  <c r="L204" i="41"/>
  <c r="R203" i="41"/>
  <c r="P203" i="41"/>
  <c r="O203" i="41"/>
  <c r="M203" i="41"/>
  <c r="L203" i="41"/>
  <c r="R202" i="41"/>
  <c r="P202" i="41"/>
  <c r="O202" i="41"/>
  <c r="M202" i="41"/>
  <c r="L202" i="41"/>
  <c r="R201" i="41"/>
  <c r="P201" i="41"/>
  <c r="O201" i="41"/>
  <c r="L201" i="41"/>
  <c r="M201" i="41" s="1"/>
  <c r="R200" i="41"/>
  <c r="P200" i="41"/>
  <c r="O200" i="41"/>
  <c r="L200" i="41"/>
  <c r="M200" i="41" s="1"/>
  <c r="R199" i="41"/>
  <c r="P199" i="41"/>
  <c r="O199" i="41"/>
  <c r="L199" i="41"/>
  <c r="M199" i="41" s="1"/>
  <c r="R198" i="41"/>
  <c r="P198" i="41"/>
  <c r="O198" i="41"/>
  <c r="L198" i="41"/>
  <c r="M198" i="41" s="1"/>
  <c r="R197" i="41"/>
  <c r="P197" i="41"/>
  <c r="O197" i="41"/>
  <c r="L197" i="41"/>
  <c r="M197" i="41" s="1"/>
  <c r="R196" i="41"/>
  <c r="P196" i="41"/>
  <c r="O196" i="41"/>
  <c r="L196" i="41"/>
  <c r="M196" i="41" s="1"/>
  <c r="R195" i="41"/>
  <c r="P195" i="41"/>
  <c r="O195" i="41"/>
  <c r="L195" i="41"/>
  <c r="M195" i="41" s="1"/>
  <c r="R194" i="41"/>
  <c r="P194" i="41"/>
  <c r="O194" i="41"/>
  <c r="L194" i="41"/>
  <c r="M194" i="41" s="1"/>
  <c r="R193" i="41"/>
  <c r="Q193" i="41"/>
  <c r="P193" i="41"/>
  <c r="O193" i="41"/>
  <c r="L193" i="41"/>
  <c r="M193" i="41" s="1"/>
  <c r="R192" i="41"/>
  <c r="P192" i="41"/>
  <c r="O192" i="41"/>
  <c r="L192" i="41"/>
  <c r="M192" i="41" s="1"/>
  <c r="R191" i="41"/>
  <c r="P191" i="41"/>
  <c r="O191" i="41"/>
  <c r="M191" i="41"/>
  <c r="L191" i="41"/>
  <c r="R190" i="41"/>
  <c r="P190" i="41"/>
  <c r="O190" i="41"/>
  <c r="M190" i="41"/>
  <c r="L190" i="41"/>
  <c r="R189" i="41"/>
  <c r="P189" i="41"/>
  <c r="O189" i="41"/>
  <c r="L189" i="41"/>
  <c r="M189" i="41" s="1"/>
  <c r="R188" i="41"/>
  <c r="P188" i="41"/>
  <c r="O188" i="41"/>
  <c r="L188" i="41"/>
  <c r="M188" i="41" s="1"/>
  <c r="R187" i="41"/>
  <c r="P187" i="41"/>
  <c r="O187" i="41"/>
  <c r="L187" i="41"/>
  <c r="M187" i="41" s="1"/>
  <c r="R186" i="41"/>
  <c r="P186" i="41"/>
  <c r="O186" i="41"/>
  <c r="L186" i="41"/>
  <c r="M186" i="41" s="1"/>
  <c r="R185" i="41"/>
  <c r="P185" i="41"/>
  <c r="O185" i="41"/>
  <c r="L185" i="41"/>
  <c r="M185" i="41" s="1"/>
  <c r="R184" i="41"/>
  <c r="P184" i="41"/>
  <c r="O184" i="41"/>
  <c r="L184" i="41"/>
  <c r="M184" i="41" s="1"/>
  <c r="R183" i="41"/>
  <c r="P183" i="41"/>
  <c r="O183" i="41"/>
  <c r="L183" i="41"/>
  <c r="M183" i="41" s="1"/>
  <c r="R182" i="41"/>
  <c r="P182" i="41"/>
  <c r="O182" i="41"/>
  <c r="L182" i="41"/>
  <c r="M182" i="41" s="1"/>
  <c r="R181" i="41"/>
  <c r="P181" i="41"/>
  <c r="O181" i="41"/>
  <c r="M181" i="41"/>
  <c r="L181" i="41"/>
  <c r="R180" i="41"/>
  <c r="P180" i="41"/>
  <c r="O180" i="41"/>
  <c r="L180" i="41"/>
  <c r="M180" i="41" s="1"/>
  <c r="R179" i="41"/>
  <c r="P179" i="41"/>
  <c r="O179" i="41"/>
  <c r="M179" i="41"/>
  <c r="L179" i="41"/>
  <c r="R178" i="41"/>
  <c r="Q178" i="41"/>
  <c r="P178" i="41"/>
  <c r="O178" i="41"/>
  <c r="M178" i="41"/>
  <c r="L178" i="41"/>
  <c r="R177" i="41"/>
  <c r="P177" i="41"/>
  <c r="O177" i="41"/>
  <c r="L177" i="41"/>
  <c r="M177" i="41" s="1"/>
  <c r="R176" i="41"/>
  <c r="P176" i="41"/>
  <c r="O176" i="41"/>
  <c r="L176" i="41"/>
  <c r="M176" i="41" s="1"/>
  <c r="R175" i="41"/>
  <c r="P175" i="41"/>
  <c r="O175" i="41"/>
  <c r="L175" i="41"/>
  <c r="M175" i="41" s="1"/>
  <c r="R174" i="41"/>
  <c r="P174" i="41"/>
  <c r="O174" i="41"/>
  <c r="L174" i="41"/>
  <c r="M174" i="41" s="1"/>
  <c r="R173" i="41"/>
  <c r="P173" i="41"/>
  <c r="O173" i="41"/>
  <c r="L173" i="41"/>
  <c r="M173" i="41" s="1"/>
  <c r="R172" i="41"/>
  <c r="P172" i="41"/>
  <c r="O172" i="41"/>
  <c r="L172" i="41"/>
  <c r="M172" i="41" s="1"/>
  <c r="R171" i="41"/>
  <c r="P171" i="41"/>
  <c r="O171" i="41"/>
  <c r="L171" i="41"/>
  <c r="M171" i="41" s="1"/>
  <c r="R170" i="41"/>
  <c r="P170" i="41"/>
  <c r="O170" i="41"/>
  <c r="L170" i="41"/>
  <c r="M170" i="41" s="1"/>
  <c r="R169" i="41"/>
  <c r="P169" i="41"/>
  <c r="O169" i="41"/>
  <c r="M169" i="41"/>
  <c r="L169" i="41"/>
  <c r="R168" i="41"/>
  <c r="P168" i="41"/>
  <c r="O168" i="41"/>
  <c r="M168" i="41"/>
  <c r="R167" i="41"/>
  <c r="P167" i="41"/>
  <c r="O167" i="41"/>
  <c r="M167" i="41"/>
  <c r="L167" i="41"/>
  <c r="R166" i="41"/>
  <c r="P166" i="41"/>
  <c r="O166" i="41"/>
  <c r="M166" i="41"/>
  <c r="L166" i="41"/>
  <c r="R165" i="41"/>
  <c r="P165" i="41"/>
  <c r="O165" i="41"/>
  <c r="L165" i="41"/>
  <c r="M165" i="41" s="1"/>
  <c r="R164" i="41"/>
  <c r="P164" i="41"/>
  <c r="O164" i="41"/>
  <c r="L164" i="41"/>
  <c r="M164" i="41" s="1"/>
  <c r="R163" i="41"/>
  <c r="P163" i="41"/>
  <c r="O163" i="41"/>
  <c r="M163" i="41"/>
  <c r="L163" i="41"/>
  <c r="R162" i="41"/>
  <c r="P162" i="41"/>
  <c r="O162" i="41"/>
  <c r="M162" i="41"/>
  <c r="L162" i="41"/>
  <c r="R161" i="41"/>
  <c r="P161" i="41"/>
  <c r="O161" i="41"/>
  <c r="L161" i="41"/>
  <c r="M161" i="41" s="1"/>
  <c r="R160" i="41"/>
  <c r="P160" i="41"/>
  <c r="O160" i="41"/>
  <c r="M160" i="41"/>
  <c r="L160" i="41"/>
  <c r="R159" i="41"/>
  <c r="P159" i="41"/>
  <c r="O159" i="41"/>
  <c r="M159" i="41"/>
  <c r="L159" i="41"/>
  <c r="R158" i="41"/>
  <c r="P158" i="41"/>
  <c r="O158" i="41"/>
  <c r="L158" i="41"/>
  <c r="M158" i="41" s="1"/>
  <c r="R157" i="41"/>
  <c r="P157" i="41"/>
  <c r="O157" i="41"/>
  <c r="M157" i="41"/>
  <c r="L157" i="41"/>
  <c r="R156" i="41"/>
  <c r="P156" i="41"/>
  <c r="O156" i="41"/>
  <c r="M156" i="41"/>
  <c r="L156" i="41"/>
  <c r="R155" i="41"/>
  <c r="P155" i="41"/>
  <c r="O155" i="41"/>
  <c r="M155" i="41"/>
  <c r="R154" i="41"/>
  <c r="P154" i="41"/>
  <c r="O154" i="41"/>
  <c r="M154" i="41"/>
  <c r="L154" i="41"/>
  <c r="R153" i="41"/>
  <c r="P153" i="41"/>
  <c r="O153" i="41"/>
  <c r="M153" i="41"/>
  <c r="C776" i="41" s="1"/>
  <c r="R152" i="41"/>
  <c r="P152" i="41"/>
  <c r="O152" i="41"/>
  <c r="M152" i="41"/>
  <c r="L152" i="41"/>
  <c r="R151" i="41"/>
  <c r="P151" i="41"/>
  <c r="O151" i="41"/>
  <c r="L151" i="41"/>
  <c r="M151" i="41" s="1"/>
  <c r="R150" i="41"/>
  <c r="P150" i="41"/>
  <c r="O150" i="41"/>
  <c r="L150" i="41"/>
  <c r="M150" i="41" s="1"/>
  <c r="R149" i="41"/>
  <c r="P149" i="41"/>
  <c r="O149" i="41"/>
  <c r="L149" i="41"/>
  <c r="M149" i="41" s="1"/>
  <c r="R148" i="41"/>
  <c r="P148" i="41"/>
  <c r="O148" i="41"/>
  <c r="L148" i="41"/>
  <c r="M148" i="41" s="1"/>
  <c r="R147" i="41"/>
  <c r="P147" i="41"/>
  <c r="O147" i="41"/>
  <c r="L147" i="41"/>
  <c r="M147" i="41" s="1"/>
  <c r="R146" i="41"/>
  <c r="Q146" i="41"/>
  <c r="P146" i="41"/>
  <c r="O146" i="41"/>
  <c r="M146" i="41"/>
  <c r="L146" i="41"/>
  <c r="R145" i="41"/>
  <c r="Q145" i="41"/>
  <c r="P145" i="41"/>
  <c r="O145" i="41"/>
  <c r="M145" i="41"/>
  <c r="L145" i="41"/>
  <c r="R144" i="41"/>
  <c r="P144" i="41"/>
  <c r="O144" i="41"/>
  <c r="M144" i="41"/>
  <c r="L144" i="41"/>
  <c r="R143" i="41"/>
  <c r="P143" i="41"/>
  <c r="O143" i="41"/>
  <c r="M143" i="41"/>
  <c r="L143" i="41"/>
  <c r="R142" i="41"/>
  <c r="P142" i="41"/>
  <c r="O142" i="41"/>
  <c r="L142" i="41"/>
  <c r="M142" i="41" s="1"/>
  <c r="R141" i="41"/>
  <c r="P141" i="41"/>
  <c r="O141" i="41"/>
  <c r="M141" i="41"/>
  <c r="L141" i="41"/>
  <c r="R140" i="41"/>
  <c r="P140" i="41"/>
  <c r="O140" i="41"/>
  <c r="L140" i="41"/>
  <c r="M140" i="41" s="1"/>
  <c r="R139" i="41"/>
  <c r="P139" i="41"/>
  <c r="O139" i="41"/>
  <c r="L139" i="41"/>
  <c r="M139" i="41" s="1"/>
  <c r="R138" i="41"/>
  <c r="P138" i="41"/>
  <c r="O138" i="41"/>
  <c r="L138" i="41"/>
  <c r="M138" i="41" s="1"/>
  <c r="R137" i="41"/>
  <c r="P137" i="41"/>
  <c r="O137" i="41"/>
  <c r="M137" i="41"/>
  <c r="L137" i="41"/>
  <c r="R136" i="41"/>
  <c r="P136" i="41"/>
  <c r="O136" i="41"/>
  <c r="M136" i="41"/>
  <c r="L136" i="41"/>
  <c r="R135" i="41"/>
  <c r="P135" i="41"/>
  <c r="O135" i="41"/>
  <c r="L135" i="41"/>
  <c r="M135" i="41" s="1"/>
  <c r="R134" i="41"/>
  <c r="P134" i="41"/>
  <c r="O134" i="41"/>
  <c r="M134" i="41"/>
  <c r="L134" i="41"/>
  <c r="R133" i="41"/>
  <c r="P133" i="41"/>
  <c r="O133" i="41"/>
  <c r="M133" i="41"/>
  <c r="L133" i="41"/>
  <c r="R132" i="41"/>
  <c r="P132" i="41"/>
  <c r="O132" i="41"/>
  <c r="L132" i="41"/>
  <c r="M132" i="41" s="1"/>
  <c r="R131" i="41"/>
  <c r="P131" i="41"/>
  <c r="O131" i="41"/>
  <c r="L131" i="41"/>
  <c r="M131" i="41" s="1"/>
  <c r="R130" i="41"/>
  <c r="P130" i="41"/>
  <c r="O130" i="41"/>
  <c r="M130" i="41"/>
  <c r="L130" i="41"/>
  <c r="R129" i="41"/>
  <c r="P129" i="41"/>
  <c r="O129" i="41"/>
  <c r="L129" i="41"/>
  <c r="M129" i="41" s="1"/>
  <c r="R128" i="41"/>
  <c r="P128" i="41"/>
  <c r="O128" i="41"/>
  <c r="M128" i="41"/>
  <c r="L128" i="41"/>
  <c r="R127" i="41"/>
  <c r="P127" i="41"/>
  <c r="O127" i="41"/>
  <c r="L127" i="41"/>
  <c r="M127" i="41" s="1"/>
  <c r="R126" i="41"/>
  <c r="P126" i="41"/>
  <c r="O126" i="41"/>
  <c r="L126" i="41"/>
  <c r="M126" i="41" s="1"/>
  <c r="R125" i="41"/>
  <c r="P125" i="41"/>
  <c r="O125" i="41"/>
  <c r="L125" i="41"/>
  <c r="M125" i="41" s="1"/>
  <c r="R124" i="41"/>
  <c r="P124" i="41"/>
  <c r="O124" i="41"/>
  <c r="L124" i="41"/>
  <c r="M124" i="41" s="1"/>
  <c r="R123" i="41"/>
  <c r="P123" i="41"/>
  <c r="O123" i="41"/>
  <c r="L123" i="41"/>
  <c r="M123" i="41" s="1"/>
  <c r="R122" i="41"/>
  <c r="Q122" i="41"/>
  <c r="P122" i="41"/>
  <c r="O122" i="41"/>
  <c r="M122" i="41"/>
  <c r="L122" i="41"/>
  <c r="R121" i="41"/>
  <c r="Q121" i="41"/>
  <c r="P121" i="41"/>
  <c r="O121" i="41"/>
  <c r="M121" i="41"/>
  <c r="L121" i="41"/>
  <c r="R120" i="41"/>
  <c r="P120" i="41"/>
  <c r="O120" i="41"/>
  <c r="M120" i="41"/>
  <c r="L120" i="41"/>
  <c r="R119" i="41"/>
  <c r="P119" i="41"/>
  <c r="O119" i="41"/>
  <c r="M119" i="41"/>
  <c r="L119" i="41"/>
  <c r="R118" i="41"/>
  <c r="P118" i="41"/>
  <c r="O118" i="41"/>
  <c r="L118" i="41"/>
  <c r="M118" i="41" s="1"/>
  <c r="R117" i="41"/>
  <c r="P117" i="41"/>
  <c r="O117" i="41"/>
  <c r="M117" i="41"/>
  <c r="L117" i="41"/>
  <c r="R116" i="41"/>
  <c r="P116" i="41"/>
  <c r="O116" i="41"/>
  <c r="L116" i="41"/>
  <c r="M116" i="41" s="1"/>
  <c r="R115" i="41"/>
  <c r="P115" i="41"/>
  <c r="O115" i="41"/>
  <c r="L115" i="41"/>
  <c r="M115" i="41" s="1"/>
  <c r="R114" i="41"/>
  <c r="P114" i="41"/>
  <c r="O114" i="41"/>
  <c r="L114" i="41"/>
  <c r="M114" i="41" s="1"/>
  <c r="R113" i="41"/>
  <c r="Q113" i="41"/>
  <c r="P113" i="41"/>
  <c r="O113" i="41"/>
  <c r="L113" i="41"/>
  <c r="M113" i="41" s="1"/>
  <c r="R112" i="41"/>
  <c r="Q112" i="41"/>
  <c r="P112" i="41"/>
  <c r="O112" i="41"/>
  <c r="M112" i="41"/>
  <c r="L112" i="41"/>
  <c r="R111" i="41"/>
  <c r="P111" i="41"/>
  <c r="O111" i="41"/>
  <c r="L111" i="41"/>
  <c r="M111" i="41" s="1"/>
  <c r="R110" i="41"/>
  <c r="P110" i="41"/>
  <c r="O110" i="41"/>
  <c r="M110" i="41"/>
  <c r="L110" i="41"/>
  <c r="R109" i="41"/>
  <c r="P109" i="41"/>
  <c r="O109" i="41"/>
  <c r="M109" i="41"/>
  <c r="L109" i="41"/>
  <c r="R108" i="41"/>
  <c r="P108" i="41"/>
  <c r="O108" i="41"/>
  <c r="L108" i="41"/>
  <c r="M108" i="41" s="1"/>
  <c r="R107" i="41"/>
  <c r="P107" i="41"/>
  <c r="O107" i="41"/>
  <c r="L107" i="41"/>
  <c r="M107" i="41" s="1"/>
  <c r="R106" i="41"/>
  <c r="P106" i="41"/>
  <c r="O106" i="41"/>
  <c r="M106" i="41"/>
  <c r="L106" i="41"/>
  <c r="R105" i="41"/>
  <c r="P105" i="41"/>
  <c r="O105" i="41"/>
  <c r="L105" i="41"/>
  <c r="M105" i="41" s="1"/>
  <c r="R104" i="41"/>
  <c r="P104" i="41"/>
  <c r="O104" i="41"/>
  <c r="L104" i="41"/>
  <c r="M104" i="41" s="1"/>
  <c r="R103" i="41"/>
  <c r="P103" i="41"/>
  <c r="O103" i="41"/>
  <c r="L103" i="41"/>
  <c r="M103" i="41" s="1"/>
  <c r="R102" i="41"/>
  <c r="P102" i="41"/>
  <c r="O102" i="41"/>
  <c r="L102" i="41"/>
  <c r="M102" i="41" s="1"/>
  <c r="R101" i="41"/>
  <c r="Q101" i="41"/>
  <c r="P101" i="41"/>
  <c r="O101" i="41"/>
  <c r="L101" i="41"/>
  <c r="M101" i="41" s="1"/>
  <c r="R100" i="41"/>
  <c r="Q100" i="41"/>
  <c r="P100" i="41"/>
  <c r="O100" i="41"/>
  <c r="M100" i="41"/>
  <c r="L100" i="41"/>
  <c r="R99" i="41"/>
  <c r="P99" i="41"/>
  <c r="O99" i="41"/>
  <c r="L99" i="41"/>
  <c r="M99" i="41" s="1"/>
  <c r="R98" i="41"/>
  <c r="P98" i="41"/>
  <c r="O98" i="41"/>
  <c r="M98" i="41"/>
  <c r="L98" i="41"/>
  <c r="R97" i="41"/>
  <c r="P97" i="41"/>
  <c r="O97" i="41"/>
  <c r="M97" i="41"/>
  <c r="L97" i="41"/>
  <c r="R96" i="41"/>
  <c r="P96" i="41"/>
  <c r="O96" i="41"/>
  <c r="L96" i="41"/>
  <c r="M96" i="41" s="1"/>
  <c r="R95" i="41"/>
  <c r="P95" i="41"/>
  <c r="O95" i="41"/>
  <c r="L95" i="41"/>
  <c r="M95" i="41" s="1"/>
  <c r="R94" i="41"/>
  <c r="P94" i="41"/>
  <c r="O94" i="41"/>
  <c r="M94" i="41"/>
  <c r="L94" i="41"/>
  <c r="R93" i="41"/>
  <c r="P93" i="41"/>
  <c r="O93" i="41"/>
  <c r="L93" i="41"/>
  <c r="M93" i="41" s="1"/>
  <c r="R92" i="41"/>
  <c r="P92" i="41"/>
  <c r="O92" i="41"/>
  <c r="L92" i="41"/>
  <c r="M92" i="41" s="1"/>
  <c r="R91" i="41"/>
  <c r="P91" i="41"/>
  <c r="O91" i="41"/>
  <c r="L91" i="41"/>
  <c r="M91" i="41" s="1"/>
  <c r="R90" i="41"/>
  <c r="P90" i="41"/>
  <c r="O90" i="41"/>
  <c r="L90" i="41"/>
  <c r="M90" i="41" s="1"/>
  <c r="R89" i="41"/>
  <c r="Q89" i="41"/>
  <c r="P89" i="41"/>
  <c r="O89" i="41"/>
  <c r="L89" i="41"/>
  <c r="M89" i="41" s="1"/>
  <c r="R88" i="41"/>
  <c r="Q88" i="41"/>
  <c r="P88" i="41"/>
  <c r="O88" i="41"/>
  <c r="M88" i="41"/>
  <c r="L88" i="41"/>
  <c r="R87" i="41"/>
  <c r="P87" i="41"/>
  <c r="O87" i="41"/>
  <c r="L87" i="41"/>
  <c r="M87" i="41" s="1"/>
  <c r="R86" i="41"/>
  <c r="P86" i="41"/>
  <c r="O86" i="41"/>
  <c r="M86" i="41"/>
  <c r="L86" i="41"/>
  <c r="R85" i="41"/>
  <c r="P85" i="41"/>
  <c r="O85" i="41"/>
  <c r="M85" i="41"/>
  <c r="L85" i="41"/>
  <c r="R84" i="41"/>
  <c r="P84" i="41"/>
  <c r="O84" i="41"/>
  <c r="L84" i="41"/>
  <c r="M84" i="41" s="1"/>
  <c r="R83" i="41"/>
  <c r="P83" i="41"/>
  <c r="O83" i="41"/>
  <c r="L83" i="41"/>
  <c r="M83" i="41" s="1"/>
  <c r="R82" i="41"/>
  <c r="P82" i="41"/>
  <c r="O82" i="41"/>
  <c r="M82" i="41"/>
  <c r="L82" i="41"/>
  <c r="R81" i="41"/>
  <c r="P81" i="41"/>
  <c r="O81" i="41"/>
  <c r="L81" i="41"/>
  <c r="M81" i="41" s="1"/>
  <c r="R80" i="41"/>
  <c r="P80" i="41"/>
  <c r="O80" i="41"/>
  <c r="L80" i="41"/>
  <c r="M80" i="41" s="1"/>
  <c r="R79" i="41"/>
  <c r="P79" i="41"/>
  <c r="O79" i="41"/>
  <c r="L79" i="41"/>
  <c r="M79" i="41" s="1"/>
  <c r="R78" i="41"/>
  <c r="P78" i="41"/>
  <c r="O78" i="41"/>
  <c r="L78" i="41"/>
  <c r="M78" i="41" s="1"/>
  <c r="R77" i="41"/>
  <c r="Q77" i="41"/>
  <c r="P77" i="41"/>
  <c r="O77" i="41"/>
  <c r="L77" i="41"/>
  <c r="M77" i="41" s="1"/>
  <c r="R76" i="41"/>
  <c r="Q76" i="41"/>
  <c r="P76" i="41"/>
  <c r="O76" i="41"/>
  <c r="L76" i="41"/>
  <c r="M76" i="41" s="1"/>
  <c r="R75" i="41"/>
  <c r="P75" i="41"/>
  <c r="O75" i="41"/>
  <c r="L75" i="41"/>
  <c r="M75" i="41" s="1"/>
  <c r="R74" i="41"/>
  <c r="P74" i="41"/>
  <c r="O74" i="41"/>
  <c r="M74" i="41"/>
  <c r="L74" i="41"/>
  <c r="R73" i="41"/>
  <c r="P73" i="41"/>
  <c r="O73" i="41"/>
  <c r="M73" i="41"/>
  <c r="L73" i="41"/>
  <c r="R72" i="41"/>
  <c r="P72" i="41"/>
  <c r="O72" i="41"/>
  <c r="L72" i="41"/>
  <c r="M72" i="41" s="1"/>
  <c r="R71" i="41"/>
  <c r="P71" i="41"/>
  <c r="O71" i="41"/>
  <c r="L71" i="41"/>
  <c r="M71" i="41" s="1"/>
  <c r="R70" i="41"/>
  <c r="P70" i="41"/>
  <c r="O70" i="41"/>
  <c r="M70" i="41"/>
  <c r="L70" i="41"/>
  <c r="R69" i="41"/>
  <c r="P69" i="41"/>
  <c r="O69" i="41"/>
  <c r="L69" i="41"/>
  <c r="M69" i="41" s="1"/>
  <c r="R68" i="41"/>
  <c r="P68" i="41"/>
  <c r="O68" i="41"/>
  <c r="L68" i="41"/>
  <c r="M68" i="41" s="1"/>
  <c r="R67" i="41"/>
  <c r="P67" i="41"/>
  <c r="O67" i="41"/>
  <c r="L67" i="41"/>
  <c r="M67" i="41" s="1"/>
  <c r="R66" i="41"/>
  <c r="P66" i="41"/>
  <c r="O66" i="41"/>
  <c r="L66" i="41"/>
  <c r="M66" i="41" s="1"/>
  <c r="R65" i="41"/>
  <c r="Q65" i="41"/>
  <c r="P65" i="41"/>
  <c r="O65" i="41"/>
  <c r="L65" i="41"/>
  <c r="M65" i="41" s="1"/>
  <c r="R64" i="41"/>
  <c r="Q64" i="41"/>
  <c r="P64" i="41"/>
  <c r="O64" i="41"/>
  <c r="L64" i="41"/>
  <c r="M64" i="41" s="1"/>
  <c r="R63" i="41"/>
  <c r="P63" i="41"/>
  <c r="O63" i="41"/>
  <c r="L63" i="41"/>
  <c r="M63" i="41" s="1"/>
  <c r="R62" i="41"/>
  <c r="P62" i="41"/>
  <c r="O62" i="41"/>
  <c r="M62" i="41"/>
  <c r="L62" i="41"/>
  <c r="R61" i="41"/>
  <c r="P61" i="41"/>
  <c r="O61" i="41"/>
  <c r="M61" i="41"/>
  <c r="L61" i="41"/>
  <c r="R60" i="41"/>
  <c r="P60" i="41"/>
  <c r="O60" i="41"/>
  <c r="L60" i="41"/>
  <c r="M60" i="41" s="1"/>
  <c r="R59" i="41"/>
  <c r="P59" i="41"/>
  <c r="O59" i="41"/>
  <c r="L59" i="41"/>
  <c r="M59" i="41" s="1"/>
  <c r="R58" i="41"/>
  <c r="P58" i="41"/>
  <c r="O58" i="41"/>
  <c r="M58" i="41"/>
  <c r="L58" i="41"/>
  <c r="R57" i="41"/>
  <c r="P57" i="41"/>
  <c r="O57" i="41"/>
  <c r="L57" i="41"/>
  <c r="M57" i="41" s="1"/>
  <c r="R56" i="41"/>
  <c r="P56" i="41"/>
  <c r="O56" i="41"/>
  <c r="L56" i="41"/>
  <c r="M56" i="41" s="1"/>
  <c r="R55" i="41"/>
  <c r="P55" i="41"/>
  <c r="O55" i="41"/>
  <c r="L55" i="41"/>
  <c r="M55" i="41" s="1"/>
  <c r="R54" i="41"/>
  <c r="P54" i="41"/>
  <c r="O54" i="41"/>
  <c r="L54" i="41"/>
  <c r="M54" i="41" s="1"/>
  <c r="R53" i="41"/>
  <c r="Q53" i="41"/>
  <c r="P53" i="41"/>
  <c r="O53" i="41"/>
  <c r="L53" i="41"/>
  <c r="M53" i="41" s="1"/>
  <c r="R52" i="41"/>
  <c r="Q52" i="41"/>
  <c r="P52" i="41"/>
  <c r="O52" i="41"/>
  <c r="L52" i="41"/>
  <c r="M52" i="41" s="1"/>
  <c r="R51" i="41"/>
  <c r="P51" i="41"/>
  <c r="O51" i="41"/>
  <c r="L51" i="41"/>
  <c r="M51" i="41" s="1"/>
  <c r="R50" i="41"/>
  <c r="P50" i="41"/>
  <c r="O50" i="41"/>
  <c r="M50" i="41"/>
  <c r="L50" i="41"/>
  <c r="R49" i="41"/>
  <c r="P49" i="41"/>
  <c r="O49" i="41"/>
  <c r="M49" i="41"/>
  <c r="L49" i="41"/>
  <c r="R48" i="41"/>
  <c r="P48" i="41"/>
  <c r="O48" i="41"/>
  <c r="L48" i="41"/>
  <c r="M48" i="41" s="1"/>
  <c r="R47" i="41"/>
  <c r="P47" i="41"/>
  <c r="O47" i="41"/>
  <c r="L47" i="41"/>
  <c r="M47" i="41" s="1"/>
  <c r="R46" i="41"/>
  <c r="P46" i="41"/>
  <c r="O46" i="41"/>
  <c r="M46" i="41"/>
  <c r="L46" i="41"/>
  <c r="R45" i="41"/>
  <c r="P45" i="41"/>
  <c r="O45" i="41"/>
  <c r="L45" i="41"/>
  <c r="M45" i="41" s="1"/>
  <c r="R44" i="41"/>
  <c r="P44" i="41"/>
  <c r="O44" i="41"/>
  <c r="L44" i="41"/>
  <c r="M44" i="41" s="1"/>
  <c r="R43" i="41"/>
  <c r="P43" i="41"/>
  <c r="O43" i="41"/>
  <c r="L43" i="41"/>
  <c r="M43" i="41" s="1"/>
  <c r="R42" i="41"/>
  <c r="P42" i="41"/>
  <c r="O42" i="41"/>
  <c r="L42" i="41"/>
  <c r="M42" i="41" s="1"/>
  <c r="R41" i="41"/>
  <c r="Q41" i="41"/>
  <c r="P41" i="41"/>
  <c r="O41" i="41"/>
  <c r="L41" i="41"/>
  <c r="M41" i="41" s="1"/>
  <c r="R40" i="41"/>
  <c r="Q40" i="41"/>
  <c r="P40" i="41"/>
  <c r="O40" i="41"/>
  <c r="L40" i="41"/>
  <c r="M40" i="41" s="1"/>
  <c r="R39" i="41"/>
  <c r="P39" i="41"/>
  <c r="O39" i="41"/>
  <c r="L39" i="41"/>
  <c r="M39" i="41" s="1"/>
  <c r="R38" i="41"/>
  <c r="P38" i="41"/>
  <c r="O38" i="41"/>
  <c r="M38" i="41"/>
  <c r="L38" i="41"/>
  <c r="R37" i="41"/>
  <c r="P37" i="41"/>
  <c r="O37" i="41"/>
  <c r="M37" i="41"/>
  <c r="L37" i="41"/>
  <c r="R36" i="41"/>
  <c r="P36" i="41"/>
  <c r="O36" i="41"/>
  <c r="L36" i="41"/>
  <c r="M36" i="41" s="1"/>
  <c r="R35" i="41"/>
  <c r="P35" i="41"/>
  <c r="O35" i="41"/>
  <c r="L35" i="41"/>
  <c r="M35" i="41" s="1"/>
  <c r="R34" i="41"/>
  <c r="P34" i="41"/>
  <c r="O34" i="41"/>
  <c r="M34" i="41"/>
  <c r="L34" i="41"/>
  <c r="R33" i="41"/>
  <c r="P33" i="41"/>
  <c r="O33" i="41"/>
  <c r="L33" i="41"/>
  <c r="M33" i="41" s="1"/>
  <c r="R32" i="41"/>
  <c r="P32" i="41"/>
  <c r="O32" i="41"/>
  <c r="L32" i="41"/>
  <c r="M32" i="41" s="1"/>
  <c r="R31" i="41"/>
  <c r="P31" i="41"/>
  <c r="O31" i="41"/>
  <c r="L31" i="41"/>
  <c r="M31" i="41" s="1"/>
  <c r="R30" i="41"/>
  <c r="P30" i="41"/>
  <c r="O30" i="41"/>
  <c r="L30" i="41"/>
  <c r="M30" i="41" s="1"/>
  <c r="R29" i="41"/>
  <c r="Q29" i="41"/>
  <c r="P29" i="41"/>
  <c r="O29" i="41"/>
  <c r="L29" i="41"/>
  <c r="M29" i="41" s="1"/>
  <c r="R28" i="41"/>
  <c r="Q28" i="41"/>
  <c r="P28" i="41"/>
  <c r="O28" i="41"/>
  <c r="L28" i="41"/>
  <c r="M28" i="41" s="1"/>
  <c r="R27" i="41"/>
  <c r="P27" i="41"/>
  <c r="O27" i="41"/>
  <c r="L27" i="41"/>
  <c r="M27" i="41" s="1"/>
  <c r="R26" i="41"/>
  <c r="P26" i="41"/>
  <c r="O26" i="41"/>
  <c r="M26" i="41"/>
  <c r="L26" i="41"/>
  <c r="R25" i="41"/>
  <c r="P25" i="41"/>
  <c r="O25" i="41"/>
  <c r="M25" i="41"/>
  <c r="L25" i="41"/>
  <c r="R24" i="41"/>
  <c r="P24" i="41"/>
  <c r="O24" i="41"/>
  <c r="L24" i="41"/>
  <c r="M24" i="41" s="1"/>
  <c r="R23" i="41"/>
  <c r="P23" i="41"/>
  <c r="O23" i="41"/>
  <c r="L23" i="41"/>
  <c r="A10" i="41"/>
  <c r="A11" i="41" s="1"/>
  <c r="A12" i="41" s="1"/>
  <c r="A13" i="41" s="1"/>
  <c r="A14" i="41" s="1"/>
  <c r="A15" i="41" s="1"/>
  <c r="A16" i="41" s="1"/>
  <c r="A17" i="41" s="1"/>
  <c r="A18" i="41" s="1"/>
  <c r="A19" i="41" s="1"/>
  <c r="A20" i="41" s="1"/>
  <c r="A21" i="41" s="1"/>
  <c r="A22" i="41" s="1"/>
  <c r="A23" i="41" s="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A58" i="41" s="1"/>
  <c r="A59" i="41" s="1"/>
  <c r="A60" i="41" s="1"/>
  <c r="A61" i="41" s="1"/>
  <c r="A62" i="41" s="1"/>
  <c r="A63" i="41" s="1"/>
  <c r="A64" i="41" s="1"/>
  <c r="A65" i="41" s="1"/>
  <c r="A66" i="41" s="1"/>
  <c r="A67" i="41" s="1"/>
  <c r="A68" i="41" s="1"/>
  <c r="A69" i="41" s="1"/>
  <c r="A70" i="41" s="1"/>
  <c r="A71" i="41" s="1"/>
  <c r="A72" i="41" s="1"/>
  <c r="A73" i="41" s="1"/>
  <c r="A74" i="41" s="1"/>
  <c r="A75" i="41" s="1"/>
  <c r="A76" i="41" s="1"/>
  <c r="A77" i="41" s="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A120" i="41" s="1"/>
  <c r="A121" i="41" s="1"/>
  <c r="A122" i="41" s="1"/>
  <c r="A123" i="41" s="1"/>
  <c r="A124" i="41" s="1"/>
  <c r="A125" i="41" s="1"/>
  <c r="A126" i="41" s="1"/>
  <c r="A127" i="41" s="1"/>
  <c r="A128" i="41" s="1"/>
  <c r="A129" i="41" s="1"/>
  <c r="A130" i="41" s="1"/>
  <c r="A131" i="41" s="1"/>
  <c r="A132" i="41" s="1"/>
  <c r="A133" i="41" s="1"/>
  <c r="A134" i="41" s="1"/>
  <c r="A135" i="41" s="1"/>
  <c r="A136" i="41" s="1"/>
  <c r="A137" i="41" s="1"/>
  <c r="A138" i="41" s="1"/>
  <c r="A139" i="41" s="1"/>
  <c r="A140" i="41" s="1"/>
  <c r="A141" i="41" s="1"/>
  <c r="A142" i="41" s="1"/>
  <c r="A143" i="41" s="1"/>
  <c r="A144" i="41" s="1"/>
  <c r="A145" i="41" s="1"/>
  <c r="A146" i="41" s="1"/>
  <c r="A147" i="41" s="1"/>
  <c r="A148" i="41" s="1"/>
  <c r="A149" i="41" s="1"/>
  <c r="A150" i="41" s="1"/>
  <c r="A151" i="41" s="1"/>
  <c r="A152" i="41" s="1"/>
  <c r="A153" i="41" s="1"/>
  <c r="A154" i="41" s="1"/>
  <c r="A155" i="41" s="1"/>
  <c r="A156" i="41" s="1"/>
  <c r="A157" i="41" s="1"/>
  <c r="A158" i="41" s="1"/>
  <c r="A159" i="41" s="1"/>
  <c r="A160" i="41" s="1"/>
  <c r="A161" i="41" s="1"/>
  <c r="A162" i="41" s="1"/>
  <c r="A163" i="41" s="1"/>
  <c r="A164" i="41" s="1"/>
  <c r="A165" i="41" s="1"/>
  <c r="A166" i="41" s="1"/>
  <c r="A167" i="41" s="1"/>
  <c r="A168" i="41" s="1"/>
  <c r="A169" i="41" s="1"/>
  <c r="A170" i="41" s="1"/>
  <c r="A171" i="41" s="1"/>
  <c r="A172" i="41" s="1"/>
  <c r="A173" i="41" s="1"/>
  <c r="A174" i="41" s="1"/>
  <c r="A175" i="41" s="1"/>
  <c r="A176" i="41" s="1"/>
  <c r="A177" i="41" s="1"/>
  <c r="A178" i="41" s="1"/>
  <c r="A179" i="41" s="1"/>
  <c r="A180" i="41" s="1"/>
  <c r="A181" i="41" s="1"/>
  <c r="A182" i="41" s="1"/>
  <c r="A183" i="41" s="1"/>
  <c r="A184" i="41" s="1"/>
  <c r="A185" i="41" s="1"/>
  <c r="A186" i="41" s="1"/>
  <c r="A187" i="41" s="1"/>
  <c r="A188" i="41" s="1"/>
  <c r="A189" i="41" s="1"/>
  <c r="A190" i="41" s="1"/>
  <c r="A191" i="41" s="1"/>
  <c r="A192" i="41" s="1"/>
  <c r="A193" i="41" s="1"/>
  <c r="A194" i="41" s="1"/>
  <c r="A195" i="41" s="1"/>
  <c r="A196" i="41" s="1"/>
  <c r="A197" i="41" s="1"/>
  <c r="A198" i="41" s="1"/>
  <c r="A199" i="41" s="1"/>
  <c r="A200" i="41" s="1"/>
  <c r="A201" i="41" s="1"/>
  <c r="A202" i="41" s="1"/>
  <c r="A203" i="41" s="1"/>
  <c r="A204" i="41" s="1"/>
  <c r="A205" i="41" s="1"/>
  <c r="A206" i="41" s="1"/>
  <c r="A207" i="41" s="1"/>
  <c r="A208" i="41" s="1"/>
  <c r="A209" i="41" s="1"/>
  <c r="A210" i="41" s="1"/>
  <c r="A211" i="41" s="1"/>
  <c r="A212" i="41" s="1"/>
  <c r="A213" i="41" s="1"/>
  <c r="A214" i="41" s="1"/>
  <c r="A215" i="41" s="1"/>
  <c r="A216" i="41" s="1"/>
  <c r="A217" i="41" s="1"/>
  <c r="A218" i="41" s="1"/>
  <c r="A219" i="41" s="1"/>
  <c r="A220" i="41" s="1"/>
  <c r="A221" i="41" s="1"/>
  <c r="A222" i="41" s="1"/>
  <c r="A223" i="41" s="1"/>
  <c r="A224" i="41" s="1"/>
  <c r="A225" i="41" s="1"/>
  <c r="A226" i="41" s="1"/>
  <c r="A227" i="41" s="1"/>
  <c r="A228" i="41" s="1"/>
  <c r="A229" i="41" s="1"/>
  <c r="A230" i="41" s="1"/>
  <c r="A231" i="41" s="1"/>
  <c r="A232" i="41" s="1"/>
  <c r="A233" i="41" s="1"/>
  <c r="A234" i="41" s="1"/>
  <c r="A235" i="41" s="1"/>
  <c r="A236" i="41" s="1"/>
  <c r="A237" i="41" s="1"/>
  <c r="A238" i="41" s="1"/>
  <c r="A239" i="41" s="1"/>
  <c r="A240" i="41" s="1"/>
  <c r="A241" i="41" s="1"/>
  <c r="A242" i="41" s="1"/>
  <c r="A243" i="41" s="1"/>
  <c r="A244" i="41" s="1"/>
  <c r="A245" i="41" s="1"/>
  <c r="A246" i="41" s="1"/>
  <c r="A247" i="41" s="1"/>
  <c r="A248" i="41" s="1"/>
  <c r="A249" i="41" s="1"/>
  <c r="A250" i="41" s="1"/>
  <c r="A251" i="41" s="1"/>
  <c r="A252" i="41" s="1"/>
  <c r="A253" i="41" s="1"/>
  <c r="A254" i="41" s="1"/>
  <c r="A255" i="41" s="1"/>
  <c r="A256" i="41" s="1"/>
  <c r="A257" i="41" s="1"/>
  <c r="A258" i="41" s="1"/>
  <c r="A259" i="41" s="1"/>
  <c r="A260" i="41" s="1"/>
  <c r="A261" i="41" s="1"/>
  <c r="A262" i="41" s="1"/>
  <c r="A263" i="41" s="1"/>
  <c r="A264" i="41" s="1"/>
  <c r="A265" i="41" s="1"/>
  <c r="A266" i="41" s="1"/>
  <c r="A267" i="41" s="1"/>
  <c r="A268" i="41" s="1"/>
  <c r="A269" i="41" s="1"/>
  <c r="A270" i="41" s="1"/>
  <c r="A271" i="41" s="1"/>
  <c r="A272" i="41" s="1"/>
  <c r="A273" i="41" s="1"/>
  <c r="A274" i="41" s="1"/>
  <c r="A275" i="41" s="1"/>
  <c r="A276" i="41" s="1"/>
  <c r="A277" i="41" s="1"/>
  <c r="A278" i="41" s="1"/>
  <c r="A279" i="41" s="1"/>
  <c r="A280" i="41" s="1"/>
  <c r="A281" i="41" s="1"/>
  <c r="A282" i="41" s="1"/>
  <c r="A283" i="41" s="1"/>
  <c r="A284" i="41" s="1"/>
  <c r="A285" i="41" s="1"/>
  <c r="A286" i="41" s="1"/>
  <c r="A287" i="41" s="1"/>
  <c r="A288" i="41" s="1"/>
  <c r="A289" i="41" s="1"/>
  <c r="A290" i="41" s="1"/>
  <c r="A291" i="41" s="1"/>
  <c r="A292" i="41" s="1"/>
  <c r="A293" i="41" s="1"/>
  <c r="A294" i="41" s="1"/>
  <c r="A295" i="41" s="1"/>
  <c r="A296" i="41" s="1"/>
  <c r="A297" i="41" s="1"/>
  <c r="A298" i="41" s="1"/>
  <c r="A299" i="41" s="1"/>
  <c r="A300" i="41" s="1"/>
  <c r="A301" i="41" s="1"/>
  <c r="A302" i="41" s="1"/>
  <c r="A303" i="41" s="1"/>
  <c r="A304" i="41" s="1"/>
  <c r="A305" i="41" s="1"/>
  <c r="A306" i="41" s="1"/>
  <c r="A307" i="41" s="1"/>
  <c r="A308" i="41" s="1"/>
  <c r="A309" i="41" s="1"/>
  <c r="A310" i="41" s="1"/>
  <c r="A311" i="41" s="1"/>
  <c r="A312" i="41" s="1"/>
  <c r="A313" i="41" s="1"/>
  <c r="A314" i="41" s="1"/>
  <c r="A315" i="41" s="1"/>
  <c r="A316" i="41" s="1"/>
  <c r="A317" i="41" s="1"/>
  <c r="A318" i="41" s="1"/>
  <c r="A319" i="41" s="1"/>
  <c r="A320" i="41" s="1"/>
  <c r="A321" i="41" s="1"/>
  <c r="A322" i="41" s="1"/>
  <c r="A323" i="41" s="1"/>
  <c r="A324" i="41" s="1"/>
  <c r="A325" i="41" s="1"/>
  <c r="A326" i="41" s="1"/>
  <c r="A327" i="41" s="1"/>
  <c r="A328" i="41" s="1"/>
  <c r="A329" i="41" s="1"/>
  <c r="A330" i="41" s="1"/>
  <c r="A331" i="41" s="1"/>
  <c r="A332" i="41" s="1"/>
  <c r="A333" i="41" s="1"/>
  <c r="A334" i="41" s="1"/>
  <c r="A335" i="41" s="1"/>
  <c r="A336" i="41" s="1"/>
  <c r="A337" i="41" s="1"/>
  <c r="A338" i="41" s="1"/>
  <c r="A339" i="41" s="1"/>
  <c r="A340" i="41" s="1"/>
  <c r="A341" i="41" s="1"/>
  <c r="A342" i="41" s="1"/>
  <c r="A343" i="41" s="1"/>
  <c r="A344" i="41" s="1"/>
  <c r="A345" i="41" s="1"/>
  <c r="A346" i="41" s="1"/>
  <c r="A347" i="41" s="1"/>
  <c r="A348" i="41" s="1"/>
  <c r="A349" i="41" s="1"/>
  <c r="A350" i="41" s="1"/>
  <c r="A351" i="41" s="1"/>
  <c r="A352" i="41" s="1"/>
  <c r="A353" i="41" s="1"/>
  <c r="A354" i="41" s="1"/>
  <c r="A355" i="41" s="1"/>
  <c r="A356" i="41" s="1"/>
  <c r="A357" i="41" s="1"/>
  <c r="A358" i="41" s="1"/>
  <c r="A359" i="41" s="1"/>
  <c r="A360" i="41" s="1"/>
  <c r="A361" i="41" s="1"/>
  <c r="A362" i="41" s="1"/>
  <c r="A363" i="41" s="1"/>
  <c r="A364" i="41" s="1"/>
  <c r="A365" i="41" s="1"/>
  <c r="A366" i="41" s="1"/>
  <c r="A367" i="41" s="1"/>
  <c r="A368" i="41" s="1"/>
  <c r="A369" i="41" s="1"/>
  <c r="A370" i="41" s="1"/>
  <c r="A371" i="41" s="1"/>
  <c r="A372" i="41" s="1"/>
  <c r="A373" i="41" s="1"/>
  <c r="A374" i="41" s="1"/>
  <c r="A375" i="41" s="1"/>
  <c r="A376" i="41" s="1"/>
  <c r="A377" i="41" s="1"/>
  <c r="A378" i="41" s="1"/>
  <c r="A379" i="41" s="1"/>
  <c r="A380" i="41" s="1"/>
  <c r="A381" i="41" s="1"/>
  <c r="A382" i="41" s="1"/>
  <c r="A383" i="41" s="1"/>
  <c r="A384" i="41" s="1"/>
  <c r="A385" i="41" s="1"/>
  <c r="A386" i="41" s="1"/>
  <c r="A387" i="41" s="1"/>
  <c r="A388" i="41" s="1"/>
  <c r="A389" i="41" s="1"/>
  <c r="A390" i="41" s="1"/>
  <c r="A391" i="41" s="1"/>
  <c r="A392" i="41" s="1"/>
  <c r="A393" i="41" s="1"/>
  <c r="A394" i="41" s="1"/>
  <c r="A395" i="41" s="1"/>
  <c r="A396" i="41" s="1"/>
  <c r="A397" i="41" s="1"/>
  <c r="A398" i="41" s="1"/>
  <c r="A399" i="41" s="1"/>
  <c r="A400" i="41" s="1"/>
  <c r="A401" i="41" s="1"/>
  <c r="A402" i="41" s="1"/>
  <c r="A403" i="41" s="1"/>
  <c r="A404" i="41" s="1"/>
  <c r="A405" i="41" s="1"/>
  <c r="A406" i="41" s="1"/>
  <c r="A407" i="41" s="1"/>
  <c r="A408" i="41" s="1"/>
  <c r="A409" i="41" s="1"/>
  <c r="A410" i="41" s="1"/>
  <c r="A411" i="41" s="1"/>
  <c r="A412" i="41" s="1"/>
  <c r="A413" i="41" s="1"/>
  <c r="A414" i="41" s="1"/>
  <c r="A415" i="41" s="1"/>
  <c r="A416" i="41" s="1"/>
  <c r="A417" i="41" s="1"/>
  <c r="A418" i="41" s="1"/>
  <c r="A419" i="41" s="1"/>
  <c r="A420" i="41" s="1"/>
  <c r="A421" i="41" s="1"/>
  <c r="A422" i="41" s="1"/>
  <c r="A423" i="41" s="1"/>
  <c r="A424" i="41" s="1"/>
  <c r="A425" i="41" s="1"/>
  <c r="A426" i="41" s="1"/>
  <c r="A427" i="41" s="1"/>
  <c r="A428" i="41" s="1"/>
  <c r="A429" i="41" s="1"/>
  <c r="A430" i="41" s="1"/>
  <c r="A431" i="41" s="1"/>
  <c r="A432" i="41" s="1"/>
  <c r="A433" i="41" s="1"/>
  <c r="A434" i="41" s="1"/>
  <c r="A435" i="41" s="1"/>
  <c r="A436" i="41" s="1"/>
  <c r="A437" i="41" s="1"/>
  <c r="A438" i="41" s="1"/>
  <c r="A439" i="41" s="1"/>
  <c r="A440" i="41" s="1"/>
  <c r="A441" i="41" s="1"/>
  <c r="A442" i="41" s="1"/>
  <c r="A443" i="41" s="1"/>
  <c r="A444" i="41" s="1"/>
  <c r="A445" i="41" s="1"/>
  <c r="A446" i="41" s="1"/>
  <c r="A447" i="41" s="1"/>
  <c r="A448" i="41" s="1"/>
  <c r="A449" i="41" s="1"/>
  <c r="A450" i="41" s="1"/>
  <c r="A451" i="41" s="1"/>
  <c r="A452" i="41" s="1"/>
  <c r="A453" i="41" s="1"/>
  <c r="A454" i="41" s="1"/>
  <c r="A455" i="41" s="1"/>
  <c r="A456" i="41" s="1"/>
  <c r="A457" i="41" s="1"/>
  <c r="A458" i="41" s="1"/>
  <c r="A459" i="41" s="1"/>
  <c r="A460" i="41" s="1"/>
  <c r="A461" i="41" s="1"/>
  <c r="A462" i="41" s="1"/>
  <c r="A463" i="41" s="1"/>
  <c r="A464" i="41" s="1"/>
  <c r="A465" i="41" s="1"/>
  <c r="A466" i="41" s="1"/>
  <c r="A467" i="41" s="1"/>
  <c r="A468" i="41" s="1"/>
  <c r="A469" i="41" s="1"/>
  <c r="A470" i="41" s="1"/>
  <c r="A471" i="41" s="1"/>
  <c r="A472" i="41" s="1"/>
  <c r="A473" i="41" s="1"/>
  <c r="A474" i="41" s="1"/>
  <c r="A475" i="41" s="1"/>
  <c r="A476" i="41" s="1"/>
  <c r="A477" i="41" s="1"/>
  <c r="A478" i="41" s="1"/>
  <c r="A479" i="41" s="1"/>
  <c r="A480" i="41" s="1"/>
  <c r="A481" i="41" s="1"/>
  <c r="A482" i="41" s="1"/>
  <c r="A483" i="41" s="1"/>
  <c r="A484" i="41" s="1"/>
  <c r="A485" i="41" s="1"/>
  <c r="A486" i="41" s="1"/>
  <c r="A487" i="41" s="1"/>
  <c r="A488" i="41" s="1"/>
  <c r="A489" i="41" s="1"/>
  <c r="A490" i="41" s="1"/>
  <c r="A491" i="41" s="1"/>
  <c r="A492" i="41" s="1"/>
  <c r="A493" i="41" s="1"/>
  <c r="A494" i="41" s="1"/>
  <c r="A495" i="41" s="1"/>
  <c r="A496" i="41" s="1"/>
  <c r="A497" i="41" s="1"/>
  <c r="A498" i="41" s="1"/>
  <c r="A499" i="41" s="1"/>
  <c r="A500" i="41" s="1"/>
  <c r="A501" i="41" s="1"/>
  <c r="A502" i="41" s="1"/>
  <c r="A503" i="41" s="1"/>
  <c r="A504" i="41" s="1"/>
  <c r="A505" i="41" s="1"/>
  <c r="A506" i="41" s="1"/>
  <c r="A507" i="41" s="1"/>
  <c r="A508" i="41" s="1"/>
  <c r="A509" i="41" s="1"/>
  <c r="A510" i="41" s="1"/>
  <c r="A511" i="41" s="1"/>
  <c r="A512" i="41" s="1"/>
  <c r="A513" i="41" s="1"/>
  <c r="A514" i="41" s="1"/>
  <c r="A515" i="41" s="1"/>
  <c r="A516" i="41" s="1"/>
  <c r="A517" i="41" s="1"/>
  <c r="A518" i="41" s="1"/>
  <c r="A519" i="41" s="1"/>
  <c r="A520" i="41" s="1"/>
  <c r="A521" i="41" s="1"/>
  <c r="A522" i="41" s="1"/>
  <c r="A523" i="41" s="1"/>
  <c r="A524" i="41" s="1"/>
  <c r="A525" i="41" s="1"/>
  <c r="A526" i="41" s="1"/>
  <c r="A527" i="41" s="1"/>
  <c r="A528" i="41" s="1"/>
  <c r="A529" i="41" s="1"/>
  <c r="A530" i="41" s="1"/>
  <c r="A531" i="41" s="1"/>
  <c r="A532" i="41" s="1"/>
  <c r="A533" i="41" s="1"/>
  <c r="A534" i="41" s="1"/>
  <c r="A535" i="41" s="1"/>
  <c r="A536" i="41" s="1"/>
  <c r="A537" i="41" s="1"/>
  <c r="A538" i="41" s="1"/>
  <c r="A539" i="41" s="1"/>
  <c r="A540" i="41" s="1"/>
  <c r="A541" i="41" s="1"/>
  <c r="A542" i="41" s="1"/>
  <c r="A543" i="41" s="1"/>
  <c r="A544" i="41" s="1"/>
  <c r="A545" i="41" s="1"/>
  <c r="A546" i="41" s="1"/>
  <c r="A547" i="41" s="1"/>
  <c r="A548" i="41" s="1"/>
  <c r="A549" i="41" s="1"/>
  <c r="A550" i="41" s="1"/>
  <c r="A551" i="41" s="1"/>
  <c r="A552" i="41" s="1"/>
  <c r="A553" i="41" s="1"/>
  <c r="A554" i="41" s="1"/>
  <c r="A555" i="41" s="1"/>
  <c r="A556" i="41" s="1"/>
  <c r="A557" i="41" s="1"/>
  <c r="A558" i="41" s="1"/>
  <c r="A559" i="41" s="1"/>
  <c r="A560" i="41" s="1"/>
  <c r="A561" i="41" s="1"/>
  <c r="A562" i="41" s="1"/>
  <c r="A563" i="41" s="1"/>
  <c r="A564" i="41" s="1"/>
  <c r="A565" i="41" s="1"/>
  <c r="A566" i="41" s="1"/>
  <c r="A567" i="41" s="1"/>
  <c r="A568" i="41" s="1"/>
  <c r="A569" i="41" s="1"/>
  <c r="A570" i="41" s="1"/>
  <c r="A571" i="41" s="1"/>
  <c r="A572" i="41" s="1"/>
  <c r="A573" i="41" s="1"/>
  <c r="A574" i="41" s="1"/>
  <c r="A575" i="41" s="1"/>
  <c r="A576" i="41" s="1"/>
  <c r="A577" i="41" s="1"/>
  <c r="A578" i="41" s="1"/>
  <c r="A579" i="41" s="1"/>
  <c r="A580" i="41" s="1"/>
  <c r="A581" i="41" s="1"/>
  <c r="A582" i="41" s="1"/>
  <c r="A583" i="41" s="1"/>
  <c r="A584" i="41" s="1"/>
  <c r="A585" i="41" s="1"/>
  <c r="A586" i="41" s="1"/>
  <c r="A587" i="41" s="1"/>
  <c r="A588" i="41" s="1"/>
  <c r="A589" i="41" s="1"/>
  <c r="A590" i="41" s="1"/>
  <c r="A591" i="41" s="1"/>
  <c r="A592" i="41" s="1"/>
  <c r="A593" i="41" s="1"/>
  <c r="A594" i="41" s="1"/>
  <c r="A595" i="41" s="1"/>
  <c r="A596" i="41" s="1"/>
  <c r="A597" i="41" s="1"/>
  <c r="A598" i="41" s="1"/>
  <c r="A599" i="41" s="1"/>
  <c r="A600" i="41" s="1"/>
  <c r="A601" i="41" s="1"/>
  <c r="A602" i="41" s="1"/>
  <c r="A603" i="41" s="1"/>
  <c r="A604" i="41" s="1"/>
  <c r="A605" i="41" s="1"/>
  <c r="A606" i="41" s="1"/>
  <c r="A607" i="41" s="1"/>
  <c r="A608" i="41" s="1"/>
  <c r="A609" i="41" s="1"/>
  <c r="A610" i="41" s="1"/>
  <c r="A611" i="41" s="1"/>
  <c r="A612" i="41" s="1"/>
  <c r="A613" i="41" s="1"/>
  <c r="A614" i="41" s="1"/>
  <c r="A615" i="41" s="1"/>
  <c r="A616" i="41" s="1"/>
  <c r="A617" i="41" s="1"/>
  <c r="A618" i="41" s="1"/>
  <c r="A619" i="41" s="1"/>
  <c r="A620" i="41" s="1"/>
  <c r="A621" i="41" s="1"/>
  <c r="A622" i="41" s="1"/>
  <c r="A623" i="41" s="1"/>
  <c r="A624" i="41" s="1"/>
  <c r="A625" i="41" s="1"/>
  <c r="A626" i="41" s="1"/>
  <c r="A627" i="41" s="1"/>
  <c r="A628" i="41" s="1"/>
  <c r="A629" i="41" s="1"/>
  <c r="A630" i="41" s="1"/>
  <c r="A631" i="41" s="1"/>
  <c r="A632" i="41" s="1"/>
  <c r="A633" i="41" s="1"/>
  <c r="A634" i="41" s="1"/>
  <c r="A635" i="41" s="1"/>
  <c r="A636" i="41" s="1"/>
  <c r="A637" i="41" s="1"/>
  <c r="A638" i="41" s="1"/>
  <c r="A639" i="41" s="1"/>
  <c r="A640" i="41" s="1"/>
  <c r="A641" i="41" s="1"/>
  <c r="A642" i="41" s="1"/>
  <c r="A643" i="41" s="1"/>
  <c r="A644" i="41" s="1"/>
  <c r="A645" i="41" s="1"/>
  <c r="A646" i="41" s="1"/>
  <c r="A647" i="41" s="1"/>
  <c r="A648" i="41" s="1"/>
  <c r="A649" i="41" s="1"/>
  <c r="A650" i="41" s="1"/>
  <c r="A651" i="41" s="1"/>
  <c r="A652" i="41" s="1"/>
  <c r="A653" i="41" s="1"/>
  <c r="A654" i="41" s="1"/>
  <c r="A655" i="41" s="1"/>
  <c r="A656" i="41" s="1"/>
  <c r="A657" i="41" s="1"/>
  <c r="A658" i="41" s="1"/>
  <c r="A659" i="41" s="1"/>
  <c r="A660" i="41" s="1"/>
  <c r="A661" i="41" s="1"/>
  <c r="A662" i="41" s="1"/>
  <c r="A663" i="41" s="1"/>
  <c r="A664" i="41" s="1"/>
  <c r="A665" i="41" s="1"/>
  <c r="A666" i="41" s="1"/>
  <c r="A667" i="41" s="1"/>
  <c r="A668" i="41" s="1"/>
  <c r="A669" i="41" s="1"/>
  <c r="A670" i="41" s="1"/>
  <c r="A671" i="41" s="1"/>
  <c r="A672" i="41" s="1"/>
  <c r="A673" i="41" s="1"/>
  <c r="A674" i="41" s="1"/>
  <c r="A675" i="41" s="1"/>
  <c r="A676" i="41" s="1"/>
  <c r="A677" i="41" s="1"/>
  <c r="A678" i="41" s="1"/>
  <c r="A679" i="41" s="1"/>
  <c r="A680" i="41" s="1"/>
  <c r="A681" i="41" s="1"/>
  <c r="A682" i="41" s="1"/>
  <c r="A683" i="41" s="1"/>
  <c r="A684" i="41" s="1"/>
  <c r="A685" i="41" s="1"/>
  <c r="A686" i="41" s="1"/>
  <c r="A687" i="41" s="1"/>
  <c r="A688" i="41" s="1"/>
  <c r="A689" i="41" s="1"/>
  <c r="A690" i="41" s="1"/>
  <c r="A691" i="41" s="1"/>
  <c r="A692" i="41" s="1"/>
  <c r="A693" i="41" s="1"/>
  <c r="A694" i="41" s="1"/>
  <c r="A695" i="41" s="1"/>
  <c r="A696" i="41" s="1"/>
  <c r="A697" i="41" s="1"/>
  <c r="A698" i="41" s="1"/>
  <c r="A699" i="41" s="1"/>
  <c r="A700" i="41" s="1"/>
  <c r="A701" i="41" s="1"/>
  <c r="A702" i="41" s="1"/>
  <c r="A703" i="41" s="1"/>
  <c r="A704" i="41" s="1"/>
  <c r="A705" i="41" s="1"/>
  <c r="A706" i="41" s="1"/>
  <c r="A707" i="41" s="1"/>
  <c r="A708" i="41" s="1"/>
  <c r="A709" i="41" s="1"/>
  <c r="A710" i="41" s="1"/>
  <c r="A711" i="41" s="1"/>
  <c r="A712" i="41" s="1"/>
  <c r="A713" i="41" s="1"/>
  <c r="A714" i="41" s="1"/>
  <c r="A715" i="41" s="1"/>
  <c r="A716" i="41" s="1"/>
  <c r="A717" i="41" s="1"/>
  <c r="A718" i="41" s="1"/>
  <c r="A719" i="41" s="1"/>
  <c r="A720" i="41" s="1"/>
  <c r="A721" i="41" s="1"/>
  <c r="A722" i="41" s="1"/>
  <c r="A723" i="41" s="1"/>
  <c r="A724" i="41" s="1"/>
  <c r="A725" i="41" s="1"/>
  <c r="A726" i="41" s="1"/>
  <c r="A727" i="41" s="1"/>
  <c r="A728" i="41" s="1"/>
  <c r="A729" i="41" s="1"/>
  <c r="A730" i="41" s="1"/>
  <c r="A731" i="41" s="1"/>
  <c r="A732" i="41" s="1"/>
  <c r="A733" i="41" s="1"/>
  <c r="A734" i="41" s="1"/>
  <c r="A735" i="41" s="1"/>
  <c r="A736" i="41" s="1"/>
  <c r="A737" i="41" s="1"/>
  <c r="A738" i="41" s="1"/>
  <c r="A739" i="41" s="1"/>
  <c r="A740" i="41" s="1"/>
  <c r="A741" i="41" s="1"/>
  <c r="A742" i="41" s="1"/>
  <c r="A743" i="41" s="1"/>
  <c r="A744" i="41" s="1"/>
  <c r="A745" i="41" s="1"/>
  <c r="A746" i="41" s="1"/>
  <c r="A747" i="41" s="1"/>
  <c r="A748" i="41" s="1"/>
  <c r="A749" i="41" s="1"/>
  <c r="A750" i="41" s="1"/>
  <c r="A751" i="41" s="1"/>
  <c r="A752" i="41" s="1"/>
  <c r="A753" i="41" s="1"/>
  <c r="A754" i="41" s="1"/>
  <c r="A755" i="41" s="1"/>
  <c r="A756" i="41" s="1"/>
  <c r="A757" i="41" s="1"/>
  <c r="J6" i="41"/>
  <c r="A6" i="41"/>
  <c r="K5" i="41"/>
  <c r="B5" i="41"/>
  <c r="Q333" i="41" s="1"/>
  <c r="K4" i="41"/>
  <c r="B4" i="41"/>
  <c r="C4" i="38"/>
  <c r="H5" i="34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6" i="33"/>
  <c r="Q34" i="41" l="1"/>
  <c r="Q46" i="41"/>
  <c r="Q58" i="41"/>
  <c r="Q70" i="41"/>
  <c r="Q82" i="41"/>
  <c r="Q94" i="41"/>
  <c r="Q106" i="41"/>
  <c r="Q133" i="41"/>
  <c r="Q159" i="41"/>
  <c r="Q224" i="41"/>
  <c r="Q226" i="41"/>
  <c r="Q236" i="41"/>
  <c r="Q238" i="41"/>
  <c r="Q257" i="41"/>
  <c r="Q259" i="41"/>
  <c r="Q292" i="41"/>
  <c r="Q294" i="41"/>
  <c r="K303" i="41"/>
  <c r="Q24" i="41"/>
  <c r="Q36" i="41"/>
  <c r="Q48" i="41"/>
  <c r="Q60" i="41"/>
  <c r="Q72" i="41"/>
  <c r="Q84" i="41"/>
  <c r="Q96" i="41"/>
  <c r="Q108" i="41"/>
  <c r="Q135" i="41"/>
  <c r="Q161" i="41"/>
  <c r="Q195" i="41"/>
  <c r="Q197" i="41"/>
  <c r="Q201" i="41"/>
  <c r="Q247" i="41"/>
  <c r="Q280" i="41"/>
  <c r="Q282" i="41"/>
  <c r="Q315" i="41"/>
  <c r="Q317" i="41"/>
  <c r="Q346" i="41"/>
  <c r="Q369" i="41"/>
  <c r="Q31" i="41"/>
  <c r="Q43" i="41"/>
  <c r="Q55" i="41"/>
  <c r="Q67" i="41"/>
  <c r="Q79" i="41"/>
  <c r="Q91" i="41"/>
  <c r="Q103" i="41"/>
  <c r="Q115" i="41"/>
  <c r="Q124" i="41"/>
  <c r="Q148" i="41"/>
  <c r="Q180" i="41"/>
  <c r="Q274" i="41"/>
  <c r="Q276" i="41"/>
  <c r="Q309" i="41"/>
  <c r="Q332" i="41"/>
  <c r="Q393" i="41"/>
  <c r="L759" i="41"/>
  <c r="C770" i="41"/>
  <c r="M23" i="41"/>
  <c r="Q26" i="41"/>
  <c r="Q38" i="41"/>
  <c r="Q50" i="41"/>
  <c r="Q62" i="41"/>
  <c r="Q74" i="41"/>
  <c r="Q86" i="41"/>
  <c r="Q98" i="41"/>
  <c r="Q110" i="41"/>
  <c r="Q119" i="41"/>
  <c r="Q126" i="41"/>
  <c r="Q128" i="41"/>
  <c r="Q137" i="41"/>
  <c r="Q139" i="41"/>
  <c r="Q143" i="41"/>
  <c r="Q150" i="41"/>
  <c r="Q152" i="41"/>
  <c r="Q154" i="41"/>
  <c r="Q163" i="41"/>
  <c r="Q165" i="41"/>
  <c r="Q169" i="41"/>
  <c r="Q188" i="41"/>
  <c r="Q205" i="41"/>
  <c r="Q268" i="41"/>
  <c r="Q270" i="41"/>
  <c r="Q303" i="41"/>
  <c r="Q305" i="41"/>
  <c r="Q330" i="41"/>
  <c r="Q337" i="41"/>
  <c r="Q610" i="41"/>
  <c r="Q33" i="41"/>
  <c r="Q45" i="41"/>
  <c r="Q57" i="41"/>
  <c r="Q69" i="41"/>
  <c r="Q81" i="41"/>
  <c r="Q93" i="41"/>
  <c r="Q105" i="41"/>
  <c r="Q132" i="41"/>
  <c r="Q158" i="41"/>
  <c r="Q171" i="41"/>
  <c r="Q173" i="41"/>
  <c r="Q182" i="41"/>
  <c r="Q184" i="41"/>
  <c r="Q190" i="41"/>
  <c r="Q207" i="41"/>
  <c r="Q209" i="41"/>
  <c r="Q213" i="41"/>
  <c r="Q243" i="41"/>
  <c r="Q245" i="41"/>
  <c r="Q262" i="41"/>
  <c r="Q264" i="41"/>
  <c r="Q299" i="41"/>
  <c r="Q324" i="41"/>
  <c r="Q326" i="41"/>
  <c r="Q495" i="41"/>
  <c r="Q177" i="41"/>
  <c r="Q192" i="41"/>
  <c r="Q217" i="41"/>
  <c r="Q225" i="41"/>
  <c r="Q235" i="41"/>
  <c r="Q237" i="41"/>
  <c r="Q256" i="41"/>
  <c r="Q258" i="41"/>
  <c r="Q293" i="41"/>
  <c r="Q295" i="41"/>
  <c r="Q493" i="41"/>
  <c r="M606" i="41"/>
  <c r="K606" i="41"/>
  <c r="Q23" i="41"/>
  <c r="Q35" i="41"/>
  <c r="Q47" i="41"/>
  <c r="Q59" i="41"/>
  <c r="Q71" i="41"/>
  <c r="Q83" i="41"/>
  <c r="Q95" i="41"/>
  <c r="Q107" i="41"/>
  <c r="Q134" i="41"/>
  <c r="Q160" i="41"/>
  <c r="Q200" i="41"/>
  <c r="Q219" i="41"/>
  <c r="Q221" i="41"/>
  <c r="Q231" i="41"/>
  <c r="Q250" i="41"/>
  <c r="Q252" i="41"/>
  <c r="Q287" i="41"/>
  <c r="Q320" i="41"/>
  <c r="Q30" i="41"/>
  <c r="Q42" i="41"/>
  <c r="Q54" i="41"/>
  <c r="Q66" i="41"/>
  <c r="Q78" i="41"/>
  <c r="Q90" i="41"/>
  <c r="Q102" i="41"/>
  <c r="Q114" i="41"/>
  <c r="Q123" i="41"/>
  <c r="Q147" i="41"/>
  <c r="Q179" i="41"/>
  <c r="Q194" i="41"/>
  <c r="Q196" i="41"/>
  <c r="Q202" i="41"/>
  <c r="Q281" i="41"/>
  <c r="Q283" i="41"/>
  <c r="Q314" i="41"/>
  <c r="Q316" i="41"/>
  <c r="Q749" i="41"/>
  <c r="Q737" i="41"/>
  <c r="Q725" i="41"/>
  <c r="Q713" i="41"/>
  <c r="Q701" i="41"/>
  <c r="Q684" i="41"/>
  <c r="Q672" i="41"/>
  <c r="Q660" i="41"/>
  <c r="Q648" i="41"/>
  <c r="Q636" i="41"/>
  <c r="Q616" i="41"/>
  <c r="Q605" i="41"/>
  <c r="Q593" i="41"/>
  <c r="Q581" i="41"/>
  <c r="Q576" i="41"/>
  <c r="Q559" i="41"/>
  <c r="Q554" i="41"/>
  <c r="Q533" i="41"/>
  <c r="Q523" i="41"/>
  <c r="Q511" i="41"/>
  <c r="Q499" i="41"/>
  <c r="Q494" i="41"/>
  <c r="Q482" i="41"/>
  <c r="Q470" i="41"/>
  <c r="Q463" i="41"/>
  <c r="Q451" i="41"/>
  <c r="Q439" i="41"/>
  <c r="Q754" i="41"/>
  <c r="Q742" i="41"/>
  <c r="Q730" i="41"/>
  <c r="Q718" i="41"/>
  <c r="Q706" i="41"/>
  <c r="Q694" i="41"/>
  <c r="Q689" i="41"/>
  <c r="Q677" i="41"/>
  <c r="Q665" i="41"/>
  <c r="Q653" i="41"/>
  <c r="Q641" i="41"/>
  <c r="Q629" i="41"/>
  <c r="Q624" i="41"/>
  <c r="Q608" i="41"/>
  <c r="Q598" i="41"/>
  <c r="Q586" i="41"/>
  <c r="Q564" i="41"/>
  <c r="Q549" i="41"/>
  <c r="Q541" i="41"/>
  <c r="Q536" i="41"/>
  <c r="Q528" i="41"/>
  <c r="Q516" i="41"/>
  <c r="Q504" i="41"/>
  <c r="Q487" i="41"/>
  <c r="Q475" i="41"/>
  <c r="Q456" i="41"/>
  <c r="Q444" i="41"/>
  <c r="Q432" i="41"/>
  <c r="Q747" i="41"/>
  <c r="Q735" i="41"/>
  <c r="Q723" i="41"/>
  <c r="Q711" i="41"/>
  <c r="Q699" i="41"/>
  <c r="Q682" i="41"/>
  <c r="Q670" i="41"/>
  <c r="Q658" i="41"/>
  <c r="Q646" i="41"/>
  <c r="Q634" i="41"/>
  <c r="Q619" i="41"/>
  <c r="Q611" i="41"/>
  <c r="Q603" i="41"/>
  <c r="Q591" i="41"/>
  <c r="Q579" i="41"/>
  <c r="Q574" i="41"/>
  <c r="Q569" i="41"/>
  <c r="Q557" i="41"/>
  <c r="Q544" i="41"/>
  <c r="Q521" i="41"/>
  <c r="Q509" i="41"/>
  <c r="Q497" i="41"/>
  <c r="Q492" i="41"/>
  <c r="Q480" i="41"/>
  <c r="Q468" i="41"/>
  <c r="Q461" i="41"/>
  <c r="Q449" i="41"/>
  <c r="Q437" i="41"/>
  <c r="Q748" i="41"/>
  <c r="Q736" i="41"/>
  <c r="Q724" i="41"/>
  <c r="Q712" i="41"/>
  <c r="Q700" i="41"/>
  <c r="Q683" i="41"/>
  <c r="Q671" i="41"/>
  <c r="Q659" i="41"/>
  <c r="Q647" i="41"/>
  <c r="Q635" i="41"/>
  <c r="Q751" i="41"/>
  <c r="Q739" i="41"/>
  <c r="Q727" i="41"/>
  <c r="Q715" i="41"/>
  <c r="Q703" i="41"/>
  <c r="Q650" i="41"/>
  <c r="Q687" i="41"/>
  <c r="Q681" i="41"/>
  <c r="Q679" i="41"/>
  <c r="Q626" i="41"/>
  <c r="Q617" i="41"/>
  <c r="Q587" i="41"/>
  <c r="Q570" i="41"/>
  <c r="Q555" i="41"/>
  <c r="Q685" i="41"/>
  <c r="Q675" i="41"/>
  <c r="Q669" i="41"/>
  <c r="Q667" i="41"/>
  <c r="Q606" i="41"/>
  <c r="Q585" i="41"/>
  <c r="Q568" i="41"/>
  <c r="Q756" i="41"/>
  <c r="Q744" i="41"/>
  <c r="Q732" i="41"/>
  <c r="Q720" i="41"/>
  <c r="Q708" i="41"/>
  <c r="Q696" i="41"/>
  <c r="Q673" i="41"/>
  <c r="Q663" i="41"/>
  <c r="Q657" i="41"/>
  <c r="Q655" i="41"/>
  <c r="Q622" i="41"/>
  <c r="Q615" i="41"/>
  <c r="Q583" i="41"/>
  <c r="Q566" i="41"/>
  <c r="Q553" i="41"/>
  <c r="Q752" i="41"/>
  <c r="Q746" i="41"/>
  <c r="Q740" i="41"/>
  <c r="Q734" i="41"/>
  <c r="Q728" i="41"/>
  <c r="Q722" i="41"/>
  <c r="Q716" i="41"/>
  <c r="Q710" i="41"/>
  <c r="Q704" i="41"/>
  <c r="Q698" i="41"/>
  <c r="Q692" i="41"/>
  <c r="Q661" i="41"/>
  <c r="Q651" i="41"/>
  <c r="Q645" i="41"/>
  <c r="Q643" i="41"/>
  <c r="Q604" i="41"/>
  <c r="Q602" i="41"/>
  <c r="Q600" i="41"/>
  <c r="Q562" i="41"/>
  <c r="Q535" i="41"/>
  <c r="Q524" i="41"/>
  <c r="Q501" i="41"/>
  <c r="Q484" i="41"/>
  <c r="Q750" i="41"/>
  <c r="Q738" i="41"/>
  <c r="Q726" i="41"/>
  <c r="Q714" i="41"/>
  <c r="Q702" i="41"/>
  <c r="Q649" i="41"/>
  <c r="Q639" i="41"/>
  <c r="Q633" i="41"/>
  <c r="Q631" i="41"/>
  <c r="Q620" i="41"/>
  <c r="Q618" i="41"/>
  <c r="Q613" i="41"/>
  <c r="Q596" i="41"/>
  <c r="Q560" i="41"/>
  <c r="Q551" i="41"/>
  <c r="Q542" i="41"/>
  <c r="Q522" i="41"/>
  <c r="Q520" i="41"/>
  <c r="Q518" i="41"/>
  <c r="Q478" i="41"/>
  <c r="Q455" i="41"/>
  <c r="Q430" i="41"/>
  <c r="Q418" i="41"/>
  <c r="Q406" i="41"/>
  <c r="Q399" i="41"/>
  <c r="Q387" i="41"/>
  <c r="Q375" i="41"/>
  <c r="Q363" i="41"/>
  <c r="Q351" i="41"/>
  <c r="Q339" i="41"/>
  <c r="Q334" i="41"/>
  <c r="Q322" i="41"/>
  <c r="Q690" i="41"/>
  <c r="Q637" i="41"/>
  <c r="Q627" i="41"/>
  <c r="Q688" i="41"/>
  <c r="Q680" i="41"/>
  <c r="Q678" i="41"/>
  <c r="Q625" i="41"/>
  <c r="Q609" i="41"/>
  <c r="Q592" i="41"/>
  <c r="Q590" i="41"/>
  <c r="Q588" i="41"/>
  <c r="Q575" i="41"/>
  <c r="Q573" i="41"/>
  <c r="Q571" i="41"/>
  <c r="Q757" i="41"/>
  <c r="Q755" i="41"/>
  <c r="Q745" i="41"/>
  <c r="Q743" i="41"/>
  <c r="Q733" i="41"/>
  <c r="Q731" i="41"/>
  <c r="Q721" i="41"/>
  <c r="Q719" i="41"/>
  <c r="Q709" i="41"/>
  <c r="Q707" i="41"/>
  <c r="Q697" i="41"/>
  <c r="Q695" i="41"/>
  <c r="Q674" i="41"/>
  <c r="Q664" i="41"/>
  <c r="Q656" i="41"/>
  <c r="Q654" i="41"/>
  <c r="Q623" i="41"/>
  <c r="Q614" i="41"/>
  <c r="Q601" i="41"/>
  <c r="Q582" i="41"/>
  <c r="Q565" i="41"/>
  <c r="Q552" i="41"/>
  <c r="Q543" i="41"/>
  <c r="Q753" i="41"/>
  <c r="Q741" i="41"/>
  <c r="Q729" i="41"/>
  <c r="Q717" i="41"/>
  <c r="Q705" i="41"/>
  <c r="Q693" i="41"/>
  <c r="Q662" i="41"/>
  <c r="Q652" i="41"/>
  <c r="Q644" i="41"/>
  <c r="Q642" i="41"/>
  <c r="Q599" i="41"/>
  <c r="Q580" i="41"/>
  <c r="Q578" i="41"/>
  <c r="Q563" i="41"/>
  <c r="Q534" i="41"/>
  <c r="Q525" i="41"/>
  <c r="Q519" i="41"/>
  <c r="Q500" i="41"/>
  <c r="Q483" i="41"/>
  <c r="Q462" i="41"/>
  <c r="Q460" i="41"/>
  <c r="Q458" i="41"/>
  <c r="Q433" i="41"/>
  <c r="Q419" i="41"/>
  <c r="Q407" i="41"/>
  <c r="Q400" i="41"/>
  <c r="Q388" i="41"/>
  <c r="Q376" i="41"/>
  <c r="Q364" i="41"/>
  <c r="Q352" i="41"/>
  <c r="Q340" i="41"/>
  <c r="Q335" i="41"/>
  <c r="Q323" i="41"/>
  <c r="Q676" i="41"/>
  <c r="Q638" i="41"/>
  <c r="Q595" i="41"/>
  <c r="Q572" i="41"/>
  <c r="Q558" i="41"/>
  <c r="Q517" i="41"/>
  <c r="Q513" i="41"/>
  <c r="Q454" i="41"/>
  <c r="Q452" i="41"/>
  <c r="Q450" i="41"/>
  <c r="Q448" i="41"/>
  <c r="Q446" i="41"/>
  <c r="Q438" i="41"/>
  <c r="Q436" i="41"/>
  <c r="Q434" i="41"/>
  <c r="Q413" i="41"/>
  <c r="Q391" i="41"/>
  <c r="Q367" i="41"/>
  <c r="Q343" i="41"/>
  <c r="Q328" i="41"/>
  <c r="Q312" i="41"/>
  <c r="Q302" i="41"/>
  <c r="Q290" i="41"/>
  <c r="Q278" i="41"/>
  <c r="Q266" i="41"/>
  <c r="Q254" i="41"/>
  <c r="Q233" i="41"/>
  <c r="Q228" i="41"/>
  <c r="Q216" i="41"/>
  <c r="Q640" i="41"/>
  <c r="Q628" i="41"/>
  <c r="Q621" i="41"/>
  <c r="Q597" i="41"/>
  <c r="Q547" i="41"/>
  <c r="Q476" i="41"/>
  <c r="Q474" i="41"/>
  <c r="Q424" i="41"/>
  <c r="Q402" i="41"/>
  <c r="Q378" i="41"/>
  <c r="Q354" i="41"/>
  <c r="Q666" i="41"/>
  <c r="Q607" i="41"/>
  <c r="Q545" i="41"/>
  <c r="Q539" i="41"/>
  <c r="Q531" i="41"/>
  <c r="Q490" i="41"/>
  <c r="Q472" i="41"/>
  <c r="Q466" i="41"/>
  <c r="Q464" i="41"/>
  <c r="Q411" i="41"/>
  <c r="Q398" i="41"/>
  <c r="Q396" i="41"/>
  <c r="Q389" i="41"/>
  <c r="Q385" i="41"/>
  <c r="Q383" i="41"/>
  <c r="Q374" i="41"/>
  <c r="Q372" i="41"/>
  <c r="Q365" i="41"/>
  <c r="Q361" i="41"/>
  <c r="Q359" i="41"/>
  <c r="Q350" i="41"/>
  <c r="Q691" i="41"/>
  <c r="Q630" i="41"/>
  <c r="Q567" i="41"/>
  <c r="Q537" i="41"/>
  <c r="Q488" i="41"/>
  <c r="Q486" i="41"/>
  <c r="Q422" i="41"/>
  <c r="Q394" i="41"/>
  <c r="Q370" i="41"/>
  <c r="Q686" i="41"/>
  <c r="Q668" i="41"/>
  <c r="Q529" i="41"/>
  <c r="Q527" i="41"/>
  <c r="Q409" i="41"/>
  <c r="Q381" i="41"/>
  <c r="Q357" i="41"/>
  <c r="Q594" i="41"/>
  <c r="Q514" i="41"/>
  <c r="Q512" i="41"/>
  <c r="Q510" i="41"/>
  <c r="Q508" i="41"/>
  <c r="Q506" i="41"/>
  <c r="Q502" i="41"/>
  <c r="Q498" i="41"/>
  <c r="Q496" i="41"/>
  <c r="Q447" i="41"/>
  <c r="Q445" i="41"/>
  <c r="Q443" i="41"/>
  <c r="Q441" i="41"/>
  <c r="Q435" i="41"/>
  <c r="Q429" i="41"/>
  <c r="Q427" i="41"/>
  <c r="Q420" i="41"/>
  <c r="Q416" i="41"/>
  <c r="Q414" i="41"/>
  <c r="Q405" i="41"/>
  <c r="Q392" i="41"/>
  <c r="Q368" i="41"/>
  <c r="Q344" i="41"/>
  <c r="Q329" i="41"/>
  <c r="Q313" i="41"/>
  <c r="Q291" i="41"/>
  <c r="Q279" i="41"/>
  <c r="Q267" i="41"/>
  <c r="Q255" i="41"/>
  <c r="Q241" i="41"/>
  <c r="Q229" i="41"/>
  <c r="Q632" i="41"/>
  <c r="Q589" i="41"/>
  <c r="Q459" i="41"/>
  <c r="Q457" i="41"/>
  <c r="Q431" i="41"/>
  <c r="Q425" i="41"/>
  <c r="Q403" i="41"/>
  <c r="Q379" i="41"/>
  <c r="Q355" i="41"/>
  <c r="Q318" i="41"/>
  <c r="Q306" i="41"/>
  <c r="Q296" i="41"/>
  <c r="Q284" i="41"/>
  <c r="Q272" i="41"/>
  <c r="Q260" i="41"/>
  <c r="Q248" i="41"/>
  <c r="Q239" i="41"/>
  <c r="Q234" i="41"/>
  <c r="Q222" i="41"/>
  <c r="Q210" i="41"/>
  <c r="Q198" i="41"/>
  <c r="Q186" i="41"/>
  <c r="Q174" i="41"/>
  <c r="Q167" i="41"/>
  <c r="Q155" i="41"/>
  <c r="Q141" i="41"/>
  <c r="Q129" i="41"/>
  <c r="Q117" i="41"/>
  <c r="Q548" i="41"/>
  <c r="Q473" i="41"/>
  <c r="Q453" i="41"/>
  <c r="Q412" i="41"/>
  <c r="Q390" i="41"/>
  <c r="Q366" i="41"/>
  <c r="Q342" i="41"/>
  <c r="Q327" i="41"/>
  <c r="Q311" i="41"/>
  <c r="Q301" i="41"/>
  <c r="Q289" i="41"/>
  <c r="Q277" i="41"/>
  <c r="Q265" i="41"/>
  <c r="Q253" i="41"/>
  <c r="Q246" i="41"/>
  <c r="Q232" i="41"/>
  <c r="Q227" i="41"/>
  <c r="Q215" i="41"/>
  <c r="Q203" i="41"/>
  <c r="Q191" i="41"/>
  <c r="Q550" i="41"/>
  <c r="Q546" i="41"/>
  <c r="Q540" i="41"/>
  <c r="Q538" i="41"/>
  <c r="Q532" i="41"/>
  <c r="Q491" i="41"/>
  <c r="Q477" i="41"/>
  <c r="Q471" i="41"/>
  <c r="Q469" i="41"/>
  <c r="Q467" i="41"/>
  <c r="Q465" i="41"/>
  <c r="Q423" i="41"/>
  <c r="Q401" i="41"/>
  <c r="Q397" i="41"/>
  <c r="Q395" i="41"/>
  <c r="Q386" i="41"/>
  <c r="Q384" i="41"/>
  <c r="Q377" i="41"/>
  <c r="Q373" i="41"/>
  <c r="Q371" i="41"/>
  <c r="Q362" i="41"/>
  <c r="Q360" i="41"/>
  <c r="Q353" i="41"/>
  <c r="Q349" i="41"/>
  <c r="Q347" i="41"/>
  <c r="Q338" i="41"/>
  <c r="Q584" i="41"/>
  <c r="Q561" i="41"/>
  <c r="Q530" i="41"/>
  <c r="Q489" i="41"/>
  <c r="Q485" i="41"/>
  <c r="Q481" i="41"/>
  <c r="Q479" i="41"/>
  <c r="Q410" i="41"/>
  <c r="Q382" i="41"/>
  <c r="Q612" i="41"/>
  <c r="Q577" i="41"/>
  <c r="Q556" i="41"/>
  <c r="Q515" i="41"/>
  <c r="Q505" i="41"/>
  <c r="Q503" i="41"/>
  <c r="Q442" i="41"/>
  <c r="Q440" i="41"/>
  <c r="Q428" i="41"/>
  <c r="Q426" i="41"/>
  <c r="Q417" i="41"/>
  <c r="Q415" i="41"/>
  <c r="Q408" i="41"/>
  <c r="Q404" i="41"/>
  <c r="Q380" i="41"/>
  <c r="Q356" i="41"/>
  <c r="Q319" i="41"/>
  <c r="Q307" i="41"/>
  <c r="Q297" i="41"/>
  <c r="Q285" i="41"/>
  <c r="Q273" i="41"/>
  <c r="Q261" i="41"/>
  <c r="Q249" i="41"/>
  <c r="Q240" i="41"/>
  <c r="Q223" i="41"/>
  <c r="Q211" i="41"/>
  <c r="Q199" i="41"/>
  <c r="Q187" i="41"/>
  <c r="Q175" i="41"/>
  <c r="Q156" i="41"/>
  <c r="Q142" i="41"/>
  <c r="Q130" i="41"/>
  <c r="Q118" i="41"/>
  <c r="Q25" i="41"/>
  <c r="Q37" i="41"/>
  <c r="Q49" i="41"/>
  <c r="Q61" i="41"/>
  <c r="Q73" i="41"/>
  <c r="Q85" i="41"/>
  <c r="Q97" i="41"/>
  <c r="Q109" i="41"/>
  <c r="Q136" i="41"/>
  <c r="Q153" i="41"/>
  <c r="Q162" i="41"/>
  <c r="Q168" i="41"/>
  <c r="Q204" i="41"/>
  <c r="Q275" i="41"/>
  <c r="Q308" i="41"/>
  <c r="Q310" i="41"/>
  <c r="Q331" i="41"/>
  <c r="Q345" i="41"/>
  <c r="Q507" i="41"/>
  <c r="Q32" i="41"/>
  <c r="Q44" i="41"/>
  <c r="Q56" i="41"/>
  <c r="Q68" i="41"/>
  <c r="Q80" i="41"/>
  <c r="Q92" i="41"/>
  <c r="Q104" i="41"/>
  <c r="Q116" i="41"/>
  <c r="Q125" i="41"/>
  <c r="Q127" i="41"/>
  <c r="Q131" i="41"/>
  <c r="Q138" i="41"/>
  <c r="Q140" i="41"/>
  <c r="Q149" i="41"/>
  <c r="Q151" i="41"/>
  <c r="Q157" i="41"/>
  <c r="Q164" i="41"/>
  <c r="Q166" i="41"/>
  <c r="Q181" i="41"/>
  <c r="Q212" i="41"/>
  <c r="Q269" i="41"/>
  <c r="Q271" i="41"/>
  <c r="Q304" i="41"/>
  <c r="Q358" i="41"/>
  <c r="Q27" i="41"/>
  <c r="Q39" i="41"/>
  <c r="Q51" i="41"/>
  <c r="Q63" i="41"/>
  <c r="Q75" i="41"/>
  <c r="Q87" i="41"/>
  <c r="Q99" i="41"/>
  <c r="Q111" i="41"/>
  <c r="Q120" i="41"/>
  <c r="Q144" i="41"/>
  <c r="Q170" i="41"/>
  <c r="Q172" i="41"/>
  <c r="Q176" i="41"/>
  <c r="Q183" i="41"/>
  <c r="Q185" i="41"/>
  <c r="Q189" i="41"/>
  <c r="Q206" i="41"/>
  <c r="Q208" i="41"/>
  <c r="Q214" i="41"/>
  <c r="Q230" i="41"/>
  <c r="Q242" i="41"/>
  <c r="Q244" i="41"/>
  <c r="Q263" i="41"/>
  <c r="Q298" i="41"/>
  <c r="Q300" i="41"/>
  <c r="Q325" i="41"/>
  <c r="Q336" i="41"/>
  <c r="Q341" i="41"/>
  <c r="Q348" i="41"/>
  <c r="Q421" i="41"/>
  <c r="Q526" i="41"/>
  <c r="M338" i="41"/>
  <c r="K497" i="41"/>
  <c r="K554" i="41"/>
  <c r="C774" i="41"/>
  <c r="K546" i="41"/>
  <c r="C780" i="41"/>
  <c r="M759" i="41" l="1"/>
  <c r="C775" i="41"/>
  <c r="C781" i="41" s="1"/>
  <c r="H6" i="1" l="1"/>
  <c r="J6" i="37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<sst xmlns="http://schemas.openxmlformats.org/spreadsheetml/2006/main" count="10769" uniqueCount="2059">
  <si>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</si>
  <si>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</si>
  <si>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</si>
  <si>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</si>
  <si>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</si>
  <si>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</si>
  <si>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</si>
  <si>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</si>
  <si>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</si>
  <si>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</si>
  <si>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</si>
  <si>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</si>
  <si>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</si>
  <si>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</si>
  <si>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</si>
  <si>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</si>
  <si>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</si>
  <si>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</si>
  <si>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</si>
  <si>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</si>
  <si>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</si>
  <si>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</si>
  <si>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</si>
  <si>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</si>
  <si>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</si>
  <si>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</si>
  <si>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</si>
  <si>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</si>
  <si>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</si>
  <si>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</si>
  <si>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</si>
  <si>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</si>
  <si>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</si>
  <si>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</si>
  <si>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</si>
  <si>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</si>
  <si>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</si>
  <si>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</si>
  <si>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</si>
  <si>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</si>
  <si>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</si>
  <si>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</si>
  <si>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</si>
  <si>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</si>
  <si>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</si>
  <si>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</si>
  <si>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</si>
  <si>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</si>
  <si>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</si>
  <si>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</si>
  <si>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</si>
  <si>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</si>
  <si>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</si>
  <si>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</si>
  <si>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</si>
  <si>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</si>
  <si>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</si>
  <si>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</si>
  <si>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</si>
  <si>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</si>
  <si>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</si>
  <si>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</si>
  <si>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</si>
  <si>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</si>
  <si>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</si>
  <si>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</si>
  <si>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</si>
  <si>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</si>
  <si>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</si>
  <si>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</si>
  <si>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</si>
  <si>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</si>
  <si>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</si>
  <si>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</si>
  <si>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</si>
  <si>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</si>
  <si>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</si>
  <si>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</si>
  <si>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</si>
  <si>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</si>
  <si>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</si>
  <si>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</si>
  <si>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</si>
  <si>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</si>
  <si>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</si>
  <si>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</si>
  <si>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</si>
  <si>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</si>
  <si>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</si>
  <si>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</si>
  <si>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</si>
  <si>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</si>
  <si>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</si>
  <si>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</si>
  <si>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</si>
  <si>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</si>
  <si>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</si>
  <si>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</si>
  <si>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</si>
  <si>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</si>
  <si>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</si>
  <si>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</si>
  <si>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</si>
  <si>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</si>
  <si>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</si>
  <si>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</si>
  <si>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</si>
  <si>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</si>
  <si>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</si>
  <si>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</si>
  <si>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</si>
  <si>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</si>
  <si>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</si>
  <si>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</si>
  <si>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</si>
  <si>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</si>
  <si>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</si>
  <si>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</si>
  <si>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</si>
  <si>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</si>
  <si>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</si>
  <si>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</si>
  <si>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</si>
  <si>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</si>
  <si>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</si>
  <si>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</si>
  <si>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</si>
  <si>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</si>
  <si>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</si>
  <si>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</si>
  <si>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</si>
  <si>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</si>
  <si>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</si>
  <si>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</si>
  <si>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</si>
  <si>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</si>
  <si>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</si>
  <si>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</si>
  <si>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</si>
  <si>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</si>
  <si>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</si>
  <si>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</si>
  <si>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</si>
  <si>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</si>
  <si>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</si>
  <si>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</si>
  <si>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</si>
  <si>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</si>
  <si>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</si>
  <si>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</si>
  <si>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</si>
  <si>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</si>
  <si>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</si>
  <si>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</si>
  <si>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</si>
  <si>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</si>
  <si>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</si>
  <si>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</si>
  <si>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</si>
  <si>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</si>
  <si>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</si>
  <si>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</si>
  <si>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</si>
  <si>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</si>
  <si>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</si>
  <si>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</si>
  <si>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</si>
  <si>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</si>
  <si>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</si>
  <si>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</si>
  <si>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</si>
  <si>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</si>
  <si>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</si>
  <si>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</si>
  <si>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</si>
  <si>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</si>
  <si>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</si>
  <si>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</si>
  <si>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</si>
  <si>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</si>
  <si>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</si>
  <si>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</si>
  <si>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</si>
  <si>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</si>
  <si>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</si>
  <si>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</si>
  <si>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</si>
  <si>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</si>
  <si>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</si>
  <si>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</si>
  <si>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</si>
  <si>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</si>
  <si>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</si>
  <si>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</si>
  <si>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</si>
  <si>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</si>
  <si>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</si>
  <si>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</si>
  <si>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</si>
  <si>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</si>
  <si>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</si>
  <si>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</si>
  <si>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</si>
  <si>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</si>
  <si>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</si>
  <si>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</si>
  <si>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</si>
  <si>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</si>
  <si>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</si>
  <si>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</si>
  <si>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</si>
  <si>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</si>
  <si>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</si>
  <si>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</si>
  <si>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</si>
  <si>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</si>
  <si>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</si>
  <si>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</si>
  <si>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</si>
  <si>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</si>
  <si>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</si>
  <si>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</si>
  <si>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</si>
  <si>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</si>
  <si>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</si>
  <si>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</si>
  <si>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</si>
  <si>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</si>
  <si>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</si>
  <si>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</si>
  <si>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</si>
  <si>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</si>
  <si>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</si>
  <si>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</si>
  <si>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</si>
  <si>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</si>
  <si>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</si>
  <si>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</si>
  <si>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</si>
  <si>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</si>
  <si>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</si>
  <si>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</si>
  <si>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</si>
  <si>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</si>
  <si>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</si>
  <si>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</si>
  <si>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</si>
  <si>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</si>
  <si>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</si>
  <si>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</si>
  <si>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</si>
  <si>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</si>
  <si>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</si>
  <si>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</si>
  <si>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</si>
  <si>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</si>
  <si>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</si>
  <si>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</si>
  <si>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</si>
  <si>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</si>
  <si>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</si>
  <si>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</si>
  <si>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</si>
  <si>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</si>
  <si>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</si>
  <si>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</si>
  <si>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</si>
  <si>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</si>
  <si>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</si>
  <si>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</si>
  <si>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</si>
  <si>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</si>
  <si>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</si>
  <si>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</si>
  <si>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</si>
  <si>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</si>
  <si>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</si>
  <si>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</si>
  <si>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</si>
  <si>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</si>
  <si>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</si>
  <si>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</si>
  <si>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</si>
  <si>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</si>
  <si>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</si>
  <si>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</si>
  <si>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</si>
  <si>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</si>
  <si>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</si>
  <si>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</si>
  <si>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</si>
  <si>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</si>
  <si>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</si>
  <si>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</si>
  <si>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</si>
  <si>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</si>
  <si>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</si>
  <si>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</si>
  <si>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</si>
  <si>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</si>
  <si>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</si>
  <si>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</si>
  <si>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</si>
  <si>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</si>
  <si>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</si>
  <si>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</si>
  <si>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</si>
  <si>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</si>
  <si>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</si>
  <si>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</si>
  <si>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</si>
  <si>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</si>
  <si>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</si>
  <si>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</si>
  <si>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</si>
  <si>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</si>
  <si>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</si>
  <si>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</si>
  <si>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</si>
  <si>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</si>
  <si>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</si>
  <si>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</si>
  <si>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</si>
  <si>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</si>
  <si>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</si>
  <si>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</si>
  <si>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</si>
  <si>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</si>
  <si>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</si>
  <si>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</si>
  <si>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</si>
  <si>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</si>
  <si>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</si>
  <si>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</si>
  <si>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</si>
  <si>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</si>
  <si>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</si>
  <si>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</si>
  <si>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</si>
  <si>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</si>
  <si>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</si>
  <si>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</si>
  <si>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</si>
  <si>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</si>
  <si>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</si>
  <si>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</si>
  <si>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</si>
  <si>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</si>
  <si>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</si>
  <si>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</si>
  <si>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</si>
  <si>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</si>
  <si>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</si>
  <si>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</si>
  <si>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</si>
  <si>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</si>
  <si>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</si>
  <si>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</si>
  <si>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</si>
  <si>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</si>
  <si>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</si>
  <si>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</si>
  <si>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</si>
  <si>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</si>
  <si>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</si>
  <si>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</si>
  <si>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</si>
  <si>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</si>
  <si>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</si>
  <si>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</si>
  <si>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</si>
  <si>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</si>
  <si>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</si>
  <si>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</si>
  <si>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</si>
  <si>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</si>
  <si>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</si>
  <si>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</si>
  <si>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</si>
  <si>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</si>
  <si>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</si>
  <si>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</si>
  <si>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</si>
  <si>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</si>
  <si>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</si>
  <si>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</si>
  <si>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</si>
  <si>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</si>
  <si>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</si>
  <si>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</si>
  <si>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</si>
  <si>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</si>
  <si>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</si>
  <si>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</si>
  <si>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</si>
  <si>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</si>
  <si>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</si>
  <si>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</si>
  <si>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</si>
  <si>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</si>
  <si>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</si>
  <si>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</si>
  <si>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</si>
  <si>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</si>
  <si>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</si>
  <si>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</si>
  <si>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</si>
  <si>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</si>
  <si>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</si>
  <si>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</si>
  <si>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</si>
  <si>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</si>
  <si>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</si>
  <si>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</si>
  <si>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</si>
  <si>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</si>
  <si>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</si>
  <si>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</si>
  <si>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</si>
  <si>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</si>
  <si>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</si>
  <si>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</si>
  <si>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</si>
  <si>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</si>
  <si>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</si>
  <si>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</si>
  <si>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</si>
  <si>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</si>
  <si>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</si>
  <si>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</si>
  <si>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</si>
  <si>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</si>
  <si>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</si>
  <si>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</si>
  <si>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</si>
  <si>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</si>
  <si>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</si>
  <si>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</si>
  <si>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</si>
  <si>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</si>
  <si>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</si>
  <si>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</si>
  <si>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</si>
  <si>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</si>
  <si>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</si>
  <si>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</si>
  <si>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</si>
  <si>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</si>
  <si>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</si>
  <si>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</si>
  <si>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</si>
  <si>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</si>
  <si>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</si>
  <si>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</si>
  <si>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</si>
  <si>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</si>
  <si>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</si>
  <si>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</si>
  <si>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</si>
  <si>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</si>
  <si>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</si>
  <si>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</si>
  <si>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</si>
  <si>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</si>
  <si>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</si>
  <si>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</si>
  <si>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</si>
  <si>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</si>
  <si>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</si>
  <si>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</si>
  <si>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</si>
  <si>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</si>
  <si>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</si>
  <si>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</si>
  <si>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</si>
  <si>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</si>
  <si>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</si>
  <si>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</si>
  <si>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</si>
  <si>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</si>
  <si>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</si>
  <si>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</si>
  <si>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</si>
  <si>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</si>
  <si>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</si>
  <si>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</si>
  <si>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</si>
  <si>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</si>
  <si>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</si>
  <si>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</si>
  <si>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</si>
  <si>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</si>
  <si>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</si>
  <si>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</si>
  <si>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</si>
  <si>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</si>
  <si>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</si>
  <si>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</si>
  <si>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</si>
  <si>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</si>
  <si>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</si>
  <si>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</si>
  <si>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</si>
  <si>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</si>
  <si>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</si>
  <si>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</si>
  <si>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</si>
  <si>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</si>
  <si>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</si>
  <si>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</si>
  <si>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</si>
  <si>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</si>
  <si>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</si>
  <si>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</si>
  <si>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</si>
  <si>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</si>
  <si>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</si>
  <si>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</si>
  <si>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</si>
  <si>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</si>
  <si>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</si>
  <si>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</si>
  <si>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</si>
  <si>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</si>
  <si>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</si>
  <si>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</si>
  <si>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</si>
  <si>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</si>
  <si>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</si>
  <si>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</si>
  <si>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</si>
  <si>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</si>
  <si>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</si>
  <si>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</si>
  <si>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</si>
  <si>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</si>
  <si>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</si>
  <si>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</si>
  <si>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</si>
  <si>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</si>
  <si>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</si>
  <si>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</si>
  <si>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</si>
  <si>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</si>
  <si>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</si>
  <si>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</si>
  <si>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</si>
  <si>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</si>
  <si>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</si>
  <si>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</si>
  <si>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</si>
  <si>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</si>
  <si>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</si>
  <si>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</si>
  <si>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</si>
  <si>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</si>
  <si>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</si>
  <si>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</si>
  <si>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</si>
  <si>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</si>
  <si>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</si>
  <si>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</si>
  <si>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</si>
  <si>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</si>
  <si>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</si>
  <si>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</si>
  <si>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</si>
  <si>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</si>
  <si>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</si>
  <si>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</si>
  <si>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</si>
  <si>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</si>
  <si>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</si>
  <si>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</si>
  <si>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</si>
  <si>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</si>
  <si>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</si>
  <si>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</si>
  <si>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</si>
  <si>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</si>
  <si>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</si>
  <si>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</si>
  <si>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</si>
  <si>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</si>
  <si>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</si>
  <si>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</si>
  <si>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</si>
  <si>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</si>
  <si>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</si>
  <si>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</si>
  <si>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</si>
  <si>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</si>
  <si>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</si>
  <si>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</si>
  <si>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</si>
  <si>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</si>
  <si>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</si>
  <si>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</si>
  <si>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</si>
  <si>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</si>
  <si>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</si>
  <si>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</si>
  <si>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</si>
  <si>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</si>
  <si>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</si>
  <si>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</si>
  <si>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</si>
  <si>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</si>
  <si>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</si>
  <si>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</si>
  <si>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</si>
  <si>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</si>
  <si>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</si>
  <si>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</si>
  <si>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</si>
  <si>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</si>
  <si>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</si>
  <si>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</si>
  <si>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</si>
  <si>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</si>
  <si>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</si>
  <si>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</si>
  <si>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</si>
  <si>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</si>
  <si>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</si>
  <si>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</si>
  <si>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</si>
  <si>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</si>
  <si>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</si>
  <si>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</si>
  <si>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</si>
  <si>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</si>
  <si>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</si>
  <si>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</si>
  <si>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</si>
  <si>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</si>
  <si>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</si>
  <si>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</si>
  <si>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</si>
  <si>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</si>
  <si>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</si>
  <si>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</si>
  <si>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</si>
  <si>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</si>
  <si>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</si>
  <si>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</si>
  <si>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</si>
  <si>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</si>
  <si>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</si>
  <si>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</si>
  <si>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</si>
  <si>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</si>
  <si>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</si>
  <si>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</si>
  <si>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</si>
  <si>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</si>
  <si>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</si>
  <si>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</si>
  <si>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</si>
  <si>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</si>
  <si>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</si>
  <si>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</si>
  <si>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</si>
  <si>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</si>
  <si>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</si>
  <si>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</si>
  <si>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</si>
  <si>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</si>
  <si>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</si>
  <si>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</si>
  <si>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</si>
  <si>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</si>
  <si>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</si>
  <si>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</si>
  <si>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</si>
  <si>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</si>
  <si>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</si>
  <si>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</si>
  <si>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</si>
  <si>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</si>
  <si>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</si>
  <si>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</si>
  <si>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</si>
  <si>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</si>
  <si>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</si>
  <si>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</si>
  <si>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</si>
  <si>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</si>
  <si>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</si>
  <si>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</si>
  <si>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</si>
  <si>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</si>
  <si>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</si>
  <si>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</si>
  <si>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</si>
  <si>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</si>
  <si>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</si>
  <si>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</si>
  <si>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</si>
  <si>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</si>
  <si>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</si>
  <si>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</si>
  <si>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</si>
  <si>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</si>
  <si>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</si>
  <si>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</si>
  <si>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</si>
  <si>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</si>
  <si>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</si>
  <si>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</si>
  <si>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</si>
  <si>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</si>
  <si>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</si>
  <si>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</si>
  <si>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</si>
  <si>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</si>
  <si>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</si>
  <si>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</si>
  <si>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</si>
  <si>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</si>
  <si>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</si>
  <si>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</si>
  <si>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</si>
  <si>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</si>
  <si>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</si>
  <si>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</si>
  <si>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</si>
  <si>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</si>
  <si>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</si>
  <si>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</si>
  <si>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</si>
  <si>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</si>
  <si>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</si>
  <si>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</si>
  <si>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</si>
  <si>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</si>
  <si>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</si>
  <si>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</si>
  <si>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</si>
  <si>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</si>
  <si>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</si>
  <si>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</si>
  <si>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</si>
  <si>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</si>
  <si>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</si>
  <si>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</si>
  <si>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</si>
  <si>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</si>
  <si>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</si>
  <si>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</si>
  <si>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</si>
  <si>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</si>
  <si>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</si>
  <si>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</si>
  <si>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</si>
  <si>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</si>
  <si>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</si>
  <si>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</si>
  <si>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</si>
  <si>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</si>
  <si>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</si>
  <si>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</si>
  <si>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</si>
  <si>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</si>
  <si>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</si>
  <si>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</si>
  <si>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</si>
  <si>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</si>
  <si>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</si>
  <si>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</si>
  <si>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</si>
  <si>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</si>
  <si>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</si>
  <si>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</si>
  <si>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</si>
  <si>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</si>
  <si>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</si>
  <si>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</si>
  <si>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</si>
  <si>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</si>
  <si>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</si>
  <si>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</si>
  <si>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</si>
  <si>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</si>
  <si>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</si>
  <si>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</si>
  <si>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</si>
  <si>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</si>
  <si>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</si>
  <si>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</si>
  <si>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</si>
  <si>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</si>
  <si>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</si>
  <si>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</si>
  <si>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</si>
  <si>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</si>
  <si>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</si>
  <si>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</si>
  <si>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</si>
  <si>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</si>
  <si>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</si>
  <si>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</si>
  <si>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</si>
  <si>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</si>
  <si>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</si>
  <si>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</si>
  <si>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</si>
  <si>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</si>
  <si>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</si>
  <si>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</si>
  <si>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</si>
  <si>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</si>
  <si>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</si>
  <si>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</si>
  <si>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</si>
  <si>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</si>
  <si>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</si>
  <si>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</si>
  <si>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</si>
  <si>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</si>
  <si>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</si>
  <si>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</si>
  <si>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</si>
  <si>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</si>
  <si>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</si>
  <si>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</si>
  <si>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</si>
  <si>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</si>
  <si>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</si>
  <si>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</si>
  <si>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</si>
  <si>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</si>
  <si>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</si>
  <si>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</si>
  <si>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</si>
  <si>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</si>
  <si>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</si>
  <si>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</si>
  <si>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</si>
  <si>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</si>
  <si>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</si>
  <si>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</si>
  <si>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</si>
  <si>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</si>
  <si>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</si>
  <si>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</si>
  <si>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</si>
  <si>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</si>
  <si>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</si>
  <si>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</si>
  <si>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</si>
  <si>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</si>
  <si>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</si>
  <si>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</si>
  <si>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</si>
  <si>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</si>
  <si>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</si>
  <si>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</si>
  <si>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</si>
  <si>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</si>
  <si>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</si>
  <si>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</si>
  <si>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</si>
  <si>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</si>
  <si>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</si>
  <si>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</si>
  <si>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</si>
  <si>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</si>
  <si>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</si>
  <si>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</si>
  <si>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</si>
  <si>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</si>
  <si>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</si>
  <si>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</si>
  <si>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</si>
  <si>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</si>
  <si>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</si>
  <si>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</si>
  <si>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</si>
  <si>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</si>
  <si>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</si>
  <si>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</si>
  <si>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</si>
  <si>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</si>
  <si>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</si>
  <si>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</si>
  <si>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</si>
  <si>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</si>
  <si>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</si>
  <si>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</si>
  <si>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</si>
  <si>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</si>
  <si>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</si>
  <si>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</si>
  <si>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</si>
  <si>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</si>
  <si>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</si>
  <si>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</si>
  <si>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</si>
  <si>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</si>
  <si>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</si>
  <si>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</si>
  <si>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</si>
  <si>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</si>
  <si>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</si>
  <si>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</si>
  <si>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</si>
  <si>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</si>
  <si>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</si>
  <si>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</si>
  <si>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</si>
  <si>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</si>
  <si>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</si>
  <si>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</si>
  <si>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</si>
  <si>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</si>
  <si>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</si>
  <si>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</si>
  <si>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</si>
  <si>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</si>
  <si>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</si>
  <si>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</si>
  <si>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</si>
  <si>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</si>
  <si>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</si>
  <si>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</si>
  <si>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</si>
  <si>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</si>
  <si>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</si>
  <si>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</si>
  <si>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</si>
  <si>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</si>
  <si>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</si>
  <si>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</si>
  <si>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</si>
  <si>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</si>
  <si>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</si>
  <si>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</si>
  <si>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</si>
  <si>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</si>
  <si>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</si>
  <si>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</si>
  <si>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</si>
  <si>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</si>
  <si>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</si>
  <si>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</si>
  <si>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</si>
  <si>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</si>
  <si>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</si>
  <si>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</si>
  <si>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</si>
  <si>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</si>
  <si>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</si>
  <si>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</si>
  <si>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</si>
  <si>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</si>
  <si>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</si>
  <si>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</si>
  <si>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</si>
  <si>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</si>
  <si>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</si>
  <si>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</si>
  <si>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</si>
  <si>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</si>
  <si>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</si>
  <si>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</si>
  <si>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</si>
  <si>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</si>
  <si>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</si>
  <si>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</si>
  <si>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</si>
  <si>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</si>
  <si>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</si>
  <si>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</si>
  <si>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</si>
  <si>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</si>
  <si>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</si>
  <si>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</si>
  <si>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</si>
  <si>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</si>
  <si>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</si>
  <si>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</si>
  <si>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</si>
  <si>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</si>
  <si>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</si>
  <si>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</si>
  <si>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</si>
  <si>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</si>
  <si>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</si>
  <si>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</si>
  <si>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</si>
  <si>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</si>
  <si>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</si>
  <si>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</si>
  <si>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</si>
  <si>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</si>
  <si>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</si>
  <si>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</si>
  <si>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</si>
  <si>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</si>
  <si>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</si>
  <si>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</si>
  <si>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</si>
  <si>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</si>
  <si>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</si>
  <si>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</si>
  <si>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</si>
  <si>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</si>
  <si>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</si>
  <si>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</si>
  <si>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</si>
  <si>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</si>
  <si>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</si>
  <si>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</si>
  <si>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</si>
  <si>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</si>
  <si>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</si>
  <si>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</si>
  <si>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</si>
  <si>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</si>
  <si>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</si>
  <si>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</si>
  <si>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</si>
  <si>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</si>
  <si>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</si>
  <si>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</si>
  <si>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</si>
  <si>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</si>
  <si>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</si>
  <si>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</si>
  <si>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</si>
  <si>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</si>
  <si>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</si>
  <si>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</si>
  <si>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</si>
  <si>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</si>
  <si>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</si>
  <si>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</si>
  <si>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</si>
  <si>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</si>
  <si>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</si>
  <si>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</si>
  <si>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</si>
  <si>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</si>
  <si>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</si>
  <si>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</si>
  <si>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</si>
  <si>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</si>
  <si>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</si>
  <si>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</si>
  <si>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</si>
  <si>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</si>
  <si>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</si>
  <si>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</si>
  <si>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</si>
  <si>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</si>
  <si>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</si>
  <si>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</si>
  <si>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</si>
  <si>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</si>
  <si>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</si>
  <si>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</si>
  <si>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</si>
  <si>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</si>
  <si>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</si>
  <si>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</si>
  <si>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</si>
  <si>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</si>
  <si>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</si>
  <si>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</si>
  <si>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</si>
  <si>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</si>
  <si>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</si>
  <si>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</si>
  <si>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</si>
  <si>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</si>
  <si>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</si>
  <si>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</si>
  <si>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</si>
  <si>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</si>
  <si>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</si>
  <si>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</si>
  <si>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</si>
  <si>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</si>
  <si>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</si>
  <si>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</si>
  <si>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</si>
  <si>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</si>
  <si>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</si>
  <si>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</si>
  <si>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</si>
  <si>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</si>
  <si>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</si>
  <si>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</si>
  <si>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</si>
  <si>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</si>
  <si>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</si>
  <si>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</si>
  <si>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</si>
  <si>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</si>
  <si>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</si>
  <si>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</si>
  <si>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</si>
  <si>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</si>
  <si>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</si>
  <si>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</si>
  <si>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</si>
  <si>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</si>
  <si>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</si>
  <si>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</si>
  <si>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</si>
  <si>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</si>
  <si>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</si>
  <si>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</si>
  <si>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</si>
  <si>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</si>
  <si>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</si>
  <si>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</si>
  <si>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</si>
  <si>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</si>
  <si>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</si>
  <si>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</si>
  <si>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</si>
  <si>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</si>
  <si>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</si>
  <si>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</si>
  <si>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</si>
  <si>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</si>
  <si>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</si>
  <si>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</si>
  <si>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</si>
  <si>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</si>
  <si>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</si>
  <si>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</si>
  <si>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</si>
  <si>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</si>
  <si>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</si>
  <si>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</si>
  <si>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</si>
  <si>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</si>
  <si>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</si>
  <si>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</si>
  <si>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</si>
  <si>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</si>
  <si>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</si>
  <si>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</si>
  <si>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</si>
  <si>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</si>
  <si>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</si>
  <si>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</si>
  <si>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</si>
  <si>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</si>
  <si>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</si>
  <si>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</si>
  <si>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</si>
  <si>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</si>
  <si>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</si>
  <si>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</si>
  <si>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</si>
  <si>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</si>
  <si>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</si>
  <si>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</si>
  <si>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</si>
  <si>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</si>
  <si>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</si>
  <si>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</si>
  <si>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</si>
  <si>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</si>
  <si>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</si>
  <si>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</si>
  <si>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</si>
  <si>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</si>
  <si>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</si>
  <si>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</si>
  <si>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</si>
  <si>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</si>
  <si>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</si>
  <si>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</si>
  <si>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</si>
  <si>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</si>
  <si>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</si>
  <si>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</si>
  <si>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</si>
  <si>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</si>
  <si>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</si>
  <si>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</si>
  <si>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</si>
  <si>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</si>
  <si>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</si>
  <si>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</si>
  <si>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</si>
  <si>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</si>
  <si>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</si>
  <si>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</si>
  <si>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</si>
  <si>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</si>
  <si>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</si>
  <si>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</si>
  <si>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</si>
  <si>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</si>
  <si>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</si>
  <si>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</si>
  <si>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</si>
  <si>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</si>
  <si>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</si>
  <si>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</si>
  <si>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</si>
  <si>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</si>
  <si>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</si>
  <si>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</si>
  <si>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</si>
  <si>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</si>
  <si>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</si>
  <si>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</si>
  <si>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</si>
  <si>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</si>
  <si>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</si>
  <si>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</si>
  <si>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</si>
  <si>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</si>
  <si>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</si>
  <si>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</si>
  <si>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</si>
  <si>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</si>
  <si>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</si>
  <si>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</si>
  <si>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</si>
  <si>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</si>
  <si>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</si>
  <si>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</si>
  <si>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</si>
  <si>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</si>
  <si>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</si>
  <si>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</si>
  <si>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</si>
  <si>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</si>
  <si>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</si>
  <si>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</si>
  <si>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</si>
  <si>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</si>
  <si>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</si>
  <si>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</si>
  <si>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</si>
  <si>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</si>
  <si>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</si>
  <si>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</si>
  <si>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</si>
  <si>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</si>
  <si>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</si>
  <si>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</si>
  <si>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</si>
  <si>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</si>
  <si>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</si>
  <si>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</si>
  <si>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</si>
  <si>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</si>
  <si>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</si>
  <si>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</si>
  <si>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</si>
  <si>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</si>
  <si>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</si>
  <si>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</si>
  <si>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</si>
  <si>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</si>
  <si>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</si>
  <si>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</si>
  <si>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</si>
  <si>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</si>
  <si>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</si>
  <si>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</si>
  <si>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</si>
  <si>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</si>
  <si>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</si>
  <si>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</si>
  <si>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</si>
  <si>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</si>
  <si>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</si>
  <si>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</si>
  <si>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</si>
  <si>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</si>
  <si>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</si>
  <si>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</si>
  <si>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</si>
  <si>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</si>
  <si>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</si>
  <si>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</si>
  <si>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</si>
  <si>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</si>
  <si>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</si>
  <si>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</si>
  <si>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</si>
  <si>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</si>
  <si>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</si>
  <si>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</si>
  <si>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</si>
  <si>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</si>
  <si>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</si>
  <si>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</si>
  <si>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</si>
  <si>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</si>
  <si>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</si>
  <si>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</si>
  <si>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</si>
  <si>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</si>
  <si>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</si>
  <si>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</si>
  <si>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</si>
  <si>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</si>
  <si>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</si>
  <si>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</si>
  <si>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</si>
  <si>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</si>
  <si>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</si>
  <si>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</si>
  <si>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</si>
  <si>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</si>
  <si>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</si>
  <si>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</si>
  <si>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</si>
  <si>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</si>
  <si>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</si>
  <si>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</si>
  <si>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</si>
  <si>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</si>
  <si>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</si>
  <si>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</si>
  <si>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</si>
  <si>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</si>
  <si>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</si>
  <si>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</si>
  <si>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</si>
  <si>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</si>
  <si>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</si>
  <si>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</si>
  <si>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</si>
  <si>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</si>
  <si>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</si>
  <si>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</si>
  <si>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</si>
  <si>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</si>
  <si>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</si>
  <si>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</si>
  <si>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</si>
  <si>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</si>
  <si>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</si>
  <si>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</si>
  <si>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</si>
  <si>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</si>
  <si>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</si>
  <si>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</si>
  <si>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</si>
  <si>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</si>
  <si>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</si>
  <si>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</si>
  <si>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</si>
  <si>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</si>
  <si>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</si>
  <si>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</si>
  <si>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</si>
  <si>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</si>
  <si>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</si>
  <si>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</si>
  <si>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</si>
  <si>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</si>
  <si>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</si>
  <si>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</si>
  <si>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</si>
  <si>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</si>
  <si>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</si>
  <si>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</si>
  <si>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</si>
  <si>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</si>
  <si>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</si>
  <si>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</si>
  <si>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</si>
  <si>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</si>
  <si>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</si>
  <si>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</si>
  <si>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</si>
  <si>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</si>
  <si>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</si>
  <si>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</si>
  <si>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</si>
  <si>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</si>
  <si>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</si>
  <si>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</si>
  <si>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</si>
  <si>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</si>
  <si>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</si>
  <si>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</si>
  <si>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</si>
  <si>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</si>
  <si>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</si>
  <si>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</si>
  <si>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</si>
  <si>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</si>
  <si>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</si>
  <si>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</si>
  <si>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</si>
  <si>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</si>
  <si>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</si>
  <si>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</si>
  <si>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</si>
  <si>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</si>
  <si>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</si>
  <si>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</si>
  <si>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</si>
  <si>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</si>
  <si>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</si>
  <si>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</si>
  <si>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</si>
  <si>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</si>
  <si>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</si>
  <si>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</si>
  <si>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</si>
  <si>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</si>
  <si>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</si>
  <si>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</si>
  <si>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</si>
  <si>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</si>
  <si>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</si>
  <si>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</si>
  <si>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</si>
  <si>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</si>
  <si>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</si>
  <si>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</si>
  <si>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</si>
  <si>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</si>
  <si>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</si>
  <si>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</si>
  <si>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</si>
  <si>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</si>
  <si>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</si>
  <si>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</si>
  <si>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</si>
  <si>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</si>
  <si>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</si>
  <si>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</si>
  <si>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</si>
  <si>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</si>
  <si>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</si>
  <si>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</si>
  <si>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</si>
  <si>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</si>
  <si>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</si>
  <si>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</si>
  <si>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</si>
  <si>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</si>
  <si>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</si>
  <si>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</si>
  <si>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</si>
  <si>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</si>
  <si>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</si>
  <si>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</si>
  <si>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</si>
  <si>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</si>
  <si>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</si>
  <si>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</si>
  <si>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</si>
  <si>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</si>
  <si>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</si>
  <si>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</si>
  <si>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</si>
  <si>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</si>
  <si>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</si>
  <si>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</si>
  <si>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</si>
  <si>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</si>
  <si>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</si>
  <si>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</si>
  <si>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</si>
  <si>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</si>
  <si>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</si>
  <si>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</si>
  <si>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</si>
  <si>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</si>
  <si>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</si>
  <si>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</si>
  <si>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</si>
  <si>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</si>
  <si>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</si>
  <si>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</si>
  <si>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</si>
  <si>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</si>
  <si>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</si>
  <si>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</si>
  <si>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</si>
  <si>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</si>
  <si>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</si>
  <si>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</si>
  <si>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</si>
  <si>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</si>
  <si>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</si>
  <si>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</si>
  <si>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</si>
  <si>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</si>
  <si>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</si>
  <si>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</si>
  <si>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</si>
  <si>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</si>
  <si>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</si>
  <si>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</si>
  <si>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</si>
  <si>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</si>
  <si>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</si>
  <si>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</si>
  <si>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</si>
  <si>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</si>
  <si>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</si>
  <si>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</si>
  <si>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</si>
  <si>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</si>
  <si>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</si>
  <si>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</si>
  <si>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</si>
  <si>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</si>
  <si>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</si>
  <si>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</si>
  <si>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</si>
  <si>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</si>
  <si>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</si>
  <si>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</si>
  <si>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</si>
  <si>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</si>
  <si>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</si>
  <si>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</si>
  <si>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</si>
  <si>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</si>
  <si>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</si>
  <si>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</si>
  <si>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</si>
  <si>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</si>
  <si>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</si>
  <si>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</si>
  <si>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</si>
  <si>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</si>
  <si>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</si>
  <si>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</si>
  <si>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</si>
  <si>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</si>
  <si>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</si>
  <si>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</si>
  <si>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</si>
  <si>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</si>
  <si>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</si>
  <si>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</si>
  <si>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</si>
  <si>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</si>
  <si>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</si>
  <si>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</si>
  <si>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</si>
  <si>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</si>
  <si>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</si>
  <si>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</si>
  <si>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</si>
  <si>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</si>
  <si>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</si>
  <si>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</si>
  <si>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</si>
  <si>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</si>
  <si>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</si>
  <si>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</si>
  <si>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</si>
  <si>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</si>
  <si>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</si>
  <si>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</si>
  <si>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</si>
  <si>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</si>
  <si>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</si>
  <si>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</si>
  <si>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</si>
  <si>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</si>
  <si>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</si>
  <si>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</si>
  <si>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</si>
  <si>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</si>
  <si>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</si>
  <si>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</si>
  <si>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</si>
  <si>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</si>
  <si>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</si>
  <si>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</si>
  <si>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</si>
  <si>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</si>
  <si>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</si>
  <si>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</si>
  <si>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</si>
  <si>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</si>
  <si>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</si>
  <si>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</si>
  <si>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</si>
  <si>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</si>
  <si>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</si>
  <si>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</si>
  <si>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</si>
  <si>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</si>
  <si>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</si>
  <si>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</si>
  <si>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</si>
  <si>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</si>
  <si>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</si>
  <si>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</si>
  <si>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</si>
  <si>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</si>
  <si>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</si>
  <si>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</si>
  <si>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</si>
  <si>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</si>
  <si>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</si>
  <si>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</si>
  <si>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</si>
  <si>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</si>
  <si>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</si>
  <si>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</si>
  <si>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</si>
  <si>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</si>
  <si>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</si>
  <si>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</si>
  <si>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</si>
  <si>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</si>
  <si>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</si>
  <si>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</si>
  <si>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</si>
  <si>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</si>
  <si>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</si>
  <si>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</si>
  <si>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</si>
  <si>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</si>
  <si>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</si>
  <si>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</si>
  <si>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</si>
  <si>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</si>
  <si>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</si>
  <si>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</si>
  <si>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</si>
  <si>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</si>
  <si>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</si>
  <si>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</si>
  <si>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</si>
  <si>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</si>
  <si>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</si>
  <si>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</si>
  <si>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</si>
  <si>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</si>
  <si>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</si>
  <si>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</si>
  <si>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</si>
  <si>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</si>
  <si>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</si>
  <si>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</si>
  <si>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</si>
  <si>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</si>
  <si>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</si>
  <si>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</si>
  <si>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</si>
  <si>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</si>
  <si>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</si>
  <si>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</si>
  <si>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</si>
  <si>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</si>
  <si>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</si>
  <si>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</si>
  <si>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</si>
  <si>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</si>
  <si>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</si>
  <si>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</si>
  <si>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</si>
  <si>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</si>
  <si>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</si>
  <si>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</si>
  <si>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</si>
  <si>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</si>
  <si>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</si>
  <si>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</si>
  <si>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</si>
  <si>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</si>
  <si>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</si>
  <si>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</si>
  <si>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</si>
  <si>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</si>
  <si>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</si>
  <si>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</si>
  <si>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</si>
  <si>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</si>
  <si>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</si>
  <si>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</si>
  <si>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</si>
  <si>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</si>
  <si>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</si>
  <si>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</si>
  <si>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</si>
  <si>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</si>
  <si>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</si>
  <si>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</si>
  <si>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</si>
  <si>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</si>
  <si>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</si>
  <si>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</si>
  <si>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</si>
  <si>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</si>
  <si>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</si>
  <si>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</si>
  <si>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</si>
  <si>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</si>
  <si>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</si>
  <si>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</si>
  <si>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</si>
  <si>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</si>
  <si>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</si>
  <si>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</si>
  <si>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</si>
  <si>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</si>
  <si>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</si>
  <si>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</si>
  <si>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</si>
  <si>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</si>
  <si>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</si>
  <si>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</si>
  <si>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</si>
  <si>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</si>
  <si>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</si>
  <si>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</si>
  <si>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</si>
  <si>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</si>
  <si>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</si>
  <si>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</si>
  <si>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</si>
  <si>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</si>
  <si>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</si>
  <si>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</si>
  <si>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</si>
  <si>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</si>
  <si>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</si>
  <si>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</si>
  <si>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</si>
  <si>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</si>
  <si>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</si>
  <si>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</si>
  <si>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</si>
  <si>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</si>
  <si>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</si>
  <si>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</si>
  <si>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</si>
  <si>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</si>
  <si>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</si>
  <si>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</si>
  <si>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</si>
  <si>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</si>
  <si>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</si>
  <si>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</si>
  <si>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</si>
  <si>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</si>
  <si>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</si>
  <si>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</si>
  <si>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</si>
  <si>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</si>
  <si>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</si>
  <si>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</si>
  <si>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</si>
  <si>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</si>
  <si>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</si>
  <si>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</si>
  <si>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</si>
  <si>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</si>
  <si>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</si>
  <si>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</si>
  <si>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</si>
  <si>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</si>
  <si>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</si>
  <si>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</si>
  <si>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</si>
  <si>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</si>
  <si>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</si>
  <si>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</si>
  <si>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</si>
  <si>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</si>
  <si>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</si>
  <si>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</si>
  <si>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</si>
  <si>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</si>
  <si>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</si>
  <si>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</si>
  <si>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</si>
  <si>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</si>
  <si>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</si>
  <si>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</si>
  <si>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</si>
  <si>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</si>
  <si>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</si>
  <si>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</si>
  <si>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</si>
  <si>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</si>
  <si>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</si>
  <si>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</si>
  <si>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</si>
  <si>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</si>
  <si>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</si>
  <si>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</si>
  <si>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</si>
  <si>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</si>
  <si>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</si>
  <si>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</si>
  <si>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</si>
  <si>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</si>
  <si>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</si>
  <si>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</si>
  <si>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</si>
  <si>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</si>
  <si>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</si>
  <si>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</si>
  <si>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</si>
  <si>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</si>
  <si>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</si>
  <si>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</si>
  <si>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</si>
  <si>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</si>
  <si>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</si>
  <si>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</si>
  <si>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</si>
  <si>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</si>
  <si>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</si>
  <si>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</si>
  <si>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</si>
  <si>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</si>
  <si>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</si>
  <si>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</si>
  <si>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</si>
  <si>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</si>
  <si>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</si>
  <si>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</si>
  <si>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</si>
  <si>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</si>
  <si>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</si>
  <si>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</si>
  <si>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</si>
  <si>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</si>
  <si>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</si>
  <si>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</si>
  <si>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</si>
  <si>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</si>
  <si>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</si>
  <si>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</si>
  <si>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</si>
  <si>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</si>
  <si>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</si>
  <si>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</si>
  <si>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</si>
  <si>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</si>
  <si>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</si>
  <si>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</si>
  <si>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</si>
  <si>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</si>
  <si>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</si>
  <si>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</si>
  <si>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</si>
  <si>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</si>
  <si>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</si>
  <si>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</si>
  <si>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</si>
  <si>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</si>
  <si>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</si>
  <si>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</si>
  <si>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</si>
  <si>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</si>
  <si>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</si>
  <si>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</si>
  <si>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</si>
  <si>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</si>
  <si>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</si>
  <si>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</si>
  <si>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</si>
  <si>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</si>
  <si>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</si>
  <si>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</si>
  <si>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</si>
  <si>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</si>
  <si>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</si>
  <si>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</si>
  <si>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</si>
  <si>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</si>
  <si>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</si>
  <si>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</si>
  <si>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</si>
  <si>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</si>
  <si>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</si>
  <si>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</si>
  <si>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</si>
  <si>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</si>
  <si>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</si>
  <si>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</si>
  <si>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</si>
  <si>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</si>
  <si>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</si>
  <si>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</si>
  <si>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</si>
  <si>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</si>
  <si>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</si>
  <si>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</si>
  <si>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</si>
  <si>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</si>
  <si>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</si>
  <si>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</si>
  <si>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</si>
  <si>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</si>
  <si>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</si>
  <si>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</si>
  <si>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</si>
  <si>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</si>
  <si>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</si>
  <si>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</si>
  <si>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</si>
  <si>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</si>
  <si>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</si>
  <si>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</si>
  <si>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</si>
  <si>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</si>
  <si>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</si>
  <si>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</si>
  <si>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</si>
  <si>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</si>
  <si>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</si>
  <si>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</si>
  <si>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</si>
  <si>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</si>
  <si>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</si>
  <si>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</si>
  <si>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</si>
  <si>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</si>
  <si>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</si>
  <si>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</si>
  <si>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</si>
  <si>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</si>
  <si>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</si>
  <si>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</si>
  <si>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</si>
  <si>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</si>
  <si>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</si>
  <si>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</si>
  <si>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</si>
  <si>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</si>
  <si>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</si>
  <si>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</si>
  <si>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</si>
  <si>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</si>
  <si>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</si>
  <si>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</si>
  <si>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</si>
  <si>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</si>
  <si>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</si>
  <si>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</si>
  <si>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</si>
  <si>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</si>
  <si>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</si>
  <si>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</si>
  <si>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</si>
  <si>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</si>
  <si>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</si>
  <si>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</si>
  <si>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</si>
  <si>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</si>
  <si>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</si>
  <si>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</si>
  <si>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</si>
  <si>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</si>
  <si>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</si>
  <si>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</si>
  <si>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</si>
  <si>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</si>
  <si>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</si>
  <si>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</si>
  <si>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</si>
  <si>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</si>
  <si>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</si>
  <si>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</si>
  <si>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</si>
  <si>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</si>
  <si>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</si>
  <si>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</si>
  <si>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</si>
  <si>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</si>
  <si>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</si>
  <si>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</si>
  <si>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</si>
  <si>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</si>
  <si>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</si>
  <si>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</si>
  <si>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</si>
  <si>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</si>
  <si>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</si>
  <si>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</si>
  <si>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</si>
  <si>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</si>
  <si>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</si>
  <si>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</si>
  <si>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</si>
  <si>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</si>
  <si>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</si>
  <si>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</si>
  <si>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</si>
  <si>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</si>
  <si>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</si>
  <si>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</si>
  <si>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</si>
  <si>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</si>
  <si>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</si>
  <si>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</si>
  <si>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</si>
  <si>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</si>
  <si>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</si>
  <si>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</si>
  <si>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</si>
  <si>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</si>
  <si>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</si>
  <si>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</si>
  <si>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</si>
  <si>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</si>
  <si>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</si>
  <si>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</si>
  <si>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</si>
  <si>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</si>
  <si>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</si>
  <si>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</si>
  <si>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</si>
  <si>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</si>
  <si>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</si>
  <si>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</si>
  <si>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</si>
  <si>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</si>
  <si>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</si>
  <si>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</si>
  <si>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</si>
  <si>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</si>
  <si>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</si>
  <si>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</si>
  <si>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</si>
  <si>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</si>
  <si>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</si>
  <si>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</si>
  <si>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</si>
  <si>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</si>
  <si>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</si>
  <si>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</si>
  <si>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</si>
  <si>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</si>
  <si>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CLEANUP INVOICE</t>
  </si>
  <si>
    <r>
      <t xml:space="preserve">តារាងសង្ខេបប្រាក់អាករដែលអាចស្នើសុំបង្វិលសង </t>
    </r>
    <r>
      <rPr>
        <b/>
        <sz val="11"/>
        <rFont val="Khmer OS Siemreap"/>
      </rPr>
      <t>ហូលីដេ ឌីហ្សាញ (ខេមបូឌា) ឯ.ក</t>
    </r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</si>
  <si>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</si>
  <si>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</si>
  <si>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</si>
  <si>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</si>
  <si>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</si>
  <si>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</si>
  <si>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</si>
  <si>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</si>
  <si>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</si>
  <si>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</si>
  <si>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</si>
  <si>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</si>
  <si>
    <t>USER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</si>
</sst>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dd\-mm\-yy"/>
    <numFmt numFmtId="176" formatCode="0000"/>
    <numFmt numFmtId="177" formatCode="\I\ 00000"/>
  </numFmts>
  <fonts count="8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b/>
      <sz val="8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b/>
      <sz val="10"/>
      <name val="Khmer OS Siemreap"/>
    </font>
    <font>
      <sz val="12"/>
      <name val="Khmer OS Siemreap"/>
    </font>
    <font>
      <sz val="10"/>
      <name val="Arial"/>
      <family val="2"/>
    </font>
    <font>
      <sz val="8"/>
      <name val="Arial"/>
    </font>
    <font>
      <sz val="9"/>
      <name val="Khmer OS Siemreap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9" fontId="73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02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4" xfId="21" applyFont="1" applyFill="1" applyBorder="1" applyAlignment="1">
      <alignment vertical="center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8" fillId="0" borderId="4" xfId="0" applyFont="1" applyFill="1" applyBorder="1" applyAlignment="1">
      <alignment horizontal="center" vertical="center"/>
    </xf>
    <xf numFmtId="0" fontId="72" fillId="0" borderId="0" xfId="0" applyFont="1" applyFill="1" applyAlignment="1">
      <alignment horizontal="right" vertical="top"/>
    </xf>
    <xf numFmtId="0" fontId="66" fillId="0" borderId="4" xfId="26" applyFont="1" applyFill="1" applyBorder="1" applyAlignment="1">
      <alignment horizontal="center" vertical="center"/>
    </xf>
    <xf numFmtId="164" fontId="65" fillId="0" borderId="0" xfId="27" applyNumberFormat="1" applyFont="1" applyFill="1" applyAlignment="1">
      <alignment vertical="center"/>
    </xf>
    <xf numFmtId="0" fontId="72" fillId="0" borderId="0" xfId="0" applyFont="1" applyFill="1" applyAlignment="1">
      <alignment horizontal="left" vertical="center"/>
    </xf>
    <xf numFmtId="0" fontId="72" fillId="0" borderId="0" xfId="0" applyFont="1" applyFill="1" applyAlignment="1">
      <alignment vertical="center"/>
    </xf>
    <xf numFmtId="0" fontId="72" fillId="0" borderId="0" xfId="0" applyFont="1" applyFill="1">
      <alignment vertical="top"/>
    </xf>
    <xf numFmtId="164" fontId="72" fillId="0" borderId="0" xfId="1" applyNumberFormat="1" applyFont="1" applyFill="1" applyAlignment="1">
      <alignment vertical="top" wrapText="1"/>
    </xf>
    <xf numFmtId="164" fontId="72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8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8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4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7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70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8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8" fillId="0" borderId="45" xfId="0" applyFont="1" applyFill="1" applyBorder="1" applyAlignment="1">
      <alignment horizontal="center" vertical="center"/>
    </xf>
    <xf numFmtId="0" fontId="72" fillId="0" borderId="0" xfId="26" applyFont="1" applyFill="1" applyBorder="1" applyAlignment="1">
      <alignment vertical="center"/>
    </xf>
    <xf numFmtId="164" fontId="72" fillId="0" borderId="0" xfId="1" applyNumberFormat="1" applyFont="1" applyFill="1" applyBorder="1" applyAlignment="1">
      <alignment vertical="center"/>
    </xf>
    <xf numFmtId="0" fontId="72" fillId="0" borderId="41" xfId="26" applyFont="1" applyFill="1" applyBorder="1" applyAlignment="1">
      <alignment vertical="center"/>
    </xf>
    <xf numFmtId="0" fontId="72" fillId="0" borderId="0" xfId="26" applyFont="1" applyFill="1" applyAlignment="1">
      <alignment vertical="center"/>
    </xf>
    <xf numFmtId="0" fontId="72" fillId="0" borderId="0" xfId="0" applyFont="1" applyFill="1" applyBorder="1" applyAlignment="1">
      <alignment horizontal="right" vertical="center"/>
    </xf>
    <xf numFmtId="0" fontId="72" fillId="0" borderId="0" xfId="0" applyFont="1" applyFill="1" applyBorder="1" applyAlignment="1">
      <alignment vertical="center"/>
    </xf>
    <xf numFmtId="0" fontId="72" fillId="0" borderId="0" xfId="0" applyFont="1" applyFill="1" applyBorder="1">
      <alignment vertical="top"/>
    </xf>
    <xf numFmtId="0" fontId="72" fillId="0" borderId="0" xfId="0" applyFont="1" applyFill="1" applyBorder="1" applyAlignment="1">
      <alignment horizontal="right" vertical="top"/>
    </xf>
    <xf numFmtId="0" fontId="72" fillId="0" borderId="0" xfId="0" applyFont="1" applyFill="1" applyBorder="1" applyAlignment="1"/>
    <xf numFmtId="164" fontId="72" fillId="0" borderId="0" xfId="1" applyNumberFormat="1" applyFont="1" applyFill="1" applyBorder="1" applyAlignment="1">
      <alignment vertical="top" wrapText="1"/>
    </xf>
    <xf numFmtId="164" fontId="72" fillId="0" borderId="0" xfId="1" applyNumberFormat="1" applyFont="1" applyFill="1" applyBorder="1" applyAlignment="1">
      <alignment horizontal="right" vertical="center" wrapText="1"/>
    </xf>
    <xf numFmtId="164" fontId="72" fillId="0" borderId="0" xfId="1" applyNumberFormat="1" applyFont="1" applyFill="1" applyBorder="1" applyAlignment="1">
      <alignment horizontal="right" vertical="center"/>
    </xf>
    <xf numFmtId="0" fontId="72" fillId="0" borderId="0" xfId="0" applyFont="1" applyFill="1" applyBorder="1" applyAlignment="1">
      <alignment horizontal="left" vertical="center"/>
    </xf>
    <xf numFmtId="174" fontId="72" fillId="0" borderId="0" xfId="0" applyNumberFormat="1" applyFont="1" applyFill="1" applyBorder="1" applyAlignment="1">
      <alignment horizontal="left"/>
    </xf>
    <xf numFmtId="164" fontId="72" fillId="0" borderId="1" xfId="1" applyNumberFormat="1" applyFont="1" applyFill="1" applyBorder="1" applyAlignment="1">
      <alignment horizontal="right" vertical="center"/>
    </xf>
    <xf numFmtId="173" fontId="72" fillId="0" borderId="1" xfId="1" applyNumberFormat="1" applyFont="1" applyFill="1" applyBorder="1" applyAlignment="1">
      <alignment horizontal="center"/>
    </xf>
    <xf numFmtId="0" fontId="65" fillId="0" borderId="0" xfId="26" applyFont="1" applyFill="1" applyAlignment="1">
      <alignment horizontal="center" vertical="center"/>
    </xf>
    <xf numFmtId="164" fontId="65" fillId="0" borderId="0" xfId="1" applyNumberFormat="1" applyFont="1" applyFill="1" applyAlignment="1">
      <alignment vertical="center"/>
    </xf>
    <xf numFmtId="15" fontId="65" fillId="0" borderId="0" xfId="26" applyNumberFormat="1" applyFont="1" applyFill="1" applyAlignment="1">
      <alignment vertical="center"/>
    </xf>
    <xf numFmtId="164" fontId="72" fillId="0" borderId="0" xfId="1" applyNumberFormat="1" applyFont="1" applyFill="1" applyAlignment="1">
      <alignment vertical="center"/>
    </xf>
    <xf numFmtId="0" fontId="72" fillId="0" borderId="0" xfId="0" applyFont="1" applyFill="1" applyAlignment="1">
      <alignment horizontal="right" vertical="center"/>
    </xf>
    <xf numFmtId="0" fontId="72" fillId="0" borderId="0" xfId="0" applyFont="1" applyFill="1" applyAlignment="1"/>
    <xf numFmtId="164" fontId="72" fillId="0" borderId="0" xfId="1" applyNumberFormat="1" applyFont="1" applyFill="1" applyAlignment="1">
      <alignment horizontal="right" vertical="center" wrapText="1"/>
    </xf>
    <xf numFmtId="174" fontId="72" fillId="0" borderId="0" xfId="0" applyNumberFormat="1" applyFont="1" applyFill="1" applyAlignment="1">
      <alignment horizontal="left"/>
    </xf>
    <xf numFmtId="164" fontId="66" fillId="0" borderId="4" xfId="27" applyNumberFormat="1" applyFont="1" applyFill="1" applyBorder="1" applyAlignment="1">
      <alignment horizontal="center" vertical="center"/>
    </xf>
    <xf numFmtId="0" fontId="26" fillId="0" borderId="35" xfId="0" applyFont="1" applyFill="1" applyBorder="1" applyAlignment="1">
      <alignment horizontal="center"/>
    </xf>
    <xf numFmtId="43" fontId="26" fillId="0" borderId="35" xfId="1" applyFont="1" applyFill="1" applyBorder="1" applyAlignment="1">
      <alignment horizontal="center"/>
    </xf>
    <xf numFmtId="0" fontId="65" fillId="0" borderId="4" xfId="26" applyFont="1" applyFill="1" applyBorder="1" applyAlignment="1">
      <alignment horizontal="center" vertical="center"/>
    </xf>
    <xf numFmtId="0" fontId="65" fillId="0" borderId="4" xfId="26" applyFont="1" applyFill="1" applyBorder="1" applyAlignment="1">
      <alignment horizontal="left" vertical="center"/>
    </xf>
    <xf numFmtId="49" fontId="65" fillId="0" borderId="4" xfId="26" applyNumberFormat="1" applyFont="1" applyFill="1" applyBorder="1" applyAlignment="1">
      <alignment horizontal="center" vertical="center" wrapText="1"/>
    </xf>
    <xf numFmtId="15" fontId="65" fillId="0" borderId="4" xfId="26" applyNumberFormat="1" applyFont="1" applyFill="1" applyBorder="1" applyAlignment="1">
      <alignment horizontal="center" vertical="center"/>
    </xf>
    <xf numFmtId="164" fontId="65" fillId="0" borderId="4" xfId="27" applyNumberFormat="1" applyFont="1" applyFill="1" applyBorder="1" applyAlignment="1">
      <alignment vertical="center"/>
    </xf>
    <xf numFmtId="0" fontId="65" fillId="0" borderId="4" xfId="26" applyFont="1" applyFill="1" applyBorder="1" applyAlignment="1">
      <alignment vertical="center"/>
    </xf>
    <xf numFmtId="49" fontId="65" fillId="0" borderId="4" xfId="1" applyNumberFormat="1" applyFont="1" applyFill="1" applyBorder="1" applyAlignment="1">
      <alignment vertical="center"/>
    </xf>
    <xf numFmtId="49" fontId="65" fillId="0" borderId="0" xfId="1" applyNumberFormat="1" applyFont="1" applyFill="1" applyAlignment="1">
      <alignment vertical="center"/>
    </xf>
    <xf numFmtId="49" fontId="65" fillId="0" borderId="4" xfId="26" applyNumberFormat="1" applyFont="1" applyFill="1" applyBorder="1" applyAlignment="1">
      <alignment vertical="center"/>
    </xf>
    <xf numFmtId="49" fontId="65" fillId="0" borderId="0" xfId="26" applyNumberFormat="1" applyFont="1" applyFill="1" applyAlignment="1">
      <alignment vertical="center"/>
    </xf>
    <xf numFmtId="49" fontId="75" fillId="0" borderId="0" xfId="0" applyNumberFormat="1" applyFont="1" applyFill="1" applyAlignment="1"/>
    <xf numFmtId="15" fontId="75" fillId="0" borderId="0" xfId="0" applyNumberFormat="1" applyFont="1" applyFill="1" applyAlignment="1"/>
    <xf numFmtId="0" fontId="75" fillId="0" borderId="0" xfId="0" applyFont="1" applyFill="1" applyAlignment="1"/>
    <xf numFmtId="43" fontId="75" fillId="0" borderId="0" xfId="1" applyFont="1" applyFill="1"/>
    <xf numFmtId="167" fontId="65" fillId="0" borderId="4" xfId="23" applyNumberFormat="1" applyFont="1" applyFill="1" applyBorder="1" applyAlignment="1">
      <alignment horizontal="center" vertical="center"/>
    </xf>
    <xf numFmtId="1" fontId="65" fillId="0" borderId="4" xfId="26" applyNumberFormat="1" applyFont="1" applyFill="1" applyBorder="1" applyAlignment="1">
      <alignment horizontal="center" vertical="center" wrapText="1"/>
    </xf>
    <xf numFmtId="164" fontId="65" fillId="0" borderId="4" xfId="1" applyNumberFormat="1" applyFont="1" applyFill="1" applyBorder="1" applyAlignment="1">
      <alignment vertical="center"/>
    </xf>
    <xf numFmtId="3" fontId="65" fillId="0" borderId="0" xfId="26" applyNumberFormat="1" applyFont="1" applyFill="1" applyAlignment="1">
      <alignment vertical="center"/>
    </xf>
    <xf numFmtId="164" fontId="65" fillId="0" borderId="4" xfId="26" applyNumberFormat="1" applyFont="1" applyFill="1" applyBorder="1" applyAlignment="1">
      <alignment vertical="center"/>
    </xf>
    <xf numFmtId="14" fontId="9" fillId="0" borderId="35" xfId="0" applyNumberFormat="1" applyFont="1" applyFill="1" applyBorder="1" applyAlignment="1">
      <alignment horizontal="left" vertical="top"/>
    </xf>
    <xf numFmtId="0" fontId="9" fillId="0" borderId="35" xfId="0" applyFont="1" applyFill="1" applyBorder="1" applyAlignment="1">
      <alignment horizontal="left" vertical="top"/>
    </xf>
    <xf numFmtId="0" fontId="9" fillId="0" borderId="35" xfId="0" applyFont="1" applyFill="1" applyBorder="1">
      <alignment vertical="top"/>
    </xf>
    <xf numFmtId="0" fontId="9" fillId="0" borderId="35" xfId="0" applyFont="1" applyFill="1" applyBorder="1" applyAlignment="1">
      <alignment vertical="center"/>
    </xf>
    <xf numFmtId="0" fontId="9" fillId="0" borderId="35" xfId="0" applyFont="1" applyFill="1" applyBorder="1" applyAlignment="1">
      <alignment horizontal="right" vertical="top"/>
    </xf>
    <xf numFmtId="0" fontId="9" fillId="0" borderId="35" xfId="0" applyFont="1" applyFill="1" applyBorder="1" applyAlignment="1">
      <alignment horizontal="center" vertical="top"/>
    </xf>
    <xf numFmtId="9" fontId="9" fillId="0" borderId="35" xfId="0" applyNumberFormat="1" applyFont="1" applyFill="1" applyBorder="1" applyAlignment="1">
      <alignment horizontal="center" vertical="top"/>
    </xf>
    <xf numFmtId="169" fontId="75" fillId="0" borderId="0" xfId="0" applyNumberFormat="1" applyFont="1" applyFill="1" applyAlignment="1"/>
    <xf numFmtId="176" fontId="65" fillId="0" borderId="4" xfId="26" applyNumberFormat="1" applyFont="1" applyFill="1" applyBorder="1" applyAlignment="1">
      <alignment horizontal="center" vertical="center" wrapText="1"/>
    </xf>
    <xf numFmtId="175" fontId="65" fillId="0" borderId="4" xfId="26" applyNumberFormat="1" applyFont="1" applyFill="1" applyBorder="1" applyAlignment="1">
      <alignment horizontal="center" vertical="center"/>
    </xf>
    <xf numFmtId="164" fontId="65" fillId="0" borderId="4" xfId="27" applyNumberFormat="1" applyFont="1" applyFill="1" applyBorder="1"/>
    <xf numFmtId="164" fontId="65" fillId="0" borderId="4" xfId="1" applyNumberFormat="1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vertical="center"/>
    </xf>
    <xf numFmtId="173" fontId="66" fillId="0" borderId="4" xfId="27" applyNumberFormat="1" applyFont="1" applyFill="1" applyBorder="1" applyAlignment="1">
      <alignment vertical="center"/>
    </xf>
    <xf numFmtId="173" fontId="66" fillId="0" borderId="0" xfId="27" applyNumberFormat="1" applyFont="1" applyFill="1" applyBorder="1" applyAlignment="1">
      <alignment vertical="center"/>
    </xf>
    <xf numFmtId="0" fontId="65" fillId="0" borderId="1" xfId="26" applyFont="1" applyFill="1" applyBorder="1" applyAlignment="1">
      <alignment vertical="center"/>
    </xf>
    <xf numFmtId="0" fontId="65" fillId="0" borderId="0" xfId="26" applyFont="1" applyFill="1" applyAlignment="1">
      <alignment horizontal="center" vertical="center" wrapText="1"/>
    </xf>
    <xf numFmtId="164" fontId="65" fillId="0" borderId="0" xfId="1" applyNumberFormat="1" applyFont="1" applyFill="1"/>
    <xf numFmtId="164" fontId="68" fillId="0" borderId="0" xfId="1" applyNumberFormat="1" applyFont="1" applyFill="1"/>
    <xf numFmtId="0" fontId="68" fillId="0" borderId="0" xfId="26" applyFont="1" applyFill="1"/>
    <xf numFmtId="15" fontId="68" fillId="0" borderId="0" xfId="26" applyNumberFormat="1" applyFont="1" applyFill="1"/>
    <xf numFmtId="0" fontId="68" fillId="0" borderId="0" xfId="26" applyFont="1" applyFill="1" applyAlignment="1">
      <alignment vertical="center"/>
    </xf>
    <xf numFmtId="0" fontId="66" fillId="0" borderId="4" xfId="26" applyFont="1" applyFill="1" applyBorder="1" applyAlignment="1">
      <alignment horizontal="center" vertical="center" wrapText="1"/>
    </xf>
    <xf numFmtId="0" fontId="72" fillId="0" borderId="0" xfId="26" applyFont="1" applyFill="1" applyAlignment="1">
      <alignment horizontal="center" vertical="center"/>
    </xf>
    <xf numFmtId="0" fontId="68" fillId="0" borderId="0" xfId="26" applyFont="1" applyFill="1" applyAlignment="1">
      <alignment horizontal="center" vertical="center"/>
    </xf>
    <xf numFmtId="173" fontId="65" fillId="0" borderId="4" xfId="27" applyNumberFormat="1" applyFont="1" applyFill="1" applyBorder="1" applyAlignment="1">
      <alignment vertical="center"/>
    </xf>
    <xf numFmtId="0" fontId="65" fillId="0" borderId="4" xfId="26" applyFont="1" applyFill="1" applyBorder="1" applyAlignment="1">
      <alignment vertical="center" wrapText="1"/>
    </xf>
    <xf numFmtId="0" fontId="65" fillId="0" borderId="0" xfId="26" applyFont="1" applyFill="1" applyAlignment="1">
      <alignment vertical="center" wrapText="1"/>
    </xf>
    <xf numFmtId="0" fontId="65" fillId="0" borderId="0" xfId="26" applyFont="1" applyFill="1"/>
    <xf numFmtId="3" fontId="68" fillId="0" borderId="0" xfId="26" applyNumberFormat="1" applyFont="1" applyFill="1"/>
    <xf numFmtId="173" fontId="65" fillId="0" borderId="4" xfId="26" applyNumberFormat="1" applyFont="1" applyFill="1" applyBorder="1" applyAlignment="1">
      <alignment vertical="center" wrapText="1"/>
    </xf>
    <xf numFmtId="9" fontId="68" fillId="0" borderId="0" xfId="31" applyFont="1" applyFill="1"/>
    <xf numFmtId="43" fontId="68" fillId="0" borderId="0" xfId="27" applyFont="1" applyFill="1" applyBorder="1"/>
    <xf numFmtId="0" fontId="65" fillId="0" borderId="11" xfId="26" applyFont="1" applyFill="1" applyBorder="1" applyAlignment="1">
      <alignment horizontal="center" vertical="center"/>
    </xf>
    <xf numFmtId="173" fontId="68" fillId="0" borderId="0" xfId="26" applyNumberFormat="1" applyFont="1" applyFill="1"/>
    <xf numFmtId="164" fontId="66" fillId="0" borderId="4" xfId="26" applyNumberFormat="1" applyFont="1" applyFill="1" applyBorder="1" applyAlignment="1">
      <alignment horizontal="center" vertical="center"/>
    </xf>
    <xf numFmtId="173" fontId="65" fillId="0" borderId="4" xfId="26" applyNumberFormat="1" applyFont="1" applyFill="1" applyBorder="1" applyAlignment="1">
      <alignment vertical="center"/>
    </xf>
    <xf numFmtId="0" fontId="65" fillId="0" borderId="0" xfId="26" applyFont="1" applyFill="1" applyAlignment="1">
      <alignment horizontal="center" vertical="center"/>
    </xf>
    <xf numFmtId="9" fontId="65" fillId="0" borderId="0" xfId="31" applyFont="1" applyFill="1" applyAlignment="1">
      <alignment vertical="center"/>
    </xf>
    <xf numFmtId="164" fontId="65" fillId="0" borderId="0" xfId="26" applyNumberFormat="1" applyFont="1" applyFill="1" applyAlignment="1">
      <alignment horizontal="center" vertical="center"/>
    </xf>
    <xf numFmtId="164" fontId="65" fillId="0" borderId="0" xfId="1" applyNumberFormat="1" applyFont="1" applyFill="1" applyAlignment="1">
      <alignment horizontal="center" vertical="center" wrapText="1"/>
    </xf>
    <xf numFmtId="0" fontId="72" fillId="0" borderId="0" xfId="4" applyFont="1" applyFill="1" applyAlignment="1">
      <alignment vertical="center"/>
    </xf>
    <xf numFmtId="164" fontId="72" fillId="0" borderId="0" xfId="1" applyNumberFormat="1" applyFont="1" applyFill="1" applyAlignment="1">
      <alignment horizontal="center" vertical="center" wrapText="1"/>
    </xf>
    <xf numFmtId="164" fontId="72" fillId="0" borderId="1" xfId="1" applyNumberFormat="1" applyFont="1" applyFill="1" applyBorder="1" applyAlignment="1">
      <alignment vertical="center"/>
    </xf>
    <xf numFmtId="173" fontId="72" fillId="0" borderId="0" xfId="1" applyNumberFormat="1" applyFont="1" applyFill="1" applyAlignment="1"/>
    <xf numFmtId="0" fontId="70" fillId="0" borderId="0" xfId="0" applyFont="1" applyFill="1" applyAlignment="1">
      <alignment horizontal="right"/>
    </xf>
    <xf numFmtId="15" fontId="70" fillId="0" borderId="0" xfId="0" applyNumberFormat="1" applyFont="1" applyFill="1" applyAlignment="1"/>
    <xf numFmtId="0" fontId="6" fillId="0" borderId="0" xfId="0" applyFont="1" applyFill="1" applyBorder="1" applyAlignment="1"/>
    <xf numFmtId="3" fontId="68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43" xfId="0" applyFont="1" applyFill="1" applyBorder="1" applyAlignment="1">
      <alignment horizontal="center" vertical="center" shrinkToFit="1"/>
    </xf>
    <xf numFmtId="0" fontId="24" fillId="0" borderId="52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54" xfId="0" applyNumberFormat="1" applyFont="1" applyFill="1" applyBorder="1" applyAlignment="1">
      <alignment horizontal="center" vertical="center"/>
    </xf>
    <xf numFmtId="44" fontId="20" fillId="0" borderId="54" xfId="3" applyFont="1" applyFill="1" applyBorder="1" applyAlignment="1">
      <alignment horizontal="right" vertical="center"/>
    </xf>
    <xf numFmtId="166" fontId="8" fillId="0" borderId="54" xfId="0" applyNumberFormat="1" applyFont="1" applyFill="1" applyBorder="1" applyAlignment="1">
      <alignment horizontal="left" vertical="center"/>
    </xf>
    <xf numFmtId="166" fontId="8" fillId="0" borderId="54" xfId="0" applyNumberFormat="1" applyFont="1" applyFill="1" applyBorder="1" applyAlignment="1">
      <alignment horizontal="center" vertical="center"/>
    </xf>
    <xf numFmtId="0" fontId="18" fillId="0" borderId="55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56" xfId="0" applyFont="1" applyFill="1" applyBorder="1" applyAlignment="1">
      <alignment horizontal="center" vertical="center"/>
    </xf>
    <xf numFmtId="49" fontId="17" fillId="0" borderId="56" xfId="0" applyNumberFormat="1" applyFont="1" applyFill="1" applyBorder="1" applyAlignment="1">
      <alignment horizontal="center" vertical="center" wrapText="1"/>
    </xf>
    <xf numFmtId="165" fontId="19" fillId="0" borderId="56" xfId="0" applyNumberFormat="1" applyFont="1" applyFill="1" applyBorder="1" applyAlignment="1">
      <alignment horizontal="center" vertical="center" wrapText="1"/>
    </xf>
    <xf numFmtId="168" fontId="19" fillId="0" borderId="56" xfId="3" applyNumberFormat="1" applyFont="1" applyFill="1" applyBorder="1" applyAlignment="1">
      <alignment horizontal="right" vertical="center"/>
    </xf>
    <xf numFmtId="49" fontId="19" fillId="0" borderId="56" xfId="0" applyNumberFormat="1" applyFont="1" applyFill="1" applyBorder="1" applyAlignment="1">
      <alignment horizontal="center" vertical="center" wrapText="1"/>
    </xf>
    <xf numFmtId="0" fontId="24" fillId="0" borderId="57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6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7" fillId="0" borderId="0" xfId="8" applyFont="1" applyFill="1" applyAlignment="1">
      <alignment horizontal="center" vertical="center"/>
    </xf>
    <xf numFmtId="0" fontId="77" fillId="0" borderId="0" xfId="8" applyFont="1" applyFill="1" applyAlignment="1">
      <alignment vertical="center"/>
    </xf>
    <xf numFmtId="0" fontId="78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9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66" fillId="3" borderId="4" xfId="0" applyFont="1" applyFill="1" applyBorder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8" fillId="4" borderId="0" xfId="0" applyFont="1" applyFill="1" applyAlignment="1">
      <alignment horizontal="left" vertical="center"/>
    </xf>
    <xf numFmtId="0" fontId="68" fillId="0" borderId="4" xfId="0" applyFont="1" applyFill="1" applyBorder="1" applyAlignment="1">
      <alignment horizontal="left" vertical="center"/>
    </xf>
    <xf numFmtId="164" fontId="68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6" fillId="0" borderId="0" xfId="4" applyFont="1" applyFill="1" applyAlignment="1">
      <alignment horizontal="center" vertical="center"/>
    </xf>
    <xf numFmtId="0" fontId="65" fillId="0" borderId="4" xfId="0" applyFont="1" applyFill="1" applyBorder="1" applyAlignment="1">
      <alignment horizontal="center" vertical="center"/>
    </xf>
    <xf numFmtId="0" fontId="71" fillId="0" borderId="46" xfId="0" applyFont="1" applyFill="1" applyBorder="1" applyAlignment="1">
      <alignment horizontal="left" vertical="center"/>
    </xf>
    <xf numFmtId="0" fontId="71" fillId="0" borderId="47" xfId="0" applyFont="1" applyFill="1" applyBorder="1" applyAlignment="1">
      <alignment horizontal="left" vertical="center"/>
    </xf>
    <xf numFmtId="0" fontId="71" fillId="0" borderId="48" xfId="0" applyFont="1" applyFill="1" applyBorder="1" applyAlignment="1">
      <alignment horizontal="left" vertical="center"/>
    </xf>
    <xf numFmtId="0" fontId="66" fillId="0" borderId="0" xfId="4" applyFont="1" applyFill="1" applyBorder="1" applyAlignment="1">
      <alignment horizontal="center" vertical="center"/>
    </xf>
    <xf numFmtId="0" fontId="66" fillId="0" borderId="43" xfId="4" applyFont="1" applyFill="1" applyBorder="1" applyAlignment="1">
      <alignment horizontal="center" vertical="center"/>
    </xf>
    <xf numFmtId="0" fontId="68" fillId="0" borderId="45" xfId="0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43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44" xfId="1" applyNumberFormat="1" applyFont="1" applyFill="1" applyBorder="1" applyAlignment="1">
      <alignment horizontal="right"/>
    </xf>
    <xf numFmtId="0" fontId="68" fillId="0" borderId="4" xfId="0" applyFont="1" applyFill="1" applyBorder="1" applyAlignment="1">
      <alignment horizontal="center" vertical="center"/>
    </xf>
    <xf numFmtId="0" fontId="68" fillId="0" borderId="4" xfId="0" applyFont="1" applyFill="1" applyBorder="1" applyAlignment="1">
      <alignment horizontal="center" vertical="center" wrapText="1"/>
    </xf>
    <xf numFmtId="0" fontId="68" fillId="0" borderId="14" xfId="0" applyFont="1" applyFill="1" applyBorder="1" applyAlignment="1">
      <alignment horizontal="center" vertical="center"/>
    </xf>
    <xf numFmtId="0" fontId="68" fillId="0" borderId="9" xfId="0" applyFont="1" applyFill="1" applyBorder="1" applyAlignment="1">
      <alignment horizontal="center" vertical="center"/>
    </xf>
    <xf numFmtId="0" fontId="68" fillId="0" borderId="10" xfId="0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0" fontId="66" fillId="3" borderId="4" xfId="0" applyFont="1" applyFill="1" applyBorder="1" applyAlignment="1">
      <alignment horizontal="center" vertical="center"/>
    </xf>
    <xf numFmtId="0" fontId="0" fillId="3" borderId="4" xfId="0" applyFont="1" applyFill="1" applyBorder="1" applyAlignment="1"/>
    <xf numFmtId="164" fontId="69" fillId="0" borderId="4" xfId="1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>
      <alignment horizontal="center" vertical="center"/>
    </xf>
    <xf numFmtId="0" fontId="0" fillId="4" borderId="42" xfId="0" applyFont="1" applyFill="1" applyBorder="1" applyAlignment="1"/>
    <xf numFmtId="0" fontId="68" fillId="0" borderId="4" xfId="26" applyFont="1" applyFill="1" applyBorder="1" applyAlignment="1">
      <alignment horizontal="center" vertical="center"/>
    </xf>
    <xf numFmtId="164" fontId="66" fillId="6" borderId="4" xfId="1" applyNumberFormat="1" applyFont="1" applyFill="1" applyBorder="1" applyAlignment="1">
      <alignment horizontal="center" vertical="center"/>
    </xf>
    <xf numFmtId="164" fontId="66" fillId="6" borderId="42" xfId="1" applyNumberFormat="1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horizontal="center" vertical="center" wrapText="1"/>
    </xf>
    <xf numFmtId="0" fontId="72" fillId="0" borderId="4" xfId="26" applyFont="1" applyFill="1" applyBorder="1" applyAlignment="1">
      <alignment horizontal="center" vertical="center"/>
    </xf>
    <xf numFmtId="0" fontId="72" fillId="2" borderId="4" xfId="26" applyFont="1" applyFill="1" applyBorder="1" applyAlignment="1">
      <alignment horizontal="center" vertical="center"/>
    </xf>
    <xf numFmtId="0" fontId="66" fillId="5" borderId="4" xfId="0" applyFont="1" applyFill="1" applyBorder="1" applyAlignment="1">
      <alignment horizontal="center" vertical="center"/>
    </xf>
    <xf numFmtId="0" fontId="80" fillId="5" borderId="42" xfId="0" applyFont="1" applyFill="1" applyBorder="1" applyAlignment="1"/>
    <xf numFmtId="0" fontId="66" fillId="5" borderId="4" xfId="26" applyFont="1" applyFill="1" applyBorder="1" applyAlignment="1">
      <alignment horizontal="center" vertical="center" wrapText="1"/>
    </xf>
    <xf numFmtId="0" fontId="66" fillId="5" borderId="42" xfId="26" applyFont="1" applyFill="1" applyBorder="1" applyAlignment="1">
      <alignment horizontal="center" vertical="center" wrapText="1"/>
    </xf>
    <xf numFmtId="0" fontId="66" fillId="6" borderId="4" xfId="26" applyFont="1" applyFill="1" applyBorder="1" applyAlignment="1">
      <alignment horizontal="center" vertical="center" wrapText="1"/>
    </xf>
    <xf numFmtId="0" fontId="66" fillId="6" borderId="42" xfId="26" applyFont="1" applyFill="1" applyBorder="1" applyAlignment="1">
      <alignment horizontal="center" vertical="center" wrapText="1"/>
    </xf>
    <xf numFmtId="0" fontId="69" fillId="0" borderId="0" xfId="25" applyFont="1" applyFill="1" applyBorder="1" applyAlignment="1">
      <alignment horizontal="center" vertical="center"/>
    </xf>
    <xf numFmtId="164" fontId="69" fillId="0" borderId="0" xfId="1" applyNumberFormat="1" applyFont="1" applyFill="1" applyBorder="1" applyAlignment="1">
      <alignment horizontal="center" vertical="center"/>
    </xf>
    <xf numFmtId="173" fontId="72" fillId="0" borderId="1" xfId="1" applyNumberFormat="1" applyFont="1" applyFill="1" applyBorder="1" applyAlignment="1">
      <alignment horizontal="center"/>
    </xf>
    <xf numFmtId="164" fontId="72" fillId="0" borderId="4" xfId="1" applyNumberFormat="1" applyFont="1" applyFill="1" applyBorder="1" applyAlignment="1">
      <alignment horizontal="center" vertical="center"/>
    </xf>
    <xf numFmtId="0" fontId="65" fillId="0" borderId="0" xfId="26" applyFont="1" applyFill="1" applyAlignment="1">
      <alignment horizontal="center" vertical="center"/>
    </xf>
    <xf numFmtId="0" fontId="65" fillId="0" borderId="0" xfId="26" applyFont="1" applyFill="1" applyAlignment="1">
      <alignment horizontal="center" vertical="center" wrapText="1"/>
    </xf>
    <xf numFmtId="0" fontId="65" fillId="0" borderId="10" xfId="26" applyFont="1" applyFill="1" applyBorder="1" applyAlignment="1">
      <alignment horizontal="center" vertical="center"/>
    </xf>
    <xf numFmtId="0" fontId="65" fillId="0" borderId="5" xfId="26" applyFont="1" applyFill="1" applyBorder="1" applyAlignment="1">
      <alignment horizontal="center" vertical="center"/>
    </xf>
    <xf numFmtId="0" fontId="65" fillId="0" borderId="3" xfId="26" applyFont="1" applyFill="1" applyBorder="1" applyAlignment="1">
      <alignment horizontal="center" vertical="center"/>
    </xf>
    <xf numFmtId="0" fontId="65" fillId="0" borderId="0" xfId="26" applyFont="1" applyFill="1" applyAlignment="1">
      <alignment horizontal="left" vertical="center" wrapText="1"/>
    </xf>
    <xf numFmtId="0" fontId="72" fillId="0" borderId="0" xfId="26" applyFont="1" applyFill="1" applyAlignment="1">
      <alignment horizontal="center" vertical="center"/>
    </xf>
    <xf numFmtId="0" fontId="68" fillId="0" borderId="0" xfId="26" applyFont="1" applyFill="1" applyAlignment="1">
      <alignment horizontal="center" vertical="center"/>
    </xf>
    <xf numFmtId="0" fontId="66" fillId="0" borderId="5" xfId="26" applyFont="1" applyFill="1" applyBorder="1" applyAlignment="1">
      <alignment horizontal="center" vertical="center" wrapText="1"/>
    </xf>
    <xf numFmtId="0" fontId="67" fillId="0" borderId="10" xfId="26" applyFont="1" applyFill="1" applyBorder="1" applyAlignment="1">
      <alignment horizontal="center" vertical="center" wrapText="1"/>
    </xf>
    <xf numFmtId="0" fontId="67" fillId="0" borderId="3" xfId="26" applyFont="1" applyFill="1" applyBorder="1" applyAlignment="1">
      <alignment horizontal="center" vertical="center" wrapText="1"/>
    </xf>
    <xf numFmtId="0" fontId="66" fillId="0" borderId="10" xfId="26" applyFont="1" applyFill="1" applyBorder="1" applyAlignment="1">
      <alignment horizontal="center" vertical="center" wrapText="1"/>
    </xf>
    <xf numFmtId="15" fontId="26" fillId="0" borderId="37" xfId="0" applyNumberFormat="1" applyFont="1" applyFill="1" applyBorder="1" applyAlignment="1">
      <alignment horizontal="center"/>
    </xf>
    <xf numFmtId="15" fontId="26" fillId="0" borderId="36" xfId="0" applyNumberFormat="1" applyFont="1" applyFill="1" applyBorder="1" applyAlignment="1">
      <alignment horizontal="center"/>
    </xf>
    <xf numFmtId="0" fontId="26" fillId="0" borderId="37" xfId="0" applyFont="1" applyFill="1" applyBorder="1" applyAlignment="1">
      <alignment horizontal="center"/>
    </xf>
    <xf numFmtId="0" fontId="26" fillId="0" borderId="36" xfId="0" applyFont="1" applyFill="1" applyBorder="1" applyAlignment="1">
      <alignment horizontal="center"/>
    </xf>
    <xf numFmtId="0" fontId="26" fillId="0" borderId="38" xfId="0" applyFont="1" applyFill="1" applyBorder="1" applyAlignment="1">
      <alignment horizontal="center"/>
    </xf>
    <xf numFmtId="0" fontId="26" fillId="0" borderId="39" xfId="0" applyFont="1" applyFill="1" applyBorder="1" applyAlignment="1">
      <alignment horizontal="center"/>
    </xf>
    <xf numFmtId="0" fontId="26" fillId="0" borderId="40" xfId="0" applyFont="1" applyFill="1" applyBorder="1" applyAlignment="1">
      <alignment horizontal="center"/>
    </xf>
    <xf numFmtId="43" fontId="26" fillId="0" borderId="37" xfId="1" applyFont="1" applyFill="1" applyBorder="1" applyAlignment="1">
      <alignment horizontal="center"/>
    </xf>
    <xf numFmtId="43" fontId="26" fillId="0" borderId="36" xfId="1" applyFont="1" applyFill="1" applyBorder="1" applyAlignment="1">
      <alignment horizontal="center"/>
    </xf>
    <xf numFmtId="0" fontId="67" fillId="0" borderId="5" xfId="26" applyFont="1" applyFill="1" applyBorder="1" applyAlignment="1">
      <alignment horizontal="center" vertical="center" wrapText="1"/>
    </xf>
    <xf numFmtId="0" fontId="66" fillId="0" borderId="10" xfId="26" applyFont="1" applyFill="1" applyBorder="1" applyAlignment="1">
      <alignment horizontal="center" vertical="center"/>
    </xf>
    <xf numFmtId="0" fontId="66" fillId="0" borderId="3" xfId="26" applyFont="1" applyFill="1" applyBorder="1" applyAlignment="1">
      <alignment horizontal="center" vertical="center"/>
    </xf>
    <xf numFmtId="0" fontId="66" fillId="0" borderId="3" xfId="26" applyFont="1" applyFill="1" applyBorder="1" applyAlignment="1">
      <alignment horizontal="center" vertical="center" wrapText="1"/>
    </xf>
    <xf numFmtId="0" fontId="66" fillId="0" borderId="14" xfId="26" applyFont="1" applyFill="1" applyBorder="1" applyAlignment="1">
      <alignment horizontal="center" vertical="center"/>
    </xf>
    <xf numFmtId="0" fontId="66" fillId="0" borderId="9" xfId="26" applyFont="1" applyFill="1" applyBorder="1" applyAlignment="1">
      <alignment horizontal="center" vertical="center"/>
    </xf>
    <xf numFmtId="0" fontId="66" fillId="0" borderId="17" xfId="26" applyFont="1" applyFill="1" applyBorder="1" applyAlignment="1">
      <alignment horizontal="center" vertical="center"/>
    </xf>
    <xf numFmtId="164" fontId="66" fillId="0" borderId="11" xfId="1" applyNumberFormat="1" applyFont="1" applyFill="1" applyBorder="1" applyAlignment="1">
      <alignment horizontal="center" vertical="center"/>
    </xf>
    <xf numFmtId="164" fontId="66" fillId="0" borderId="19" xfId="1" applyNumberFormat="1" applyFont="1" applyFill="1" applyBorder="1" applyAlignment="1">
      <alignment horizontal="center" vertical="center"/>
    </xf>
    <xf numFmtId="0" fontId="69" fillId="0" borderId="0" xfId="25" applyFont="1" applyFill="1" applyAlignment="1">
      <alignment horizontal="center" vertical="center"/>
    </xf>
    <xf numFmtId="164" fontId="69" fillId="0" borderId="0" xfId="1" applyNumberFormat="1" applyFont="1" applyFill="1" applyAlignment="1">
      <alignment horizontal="center" vertical="center"/>
    </xf>
    <xf numFmtId="0" fontId="69" fillId="0" borderId="0" xfId="4" applyFont="1" applyFill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46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43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9" xfId="0" applyFont="1" applyFill="1" applyBorder="1" applyAlignment="1">
      <alignment horizontal="center" vertical="center" shrinkToFit="1"/>
    </xf>
    <xf numFmtId="0" fontId="23" fillId="0" borderId="50" xfId="0" applyFont="1" applyFill="1" applyBorder="1" applyAlignment="1">
      <alignment horizontal="center" vertical="center" shrinkToFit="1"/>
    </xf>
    <xf numFmtId="0" fontId="23" fillId="0" borderId="51" xfId="0" applyFont="1" applyFill="1" applyBorder="1" applyAlignment="1">
      <alignment horizontal="center" vertical="center" shrinkToFit="1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  <xf numFmtId="173" fontId="72" fillId="0" borderId="1" xfId="1" applyNumberFormat="1" applyFont="1" applyFill="1" applyBorder="1" applyAlignment="1"/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zoomScale="70" zoomScaleNormal="70" workbookViewId="0">
      <selection activeCell="E9" sqref="E9"/>
    </sheetView>
  </sheetViews>
  <sheetFormatPr defaultColWidth="8.77734375" defaultRowHeight="21.6"/>
  <cols>
    <col min="1" max="1" width="8.77734375" style="61"/>
    <col min="2" max="2" width="37" style="61" customWidth="1"/>
    <col min="3" max="3" width="7" style="61" customWidth="1"/>
    <col min="4" max="5" width="29" style="63" customWidth="1"/>
    <col min="6" max="6" width="29.6640625" style="61" customWidth="1"/>
    <col min="7" max="7" width="10.109375" style="61" customWidth="1"/>
    <col min="8" max="9" width="29" style="61" customWidth="1"/>
    <col min="10" max="10" width="8.77734375" style="61"/>
    <col min="11" max="11" width="18.44140625" style="61" customWidth="1"/>
    <col min="12" max="16384" width="8.77734375" style="61"/>
  </cols>
  <sheetData>
    <row r="1" spans="2:19" ht="25.2">
      <c r="C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</row>
    <row r="2" spans="2:19" ht="25.2">
      <c r="B2" s="333" t="s">
        <v>971</v>
      </c>
      <c r="C2" s="65"/>
      <c r="D2" s="336"/>
      <c r="E2" s="336"/>
      <c r="F2" s="334" t="s">
        <v>2054</v>
      </c>
      <c r="G2" s="65"/>
      <c r="H2" s="336"/>
      <c r="I2" s="65"/>
      <c r="J2" s="62"/>
      <c r="K2" s="62"/>
      <c r="L2" s="62"/>
      <c r="M2" s="62"/>
      <c r="N2" s="62"/>
      <c r="O2" s="62"/>
      <c r="P2" s="62"/>
      <c r="Q2" s="62"/>
      <c r="R2" s="62"/>
      <c r="S2" s="62"/>
    </row>
    <row r="3" spans="2:19" ht="25.2">
      <c r="B3" s="333" t="s">
        <v>972</v>
      </c>
      <c r="C3" s="65"/>
      <c r="D3" s="336"/>
      <c r="E3" s="336"/>
      <c r="F3" s="64"/>
      <c r="G3" s="65"/>
      <c r="H3" s="65"/>
      <c r="I3" s="65"/>
      <c r="J3" s="62"/>
      <c r="K3" s="62"/>
      <c r="L3" s="62"/>
      <c r="M3" s="62"/>
      <c r="N3" s="62"/>
      <c r="O3" s="62"/>
      <c r="P3" s="62"/>
      <c r="Q3" s="62"/>
      <c r="R3" s="62"/>
      <c r="S3" s="62"/>
    </row>
    <row r="4" spans="2:19" ht="25.2">
      <c r="B4" s="333" t="s">
        <v>973</v>
      </c>
      <c r="C4" s="65"/>
      <c r="D4" s="336"/>
      <c r="E4" s="336"/>
      <c r="F4" s="334" t="s">
        <v>976</v>
      </c>
      <c r="G4" s="65"/>
      <c r="H4" s="336"/>
      <c r="I4" s="65"/>
      <c r="J4" s="62"/>
      <c r="K4" s="62"/>
      <c r="L4" s="62"/>
      <c r="M4" s="62"/>
      <c r="N4" s="62"/>
      <c r="O4" s="62"/>
      <c r="P4" s="62"/>
      <c r="Q4" s="62"/>
      <c r="R4" s="62"/>
      <c r="S4" s="62"/>
    </row>
    <row r="5" spans="2:19" ht="25.2">
      <c r="B5" s="333" t="s">
        <v>2047</v>
      </c>
      <c r="C5" s="65"/>
      <c r="D5" s="336"/>
      <c r="E5" s="336"/>
      <c r="F5" s="334" t="s">
        <v>977</v>
      </c>
      <c r="G5" s="65"/>
      <c r="H5" s="336"/>
      <c r="I5" s="65"/>
      <c r="J5" s="62"/>
      <c r="K5" s="62"/>
      <c r="L5" s="62"/>
      <c r="M5" s="62"/>
      <c r="N5" s="62"/>
      <c r="O5" s="62"/>
      <c r="P5" s="62"/>
      <c r="Q5" s="62"/>
      <c r="R5" s="62"/>
      <c r="S5" s="62"/>
    </row>
    <row r="6" spans="2:19" ht="25.2">
      <c r="B6" s="333" t="s">
        <v>2048</v>
      </c>
      <c r="C6" s="65"/>
      <c r="D6" s="336"/>
      <c r="E6" s="336"/>
      <c r="F6" s="334" t="s">
        <v>978</v>
      </c>
      <c r="G6" s="65"/>
      <c r="H6" s="336"/>
      <c r="I6" s="335" t="s">
        <v>2046</v>
      </c>
      <c r="J6" s="62"/>
      <c r="K6" s="338"/>
      <c r="L6" s="62"/>
      <c r="M6" s="62"/>
      <c r="N6" s="62"/>
      <c r="O6" s="62"/>
      <c r="P6" s="62"/>
      <c r="Q6" s="62"/>
      <c r="R6" s="62"/>
      <c r="S6" s="62"/>
    </row>
    <row r="7" spans="2:19" ht="25.2">
      <c r="B7" s="333" t="s">
        <v>2049</v>
      </c>
      <c r="C7" s="65"/>
      <c r="D7" s="336"/>
      <c r="E7" s="336"/>
      <c r="F7" s="334" t="s">
        <v>979</v>
      </c>
      <c r="G7" s="65"/>
      <c r="H7" s="336"/>
      <c r="I7" s="65"/>
      <c r="J7" s="62"/>
      <c r="K7" s="62"/>
      <c r="L7" s="62"/>
      <c r="M7" s="62"/>
      <c r="N7" s="62"/>
      <c r="O7" s="62"/>
      <c r="P7" s="62"/>
      <c r="Q7" s="62"/>
      <c r="R7" s="62"/>
      <c r="S7" s="62"/>
    </row>
    <row r="8" spans="2:19" ht="25.2">
      <c r="B8" s="333" t="s">
        <v>2050</v>
      </c>
      <c r="C8" s="65"/>
      <c r="D8" s="336"/>
      <c r="E8" s="336"/>
      <c r="F8" s="334" t="s">
        <v>2055</v>
      </c>
      <c r="G8" s="65"/>
      <c r="H8" s="336"/>
      <c r="I8" s="65"/>
      <c r="J8" s="62"/>
      <c r="K8" s="62"/>
      <c r="L8" s="62"/>
      <c r="M8" s="62"/>
      <c r="N8" s="62"/>
      <c r="O8" s="62"/>
      <c r="P8" s="62"/>
      <c r="Q8" s="62"/>
      <c r="R8" s="62"/>
      <c r="S8" s="62"/>
    </row>
    <row r="9" spans="2:19" ht="25.2">
      <c r="B9" s="64"/>
      <c r="C9" s="65"/>
      <c r="D9" s="336"/>
      <c r="E9" s="336"/>
      <c r="F9" s="334" t="s">
        <v>2056</v>
      </c>
      <c r="G9" s="65"/>
      <c r="H9" s="337"/>
      <c r="I9" s="65"/>
      <c r="J9" s="62"/>
      <c r="K9" s="62"/>
      <c r="L9" s="62"/>
      <c r="M9" s="62"/>
      <c r="N9" s="62"/>
      <c r="O9" s="62"/>
      <c r="P9" s="62"/>
      <c r="Q9" s="62"/>
      <c r="R9" s="62"/>
      <c r="S9" s="62"/>
    </row>
    <row r="10" spans="2:19" ht="25.2">
      <c r="B10" s="333" t="s">
        <v>2051</v>
      </c>
      <c r="C10" s="66"/>
      <c r="D10" s="336"/>
      <c r="E10" s="336"/>
      <c r="F10" s="62"/>
      <c r="G10" s="66"/>
      <c r="H10" s="65"/>
      <c r="I10" s="65"/>
      <c r="J10" s="62"/>
      <c r="K10" s="62"/>
      <c r="L10" s="62"/>
      <c r="M10" s="62"/>
      <c r="N10" s="62"/>
      <c r="O10" s="62"/>
      <c r="P10" s="62"/>
      <c r="Q10" s="62"/>
      <c r="R10" s="62"/>
      <c r="S10" s="62"/>
    </row>
    <row r="11" spans="2:19" ht="25.2">
      <c r="B11" s="334" t="s">
        <v>975</v>
      </c>
      <c r="C11" s="66"/>
      <c r="D11" s="336"/>
      <c r="E11" s="336"/>
      <c r="F11" s="62"/>
      <c r="G11" s="66"/>
      <c r="H11" s="65"/>
      <c r="I11" s="65"/>
      <c r="J11" s="62"/>
      <c r="K11" s="62"/>
      <c r="L11" s="62"/>
      <c r="M11" s="62"/>
      <c r="N11" s="62"/>
      <c r="O11" s="62"/>
      <c r="P11" s="62"/>
      <c r="Q11" s="62"/>
      <c r="R11" s="62"/>
      <c r="S11" s="62"/>
    </row>
    <row r="12" spans="2:19" ht="25.2">
      <c r="B12" s="333" t="s">
        <v>974</v>
      </c>
      <c r="C12" s="66"/>
      <c r="D12" s="336"/>
      <c r="E12" s="336"/>
      <c r="F12" s="62"/>
      <c r="G12" s="66"/>
      <c r="H12" s="65"/>
      <c r="I12" s="65"/>
      <c r="J12" s="62"/>
      <c r="K12" s="62"/>
      <c r="L12" s="62"/>
      <c r="M12" s="62"/>
      <c r="N12" s="62"/>
      <c r="O12" s="62"/>
      <c r="P12" s="62"/>
      <c r="Q12" s="62"/>
      <c r="R12" s="62"/>
      <c r="S12" s="62"/>
    </row>
    <row r="13" spans="2:19" ht="25.2">
      <c r="B13" s="334" t="s">
        <v>2052</v>
      </c>
      <c r="C13" s="66"/>
      <c r="D13" s="336"/>
      <c r="E13" s="336"/>
      <c r="F13" s="62"/>
      <c r="G13" s="66"/>
      <c r="H13" s="65"/>
      <c r="I13" s="65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19" ht="25.2">
      <c r="B14" s="334" t="s">
        <v>2053</v>
      </c>
      <c r="C14" s="66"/>
      <c r="D14" s="336"/>
      <c r="E14" s="336"/>
      <c r="F14" s="62"/>
      <c r="G14" s="66"/>
      <c r="H14" s="65"/>
      <c r="I14" s="65"/>
      <c r="J14" s="62"/>
      <c r="K14" s="62"/>
      <c r="L14" s="62"/>
      <c r="M14" s="62"/>
      <c r="N14" s="62"/>
      <c r="O14" s="62"/>
      <c r="P14" s="62"/>
      <c r="Q14" s="62"/>
      <c r="R14" s="62"/>
      <c r="S14" s="62"/>
    </row>
    <row r="15" spans="2:19" ht="25.2"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</row>
    <row r="16" spans="2:19" ht="25.2"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</row>
    <row r="17" spans="2:19" ht="25.2"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</row>
    <row r="18" spans="2:19" ht="25.2"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</row>
    <row r="19" spans="2:19" ht="25.2"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</row>
    <row r="20" spans="2:19" ht="25.2"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</row>
    <row r="21" spans="2:19" ht="25.2"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</row>
    <row r="22" spans="2:19" ht="25.2"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</row>
    <row r="23" spans="2:19" ht="25.2">
      <c r="B23" s="67"/>
      <c r="C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</row>
    <row r="24" spans="2:19" ht="25.2">
      <c r="C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</row>
    <row r="25" spans="2:19" ht="25.2">
      <c r="C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</row>
    <row r="26" spans="2:19" ht="25.2">
      <c r="C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</row>
    <row r="27" spans="2:19" ht="25.2">
      <c r="C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</row>
    <row r="28" spans="2:19" ht="25.2">
      <c r="C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</row>
    <row r="29" spans="2:19" ht="25.2">
      <c r="C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</row>
    <row r="30" spans="2:19" ht="25.2">
      <c r="C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</row>
    <row r="31" spans="2:19" ht="25.2">
      <c r="C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</row>
    <row r="32" spans="2:19" ht="25.2">
      <c r="C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</row>
    <row r="33" spans="3:19" ht="25.2">
      <c r="C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</row>
    <row r="34" spans="3:19" ht="25.2">
      <c r="C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</row>
    <row r="35" spans="3:19" ht="25.2">
      <c r="C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</row>
    <row r="36" spans="3:19" ht="25.2">
      <c r="C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G6" sqref="G6"/>
    </sheetView>
  </sheetViews>
  <sheetFormatPr defaultColWidth="9.109375" defaultRowHeight="30" customHeight="1"/>
  <cols>
    <col min="1" max="1" width="11.33203125" style="93" customWidth="1"/>
    <col min="2" max="2" width="35.33203125" style="93" customWidth="1"/>
    <col min="3" max="4" width="18.77734375" style="93" customWidth="1"/>
    <col min="5" max="5" width="8.6640625" style="93" hidden="1" customWidth="1"/>
    <col min="6" max="6" width="11.6640625" style="93" hidden="1" customWidth="1"/>
    <col min="7" max="7" width="25.21875" style="93" customWidth="1"/>
    <col min="8" max="8" width="25.33203125" style="93" customWidth="1"/>
    <col min="9" max="16384" width="9.109375" style="94"/>
  </cols>
  <sheetData>
    <row r="1" spans="1:9" s="63" customFormat="1" ht="30" customHeight="1">
      <c r="A1" s="339" t="s">
        <v>966</v>
      </c>
      <c r="B1" s="339"/>
      <c r="C1" s="339"/>
      <c r="D1" s="339"/>
      <c r="E1" s="339"/>
      <c r="F1" s="339"/>
      <c r="G1" s="339"/>
      <c r="H1" s="339"/>
    </row>
    <row r="2" spans="1:9" s="63" customFormat="1" ht="30" customHeight="1">
      <c r="A2" s="339" t="s">
        <v>1005</v>
      </c>
      <c r="B2" s="339"/>
      <c r="C2" s="339"/>
      <c r="D2" s="339"/>
      <c r="E2" s="339"/>
      <c r="F2" s="339"/>
      <c r="G2" s="339"/>
      <c r="H2" s="339"/>
    </row>
    <row r="3" spans="1:9" s="63" customFormat="1" ht="30" customHeight="1">
      <c r="A3" s="339" t="s">
        <v>8</v>
      </c>
      <c r="B3" s="339"/>
      <c r="C3" s="339"/>
      <c r="D3" s="339"/>
      <c r="E3" s="339"/>
      <c r="F3" s="339"/>
      <c r="G3" s="339"/>
      <c r="H3" s="339"/>
    </row>
    <row r="4" spans="1:9" s="63" customFormat="1" ht="30" customHeight="1">
      <c r="A4" s="68" t="s">
        <v>969</v>
      </c>
      <c r="B4" s="69">
        <f>'Company information'!D2</f>
        <v>0</v>
      </c>
      <c r="C4" s="70"/>
      <c r="D4" s="71"/>
      <c r="E4" s="72"/>
      <c r="F4" s="73"/>
      <c r="G4" s="74" t="s">
        <v>967</v>
      </c>
      <c r="H4" s="75">
        <f>'Company information'!D8</f>
        <v>0</v>
      </c>
    </row>
    <row r="5" spans="1:9" s="63" customFormat="1" ht="30" customHeight="1">
      <c r="A5" s="76" t="s">
        <v>997</v>
      </c>
      <c r="B5" s="69">
        <f>'Company information'!D4</f>
        <v>0</v>
      </c>
      <c r="C5" s="70"/>
      <c r="D5" s="71"/>
      <c r="E5" s="72"/>
      <c r="F5" s="71"/>
      <c r="G5" s="70"/>
      <c r="H5" s="75">
        <f>'Company information'!E8</f>
        <v>0</v>
      </c>
    </row>
    <row r="6" spans="1:9" s="63" customFormat="1" ht="30" customHeight="1">
      <c r="A6" s="77">
        <f>'Company information'!E8</f>
        <v>0</v>
      </c>
      <c r="B6" s="69"/>
      <c r="D6" s="71"/>
      <c r="E6" s="72"/>
      <c r="F6" s="73"/>
      <c r="G6" s="78" t="s">
        <v>968</v>
      </c>
      <c r="H6" s="79">
        <f>'Company information'!H9</f>
        <v>0</v>
      </c>
    </row>
    <row r="7" spans="1:9" s="62" customFormat="1" ht="30" customHeight="1">
      <c r="A7" s="340" t="s">
        <v>2</v>
      </c>
      <c r="B7" s="340" t="s">
        <v>760</v>
      </c>
      <c r="C7" s="340" t="s">
        <v>1014</v>
      </c>
      <c r="D7" s="340"/>
      <c r="E7" s="340" t="s">
        <v>9</v>
      </c>
      <c r="F7" s="340"/>
      <c r="G7" s="340" t="s">
        <v>962</v>
      </c>
      <c r="H7" s="340" t="s">
        <v>15</v>
      </c>
    </row>
    <row r="8" spans="1:9" s="62" customFormat="1" ht="30" customHeight="1">
      <c r="A8" s="340"/>
      <c r="B8" s="340"/>
      <c r="C8" s="80" t="s">
        <v>6</v>
      </c>
      <c r="D8" s="80" t="s">
        <v>7</v>
      </c>
      <c r="E8" s="80" t="s">
        <v>6</v>
      </c>
      <c r="F8" s="80" t="s">
        <v>958</v>
      </c>
      <c r="G8" s="340"/>
      <c r="H8" s="340"/>
    </row>
    <row r="9" spans="1:9" s="67" customFormat="1" ht="30" customHeight="1">
      <c r="A9" s="81"/>
      <c r="B9" s="46"/>
      <c r="C9" s="47"/>
      <c r="D9" s="82"/>
      <c r="E9" s="83"/>
      <c r="F9" s="84"/>
      <c r="G9" s="48"/>
      <c r="H9" s="51"/>
      <c r="I9" s="85"/>
    </row>
    <row r="10" spans="1:9" s="92" customFormat="1" ht="30" customHeight="1">
      <c r="A10" s="81"/>
      <c r="B10" s="86"/>
      <c r="C10" s="87"/>
      <c r="D10" s="88"/>
      <c r="E10" s="89"/>
      <c r="F10" s="84"/>
      <c r="G10" s="49"/>
      <c r="H10" s="90"/>
      <c r="I10" s="91"/>
    </row>
    <row r="11" spans="1:9" s="92" customFormat="1" ht="30" customHeight="1">
      <c r="A11" s="81"/>
      <c r="B11" s="86"/>
      <c r="C11" s="87"/>
      <c r="D11" s="88"/>
      <c r="E11" s="89"/>
      <c r="F11" s="84"/>
      <c r="G11" s="49"/>
      <c r="H11" s="90"/>
      <c r="I11" s="91"/>
    </row>
    <row r="12" spans="1:9" s="92" customFormat="1" ht="30" customHeight="1">
      <c r="A12" s="81"/>
      <c r="B12" s="86"/>
      <c r="C12" s="87"/>
      <c r="D12" s="88"/>
      <c r="E12" s="89"/>
      <c r="F12" s="84"/>
      <c r="G12" s="49"/>
      <c r="H12" s="90"/>
      <c r="I12" s="91"/>
    </row>
    <row r="13" spans="1:9" s="92" customFormat="1" ht="30" customHeight="1">
      <c r="A13" s="81"/>
      <c r="B13" s="86"/>
      <c r="C13" s="87"/>
      <c r="D13" s="88"/>
      <c r="E13" s="89"/>
      <c r="F13" s="84"/>
      <c r="G13" s="49"/>
      <c r="H13" s="90"/>
      <c r="I13" s="91"/>
    </row>
    <row r="14" spans="1:9" s="92" customFormat="1" ht="30" customHeight="1">
      <c r="A14" s="81"/>
      <c r="B14" s="86"/>
      <c r="C14" s="87"/>
      <c r="D14" s="88"/>
      <c r="E14" s="89"/>
      <c r="F14" s="84"/>
      <c r="G14" s="49"/>
      <c r="H14" s="90"/>
      <c r="I14" s="91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I10"/>
  <sheetViews>
    <sheetView zoomScale="70" zoomScaleNormal="70" zoomScaleSheetLayoutView="55" workbookViewId="0">
      <selection activeCell="K7" sqref="K7"/>
    </sheetView>
  </sheetViews>
  <sheetFormatPr defaultColWidth="9.109375" defaultRowHeight="30" customHeight="1"/>
  <cols>
    <col min="1" max="1" width="12.44140625" style="93" customWidth="1"/>
    <col min="2" max="2" width="39.77734375" style="93" customWidth="1"/>
    <col min="3" max="4" width="18.77734375" style="93" customWidth="1"/>
    <col min="5" max="5" width="11.6640625" style="93" hidden="1" customWidth="1"/>
    <col min="6" max="6" width="13.44140625" style="93" hidden="1" customWidth="1"/>
    <col min="7" max="7" width="33.109375" style="93" customWidth="1"/>
    <col min="8" max="8" width="42.44140625" style="93" bestFit="1" customWidth="1"/>
    <col min="9" max="9" width="17.33203125" style="93" customWidth="1"/>
    <col min="10" max="16384" width="9.109375" style="94"/>
  </cols>
  <sheetData>
    <row r="1" spans="1:9" s="63" customFormat="1" ht="30" customHeight="1">
      <c r="A1" s="344" t="s">
        <v>1004</v>
      </c>
      <c r="B1" s="344"/>
      <c r="C1" s="344"/>
      <c r="D1" s="344"/>
      <c r="E1" s="344"/>
      <c r="F1" s="344"/>
      <c r="G1" s="344"/>
      <c r="H1" s="344"/>
      <c r="I1" s="345"/>
    </row>
    <row r="2" spans="1:9" s="63" customFormat="1" ht="30" customHeight="1">
      <c r="A2" s="344" t="s">
        <v>996</v>
      </c>
      <c r="B2" s="344"/>
      <c r="C2" s="344"/>
      <c r="D2" s="344"/>
      <c r="E2" s="344"/>
      <c r="F2" s="344"/>
      <c r="G2" s="344"/>
      <c r="H2" s="344"/>
      <c r="I2" s="345"/>
    </row>
    <row r="3" spans="1:9" s="63" customFormat="1" ht="30" customHeight="1">
      <c r="A3" s="344" t="s">
        <v>1074</v>
      </c>
      <c r="B3" s="344"/>
      <c r="C3" s="344"/>
      <c r="D3" s="344"/>
      <c r="E3" s="344"/>
      <c r="F3" s="344"/>
      <c r="G3" s="344"/>
      <c r="H3" s="344"/>
      <c r="I3" s="345"/>
    </row>
    <row r="4" spans="1:9" s="63" customFormat="1" ht="30" customHeight="1">
      <c r="A4" s="95" t="s">
        <v>969</v>
      </c>
      <c r="B4" s="96">
        <f>'Company information'!D2</f>
        <v>0</v>
      </c>
      <c r="C4" s="97"/>
      <c r="D4" s="98"/>
      <c r="E4" s="99"/>
      <c r="F4" s="100"/>
      <c r="G4" s="101" t="s">
        <v>967</v>
      </c>
      <c r="H4" s="347">
        <f>'Company information'!D8</f>
        <v>0</v>
      </c>
      <c r="I4" s="348"/>
    </row>
    <row r="5" spans="1:9" s="63" customFormat="1" ht="30" customHeight="1">
      <c r="A5" s="95" t="s">
        <v>997</v>
      </c>
      <c r="B5" s="96">
        <f>'Company information'!D4</f>
        <v>0</v>
      </c>
      <c r="C5" s="102"/>
      <c r="D5" s="98"/>
      <c r="E5" s="99"/>
      <c r="F5" s="98"/>
      <c r="G5" s="102"/>
      <c r="H5" s="347">
        <f>'Company information'!E8</f>
        <v>0</v>
      </c>
      <c r="I5" s="348"/>
    </row>
    <row r="6" spans="1:9" s="63" customFormat="1" ht="30" customHeight="1">
      <c r="A6" s="103">
        <f>'Company information'!E8</f>
        <v>0</v>
      </c>
      <c r="B6" s="96"/>
      <c r="C6" s="97"/>
      <c r="D6" s="98"/>
      <c r="E6" s="99"/>
      <c r="F6" s="100"/>
      <c r="G6" s="78" t="s">
        <v>968</v>
      </c>
      <c r="H6" s="349">
        <f>'Company information'!H9</f>
        <v>0</v>
      </c>
      <c r="I6" s="350"/>
    </row>
    <row r="7" spans="1:9" s="62" customFormat="1" ht="30" customHeight="1">
      <c r="A7" s="351" t="s">
        <v>2</v>
      </c>
      <c r="B7" s="351" t="s">
        <v>760</v>
      </c>
      <c r="C7" s="353" t="s">
        <v>1013</v>
      </c>
      <c r="D7" s="354"/>
      <c r="E7" s="353" t="s">
        <v>9</v>
      </c>
      <c r="F7" s="354"/>
      <c r="G7" s="355" t="s">
        <v>962</v>
      </c>
      <c r="H7" s="352" t="s">
        <v>1075</v>
      </c>
      <c r="I7" s="346" t="s">
        <v>2057</v>
      </c>
    </row>
    <row r="8" spans="1:9" s="62" customFormat="1" ht="30" customHeight="1">
      <c r="A8" s="351"/>
      <c r="B8" s="351"/>
      <c r="C8" s="52" t="s">
        <v>6</v>
      </c>
      <c r="D8" s="52" t="s">
        <v>7</v>
      </c>
      <c r="E8" s="52" t="s">
        <v>6</v>
      </c>
      <c r="F8" s="52" t="s">
        <v>958</v>
      </c>
      <c r="G8" s="356"/>
      <c r="H8" s="351"/>
      <c r="I8" s="346"/>
    </row>
    <row r="9" spans="1:9" s="62" customFormat="1" ht="30" customHeight="1">
      <c r="A9" s="52"/>
      <c r="B9" s="52"/>
      <c r="C9" s="52"/>
      <c r="D9" s="52"/>
      <c r="E9" s="52"/>
      <c r="F9" s="52"/>
      <c r="G9" s="52"/>
      <c r="H9" s="52"/>
      <c r="I9" s="104"/>
    </row>
    <row r="10" spans="1:9" s="67" customFormat="1" ht="30" customHeight="1">
      <c r="A10" s="341" t="s">
        <v>2027</v>
      </c>
      <c r="B10" s="342"/>
      <c r="C10" s="342"/>
      <c r="D10" s="342"/>
      <c r="E10" s="342"/>
      <c r="F10" s="342"/>
      <c r="G10" s="342"/>
      <c r="H10" s="342"/>
      <c r="I10" s="343"/>
    </row>
  </sheetData>
  <autoFilter ref="A9:I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R13"/>
  <sheetViews>
    <sheetView tabSelected="1" zoomScale="64" zoomScaleNormal="55" zoomScaleSheetLayoutView="70" workbookViewId="0">
      <pane xSplit="1" ySplit="8" topLeftCell="C9" activePane="bottomRight" state="frozen"/>
      <selection pane="topRight" activeCell="B1" sqref="B1"/>
      <selection pane="bottomLeft" activeCell="A10" sqref="A10"/>
      <selection pane="bottomRight" activeCell="M10" sqref="M10"/>
    </sheetView>
  </sheetViews>
  <sheetFormatPr defaultColWidth="9.109375" defaultRowHeight="22.8"/>
  <cols>
    <col min="1" max="1" width="12.109375" style="121" customWidth="1"/>
    <col min="2" max="2" width="47" style="70" customWidth="1"/>
    <col min="3" max="3" width="31.6640625" style="70" customWidth="1"/>
    <col min="4" max="4" width="23" style="121" bestFit="1" customWidth="1"/>
    <col min="5" max="5" width="20.44140625" style="121" customWidth="1"/>
    <col min="6" max="6" width="14" style="70" customWidth="1"/>
    <col min="7" max="7" width="20.109375" style="70" hidden="1" customWidth="1"/>
    <col min="8" max="8" width="20.109375" style="55" hidden="1" customWidth="1"/>
    <col min="9" max="9" width="18.6640625" style="70" customWidth="1"/>
    <col min="10" max="10" width="23.109375" style="70" bestFit="1" customWidth="1"/>
    <col min="11" max="11" width="23.109375" style="70" customWidth="1"/>
    <col min="12" max="14" width="13.88671875" style="70" customWidth="1"/>
    <col min="15" max="15" width="35.33203125" style="122" bestFit="1" customWidth="1"/>
    <col min="16" max="16" width="15" style="70" customWidth="1"/>
    <col min="17" max="17" width="32.5546875" style="70" customWidth="1"/>
    <col min="18" max="18" width="26.33203125" style="70" customWidth="1"/>
    <col min="19" max="19" width="18.33203125" style="70" bestFit="1" customWidth="1"/>
    <col min="20" max="22" width="13.33203125" style="123" customWidth="1"/>
    <col min="23" max="23" width="13.5546875" style="122" bestFit="1" customWidth="1"/>
    <col min="24" max="24" width="23.109375" style="122" bestFit="1" customWidth="1"/>
    <col min="25" max="25" width="47.88671875" style="122" customWidth="1"/>
    <col min="26" max="26" width="10.21875" style="122" customWidth="1"/>
    <col min="27" max="27" width="23.88671875" style="122" customWidth="1"/>
    <col min="28" max="28" width="16.33203125" style="122" customWidth="1"/>
    <col min="29" max="29" width="25.109375" style="122" customWidth="1"/>
    <col min="30" max="30" width="23.109375" style="122" customWidth="1"/>
    <col min="31" max="31" width="19" style="122" customWidth="1"/>
    <col min="32" max="32" width="18" style="122" customWidth="1"/>
    <col min="33" max="33" width="19" style="122" customWidth="1"/>
    <col min="34" max="34" width="15.88671875" style="122" customWidth="1"/>
    <col min="35" max="35" width="14.44140625" style="70" customWidth="1"/>
    <col min="36" max="43" width="9.109375" style="70"/>
    <col min="44" max="44" width="9.109375" style="70" customWidth="1"/>
    <col min="45" max="16384" width="9.109375" style="70"/>
  </cols>
  <sheetData>
    <row r="1" spans="1:44" s="108" customFormat="1" ht="24.6">
      <c r="A1" s="375" t="s">
        <v>980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  <c r="N1" s="375"/>
      <c r="O1" s="376"/>
      <c r="P1" s="105"/>
      <c r="Q1" s="105"/>
      <c r="R1" s="105"/>
      <c r="S1" s="105"/>
      <c r="T1" s="105"/>
      <c r="U1" s="105"/>
      <c r="V1" s="105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5"/>
      <c r="AJ1" s="105"/>
      <c r="AK1" s="105"/>
      <c r="AL1" s="105"/>
      <c r="AM1" s="105"/>
      <c r="AN1" s="105"/>
      <c r="AO1" s="105"/>
      <c r="AP1" s="105"/>
      <c r="AQ1" s="105"/>
      <c r="AR1" s="107"/>
    </row>
    <row r="2" spans="1:44" s="108" customFormat="1" ht="24.6">
      <c r="A2" s="375" t="s">
        <v>996</v>
      </c>
      <c r="B2" s="375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6"/>
      <c r="P2" s="105"/>
      <c r="Q2" s="105"/>
      <c r="R2" s="105"/>
      <c r="S2" s="105"/>
      <c r="T2" s="105"/>
      <c r="U2" s="105"/>
      <c r="V2" s="105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5"/>
      <c r="AJ2" s="105"/>
      <c r="AK2" s="105"/>
      <c r="AL2" s="105"/>
      <c r="AM2" s="105"/>
      <c r="AN2" s="105"/>
      <c r="AO2" s="105"/>
      <c r="AP2" s="105"/>
      <c r="AQ2" s="105"/>
      <c r="AR2" s="107"/>
    </row>
    <row r="3" spans="1:44" s="108" customFormat="1" ht="24.6">
      <c r="A3" s="375" t="s">
        <v>957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  <c r="N3" s="375"/>
      <c r="O3" s="376"/>
      <c r="P3" s="105"/>
      <c r="Q3" s="105"/>
      <c r="R3" s="105"/>
      <c r="S3" s="105"/>
      <c r="T3" s="105"/>
      <c r="U3" s="105"/>
      <c r="V3" s="105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5"/>
      <c r="AJ3" s="105"/>
      <c r="AK3" s="105"/>
      <c r="AL3" s="105"/>
      <c r="AM3" s="105"/>
      <c r="AN3" s="105"/>
      <c r="AO3" s="105"/>
      <c r="AP3" s="105"/>
      <c r="AQ3" s="105"/>
      <c r="AR3" s="107"/>
    </row>
    <row r="4" spans="1:44" s="108" customFormat="1" ht="24.6">
      <c r="A4" s="109" t="s">
        <v>969</v>
      </c>
      <c r="B4" s="110">
        <f>'Company information'!D2</f>
        <v>0</v>
      </c>
      <c r="C4" s="105"/>
      <c r="D4" s="111"/>
      <c r="E4" s="112"/>
      <c r="F4" s="113"/>
      <c r="G4" s="105"/>
      <c r="H4" s="114"/>
      <c r="I4" s="115" t="s">
        <v>967</v>
      </c>
      <c r="J4" s="105"/>
      <c r="K4" s="116">
        <f>'Company information'!D8</f>
        <v>0</v>
      </c>
      <c r="M4" s="116"/>
      <c r="N4" s="116"/>
      <c r="O4" s="106"/>
      <c r="P4" s="105"/>
      <c r="Q4" s="105"/>
      <c r="R4" s="105"/>
      <c r="S4" s="105"/>
      <c r="T4" s="105"/>
      <c r="U4" s="105"/>
      <c r="V4" s="105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5"/>
      <c r="AJ4" s="105"/>
      <c r="AK4" s="105"/>
      <c r="AL4" s="105"/>
      <c r="AM4" s="105"/>
      <c r="AN4" s="105"/>
      <c r="AO4" s="105"/>
      <c r="AP4" s="105"/>
      <c r="AQ4" s="105"/>
      <c r="AR4" s="107"/>
    </row>
    <row r="5" spans="1:44" s="108" customFormat="1" ht="24.6">
      <c r="A5" s="117" t="s">
        <v>997</v>
      </c>
      <c r="B5" s="110">
        <f>'Company information'!D4</f>
        <v>0</v>
      </c>
      <c r="C5" s="105"/>
      <c r="D5" s="111"/>
      <c r="E5" s="112"/>
      <c r="F5" s="111"/>
      <c r="G5" s="114"/>
      <c r="H5" s="114"/>
      <c r="I5" s="105"/>
      <c r="J5" s="105"/>
      <c r="K5" s="116">
        <f>'Company information'!E8</f>
        <v>0</v>
      </c>
      <c r="M5" s="116"/>
      <c r="N5" s="116"/>
      <c r="O5" s="378" t="s">
        <v>1064</v>
      </c>
      <c r="P5" s="378"/>
      <c r="Q5" s="378"/>
      <c r="R5" s="378"/>
      <c r="S5" s="367" t="s">
        <v>1067</v>
      </c>
      <c r="T5" s="368"/>
      <c r="U5" s="362" t="s">
        <v>2044</v>
      </c>
      <c r="V5" s="362"/>
      <c r="W5" s="359" t="s">
        <v>1066</v>
      </c>
      <c r="X5" s="359"/>
      <c r="Y5" s="359"/>
      <c r="Z5" s="359"/>
      <c r="AA5" s="359"/>
      <c r="AB5" s="359"/>
      <c r="AC5" s="359"/>
      <c r="AD5" s="359"/>
      <c r="AE5" s="359"/>
      <c r="AF5" s="359"/>
      <c r="AG5" s="359"/>
      <c r="AH5" s="359"/>
      <c r="AI5" s="359"/>
      <c r="AJ5" s="359"/>
      <c r="AK5" s="359"/>
      <c r="AL5" s="359"/>
      <c r="AM5" s="359"/>
      <c r="AN5" s="359"/>
      <c r="AO5" s="359"/>
      <c r="AP5" s="359"/>
      <c r="AQ5" s="359"/>
      <c r="AR5" s="359"/>
    </row>
    <row r="6" spans="1:44" s="108" customFormat="1" ht="24.6">
      <c r="A6" s="118">
        <f>'Company information'!E8</f>
        <v>0</v>
      </c>
      <c r="B6" s="110"/>
      <c r="C6" s="105"/>
      <c r="D6" s="111"/>
      <c r="E6" s="112"/>
      <c r="F6" s="113"/>
      <c r="G6" s="105"/>
      <c r="H6" s="114"/>
      <c r="I6" s="119" t="s">
        <v>968</v>
      </c>
      <c r="J6" s="377">
        <f>'Company information'!H9</f>
        <v>0</v>
      </c>
      <c r="K6" s="377"/>
      <c r="L6" s="501"/>
      <c r="M6" s="120"/>
      <c r="N6" s="120"/>
      <c r="O6" s="378"/>
      <c r="P6" s="378"/>
      <c r="Q6" s="378"/>
      <c r="R6" s="378"/>
      <c r="S6" s="367"/>
      <c r="T6" s="368"/>
      <c r="U6" s="362"/>
      <c r="V6" s="362"/>
      <c r="W6" s="359"/>
      <c r="X6" s="359"/>
      <c r="Y6" s="359"/>
      <c r="Z6" s="359"/>
      <c r="AA6" s="359"/>
      <c r="AB6" s="359"/>
      <c r="AC6" s="359"/>
      <c r="AD6" s="359"/>
      <c r="AE6" s="359"/>
      <c r="AF6" s="359"/>
      <c r="AG6" s="359"/>
      <c r="AH6" s="359"/>
      <c r="AI6" s="359"/>
      <c r="AJ6" s="359"/>
      <c r="AK6" s="359"/>
      <c r="AL6" s="359"/>
      <c r="AM6" s="359"/>
      <c r="AN6" s="359"/>
      <c r="AO6" s="359"/>
      <c r="AP6" s="359"/>
      <c r="AQ6" s="359"/>
      <c r="AR6" s="359"/>
    </row>
    <row r="7" spans="1:44" ht="25.2" customHeight="1">
      <c r="A7" s="365" t="s">
        <v>2</v>
      </c>
      <c r="B7" s="365" t="s">
        <v>760</v>
      </c>
      <c r="C7" s="365" t="s">
        <v>5</v>
      </c>
      <c r="D7" s="366" t="s">
        <v>759</v>
      </c>
      <c r="E7" s="365" t="s">
        <v>734</v>
      </c>
      <c r="F7" s="365"/>
      <c r="G7" s="365" t="s">
        <v>981</v>
      </c>
      <c r="H7" s="365"/>
      <c r="I7" s="365"/>
      <c r="J7" s="366" t="s">
        <v>1017</v>
      </c>
      <c r="K7" s="390" t="s">
        <v>2058</v>
      </c>
      <c r="L7" s="366" t="s">
        <v>1018</v>
      </c>
      <c r="M7" s="366"/>
      <c r="N7" s="366"/>
      <c r="O7" s="363"/>
      <c r="P7" s="373" t="s">
        <v>1050</v>
      </c>
      <c r="Q7" s="373" t="s">
        <v>1049</v>
      </c>
      <c r="R7" s="373" t="s">
        <v>1063</v>
      </c>
      <c r="S7" s="371" t="s">
        <v>1065</v>
      </c>
      <c r="T7" s="369" t="s">
        <v>1048</v>
      </c>
      <c r="U7" s="360" t="s">
        <v>2042</v>
      </c>
      <c r="V7" s="360" t="s">
        <v>2043</v>
      </c>
      <c r="W7" s="357" t="s">
        <v>2029</v>
      </c>
      <c r="X7" s="357" t="s">
        <v>2030</v>
      </c>
      <c r="Y7" s="357" t="s">
        <v>1053</v>
      </c>
      <c r="Z7" s="357" t="s">
        <v>758</v>
      </c>
      <c r="AA7" s="358"/>
      <c r="AB7" s="358"/>
      <c r="AC7" s="357" t="s">
        <v>1054</v>
      </c>
      <c r="AD7" s="357" t="s">
        <v>1055</v>
      </c>
      <c r="AE7" s="358"/>
      <c r="AF7" s="357" t="s">
        <v>2031</v>
      </c>
      <c r="AG7" s="357" t="s">
        <v>1023</v>
      </c>
      <c r="AH7" s="358"/>
      <c r="AI7" s="357" t="s">
        <v>2032</v>
      </c>
      <c r="AJ7" s="357" t="s">
        <v>2033</v>
      </c>
      <c r="AK7" s="357" t="s">
        <v>2034</v>
      </c>
      <c r="AL7" s="357" t="s">
        <v>2035</v>
      </c>
      <c r="AM7" s="357" t="s">
        <v>2036</v>
      </c>
      <c r="AN7" s="357" t="s">
        <v>2037</v>
      </c>
      <c r="AO7" s="357" t="s">
        <v>2038</v>
      </c>
      <c r="AP7" s="357" t="s">
        <v>2039</v>
      </c>
      <c r="AQ7" s="357" t="s">
        <v>760</v>
      </c>
      <c r="AR7" s="357" t="s">
        <v>2040</v>
      </c>
    </row>
    <row r="8" spans="1:44" ht="25.2" customHeight="1">
      <c r="A8" s="365"/>
      <c r="B8" s="365"/>
      <c r="C8" s="365"/>
      <c r="D8" s="366"/>
      <c r="E8" s="54" t="s">
        <v>6</v>
      </c>
      <c r="F8" s="54" t="s">
        <v>958</v>
      </c>
      <c r="G8" s="54" t="s">
        <v>982</v>
      </c>
      <c r="H8" s="129" t="s">
        <v>959</v>
      </c>
      <c r="I8" s="129" t="s">
        <v>960</v>
      </c>
      <c r="J8" s="366"/>
      <c r="K8" s="403"/>
      <c r="L8" s="366"/>
      <c r="M8" s="366"/>
      <c r="N8" s="366"/>
      <c r="O8" s="364"/>
      <c r="P8" s="374"/>
      <c r="Q8" s="374"/>
      <c r="R8" s="374"/>
      <c r="S8" s="372"/>
      <c r="T8" s="370"/>
      <c r="U8" s="361"/>
      <c r="V8" s="361"/>
      <c r="W8" s="358"/>
      <c r="X8" s="358"/>
      <c r="Y8" s="358"/>
      <c r="Z8" s="332" t="s">
        <v>1056</v>
      </c>
      <c r="AA8" s="332" t="s">
        <v>2041</v>
      </c>
      <c r="AB8" s="332" t="s">
        <v>1058</v>
      </c>
      <c r="AC8" s="358"/>
      <c r="AD8" s="332" t="s">
        <v>1059</v>
      </c>
      <c r="AE8" s="332" t="s">
        <v>1060</v>
      </c>
      <c r="AF8" s="358"/>
      <c r="AG8" s="332" t="s">
        <v>1061</v>
      </c>
      <c r="AH8" s="332" t="s">
        <v>1062</v>
      </c>
      <c r="AI8" s="358"/>
      <c r="AJ8" s="358"/>
      <c r="AK8" s="358"/>
      <c r="AL8" s="358"/>
      <c r="AM8" s="358"/>
      <c r="AN8" s="358"/>
      <c r="AO8" s="358"/>
      <c r="AP8" s="358"/>
      <c r="AQ8" s="358"/>
      <c r="AR8" s="358"/>
    </row>
    <row r="13" spans="1:44">
      <c r="A13" s="188"/>
      <c r="D13" s="188"/>
      <c r="E13" s="188"/>
    </row>
  </sheetData>
  <mergeCells count="45">
    <mergeCell ref="J6:K6"/>
    <mergeCell ref="K7:K8"/>
    <mergeCell ref="N7:N8"/>
    <mergeCell ref="M7:M8"/>
    <mergeCell ref="Q7:Q8"/>
    <mergeCell ref="R7:R8"/>
    <mergeCell ref="A1:O1"/>
    <mergeCell ref="A2:O2"/>
    <mergeCell ref="A3:O3"/>
    <mergeCell ref="A7:A8"/>
    <mergeCell ref="B7:B8"/>
    <mergeCell ref="C7:C8"/>
    <mergeCell ref="D7:D8"/>
    <mergeCell ref="E7:F7"/>
    <mergeCell ref="L7:L8"/>
    <mergeCell ref="O5:R6"/>
    <mergeCell ref="P7:P8"/>
    <mergeCell ref="O7:O8"/>
    <mergeCell ref="G7:I7"/>
    <mergeCell ref="J7:J8"/>
    <mergeCell ref="S5:T6"/>
    <mergeCell ref="AJ7:AJ8"/>
    <mergeCell ref="AI7:AI8"/>
    <mergeCell ref="T7:T8"/>
    <mergeCell ref="W7:W8"/>
    <mergeCell ref="AC7:AC8"/>
    <mergeCell ref="S7:S8"/>
    <mergeCell ref="X7:X8"/>
    <mergeCell ref="Y7:Y8"/>
    <mergeCell ref="AG7:AH7"/>
    <mergeCell ref="Z7:AB7"/>
    <mergeCell ref="AD7:AE7"/>
    <mergeCell ref="AF7:AF8"/>
    <mergeCell ref="U7:U8"/>
    <mergeCell ref="V7:V8"/>
    <mergeCell ref="U5:V6"/>
    <mergeCell ref="AP7:AP8"/>
    <mergeCell ref="AQ7:AQ8"/>
    <mergeCell ref="AR7:AR8"/>
    <mergeCell ref="W5:AR6"/>
    <mergeCell ref="AK7:AK8"/>
    <mergeCell ref="AL7:AL8"/>
    <mergeCell ref="AM7:AM8"/>
    <mergeCell ref="AN7:AN8"/>
    <mergeCell ref="AO7:AO8"/>
  </mergeCells>
  <phoneticPr fontId="8" type="noConversion"/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82AD2-E2A0-4AAA-BE2C-C700B4031F57}">
  <sheetPr codeName="Sheet5">
    <pageSetUpPr fitToPage="1"/>
  </sheetPr>
  <dimension ref="A1:AO790"/>
  <sheetViews>
    <sheetView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M9" sqref="M9"/>
    </sheetView>
  </sheetViews>
  <sheetFormatPr defaultColWidth="9.109375" defaultRowHeight="22.8"/>
  <cols>
    <col min="1" max="1" width="12.109375" style="121" customWidth="1"/>
    <col min="2" max="2" width="67.5546875" style="70" bestFit="1" customWidth="1"/>
    <col min="3" max="3" width="43" style="70" customWidth="1"/>
    <col min="4" max="4" width="23" style="121" bestFit="1" customWidth="1"/>
    <col min="5" max="5" width="20.44140625" style="121" customWidth="1"/>
    <col min="6" max="6" width="14" style="70" customWidth="1"/>
    <col min="7" max="7" width="20.109375" style="70" hidden="1" customWidth="1"/>
    <col min="8" max="8" width="20.109375" style="55" hidden="1" customWidth="1"/>
    <col min="9" max="9" width="18.6640625" style="70" customWidth="1"/>
    <col min="10" max="10" width="23.109375" style="70" bestFit="1" customWidth="1"/>
    <col min="11" max="11" width="13.88671875" style="70" customWidth="1"/>
    <col min="12" max="12" width="35.33203125" style="122" bestFit="1" customWidth="1"/>
    <col min="13" max="13" width="16.6640625" style="122" bestFit="1" customWidth="1"/>
    <col min="14" max="14" width="34.109375" style="122" customWidth="1"/>
    <col min="15" max="15" width="15" style="70" customWidth="1"/>
    <col min="16" max="16" width="32.5546875" style="70" customWidth="1"/>
    <col min="17" max="17" width="26.33203125" style="70" customWidth="1"/>
    <col min="18" max="18" width="18.33203125" style="70" bestFit="1" customWidth="1"/>
    <col min="19" max="19" width="13.33203125" style="123" customWidth="1"/>
    <col min="20" max="20" width="13.5546875" style="122" bestFit="1" customWidth="1"/>
    <col min="21" max="21" width="23.109375" style="122" bestFit="1" customWidth="1"/>
    <col min="22" max="22" width="47.88671875" style="122" customWidth="1"/>
    <col min="23" max="23" width="10.21875" style="122" customWidth="1"/>
    <col min="24" max="24" width="23.88671875" style="122" customWidth="1"/>
    <col min="25" max="25" width="16.33203125" style="122" customWidth="1"/>
    <col min="26" max="26" width="25.109375" style="122" customWidth="1"/>
    <col min="27" max="27" width="23.109375" style="122" customWidth="1"/>
    <col min="28" max="28" width="19" style="122" customWidth="1"/>
    <col min="29" max="29" width="18" style="122" customWidth="1"/>
    <col min="30" max="30" width="19" style="122" customWidth="1"/>
    <col min="31" max="31" width="15.88671875" style="122" customWidth="1"/>
    <col min="32" max="32" width="14.44140625" style="70" customWidth="1"/>
    <col min="33" max="16384" width="9.109375" style="70"/>
  </cols>
  <sheetData>
    <row r="1" spans="1:41" s="108" customFormat="1" ht="24.6">
      <c r="A1" s="409" t="s">
        <v>980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10"/>
      <c r="M1" s="124"/>
      <c r="N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</row>
    <row r="2" spans="1:41" s="108" customFormat="1" ht="24.6">
      <c r="A2" s="409" t="s">
        <v>996</v>
      </c>
      <c r="B2" s="409"/>
      <c r="C2" s="409"/>
      <c r="D2" s="409"/>
      <c r="E2" s="409"/>
      <c r="F2" s="409"/>
      <c r="G2" s="409"/>
      <c r="H2" s="409"/>
      <c r="I2" s="409"/>
      <c r="J2" s="409"/>
      <c r="K2" s="409"/>
      <c r="L2" s="410"/>
      <c r="M2" s="124"/>
      <c r="N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</row>
    <row r="3" spans="1:41" s="108" customFormat="1" ht="24.6">
      <c r="A3" s="409" t="s">
        <v>957</v>
      </c>
      <c r="B3" s="409"/>
      <c r="C3" s="409"/>
      <c r="D3" s="409"/>
      <c r="E3" s="409"/>
      <c r="F3" s="409"/>
      <c r="G3" s="409"/>
      <c r="H3" s="409"/>
      <c r="I3" s="409"/>
      <c r="J3" s="409"/>
      <c r="K3" s="409"/>
      <c r="L3" s="410"/>
      <c r="M3" s="124"/>
      <c r="N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</row>
    <row r="4" spans="1:41" s="108" customFormat="1" ht="24.6">
      <c r="A4" s="125" t="s">
        <v>969</v>
      </c>
      <c r="B4" s="57">
        <f>'Company information'!D2</f>
        <v>0</v>
      </c>
      <c r="D4" s="58"/>
      <c r="E4" s="53"/>
      <c r="F4" s="126"/>
      <c r="H4" s="59"/>
      <c r="I4" s="127" t="s">
        <v>967</v>
      </c>
      <c r="K4" s="60">
        <f>'Company information'!D8</f>
        <v>0</v>
      </c>
      <c r="L4" s="124"/>
      <c r="M4" s="124"/>
      <c r="N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</row>
    <row r="5" spans="1:41" s="108" customFormat="1" ht="24.6">
      <c r="A5" s="56" t="s">
        <v>997</v>
      </c>
      <c r="B5" s="57">
        <f>'Company information'!D4</f>
        <v>0</v>
      </c>
      <c r="D5" s="58"/>
      <c r="E5" s="53"/>
      <c r="F5" s="58"/>
      <c r="G5" s="59"/>
      <c r="H5" s="59"/>
      <c r="K5" s="60">
        <f>'Company information'!E8</f>
        <v>0</v>
      </c>
      <c r="L5" s="378" t="s">
        <v>1064</v>
      </c>
      <c r="M5" s="378"/>
      <c r="N5" s="378"/>
      <c r="O5" s="378"/>
      <c r="P5" s="378"/>
      <c r="Q5" s="378"/>
      <c r="R5" s="367" t="s">
        <v>1067</v>
      </c>
      <c r="S5" s="367"/>
      <c r="T5" s="359" t="s">
        <v>1066</v>
      </c>
      <c r="U5" s="359"/>
      <c r="V5" s="359"/>
      <c r="W5" s="359"/>
      <c r="X5" s="359"/>
      <c r="Y5" s="359"/>
      <c r="Z5" s="359"/>
      <c r="AA5" s="359"/>
      <c r="AB5" s="359"/>
      <c r="AC5" s="359"/>
      <c r="AD5" s="359"/>
      <c r="AE5" s="359"/>
      <c r="AF5" s="359"/>
      <c r="AG5" s="359"/>
      <c r="AH5" s="359"/>
      <c r="AI5" s="359"/>
      <c r="AJ5" s="359"/>
    </row>
    <row r="6" spans="1:41" s="108" customFormat="1" ht="24.6">
      <c r="A6" s="128">
        <f>'Company information'!H8</f>
        <v>0</v>
      </c>
      <c r="B6" s="57"/>
      <c r="D6" s="58"/>
      <c r="E6" s="53"/>
      <c r="F6" s="126"/>
      <c r="H6" s="59"/>
      <c r="I6" s="119" t="s">
        <v>968</v>
      </c>
      <c r="J6" s="377">
        <f>'Company information'!H9</f>
        <v>0</v>
      </c>
      <c r="K6" s="377"/>
      <c r="L6" s="378"/>
      <c r="M6" s="378"/>
      <c r="N6" s="378"/>
      <c r="O6" s="378"/>
      <c r="P6" s="378"/>
      <c r="Q6" s="378"/>
      <c r="R6" s="367"/>
      <c r="S6" s="367"/>
      <c r="T6" s="359"/>
      <c r="U6" s="359"/>
      <c r="V6" s="359"/>
      <c r="W6" s="359"/>
      <c r="X6" s="359"/>
      <c r="Y6" s="359"/>
      <c r="Z6" s="359"/>
      <c r="AA6" s="359"/>
      <c r="AB6" s="359"/>
      <c r="AC6" s="359"/>
      <c r="AD6" s="359"/>
      <c r="AE6" s="359"/>
      <c r="AF6" s="359"/>
      <c r="AG6" s="359"/>
      <c r="AH6" s="359"/>
      <c r="AI6" s="359"/>
      <c r="AJ6" s="359"/>
    </row>
    <row r="7" spans="1:41" ht="25.2" customHeight="1" thickBot="1">
      <c r="A7" s="401" t="s">
        <v>2</v>
      </c>
      <c r="B7" s="401" t="s">
        <v>760</v>
      </c>
      <c r="C7" s="401" t="s">
        <v>5</v>
      </c>
      <c r="D7" s="390" t="s">
        <v>759</v>
      </c>
      <c r="E7" s="404" t="s">
        <v>734</v>
      </c>
      <c r="F7" s="405"/>
      <c r="G7" s="404" t="s">
        <v>981</v>
      </c>
      <c r="H7" s="406"/>
      <c r="I7" s="405"/>
      <c r="J7" s="390" t="s">
        <v>1017</v>
      </c>
      <c r="K7" s="390" t="s">
        <v>1018</v>
      </c>
      <c r="L7" s="407"/>
      <c r="O7" s="400" t="s">
        <v>1050</v>
      </c>
      <c r="P7" s="400" t="s">
        <v>1049</v>
      </c>
      <c r="Q7" s="400" t="s">
        <v>1063</v>
      </c>
      <c r="R7" s="388" t="s">
        <v>1065</v>
      </c>
      <c r="S7" s="390" t="s">
        <v>1048</v>
      </c>
      <c r="T7" s="391" t="s">
        <v>1051</v>
      </c>
      <c r="U7" s="393" t="s">
        <v>1052</v>
      </c>
      <c r="V7" s="393" t="s">
        <v>1053</v>
      </c>
      <c r="W7" s="395" t="s">
        <v>758</v>
      </c>
      <c r="X7" s="396"/>
      <c r="Y7" s="397"/>
      <c r="Z7" s="398" t="s">
        <v>1054</v>
      </c>
      <c r="AA7" s="395" t="s">
        <v>1055</v>
      </c>
      <c r="AB7" s="397"/>
      <c r="AC7" s="393" t="s">
        <v>1044</v>
      </c>
      <c r="AD7" s="395" t="s">
        <v>1023</v>
      </c>
      <c r="AE7" s="397"/>
      <c r="AF7" s="387" t="s">
        <v>1000</v>
      </c>
      <c r="AG7" s="387"/>
    </row>
    <row r="8" spans="1:41" ht="25.2" customHeight="1" thickBot="1">
      <c r="A8" s="402"/>
      <c r="B8" s="402"/>
      <c r="C8" s="402"/>
      <c r="D8" s="403"/>
      <c r="E8" s="54" t="s">
        <v>6</v>
      </c>
      <c r="F8" s="54" t="s">
        <v>958</v>
      </c>
      <c r="G8" s="54" t="s">
        <v>982</v>
      </c>
      <c r="H8" s="129" t="s">
        <v>959</v>
      </c>
      <c r="I8" s="129" t="s">
        <v>960</v>
      </c>
      <c r="J8" s="387"/>
      <c r="K8" s="403"/>
      <c r="L8" s="408"/>
      <c r="O8" s="389"/>
      <c r="P8" s="400"/>
      <c r="Q8" s="389"/>
      <c r="R8" s="389"/>
      <c r="S8" s="387"/>
      <c r="T8" s="392"/>
      <c r="U8" s="394"/>
      <c r="V8" s="394"/>
      <c r="W8" s="130" t="s">
        <v>1056</v>
      </c>
      <c r="X8" s="130" t="s">
        <v>1057</v>
      </c>
      <c r="Y8" s="130" t="s">
        <v>1058</v>
      </c>
      <c r="Z8" s="399"/>
      <c r="AA8" s="131" t="s">
        <v>1059</v>
      </c>
      <c r="AB8" s="130" t="s">
        <v>1060</v>
      </c>
      <c r="AC8" s="394"/>
      <c r="AD8" s="131" t="s">
        <v>1061</v>
      </c>
      <c r="AE8" s="130" t="s">
        <v>1062</v>
      </c>
      <c r="AF8" s="387"/>
      <c r="AG8" s="387"/>
    </row>
    <row r="9" spans="1:41">
      <c r="A9" s="132">
        <v>1</v>
      </c>
      <c r="B9" s="133" t="s">
        <v>1721</v>
      </c>
      <c r="C9" s="133" t="s">
        <v>1902</v>
      </c>
      <c r="D9" s="132" t="s">
        <v>1696</v>
      </c>
      <c r="E9" s="134" t="s">
        <v>1076</v>
      </c>
      <c r="F9" s="135">
        <v>45596</v>
      </c>
      <c r="G9" s="45"/>
      <c r="H9" s="136"/>
      <c r="I9" s="136">
        <v>20811742</v>
      </c>
      <c r="J9" s="137" t="s">
        <v>1025</v>
      </c>
      <c r="K9" s="137"/>
      <c r="L9" s="138" t="s">
        <v>1942</v>
      </c>
      <c r="M9" s="139" t="s">
        <v>1956</v>
      </c>
      <c r="N9" s="140" t="s">
        <v>1901</v>
      </c>
      <c r="O9" s="141" t="s">
        <v>1970</v>
      </c>
      <c r="P9" s="141" t="s">
        <v>1984</v>
      </c>
      <c r="Q9" s="141" t="s">
        <v>1999</v>
      </c>
      <c r="R9" s="141" t="s">
        <v>2012</v>
      </c>
      <c r="S9" s="142"/>
      <c r="T9" s="143">
        <v>45596</v>
      </c>
      <c r="U9" s="144" t="s">
        <v>1076</v>
      </c>
      <c r="V9" s="144">
        <v>0</v>
      </c>
      <c r="W9" s="144" t="s">
        <v>1071</v>
      </c>
      <c r="X9" s="144" t="s">
        <v>1801</v>
      </c>
      <c r="Y9" s="144" t="s">
        <v>1802</v>
      </c>
      <c r="Z9" s="145">
        <v>228929166</v>
      </c>
      <c r="AA9" s="145">
        <v>208117424</v>
      </c>
      <c r="AB9" s="144">
        <v>0</v>
      </c>
      <c r="AC9" s="144" t="s">
        <v>1022</v>
      </c>
      <c r="AD9" s="145">
        <v>20811742</v>
      </c>
      <c r="AE9" s="144">
        <v>0</v>
      </c>
      <c r="AF9" s="146">
        <v>0</v>
      </c>
      <c r="AG9" s="70">
        <v>0</v>
      </c>
      <c r="AH9" s="70">
        <v>0</v>
      </c>
      <c r="AI9" s="70">
        <v>0</v>
      </c>
      <c r="AJ9" s="70">
        <v>0</v>
      </c>
      <c r="AK9" s="70">
        <v>0</v>
      </c>
      <c r="AL9" s="70">
        <v>0.01</v>
      </c>
      <c r="AM9" s="70">
        <v>0</v>
      </c>
      <c r="AN9" s="70" t="s">
        <v>1803</v>
      </c>
      <c r="AO9" s="70" t="s">
        <v>1804</v>
      </c>
    </row>
    <row r="10" spans="1:41">
      <c r="A10" s="132">
        <f>A9+1</f>
        <v>2</v>
      </c>
      <c r="B10" s="133" t="s">
        <v>1722</v>
      </c>
      <c r="C10" s="133" t="s">
        <v>1902</v>
      </c>
      <c r="D10" s="132" t="s">
        <v>1696</v>
      </c>
      <c r="E10" s="134" t="s">
        <v>1077</v>
      </c>
      <c r="F10" s="135">
        <v>45596</v>
      </c>
      <c r="G10" s="45"/>
      <c r="H10" s="136"/>
      <c r="I10" s="136">
        <v>13082860</v>
      </c>
      <c r="J10" s="137" t="s">
        <v>1025</v>
      </c>
      <c r="K10" s="137"/>
      <c r="L10" s="138" t="s">
        <v>1943</v>
      </c>
      <c r="M10" s="139" t="s">
        <v>1957</v>
      </c>
      <c r="N10" s="140" t="s">
        <v>1901</v>
      </c>
      <c r="O10" s="141" t="s">
        <v>1971</v>
      </c>
      <c r="P10" s="141" t="s">
        <v>1985</v>
      </c>
      <c r="Q10" s="141" t="s">
        <v>1998</v>
      </c>
      <c r="R10" s="141" t="s">
        <v>2013</v>
      </c>
      <c r="S10" s="142"/>
      <c r="T10" s="143">
        <v>45596</v>
      </c>
      <c r="U10" s="144" t="s">
        <v>1077</v>
      </c>
      <c r="V10" s="144">
        <v>0</v>
      </c>
      <c r="W10" s="144" t="s">
        <v>1071</v>
      </c>
      <c r="X10" s="144" t="s">
        <v>1801</v>
      </c>
      <c r="Y10" s="144" t="s">
        <v>1802</v>
      </c>
      <c r="Z10" s="145">
        <v>143911460</v>
      </c>
      <c r="AA10" s="145">
        <v>130828600</v>
      </c>
      <c r="AB10" s="144">
        <v>0</v>
      </c>
      <c r="AC10" s="144" t="s">
        <v>1022</v>
      </c>
      <c r="AD10" s="145">
        <v>13082860</v>
      </c>
      <c r="AE10" s="144">
        <v>0</v>
      </c>
      <c r="AF10" s="146">
        <v>0</v>
      </c>
      <c r="AG10" s="70">
        <v>0</v>
      </c>
      <c r="AH10" s="70">
        <v>0</v>
      </c>
      <c r="AI10" s="70">
        <v>0</v>
      </c>
      <c r="AJ10" s="70">
        <v>0</v>
      </c>
      <c r="AK10" s="70">
        <v>0</v>
      </c>
      <c r="AL10" s="70">
        <v>0.01</v>
      </c>
      <c r="AM10" s="70">
        <v>0</v>
      </c>
      <c r="AN10" s="70" t="s">
        <v>1805</v>
      </c>
      <c r="AO10" s="70" t="s">
        <v>1804</v>
      </c>
    </row>
    <row r="11" spans="1:41">
      <c r="A11" s="132">
        <f t="shared" ref="A11:A74" si="0">A10+1</f>
        <v>3</v>
      </c>
      <c r="B11" s="133" t="s">
        <v>1722</v>
      </c>
      <c r="C11" s="133" t="s">
        <v>1902</v>
      </c>
      <c r="D11" s="132" t="s">
        <v>1696</v>
      </c>
      <c r="E11" s="134" t="s">
        <v>1078</v>
      </c>
      <c r="F11" s="135">
        <v>45626</v>
      </c>
      <c r="G11" s="45"/>
      <c r="H11" s="136"/>
      <c r="I11" s="136">
        <v>12970160</v>
      </c>
      <c r="J11" s="137" t="s">
        <v>1025</v>
      </c>
      <c r="K11" s="137"/>
      <c r="L11" s="138" t="s">
        <v>1944</v>
      </c>
      <c r="M11" s="139" t="s">
        <v>1958</v>
      </c>
      <c r="N11" s="140" t="s">
        <v>1901</v>
      </c>
      <c r="O11" s="141" t="s">
        <v>1972</v>
      </c>
      <c r="P11" s="141" t="s">
        <v>1986</v>
      </c>
      <c r="Q11" s="141" t="s">
        <v>2000</v>
      </c>
      <c r="R11" s="141" t="s">
        <v>2014</v>
      </c>
      <c r="S11" s="142"/>
      <c r="T11" s="143">
        <v>45626</v>
      </c>
      <c r="U11" s="144" t="s">
        <v>1078</v>
      </c>
      <c r="V11" s="144">
        <v>0</v>
      </c>
      <c r="W11" s="144" t="s">
        <v>1071</v>
      </c>
      <c r="X11" s="144" t="s">
        <v>1801</v>
      </c>
      <c r="Y11" s="144" t="s">
        <v>1802</v>
      </c>
      <c r="Z11" s="145">
        <v>142671760</v>
      </c>
      <c r="AA11" s="145">
        <v>129701600</v>
      </c>
      <c r="AB11" s="144">
        <v>0</v>
      </c>
      <c r="AC11" s="144" t="s">
        <v>1022</v>
      </c>
      <c r="AD11" s="145">
        <v>12970160</v>
      </c>
      <c r="AE11" s="144">
        <v>0</v>
      </c>
      <c r="AF11" s="146">
        <v>0</v>
      </c>
      <c r="AG11" s="70">
        <v>0</v>
      </c>
      <c r="AH11" s="70">
        <v>0</v>
      </c>
      <c r="AI11" s="70">
        <v>0</v>
      </c>
      <c r="AJ11" s="70">
        <v>0</v>
      </c>
      <c r="AK11" s="70">
        <v>0</v>
      </c>
      <c r="AL11" s="70">
        <v>0.01</v>
      </c>
      <c r="AM11" s="70">
        <v>0</v>
      </c>
      <c r="AN11" s="70" t="s">
        <v>1805</v>
      </c>
      <c r="AO11" s="70" t="s">
        <v>1804</v>
      </c>
    </row>
    <row r="12" spans="1:41">
      <c r="A12" s="132">
        <f t="shared" si="0"/>
        <v>4</v>
      </c>
      <c r="B12" s="133" t="s">
        <v>1721</v>
      </c>
      <c r="C12" s="133" t="s">
        <v>1902</v>
      </c>
      <c r="D12" s="132" t="s">
        <v>1696</v>
      </c>
      <c r="E12" s="134" t="s">
        <v>1079</v>
      </c>
      <c r="F12" s="135">
        <v>45626</v>
      </c>
      <c r="G12" s="45"/>
      <c r="H12" s="136"/>
      <c r="I12" s="136">
        <v>20632463</v>
      </c>
      <c r="J12" s="137" t="s">
        <v>1025</v>
      </c>
      <c r="K12" s="137"/>
      <c r="L12" s="138" t="s">
        <v>1945</v>
      </c>
      <c r="M12" s="139" t="s">
        <v>1959</v>
      </c>
      <c r="N12" s="140" t="s">
        <v>1901</v>
      </c>
      <c r="O12" s="141" t="s">
        <v>1973</v>
      </c>
      <c r="P12" s="141" t="s">
        <v>1987</v>
      </c>
      <c r="Q12" s="141" t="s">
        <v>2001</v>
      </c>
      <c r="R12" s="141" t="s">
        <v>2015</v>
      </c>
      <c r="S12" s="142"/>
      <c r="T12" s="143">
        <v>45626</v>
      </c>
      <c r="U12" s="144" t="s">
        <v>1079</v>
      </c>
      <c r="V12" s="144">
        <v>0</v>
      </c>
      <c r="W12" s="144" t="s">
        <v>1071</v>
      </c>
      <c r="X12" s="144" t="s">
        <v>1801</v>
      </c>
      <c r="Y12" s="144" t="s">
        <v>1802</v>
      </c>
      <c r="Z12" s="145">
        <v>226957096</v>
      </c>
      <c r="AA12" s="145">
        <v>206324633</v>
      </c>
      <c r="AB12" s="144">
        <v>0</v>
      </c>
      <c r="AC12" s="144" t="s">
        <v>1022</v>
      </c>
      <c r="AD12" s="145">
        <v>20632463</v>
      </c>
      <c r="AE12" s="144">
        <v>0</v>
      </c>
      <c r="AF12" s="146">
        <v>0</v>
      </c>
      <c r="AG12" s="70">
        <v>0</v>
      </c>
      <c r="AH12" s="70">
        <v>0</v>
      </c>
      <c r="AI12" s="70">
        <v>0</v>
      </c>
      <c r="AJ12" s="70">
        <v>0</v>
      </c>
      <c r="AK12" s="70">
        <v>0</v>
      </c>
      <c r="AL12" s="70">
        <v>0.01</v>
      </c>
      <c r="AM12" s="70">
        <v>0</v>
      </c>
      <c r="AN12" s="70" t="s">
        <v>1803</v>
      </c>
      <c r="AO12" s="70" t="s">
        <v>1804</v>
      </c>
    </row>
    <row r="13" spans="1:41">
      <c r="A13" s="132">
        <f t="shared" si="0"/>
        <v>5</v>
      </c>
      <c r="B13" s="133" t="s">
        <v>1721</v>
      </c>
      <c r="C13" s="133" t="s">
        <v>1902</v>
      </c>
      <c r="D13" s="132" t="s">
        <v>1696</v>
      </c>
      <c r="E13" s="147" t="s">
        <v>1080</v>
      </c>
      <c r="F13" s="135">
        <v>45657</v>
      </c>
      <c r="G13" s="45"/>
      <c r="H13" s="136"/>
      <c r="I13" s="136">
        <v>20617097</v>
      </c>
      <c r="J13" s="137" t="s">
        <v>1025</v>
      </c>
      <c r="K13" s="137"/>
      <c r="L13" s="138" t="s">
        <v>1946</v>
      </c>
      <c r="M13" s="139" t="s">
        <v>1960</v>
      </c>
      <c r="N13" s="140" t="s">
        <v>1901</v>
      </c>
      <c r="O13" s="141" t="s">
        <v>1974</v>
      </c>
      <c r="P13" s="141" t="s">
        <v>1988</v>
      </c>
      <c r="Q13" s="141" t="s">
        <v>2002</v>
      </c>
      <c r="R13" s="141" t="s">
        <v>2016</v>
      </c>
      <c r="S13" s="142"/>
      <c r="T13" s="143">
        <v>45657</v>
      </c>
      <c r="U13" s="144" t="s">
        <v>1080</v>
      </c>
      <c r="V13" s="144">
        <v>0</v>
      </c>
      <c r="W13" s="144" t="s">
        <v>1071</v>
      </c>
      <c r="X13" s="144" t="s">
        <v>1801</v>
      </c>
      <c r="Y13" s="144" t="s">
        <v>1802</v>
      </c>
      <c r="Z13" s="145">
        <v>226788062</v>
      </c>
      <c r="AA13" s="145">
        <v>206170965</v>
      </c>
      <c r="AB13" s="144">
        <v>0</v>
      </c>
      <c r="AC13" s="144" t="s">
        <v>1022</v>
      </c>
      <c r="AD13" s="145">
        <v>20617097</v>
      </c>
      <c r="AE13" s="144">
        <v>0</v>
      </c>
      <c r="AF13" s="146">
        <v>0</v>
      </c>
      <c r="AG13" s="70">
        <v>0</v>
      </c>
      <c r="AH13" s="70">
        <v>0</v>
      </c>
      <c r="AI13" s="70">
        <v>0</v>
      </c>
      <c r="AJ13" s="70">
        <v>0</v>
      </c>
      <c r="AK13" s="70">
        <v>0</v>
      </c>
      <c r="AL13" s="70">
        <v>0.01</v>
      </c>
      <c r="AM13" s="70">
        <v>0</v>
      </c>
      <c r="AN13" s="70" t="s">
        <v>1803</v>
      </c>
      <c r="AO13" s="70" t="s">
        <v>1804</v>
      </c>
    </row>
    <row r="14" spans="1:41">
      <c r="A14" s="132">
        <f t="shared" si="0"/>
        <v>6</v>
      </c>
      <c r="B14" s="133" t="s">
        <v>1722</v>
      </c>
      <c r="C14" s="133" t="s">
        <v>1902</v>
      </c>
      <c r="D14" s="132" t="s">
        <v>1696</v>
      </c>
      <c r="E14" s="147" t="s">
        <v>1081</v>
      </c>
      <c r="F14" s="135">
        <v>45657</v>
      </c>
      <c r="G14" s="45"/>
      <c r="H14" s="136"/>
      <c r="I14" s="136">
        <v>12960500</v>
      </c>
      <c r="J14" s="137" t="s">
        <v>1025</v>
      </c>
      <c r="K14" s="137"/>
      <c r="L14" s="138" t="s">
        <v>1947</v>
      </c>
      <c r="M14" s="139" t="s">
        <v>1961</v>
      </c>
      <c r="N14" s="140" t="s">
        <v>1901</v>
      </c>
      <c r="O14" s="141" t="s">
        <v>1975</v>
      </c>
      <c r="P14" s="141" t="s">
        <v>1989</v>
      </c>
      <c r="Q14" s="141" t="s">
        <v>2011</v>
      </c>
      <c r="R14" s="141" t="s">
        <v>2017</v>
      </c>
      <c r="S14" s="142"/>
      <c r="T14" s="143">
        <v>45657</v>
      </c>
      <c r="U14" s="144" t="s">
        <v>1081</v>
      </c>
      <c r="V14" s="144">
        <v>0</v>
      </c>
      <c r="W14" s="144" t="s">
        <v>1071</v>
      </c>
      <c r="X14" s="144" t="s">
        <v>1801</v>
      </c>
      <c r="Y14" s="144" t="s">
        <v>1802</v>
      </c>
      <c r="Z14" s="145">
        <v>142565500</v>
      </c>
      <c r="AA14" s="145">
        <v>129605000</v>
      </c>
      <c r="AB14" s="144">
        <v>0</v>
      </c>
      <c r="AC14" s="144" t="s">
        <v>1022</v>
      </c>
      <c r="AD14" s="145">
        <v>12960500</v>
      </c>
      <c r="AE14" s="144">
        <v>0</v>
      </c>
      <c r="AF14" s="146">
        <v>0</v>
      </c>
      <c r="AG14" s="70">
        <v>0</v>
      </c>
      <c r="AH14" s="70">
        <v>0</v>
      </c>
      <c r="AI14" s="70">
        <v>0</v>
      </c>
      <c r="AJ14" s="70">
        <v>0</v>
      </c>
      <c r="AK14" s="70">
        <v>0</v>
      </c>
      <c r="AL14" s="70">
        <v>0.01</v>
      </c>
      <c r="AM14" s="70">
        <v>0</v>
      </c>
      <c r="AN14" s="70" t="s">
        <v>1805</v>
      </c>
      <c r="AO14" s="70" t="s">
        <v>1804</v>
      </c>
    </row>
    <row r="15" spans="1:41">
      <c r="A15" s="132">
        <f t="shared" si="0"/>
        <v>7</v>
      </c>
      <c r="B15" s="133" t="s">
        <v>1723</v>
      </c>
      <c r="C15" s="133" t="s">
        <v>1903</v>
      </c>
      <c r="D15" s="132" t="s">
        <v>1697</v>
      </c>
      <c r="E15" s="147" t="s">
        <v>1082</v>
      </c>
      <c r="F15" s="135">
        <v>45574</v>
      </c>
      <c r="G15" s="45"/>
      <c r="H15" s="136"/>
      <c r="I15" s="136">
        <v>522149</v>
      </c>
      <c r="J15" s="137" t="s">
        <v>1025</v>
      </c>
      <c r="K15" s="137"/>
      <c r="L15" s="138" t="s">
        <v>1948</v>
      </c>
      <c r="M15" s="139" t="s">
        <v>1962</v>
      </c>
      <c r="N15" s="140"/>
      <c r="O15" s="141" t="s">
        <v>1976</v>
      </c>
      <c r="P15" s="141" t="s">
        <v>1990</v>
      </c>
      <c r="Q15" s="141" t="s">
        <v>2003</v>
      </c>
      <c r="R15" s="141" t="s">
        <v>2018</v>
      </c>
      <c r="S15" s="142"/>
      <c r="T15" s="143">
        <v>45574</v>
      </c>
      <c r="U15" s="144" t="s">
        <v>1082</v>
      </c>
      <c r="V15" s="144">
        <v>0</v>
      </c>
      <c r="W15" s="144" t="s">
        <v>1071</v>
      </c>
      <c r="X15" s="144" t="s">
        <v>1801</v>
      </c>
      <c r="Y15" s="144" t="s">
        <v>1802</v>
      </c>
      <c r="Z15" s="145">
        <v>5743642</v>
      </c>
      <c r="AA15" s="145">
        <v>5221493</v>
      </c>
      <c r="AB15" s="144">
        <v>0</v>
      </c>
      <c r="AC15" s="144" t="s">
        <v>1022</v>
      </c>
      <c r="AD15" s="145">
        <v>522149</v>
      </c>
      <c r="AE15" s="144">
        <v>0</v>
      </c>
      <c r="AF15" s="146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0.01</v>
      </c>
      <c r="AM15" s="70">
        <v>0</v>
      </c>
      <c r="AN15" s="70" t="s">
        <v>1806</v>
      </c>
    </row>
    <row r="16" spans="1:41">
      <c r="A16" s="132">
        <f t="shared" si="0"/>
        <v>8</v>
      </c>
      <c r="B16" s="133" t="s">
        <v>1724</v>
      </c>
      <c r="C16" s="133" t="s">
        <v>1903</v>
      </c>
      <c r="D16" s="132" t="s">
        <v>1697</v>
      </c>
      <c r="E16" s="147" t="s">
        <v>1083</v>
      </c>
      <c r="F16" s="135">
        <v>45575</v>
      </c>
      <c r="G16" s="45"/>
      <c r="H16" s="136"/>
      <c r="I16" s="136">
        <v>24396</v>
      </c>
      <c r="J16" s="137" t="s">
        <v>1025</v>
      </c>
      <c r="K16" s="137"/>
      <c r="L16" s="138" t="s">
        <v>1949</v>
      </c>
      <c r="M16" s="139" t="s">
        <v>1963</v>
      </c>
      <c r="N16" s="140"/>
      <c r="O16" s="141" t="s">
        <v>1977</v>
      </c>
      <c r="P16" s="141" t="s">
        <v>1991</v>
      </c>
      <c r="Q16" s="141" t="s">
        <v>2004</v>
      </c>
      <c r="R16" s="141" t="s">
        <v>2019</v>
      </c>
      <c r="S16" s="142"/>
      <c r="T16" s="143">
        <v>45575</v>
      </c>
      <c r="U16" s="144" t="s">
        <v>1083</v>
      </c>
      <c r="V16" s="144">
        <v>0</v>
      </c>
      <c r="W16" s="144" t="s">
        <v>1071</v>
      </c>
      <c r="X16" s="144" t="s">
        <v>1801</v>
      </c>
      <c r="Y16" s="144" t="s">
        <v>1802</v>
      </c>
      <c r="Z16" s="145">
        <v>268356</v>
      </c>
      <c r="AA16" s="145">
        <v>243960</v>
      </c>
      <c r="AB16" s="144">
        <v>0</v>
      </c>
      <c r="AC16" s="144" t="s">
        <v>1022</v>
      </c>
      <c r="AD16" s="145">
        <v>24396</v>
      </c>
      <c r="AE16" s="144">
        <v>0</v>
      </c>
      <c r="AF16" s="146">
        <v>0</v>
      </c>
      <c r="AG16" s="70">
        <v>0</v>
      </c>
      <c r="AH16" s="70">
        <v>0</v>
      </c>
      <c r="AI16" s="70">
        <v>0</v>
      </c>
      <c r="AJ16" s="70">
        <v>0</v>
      </c>
      <c r="AK16" s="70">
        <v>0</v>
      </c>
      <c r="AL16" s="70">
        <v>0.01</v>
      </c>
      <c r="AM16" s="70">
        <v>0</v>
      </c>
      <c r="AN16" s="70" t="s">
        <v>1806</v>
      </c>
    </row>
    <row r="17" spans="1:41">
      <c r="A17" s="132">
        <f t="shared" si="0"/>
        <v>9</v>
      </c>
      <c r="B17" s="133" t="s">
        <v>1725</v>
      </c>
      <c r="C17" s="133" t="s">
        <v>1903</v>
      </c>
      <c r="D17" s="132" t="s">
        <v>1697</v>
      </c>
      <c r="E17" s="147" t="s">
        <v>1084</v>
      </c>
      <c r="F17" s="135">
        <v>45579</v>
      </c>
      <c r="G17" s="45"/>
      <c r="H17" s="136"/>
      <c r="I17" s="136">
        <v>16248</v>
      </c>
      <c r="J17" s="137" t="s">
        <v>1025</v>
      </c>
      <c r="K17" s="137"/>
      <c r="L17" s="138" t="s">
        <v>1950</v>
      </c>
      <c r="M17" s="139" t="s">
        <v>1964</v>
      </c>
      <c r="N17" s="140"/>
      <c r="O17" s="141" t="s">
        <v>1978</v>
      </c>
      <c r="P17" s="141" t="s">
        <v>1992</v>
      </c>
      <c r="Q17" s="141" t="s">
        <v>2005</v>
      </c>
      <c r="R17" s="141" t="s">
        <v>2020</v>
      </c>
      <c r="S17" s="142"/>
      <c r="T17" s="143">
        <v>45579</v>
      </c>
      <c r="U17" s="144" t="s">
        <v>1084</v>
      </c>
      <c r="V17" s="144">
        <v>0</v>
      </c>
      <c r="W17" s="144" t="s">
        <v>1071</v>
      </c>
      <c r="X17" s="144" t="s">
        <v>1801</v>
      </c>
      <c r="Y17" s="144" t="s">
        <v>1802</v>
      </c>
      <c r="Z17" s="145">
        <v>178728</v>
      </c>
      <c r="AA17" s="145">
        <v>162480</v>
      </c>
      <c r="AB17" s="144">
        <v>0</v>
      </c>
      <c r="AC17" s="144" t="s">
        <v>1022</v>
      </c>
      <c r="AD17" s="145">
        <v>16248</v>
      </c>
      <c r="AE17" s="144">
        <v>0</v>
      </c>
      <c r="AF17" s="146">
        <v>0</v>
      </c>
      <c r="AG17" s="70">
        <v>0</v>
      </c>
      <c r="AH17" s="70">
        <v>0</v>
      </c>
      <c r="AI17" s="70">
        <v>0</v>
      </c>
      <c r="AJ17" s="70">
        <v>0</v>
      </c>
      <c r="AK17" s="70">
        <v>0</v>
      </c>
      <c r="AL17" s="70">
        <v>0.01</v>
      </c>
      <c r="AM17" s="70">
        <v>0</v>
      </c>
      <c r="AN17" s="70" t="s">
        <v>1806</v>
      </c>
    </row>
    <row r="18" spans="1:41">
      <c r="A18" s="132">
        <f t="shared" si="0"/>
        <v>10</v>
      </c>
      <c r="B18" s="133" t="s">
        <v>1725</v>
      </c>
      <c r="C18" s="133" t="s">
        <v>1903</v>
      </c>
      <c r="D18" s="132" t="s">
        <v>1697</v>
      </c>
      <c r="E18" s="147" t="s">
        <v>1085</v>
      </c>
      <c r="F18" s="135">
        <v>45579</v>
      </c>
      <c r="G18" s="45"/>
      <c r="H18" s="136"/>
      <c r="I18" s="136">
        <v>40620</v>
      </c>
      <c r="J18" s="137" t="s">
        <v>1025</v>
      </c>
      <c r="K18" s="137"/>
      <c r="L18" s="138" t="s">
        <v>1951</v>
      </c>
      <c r="M18" s="139" t="s">
        <v>1965</v>
      </c>
      <c r="N18" s="140"/>
      <c r="O18" s="141" t="s">
        <v>1979</v>
      </c>
      <c r="P18" s="141" t="s">
        <v>1993</v>
      </c>
      <c r="Q18" s="141" t="s">
        <v>2006</v>
      </c>
      <c r="R18" s="141" t="s">
        <v>2021</v>
      </c>
      <c r="S18" s="142"/>
      <c r="T18" s="143">
        <v>45579</v>
      </c>
      <c r="U18" s="144" t="s">
        <v>1085</v>
      </c>
      <c r="V18" s="144">
        <v>0</v>
      </c>
      <c r="W18" s="144" t="s">
        <v>1071</v>
      </c>
      <c r="X18" s="144" t="s">
        <v>1801</v>
      </c>
      <c r="Y18" s="144" t="s">
        <v>1802</v>
      </c>
      <c r="Z18" s="145">
        <v>446820</v>
      </c>
      <c r="AA18" s="145">
        <v>406200</v>
      </c>
      <c r="AB18" s="144">
        <v>0</v>
      </c>
      <c r="AC18" s="144" t="s">
        <v>1022</v>
      </c>
      <c r="AD18" s="145">
        <v>40620</v>
      </c>
      <c r="AE18" s="144">
        <v>0</v>
      </c>
      <c r="AF18" s="146">
        <v>0</v>
      </c>
      <c r="AG18" s="70">
        <v>0</v>
      </c>
      <c r="AH18" s="70">
        <v>0</v>
      </c>
      <c r="AI18" s="70">
        <v>0</v>
      </c>
      <c r="AJ18" s="70">
        <v>0</v>
      </c>
      <c r="AK18" s="70">
        <v>0</v>
      </c>
      <c r="AL18" s="70">
        <v>0.01</v>
      </c>
      <c r="AM18" s="70">
        <v>0</v>
      </c>
      <c r="AN18" s="70" t="s">
        <v>1806</v>
      </c>
    </row>
    <row r="19" spans="1:41">
      <c r="A19" s="132">
        <f t="shared" si="0"/>
        <v>11</v>
      </c>
      <c r="B19" s="133" t="s">
        <v>1725</v>
      </c>
      <c r="C19" s="133" t="s">
        <v>1903</v>
      </c>
      <c r="D19" s="132" t="s">
        <v>1697</v>
      </c>
      <c r="E19" s="147" t="s">
        <v>1086</v>
      </c>
      <c r="F19" s="135">
        <v>45579</v>
      </c>
      <c r="G19" s="45"/>
      <c r="H19" s="136"/>
      <c r="I19" s="136">
        <v>8124</v>
      </c>
      <c r="J19" s="137" t="s">
        <v>1025</v>
      </c>
      <c r="K19" s="137"/>
      <c r="L19" s="138" t="s">
        <v>1952</v>
      </c>
      <c r="M19" s="139" t="s">
        <v>1966</v>
      </c>
      <c r="N19" s="140"/>
      <c r="O19" s="141" t="s">
        <v>1980</v>
      </c>
      <c r="P19" s="141" t="s">
        <v>1994</v>
      </c>
      <c r="Q19" s="141" t="s">
        <v>2007</v>
      </c>
      <c r="R19" s="141" t="s">
        <v>2022</v>
      </c>
      <c r="S19" s="142"/>
      <c r="T19" s="143">
        <v>45579</v>
      </c>
      <c r="U19" s="144" t="s">
        <v>1086</v>
      </c>
      <c r="V19" s="144">
        <v>0</v>
      </c>
      <c r="W19" s="144" t="s">
        <v>1071</v>
      </c>
      <c r="X19" s="144" t="s">
        <v>1801</v>
      </c>
      <c r="Y19" s="144" t="s">
        <v>1802</v>
      </c>
      <c r="Z19" s="145">
        <v>89364</v>
      </c>
      <c r="AA19" s="145">
        <v>81240</v>
      </c>
      <c r="AB19" s="144">
        <v>0</v>
      </c>
      <c r="AC19" s="144" t="s">
        <v>1022</v>
      </c>
      <c r="AD19" s="145">
        <v>8124</v>
      </c>
      <c r="AE19" s="144">
        <v>0</v>
      </c>
      <c r="AF19" s="146">
        <v>0</v>
      </c>
      <c r="AG19" s="70">
        <v>0</v>
      </c>
      <c r="AH19" s="70">
        <v>0</v>
      </c>
      <c r="AI19" s="70">
        <v>0</v>
      </c>
      <c r="AJ19" s="70">
        <v>0</v>
      </c>
      <c r="AK19" s="70">
        <v>0</v>
      </c>
      <c r="AL19" s="70">
        <v>0.01</v>
      </c>
      <c r="AM19" s="70">
        <v>0</v>
      </c>
      <c r="AN19" s="70" t="s">
        <v>1806</v>
      </c>
    </row>
    <row r="20" spans="1:41">
      <c r="A20" s="132">
        <f t="shared" si="0"/>
        <v>12</v>
      </c>
      <c r="B20" s="133" t="s">
        <v>1725</v>
      </c>
      <c r="C20" s="133" t="s">
        <v>1903</v>
      </c>
      <c r="D20" s="132" t="s">
        <v>1697</v>
      </c>
      <c r="E20" s="147" t="s">
        <v>1087</v>
      </c>
      <c r="F20" s="135">
        <v>45579</v>
      </c>
      <c r="G20" s="45"/>
      <c r="H20" s="136"/>
      <c r="I20" s="136">
        <v>16248</v>
      </c>
      <c r="J20" s="137" t="s">
        <v>1025</v>
      </c>
      <c r="K20" s="137"/>
      <c r="L20" s="138" t="s">
        <v>1953</v>
      </c>
      <c r="M20" s="139" t="s">
        <v>1967</v>
      </c>
      <c r="N20" s="140"/>
      <c r="O20" s="141" t="s">
        <v>1981</v>
      </c>
      <c r="P20" s="141" t="s">
        <v>1995</v>
      </c>
      <c r="Q20" s="141" t="s">
        <v>2008</v>
      </c>
      <c r="R20" s="141" t="s">
        <v>2023</v>
      </c>
      <c r="S20" s="142"/>
      <c r="T20" s="143">
        <v>45579</v>
      </c>
      <c r="U20" s="144" t="s">
        <v>1087</v>
      </c>
      <c r="V20" s="144">
        <v>0</v>
      </c>
      <c r="W20" s="144" t="s">
        <v>1071</v>
      </c>
      <c r="X20" s="144" t="s">
        <v>1801</v>
      </c>
      <c r="Y20" s="144" t="s">
        <v>1802</v>
      </c>
      <c r="Z20" s="145">
        <v>178728</v>
      </c>
      <c r="AA20" s="145">
        <v>162480</v>
      </c>
      <c r="AB20" s="144">
        <v>0</v>
      </c>
      <c r="AC20" s="144" t="s">
        <v>1022</v>
      </c>
      <c r="AD20" s="145">
        <v>16248</v>
      </c>
      <c r="AE20" s="144">
        <v>0</v>
      </c>
      <c r="AF20" s="146">
        <v>0</v>
      </c>
      <c r="AG20" s="70">
        <v>0</v>
      </c>
      <c r="AH20" s="70">
        <v>0</v>
      </c>
      <c r="AI20" s="70">
        <v>0</v>
      </c>
      <c r="AJ20" s="70">
        <v>0</v>
      </c>
      <c r="AK20" s="70">
        <v>0</v>
      </c>
      <c r="AL20" s="70">
        <v>0.01</v>
      </c>
      <c r="AM20" s="70">
        <v>0</v>
      </c>
      <c r="AN20" s="70" t="s">
        <v>1806</v>
      </c>
    </row>
    <row r="21" spans="1:41">
      <c r="A21" s="132">
        <f t="shared" si="0"/>
        <v>13</v>
      </c>
      <c r="B21" s="133" t="s">
        <v>1721</v>
      </c>
      <c r="C21" s="133" t="s">
        <v>1902</v>
      </c>
      <c r="D21" s="132" t="s">
        <v>1696</v>
      </c>
      <c r="E21" s="147" t="s">
        <v>1088</v>
      </c>
      <c r="F21" s="135">
        <v>45688</v>
      </c>
      <c r="G21" s="45"/>
      <c r="H21" s="136"/>
      <c r="I21" s="136">
        <v>20611974</v>
      </c>
      <c r="J21" s="137" t="s">
        <v>1025</v>
      </c>
      <c r="K21" s="137"/>
      <c r="L21" s="138" t="s">
        <v>1954</v>
      </c>
      <c r="M21" s="139" t="s">
        <v>1968</v>
      </c>
      <c r="N21" s="140" t="s">
        <v>1901</v>
      </c>
      <c r="O21" s="141" t="s">
        <v>1982</v>
      </c>
      <c r="P21" s="141" t="s">
        <v>1996</v>
      </c>
      <c r="Q21" s="141" t="s">
        <v>2009</v>
      </c>
      <c r="R21" s="141" t="s">
        <v>2024</v>
      </c>
      <c r="S21" s="142"/>
      <c r="T21" s="143">
        <v>45688</v>
      </c>
      <c r="U21" s="144" t="s">
        <v>1088</v>
      </c>
      <c r="V21" s="144">
        <v>0</v>
      </c>
      <c r="W21" s="144" t="s">
        <v>1071</v>
      </c>
      <c r="X21" s="144" t="s">
        <v>1801</v>
      </c>
      <c r="Y21" s="144" t="s">
        <v>1802</v>
      </c>
      <c r="Z21" s="145">
        <v>226731717</v>
      </c>
      <c r="AA21" s="145">
        <v>206119743</v>
      </c>
      <c r="AB21" s="144">
        <v>0</v>
      </c>
      <c r="AC21" s="144" t="s">
        <v>1022</v>
      </c>
      <c r="AD21" s="145">
        <v>20611974</v>
      </c>
      <c r="AE21" s="144">
        <v>0</v>
      </c>
      <c r="AF21" s="146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0.01</v>
      </c>
      <c r="AM21" s="70">
        <v>0</v>
      </c>
      <c r="AN21" s="70" t="s">
        <v>1803</v>
      </c>
      <c r="AO21" s="70" t="s">
        <v>1804</v>
      </c>
    </row>
    <row r="22" spans="1:41">
      <c r="A22" s="132">
        <f t="shared" si="0"/>
        <v>14</v>
      </c>
      <c r="B22" s="133" t="s">
        <v>1726</v>
      </c>
      <c r="C22" s="133" t="s">
        <v>1903</v>
      </c>
      <c r="D22" s="132" t="s">
        <v>1697</v>
      </c>
      <c r="E22" s="147" t="s">
        <v>1089</v>
      </c>
      <c r="F22" s="135">
        <v>45581</v>
      </c>
      <c r="G22" s="45"/>
      <c r="H22" s="136"/>
      <c r="I22" s="136">
        <v>-72674</v>
      </c>
      <c r="J22" s="137" t="s">
        <v>1025</v>
      </c>
      <c r="K22" s="137"/>
      <c r="L22" s="138" t="s">
        <v>1955</v>
      </c>
      <c r="M22" s="139" t="s">
        <v>1969</v>
      </c>
      <c r="N22" s="140"/>
      <c r="O22" s="141" t="s">
        <v>1983</v>
      </c>
      <c r="P22" s="141" t="s">
        <v>1997</v>
      </c>
      <c r="Q22" s="141" t="s">
        <v>2010</v>
      </c>
      <c r="R22" s="141" t="s">
        <v>2025</v>
      </c>
      <c r="S22" s="142"/>
      <c r="T22" s="143"/>
      <c r="U22" s="144"/>
      <c r="V22" s="144"/>
      <c r="W22" s="144"/>
      <c r="X22" s="144"/>
      <c r="Y22" s="144"/>
      <c r="Z22" s="145"/>
      <c r="AA22" s="145"/>
      <c r="AB22" s="144"/>
      <c r="AC22" s="144"/>
      <c r="AD22" s="145"/>
      <c r="AE22" s="144"/>
      <c r="AF22" s="146"/>
    </row>
    <row r="23" spans="1:41">
      <c r="A23" s="132">
        <f t="shared" si="0"/>
        <v>15</v>
      </c>
      <c r="B23" s="133" t="s">
        <v>1726</v>
      </c>
      <c r="C23" s="133" t="s">
        <v>1903</v>
      </c>
      <c r="D23" s="132" t="s">
        <v>1697</v>
      </c>
      <c r="E23" s="147" t="s">
        <v>1090</v>
      </c>
      <c r="F23" s="135">
        <v>45603</v>
      </c>
      <c r="G23" s="45"/>
      <c r="H23" s="136"/>
      <c r="I23" s="136">
        <v>-2032</v>
      </c>
      <c r="J23" s="137" t="s">
        <v>1025</v>
      </c>
      <c r="K23" s="137"/>
      <c r="L23" s="148">
        <f>I23</f>
        <v>-2032</v>
      </c>
      <c r="M23" s="122">
        <f t="shared" ref="M23:M86" si="1">I23-L23</f>
        <v>0</v>
      </c>
      <c r="N23" s="137"/>
      <c r="O23" s="149" t="b">
        <f t="shared" ref="O23:O86" si="2">U23=E23</f>
        <v>0</v>
      </c>
      <c r="P23" s="149">
        <f t="shared" ref="P23:P86" si="3">MONTH(F23)-MONTH(T23)</f>
        <v>10</v>
      </c>
      <c r="Q23" s="149" t="b">
        <f t="shared" ref="Q23:Q86" si="4">$B$5=X23</f>
        <v>1</v>
      </c>
      <c r="R23" s="149">
        <f t="shared" ref="R23:R86" si="5">I23-AD23</f>
        <v>-2032</v>
      </c>
      <c r="S23" s="144"/>
      <c r="T23" s="143"/>
      <c r="U23" s="144"/>
      <c r="V23" s="144"/>
      <c r="W23" s="144"/>
      <c r="X23" s="144"/>
      <c r="Y23" s="144"/>
      <c r="Z23" s="145"/>
      <c r="AA23" s="145"/>
      <c r="AB23" s="144"/>
      <c r="AC23" s="144"/>
      <c r="AD23" s="145"/>
      <c r="AE23" s="144"/>
      <c r="AF23" s="146"/>
    </row>
    <row r="24" spans="1:41">
      <c r="A24" s="132">
        <f t="shared" si="0"/>
        <v>16</v>
      </c>
      <c r="B24" s="133" t="s">
        <v>1722</v>
      </c>
      <c r="C24" s="133" t="s">
        <v>1902</v>
      </c>
      <c r="D24" s="132" t="s">
        <v>1696</v>
      </c>
      <c r="E24" s="147" t="s">
        <v>1091</v>
      </c>
      <c r="F24" s="135">
        <v>45688</v>
      </c>
      <c r="G24" s="45"/>
      <c r="H24" s="136"/>
      <c r="I24" s="136">
        <v>12957280</v>
      </c>
      <c r="J24" s="137" t="s">
        <v>1025</v>
      </c>
      <c r="K24" s="137"/>
      <c r="L24" s="148">
        <f t="shared" ref="L24:L87" si="6">I24</f>
        <v>12957280</v>
      </c>
      <c r="M24" s="122">
        <f t="shared" si="1"/>
        <v>0</v>
      </c>
      <c r="N24" s="137" t="s">
        <v>1901</v>
      </c>
      <c r="O24" s="149" t="b">
        <f t="shared" si="2"/>
        <v>1</v>
      </c>
      <c r="P24" s="149">
        <f t="shared" si="3"/>
        <v>0</v>
      </c>
      <c r="Q24" s="149" t="b">
        <f t="shared" si="4"/>
        <v>0</v>
      </c>
      <c r="R24" s="149">
        <f t="shared" si="5"/>
        <v>0</v>
      </c>
      <c r="S24" s="144"/>
      <c r="T24" s="143">
        <v>45688</v>
      </c>
      <c r="U24" s="144" t="s">
        <v>1091</v>
      </c>
      <c r="V24" s="144">
        <v>0</v>
      </c>
      <c r="W24" s="144" t="s">
        <v>1071</v>
      </c>
      <c r="X24" s="144" t="s">
        <v>1801</v>
      </c>
      <c r="Y24" s="144" t="s">
        <v>1802</v>
      </c>
      <c r="Z24" s="145">
        <v>142530080</v>
      </c>
      <c r="AA24" s="145">
        <v>129572800</v>
      </c>
      <c r="AB24" s="144">
        <v>0</v>
      </c>
      <c r="AC24" s="144" t="s">
        <v>1022</v>
      </c>
      <c r="AD24" s="145">
        <v>12957280</v>
      </c>
      <c r="AE24" s="144">
        <v>0</v>
      </c>
      <c r="AF24" s="146">
        <v>0</v>
      </c>
      <c r="AG24" s="70">
        <v>0</v>
      </c>
      <c r="AH24" s="70">
        <v>0</v>
      </c>
      <c r="AI24" s="70">
        <v>0</v>
      </c>
      <c r="AJ24" s="70">
        <v>0</v>
      </c>
      <c r="AK24" s="70">
        <v>0</v>
      </c>
      <c r="AL24" s="70">
        <v>0.01</v>
      </c>
      <c r="AM24" s="70">
        <v>0</v>
      </c>
      <c r="AN24" s="70" t="s">
        <v>1805</v>
      </c>
      <c r="AO24" s="70" t="s">
        <v>1804</v>
      </c>
    </row>
    <row r="25" spans="1:41">
      <c r="A25" s="132">
        <f t="shared" si="0"/>
        <v>17</v>
      </c>
      <c r="B25" s="133" t="s">
        <v>1721</v>
      </c>
      <c r="C25" s="133" t="s">
        <v>1902</v>
      </c>
      <c r="D25" s="132" t="s">
        <v>1696</v>
      </c>
      <c r="E25" s="147" t="s">
        <v>1092</v>
      </c>
      <c r="F25" s="135">
        <v>45716</v>
      </c>
      <c r="G25" s="45"/>
      <c r="H25" s="136"/>
      <c r="I25" s="136">
        <v>20545385</v>
      </c>
      <c r="J25" s="137" t="s">
        <v>1025</v>
      </c>
      <c r="K25" s="137"/>
      <c r="L25" s="148">
        <f t="shared" si="6"/>
        <v>20545385</v>
      </c>
      <c r="M25" s="122">
        <f t="shared" si="1"/>
        <v>0</v>
      </c>
      <c r="N25" s="137" t="s">
        <v>1901</v>
      </c>
      <c r="O25" s="149" t="b">
        <f t="shared" si="2"/>
        <v>1</v>
      </c>
      <c r="P25" s="149">
        <f t="shared" si="3"/>
        <v>0</v>
      </c>
      <c r="Q25" s="149" t="b">
        <f t="shared" si="4"/>
        <v>0</v>
      </c>
      <c r="R25" s="149">
        <f t="shared" si="5"/>
        <v>0</v>
      </c>
      <c r="S25" s="144"/>
      <c r="T25" s="143">
        <v>45716</v>
      </c>
      <c r="U25" s="144" t="s">
        <v>1092</v>
      </c>
      <c r="V25" s="144">
        <v>0</v>
      </c>
      <c r="W25" s="144" t="s">
        <v>1071</v>
      </c>
      <c r="X25" s="144" t="s">
        <v>1801</v>
      </c>
      <c r="Y25" s="144" t="s">
        <v>1802</v>
      </c>
      <c r="Z25" s="145">
        <v>225999233</v>
      </c>
      <c r="AA25" s="145">
        <v>205453848</v>
      </c>
      <c r="AB25" s="144">
        <v>0</v>
      </c>
      <c r="AC25" s="144" t="s">
        <v>1022</v>
      </c>
      <c r="AD25" s="145">
        <v>20545385</v>
      </c>
      <c r="AE25" s="144">
        <v>0</v>
      </c>
      <c r="AF25" s="146">
        <v>0</v>
      </c>
      <c r="AG25" s="70">
        <v>0</v>
      </c>
      <c r="AH25" s="70">
        <v>0</v>
      </c>
      <c r="AI25" s="70">
        <v>0</v>
      </c>
      <c r="AJ25" s="70">
        <v>0</v>
      </c>
      <c r="AK25" s="70">
        <v>0</v>
      </c>
      <c r="AL25" s="70">
        <v>0.01</v>
      </c>
      <c r="AM25" s="70">
        <v>0</v>
      </c>
      <c r="AN25" s="70" t="s">
        <v>1803</v>
      </c>
      <c r="AO25" s="70" t="s">
        <v>1804</v>
      </c>
    </row>
    <row r="26" spans="1:41">
      <c r="A26" s="132">
        <f t="shared" si="0"/>
        <v>18</v>
      </c>
      <c r="B26" s="133" t="s">
        <v>1722</v>
      </c>
      <c r="C26" s="133" t="s">
        <v>1902</v>
      </c>
      <c r="D26" s="132" t="s">
        <v>1696</v>
      </c>
      <c r="E26" s="147" t="s">
        <v>1093</v>
      </c>
      <c r="F26" s="135">
        <v>45716</v>
      </c>
      <c r="G26" s="45"/>
      <c r="H26" s="136"/>
      <c r="I26" s="136">
        <v>12915420</v>
      </c>
      <c r="J26" s="137" t="s">
        <v>1025</v>
      </c>
      <c r="K26" s="137"/>
      <c r="L26" s="148">
        <f t="shared" si="6"/>
        <v>12915420</v>
      </c>
      <c r="M26" s="122">
        <f t="shared" si="1"/>
        <v>0</v>
      </c>
      <c r="N26" s="137" t="s">
        <v>1901</v>
      </c>
      <c r="O26" s="149" t="b">
        <f t="shared" si="2"/>
        <v>1</v>
      </c>
      <c r="P26" s="149">
        <f t="shared" si="3"/>
        <v>0</v>
      </c>
      <c r="Q26" s="149" t="b">
        <f t="shared" si="4"/>
        <v>0</v>
      </c>
      <c r="R26" s="149">
        <f t="shared" si="5"/>
        <v>0</v>
      </c>
      <c r="S26" s="144"/>
      <c r="T26" s="143">
        <v>45716</v>
      </c>
      <c r="U26" s="144" t="s">
        <v>1093</v>
      </c>
      <c r="V26" s="144">
        <v>0</v>
      </c>
      <c r="W26" s="144" t="s">
        <v>1071</v>
      </c>
      <c r="X26" s="144" t="s">
        <v>1801</v>
      </c>
      <c r="Y26" s="144" t="s">
        <v>1802</v>
      </c>
      <c r="Z26" s="145">
        <v>142069620</v>
      </c>
      <c r="AA26" s="145">
        <v>129154200</v>
      </c>
      <c r="AB26" s="144">
        <v>0</v>
      </c>
      <c r="AC26" s="144" t="s">
        <v>1022</v>
      </c>
      <c r="AD26" s="145">
        <v>12915420</v>
      </c>
      <c r="AE26" s="144">
        <v>0</v>
      </c>
      <c r="AF26" s="146">
        <v>0</v>
      </c>
      <c r="AG26" s="70">
        <v>0</v>
      </c>
      <c r="AH26" s="70">
        <v>0</v>
      </c>
      <c r="AI26" s="70">
        <v>0</v>
      </c>
      <c r="AJ26" s="70">
        <v>0</v>
      </c>
      <c r="AK26" s="70">
        <v>0</v>
      </c>
      <c r="AL26" s="70">
        <v>0.01</v>
      </c>
      <c r="AM26" s="70">
        <v>0</v>
      </c>
      <c r="AN26" s="70" t="s">
        <v>1805</v>
      </c>
      <c r="AO26" s="70" t="s">
        <v>1804</v>
      </c>
    </row>
    <row r="27" spans="1:41">
      <c r="A27" s="132">
        <f t="shared" si="0"/>
        <v>19</v>
      </c>
      <c r="B27" s="133" t="s">
        <v>1727</v>
      </c>
      <c r="C27" s="133" t="s">
        <v>1903</v>
      </c>
      <c r="D27" s="132" t="s">
        <v>1697</v>
      </c>
      <c r="E27" s="147" t="s">
        <v>1094</v>
      </c>
      <c r="F27" s="135">
        <v>45625</v>
      </c>
      <c r="G27" s="45"/>
      <c r="H27" s="136"/>
      <c r="I27" s="136">
        <v>80560</v>
      </c>
      <c r="J27" s="137" t="s">
        <v>1025</v>
      </c>
      <c r="K27" s="137"/>
      <c r="L27" s="148">
        <f t="shared" si="6"/>
        <v>80560</v>
      </c>
      <c r="M27" s="122">
        <f t="shared" si="1"/>
        <v>0</v>
      </c>
      <c r="N27" s="137"/>
      <c r="O27" s="149" t="b">
        <f t="shared" si="2"/>
        <v>1</v>
      </c>
      <c r="P27" s="149">
        <f t="shared" si="3"/>
        <v>0</v>
      </c>
      <c r="Q27" s="149" t="b">
        <f t="shared" si="4"/>
        <v>0</v>
      </c>
      <c r="R27" s="149">
        <f t="shared" si="5"/>
        <v>0</v>
      </c>
      <c r="S27" s="144"/>
      <c r="T27" s="143">
        <v>45625</v>
      </c>
      <c r="U27" s="144" t="s">
        <v>1094</v>
      </c>
      <c r="V27" s="144">
        <v>0</v>
      </c>
      <c r="W27" s="144" t="s">
        <v>1071</v>
      </c>
      <c r="X27" s="144" t="s">
        <v>1801</v>
      </c>
      <c r="Y27" s="144" t="s">
        <v>1802</v>
      </c>
      <c r="Z27" s="145">
        <v>886160</v>
      </c>
      <c r="AA27" s="145">
        <v>805600</v>
      </c>
      <c r="AB27" s="144">
        <v>0</v>
      </c>
      <c r="AC27" s="144" t="s">
        <v>1022</v>
      </c>
      <c r="AD27" s="145">
        <v>80560</v>
      </c>
      <c r="AE27" s="144">
        <v>0</v>
      </c>
      <c r="AF27" s="146">
        <v>0</v>
      </c>
      <c r="AG27" s="70">
        <v>0</v>
      </c>
      <c r="AH27" s="70">
        <v>0</v>
      </c>
      <c r="AI27" s="70">
        <v>0</v>
      </c>
      <c r="AJ27" s="70">
        <v>0</v>
      </c>
      <c r="AK27" s="70">
        <v>0</v>
      </c>
      <c r="AL27" s="70">
        <v>0.01</v>
      </c>
      <c r="AM27" s="70">
        <v>0</v>
      </c>
      <c r="AN27" s="70" t="s">
        <v>1806</v>
      </c>
    </row>
    <row r="28" spans="1:41">
      <c r="A28" s="132">
        <f t="shared" si="0"/>
        <v>20</v>
      </c>
      <c r="B28" s="133" t="s">
        <v>1727</v>
      </c>
      <c r="C28" s="133" t="s">
        <v>1903</v>
      </c>
      <c r="D28" s="132" t="s">
        <v>1697</v>
      </c>
      <c r="E28" s="147" t="s">
        <v>1095</v>
      </c>
      <c r="F28" s="135">
        <v>45623</v>
      </c>
      <c r="G28" s="45"/>
      <c r="H28" s="136"/>
      <c r="I28" s="136">
        <v>16096</v>
      </c>
      <c r="J28" s="137" t="s">
        <v>1025</v>
      </c>
      <c r="K28" s="137"/>
      <c r="L28" s="148">
        <f t="shared" si="6"/>
        <v>16096</v>
      </c>
      <c r="M28" s="122">
        <f t="shared" si="1"/>
        <v>0</v>
      </c>
      <c r="N28" s="137"/>
      <c r="O28" s="149" t="b">
        <f t="shared" si="2"/>
        <v>1</v>
      </c>
      <c r="P28" s="149">
        <f t="shared" si="3"/>
        <v>0</v>
      </c>
      <c r="Q28" s="149" t="b">
        <f t="shared" si="4"/>
        <v>0</v>
      </c>
      <c r="R28" s="149">
        <f t="shared" si="5"/>
        <v>0</v>
      </c>
      <c r="S28" s="144"/>
      <c r="T28" s="143">
        <v>45623</v>
      </c>
      <c r="U28" s="144" t="s">
        <v>1095</v>
      </c>
      <c r="V28" s="144">
        <v>0</v>
      </c>
      <c r="W28" s="144" t="s">
        <v>1071</v>
      </c>
      <c r="X28" s="144" t="s">
        <v>1801</v>
      </c>
      <c r="Y28" s="144" t="s">
        <v>1802</v>
      </c>
      <c r="Z28" s="145">
        <v>177056</v>
      </c>
      <c r="AA28" s="145">
        <v>160960</v>
      </c>
      <c r="AB28" s="144">
        <v>0</v>
      </c>
      <c r="AC28" s="144" t="s">
        <v>1022</v>
      </c>
      <c r="AD28" s="145">
        <v>16096</v>
      </c>
      <c r="AE28" s="144">
        <v>0</v>
      </c>
      <c r="AF28" s="146">
        <v>0</v>
      </c>
      <c r="AG28" s="70">
        <v>0</v>
      </c>
      <c r="AH28" s="70">
        <v>0</v>
      </c>
      <c r="AI28" s="70">
        <v>0</v>
      </c>
      <c r="AJ28" s="70">
        <v>0</v>
      </c>
      <c r="AK28" s="70">
        <v>0</v>
      </c>
      <c r="AL28" s="70">
        <v>0.01</v>
      </c>
      <c r="AM28" s="70">
        <v>0</v>
      </c>
      <c r="AN28" s="70" t="s">
        <v>1806</v>
      </c>
    </row>
    <row r="29" spans="1:41">
      <c r="A29" s="132">
        <f t="shared" si="0"/>
        <v>21</v>
      </c>
      <c r="B29" s="133" t="s">
        <v>1727</v>
      </c>
      <c r="C29" s="133" t="s">
        <v>1903</v>
      </c>
      <c r="D29" s="132" t="s">
        <v>1697</v>
      </c>
      <c r="E29" s="147" t="s">
        <v>1096</v>
      </c>
      <c r="F29" s="135">
        <v>45623</v>
      </c>
      <c r="G29" s="45"/>
      <c r="H29" s="136"/>
      <c r="I29" s="136">
        <v>8048</v>
      </c>
      <c r="J29" s="137" t="s">
        <v>1025</v>
      </c>
      <c r="K29" s="137"/>
      <c r="L29" s="148">
        <f t="shared" si="6"/>
        <v>8048</v>
      </c>
      <c r="M29" s="122">
        <f t="shared" si="1"/>
        <v>0</v>
      </c>
      <c r="N29" s="137"/>
      <c r="O29" s="149" t="b">
        <f>U29=E29</f>
        <v>1</v>
      </c>
      <c r="P29" s="149">
        <f t="shared" si="3"/>
        <v>0</v>
      </c>
      <c r="Q29" s="149" t="b">
        <f t="shared" si="4"/>
        <v>0</v>
      </c>
      <c r="R29" s="149">
        <f t="shared" si="5"/>
        <v>0</v>
      </c>
      <c r="S29" s="144"/>
      <c r="T29" s="143">
        <v>45623</v>
      </c>
      <c r="U29" s="144" t="s">
        <v>1096</v>
      </c>
      <c r="V29" s="144">
        <v>0</v>
      </c>
      <c r="W29" s="144" t="s">
        <v>1071</v>
      </c>
      <c r="X29" s="144" t="s">
        <v>1801</v>
      </c>
      <c r="Y29" s="144" t="s">
        <v>1802</v>
      </c>
      <c r="Z29" s="145">
        <v>88528</v>
      </c>
      <c r="AA29" s="145">
        <v>80480</v>
      </c>
      <c r="AB29" s="144">
        <v>0</v>
      </c>
      <c r="AC29" s="144" t="s">
        <v>1022</v>
      </c>
      <c r="AD29" s="145">
        <v>8048</v>
      </c>
      <c r="AE29" s="144">
        <v>0</v>
      </c>
      <c r="AF29" s="146">
        <v>0</v>
      </c>
      <c r="AG29" s="70">
        <v>0</v>
      </c>
      <c r="AH29" s="70">
        <v>0</v>
      </c>
      <c r="AI29" s="70">
        <v>0</v>
      </c>
      <c r="AJ29" s="70">
        <v>0</v>
      </c>
      <c r="AK29" s="70">
        <v>0</v>
      </c>
      <c r="AL29" s="70">
        <v>0.01</v>
      </c>
      <c r="AM29" s="70">
        <v>0</v>
      </c>
      <c r="AN29" s="70" t="s">
        <v>1806</v>
      </c>
    </row>
    <row r="30" spans="1:41">
      <c r="A30" s="132">
        <f t="shared" si="0"/>
        <v>22</v>
      </c>
      <c r="B30" s="133" t="s">
        <v>1723</v>
      </c>
      <c r="C30" s="133" t="s">
        <v>1903</v>
      </c>
      <c r="D30" s="132" t="s">
        <v>1697</v>
      </c>
      <c r="E30" s="147" t="s">
        <v>1097</v>
      </c>
      <c r="F30" s="135">
        <v>45607</v>
      </c>
      <c r="G30" s="45"/>
      <c r="H30" s="136"/>
      <c r="I30" s="136">
        <v>6089</v>
      </c>
      <c r="J30" s="137" t="s">
        <v>1025</v>
      </c>
      <c r="K30" s="137"/>
      <c r="L30" s="148">
        <f t="shared" si="6"/>
        <v>6089</v>
      </c>
      <c r="M30" s="122">
        <f t="shared" si="1"/>
        <v>0</v>
      </c>
      <c r="N30" s="137"/>
      <c r="O30" s="149" t="b">
        <f t="shared" si="2"/>
        <v>1</v>
      </c>
      <c r="P30" s="149">
        <f t="shared" si="3"/>
        <v>0</v>
      </c>
      <c r="Q30" s="149" t="b">
        <f t="shared" si="4"/>
        <v>0</v>
      </c>
      <c r="R30" s="149">
        <f t="shared" si="5"/>
        <v>0</v>
      </c>
      <c r="S30" s="144"/>
      <c r="T30" s="143">
        <v>45607</v>
      </c>
      <c r="U30" s="144" t="s">
        <v>1097</v>
      </c>
      <c r="V30" s="144">
        <v>0</v>
      </c>
      <c r="W30" s="144" t="s">
        <v>1071</v>
      </c>
      <c r="X30" s="144" t="s">
        <v>1801</v>
      </c>
      <c r="Y30" s="144" t="s">
        <v>1802</v>
      </c>
      <c r="Z30" s="145">
        <v>66974</v>
      </c>
      <c r="AA30" s="145">
        <v>60885</v>
      </c>
      <c r="AB30" s="144">
        <v>0</v>
      </c>
      <c r="AC30" s="144" t="s">
        <v>1022</v>
      </c>
      <c r="AD30" s="145">
        <v>6089</v>
      </c>
      <c r="AE30" s="144">
        <v>0</v>
      </c>
      <c r="AF30" s="146">
        <v>0</v>
      </c>
      <c r="AG30" s="70">
        <v>0</v>
      </c>
      <c r="AH30" s="70">
        <v>0</v>
      </c>
      <c r="AI30" s="70">
        <v>0</v>
      </c>
      <c r="AJ30" s="70">
        <v>0</v>
      </c>
      <c r="AK30" s="70">
        <v>0</v>
      </c>
      <c r="AL30" s="70">
        <v>0.01</v>
      </c>
      <c r="AM30" s="70">
        <v>0</v>
      </c>
      <c r="AN30" s="70" t="s">
        <v>1806</v>
      </c>
    </row>
    <row r="31" spans="1:41">
      <c r="A31" s="132">
        <f t="shared" si="0"/>
        <v>23</v>
      </c>
      <c r="B31" s="133" t="s">
        <v>1723</v>
      </c>
      <c r="C31" s="133" t="s">
        <v>1903</v>
      </c>
      <c r="D31" s="132" t="s">
        <v>1697</v>
      </c>
      <c r="E31" s="147" t="s">
        <v>1098</v>
      </c>
      <c r="F31" s="135">
        <v>45602</v>
      </c>
      <c r="G31" s="45"/>
      <c r="H31" s="136"/>
      <c r="I31" s="136">
        <v>4064</v>
      </c>
      <c r="J31" s="137" t="s">
        <v>1025</v>
      </c>
      <c r="K31" s="137"/>
      <c r="L31" s="148">
        <f t="shared" si="6"/>
        <v>4064</v>
      </c>
      <c r="M31" s="122">
        <f t="shared" si="1"/>
        <v>0</v>
      </c>
      <c r="N31" s="137"/>
      <c r="O31" s="149" t="b">
        <f t="shared" si="2"/>
        <v>1</v>
      </c>
      <c r="P31" s="149">
        <f t="shared" si="3"/>
        <v>0</v>
      </c>
      <c r="Q31" s="149" t="b">
        <f t="shared" si="4"/>
        <v>0</v>
      </c>
      <c r="R31" s="149">
        <f t="shared" si="5"/>
        <v>0</v>
      </c>
      <c r="S31" s="144"/>
      <c r="T31" s="143">
        <v>45602</v>
      </c>
      <c r="U31" s="144" t="s">
        <v>1098</v>
      </c>
      <c r="V31" s="144">
        <v>0</v>
      </c>
      <c r="W31" s="144" t="s">
        <v>1071</v>
      </c>
      <c r="X31" s="144" t="s">
        <v>1801</v>
      </c>
      <c r="Y31" s="144" t="s">
        <v>1802</v>
      </c>
      <c r="Z31" s="145">
        <v>44704</v>
      </c>
      <c r="AA31" s="145">
        <v>40640</v>
      </c>
      <c r="AB31" s="144">
        <v>0</v>
      </c>
      <c r="AC31" s="144" t="s">
        <v>1022</v>
      </c>
      <c r="AD31" s="145">
        <v>4064</v>
      </c>
      <c r="AE31" s="144">
        <v>0</v>
      </c>
      <c r="AF31" s="146">
        <v>0</v>
      </c>
      <c r="AG31" s="70">
        <v>0</v>
      </c>
      <c r="AH31" s="70">
        <v>0</v>
      </c>
      <c r="AI31" s="70">
        <v>0</v>
      </c>
      <c r="AJ31" s="70">
        <v>0</v>
      </c>
      <c r="AK31" s="70">
        <v>0</v>
      </c>
      <c r="AL31" s="70">
        <v>0.01</v>
      </c>
      <c r="AM31" s="70">
        <v>0</v>
      </c>
      <c r="AN31" s="70" t="s">
        <v>1806</v>
      </c>
    </row>
    <row r="32" spans="1:41">
      <c r="A32" s="132">
        <f t="shared" si="0"/>
        <v>24</v>
      </c>
      <c r="B32" s="133" t="s">
        <v>1723</v>
      </c>
      <c r="C32" s="133" t="s">
        <v>1903</v>
      </c>
      <c r="D32" s="132" t="s">
        <v>1697</v>
      </c>
      <c r="E32" s="147" t="s">
        <v>1099</v>
      </c>
      <c r="F32" s="135">
        <v>45602</v>
      </c>
      <c r="G32" s="45"/>
      <c r="H32" s="136"/>
      <c r="I32" s="136">
        <v>6096</v>
      </c>
      <c r="J32" s="137" t="s">
        <v>1025</v>
      </c>
      <c r="K32" s="137"/>
      <c r="L32" s="148">
        <f t="shared" si="6"/>
        <v>6096</v>
      </c>
      <c r="M32" s="122">
        <f t="shared" si="1"/>
        <v>0</v>
      </c>
      <c r="N32" s="137"/>
      <c r="O32" s="149" t="b">
        <f t="shared" si="2"/>
        <v>1</v>
      </c>
      <c r="P32" s="149">
        <f t="shared" si="3"/>
        <v>0</v>
      </c>
      <c r="Q32" s="149" t="b">
        <f t="shared" si="4"/>
        <v>0</v>
      </c>
      <c r="R32" s="149">
        <f t="shared" si="5"/>
        <v>0</v>
      </c>
      <c r="S32" s="144"/>
      <c r="T32" s="143">
        <v>45602</v>
      </c>
      <c r="U32" s="144" t="s">
        <v>1099</v>
      </c>
      <c r="V32" s="144">
        <v>0</v>
      </c>
      <c r="W32" s="144" t="s">
        <v>1071</v>
      </c>
      <c r="X32" s="144" t="s">
        <v>1801</v>
      </c>
      <c r="Y32" s="144" t="s">
        <v>1802</v>
      </c>
      <c r="Z32" s="145">
        <v>67056</v>
      </c>
      <c r="AA32" s="145">
        <v>60960</v>
      </c>
      <c r="AB32" s="144">
        <v>0</v>
      </c>
      <c r="AC32" s="144" t="s">
        <v>1022</v>
      </c>
      <c r="AD32" s="145">
        <v>6096</v>
      </c>
      <c r="AE32" s="144">
        <v>0</v>
      </c>
      <c r="AF32" s="146">
        <v>0</v>
      </c>
      <c r="AG32" s="70">
        <v>0</v>
      </c>
      <c r="AH32" s="70">
        <v>0</v>
      </c>
      <c r="AI32" s="70">
        <v>0</v>
      </c>
      <c r="AJ32" s="70">
        <v>0</v>
      </c>
      <c r="AK32" s="70">
        <v>0</v>
      </c>
      <c r="AL32" s="70">
        <v>0.01</v>
      </c>
      <c r="AM32" s="70">
        <v>0</v>
      </c>
      <c r="AN32" s="70" t="s">
        <v>1806</v>
      </c>
    </row>
    <row r="33" spans="1:41">
      <c r="A33" s="132">
        <f t="shared" si="0"/>
        <v>25</v>
      </c>
      <c r="B33" s="133" t="s">
        <v>1723</v>
      </c>
      <c r="C33" s="133" t="s">
        <v>1903</v>
      </c>
      <c r="D33" s="132" t="s">
        <v>1697</v>
      </c>
      <c r="E33" s="147" t="s">
        <v>1100</v>
      </c>
      <c r="F33" s="135">
        <v>45602</v>
      </c>
      <c r="G33" s="45"/>
      <c r="H33" s="136"/>
      <c r="I33" s="136">
        <v>8128</v>
      </c>
      <c r="J33" s="137" t="s">
        <v>1025</v>
      </c>
      <c r="K33" s="137"/>
      <c r="L33" s="148">
        <f t="shared" si="6"/>
        <v>8128</v>
      </c>
      <c r="M33" s="122">
        <f t="shared" si="1"/>
        <v>0</v>
      </c>
      <c r="N33" s="137"/>
      <c r="O33" s="149" t="b">
        <f t="shared" si="2"/>
        <v>1</v>
      </c>
      <c r="P33" s="149">
        <f t="shared" si="3"/>
        <v>0</v>
      </c>
      <c r="Q33" s="149" t="b">
        <f t="shared" si="4"/>
        <v>0</v>
      </c>
      <c r="R33" s="149">
        <f>I33-AD33</f>
        <v>0</v>
      </c>
      <c r="S33" s="144"/>
      <c r="T33" s="143">
        <v>45602</v>
      </c>
      <c r="U33" s="144" t="s">
        <v>1100</v>
      </c>
      <c r="V33" s="144">
        <v>0</v>
      </c>
      <c r="W33" s="144" t="s">
        <v>1071</v>
      </c>
      <c r="X33" s="144" t="s">
        <v>1801</v>
      </c>
      <c r="Y33" s="144" t="s">
        <v>1802</v>
      </c>
      <c r="Z33" s="145">
        <v>89408</v>
      </c>
      <c r="AA33" s="145">
        <v>81280</v>
      </c>
      <c r="AB33" s="144">
        <v>0</v>
      </c>
      <c r="AC33" s="144" t="s">
        <v>1022</v>
      </c>
      <c r="AD33" s="145">
        <v>8128</v>
      </c>
      <c r="AE33" s="144">
        <v>0</v>
      </c>
      <c r="AF33" s="146">
        <v>0</v>
      </c>
      <c r="AG33" s="70">
        <v>0</v>
      </c>
      <c r="AH33" s="70">
        <v>0</v>
      </c>
      <c r="AI33" s="70">
        <v>0</v>
      </c>
      <c r="AJ33" s="70">
        <v>0</v>
      </c>
      <c r="AK33" s="70">
        <v>0</v>
      </c>
      <c r="AL33" s="70">
        <v>0.01</v>
      </c>
      <c r="AM33" s="70">
        <v>0</v>
      </c>
      <c r="AN33" s="70" t="s">
        <v>1806</v>
      </c>
    </row>
    <row r="34" spans="1:41">
      <c r="A34" s="132">
        <f t="shared" si="0"/>
        <v>26</v>
      </c>
      <c r="B34" s="133" t="s">
        <v>1723</v>
      </c>
      <c r="C34" s="133" t="s">
        <v>1903</v>
      </c>
      <c r="D34" s="132" t="s">
        <v>1697</v>
      </c>
      <c r="E34" s="147" t="s">
        <v>1101</v>
      </c>
      <c r="F34" s="135">
        <v>45602</v>
      </c>
      <c r="G34" s="45"/>
      <c r="H34" s="136"/>
      <c r="I34" s="136">
        <v>6096</v>
      </c>
      <c r="J34" s="137" t="s">
        <v>1025</v>
      </c>
      <c r="K34" s="137"/>
      <c r="L34" s="148">
        <f t="shared" si="6"/>
        <v>6096</v>
      </c>
      <c r="M34" s="122">
        <f t="shared" si="1"/>
        <v>0</v>
      </c>
      <c r="N34" s="137"/>
      <c r="O34" s="149" t="b">
        <f t="shared" si="2"/>
        <v>1</v>
      </c>
      <c r="P34" s="149">
        <f t="shared" si="3"/>
        <v>0</v>
      </c>
      <c r="Q34" s="149" t="b">
        <f t="shared" si="4"/>
        <v>0</v>
      </c>
      <c r="R34" s="149">
        <f t="shared" si="5"/>
        <v>0</v>
      </c>
      <c r="S34" s="144"/>
      <c r="T34" s="143">
        <v>45602</v>
      </c>
      <c r="U34" s="144" t="s">
        <v>1101</v>
      </c>
      <c r="V34" s="144">
        <v>0</v>
      </c>
      <c r="W34" s="144" t="s">
        <v>1071</v>
      </c>
      <c r="X34" s="144" t="s">
        <v>1801</v>
      </c>
      <c r="Y34" s="144" t="s">
        <v>1802</v>
      </c>
      <c r="Z34" s="145">
        <v>67056</v>
      </c>
      <c r="AA34" s="145">
        <v>60960</v>
      </c>
      <c r="AB34" s="144">
        <v>0</v>
      </c>
      <c r="AC34" s="144" t="s">
        <v>1022</v>
      </c>
      <c r="AD34" s="145">
        <v>6096</v>
      </c>
      <c r="AE34" s="144">
        <v>0</v>
      </c>
      <c r="AF34" s="146">
        <v>0</v>
      </c>
      <c r="AG34" s="70">
        <v>0</v>
      </c>
      <c r="AH34" s="70">
        <v>0</v>
      </c>
      <c r="AI34" s="70">
        <v>0</v>
      </c>
      <c r="AJ34" s="70">
        <v>0</v>
      </c>
      <c r="AK34" s="70">
        <v>0</v>
      </c>
      <c r="AL34" s="70">
        <v>0.01</v>
      </c>
      <c r="AM34" s="70">
        <v>0</v>
      </c>
      <c r="AN34" s="70" t="s">
        <v>1806</v>
      </c>
    </row>
    <row r="35" spans="1:41">
      <c r="A35" s="132">
        <f t="shared" si="0"/>
        <v>27</v>
      </c>
      <c r="B35" s="133" t="s">
        <v>1723</v>
      </c>
      <c r="C35" s="133" t="s">
        <v>1903</v>
      </c>
      <c r="D35" s="132" t="s">
        <v>1697</v>
      </c>
      <c r="E35" s="147" t="s">
        <v>1102</v>
      </c>
      <c r="F35" s="135">
        <v>45602</v>
      </c>
      <c r="G35" s="45"/>
      <c r="H35" s="136"/>
      <c r="I35" s="136">
        <v>2032</v>
      </c>
      <c r="J35" s="137" t="s">
        <v>1025</v>
      </c>
      <c r="K35" s="137"/>
      <c r="L35" s="148">
        <f t="shared" si="6"/>
        <v>2032</v>
      </c>
      <c r="M35" s="122">
        <f t="shared" si="1"/>
        <v>0</v>
      </c>
      <c r="N35" s="137"/>
      <c r="O35" s="149" t="b">
        <f t="shared" si="2"/>
        <v>1</v>
      </c>
      <c r="P35" s="149">
        <f t="shared" si="3"/>
        <v>0</v>
      </c>
      <c r="Q35" s="149" t="b">
        <f t="shared" si="4"/>
        <v>0</v>
      </c>
      <c r="R35" s="149">
        <f t="shared" si="5"/>
        <v>0</v>
      </c>
      <c r="S35" s="144"/>
      <c r="T35" s="143">
        <v>45602</v>
      </c>
      <c r="U35" s="144" t="s">
        <v>1102</v>
      </c>
      <c r="V35" s="144">
        <v>0</v>
      </c>
      <c r="W35" s="144" t="s">
        <v>1071</v>
      </c>
      <c r="X35" s="144" t="s">
        <v>1801</v>
      </c>
      <c r="Y35" s="144" t="s">
        <v>1802</v>
      </c>
      <c r="Z35" s="145">
        <v>22352</v>
      </c>
      <c r="AA35" s="145">
        <v>20320</v>
      </c>
      <c r="AB35" s="144">
        <v>0</v>
      </c>
      <c r="AC35" s="144" t="s">
        <v>1022</v>
      </c>
      <c r="AD35" s="145">
        <v>2032</v>
      </c>
      <c r="AE35" s="144">
        <v>0</v>
      </c>
      <c r="AF35" s="146">
        <v>0</v>
      </c>
      <c r="AG35" s="70">
        <v>0</v>
      </c>
      <c r="AH35" s="70">
        <v>0</v>
      </c>
      <c r="AI35" s="70">
        <v>0</v>
      </c>
      <c r="AJ35" s="70">
        <v>0</v>
      </c>
      <c r="AK35" s="70">
        <v>0</v>
      </c>
      <c r="AL35" s="70">
        <v>0.01</v>
      </c>
      <c r="AM35" s="70">
        <v>0</v>
      </c>
      <c r="AN35" s="70" t="s">
        <v>1806</v>
      </c>
    </row>
    <row r="36" spans="1:41">
      <c r="A36" s="132">
        <f t="shared" si="0"/>
        <v>28</v>
      </c>
      <c r="B36" s="133" t="s">
        <v>1723</v>
      </c>
      <c r="C36" s="133" t="s">
        <v>1903</v>
      </c>
      <c r="D36" s="132" t="s">
        <v>1697</v>
      </c>
      <c r="E36" s="147" t="s">
        <v>1103</v>
      </c>
      <c r="F36" s="135">
        <v>45602</v>
      </c>
      <c r="G36" s="45"/>
      <c r="H36" s="136"/>
      <c r="I36" s="136">
        <v>2032</v>
      </c>
      <c r="J36" s="137" t="s">
        <v>1025</v>
      </c>
      <c r="K36" s="137"/>
      <c r="L36" s="148">
        <f t="shared" si="6"/>
        <v>2032</v>
      </c>
      <c r="M36" s="122">
        <f t="shared" si="1"/>
        <v>0</v>
      </c>
      <c r="N36" s="137"/>
      <c r="O36" s="149" t="b">
        <f t="shared" si="2"/>
        <v>1</v>
      </c>
      <c r="P36" s="149">
        <f t="shared" si="3"/>
        <v>0</v>
      </c>
      <c r="Q36" s="149" t="b">
        <f t="shared" si="4"/>
        <v>0</v>
      </c>
      <c r="R36" s="149">
        <f t="shared" si="5"/>
        <v>0</v>
      </c>
      <c r="S36" s="144"/>
      <c r="T36" s="143">
        <v>45602</v>
      </c>
      <c r="U36" s="144" t="s">
        <v>1103</v>
      </c>
      <c r="V36" s="144">
        <v>0</v>
      </c>
      <c r="W36" s="144" t="s">
        <v>1071</v>
      </c>
      <c r="X36" s="144" t="s">
        <v>1801</v>
      </c>
      <c r="Y36" s="144" t="s">
        <v>1802</v>
      </c>
      <c r="Z36" s="145">
        <v>22352</v>
      </c>
      <c r="AA36" s="145">
        <v>20320</v>
      </c>
      <c r="AB36" s="144">
        <v>0</v>
      </c>
      <c r="AC36" s="144" t="s">
        <v>1022</v>
      </c>
      <c r="AD36" s="145">
        <v>2032</v>
      </c>
      <c r="AE36" s="144">
        <v>0</v>
      </c>
      <c r="AF36" s="146">
        <v>0</v>
      </c>
      <c r="AG36" s="70">
        <v>0</v>
      </c>
      <c r="AH36" s="70">
        <v>0</v>
      </c>
      <c r="AI36" s="70">
        <v>0</v>
      </c>
      <c r="AJ36" s="70">
        <v>0</v>
      </c>
      <c r="AK36" s="70">
        <v>0</v>
      </c>
      <c r="AL36" s="70">
        <v>0.01</v>
      </c>
      <c r="AM36" s="70">
        <v>0</v>
      </c>
      <c r="AN36" s="70" t="s">
        <v>1806</v>
      </c>
    </row>
    <row r="37" spans="1:41">
      <c r="A37" s="132">
        <f t="shared" si="0"/>
        <v>29</v>
      </c>
      <c r="B37" s="133" t="s">
        <v>1723</v>
      </c>
      <c r="C37" s="133" t="s">
        <v>1903</v>
      </c>
      <c r="D37" s="132" t="s">
        <v>1697</v>
      </c>
      <c r="E37" s="147" t="s">
        <v>1104</v>
      </c>
      <c r="F37" s="135">
        <v>45602</v>
      </c>
      <c r="G37" s="45"/>
      <c r="H37" s="136"/>
      <c r="I37" s="136">
        <v>8128</v>
      </c>
      <c r="J37" s="137" t="s">
        <v>1025</v>
      </c>
      <c r="K37" s="137"/>
      <c r="L37" s="148">
        <f t="shared" si="6"/>
        <v>8128</v>
      </c>
      <c r="M37" s="122">
        <f t="shared" si="1"/>
        <v>0</v>
      </c>
      <c r="N37" s="137"/>
      <c r="O37" s="149" t="b">
        <f t="shared" si="2"/>
        <v>1</v>
      </c>
      <c r="P37" s="149">
        <f t="shared" si="3"/>
        <v>0</v>
      </c>
      <c r="Q37" s="149" t="b">
        <f t="shared" si="4"/>
        <v>0</v>
      </c>
      <c r="R37" s="149">
        <f t="shared" si="5"/>
        <v>0</v>
      </c>
      <c r="S37" s="144"/>
      <c r="T37" s="143">
        <v>45602</v>
      </c>
      <c r="U37" s="144" t="s">
        <v>1104</v>
      </c>
      <c r="V37" s="144">
        <v>0</v>
      </c>
      <c r="W37" s="144" t="s">
        <v>1071</v>
      </c>
      <c r="X37" s="144" t="s">
        <v>1801</v>
      </c>
      <c r="Y37" s="144" t="s">
        <v>1802</v>
      </c>
      <c r="Z37" s="145">
        <v>89408</v>
      </c>
      <c r="AA37" s="145">
        <v>81280</v>
      </c>
      <c r="AB37" s="144">
        <v>0</v>
      </c>
      <c r="AC37" s="144" t="s">
        <v>1022</v>
      </c>
      <c r="AD37" s="145">
        <v>8128</v>
      </c>
      <c r="AE37" s="144">
        <v>0</v>
      </c>
      <c r="AF37" s="146">
        <v>0</v>
      </c>
      <c r="AG37" s="70">
        <v>0</v>
      </c>
      <c r="AH37" s="70">
        <v>0</v>
      </c>
      <c r="AI37" s="70">
        <v>0</v>
      </c>
      <c r="AJ37" s="70">
        <v>0</v>
      </c>
      <c r="AK37" s="70">
        <v>0</v>
      </c>
      <c r="AL37" s="70">
        <v>0.01</v>
      </c>
      <c r="AM37" s="70">
        <v>0</v>
      </c>
      <c r="AN37" s="70" t="s">
        <v>1806</v>
      </c>
    </row>
    <row r="38" spans="1:41">
      <c r="A38" s="132">
        <f t="shared" si="0"/>
        <v>30</v>
      </c>
      <c r="B38" s="133" t="s">
        <v>1723</v>
      </c>
      <c r="C38" s="133" t="s">
        <v>1903</v>
      </c>
      <c r="D38" s="132" t="s">
        <v>1697</v>
      </c>
      <c r="E38" s="147" t="s">
        <v>1105</v>
      </c>
      <c r="F38" s="135">
        <v>45602</v>
      </c>
      <c r="G38" s="45"/>
      <c r="H38" s="136"/>
      <c r="I38" s="136">
        <v>2032</v>
      </c>
      <c r="J38" s="137" t="s">
        <v>1025</v>
      </c>
      <c r="K38" s="137"/>
      <c r="L38" s="148">
        <f t="shared" si="6"/>
        <v>2032</v>
      </c>
      <c r="M38" s="122">
        <f t="shared" si="1"/>
        <v>0</v>
      </c>
      <c r="N38" s="137"/>
      <c r="O38" s="149" t="b">
        <f t="shared" si="2"/>
        <v>1</v>
      </c>
      <c r="P38" s="149">
        <f t="shared" si="3"/>
        <v>0</v>
      </c>
      <c r="Q38" s="149" t="b">
        <f t="shared" si="4"/>
        <v>0</v>
      </c>
      <c r="R38" s="149">
        <f t="shared" si="5"/>
        <v>0</v>
      </c>
      <c r="S38" s="144"/>
      <c r="T38" s="143">
        <v>45602</v>
      </c>
      <c r="U38" s="144" t="s">
        <v>1105</v>
      </c>
      <c r="V38" s="144">
        <v>0</v>
      </c>
      <c r="W38" s="144" t="s">
        <v>1071</v>
      </c>
      <c r="X38" s="144" t="s">
        <v>1801</v>
      </c>
      <c r="Y38" s="144" t="s">
        <v>1802</v>
      </c>
      <c r="Z38" s="145">
        <v>22352</v>
      </c>
      <c r="AA38" s="145">
        <v>20320</v>
      </c>
      <c r="AB38" s="144">
        <v>0</v>
      </c>
      <c r="AC38" s="144" t="s">
        <v>1022</v>
      </c>
      <c r="AD38" s="145">
        <v>2032</v>
      </c>
      <c r="AE38" s="144">
        <v>0</v>
      </c>
      <c r="AF38" s="146">
        <v>0</v>
      </c>
      <c r="AG38" s="70">
        <v>0</v>
      </c>
      <c r="AH38" s="70">
        <v>0</v>
      </c>
      <c r="AI38" s="70">
        <v>0</v>
      </c>
      <c r="AJ38" s="70">
        <v>0</v>
      </c>
      <c r="AK38" s="70">
        <v>0</v>
      </c>
      <c r="AL38" s="70">
        <v>0.01</v>
      </c>
      <c r="AM38" s="70">
        <v>0</v>
      </c>
      <c r="AN38" s="70" t="s">
        <v>1806</v>
      </c>
    </row>
    <row r="39" spans="1:41">
      <c r="A39" s="132">
        <f t="shared" si="0"/>
        <v>31</v>
      </c>
      <c r="B39" s="133" t="s">
        <v>1723</v>
      </c>
      <c r="C39" s="133" t="s">
        <v>1903</v>
      </c>
      <c r="D39" s="132" t="s">
        <v>1697</v>
      </c>
      <c r="E39" s="147" t="s">
        <v>1106</v>
      </c>
      <c r="F39" s="135">
        <v>45602</v>
      </c>
      <c r="G39" s="45"/>
      <c r="H39" s="136"/>
      <c r="I39" s="136">
        <v>4064</v>
      </c>
      <c r="J39" s="137" t="s">
        <v>1025</v>
      </c>
      <c r="K39" s="137"/>
      <c r="L39" s="148">
        <f t="shared" si="6"/>
        <v>4064</v>
      </c>
      <c r="M39" s="122">
        <f t="shared" si="1"/>
        <v>0</v>
      </c>
      <c r="N39" s="137"/>
      <c r="O39" s="149" t="b">
        <f t="shared" si="2"/>
        <v>1</v>
      </c>
      <c r="P39" s="149">
        <f t="shared" si="3"/>
        <v>0</v>
      </c>
      <c r="Q39" s="149" t="b">
        <f t="shared" si="4"/>
        <v>0</v>
      </c>
      <c r="R39" s="149">
        <f t="shared" si="5"/>
        <v>0</v>
      </c>
      <c r="S39" s="144"/>
      <c r="T39" s="143">
        <v>45602</v>
      </c>
      <c r="U39" s="144" t="s">
        <v>1106</v>
      </c>
      <c r="V39" s="144">
        <v>0</v>
      </c>
      <c r="W39" s="144" t="s">
        <v>1071</v>
      </c>
      <c r="X39" s="144" t="s">
        <v>1801</v>
      </c>
      <c r="Y39" s="144" t="s">
        <v>1802</v>
      </c>
      <c r="Z39" s="145">
        <v>44704</v>
      </c>
      <c r="AA39" s="145">
        <v>40640</v>
      </c>
      <c r="AB39" s="144">
        <v>0</v>
      </c>
      <c r="AC39" s="144" t="s">
        <v>1022</v>
      </c>
      <c r="AD39" s="145">
        <v>4064</v>
      </c>
      <c r="AE39" s="144">
        <v>0</v>
      </c>
      <c r="AF39" s="146">
        <v>0</v>
      </c>
      <c r="AG39" s="70">
        <v>0</v>
      </c>
      <c r="AH39" s="70">
        <v>0</v>
      </c>
      <c r="AI39" s="70">
        <v>0</v>
      </c>
      <c r="AJ39" s="70">
        <v>0</v>
      </c>
      <c r="AK39" s="70">
        <v>0</v>
      </c>
      <c r="AL39" s="70">
        <v>0.01</v>
      </c>
      <c r="AM39" s="70">
        <v>0</v>
      </c>
      <c r="AN39" s="70" t="s">
        <v>1806</v>
      </c>
    </row>
    <row r="40" spans="1:41">
      <c r="A40" s="132">
        <f t="shared" si="0"/>
        <v>32</v>
      </c>
      <c r="B40" s="133" t="s">
        <v>1727</v>
      </c>
      <c r="C40" s="133" t="s">
        <v>1903</v>
      </c>
      <c r="D40" s="132" t="s">
        <v>1697</v>
      </c>
      <c r="E40" s="147" t="s">
        <v>1107</v>
      </c>
      <c r="F40" s="135">
        <v>45625</v>
      </c>
      <c r="G40" s="45"/>
      <c r="H40" s="136"/>
      <c r="I40" s="136">
        <v>72504</v>
      </c>
      <c r="J40" s="137" t="s">
        <v>1025</v>
      </c>
      <c r="K40" s="137"/>
      <c r="L40" s="148">
        <f t="shared" si="6"/>
        <v>72504</v>
      </c>
      <c r="M40" s="122">
        <f t="shared" si="1"/>
        <v>0</v>
      </c>
      <c r="N40" s="137"/>
      <c r="O40" s="149" t="b">
        <f t="shared" si="2"/>
        <v>1</v>
      </c>
      <c r="P40" s="149">
        <f t="shared" si="3"/>
        <v>0</v>
      </c>
      <c r="Q40" s="149" t="b">
        <f t="shared" si="4"/>
        <v>0</v>
      </c>
      <c r="R40" s="149">
        <f t="shared" si="5"/>
        <v>0</v>
      </c>
      <c r="S40" s="144"/>
      <c r="T40" s="143">
        <v>45625</v>
      </c>
      <c r="U40" s="144" t="s">
        <v>1107</v>
      </c>
      <c r="V40" s="144">
        <v>0</v>
      </c>
      <c r="W40" s="144" t="s">
        <v>1071</v>
      </c>
      <c r="X40" s="144" t="s">
        <v>1801</v>
      </c>
      <c r="Y40" s="144" t="s">
        <v>1802</v>
      </c>
      <c r="Z40" s="145">
        <v>797544</v>
      </c>
      <c r="AA40" s="145">
        <v>725040</v>
      </c>
      <c r="AB40" s="144">
        <v>0</v>
      </c>
      <c r="AC40" s="144" t="s">
        <v>1022</v>
      </c>
      <c r="AD40" s="145">
        <v>72504</v>
      </c>
      <c r="AE40" s="144">
        <v>0</v>
      </c>
      <c r="AF40" s="146">
        <v>0</v>
      </c>
      <c r="AG40" s="70">
        <v>0</v>
      </c>
      <c r="AH40" s="70">
        <v>0</v>
      </c>
      <c r="AI40" s="70">
        <v>0</v>
      </c>
      <c r="AJ40" s="70">
        <v>0</v>
      </c>
      <c r="AK40" s="70">
        <v>0</v>
      </c>
      <c r="AL40" s="70">
        <v>0.01</v>
      </c>
      <c r="AM40" s="70">
        <v>0</v>
      </c>
      <c r="AN40" s="70" t="s">
        <v>1806</v>
      </c>
    </row>
    <row r="41" spans="1:41">
      <c r="A41" s="132">
        <f t="shared" si="0"/>
        <v>33</v>
      </c>
      <c r="B41" s="133" t="s">
        <v>1727</v>
      </c>
      <c r="C41" s="133" t="s">
        <v>1903</v>
      </c>
      <c r="D41" s="132" t="s">
        <v>1697</v>
      </c>
      <c r="E41" s="147" t="s">
        <v>1108</v>
      </c>
      <c r="F41" s="135">
        <v>45625</v>
      </c>
      <c r="G41" s="45"/>
      <c r="H41" s="136"/>
      <c r="I41" s="136">
        <v>16112</v>
      </c>
      <c r="J41" s="137" t="s">
        <v>1025</v>
      </c>
      <c r="K41" s="137"/>
      <c r="L41" s="148">
        <f t="shared" si="6"/>
        <v>16112</v>
      </c>
      <c r="M41" s="122">
        <f t="shared" si="1"/>
        <v>0</v>
      </c>
      <c r="N41" s="137"/>
      <c r="O41" s="149" t="b">
        <f t="shared" si="2"/>
        <v>1</v>
      </c>
      <c r="P41" s="149">
        <f t="shared" si="3"/>
        <v>0</v>
      </c>
      <c r="Q41" s="149" t="b">
        <f t="shared" si="4"/>
        <v>0</v>
      </c>
      <c r="R41" s="149">
        <f t="shared" si="5"/>
        <v>0</v>
      </c>
      <c r="S41" s="144"/>
      <c r="T41" s="143">
        <v>45625</v>
      </c>
      <c r="U41" s="144" t="s">
        <v>1108</v>
      </c>
      <c r="V41" s="144">
        <v>0</v>
      </c>
      <c r="W41" s="144" t="s">
        <v>1071</v>
      </c>
      <c r="X41" s="144" t="s">
        <v>1801</v>
      </c>
      <c r="Y41" s="144" t="s">
        <v>1802</v>
      </c>
      <c r="Z41" s="145">
        <v>177232</v>
      </c>
      <c r="AA41" s="145">
        <v>161120</v>
      </c>
      <c r="AB41" s="144">
        <v>0</v>
      </c>
      <c r="AC41" s="144" t="s">
        <v>1022</v>
      </c>
      <c r="AD41" s="145">
        <v>16112</v>
      </c>
      <c r="AE41" s="144">
        <v>0</v>
      </c>
      <c r="AF41" s="146">
        <v>0</v>
      </c>
      <c r="AG41" s="70">
        <v>0</v>
      </c>
      <c r="AH41" s="70">
        <v>0</v>
      </c>
      <c r="AI41" s="70">
        <v>0</v>
      </c>
      <c r="AJ41" s="70">
        <v>0</v>
      </c>
      <c r="AK41" s="70">
        <v>0</v>
      </c>
      <c r="AL41" s="70">
        <v>0.01</v>
      </c>
      <c r="AM41" s="70">
        <v>0</v>
      </c>
      <c r="AN41" s="70" t="s">
        <v>1806</v>
      </c>
    </row>
    <row r="42" spans="1:41">
      <c r="A42" s="132">
        <f t="shared" si="0"/>
        <v>34</v>
      </c>
      <c r="B42" s="133" t="s">
        <v>1727</v>
      </c>
      <c r="C42" s="133" t="s">
        <v>1903</v>
      </c>
      <c r="D42" s="132" t="s">
        <v>1697</v>
      </c>
      <c r="E42" s="147" t="s">
        <v>1109</v>
      </c>
      <c r="F42" s="135">
        <v>45625</v>
      </c>
      <c r="G42" s="45"/>
      <c r="H42" s="136"/>
      <c r="I42" s="136">
        <v>8056</v>
      </c>
      <c r="J42" s="137" t="s">
        <v>1025</v>
      </c>
      <c r="K42" s="137"/>
      <c r="L42" s="148">
        <f t="shared" si="6"/>
        <v>8056</v>
      </c>
      <c r="M42" s="122">
        <f t="shared" si="1"/>
        <v>0</v>
      </c>
      <c r="N42" s="137"/>
      <c r="O42" s="149" t="b">
        <f t="shared" si="2"/>
        <v>1</v>
      </c>
      <c r="P42" s="149">
        <f t="shared" si="3"/>
        <v>0</v>
      </c>
      <c r="Q42" s="149" t="b">
        <f t="shared" si="4"/>
        <v>0</v>
      </c>
      <c r="R42" s="149">
        <f t="shared" si="5"/>
        <v>0</v>
      </c>
      <c r="S42" s="144"/>
      <c r="T42" s="143">
        <v>45625</v>
      </c>
      <c r="U42" s="144" t="s">
        <v>1109</v>
      </c>
      <c r="V42" s="144">
        <v>0</v>
      </c>
      <c r="W42" s="144" t="s">
        <v>1071</v>
      </c>
      <c r="X42" s="144" t="s">
        <v>1801</v>
      </c>
      <c r="Y42" s="144" t="s">
        <v>1802</v>
      </c>
      <c r="Z42" s="145">
        <v>88616</v>
      </c>
      <c r="AA42" s="145">
        <v>80560</v>
      </c>
      <c r="AB42" s="144">
        <v>0</v>
      </c>
      <c r="AC42" s="144" t="s">
        <v>1022</v>
      </c>
      <c r="AD42" s="145">
        <v>8056</v>
      </c>
      <c r="AE42" s="144">
        <v>0</v>
      </c>
      <c r="AF42" s="146">
        <v>0</v>
      </c>
      <c r="AG42" s="70">
        <v>0</v>
      </c>
      <c r="AH42" s="70">
        <v>0</v>
      </c>
      <c r="AI42" s="70">
        <v>0</v>
      </c>
      <c r="AJ42" s="70">
        <v>0</v>
      </c>
      <c r="AK42" s="70">
        <v>0</v>
      </c>
      <c r="AL42" s="70">
        <v>0.01</v>
      </c>
      <c r="AM42" s="70">
        <v>0</v>
      </c>
      <c r="AN42" s="70" t="s">
        <v>1806</v>
      </c>
    </row>
    <row r="43" spans="1:41">
      <c r="A43" s="132">
        <f t="shared" si="0"/>
        <v>35</v>
      </c>
      <c r="B43" s="133" t="s">
        <v>1727</v>
      </c>
      <c r="C43" s="133" t="s">
        <v>1903</v>
      </c>
      <c r="D43" s="132" t="s">
        <v>1697</v>
      </c>
      <c r="E43" s="147" t="s">
        <v>1110</v>
      </c>
      <c r="F43" s="135">
        <v>45625</v>
      </c>
      <c r="G43" s="45"/>
      <c r="H43" s="136"/>
      <c r="I43" s="136">
        <v>8056</v>
      </c>
      <c r="J43" s="137" t="s">
        <v>1025</v>
      </c>
      <c r="K43" s="137"/>
      <c r="L43" s="148">
        <f t="shared" si="6"/>
        <v>8056</v>
      </c>
      <c r="M43" s="122">
        <f t="shared" si="1"/>
        <v>0</v>
      </c>
      <c r="N43" s="137"/>
      <c r="O43" s="149" t="b">
        <f t="shared" si="2"/>
        <v>1</v>
      </c>
      <c r="P43" s="149">
        <f t="shared" si="3"/>
        <v>0</v>
      </c>
      <c r="Q43" s="149" t="b">
        <f t="shared" si="4"/>
        <v>0</v>
      </c>
      <c r="R43" s="149">
        <f t="shared" si="5"/>
        <v>0</v>
      </c>
      <c r="S43" s="144"/>
      <c r="T43" s="143">
        <v>45625</v>
      </c>
      <c r="U43" s="144" t="s">
        <v>1110</v>
      </c>
      <c r="V43" s="144">
        <v>0</v>
      </c>
      <c r="W43" s="144" t="s">
        <v>1071</v>
      </c>
      <c r="X43" s="144" t="s">
        <v>1801</v>
      </c>
      <c r="Y43" s="144" t="s">
        <v>1802</v>
      </c>
      <c r="Z43" s="145">
        <v>88616</v>
      </c>
      <c r="AA43" s="145">
        <v>80560</v>
      </c>
      <c r="AB43" s="144">
        <v>0</v>
      </c>
      <c r="AC43" s="144" t="s">
        <v>1022</v>
      </c>
      <c r="AD43" s="145">
        <v>8056</v>
      </c>
      <c r="AE43" s="144">
        <v>0</v>
      </c>
      <c r="AF43" s="146">
        <v>0</v>
      </c>
      <c r="AG43" s="70">
        <v>0</v>
      </c>
      <c r="AH43" s="70">
        <v>0</v>
      </c>
      <c r="AI43" s="70">
        <v>0</v>
      </c>
      <c r="AJ43" s="70">
        <v>0</v>
      </c>
      <c r="AK43" s="70">
        <v>0</v>
      </c>
      <c r="AL43" s="70">
        <v>0.01</v>
      </c>
      <c r="AM43" s="70">
        <v>0</v>
      </c>
      <c r="AN43" s="70" t="s">
        <v>1806</v>
      </c>
    </row>
    <row r="44" spans="1:41">
      <c r="A44" s="132">
        <f t="shared" si="0"/>
        <v>36</v>
      </c>
      <c r="B44" s="133" t="s">
        <v>1727</v>
      </c>
      <c r="C44" s="133" t="s">
        <v>1903</v>
      </c>
      <c r="D44" s="132" t="s">
        <v>1697</v>
      </c>
      <c r="E44" s="147" t="s">
        <v>1111</v>
      </c>
      <c r="F44" s="135">
        <v>45625</v>
      </c>
      <c r="G44" s="45"/>
      <c r="H44" s="136"/>
      <c r="I44" s="136">
        <v>16112</v>
      </c>
      <c r="J44" s="137" t="s">
        <v>1025</v>
      </c>
      <c r="K44" s="137"/>
      <c r="L44" s="148">
        <f t="shared" si="6"/>
        <v>16112</v>
      </c>
      <c r="M44" s="122">
        <f t="shared" si="1"/>
        <v>0</v>
      </c>
      <c r="N44" s="137"/>
      <c r="O44" s="149" t="b">
        <f t="shared" si="2"/>
        <v>1</v>
      </c>
      <c r="P44" s="149">
        <f t="shared" si="3"/>
        <v>0</v>
      </c>
      <c r="Q44" s="149" t="b">
        <f t="shared" si="4"/>
        <v>0</v>
      </c>
      <c r="R44" s="149">
        <f t="shared" si="5"/>
        <v>0</v>
      </c>
      <c r="S44" s="144"/>
      <c r="T44" s="143">
        <v>45625</v>
      </c>
      <c r="U44" s="144" t="s">
        <v>1111</v>
      </c>
      <c r="V44" s="144">
        <v>0</v>
      </c>
      <c r="W44" s="144" t="s">
        <v>1071</v>
      </c>
      <c r="X44" s="144" t="s">
        <v>1801</v>
      </c>
      <c r="Y44" s="144" t="s">
        <v>1802</v>
      </c>
      <c r="Z44" s="145">
        <v>177232</v>
      </c>
      <c r="AA44" s="145">
        <v>161120</v>
      </c>
      <c r="AB44" s="144">
        <v>0</v>
      </c>
      <c r="AC44" s="144" t="s">
        <v>1022</v>
      </c>
      <c r="AD44" s="145">
        <v>16112</v>
      </c>
      <c r="AE44" s="144">
        <v>0</v>
      </c>
      <c r="AF44" s="146">
        <v>0</v>
      </c>
      <c r="AG44" s="70">
        <v>0</v>
      </c>
      <c r="AH44" s="70">
        <v>0</v>
      </c>
      <c r="AI44" s="70">
        <v>0</v>
      </c>
      <c r="AJ44" s="70">
        <v>0</v>
      </c>
      <c r="AK44" s="70">
        <v>0</v>
      </c>
      <c r="AL44" s="70">
        <v>0.01</v>
      </c>
      <c r="AM44" s="70">
        <v>0</v>
      </c>
      <c r="AN44" s="70" t="s">
        <v>1806</v>
      </c>
    </row>
    <row r="45" spans="1:41">
      <c r="A45" s="132">
        <f t="shared" si="0"/>
        <v>37</v>
      </c>
      <c r="B45" s="133" t="s">
        <v>1721</v>
      </c>
      <c r="C45" s="133" t="s">
        <v>1902</v>
      </c>
      <c r="D45" s="132" t="s">
        <v>1696</v>
      </c>
      <c r="E45" s="147" t="s">
        <v>1112</v>
      </c>
      <c r="F45" s="135">
        <v>45747</v>
      </c>
      <c r="G45" s="45"/>
      <c r="H45" s="136"/>
      <c r="I45" s="136">
        <v>20489040</v>
      </c>
      <c r="J45" s="137" t="s">
        <v>1025</v>
      </c>
      <c r="K45" s="137"/>
      <c r="L45" s="148">
        <f t="shared" si="6"/>
        <v>20489040</v>
      </c>
      <c r="M45" s="122">
        <f t="shared" si="1"/>
        <v>0</v>
      </c>
      <c r="N45" s="137" t="s">
        <v>1901</v>
      </c>
      <c r="O45" s="149" t="b">
        <f t="shared" si="2"/>
        <v>1</v>
      </c>
      <c r="P45" s="149">
        <f t="shared" si="3"/>
        <v>0</v>
      </c>
      <c r="Q45" s="149" t="b">
        <f t="shared" si="4"/>
        <v>0</v>
      </c>
      <c r="R45" s="149">
        <f t="shared" si="5"/>
        <v>0</v>
      </c>
      <c r="S45" s="144"/>
      <c r="T45" s="143">
        <v>45747</v>
      </c>
      <c r="U45" s="144" t="s">
        <v>1112</v>
      </c>
      <c r="V45" s="144">
        <v>0</v>
      </c>
      <c r="W45" s="144" t="s">
        <v>1071</v>
      </c>
      <c r="X45" s="144" t="s">
        <v>1801</v>
      </c>
      <c r="Y45" s="144" t="s">
        <v>1802</v>
      </c>
      <c r="Z45" s="145">
        <v>225379440</v>
      </c>
      <c r="AA45" s="145">
        <v>204890400</v>
      </c>
      <c r="AB45" s="144">
        <v>0</v>
      </c>
      <c r="AC45" s="144" t="s">
        <v>1022</v>
      </c>
      <c r="AD45" s="145">
        <v>20489040</v>
      </c>
      <c r="AE45" s="144">
        <v>0</v>
      </c>
      <c r="AF45" s="146">
        <v>0</v>
      </c>
      <c r="AG45" s="70">
        <v>0</v>
      </c>
      <c r="AH45" s="70">
        <v>0</v>
      </c>
      <c r="AI45" s="70">
        <v>0</v>
      </c>
      <c r="AJ45" s="70">
        <v>0</v>
      </c>
      <c r="AK45" s="70">
        <v>0</v>
      </c>
      <c r="AL45" s="70">
        <v>0.01</v>
      </c>
      <c r="AM45" s="70">
        <v>0</v>
      </c>
      <c r="AN45" s="70" t="s">
        <v>1803</v>
      </c>
      <c r="AO45" s="70" t="s">
        <v>1804</v>
      </c>
    </row>
    <row r="46" spans="1:41">
      <c r="A46" s="132">
        <f t="shared" si="0"/>
        <v>38</v>
      </c>
      <c r="B46" s="133" t="s">
        <v>1722</v>
      </c>
      <c r="C46" s="133" t="s">
        <v>1902</v>
      </c>
      <c r="D46" s="132" t="s">
        <v>1696</v>
      </c>
      <c r="E46" s="147" t="s">
        <v>1113</v>
      </c>
      <c r="F46" s="135">
        <v>45747</v>
      </c>
      <c r="G46" s="45"/>
      <c r="H46" s="136"/>
      <c r="I46" s="136">
        <v>12880000</v>
      </c>
      <c r="J46" s="137" t="s">
        <v>1025</v>
      </c>
      <c r="K46" s="137"/>
      <c r="L46" s="148">
        <f t="shared" si="6"/>
        <v>12880000</v>
      </c>
      <c r="M46" s="122">
        <f t="shared" si="1"/>
        <v>0</v>
      </c>
      <c r="N46" s="137" t="s">
        <v>1901</v>
      </c>
      <c r="O46" s="149" t="b">
        <f t="shared" si="2"/>
        <v>1</v>
      </c>
      <c r="P46" s="149">
        <f t="shared" si="3"/>
        <v>0</v>
      </c>
      <c r="Q46" s="149" t="b">
        <f t="shared" si="4"/>
        <v>0</v>
      </c>
      <c r="R46" s="149">
        <f t="shared" si="5"/>
        <v>0</v>
      </c>
      <c r="S46" s="144"/>
      <c r="T46" s="143">
        <v>45747</v>
      </c>
      <c r="U46" s="144" t="s">
        <v>1113</v>
      </c>
      <c r="V46" s="144">
        <v>0</v>
      </c>
      <c r="W46" s="144" t="s">
        <v>1071</v>
      </c>
      <c r="X46" s="144" t="s">
        <v>1801</v>
      </c>
      <c r="Y46" s="144" t="s">
        <v>1802</v>
      </c>
      <c r="Z46" s="145">
        <v>141680000</v>
      </c>
      <c r="AA46" s="145">
        <v>128800000</v>
      </c>
      <c r="AB46" s="144">
        <v>0</v>
      </c>
      <c r="AC46" s="144" t="s">
        <v>1022</v>
      </c>
      <c r="AD46" s="145">
        <v>12880000</v>
      </c>
      <c r="AE46" s="144">
        <v>0</v>
      </c>
      <c r="AF46" s="146">
        <v>0</v>
      </c>
      <c r="AG46" s="70">
        <v>0</v>
      </c>
      <c r="AH46" s="70">
        <v>0</v>
      </c>
      <c r="AI46" s="70">
        <v>0</v>
      </c>
      <c r="AJ46" s="70">
        <v>0</v>
      </c>
      <c r="AK46" s="70">
        <v>0</v>
      </c>
      <c r="AL46" s="70">
        <v>0.01</v>
      </c>
      <c r="AM46" s="70">
        <v>0</v>
      </c>
      <c r="AN46" s="70" t="s">
        <v>1805</v>
      </c>
      <c r="AO46" s="70" t="s">
        <v>1804</v>
      </c>
    </row>
    <row r="47" spans="1:41">
      <c r="A47" s="132">
        <f t="shared" si="0"/>
        <v>39</v>
      </c>
      <c r="B47" s="133" t="s">
        <v>1728</v>
      </c>
      <c r="C47" s="133" t="s">
        <v>1904</v>
      </c>
      <c r="D47" s="132" t="s">
        <v>1698</v>
      </c>
      <c r="E47" s="147" t="s">
        <v>1114</v>
      </c>
      <c r="F47" s="135">
        <v>45616</v>
      </c>
      <c r="G47" s="45"/>
      <c r="H47" s="136"/>
      <c r="I47" s="136">
        <v>215629</v>
      </c>
      <c r="J47" s="137" t="s">
        <v>1025</v>
      </c>
      <c r="K47" s="137"/>
      <c r="L47" s="148">
        <f t="shared" si="6"/>
        <v>215629</v>
      </c>
      <c r="M47" s="122">
        <f t="shared" si="1"/>
        <v>0</v>
      </c>
      <c r="N47" s="137"/>
      <c r="O47" s="149" t="b">
        <f t="shared" si="2"/>
        <v>1</v>
      </c>
      <c r="P47" s="149">
        <f t="shared" si="3"/>
        <v>0</v>
      </c>
      <c r="Q47" s="149" t="b">
        <f t="shared" si="4"/>
        <v>0</v>
      </c>
      <c r="R47" s="149">
        <f t="shared" si="5"/>
        <v>0</v>
      </c>
      <c r="S47" s="144"/>
      <c r="T47" s="143">
        <v>45616</v>
      </c>
      <c r="U47" s="144" t="s">
        <v>1114</v>
      </c>
      <c r="V47" s="144">
        <v>0</v>
      </c>
      <c r="W47" s="144" t="s">
        <v>1071</v>
      </c>
      <c r="X47" s="144" t="s">
        <v>1801</v>
      </c>
      <c r="Y47" s="144" t="s">
        <v>1802</v>
      </c>
      <c r="Z47" s="145">
        <v>2371921</v>
      </c>
      <c r="AA47" s="145">
        <v>2156292</v>
      </c>
      <c r="AB47" s="144">
        <v>0</v>
      </c>
      <c r="AC47" s="144" t="s">
        <v>1022</v>
      </c>
      <c r="AD47" s="145">
        <v>215629</v>
      </c>
      <c r="AE47" s="144">
        <v>0</v>
      </c>
      <c r="AF47" s="146">
        <v>0</v>
      </c>
      <c r="AG47" s="70">
        <v>0</v>
      </c>
      <c r="AH47" s="70">
        <v>0</v>
      </c>
      <c r="AI47" s="70">
        <v>0</v>
      </c>
      <c r="AJ47" s="70">
        <v>0</v>
      </c>
      <c r="AK47" s="70">
        <v>0</v>
      </c>
      <c r="AL47" s="70">
        <v>0.01</v>
      </c>
      <c r="AM47" s="70">
        <v>0</v>
      </c>
      <c r="AN47" s="70" t="s">
        <v>1807</v>
      </c>
    </row>
    <row r="48" spans="1:41">
      <c r="A48" s="132">
        <f t="shared" si="0"/>
        <v>40</v>
      </c>
      <c r="B48" s="133" t="s">
        <v>1721</v>
      </c>
      <c r="C48" s="133" t="s">
        <v>1902</v>
      </c>
      <c r="D48" s="132" t="s">
        <v>1696</v>
      </c>
      <c r="E48" s="147" t="s">
        <v>1115</v>
      </c>
      <c r="F48" s="135">
        <v>45777</v>
      </c>
      <c r="G48" s="45"/>
      <c r="H48" s="136"/>
      <c r="I48" s="136">
        <v>20504407</v>
      </c>
      <c r="J48" s="137" t="s">
        <v>1025</v>
      </c>
      <c r="K48" s="137"/>
      <c r="L48" s="148">
        <f t="shared" si="6"/>
        <v>20504407</v>
      </c>
      <c r="M48" s="122">
        <f t="shared" si="1"/>
        <v>0</v>
      </c>
      <c r="N48" s="137" t="s">
        <v>1901</v>
      </c>
      <c r="O48" s="149" t="b">
        <f t="shared" si="2"/>
        <v>1</v>
      </c>
      <c r="P48" s="149">
        <f t="shared" si="3"/>
        <v>0</v>
      </c>
      <c r="Q48" s="149" t="b">
        <f t="shared" si="4"/>
        <v>0</v>
      </c>
      <c r="R48" s="149">
        <f t="shared" si="5"/>
        <v>0</v>
      </c>
      <c r="S48" s="144"/>
      <c r="T48" s="143">
        <v>45777</v>
      </c>
      <c r="U48" s="144" t="s">
        <v>1115</v>
      </c>
      <c r="V48" s="144">
        <v>0</v>
      </c>
      <c r="W48" s="144" t="s">
        <v>1071</v>
      </c>
      <c r="X48" s="144" t="s">
        <v>1801</v>
      </c>
      <c r="Y48" s="144" t="s">
        <v>1802</v>
      </c>
      <c r="Z48" s="145">
        <v>225548475</v>
      </c>
      <c r="AA48" s="145">
        <v>205044068</v>
      </c>
      <c r="AB48" s="144">
        <v>0</v>
      </c>
      <c r="AC48" s="144" t="s">
        <v>1022</v>
      </c>
      <c r="AD48" s="145">
        <v>20504407</v>
      </c>
      <c r="AE48" s="144">
        <v>0</v>
      </c>
      <c r="AF48" s="146">
        <v>0</v>
      </c>
      <c r="AG48" s="70">
        <v>0</v>
      </c>
      <c r="AH48" s="70">
        <v>0</v>
      </c>
      <c r="AI48" s="70">
        <v>0</v>
      </c>
      <c r="AJ48" s="70">
        <v>0</v>
      </c>
      <c r="AK48" s="70">
        <v>0</v>
      </c>
      <c r="AL48" s="70">
        <v>0.01</v>
      </c>
      <c r="AM48" s="70">
        <v>0</v>
      </c>
      <c r="AN48" s="70" t="s">
        <v>1803</v>
      </c>
      <c r="AO48" s="70" t="s">
        <v>1804</v>
      </c>
    </row>
    <row r="49" spans="1:41">
      <c r="A49" s="132">
        <f t="shared" si="0"/>
        <v>41</v>
      </c>
      <c r="B49" s="133" t="s">
        <v>1729</v>
      </c>
      <c r="C49" s="133" t="s">
        <v>1905</v>
      </c>
      <c r="D49" s="132" t="s">
        <v>1024</v>
      </c>
      <c r="E49" s="147">
        <v>240266</v>
      </c>
      <c r="F49" s="135">
        <v>45616</v>
      </c>
      <c r="G49" s="45"/>
      <c r="H49" s="136"/>
      <c r="I49" s="136">
        <v>23017</v>
      </c>
      <c r="J49" s="137" t="s">
        <v>1025</v>
      </c>
      <c r="K49" s="137"/>
      <c r="L49" s="148">
        <f t="shared" si="6"/>
        <v>23017</v>
      </c>
      <c r="M49" s="122">
        <f t="shared" si="1"/>
        <v>0</v>
      </c>
      <c r="N49" s="137"/>
      <c r="O49" s="149" t="b">
        <f t="shared" si="2"/>
        <v>1</v>
      </c>
      <c r="P49" s="149">
        <f t="shared" si="3"/>
        <v>0</v>
      </c>
      <c r="Q49" s="149" t="b">
        <f t="shared" si="4"/>
        <v>0</v>
      </c>
      <c r="R49" s="149">
        <f t="shared" si="5"/>
        <v>0</v>
      </c>
      <c r="S49" s="144"/>
      <c r="T49" s="143">
        <v>45616</v>
      </c>
      <c r="U49" s="144">
        <v>240266</v>
      </c>
      <c r="V49" s="144">
        <v>0</v>
      </c>
      <c r="W49" s="144" t="s">
        <v>1071</v>
      </c>
      <c r="X49" s="144" t="s">
        <v>1801</v>
      </c>
      <c r="Y49" s="144" t="s">
        <v>1802</v>
      </c>
      <c r="Z49" s="145">
        <v>253183</v>
      </c>
      <c r="AA49" s="145">
        <v>230166</v>
      </c>
      <c r="AB49" s="144">
        <v>0</v>
      </c>
      <c r="AC49" s="144" t="s">
        <v>1022</v>
      </c>
      <c r="AD49" s="145">
        <v>23017</v>
      </c>
      <c r="AE49" s="144"/>
      <c r="AF49" s="146"/>
    </row>
    <row r="50" spans="1:41">
      <c r="A50" s="132">
        <f t="shared" si="0"/>
        <v>42</v>
      </c>
      <c r="B50" s="133" t="s">
        <v>1722</v>
      </c>
      <c r="C50" s="133" t="s">
        <v>1902</v>
      </c>
      <c r="D50" s="132" t="s">
        <v>1696</v>
      </c>
      <c r="E50" s="147" t="s">
        <v>1116</v>
      </c>
      <c r="F50" s="135">
        <v>45777</v>
      </c>
      <c r="G50" s="45"/>
      <c r="H50" s="136"/>
      <c r="I50" s="136">
        <v>12889660</v>
      </c>
      <c r="J50" s="137" t="s">
        <v>1025</v>
      </c>
      <c r="K50" s="137"/>
      <c r="L50" s="148">
        <f t="shared" si="6"/>
        <v>12889660</v>
      </c>
      <c r="M50" s="122">
        <f t="shared" si="1"/>
        <v>0</v>
      </c>
      <c r="N50" s="137" t="s">
        <v>1901</v>
      </c>
      <c r="O50" s="149" t="b">
        <f t="shared" si="2"/>
        <v>1</v>
      </c>
      <c r="P50" s="149">
        <f t="shared" si="3"/>
        <v>0</v>
      </c>
      <c r="Q50" s="149" t="b">
        <f t="shared" si="4"/>
        <v>0</v>
      </c>
      <c r="R50" s="149">
        <f t="shared" si="5"/>
        <v>0</v>
      </c>
      <c r="S50" s="144"/>
      <c r="T50" s="143">
        <v>45777</v>
      </c>
      <c r="U50" s="144" t="s">
        <v>1116</v>
      </c>
      <c r="V50" s="144">
        <v>0</v>
      </c>
      <c r="W50" s="144" t="s">
        <v>1071</v>
      </c>
      <c r="X50" s="144" t="s">
        <v>1801</v>
      </c>
      <c r="Y50" s="144" t="s">
        <v>1802</v>
      </c>
      <c r="Z50" s="145">
        <v>141786260</v>
      </c>
      <c r="AA50" s="145">
        <v>128896600</v>
      </c>
      <c r="AB50" s="144">
        <v>0</v>
      </c>
      <c r="AC50" s="144" t="s">
        <v>1022</v>
      </c>
      <c r="AD50" s="145">
        <v>12889660</v>
      </c>
      <c r="AE50" s="144">
        <v>0</v>
      </c>
      <c r="AF50" s="146">
        <v>0</v>
      </c>
      <c r="AG50" s="70">
        <v>0</v>
      </c>
      <c r="AH50" s="70">
        <v>0</v>
      </c>
      <c r="AI50" s="70">
        <v>0</v>
      </c>
      <c r="AJ50" s="70">
        <v>0</v>
      </c>
      <c r="AK50" s="70">
        <v>0</v>
      </c>
      <c r="AL50" s="70">
        <v>0.01</v>
      </c>
      <c r="AM50" s="70">
        <v>0</v>
      </c>
      <c r="AN50" s="70" t="s">
        <v>1805</v>
      </c>
      <c r="AO50" s="70" t="s">
        <v>1804</v>
      </c>
    </row>
    <row r="51" spans="1:41">
      <c r="A51" s="132">
        <f t="shared" si="0"/>
        <v>43</v>
      </c>
      <c r="B51" s="133" t="s">
        <v>1721</v>
      </c>
      <c r="C51" s="133" t="s">
        <v>1902</v>
      </c>
      <c r="D51" s="132" t="s">
        <v>1696</v>
      </c>
      <c r="E51" s="147" t="s">
        <v>1117</v>
      </c>
      <c r="F51" s="135">
        <v>45808</v>
      </c>
      <c r="G51" s="45"/>
      <c r="H51" s="136"/>
      <c r="I51" s="136">
        <v>20514651</v>
      </c>
      <c r="J51" s="137" t="s">
        <v>1025</v>
      </c>
      <c r="K51" s="137"/>
      <c r="L51" s="148">
        <f t="shared" si="6"/>
        <v>20514651</v>
      </c>
      <c r="M51" s="122">
        <f t="shared" si="1"/>
        <v>0</v>
      </c>
      <c r="N51" s="137" t="s">
        <v>1901</v>
      </c>
      <c r="O51" s="149" t="b">
        <f t="shared" si="2"/>
        <v>1</v>
      </c>
      <c r="P51" s="149">
        <f t="shared" si="3"/>
        <v>0</v>
      </c>
      <c r="Q51" s="149" t="b">
        <f t="shared" si="4"/>
        <v>0</v>
      </c>
      <c r="R51" s="149">
        <f t="shared" si="5"/>
        <v>0</v>
      </c>
      <c r="S51" s="144"/>
      <c r="T51" s="143">
        <v>45808</v>
      </c>
      <c r="U51" s="144" t="s">
        <v>1117</v>
      </c>
      <c r="V51" s="144">
        <v>0</v>
      </c>
      <c r="W51" s="144" t="s">
        <v>1071</v>
      </c>
      <c r="X51" s="144" t="s">
        <v>1801</v>
      </c>
      <c r="Y51" s="144" t="s">
        <v>1802</v>
      </c>
      <c r="Z51" s="145">
        <v>225661164</v>
      </c>
      <c r="AA51" s="145">
        <v>205146513</v>
      </c>
      <c r="AB51" s="144">
        <v>0</v>
      </c>
      <c r="AC51" s="144" t="s">
        <v>1022</v>
      </c>
      <c r="AD51" s="145">
        <v>20514651</v>
      </c>
      <c r="AE51" s="144">
        <v>0</v>
      </c>
      <c r="AF51" s="146">
        <v>0</v>
      </c>
      <c r="AG51" s="70">
        <v>0</v>
      </c>
      <c r="AH51" s="70">
        <v>0</v>
      </c>
      <c r="AI51" s="70">
        <v>0</v>
      </c>
      <c r="AJ51" s="70">
        <v>0</v>
      </c>
      <c r="AK51" s="70">
        <v>0</v>
      </c>
      <c r="AL51" s="70">
        <v>0.01</v>
      </c>
      <c r="AM51" s="70">
        <v>0</v>
      </c>
      <c r="AN51" s="70" t="s">
        <v>1803</v>
      </c>
      <c r="AO51" s="70" t="s">
        <v>1804</v>
      </c>
    </row>
    <row r="52" spans="1:41">
      <c r="A52" s="132">
        <f t="shared" si="0"/>
        <v>44</v>
      </c>
      <c r="B52" s="133" t="s">
        <v>1722</v>
      </c>
      <c r="C52" s="133" t="s">
        <v>1902</v>
      </c>
      <c r="D52" s="132" t="s">
        <v>1696</v>
      </c>
      <c r="E52" s="147" t="s">
        <v>1118</v>
      </c>
      <c r="F52" s="135">
        <v>45808</v>
      </c>
      <c r="G52" s="45"/>
      <c r="H52" s="136"/>
      <c r="I52" s="136">
        <v>12896100</v>
      </c>
      <c r="J52" s="137" t="s">
        <v>1025</v>
      </c>
      <c r="K52" s="137"/>
      <c r="L52" s="148">
        <f t="shared" si="6"/>
        <v>12896100</v>
      </c>
      <c r="M52" s="122">
        <f t="shared" si="1"/>
        <v>0</v>
      </c>
      <c r="N52" s="137" t="s">
        <v>1901</v>
      </c>
      <c r="O52" s="149" t="b">
        <f t="shared" si="2"/>
        <v>1</v>
      </c>
      <c r="P52" s="149">
        <f t="shared" si="3"/>
        <v>0</v>
      </c>
      <c r="Q52" s="149" t="b">
        <f t="shared" si="4"/>
        <v>0</v>
      </c>
      <c r="R52" s="149">
        <f t="shared" si="5"/>
        <v>0</v>
      </c>
      <c r="S52" s="144"/>
      <c r="T52" s="143">
        <v>45808</v>
      </c>
      <c r="U52" s="144" t="s">
        <v>1118</v>
      </c>
      <c r="V52" s="144">
        <v>0</v>
      </c>
      <c r="W52" s="144" t="s">
        <v>1071</v>
      </c>
      <c r="X52" s="144" t="s">
        <v>1801</v>
      </c>
      <c r="Y52" s="144" t="s">
        <v>1802</v>
      </c>
      <c r="Z52" s="145">
        <v>141857100</v>
      </c>
      <c r="AA52" s="145">
        <v>128961000</v>
      </c>
      <c r="AB52" s="144">
        <v>0</v>
      </c>
      <c r="AC52" s="144" t="s">
        <v>1022</v>
      </c>
      <c r="AD52" s="145">
        <v>12896100</v>
      </c>
      <c r="AE52" s="144">
        <v>0</v>
      </c>
      <c r="AF52" s="146">
        <v>0</v>
      </c>
      <c r="AG52" s="70">
        <v>0</v>
      </c>
      <c r="AH52" s="70">
        <v>0</v>
      </c>
      <c r="AI52" s="70">
        <v>0</v>
      </c>
      <c r="AJ52" s="70">
        <v>0</v>
      </c>
      <c r="AK52" s="70">
        <v>0</v>
      </c>
      <c r="AL52" s="70">
        <v>0.01</v>
      </c>
      <c r="AM52" s="70">
        <v>0</v>
      </c>
      <c r="AN52" s="70" t="s">
        <v>1805</v>
      </c>
      <c r="AO52" s="70" t="s">
        <v>1804</v>
      </c>
    </row>
    <row r="53" spans="1:41">
      <c r="A53" s="132">
        <f t="shared" si="0"/>
        <v>45</v>
      </c>
      <c r="B53" s="133" t="s">
        <v>1730</v>
      </c>
      <c r="C53" s="133" t="s">
        <v>1936</v>
      </c>
      <c r="D53" s="132" t="s">
        <v>1699</v>
      </c>
      <c r="E53" s="147" t="s">
        <v>1119</v>
      </c>
      <c r="F53" s="135">
        <v>45625</v>
      </c>
      <c r="G53" s="45"/>
      <c r="H53" s="136"/>
      <c r="I53" s="136">
        <v>402800</v>
      </c>
      <c r="J53" s="137" t="s">
        <v>1025</v>
      </c>
      <c r="K53" s="137"/>
      <c r="L53" s="148">
        <f t="shared" si="6"/>
        <v>402800</v>
      </c>
      <c r="M53" s="122">
        <f t="shared" si="1"/>
        <v>0</v>
      </c>
      <c r="N53" s="137"/>
      <c r="O53" s="149" t="b">
        <f t="shared" si="2"/>
        <v>1</v>
      </c>
      <c r="P53" s="149">
        <f t="shared" si="3"/>
        <v>0</v>
      </c>
      <c r="Q53" s="149" t="b">
        <f t="shared" si="4"/>
        <v>0</v>
      </c>
      <c r="R53" s="149">
        <f t="shared" si="5"/>
        <v>0</v>
      </c>
      <c r="S53" s="144"/>
      <c r="T53" s="143">
        <v>45625</v>
      </c>
      <c r="U53" s="144" t="s">
        <v>1119</v>
      </c>
      <c r="V53" s="144">
        <v>0</v>
      </c>
      <c r="W53" s="144" t="s">
        <v>1071</v>
      </c>
      <c r="X53" s="144" t="s">
        <v>1801</v>
      </c>
      <c r="Y53" s="144" t="s">
        <v>1802</v>
      </c>
      <c r="Z53" s="145">
        <v>4430800</v>
      </c>
      <c r="AA53" s="145">
        <v>4028000</v>
      </c>
      <c r="AB53" s="144">
        <v>0</v>
      </c>
      <c r="AC53" s="144" t="s">
        <v>1022</v>
      </c>
      <c r="AD53" s="145">
        <v>402800</v>
      </c>
      <c r="AE53" s="144">
        <v>0</v>
      </c>
      <c r="AF53" s="146">
        <v>0</v>
      </c>
      <c r="AG53" s="70">
        <v>0</v>
      </c>
      <c r="AH53" s="70">
        <v>0</v>
      </c>
      <c r="AI53" s="70">
        <v>0</v>
      </c>
      <c r="AJ53" s="70">
        <v>0</v>
      </c>
      <c r="AK53" s="70">
        <v>0</v>
      </c>
      <c r="AL53" s="70">
        <v>0.01</v>
      </c>
      <c r="AM53" s="70">
        <v>0</v>
      </c>
      <c r="AN53" s="70" t="s">
        <v>1733</v>
      </c>
      <c r="AO53" s="70" t="s">
        <v>1804</v>
      </c>
    </row>
    <row r="54" spans="1:41">
      <c r="A54" s="132">
        <f t="shared" si="0"/>
        <v>46</v>
      </c>
      <c r="B54" s="133" t="s">
        <v>1731</v>
      </c>
      <c r="C54" s="133" t="s">
        <v>1904</v>
      </c>
      <c r="D54" s="132" t="s">
        <v>1698</v>
      </c>
      <c r="E54" s="147" t="s">
        <v>1120</v>
      </c>
      <c r="F54" s="135">
        <v>45618</v>
      </c>
      <c r="G54" s="45"/>
      <c r="H54" s="136"/>
      <c r="I54" s="136">
        <v>865590</v>
      </c>
      <c r="J54" s="137" t="s">
        <v>1025</v>
      </c>
      <c r="K54" s="137"/>
      <c r="L54" s="148">
        <f t="shared" si="6"/>
        <v>865590</v>
      </c>
      <c r="M54" s="122">
        <f t="shared" si="1"/>
        <v>0</v>
      </c>
      <c r="N54" s="137"/>
      <c r="O54" s="149" t="b">
        <f t="shared" si="2"/>
        <v>1</v>
      </c>
      <c r="P54" s="149">
        <f t="shared" si="3"/>
        <v>0</v>
      </c>
      <c r="Q54" s="149" t="b">
        <f t="shared" si="4"/>
        <v>0</v>
      </c>
      <c r="R54" s="149">
        <f t="shared" si="5"/>
        <v>0</v>
      </c>
      <c r="S54" s="144"/>
      <c r="T54" s="143">
        <v>45618</v>
      </c>
      <c r="U54" s="144" t="s">
        <v>1120</v>
      </c>
      <c r="V54" s="144">
        <v>0</v>
      </c>
      <c r="W54" s="144" t="s">
        <v>1071</v>
      </c>
      <c r="X54" s="144" t="s">
        <v>1801</v>
      </c>
      <c r="Y54" s="144" t="s">
        <v>1802</v>
      </c>
      <c r="Z54" s="145">
        <v>9521490</v>
      </c>
      <c r="AA54" s="145">
        <v>8655900</v>
      </c>
      <c r="AB54" s="144">
        <v>0</v>
      </c>
      <c r="AC54" s="144" t="s">
        <v>1022</v>
      </c>
      <c r="AD54" s="145">
        <v>865590</v>
      </c>
      <c r="AE54" s="144">
        <v>0</v>
      </c>
      <c r="AF54" s="146">
        <v>0</v>
      </c>
      <c r="AG54" s="70">
        <v>0</v>
      </c>
      <c r="AH54" s="70">
        <v>0</v>
      </c>
      <c r="AI54" s="70">
        <v>0</v>
      </c>
      <c r="AJ54" s="70">
        <v>0</v>
      </c>
      <c r="AK54" s="70">
        <v>0</v>
      </c>
      <c r="AL54" s="70">
        <v>0.01</v>
      </c>
      <c r="AM54" s="70">
        <v>0</v>
      </c>
      <c r="AN54" s="70" t="s">
        <v>1807</v>
      </c>
    </row>
    <row r="55" spans="1:41">
      <c r="A55" s="132">
        <f t="shared" si="0"/>
        <v>47</v>
      </c>
      <c r="B55" s="133" t="s">
        <v>1732</v>
      </c>
      <c r="C55" s="133" t="s">
        <v>1906</v>
      </c>
      <c r="D55" s="132" t="s">
        <v>1036</v>
      </c>
      <c r="E55" s="147" t="s">
        <v>1121</v>
      </c>
      <c r="F55" s="135">
        <v>45622</v>
      </c>
      <c r="G55" s="45"/>
      <c r="H55" s="136"/>
      <c r="I55" s="136">
        <v>232812</v>
      </c>
      <c r="J55" s="137" t="s">
        <v>1025</v>
      </c>
      <c r="K55" s="137"/>
      <c r="L55" s="148">
        <f t="shared" si="6"/>
        <v>232812</v>
      </c>
      <c r="M55" s="122">
        <f t="shared" si="1"/>
        <v>0</v>
      </c>
      <c r="N55" s="137"/>
      <c r="O55" s="149" t="b">
        <f t="shared" si="2"/>
        <v>1</v>
      </c>
      <c r="P55" s="149">
        <f t="shared" si="3"/>
        <v>0</v>
      </c>
      <c r="Q55" s="149" t="b">
        <f t="shared" si="4"/>
        <v>0</v>
      </c>
      <c r="R55" s="149">
        <f t="shared" si="5"/>
        <v>0</v>
      </c>
      <c r="S55" s="144"/>
      <c r="T55" s="143">
        <v>45622</v>
      </c>
      <c r="U55" s="144" t="s">
        <v>1121</v>
      </c>
      <c r="V55" s="144">
        <v>0</v>
      </c>
      <c r="W55" s="144" t="s">
        <v>1071</v>
      </c>
      <c r="X55" s="144" t="s">
        <v>1801</v>
      </c>
      <c r="Y55" s="144" t="s">
        <v>1802</v>
      </c>
      <c r="Z55" s="145">
        <v>2560932</v>
      </c>
      <c r="AA55" s="145">
        <v>2328120</v>
      </c>
      <c r="AB55" s="144">
        <v>0</v>
      </c>
      <c r="AC55" s="144" t="s">
        <v>1022</v>
      </c>
      <c r="AD55" s="145">
        <v>232812</v>
      </c>
      <c r="AE55" s="144">
        <v>0</v>
      </c>
      <c r="AF55" s="146">
        <v>0</v>
      </c>
      <c r="AG55" s="70">
        <v>0</v>
      </c>
      <c r="AH55" s="70">
        <v>0</v>
      </c>
      <c r="AI55" s="70">
        <v>0</v>
      </c>
      <c r="AJ55" s="70">
        <v>0</v>
      </c>
      <c r="AK55" s="70">
        <v>0</v>
      </c>
      <c r="AL55" s="70">
        <v>0.01</v>
      </c>
      <c r="AM55" s="70">
        <v>0</v>
      </c>
      <c r="AN55" s="70" t="s">
        <v>1808</v>
      </c>
    </row>
    <row r="56" spans="1:41">
      <c r="A56" s="132">
        <f t="shared" si="0"/>
        <v>48</v>
      </c>
      <c r="B56" s="133" t="s">
        <v>1733</v>
      </c>
      <c r="C56" s="133" t="s">
        <v>1936</v>
      </c>
      <c r="D56" s="132" t="s">
        <v>1699</v>
      </c>
      <c r="E56" s="147" t="s">
        <v>1122</v>
      </c>
      <c r="F56" s="135">
        <v>45730</v>
      </c>
      <c r="G56" s="45"/>
      <c r="H56" s="136"/>
      <c r="I56" s="136">
        <v>402800</v>
      </c>
      <c r="J56" s="137" t="s">
        <v>1025</v>
      </c>
      <c r="K56" s="137"/>
      <c r="L56" s="148">
        <f t="shared" si="6"/>
        <v>402800</v>
      </c>
      <c r="M56" s="122">
        <f t="shared" si="1"/>
        <v>0</v>
      </c>
      <c r="N56" s="137"/>
      <c r="O56" s="149" t="b">
        <f t="shared" si="2"/>
        <v>1</v>
      </c>
      <c r="P56" s="149">
        <f t="shared" si="3"/>
        <v>0</v>
      </c>
      <c r="Q56" s="149" t="b">
        <f t="shared" si="4"/>
        <v>0</v>
      </c>
      <c r="R56" s="149">
        <f t="shared" si="5"/>
        <v>0</v>
      </c>
      <c r="S56" s="144"/>
      <c r="T56" s="143">
        <v>45730</v>
      </c>
      <c r="U56" s="144" t="s">
        <v>1122</v>
      </c>
      <c r="V56" s="144">
        <v>0</v>
      </c>
      <c r="W56" s="144" t="s">
        <v>1071</v>
      </c>
      <c r="X56" s="144" t="s">
        <v>1801</v>
      </c>
      <c r="Y56" s="144" t="s">
        <v>1802</v>
      </c>
      <c r="Z56" s="145">
        <v>4430800</v>
      </c>
      <c r="AA56" s="145">
        <v>4028000</v>
      </c>
      <c r="AB56" s="144">
        <v>0</v>
      </c>
      <c r="AC56" s="144" t="s">
        <v>1022</v>
      </c>
      <c r="AD56" s="145">
        <v>402800</v>
      </c>
      <c r="AE56" s="144">
        <v>0</v>
      </c>
      <c r="AF56" s="146">
        <v>0</v>
      </c>
      <c r="AG56" s="70">
        <v>0</v>
      </c>
      <c r="AH56" s="70">
        <v>0</v>
      </c>
      <c r="AI56" s="70">
        <v>0</v>
      </c>
      <c r="AJ56" s="70">
        <v>0</v>
      </c>
      <c r="AK56" s="70">
        <v>0</v>
      </c>
      <c r="AL56" s="70">
        <v>0.01</v>
      </c>
      <c r="AM56" s="70">
        <v>0</v>
      </c>
      <c r="AN56" s="70" t="s">
        <v>1733</v>
      </c>
      <c r="AO56" s="70" t="s">
        <v>1804</v>
      </c>
    </row>
    <row r="57" spans="1:41">
      <c r="A57" s="132">
        <f t="shared" si="0"/>
        <v>49</v>
      </c>
      <c r="B57" s="133" t="s">
        <v>1734</v>
      </c>
      <c r="C57" s="133" t="s">
        <v>1936</v>
      </c>
      <c r="D57" s="132" t="s">
        <v>1699</v>
      </c>
      <c r="E57" s="147" t="s">
        <v>1123</v>
      </c>
      <c r="F57" s="135">
        <v>45797</v>
      </c>
      <c r="G57" s="45"/>
      <c r="H57" s="136"/>
      <c r="I57" s="136">
        <v>400300</v>
      </c>
      <c r="J57" s="137" t="s">
        <v>1025</v>
      </c>
      <c r="K57" s="137"/>
      <c r="L57" s="148">
        <f t="shared" si="6"/>
        <v>400300</v>
      </c>
      <c r="M57" s="122">
        <f t="shared" si="1"/>
        <v>0</v>
      </c>
      <c r="N57" s="137"/>
      <c r="O57" s="149" t="b">
        <f t="shared" si="2"/>
        <v>1</v>
      </c>
      <c r="P57" s="149">
        <f t="shared" si="3"/>
        <v>0</v>
      </c>
      <c r="Q57" s="149" t="b">
        <f t="shared" si="4"/>
        <v>0</v>
      </c>
      <c r="R57" s="149">
        <f t="shared" si="5"/>
        <v>0</v>
      </c>
      <c r="S57" s="144"/>
      <c r="T57" s="143">
        <v>45797</v>
      </c>
      <c r="U57" s="144" t="s">
        <v>1123</v>
      </c>
      <c r="V57" s="144">
        <v>0</v>
      </c>
      <c r="W57" s="144" t="s">
        <v>1071</v>
      </c>
      <c r="X57" s="144" t="s">
        <v>1801</v>
      </c>
      <c r="Y57" s="144" t="s">
        <v>1802</v>
      </c>
      <c r="Z57" s="145">
        <v>4403300</v>
      </c>
      <c r="AA57" s="145">
        <v>4003000</v>
      </c>
      <c r="AB57" s="144">
        <v>0</v>
      </c>
      <c r="AC57" s="144" t="s">
        <v>1022</v>
      </c>
      <c r="AD57" s="145">
        <v>400300</v>
      </c>
      <c r="AE57" s="144">
        <v>0</v>
      </c>
      <c r="AF57" s="146">
        <v>0</v>
      </c>
      <c r="AG57" s="70">
        <v>0</v>
      </c>
      <c r="AH57" s="70">
        <v>0</v>
      </c>
      <c r="AI57" s="70">
        <v>0</v>
      </c>
      <c r="AJ57" s="70">
        <v>0</v>
      </c>
      <c r="AK57" s="70">
        <v>0</v>
      </c>
      <c r="AL57" s="70">
        <v>0.01</v>
      </c>
      <c r="AM57" s="70">
        <v>0</v>
      </c>
      <c r="AN57" s="70" t="s">
        <v>1733</v>
      </c>
      <c r="AO57" s="70" t="s">
        <v>1804</v>
      </c>
    </row>
    <row r="58" spans="1:41">
      <c r="A58" s="132">
        <f t="shared" si="0"/>
        <v>50</v>
      </c>
      <c r="B58" s="133" t="s">
        <v>1735</v>
      </c>
      <c r="C58" s="133" t="s">
        <v>1907</v>
      </c>
      <c r="D58" s="132" t="s">
        <v>1700</v>
      </c>
      <c r="E58" s="147" t="s">
        <v>1124</v>
      </c>
      <c r="F58" s="135">
        <v>45789</v>
      </c>
      <c r="G58" s="45"/>
      <c r="H58" s="136"/>
      <c r="I58" s="136">
        <v>264198</v>
      </c>
      <c r="J58" s="137" t="s">
        <v>1025</v>
      </c>
      <c r="K58" s="137"/>
      <c r="L58" s="148">
        <f t="shared" si="6"/>
        <v>264198</v>
      </c>
      <c r="M58" s="122">
        <f t="shared" si="1"/>
        <v>0</v>
      </c>
      <c r="N58" s="137"/>
      <c r="O58" s="149" t="b">
        <f t="shared" si="2"/>
        <v>1</v>
      </c>
      <c r="P58" s="149">
        <f t="shared" si="3"/>
        <v>0</v>
      </c>
      <c r="Q58" s="149" t="b">
        <f t="shared" si="4"/>
        <v>0</v>
      </c>
      <c r="R58" s="149">
        <f t="shared" si="5"/>
        <v>-132</v>
      </c>
      <c r="S58" s="144"/>
      <c r="T58" s="143">
        <v>45789</v>
      </c>
      <c r="U58" s="144" t="s">
        <v>1124</v>
      </c>
      <c r="V58" s="144">
        <v>0</v>
      </c>
      <c r="W58" s="144" t="s">
        <v>1071</v>
      </c>
      <c r="X58" s="144" t="s">
        <v>1801</v>
      </c>
      <c r="Y58" s="144" t="s">
        <v>1802</v>
      </c>
      <c r="Z58" s="145">
        <v>2907630</v>
      </c>
      <c r="AA58" s="145">
        <v>2643300</v>
      </c>
      <c r="AB58" s="144">
        <v>0</v>
      </c>
      <c r="AC58" s="144" t="s">
        <v>1022</v>
      </c>
      <c r="AD58" s="145">
        <v>264330</v>
      </c>
      <c r="AE58" s="144">
        <v>0</v>
      </c>
      <c r="AF58" s="146">
        <v>0</v>
      </c>
      <c r="AG58" s="70">
        <v>0</v>
      </c>
      <c r="AH58" s="70">
        <v>0</v>
      </c>
      <c r="AI58" s="70">
        <v>0</v>
      </c>
      <c r="AJ58" s="70">
        <v>0</v>
      </c>
      <c r="AK58" s="70">
        <v>0</v>
      </c>
      <c r="AL58" s="70">
        <v>0.01</v>
      </c>
      <c r="AM58" s="70">
        <v>0</v>
      </c>
      <c r="AN58" s="70" t="s">
        <v>1735</v>
      </c>
      <c r="AO58" s="70" t="s">
        <v>1804</v>
      </c>
    </row>
    <row r="59" spans="1:41">
      <c r="A59" s="132">
        <f t="shared" si="0"/>
        <v>51</v>
      </c>
      <c r="B59" s="133" t="s">
        <v>1736</v>
      </c>
      <c r="C59" s="133" t="s">
        <v>1908</v>
      </c>
      <c r="D59" s="132" t="s">
        <v>1701</v>
      </c>
      <c r="E59" s="147" t="s">
        <v>1125</v>
      </c>
      <c r="F59" s="135">
        <v>45589</v>
      </c>
      <c r="G59" s="45"/>
      <c r="H59" s="136"/>
      <c r="I59" s="136">
        <v>844896</v>
      </c>
      <c r="J59" s="137" t="s">
        <v>1025</v>
      </c>
      <c r="K59" s="137"/>
      <c r="L59" s="148">
        <f t="shared" si="6"/>
        <v>844896</v>
      </c>
      <c r="M59" s="122">
        <f t="shared" si="1"/>
        <v>0</v>
      </c>
      <c r="N59" s="137"/>
      <c r="O59" s="149" t="b">
        <f t="shared" si="2"/>
        <v>1</v>
      </c>
      <c r="P59" s="149">
        <f t="shared" si="3"/>
        <v>0</v>
      </c>
      <c r="Q59" s="149" t="b">
        <f t="shared" si="4"/>
        <v>0</v>
      </c>
      <c r="R59" s="149">
        <f t="shared" si="5"/>
        <v>0</v>
      </c>
      <c r="S59" s="144"/>
      <c r="T59" s="143">
        <v>45589</v>
      </c>
      <c r="U59" s="144" t="s">
        <v>1125</v>
      </c>
      <c r="V59" s="144">
        <v>0</v>
      </c>
      <c r="W59" s="144" t="s">
        <v>1071</v>
      </c>
      <c r="X59" s="144" t="s">
        <v>1801</v>
      </c>
      <c r="Y59" s="144" t="s">
        <v>1802</v>
      </c>
      <c r="Z59" s="145">
        <v>9293856</v>
      </c>
      <c r="AA59" s="145">
        <v>8448960</v>
      </c>
      <c r="AB59" s="144">
        <v>0</v>
      </c>
      <c r="AC59" s="144" t="s">
        <v>1022</v>
      </c>
      <c r="AD59" s="145">
        <v>844896</v>
      </c>
      <c r="AE59" s="144">
        <v>0</v>
      </c>
      <c r="AF59" s="146">
        <v>0</v>
      </c>
      <c r="AG59" s="70">
        <v>0</v>
      </c>
      <c r="AH59" s="70">
        <v>0</v>
      </c>
      <c r="AI59" s="70">
        <v>0</v>
      </c>
      <c r="AJ59" s="70">
        <v>0</v>
      </c>
      <c r="AK59" s="70">
        <v>0</v>
      </c>
      <c r="AL59" s="70">
        <v>0.01</v>
      </c>
      <c r="AM59" s="70">
        <v>0</v>
      </c>
      <c r="AN59" s="70" t="s">
        <v>1809</v>
      </c>
      <c r="AO59" s="70" t="s">
        <v>1804</v>
      </c>
    </row>
    <row r="60" spans="1:41">
      <c r="A60" s="132">
        <f t="shared" si="0"/>
        <v>52</v>
      </c>
      <c r="B60" s="133" t="s">
        <v>1737</v>
      </c>
      <c r="C60" s="133" t="s">
        <v>1908</v>
      </c>
      <c r="D60" s="132" t="s">
        <v>1701</v>
      </c>
      <c r="E60" s="147" t="s">
        <v>1126</v>
      </c>
      <c r="F60" s="135">
        <v>45628</v>
      </c>
      <c r="G60" s="45"/>
      <c r="H60" s="136"/>
      <c r="I60" s="136">
        <v>209508</v>
      </c>
      <c r="J60" s="137" t="s">
        <v>1025</v>
      </c>
      <c r="K60" s="137"/>
      <c r="L60" s="148">
        <f t="shared" si="6"/>
        <v>209508</v>
      </c>
      <c r="M60" s="122">
        <f t="shared" si="1"/>
        <v>0</v>
      </c>
      <c r="N60" s="137"/>
      <c r="O60" s="149" t="b">
        <f t="shared" si="2"/>
        <v>1</v>
      </c>
      <c r="P60" s="149">
        <f t="shared" si="3"/>
        <v>0</v>
      </c>
      <c r="Q60" s="149" t="b">
        <f t="shared" si="4"/>
        <v>0</v>
      </c>
      <c r="R60" s="149">
        <f t="shared" si="5"/>
        <v>0</v>
      </c>
      <c r="S60" s="144"/>
      <c r="T60" s="143">
        <v>45628</v>
      </c>
      <c r="U60" s="144" t="s">
        <v>1126</v>
      </c>
      <c r="V60" s="144">
        <v>0</v>
      </c>
      <c r="W60" s="144" t="s">
        <v>1071</v>
      </c>
      <c r="X60" s="144" t="s">
        <v>1801</v>
      </c>
      <c r="Y60" s="144" t="s">
        <v>1802</v>
      </c>
      <c r="Z60" s="145">
        <v>2304588</v>
      </c>
      <c r="AA60" s="145">
        <v>2095080</v>
      </c>
      <c r="AB60" s="144">
        <v>0</v>
      </c>
      <c r="AC60" s="144" t="s">
        <v>1022</v>
      </c>
      <c r="AD60" s="145">
        <v>209508</v>
      </c>
      <c r="AE60" s="144">
        <v>0</v>
      </c>
      <c r="AF60" s="146">
        <v>0</v>
      </c>
      <c r="AG60" s="70">
        <v>0</v>
      </c>
      <c r="AH60" s="70">
        <v>0</v>
      </c>
      <c r="AI60" s="70">
        <v>0</v>
      </c>
      <c r="AJ60" s="70">
        <v>0</v>
      </c>
      <c r="AK60" s="70">
        <v>0</v>
      </c>
      <c r="AL60" s="70">
        <v>0.01</v>
      </c>
      <c r="AM60" s="70">
        <v>0</v>
      </c>
      <c r="AN60" s="70" t="s">
        <v>1810</v>
      </c>
      <c r="AO60" s="70" t="s">
        <v>1804</v>
      </c>
    </row>
    <row r="61" spans="1:41">
      <c r="A61" s="132">
        <f t="shared" si="0"/>
        <v>53</v>
      </c>
      <c r="B61" s="133" t="s">
        <v>1738</v>
      </c>
      <c r="C61" s="133" t="s">
        <v>1908</v>
      </c>
      <c r="D61" s="132" t="s">
        <v>1701</v>
      </c>
      <c r="E61" s="147" t="s">
        <v>1127</v>
      </c>
      <c r="F61" s="135">
        <v>45659</v>
      </c>
      <c r="G61" s="45"/>
      <c r="H61" s="136"/>
      <c r="I61" s="136">
        <v>1047020</v>
      </c>
      <c r="J61" s="137" t="s">
        <v>1025</v>
      </c>
      <c r="K61" s="137"/>
      <c r="L61" s="148">
        <f t="shared" si="6"/>
        <v>1047020</v>
      </c>
      <c r="M61" s="122">
        <f t="shared" si="1"/>
        <v>0</v>
      </c>
      <c r="N61" s="137"/>
      <c r="O61" s="149" t="b">
        <f t="shared" si="2"/>
        <v>1</v>
      </c>
      <c r="P61" s="149">
        <f t="shared" si="3"/>
        <v>0</v>
      </c>
      <c r="Q61" s="149" t="b">
        <f t="shared" si="4"/>
        <v>0</v>
      </c>
      <c r="R61" s="149">
        <f t="shared" si="5"/>
        <v>0</v>
      </c>
      <c r="S61" s="144"/>
      <c r="T61" s="143">
        <v>45659</v>
      </c>
      <c r="U61" s="144" t="s">
        <v>1127</v>
      </c>
      <c r="V61" s="144">
        <v>0</v>
      </c>
      <c r="W61" s="144" t="s">
        <v>1071</v>
      </c>
      <c r="X61" s="144" t="s">
        <v>1801</v>
      </c>
      <c r="Y61" s="144" t="s">
        <v>1802</v>
      </c>
      <c r="Z61" s="145">
        <v>11517220</v>
      </c>
      <c r="AA61" s="145">
        <v>10470200</v>
      </c>
      <c r="AB61" s="144">
        <v>0</v>
      </c>
      <c r="AC61" s="144" t="s">
        <v>1022</v>
      </c>
      <c r="AD61" s="145">
        <v>1047020</v>
      </c>
      <c r="AE61" s="144">
        <v>0</v>
      </c>
      <c r="AF61" s="146">
        <v>0</v>
      </c>
      <c r="AG61" s="70">
        <v>0</v>
      </c>
      <c r="AH61" s="70">
        <v>0</v>
      </c>
      <c r="AI61" s="70">
        <v>0</v>
      </c>
      <c r="AJ61" s="70">
        <v>0</v>
      </c>
      <c r="AK61" s="70">
        <v>0</v>
      </c>
      <c r="AL61" s="70">
        <v>0.01</v>
      </c>
      <c r="AM61" s="70">
        <v>0</v>
      </c>
      <c r="AN61" s="70" t="s">
        <v>1811</v>
      </c>
      <c r="AO61" s="70" t="s">
        <v>1804</v>
      </c>
    </row>
    <row r="62" spans="1:41">
      <c r="A62" s="132">
        <f t="shared" si="0"/>
        <v>54</v>
      </c>
      <c r="B62" s="133" t="s">
        <v>1739</v>
      </c>
      <c r="C62" s="133" t="s">
        <v>1909</v>
      </c>
      <c r="D62" s="132" t="s">
        <v>1702</v>
      </c>
      <c r="E62" s="147" t="s">
        <v>1128</v>
      </c>
      <c r="F62" s="135">
        <v>45674</v>
      </c>
      <c r="G62" s="45"/>
      <c r="H62" s="136"/>
      <c r="I62" s="136">
        <v>48324</v>
      </c>
      <c r="J62" s="137" t="s">
        <v>1025</v>
      </c>
      <c r="K62" s="137"/>
      <c r="L62" s="148">
        <f t="shared" si="6"/>
        <v>48324</v>
      </c>
      <c r="M62" s="122">
        <f t="shared" si="1"/>
        <v>0</v>
      </c>
      <c r="N62" s="137"/>
      <c r="O62" s="149" t="b">
        <f t="shared" si="2"/>
        <v>1</v>
      </c>
      <c r="P62" s="149">
        <f t="shared" si="3"/>
        <v>0</v>
      </c>
      <c r="Q62" s="149" t="b">
        <f t="shared" si="4"/>
        <v>0</v>
      </c>
      <c r="R62" s="149">
        <f t="shared" si="5"/>
        <v>0</v>
      </c>
      <c r="S62" s="144"/>
      <c r="T62" s="143">
        <v>45674</v>
      </c>
      <c r="U62" s="144" t="s">
        <v>1128</v>
      </c>
      <c r="V62" s="144">
        <v>0</v>
      </c>
      <c r="W62" s="144" t="s">
        <v>1071</v>
      </c>
      <c r="X62" s="144" t="s">
        <v>1801</v>
      </c>
      <c r="Y62" s="144" t="s">
        <v>1802</v>
      </c>
      <c r="Z62" s="145">
        <v>531564</v>
      </c>
      <c r="AA62" s="145">
        <v>483240</v>
      </c>
      <c r="AB62" s="144">
        <v>0</v>
      </c>
      <c r="AC62" s="144" t="s">
        <v>1022</v>
      </c>
      <c r="AD62" s="145">
        <v>48324</v>
      </c>
      <c r="AE62" s="144">
        <v>0</v>
      </c>
      <c r="AF62" s="146">
        <v>0</v>
      </c>
      <c r="AG62" s="70">
        <v>0</v>
      </c>
      <c r="AH62" s="70">
        <v>0</v>
      </c>
      <c r="AI62" s="70">
        <v>0</v>
      </c>
      <c r="AJ62" s="70">
        <v>0</v>
      </c>
      <c r="AK62" s="70">
        <v>0</v>
      </c>
      <c r="AL62" s="70">
        <v>0.01</v>
      </c>
      <c r="AM62" s="70">
        <v>0</v>
      </c>
      <c r="AN62" s="70" t="s">
        <v>1812</v>
      </c>
      <c r="AO62" s="70" t="s">
        <v>1804</v>
      </c>
    </row>
    <row r="63" spans="1:41">
      <c r="A63" s="132">
        <f t="shared" si="0"/>
        <v>55</v>
      </c>
      <c r="B63" s="133" t="s">
        <v>1740</v>
      </c>
      <c r="C63" s="133" t="s">
        <v>1910</v>
      </c>
      <c r="D63" s="132" t="s">
        <v>1703</v>
      </c>
      <c r="E63" s="147" t="s">
        <v>1129</v>
      </c>
      <c r="F63" s="135">
        <v>45614</v>
      </c>
      <c r="G63" s="45"/>
      <c r="H63" s="136"/>
      <c r="I63" s="136">
        <v>163661</v>
      </c>
      <c r="J63" s="137" t="s">
        <v>1025</v>
      </c>
      <c r="K63" s="137"/>
      <c r="L63" s="148">
        <f t="shared" si="6"/>
        <v>163661</v>
      </c>
      <c r="M63" s="122">
        <f t="shared" si="1"/>
        <v>0</v>
      </c>
      <c r="N63" s="137"/>
      <c r="O63" s="149" t="b">
        <f t="shared" si="2"/>
        <v>1</v>
      </c>
      <c r="P63" s="149">
        <f t="shared" si="3"/>
        <v>0</v>
      </c>
      <c r="Q63" s="149" t="b">
        <f t="shared" si="4"/>
        <v>0</v>
      </c>
      <c r="R63" s="149">
        <f t="shared" si="5"/>
        <v>0</v>
      </c>
      <c r="S63" s="144"/>
      <c r="T63" s="143">
        <v>45614</v>
      </c>
      <c r="U63" s="144" t="s">
        <v>1129</v>
      </c>
      <c r="V63" s="144">
        <v>0</v>
      </c>
      <c r="W63" s="144" t="s">
        <v>1071</v>
      </c>
      <c r="X63" s="144" t="s">
        <v>1801</v>
      </c>
      <c r="Y63" s="144" t="s">
        <v>1802</v>
      </c>
      <c r="Z63" s="145">
        <v>1800266</v>
      </c>
      <c r="AA63" s="145">
        <v>1636605</v>
      </c>
      <c r="AB63" s="144">
        <v>0</v>
      </c>
      <c r="AC63" s="144" t="s">
        <v>1022</v>
      </c>
      <c r="AD63" s="145">
        <v>163661</v>
      </c>
      <c r="AE63" s="144">
        <v>0</v>
      </c>
      <c r="AF63" s="146">
        <v>0</v>
      </c>
      <c r="AG63" s="70">
        <v>0</v>
      </c>
      <c r="AH63" s="70">
        <v>0</v>
      </c>
      <c r="AI63" s="70">
        <v>0</v>
      </c>
      <c r="AJ63" s="70">
        <v>0</v>
      </c>
      <c r="AK63" s="70">
        <v>0</v>
      </c>
      <c r="AL63" s="70">
        <v>0.01</v>
      </c>
      <c r="AM63" s="70">
        <v>0</v>
      </c>
      <c r="AN63" s="70" t="s">
        <v>1813</v>
      </c>
      <c r="AO63" s="70" t="s">
        <v>1804</v>
      </c>
    </row>
    <row r="64" spans="1:41">
      <c r="A64" s="132">
        <f t="shared" si="0"/>
        <v>56</v>
      </c>
      <c r="B64" s="133" t="s">
        <v>1741</v>
      </c>
      <c r="C64" s="133" t="s">
        <v>1911</v>
      </c>
      <c r="D64" s="132" t="s">
        <v>1704</v>
      </c>
      <c r="E64" s="147" t="s">
        <v>1130</v>
      </c>
      <c r="F64" s="135">
        <v>45625</v>
      </c>
      <c r="G64" s="45"/>
      <c r="H64" s="136"/>
      <c r="I64" s="136">
        <v>322240</v>
      </c>
      <c r="J64" s="137" t="s">
        <v>1025</v>
      </c>
      <c r="K64" s="137"/>
      <c r="L64" s="148">
        <f t="shared" si="6"/>
        <v>322240</v>
      </c>
      <c r="M64" s="122">
        <f t="shared" si="1"/>
        <v>0</v>
      </c>
      <c r="N64" s="137"/>
      <c r="O64" s="149" t="b">
        <f t="shared" si="2"/>
        <v>1</v>
      </c>
      <c r="P64" s="149">
        <f t="shared" si="3"/>
        <v>0</v>
      </c>
      <c r="Q64" s="149" t="b">
        <f t="shared" si="4"/>
        <v>0</v>
      </c>
      <c r="R64" s="149">
        <f t="shared" si="5"/>
        <v>0</v>
      </c>
      <c r="S64" s="144"/>
      <c r="T64" s="143">
        <v>45625</v>
      </c>
      <c r="U64" s="144" t="s">
        <v>1130</v>
      </c>
      <c r="V64" s="144">
        <v>0</v>
      </c>
      <c r="W64" s="144" t="s">
        <v>1071</v>
      </c>
      <c r="X64" s="144" t="s">
        <v>1801</v>
      </c>
      <c r="Y64" s="144" t="s">
        <v>1802</v>
      </c>
      <c r="Z64" s="145">
        <v>3544640</v>
      </c>
      <c r="AA64" s="145">
        <v>3222400</v>
      </c>
      <c r="AB64" s="144">
        <v>0</v>
      </c>
      <c r="AC64" s="144" t="s">
        <v>1022</v>
      </c>
      <c r="AD64" s="145">
        <v>322240</v>
      </c>
      <c r="AE64" s="144">
        <v>0</v>
      </c>
      <c r="AF64" s="146">
        <v>0</v>
      </c>
      <c r="AG64" s="70">
        <v>0</v>
      </c>
      <c r="AH64" s="70">
        <v>0</v>
      </c>
      <c r="AI64" s="70">
        <v>0</v>
      </c>
      <c r="AJ64" s="70">
        <v>0</v>
      </c>
      <c r="AK64" s="70">
        <v>0</v>
      </c>
      <c r="AL64" s="70">
        <v>0.01</v>
      </c>
      <c r="AM64" s="70">
        <v>0</v>
      </c>
      <c r="AN64" s="70" t="s">
        <v>1741</v>
      </c>
      <c r="AO64" s="70" t="s">
        <v>1804</v>
      </c>
    </row>
    <row r="65" spans="1:41">
      <c r="A65" s="132">
        <f t="shared" si="0"/>
        <v>57</v>
      </c>
      <c r="B65" s="133" t="s">
        <v>1742</v>
      </c>
      <c r="C65" s="133" t="s">
        <v>1905</v>
      </c>
      <c r="D65" s="132" t="s">
        <v>1024</v>
      </c>
      <c r="E65" s="147">
        <v>269496</v>
      </c>
      <c r="F65" s="135">
        <v>45650</v>
      </c>
      <c r="G65" s="45"/>
      <c r="H65" s="136"/>
      <c r="I65" s="136">
        <v>115747</v>
      </c>
      <c r="J65" s="137" t="s">
        <v>1025</v>
      </c>
      <c r="K65" s="137"/>
      <c r="L65" s="148">
        <f t="shared" si="6"/>
        <v>115747</v>
      </c>
      <c r="M65" s="122">
        <f t="shared" si="1"/>
        <v>0</v>
      </c>
      <c r="N65" s="137"/>
      <c r="O65" s="149" t="b">
        <f t="shared" si="2"/>
        <v>1</v>
      </c>
      <c r="P65" s="149">
        <f t="shared" si="3"/>
        <v>0</v>
      </c>
      <c r="Q65" s="149" t="b">
        <f t="shared" si="4"/>
        <v>0</v>
      </c>
      <c r="R65" s="149">
        <f t="shared" si="5"/>
        <v>0</v>
      </c>
      <c r="S65" s="144"/>
      <c r="T65" s="143">
        <v>45650</v>
      </c>
      <c r="U65" s="144">
        <v>269496</v>
      </c>
      <c r="V65" s="144">
        <v>0</v>
      </c>
      <c r="W65" s="144" t="s">
        <v>1071</v>
      </c>
      <c r="X65" s="144" t="s">
        <v>1801</v>
      </c>
      <c r="Y65" s="144" t="s">
        <v>1802</v>
      </c>
      <c r="Z65" s="145">
        <v>1273219</v>
      </c>
      <c r="AA65" s="145">
        <v>1157472</v>
      </c>
      <c r="AB65" s="144">
        <v>0</v>
      </c>
      <c r="AC65" s="144" t="s">
        <v>1022</v>
      </c>
      <c r="AD65" s="145">
        <v>115747</v>
      </c>
      <c r="AE65" s="144"/>
      <c r="AF65" s="146"/>
    </row>
    <row r="66" spans="1:41">
      <c r="A66" s="132">
        <f t="shared" si="0"/>
        <v>58</v>
      </c>
      <c r="B66" s="133" t="s">
        <v>1742</v>
      </c>
      <c r="C66" s="133" t="s">
        <v>1905</v>
      </c>
      <c r="D66" s="132" t="s">
        <v>1024</v>
      </c>
      <c r="E66" s="147">
        <v>273954</v>
      </c>
      <c r="F66" s="135">
        <v>45656</v>
      </c>
      <c r="G66" s="45"/>
      <c r="H66" s="136"/>
      <c r="I66" s="136">
        <v>245062</v>
      </c>
      <c r="J66" s="137" t="s">
        <v>1025</v>
      </c>
      <c r="K66" s="137"/>
      <c r="L66" s="148">
        <f t="shared" si="6"/>
        <v>245062</v>
      </c>
      <c r="M66" s="122">
        <f t="shared" si="1"/>
        <v>0</v>
      </c>
      <c r="N66" s="137"/>
      <c r="O66" s="149" t="b">
        <f t="shared" si="2"/>
        <v>1</v>
      </c>
      <c r="P66" s="149">
        <f t="shared" si="3"/>
        <v>0</v>
      </c>
      <c r="Q66" s="149" t="b">
        <f t="shared" si="4"/>
        <v>0</v>
      </c>
      <c r="R66" s="149">
        <f t="shared" si="5"/>
        <v>0</v>
      </c>
      <c r="S66" s="144"/>
      <c r="T66" s="143">
        <v>45656</v>
      </c>
      <c r="U66" s="144">
        <v>273954</v>
      </c>
      <c r="V66" s="144">
        <v>0</v>
      </c>
      <c r="W66" s="144" t="s">
        <v>1071</v>
      </c>
      <c r="X66" s="144" t="s">
        <v>1801</v>
      </c>
      <c r="Y66" s="144" t="s">
        <v>1802</v>
      </c>
      <c r="Z66" s="145">
        <v>2695678</v>
      </c>
      <c r="AA66" s="145">
        <v>2450616</v>
      </c>
      <c r="AB66" s="144">
        <v>0</v>
      </c>
      <c r="AC66" s="144" t="s">
        <v>1022</v>
      </c>
      <c r="AD66" s="145">
        <v>245062</v>
      </c>
      <c r="AE66" s="144"/>
      <c r="AF66" s="146"/>
    </row>
    <row r="67" spans="1:41">
      <c r="A67" s="132">
        <f t="shared" si="0"/>
        <v>59</v>
      </c>
      <c r="B67" s="133" t="s">
        <v>1732</v>
      </c>
      <c r="C67" s="133" t="s">
        <v>1906</v>
      </c>
      <c r="D67" s="132" t="s">
        <v>1036</v>
      </c>
      <c r="E67" s="147" t="s">
        <v>1131</v>
      </c>
      <c r="F67" s="135">
        <v>45651</v>
      </c>
      <c r="G67" s="45"/>
      <c r="H67" s="136"/>
      <c r="I67" s="136">
        <v>1487030</v>
      </c>
      <c r="J67" s="137" t="s">
        <v>1025</v>
      </c>
      <c r="K67" s="137"/>
      <c r="L67" s="148">
        <f t="shared" si="6"/>
        <v>1487030</v>
      </c>
      <c r="M67" s="122">
        <f t="shared" si="1"/>
        <v>0</v>
      </c>
      <c r="N67" s="137"/>
      <c r="O67" s="149" t="b">
        <f t="shared" si="2"/>
        <v>1</v>
      </c>
      <c r="P67" s="149">
        <f t="shared" si="3"/>
        <v>0</v>
      </c>
      <c r="Q67" s="149" t="b">
        <f t="shared" si="4"/>
        <v>0</v>
      </c>
      <c r="R67" s="149">
        <f t="shared" si="5"/>
        <v>0</v>
      </c>
      <c r="S67" s="144"/>
      <c r="T67" s="143">
        <v>45651</v>
      </c>
      <c r="U67" s="144" t="s">
        <v>1131</v>
      </c>
      <c r="V67" s="144">
        <v>0</v>
      </c>
      <c r="W67" s="144" t="s">
        <v>1071</v>
      </c>
      <c r="X67" s="144" t="s">
        <v>1801</v>
      </c>
      <c r="Y67" s="144" t="s">
        <v>1802</v>
      </c>
      <c r="Z67" s="145">
        <v>16357330</v>
      </c>
      <c r="AA67" s="145">
        <v>14870300</v>
      </c>
      <c r="AB67" s="144">
        <v>0</v>
      </c>
      <c r="AC67" s="144" t="s">
        <v>1022</v>
      </c>
      <c r="AD67" s="145">
        <v>1487030</v>
      </c>
      <c r="AE67" s="144">
        <v>0</v>
      </c>
      <c r="AF67" s="146">
        <v>0</v>
      </c>
      <c r="AG67" s="70">
        <v>0</v>
      </c>
      <c r="AH67" s="70">
        <v>0</v>
      </c>
      <c r="AI67" s="70">
        <v>0</v>
      </c>
      <c r="AJ67" s="70">
        <v>0</v>
      </c>
      <c r="AK67" s="70">
        <v>0</v>
      </c>
      <c r="AL67" s="70">
        <v>0.01</v>
      </c>
      <c r="AM67" s="70">
        <v>0</v>
      </c>
      <c r="AN67" s="70" t="s">
        <v>1814</v>
      </c>
    </row>
    <row r="68" spans="1:41">
      <c r="A68" s="132">
        <f t="shared" si="0"/>
        <v>60</v>
      </c>
      <c r="B68" s="133" t="s">
        <v>1728</v>
      </c>
      <c r="C68" s="133" t="s">
        <v>1904</v>
      </c>
      <c r="D68" s="132" t="s">
        <v>1698</v>
      </c>
      <c r="E68" s="147" t="s">
        <v>1132</v>
      </c>
      <c r="F68" s="135">
        <v>45656</v>
      </c>
      <c r="G68" s="45"/>
      <c r="H68" s="136"/>
      <c r="I68" s="136">
        <v>1657888</v>
      </c>
      <c r="J68" s="137" t="s">
        <v>1025</v>
      </c>
      <c r="K68" s="137"/>
      <c r="L68" s="148">
        <f t="shared" si="6"/>
        <v>1657888</v>
      </c>
      <c r="M68" s="122">
        <f t="shared" si="1"/>
        <v>0</v>
      </c>
      <c r="N68" s="137"/>
      <c r="O68" s="149" t="b">
        <f t="shared" si="2"/>
        <v>1</v>
      </c>
      <c r="P68" s="149">
        <f t="shared" si="3"/>
        <v>0</v>
      </c>
      <c r="Q68" s="149" t="b">
        <f t="shared" si="4"/>
        <v>0</v>
      </c>
      <c r="R68" s="149">
        <f t="shared" si="5"/>
        <v>0</v>
      </c>
      <c r="S68" s="144"/>
      <c r="T68" s="143">
        <v>45656</v>
      </c>
      <c r="U68" s="144" t="s">
        <v>1132</v>
      </c>
      <c r="V68" s="144">
        <v>0</v>
      </c>
      <c r="W68" s="144" t="s">
        <v>1071</v>
      </c>
      <c r="X68" s="144" t="s">
        <v>1801</v>
      </c>
      <c r="Y68" s="144" t="s">
        <v>1802</v>
      </c>
      <c r="Z68" s="145">
        <v>18236768</v>
      </c>
      <c r="AA68" s="145">
        <v>16578880</v>
      </c>
      <c r="AB68" s="144">
        <v>0</v>
      </c>
      <c r="AC68" s="144" t="s">
        <v>1022</v>
      </c>
      <c r="AD68" s="145">
        <v>1657888</v>
      </c>
      <c r="AE68" s="144">
        <v>0</v>
      </c>
      <c r="AF68" s="146">
        <v>0</v>
      </c>
      <c r="AG68" s="70">
        <v>0</v>
      </c>
      <c r="AH68" s="70">
        <v>0</v>
      </c>
      <c r="AI68" s="70">
        <v>0</v>
      </c>
      <c r="AJ68" s="70">
        <v>0</v>
      </c>
      <c r="AK68" s="70">
        <v>0</v>
      </c>
      <c r="AL68" s="70">
        <v>0.01</v>
      </c>
      <c r="AM68" s="70">
        <v>0</v>
      </c>
      <c r="AN68" s="70" t="s">
        <v>1807</v>
      </c>
    </row>
    <row r="69" spans="1:41">
      <c r="A69" s="132">
        <f t="shared" si="0"/>
        <v>61</v>
      </c>
      <c r="B69" s="133" t="s">
        <v>1742</v>
      </c>
      <c r="C69" s="133" t="s">
        <v>1905</v>
      </c>
      <c r="D69" s="132" t="s">
        <v>1024</v>
      </c>
      <c r="E69" s="147">
        <v>273947</v>
      </c>
      <c r="F69" s="135">
        <v>45656</v>
      </c>
      <c r="G69" s="45"/>
      <c r="H69" s="136"/>
      <c r="I69" s="136">
        <v>350088</v>
      </c>
      <c r="J69" s="137" t="s">
        <v>1025</v>
      </c>
      <c r="K69" s="137"/>
      <c r="L69" s="148">
        <f t="shared" si="6"/>
        <v>350088</v>
      </c>
      <c r="M69" s="122">
        <f t="shared" si="1"/>
        <v>0</v>
      </c>
      <c r="N69" s="137"/>
      <c r="O69" s="149" t="b">
        <f t="shared" si="2"/>
        <v>1</v>
      </c>
      <c r="P69" s="149">
        <f t="shared" si="3"/>
        <v>0</v>
      </c>
      <c r="Q69" s="149" t="b">
        <f t="shared" si="4"/>
        <v>0</v>
      </c>
      <c r="R69" s="149">
        <f t="shared" si="5"/>
        <v>0</v>
      </c>
      <c r="S69" s="144"/>
      <c r="T69" s="143">
        <v>45656</v>
      </c>
      <c r="U69" s="144">
        <v>273947</v>
      </c>
      <c r="V69" s="144">
        <v>0</v>
      </c>
      <c r="W69" s="144" t="s">
        <v>1071</v>
      </c>
      <c r="X69" s="144" t="s">
        <v>1801</v>
      </c>
      <c r="Y69" s="144" t="s">
        <v>1802</v>
      </c>
      <c r="Z69" s="145">
        <v>3850968</v>
      </c>
      <c r="AA69" s="145">
        <v>3500880</v>
      </c>
      <c r="AB69" s="144">
        <v>0</v>
      </c>
      <c r="AC69" s="144" t="s">
        <v>1022</v>
      </c>
      <c r="AD69" s="145">
        <v>350088</v>
      </c>
      <c r="AE69" s="144"/>
      <c r="AF69" s="146"/>
    </row>
    <row r="70" spans="1:41">
      <c r="A70" s="132">
        <f t="shared" si="0"/>
        <v>62</v>
      </c>
      <c r="B70" s="133" t="s">
        <v>1743</v>
      </c>
      <c r="C70" s="133" t="s">
        <v>1911</v>
      </c>
      <c r="D70" s="132" t="s">
        <v>1704</v>
      </c>
      <c r="E70" s="147" t="s">
        <v>1133</v>
      </c>
      <c r="F70" s="135">
        <v>45653</v>
      </c>
      <c r="G70" s="45"/>
      <c r="H70" s="136"/>
      <c r="I70" s="136">
        <v>482520</v>
      </c>
      <c r="J70" s="137" t="s">
        <v>1025</v>
      </c>
      <c r="K70" s="137"/>
      <c r="L70" s="148">
        <f t="shared" si="6"/>
        <v>482520</v>
      </c>
      <c r="M70" s="122">
        <f t="shared" si="1"/>
        <v>0</v>
      </c>
      <c r="N70" s="137"/>
      <c r="O70" s="149" t="b">
        <f t="shared" si="2"/>
        <v>1</v>
      </c>
      <c r="P70" s="149">
        <f t="shared" si="3"/>
        <v>0</v>
      </c>
      <c r="Q70" s="149" t="b">
        <f t="shared" si="4"/>
        <v>0</v>
      </c>
      <c r="R70" s="149">
        <f t="shared" si="5"/>
        <v>0</v>
      </c>
      <c r="S70" s="144"/>
      <c r="T70" s="143">
        <v>45653</v>
      </c>
      <c r="U70" s="144" t="s">
        <v>1133</v>
      </c>
      <c r="V70" s="144">
        <v>0</v>
      </c>
      <c r="W70" s="144" t="s">
        <v>1071</v>
      </c>
      <c r="X70" s="144" t="s">
        <v>1801</v>
      </c>
      <c r="Y70" s="144" t="s">
        <v>1802</v>
      </c>
      <c r="Z70" s="145">
        <v>5307720</v>
      </c>
      <c r="AA70" s="145">
        <v>4825200</v>
      </c>
      <c r="AB70" s="144">
        <v>0</v>
      </c>
      <c r="AC70" s="144" t="s">
        <v>1022</v>
      </c>
      <c r="AD70" s="145">
        <v>482520</v>
      </c>
      <c r="AE70" s="144">
        <v>0</v>
      </c>
      <c r="AF70" s="146">
        <v>0</v>
      </c>
      <c r="AG70" s="70">
        <v>0</v>
      </c>
      <c r="AH70" s="70">
        <v>0</v>
      </c>
      <c r="AI70" s="70">
        <v>0</v>
      </c>
      <c r="AJ70" s="70">
        <v>0</v>
      </c>
      <c r="AK70" s="70">
        <v>0</v>
      </c>
      <c r="AL70" s="70">
        <v>0.01</v>
      </c>
      <c r="AM70" s="70">
        <v>0</v>
      </c>
      <c r="AN70" s="70" t="s">
        <v>1744</v>
      </c>
      <c r="AO70" s="70" t="s">
        <v>1804</v>
      </c>
    </row>
    <row r="71" spans="1:41">
      <c r="A71" s="132">
        <f t="shared" si="0"/>
        <v>63</v>
      </c>
      <c r="B71" s="133" t="s">
        <v>1728</v>
      </c>
      <c r="C71" s="133" t="s">
        <v>1904</v>
      </c>
      <c r="D71" s="132" t="s">
        <v>1698</v>
      </c>
      <c r="E71" s="147" t="s">
        <v>1134</v>
      </c>
      <c r="F71" s="135">
        <v>45656</v>
      </c>
      <c r="G71" s="45"/>
      <c r="H71" s="136"/>
      <c r="I71" s="136">
        <v>2156864</v>
      </c>
      <c r="J71" s="137" t="s">
        <v>1025</v>
      </c>
      <c r="K71" s="137"/>
      <c r="L71" s="148">
        <f t="shared" si="6"/>
        <v>2156864</v>
      </c>
      <c r="M71" s="122">
        <f t="shared" si="1"/>
        <v>0</v>
      </c>
      <c r="N71" s="137"/>
      <c r="O71" s="149" t="b">
        <f t="shared" si="2"/>
        <v>1</v>
      </c>
      <c r="P71" s="149">
        <f t="shared" si="3"/>
        <v>0</v>
      </c>
      <c r="Q71" s="149" t="b">
        <f t="shared" si="4"/>
        <v>0</v>
      </c>
      <c r="R71" s="149">
        <f t="shared" si="5"/>
        <v>0</v>
      </c>
      <c r="S71" s="144"/>
      <c r="T71" s="143">
        <v>45656</v>
      </c>
      <c r="U71" s="144" t="s">
        <v>1134</v>
      </c>
      <c r="V71" s="144">
        <v>0</v>
      </c>
      <c r="W71" s="144" t="s">
        <v>1071</v>
      </c>
      <c r="X71" s="144" t="s">
        <v>1801</v>
      </c>
      <c r="Y71" s="144" t="s">
        <v>1802</v>
      </c>
      <c r="Z71" s="145">
        <v>23725504</v>
      </c>
      <c r="AA71" s="145">
        <v>21568640</v>
      </c>
      <c r="AB71" s="144">
        <v>0</v>
      </c>
      <c r="AC71" s="144" t="s">
        <v>1022</v>
      </c>
      <c r="AD71" s="145">
        <v>2156864</v>
      </c>
      <c r="AE71" s="144">
        <v>0</v>
      </c>
      <c r="AF71" s="146">
        <v>0</v>
      </c>
      <c r="AG71" s="70">
        <v>0</v>
      </c>
      <c r="AH71" s="70">
        <v>0</v>
      </c>
      <c r="AI71" s="70">
        <v>0</v>
      </c>
      <c r="AJ71" s="70">
        <v>0</v>
      </c>
      <c r="AK71" s="70">
        <v>0</v>
      </c>
      <c r="AL71" s="70">
        <v>0.01</v>
      </c>
      <c r="AM71" s="70">
        <v>0</v>
      </c>
      <c r="AN71" s="70" t="s">
        <v>1807</v>
      </c>
    </row>
    <row r="72" spans="1:41">
      <c r="A72" s="132">
        <f t="shared" si="0"/>
        <v>64</v>
      </c>
      <c r="B72" s="133" t="s">
        <v>1742</v>
      </c>
      <c r="C72" s="133" t="s">
        <v>1905</v>
      </c>
      <c r="D72" s="132" t="s">
        <v>1024</v>
      </c>
      <c r="E72" s="147">
        <v>275949</v>
      </c>
      <c r="F72" s="135">
        <v>45657</v>
      </c>
      <c r="G72" s="45"/>
      <c r="H72" s="136"/>
      <c r="I72" s="136">
        <v>350175</v>
      </c>
      <c r="J72" s="137" t="s">
        <v>1025</v>
      </c>
      <c r="K72" s="137"/>
      <c r="L72" s="148">
        <f t="shared" si="6"/>
        <v>350175</v>
      </c>
      <c r="M72" s="122">
        <f t="shared" si="1"/>
        <v>0</v>
      </c>
      <c r="N72" s="137"/>
      <c r="O72" s="149" t="b">
        <f t="shared" si="2"/>
        <v>1</v>
      </c>
      <c r="P72" s="149">
        <f t="shared" si="3"/>
        <v>0</v>
      </c>
      <c r="Q72" s="149" t="b">
        <f t="shared" si="4"/>
        <v>0</v>
      </c>
      <c r="R72" s="149">
        <f t="shared" si="5"/>
        <v>0</v>
      </c>
      <c r="S72" s="144"/>
      <c r="T72" s="143">
        <v>45657</v>
      </c>
      <c r="U72" s="144">
        <v>275949</v>
      </c>
      <c r="V72" s="144">
        <v>0</v>
      </c>
      <c r="W72" s="144" t="s">
        <v>1071</v>
      </c>
      <c r="X72" s="144" t="s">
        <v>1801</v>
      </c>
      <c r="Y72" s="144" t="s">
        <v>1802</v>
      </c>
      <c r="Z72" s="145">
        <v>3851925</v>
      </c>
      <c r="AA72" s="145">
        <v>3501750</v>
      </c>
      <c r="AB72" s="144">
        <v>0</v>
      </c>
      <c r="AC72" s="144" t="s">
        <v>1022</v>
      </c>
      <c r="AD72" s="145">
        <v>350175</v>
      </c>
      <c r="AE72" s="144"/>
      <c r="AF72" s="146"/>
    </row>
    <row r="73" spans="1:41">
      <c r="A73" s="132">
        <f t="shared" si="0"/>
        <v>65</v>
      </c>
      <c r="B73" s="133" t="s">
        <v>1728</v>
      </c>
      <c r="C73" s="133" t="s">
        <v>1904</v>
      </c>
      <c r="D73" s="132" t="s">
        <v>1698</v>
      </c>
      <c r="E73" s="147" t="s">
        <v>1135</v>
      </c>
      <c r="F73" s="135">
        <v>45656</v>
      </c>
      <c r="G73" s="45"/>
      <c r="H73" s="136"/>
      <c r="I73" s="136">
        <v>2358064</v>
      </c>
      <c r="J73" s="137" t="s">
        <v>1025</v>
      </c>
      <c r="K73" s="137"/>
      <c r="L73" s="148">
        <f t="shared" si="6"/>
        <v>2358064</v>
      </c>
      <c r="M73" s="122">
        <f t="shared" si="1"/>
        <v>0</v>
      </c>
      <c r="N73" s="137"/>
      <c r="O73" s="149" t="b">
        <f t="shared" si="2"/>
        <v>1</v>
      </c>
      <c r="P73" s="149">
        <f t="shared" si="3"/>
        <v>0</v>
      </c>
      <c r="Q73" s="149" t="b">
        <f t="shared" si="4"/>
        <v>0</v>
      </c>
      <c r="R73" s="149">
        <f t="shared" si="5"/>
        <v>0</v>
      </c>
      <c r="S73" s="144"/>
      <c r="T73" s="143">
        <v>45656</v>
      </c>
      <c r="U73" s="144" t="s">
        <v>1135</v>
      </c>
      <c r="V73" s="144">
        <v>0</v>
      </c>
      <c r="W73" s="144" t="s">
        <v>1071</v>
      </c>
      <c r="X73" s="144" t="s">
        <v>1801</v>
      </c>
      <c r="Y73" s="144" t="s">
        <v>1802</v>
      </c>
      <c r="Z73" s="145">
        <v>25938704</v>
      </c>
      <c r="AA73" s="145">
        <v>23580640</v>
      </c>
      <c r="AB73" s="144">
        <v>0</v>
      </c>
      <c r="AC73" s="144" t="s">
        <v>1022</v>
      </c>
      <c r="AD73" s="145">
        <v>2358064</v>
      </c>
      <c r="AE73" s="144">
        <v>0</v>
      </c>
      <c r="AF73" s="146">
        <v>0</v>
      </c>
      <c r="AG73" s="70">
        <v>0</v>
      </c>
      <c r="AH73" s="70">
        <v>0</v>
      </c>
      <c r="AI73" s="70">
        <v>0</v>
      </c>
      <c r="AJ73" s="70">
        <v>0</v>
      </c>
      <c r="AK73" s="70">
        <v>0</v>
      </c>
      <c r="AL73" s="70">
        <v>0.01</v>
      </c>
      <c r="AM73" s="70">
        <v>0</v>
      </c>
      <c r="AN73" s="70" t="s">
        <v>1807</v>
      </c>
    </row>
    <row r="74" spans="1:41">
      <c r="A74" s="132">
        <f t="shared" si="0"/>
        <v>66</v>
      </c>
      <c r="B74" s="133" t="s">
        <v>1744</v>
      </c>
      <c r="C74" s="133" t="s">
        <v>1911</v>
      </c>
      <c r="D74" s="132" t="s">
        <v>1704</v>
      </c>
      <c r="E74" s="147" t="s">
        <v>1136</v>
      </c>
      <c r="F74" s="135">
        <v>45715</v>
      </c>
      <c r="G74" s="45"/>
      <c r="H74" s="136"/>
      <c r="I74" s="136">
        <v>4090200</v>
      </c>
      <c r="J74" s="137" t="s">
        <v>1025</v>
      </c>
      <c r="K74" s="137"/>
      <c r="L74" s="148">
        <f t="shared" si="6"/>
        <v>4090200</v>
      </c>
      <c r="M74" s="122">
        <f t="shared" si="1"/>
        <v>0</v>
      </c>
      <c r="N74" s="137"/>
      <c r="O74" s="149" t="b">
        <f t="shared" si="2"/>
        <v>1</v>
      </c>
      <c r="P74" s="149">
        <f t="shared" si="3"/>
        <v>0</v>
      </c>
      <c r="Q74" s="149" t="b">
        <f t="shared" si="4"/>
        <v>0</v>
      </c>
      <c r="R74" s="149">
        <f t="shared" si="5"/>
        <v>0</v>
      </c>
      <c r="S74" s="144"/>
      <c r="T74" s="143">
        <v>45715</v>
      </c>
      <c r="U74" s="144" t="s">
        <v>1136</v>
      </c>
      <c r="V74" s="144">
        <v>0</v>
      </c>
      <c r="W74" s="144" t="s">
        <v>1071</v>
      </c>
      <c r="X74" s="144" t="s">
        <v>1801</v>
      </c>
      <c r="Y74" s="144" t="s">
        <v>1802</v>
      </c>
      <c r="Z74" s="145">
        <v>44992200</v>
      </c>
      <c r="AA74" s="145">
        <v>40902000</v>
      </c>
      <c r="AB74" s="144">
        <v>0</v>
      </c>
      <c r="AC74" s="144" t="s">
        <v>1022</v>
      </c>
      <c r="AD74" s="145">
        <v>4090200</v>
      </c>
      <c r="AE74" s="144">
        <v>0</v>
      </c>
      <c r="AF74" s="146">
        <v>0</v>
      </c>
      <c r="AG74" s="70">
        <v>0</v>
      </c>
      <c r="AH74" s="70">
        <v>0</v>
      </c>
      <c r="AI74" s="70">
        <v>0</v>
      </c>
      <c r="AJ74" s="70">
        <v>0</v>
      </c>
      <c r="AK74" s="70">
        <v>0</v>
      </c>
      <c r="AL74" s="70">
        <v>0.01</v>
      </c>
      <c r="AM74" s="70">
        <v>0</v>
      </c>
      <c r="AN74" s="70" t="s">
        <v>1744</v>
      </c>
      <c r="AO74" s="70" t="s">
        <v>1804</v>
      </c>
    </row>
    <row r="75" spans="1:41">
      <c r="A75" s="132">
        <f t="shared" ref="A75:A138" si="7">A74+1</f>
        <v>67</v>
      </c>
      <c r="B75" s="133" t="s">
        <v>1728</v>
      </c>
      <c r="C75" s="133" t="s">
        <v>1904</v>
      </c>
      <c r="D75" s="132" t="s">
        <v>1698</v>
      </c>
      <c r="E75" s="147" t="s">
        <v>1137</v>
      </c>
      <c r="F75" s="135">
        <v>45651</v>
      </c>
      <c r="G75" s="45"/>
      <c r="H75" s="136"/>
      <c r="I75" s="136">
        <v>892218</v>
      </c>
      <c r="J75" s="137" t="s">
        <v>1025</v>
      </c>
      <c r="K75" s="137"/>
      <c r="L75" s="148">
        <f t="shared" si="6"/>
        <v>892218</v>
      </c>
      <c r="M75" s="122">
        <f t="shared" si="1"/>
        <v>0</v>
      </c>
      <c r="N75" s="137"/>
      <c r="O75" s="149" t="b">
        <f t="shared" si="2"/>
        <v>1</v>
      </c>
      <c r="P75" s="149">
        <f t="shared" si="3"/>
        <v>0</v>
      </c>
      <c r="Q75" s="149" t="b">
        <f t="shared" si="4"/>
        <v>0</v>
      </c>
      <c r="R75" s="149">
        <f t="shared" si="5"/>
        <v>0</v>
      </c>
      <c r="S75" s="144"/>
      <c r="T75" s="143">
        <v>45651</v>
      </c>
      <c r="U75" s="144" t="s">
        <v>1137</v>
      </c>
      <c r="V75" s="144">
        <v>0</v>
      </c>
      <c r="W75" s="144" t="s">
        <v>1071</v>
      </c>
      <c r="X75" s="144" t="s">
        <v>1801</v>
      </c>
      <c r="Y75" s="144" t="s">
        <v>1802</v>
      </c>
      <c r="Z75" s="145">
        <v>9814398</v>
      </c>
      <c r="AA75" s="145">
        <v>8922180</v>
      </c>
      <c r="AB75" s="144">
        <v>0</v>
      </c>
      <c r="AC75" s="144" t="s">
        <v>1022</v>
      </c>
      <c r="AD75" s="145">
        <v>892218</v>
      </c>
      <c r="AE75" s="144">
        <v>0</v>
      </c>
      <c r="AF75" s="146">
        <v>0</v>
      </c>
      <c r="AG75" s="70">
        <v>0</v>
      </c>
      <c r="AH75" s="70">
        <v>0</v>
      </c>
      <c r="AI75" s="70">
        <v>0</v>
      </c>
      <c r="AJ75" s="70">
        <v>0</v>
      </c>
      <c r="AK75" s="70">
        <v>0</v>
      </c>
      <c r="AL75" s="70">
        <v>0.01</v>
      </c>
      <c r="AM75" s="70">
        <v>0</v>
      </c>
      <c r="AN75" s="70" t="s">
        <v>1807</v>
      </c>
    </row>
    <row r="76" spans="1:41">
      <c r="A76" s="132">
        <f t="shared" si="7"/>
        <v>68</v>
      </c>
      <c r="B76" s="133" t="s">
        <v>1742</v>
      </c>
      <c r="C76" s="133" t="s">
        <v>1905</v>
      </c>
      <c r="D76" s="132" t="s">
        <v>1024</v>
      </c>
      <c r="E76" s="147">
        <v>269508</v>
      </c>
      <c r="F76" s="135">
        <v>45650</v>
      </c>
      <c r="G76" s="45"/>
      <c r="H76" s="136"/>
      <c r="I76" s="136">
        <v>349653</v>
      </c>
      <c r="J76" s="137" t="s">
        <v>1025</v>
      </c>
      <c r="K76" s="137"/>
      <c r="L76" s="148">
        <f t="shared" si="6"/>
        <v>349653</v>
      </c>
      <c r="M76" s="122">
        <f t="shared" si="1"/>
        <v>0</v>
      </c>
      <c r="N76" s="137"/>
      <c r="O76" s="149" t="b">
        <f t="shared" si="2"/>
        <v>1</v>
      </c>
      <c r="P76" s="149">
        <f t="shared" si="3"/>
        <v>0</v>
      </c>
      <c r="Q76" s="149" t="b">
        <f t="shared" si="4"/>
        <v>0</v>
      </c>
      <c r="R76" s="149">
        <f t="shared" si="5"/>
        <v>0</v>
      </c>
      <c r="S76" s="144"/>
      <c r="T76" s="143">
        <v>45650</v>
      </c>
      <c r="U76" s="144">
        <v>269508</v>
      </c>
      <c r="V76" s="144">
        <v>0</v>
      </c>
      <c r="W76" s="144" t="s">
        <v>1071</v>
      </c>
      <c r="X76" s="144" t="s">
        <v>1801</v>
      </c>
      <c r="Y76" s="144" t="s">
        <v>1802</v>
      </c>
      <c r="Z76" s="145">
        <v>3846183</v>
      </c>
      <c r="AA76" s="145">
        <v>3496530</v>
      </c>
      <c r="AB76" s="144">
        <v>0</v>
      </c>
      <c r="AC76" s="144" t="s">
        <v>1022</v>
      </c>
      <c r="AD76" s="145">
        <v>349653</v>
      </c>
      <c r="AE76" s="144"/>
      <c r="AF76" s="146"/>
    </row>
    <row r="77" spans="1:41">
      <c r="A77" s="132">
        <f t="shared" si="7"/>
        <v>69</v>
      </c>
      <c r="B77" s="133" t="s">
        <v>1745</v>
      </c>
      <c r="C77" s="133" t="s">
        <v>1911</v>
      </c>
      <c r="D77" s="132" t="s">
        <v>1704</v>
      </c>
      <c r="E77" s="147" t="s">
        <v>1138</v>
      </c>
      <c r="F77" s="135">
        <v>45742</v>
      </c>
      <c r="G77" s="45"/>
      <c r="H77" s="136"/>
      <c r="I77" s="136">
        <v>96072</v>
      </c>
      <c r="J77" s="137" t="s">
        <v>1025</v>
      </c>
      <c r="K77" s="137"/>
      <c r="L77" s="148">
        <f t="shared" si="6"/>
        <v>96072</v>
      </c>
      <c r="M77" s="122">
        <f t="shared" si="1"/>
        <v>0</v>
      </c>
      <c r="N77" s="137"/>
      <c r="O77" s="149" t="b">
        <f t="shared" si="2"/>
        <v>1</v>
      </c>
      <c r="P77" s="149">
        <f t="shared" si="3"/>
        <v>0</v>
      </c>
      <c r="Q77" s="149" t="b">
        <f t="shared" si="4"/>
        <v>0</v>
      </c>
      <c r="R77" s="149">
        <f t="shared" si="5"/>
        <v>0</v>
      </c>
      <c r="S77" s="144"/>
      <c r="T77" s="143">
        <v>45742</v>
      </c>
      <c r="U77" s="144" t="s">
        <v>1138</v>
      </c>
      <c r="V77" s="144">
        <v>0</v>
      </c>
      <c r="W77" s="144" t="s">
        <v>1071</v>
      </c>
      <c r="X77" s="144" t="s">
        <v>1801</v>
      </c>
      <c r="Y77" s="144" t="s">
        <v>1802</v>
      </c>
      <c r="Z77" s="145">
        <v>1056792</v>
      </c>
      <c r="AA77" s="145">
        <v>960720</v>
      </c>
      <c r="AB77" s="144">
        <v>0</v>
      </c>
      <c r="AC77" s="144" t="s">
        <v>1022</v>
      </c>
      <c r="AD77" s="145">
        <v>96072</v>
      </c>
      <c r="AE77" s="144">
        <v>0</v>
      </c>
      <c r="AF77" s="146">
        <v>0</v>
      </c>
      <c r="AG77" s="70">
        <v>0</v>
      </c>
      <c r="AH77" s="70">
        <v>0</v>
      </c>
      <c r="AI77" s="70">
        <v>0</v>
      </c>
      <c r="AJ77" s="70">
        <v>0</v>
      </c>
      <c r="AK77" s="70">
        <v>0</v>
      </c>
      <c r="AL77" s="70">
        <v>0.01</v>
      </c>
      <c r="AM77" s="70">
        <v>0</v>
      </c>
      <c r="AN77" s="70" t="s">
        <v>1815</v>
      </c>
      <c r="AO77" s="70" t="s">
        <v>1804</v>
      </c>
    </row>
    <row r="78" spans="1:41">
      <c r="A78" s="132">
        <f t="shared" si="7"/>
        <v>70</v>
      </c>
      <c r="B78" s="133" t="s">
        <v>1728</v>
      </c>
      <c r="C78" s="133" t="s">
        <v>1904</v>
      </c>
      <c r="D78" s="132" t="s">
        <v>1698</v>
      </c>
      <c r="E78" s="147" t="s">
        <v>1139</v>
      </c>
      <c r="F78" s="135">
        <v>45649</v>
      </c>
      <c r="G78" s="45"/>
      <c r="H78" s="136"/>
      <c r="I78" s="136">
        <v>2355720</v>
      </c>
      <c r="J78" s="137" t="s">
        <v>1025</v>
      </c>
      <c r="K78" s="137"/>
      <c r="L78" s="148">
        <f t="shared" si="6"/>
        <v>2355720</v>
      </c>
      <c r="M78" s="122">
        <f t="shared" si="1"/>
        <v>0</v>
      </c>
      <c r="N78" s="137"/>
      <c r="O78" s="149" t="b">
        <f t="shared" si="2"/>
        <v>1</v>
      </c>
      <c r="P78" s="149">
        <f t="shared" si="3"/>
        <v>0</v>
      </c>
      <c r="Q78" s="149" t="b">
        <f t="shared" si="4"/>
        <v>0</v>
      </c>
      <c r="R78" s="149">
        <f t="shared" si="5"/>
        <v>0</v>
      </c>
      <c r="S78" s="144"/>
      <c r="T78" s="143">
        <v>45649</v>
      </c>
      <c r="U78" s="144" t="s">
        <v>1139</v>
      </c>
      <c r="V78" s="144">
        <v>0</v>
      </c>
      <c r="W78" s="144" t="s">
        <v>1071</v>
      </c>
      <c r="X78" s="144" t="s">
        <v>1801</v>
      </c>
      <c r="Y78" s="144" t="s">
        <v>1802</v>
      </c>
      <c r="Z78" s="145">
        <v>25912920</v>
      </c>
      <c r="AA78" s="145">
        <v>23557200</v>
      </c>
      <c r="AB78" s="144">
        <v>0</v>
      </c>
      <c r="AC78" s="144" t="s">
        <v>1022</v>
      </c>
      <c r="AD78" s="145">
        <v>2355720</v>
      </c>
      <c r="AE78" s="144">
        <v>0</v>
      </c>
      <c r="AF78" s="146">
        <v>0</v>
      </c>
      <c r="AG78" s="70">
        <v>0</v>
      </c>
      <c r="AH78" s="70">
        <v>0</v>
      </c>
      <c r="AI78" s="70">
        <v>0</v>
      </c>
      <c r="AJ78" s="70">
        <v>0</v>
      </c>
      <c r="AK78" s="70">
        <v>0</v>
      </c>
      <c r="AL78" s="70">
        <v>0.01</v>
      </c>
      <c r="AM78" s="70">
        <v>0</v>
      </c>
      <c r="AN78" s="70" t="s">
        <v>1807</v>
      </c>
    </row>
    <row r="79" spans="1:41">
      <c r="A79" s="132">
        <f t="shared" si="7"/>
        <v>71</v>
      </c>
      <c r="B79" s="133" t="s">
        <v>1742</v>
      </c>
      <c r="C79" s="133" t="s">
        <v>1905</v>
      </c>
      <c r="D79" s="132" t="s">
        <v>1024</v>
      </c>
      <c r="E79" s="147">
        <v>266930</v>
      </c>
      <c r="F79" s="135">
        <v>45647</v>
      </c>
      <c r="G79" s="45"/>
      <c r="H79" s="136"/>
      <c r="I79" s="136">
        <v>68725</v>
      </c>
      <c r="J79" s="137" t="s">
        <v>1025</v>
      </c>
      <c r="K79" s="137"/>
      <c r="L79" s="148">
        <f t="shared" si="6"/>
        <v>68725</v>
      </c>
      <c r="M79" s="122">
        <f t="shared" si="1"/>
        <v>0</v>
      </c>
      <c r="N79" s="137"/>
      <c r="O79" s="149" t="b">
        <f t="shared" si="2"/>
        <v>1</v>
      </c>
      <c r="P79" s="149">
        <f t="shared" si="3"/>
        <v>0</v>
      </c>
      <c r="Q79" s="149" t="b">
        <f t="shared" si="4"/>
        <v>0</v>
      </c>
      <c r="R79" s="149">
        <f t="shared" si="5"/>
        <v>0</v>
      </c>
      <c r="S79" s="144"/>
      <c r="T79" s="143">
        <v>45646</v>
      </c>
      <c r="U79" s="144">
        <v>266930</v>
      </c>
      <c r="V79" s="144">
        <v>0</v>
      </c>
      <c r="W79" s="144" t="s">
        <v>1071</v>
      </c>
      <c r="X79" s="144" t="s">
        <v>1801</v>
      </c>
      <c r="Y79" s="144" t="s">
        <v>1802</v>
      </c>
      <c r="Z79" s="145">
        <v>755974</v>
      </c>
      <c r="AA79" s="145">
        <v>687249</v>
      </c>
      <c r="AB79" s="144">
        <v>0</v>
      </c>
      <c r="AC79" s="144" t="s">
        <v>1022</v>
      </c>
      <c r="AD79" s="145">
        <v>68725</v>
      </c>
      <c r="AE79" s="144"/>
      <c r="AF79" s="146"/>
    </row>
    <row r="80" spans="1:41">
      <c r="A80" s="132">
        <f t="shared" si="7"/>
        <v>72</v>
      </c>
      <c r="B80" s="133" t="s">
        <v>1732</v>
      </c>
      <c r="C80" s="133" t="s">
        <v>1906</v>
      </c>
      <c r="D80" s="132" t="s">
        <v>1036</v>
      </c>
      <c r="E80" s="147" t="s">
        <v>1140</v>
      </c>
      <c r="F80" s="135">
        <v>45639</v>
      </c>
      <c r="G80" s="45"/>
      <c r="H80" s="136"/>
      <c r="I80" s="136">
        <v>386016</v>
      </c>
      <c r="J80" s="137" t="s">
        <v>1025</v>
      </c>
      <c r="K80" s="137"/>
      <c r="L80" s="148">
        <f t="shared" si="6"/>
        <v>386016</v>
      </c>
      <c r="M80" s="122">
        <f t="shared" si="1"/>
        <v>0</v>
      </c>
      <c r="N80" s="137"/>
      <c r="O80" s="149" t="b">
        <f t="shared" si="2"/>
        <v>1</v>
      </c>
      <c r="P80" s="149">
        <f t="shared" si="3"/>
        <v>0</v>
      </c>
      <c r="Q80" s="149" t="b">
        <f t="shared" si="4"/>
        <v>0</v>
      </c>
      <c r="R80" s="149">
        <f t="shared" si="5"/>
        <v>0</v>
      </c>
      <c r="S80" s="144"/>
      <c r="T80" s="143">
        <v>45639</v>
      </c>
      <c r="U80" s="144" t="s">
        <v>1140</v>
      </c>
      <c r="V80" s="144">
        <v>0</v>
      </c>
      <c r="W80" s="144" t="s">
        <v>1071</v>
      </c>
      <c r="X80" s="144" t="s">
        <v>1801</v>
      </c>
      <c r="Y80" s="144" t="s">
        <v>1802</v>
      </c>
      <c r="Z80" s="145">
        <v>4246176</v>
      </c>
      <c r="AA80" s="145">
        <v>3860160</v>
      </c>
      <c r="AB80" s="144">
        <v>0</v>
      </c>
      <c r="AC80" s="144" t="s">
        <v>1022</v>
      </c>
      <c r="AD80" s="145">
        <v>386016</v>
      </c>
      <c r="AE80" s="144">
        <v>0</v>
      </c>
      <c r="AF80" s="146">
        <v>0</v>
      </c>
      <c r="AG80" s="70">
        <v>0</v>
      </c>
      <c r="AH80" s="70">
        <v>0</v>
      </c>
      <c r="AI80" s="70">
        <v>0</v>
      </c>
      <c r="AJ80" s="70">
        <v>0</v>
      </c>
      <c r="AK80" s="70">
        <v>0</v>
      </c>
      <c r="AL80" s="70">
        <v>0.01</v>
      </c>
      <c r="AM80" s="70">
        <v>0</v>
      </c>
      <c r="AN80" s="70" t="s">
        <v>1816</v>
      </c>
    </row>
    <row r="81" spans="1:41">
      <c r="A81" s="132">
        <f t="shared" si="7"/>
        <v>73</v>
      </c>
      <c r="B81" s="133" t="s">
        <v>1728</v>
      </c>
      <c r="C81" s="133" t="s">
        <v>1904</v>
      </c>
      <c r="D81" s="132" t="s">
        <v>1698</v>
      </c>
      <c r="E81" s="147" t="s">
        <v>1141</v>
      </c>
      <c r="F81" s="135">
        <v>45646</v>
      </c>
      <c r="G81" s="45"/>
      <c r="H81" s="136"/>
      <c r="I81" s="136">
        <v>731056</v>
      </c>
      <c r="J81" s="137" t="s">
        <v>1025</v>
      </c>
      <c r="K81" s="137"/>
      <c r="L81" s="148">
        <f t="shared" si="6"/>
        <v>731056</v>
      </c>
      <c r="M81" s="122">
        <f t="shared" si="1"/>
        <v>0</v>
      </c>
      <c r="N81" s="137"/>
      <c r="O81" s="149" t="b">
        <f t="shared" si="2"/>
        <v>1</v>
      </c>
      <c r="P81" s="149">
        <f t="shared" si="3"/>
        <v>0</v>
      </c>
      <c r="Q81" s="149" t="b">
        <f t="shared" si="4"/>
        <v>0</v>
      </c>
      <c r="R81" s="149">
        <f t="shared" si="5"/>
        <v>0</v>
      </c>
      <c r="S81" s="144"/>
      <c r="T81" s="143">
        <v>45646</v>
      </c>
      <c r="U81" s="144" t="s">
        <v>1141</v>
      </c>
      <c r="V81" s="144">
        <v>0</v>
      </c>
      <c r="W81" s="144" t="s">
        <v>1071</v>
      </c>
      <c r="X81" s="144" t="s">
        <v>1801</v>
      </c>
      <c r="Y81" s="144" t="s">
        <v>1802</v>
      </c>
      <c r="Z81" s="145">
        <v>8041617</v>
      </c>
      <c r="AA81" s="145">
        <v>7310561</v>
      </c>
      <c r="AB81" s="144">
        <v>0</v>
      </c>
      <c r="AC81" s="144" t="s">
        <v>1022</v>
      </c>
      <c r="AD81" s="145">
        <v>731056</v>
      </c>
      <c r="AE81" s="144">
        <v>0</v>
      </c>
      <c r="AF81" s="146">
        <v>0</v>
      </c>
      <c r="AG81" s="70">
        <v>0</v>
      </c>
      <c r="AH81" s="70">
        <v>0</v>
      </c>
      <c r="AI81" s="70">
        <v>0</v>
      </c>
      <c r="AJ81" s="70">
        <v>0</v>
      </c>
      <c r="AK81" s="70">
        <v>0</v>
      </c>
      <c r="AL81" s="70">
        <v>0.01</v>
      </c>
      <c r="AM81" s="70">
        <v>0</v>
      </c>
      <c r="AN81" s="70" t="s">
        <v>1807</v>
      </c>
    </row>
    <row r="82" spans="1:41">
      <c r="A82" s="132">
        <f t="shared" si="7"/>
        <v>74</v>
      </c>
      <c r="B82" s="133" t="s">
        <v>1742</v>
      </c>
      <c r="C82" s="133" t="s">
        <v>1905</v>
      </c>
      <c r="D82" s="132" t="s">
        <v>1024</v>
      </c>
      <c r="E82" s="147">
        <v>266917</v>
      </c>
      <c r="F82" s="135">
        <v>45646</v>
      </c>
      <c r="G82" s="45"/>
      <c r="H82" s="136"/>
      <c r="I82" s="136">
        <v>267665</v>
      </c>
      <c r="J82" s="137" t="s">
        <v>1025</v>
      </c>
      <c r="K82" s="137"/>
      <c r="L82" s="148">
        <f t="shared" si="6"/>
        <v>267665</v>
      </c>
      <c r="M82" s="122">
        <f t="shared" si="1"/>
        <v>0</v>
      </c>
      <c r="N82" s="137"/>
      <c r="O82" s="149" t="b">
        <f t="shared" si="2"/>
        <v>1</v>
      </c>
      <c r="P82" s="149">
        <f t="shared" si="3"/>
        <v>0</v>
      </c>
      <c r="Q82" s="149" t="b">
        <f t="shared" si="4"/>
        <v>0</v>
      </c>
      <c r="R82" s="149">
        <f t="shared" si="5"/>
        <v>0</v>
      </c>
      <c r="S82" s="144"/>
      <c r="T82" s="143">
        <v>45646</v>
      </c>
      <c r="U82" s="144">
        <v>266917</v>
      </c>
      <c r="V82" s="144">
        <v>0</v>
      </c>
      <c r="W82" s="144" t="s">
        <v>1071</v>
      </c>
      <c r="X82" s="144" t="s">
        <v>1801</v>
      </c>
      <c r="Y82" s="144" t="s">
        <v>1802</v>
      </c>
      <c r="Z82" s="145">
        <v>2944319</v>
      </c>
      <c r="AA82" s="145">
        <v>2676654</v>
      </c>
      <c r="AB82" s="144">
        <v>0</v>
      </c>
      <c r="AC82" s="144" t="s">
        <v>1022</v>
      </c>
      <c r="AD82" s="145">
        <v>267665</v>
      </c>
      <c r="AE82" s="144"/>
      <c r="AF82" s="146"/>
    </row>
    <row r="83" spans="1:41">
      <c r="A83" s="132">
        <f t="shared" si="7"/>
        <v>75</v>
      </c>
      <c r="B83" s="133" t="s">
        <v>1746</v>
      </c>
      <c r="C83" s="133" t="s">
        <v>1911</v>
      </c>
      <c r="D83" s="132" t="s">
        <v>1704</v>
      </c>
      <c r="E83" s="147" t="s">
        <v>1142</v>
      </c>
      <c r="F83" s="135">
        <v>45774</v>
      </c>
      <c r="G83" s="45"/>
      <c r="H83" s="136"/>
      <c r="I83" s="136">
        <v>6997244</v>
      </c>
      <c r="J83" s="137" t="s">
        <v>1025</v>
      </c>
      <c r="K83" s="137"/>
      <c r="L83" s="148">
        <f t="shared" si="6"/>
        <v>6997244</v>
      </c>
      <c r="M83" s="122">
        <f t="shared" si="1"/>
        <v>0</v>
      </c>
      <c r="N83" s="137" t="s">
        <v>1901</v>
      </c>
      <c r="O83" s="149" t="b">
        <f t="shared" si="2"/>
        <v>1</v>
      </c>
      <c r="P83" s="149">
        <f t="shared" si="3"/>
        <v>0</v>
      </c>
      <c r="Q83" s="149" t="b">
        <f t="shared" si="4"/>
        <v>0</v>
      </c>
      <c r="R83" s="149">
        <f t="shared" si="5"/>
        <v>0</v>
      </c>
      <c r="S83" s="144"/>
      <c r="T83" s="143">
        <v>45774</v>
      </c>
      <c r="U83" s="144" t="s">
        <v>1142</v>
      </c>
      <c r="V83" s="144">
        <v>0</v>
      </c>
      <c r="W83" s="144" t="s">
        <v>1071</v>
      </c>
      <c r="X83" s="144" t="s">
        <v>1801</v>
      </c>
      <c r="Y83" s="144" t="s">
        <v>1802</v>
      </c>
      <c r="Z83" s="145">
        <v>76969684</v>
      </c>
      <c r="AA83" s="145">
        <v>69972440</v>
      </c>
      <c r="AB83" s="144">
        <v>0</v>
      </c>
      <c r="AC83" s="144" t="s">
        <v>1022</v>
      </c>
      <c r="AD83" s="145">
        <v>6997244</v>
      </c>
      <c r="AE83" s="144">
        <v>0</v>
      </c>
      <c r="AF83" s="146">
        <v>0</v>
      </c>
      <c r="AG83" s="70">
        <v>0</v>
      </c>
      <c r="AH83" s="70">
        <v>0</v>
      </c>
      <c r="AI83" s="70">
        <v>0</v>
      </c>
      <c r="AJ83" s="70">
        <v>0</v>
      </c>
      <c r="AK83" s="70">
        <v>0</v>
      </c>
      <c r="AL83" s="70">
        <v>0.01</v>
      </c>
      <c r="AM83" s="70">
        <v>0</v>
      </c>
      <c r="AN83" s="70" t="s">
        <v>1817</v>
      </c>
      <c r="AO83" s="70" t="s">
        <v>1804</v>
      </c>
    </row>
    <row r="84" spans="1:41">
      <c r="A84" s="132">
        <f t="shared" si="7"/>
        <v>76</v>
      </c>
      <c r="B84" s="133" t="s">
        <v>1746</v>
      </c>
      <c r="C84" s="133" t="s">
        <v>1911</v>
      </c>
      <c r="D84" s="132" t="s">
        <v>1704</v>
      </c>
      <c r="E84" s="147" t="s">
        <v>1143</v>
      </c>
      <c r="F84" s="135">
        <v>45804</v>
      </c>
      <c r="G84" s="45"/>
      <c r="H84" s="136"/>
      <c r="I84" s="136">
        <v>3194394</v>
      </c>
      <c r="J84" s="137" t="s">
        <v>1025</v>
      </c>
      <c r="K84" s="137"/>
      <c r="L84" s="148">
        <f t="shared" si="6"/>
        <v>3194394</v>
      </c>
      <c r="M84" s="122">
        <f t="shared" si="1"/>
        <v>0</v>
      </c>
      <c r="N84" s="137"/>
      <c r="O84" s="149" t="b">
        <f t="shared" si="2"/>
        <v>1</v>
      </c>
      <c r="P84" s="149">
        <f t="shared" si="3"/>
        <v>0</v>
      </c>
      <c r="Q84" s="149" t="b">
        <f t="shared" si="4"/>
        <v>0</v>
      </c>
      <c r="R84" s="149">
        <f t="shared" si="5"/>
        <v>0</v>
      </c>
      <c r="S84" s="144"/>
      <c r="T84" s="143">
        <v>45804</v>
      </c>
      <c r="U84" s="144" t="s">
        <v>1143</v>
      </c>
      <c r="V84" s="144">
        <v>0</v>
      </c>
      <c r="W84" s="144" t="s">
        <v>1071</v>
      </c>
      <c r="X84" s="144" t="s">
        <v>1801</v>
      </c>
      <c r="Y84" s="144" t="s">
        <v>1802</v>
      </c>
      <c r="Z84" s="145">
        <v>35138334</v>
      </c>
      <c r="AA84" s="145">
        <v>31943940</v>
      </c>
      <c r="AB84" s="144">
        <v>0</v>
      </c>
      <c r="AC84" s="144" t="s">
        <v>1022</v>
      </c>
      <c r="AD84" s="145">
        <v>3194394</v>
      </c>
      <c r="AE84" s="144">
        <v>0</v>
      </c>
      <c r="AF84" s="146">
        <v>0</v>
      </c>
      <c r="AG84" s="70">
        <v>0</v>
      </c>
      <c r="AH84" s="70">
        <v>0</v>
      </c>
      <c r="AI84" s="70">
        <v>0</v>
      </c>
      <c r="AJ84" s="70">
        <v>0</v>
      </c>
      <c r="AK84" s="70">
        <v>0</v>
      </c>
      <c r="AL84" s="70">
        <v>0.01</v>
      </c>
      <c r="AM84" s="70">
        <v>0</v>
      </c>
      <c r="AN84" s="70" t="s">
        <v>1818</v>
      </c>
      <c r="AO84" s="70" t="s">
        <v>1804</v>
      </c>
    </row>
    <row r="85" spans="1:41">
      <c r="A85" s="132">
        <f t="shared" si="7"/>
        <v>77</v>
      </c>
      <c r="B85" s="133" t="s">
        <v>1742</v>
      </c>
      <c r="C85" s="133" t="s">
        <v>1905</v>
      </c>
      <c r="D85" s="132" t="s">
        <v>1024</v>
      </c>
      <c r="E85" s="147">
        <v>253250</v>
      </c>
      <c r="F85" s="135">
        <v>45630</v>
      </c>
      <c r="G85" s="45"/>
      <c r="H85" s="136"/>
      <c r="I85" s="136">
        <v>35061</v>
      </c>
      <c r="J85" s="137" t="s">
        <v>1025</v>
      </c>
      <c r="K85" s="137"/>
      <c r="L85" s="148">
        <f t="shared" si="6"/>
        <v>35061</v>
      </c>
      <c r="M85" s="122">
        <f t="shared" si="1"/>
        <v>0</v>
      </c>
      <c r="N85" s="137"/>
      <c r="O85" s="149" t="b">
        <f t="shared" si="2"/>
        <v>1</v>
      </c>
      <c r="P85" s="149">
        <f t="shared" si="3"/>
        <v>0</v>
      </c>
      <c r="Q85" s="149" t="b">
        <f t="shared" si="4"/>
        <v>0</v>
      </c>
      <c r="R85" s="149">
        <f t="shared" si="5"/>
        <v>0</v>
      </c>
      <c r="S85" s="144"/>
      <c r="T85" s="143">
        <v>45630</v>
      </c>
      <c r="U85" s="144">
        <v>253250</v>
      </c>
      <c r="V85" s="144">
        <v>0</v>
      </c>
      <c r="W85" s="144" t="s">
        <v>1071</v>
      </c>
      <c r="X85" s="144" t="s">
        <v>1801</v>
      </c>
      <c r="Y85" s="144" t="s">
        <v>1802</v>
      </c>
      <c r="Z85" s="145">
        <v>385671</v>
      </c>
      <c r="AA85" s="145">
        <v>350610</v>
      </c>
      <c r="AB85" s="144">
        <v>0</v>
      </c>
      <c r="AC85" s="144" t="s">
        <v>1022</v>
      </c>
      <c r="AD85" s="145">
        <v>35061</v>
      </c>
      <c r="AE85" s="144"/>
      <c r="AF85" s="146"/>
    </row>
    <row r="86" spans="1:41">
      <c r="A86" s="132">
        <f t="shared" si="7"/>
        <v>78</v>
      </c>
      <c r="B86" s="133" t="s">
        <v>1728</v>
      </c>
      <c r="C86" s="133" t="s">
        <v>1904</v>
      </c>
      <c r="D86" s="132" t="s">
        <v>1698</v>
      </c>
      <c r="E86" s="147" t="s">
        <v>1144</v>
      </c>
      <c r="F86" s="135">
        <v>45630</v>
      </c>
      <c r="G86" s="45"/>
      <c r="H86" s="136"/>
      <c r="I86" s="136">
        <v>257920</v>
      </c>
      <c r="J86" s="137" t="s">
        <v>1025</v>
      </c>
      <c r="K86" s="137"/>
      <c r="L86" s="148">
        <f t="shared" si="6"/>
        <v>257920</v>
      </c>
      <c r="M86" s="122">
        <f t="shared" si="1"/>
        <v>0</v>
      </c>
      <c r="N86" s="137"/>
      <c r="O86" s="149" t="b">
        <f t="shared" si="2"/>
        <v>1</v>
      </c>
      <c r="P86" s="149">
        <f t="shared" si="3"/>
        <v>0</v>
      </c>
      <c r="Q86" s="149" t="b">
        <f t="shared" si="4"/>
        <v>0</v>
      </c>
      <c r="R86" s="149">
        <f t="shared" si="5"/>
        <v>0</v>
      </c>
      <c r="S86" s="144"/>
      <c r="T86" s="143">
        <v>45630</v>
      </c>
      <c r="U86" s="144" t="s">
        <v>1144</v>
      </c>
      <c r="V86" s="144">
        <v>0</v>
      </c>
      <c r="W86" s="144" t="s">
        <v>1071</v>
      </c>
      <c r="X86" s="144" t="s">
        <v>1801</v>
      </c>
      <c r="Y86" s="144" t="s">
        <v>1802</v>
      </c>
      <c r="Z86" s="145">
        <v>2837120</v>
      </c>
      <c r="AA86" s="145">
        <v>2579200</v>
      </c>
      <c r="AB86" s="144">
        <v>0</v>
      </c>
      <c r="AC86" s="144" t="s">
        <v>1022</v>
      </c>
      <c r="AD86" s="145">
        <v>257920</v>
      </c>
      <c r="AE86" s="144">
        <v>0</v>
      </c>
      <c r="AF86" s="146">
        <v>0</v>
      </c>
      <c r="AG86" s="70">
        <v>0</v>
      </c>
      <c r="AH86" s="70">
        <v>0</v>
      </c>
      <c r="AI86" s="70">
        <v>0</v>
      </c>
      <c r="AJ86" s="70">
        <v>0</v>
      </c>
      <c r="AK86" s="70">
        <v>0</v>
      </c>
      <c r="AL86" s="70">
        <v>0.01</v>
      </c>
      <c r="AM86" s="70">
        <v>0</v>
      </c>
      <c r="AN86" s="70" t="s">
        <v>1807</v>
      </c>
    </row>
    <row r="87" spans="1:41">
      <c r="A87" s="132">
        <f t="shared" si="7"/>
        <v>79</v>
      </c>
      <c r="B87" s="133" t="s">
        <v>1747</v>
      </c>
      <c r="C87" s="133" t="s">
        <v>1912</v>
      </c>
      <c r="D87" s="132" t="s">
        <v>1705</v>
      </c>
      <c r="E87" s="147" t="s">
        <v>1145</v>
      </c>
      <c r="F87" s="135">
        <v>45793</v>
      </c>
      <c r="G87" s="45"/>
      <c r="H87" s="136"/>
      <c r="I87" s="136">
        <v>696348</v>
      </c>
      <c r="J87" s="137" t="s">
        <v>1025</v>
      </c>
      <c r="K87" s="137"/>
      <c r="L87" s="148">
        <f t="shared" si="6"/>
        <v>696348</v>
      </c>
      <c r="M87" s="122">
        <f t="shared" ref="M87:M150" si="8">I87-L87</f>
        <v>0</v>
      </c>
      <c r="N87" s="137"/>
      <c r="O87" s="149" t="b">
        <f t="shared" ref="O87:O150" si="9">U87=E87</f>
        <v>1</v>
      </c>
      <c r="P87" s="149">
        <f t="shared" ref="P87:P150" si="10">MONTH(F87)-MONTH(T87)</f>
        <v>0</v>
      </c>
      <c r="Q87" s="149" t="b">
        <f t="shared" ref="Q87:Q150" si="11">$B$5=X87</f>
        <v>0</v>
      </c>
      <c r="R87" s="149">
        <f t="shared" ref="R87:R150" si="12">I87-AD87</f>
        <v>0</v>
      </c>
      <c r="S87" s="144"/>
      <c r="T87" s="143">
        <v>45793</v>
      </c>
      <c r="U87" s="144" t="s">
        <v>1145</v>
      </c>
      <c r="V87" s="144">
        <v>0</v>
      </c>
      <c r="W87" s="144" t="s">
        <v>1071</v>
      </c>
      <c r="X87" s="144" t="s">
        <v>1801</v>
      </c>
      <c r="Y87" s="144" t="s">
        <v>1802</v>
      </c>
      <c r="Z87" s="145">
        <v>7659828</v>
      </c>
      <c r="AA87" s="145">
        <v>6963480</v>
      </c>
      <c r="AB87" s="144">
        <v>0</v>
      </c>
      <c r="AC87" s="144" t="s">
        <v>1022</v>
      </c>
      <c r="AD87" s="145">
        <v>696348</v>
      </c>
      <c r="AE87" s="144">
        <v>0</v>
      </c>
      <c r="AF87" s="146">
        <v>0</v>
      </c>
      <c r="AG87" s="70">
        <v>0</v>
      </c>
      <c r="AH87" s="70">
        <v>0</v>
      </c>
      <c r="AI87" s="70">
        <v>0</v>
      </c>
      <c r="AJ87" s="70">
        <v>0</v>
      </c>
      <c r="AK87" s="70">
        <v>0</v>
      </c>
      <c r="AL87" s="70">
        <v>0.01</v>
      </c>
      <c r="AM87" s="70">
        <v>0</v>
      </c>
      <c r="AN87" s="70" t="s">
        <v>1819</v>
      </c>
      <c r="AO87" s="70" t="s">
        <v>1804</v>
      </c>
    </row>
    <row r="88" spans="1:41">
      <c r="A88" s="132">
        <f t="shared" si="7"/>
        <v>80</v>
      </c>
      <c r="B88" s="133" t="s">
        <v>1728</v>
      </c>
      <c r="C88" s="133" t="s">
        <v>1904</v>
      </c>
      <c r="D88" s="132" t="s">
        <v>1698</v>
      </c>
      <c r="E88" s="147" t="s">
        <v>1146</v>
      </c>
      <c r="F88" s="135">
        <v>45646</v>
      </c>
      <c r="G88" s="45"/>
      <c r="H88" s="136"/>
      <c r="I88" s="136">
        <v>1880892</v>
      </c>
      <c r="J88" s="137" t="s">
        <v>1025</v>
      </c>
      <c r="K88" s="137"/>
      <c r="L88" s="148">
        <f t="shared" ref="L88:L151" si="13">I88</f>
        <v>1880892</v>
      </c>
      <c r="M88" s="122">
        <f t="shared" si="8"/>
        <v>0</v>
      </c>
      <c r="N88" s="137"/>
      <c r="O88" s="149" t="b">
        <f t="shared" si="9"/>
        <v>1</v>
      </c>
      <c r="P88" s="149">
        <f t="shared" si="10"/>
        <v>0</v>
      </c>
      <c r="Q88" s="149" t="b">
        <f t="shared" si="11"/>
        <v>0</v>
      </c>
      <c r="R88" s="149">
        <f t="shared" si="12"/>
        <v>0</v>
      </c>
      <c r="S88" s="144"/>
      <c r="T88" s="143">
        <v>45646</v>
      </c>
      <c r="U88" s="144" t="s">
        <v>1146</v>
      </c>
      <c r="V88" s="144">
        <v>0</v>
      </c>
      <c r="W88" s="144" t="s">
        <v>1071</v>
      </c>
      <c r="X88" s="144" t="s">
        <v>1801</v>
      </c>
      <c r="Y88" s="144" t="s">
        <v>1802</v>
      </c>
      <c r="Z88" s="145">
        <v>20689812</v>
      </c>
      <c r="AA88" s="145">
        <v>18808920</v>
      </c>
      <c r="AB88" s="144">
        <v>0</v>
      </c>
      <c r="AC88" s="144" t="s">
        <v>1022</v>
      </c>
      <c r="AD88" s="145">
        <v>1880892</v>
      </c>
      <c r="AE88" s="144">
        <v>0</v>
      </c>
      <c r="AF88" s="146">
        <v>0</v>
      </c>
      <c r="AG88" s="70">
        <v>0</v>
      </c>
      <c r="AH88" s="70">
        <v>0</v>
      </c>
      <c r="AI88" s="70">
        <v>0</v>
      </c>
      <c r="AJ88" s="70">
        <v>0</v>
      </c>
      <c r="AK88" s="70">
        <v>0</v>
      </c>
      <c r="AL88" s="70">
        <v>0.01</v>
      </c>
      <c r="AM88" s="70">
        <v>0</v>
      </c>
      <c r="AN88" s="70" t="s">
        <v>1807</v>
      </c>
    </row>
    <row r="89" spans="1:41">
      <c r="A89" s="132">
        <f t="shared" si="7"/>
        <v>81</v>
      </c>
      <c r="B89" s="133" t="s">
        <v>1728</v>
      </c>
      <c r="C89" s="133" t="s">
        <v>1904</v>
      </c>
      <c r="D89" s="132" t="s">
        <v>1698</v>
      </c>
      <c r="E89" s="147" t="s">
        <v>1147</v>
      </c>
      <c r="F89" s="135">
        <v>45630</v>
      </c>
      <c r="G89" s="45"/>
      <c r="H89" s="136"/>
      <c r="I89" s="136">
        <v>1192880</v>
      </c>
      <c r="J89" s="137" t="s">
        <v>1025</v>
      </c>
      <c r="K89" s="137"/>
      <c r="L89" s="148">
        <f t="shared" si="13"/>
        <v>1192880</v>
      </c>
      <c r="M89" s="122">
        <f t="shared" si="8"/>
        <v>0</v>
      </c>
      <c r="N89" s="137"/>
      <c r="O89" s="149" t="b">
        <f t="shared" si="9"/>
        <v>1</v>
      </c>
      <c r="P89" s="149">
        <f t="shared" si="10"/>
        <v>0</v>
      </c>
      <c r="Q89" s="149" t="b">
        <f t="shared" si="11"/>
        <v>0</v>
      </c>
      <c r="R89" s="149">
        <f t="shared" si="12"/>
        <v>0</v>
      </c>
      <c r="S89" s="144"/>
      <c r="T89" s="143">
        <v>45630</v>
      </c>
      <c r="U89" s="144" t="s">
        <v>1147</v>
      </c>
      <c r="V89" s="144">
        <v>0</v>
      </c>
      <c r="W89" s="144" t="s">
        <v>1071</v>
      </c>
      <c r="X89" s="144" t="s">
        <v>1801</v>
      </c>
      <c r="Y89" s="144" t="s">
        <v>1802</v>
      </c>
      <c r="Z89" s="145">
        <v>13121680</v>
      </c>
      <c r="AA89" s="145">
        <v>11928800</v>
      </c>
      <c r="AB89" s="144">
        <v>0</v>
      </c>
      <c r="AC89" s="144" t="s">
        <v>1022</v>
      </c>
      <c r="AD89" s="145">
        <v>1192880</v>
      </c>
      <c r="AE89" s="144">
        <v>0</v>
      </c>
      <c r="AF89" s="146">
        <v>0</v>
      </c>
      <c r="AG89" s="70">
        <v>0</v>
      </c>
      <c r="AH89" s="70">
        <v>0</v>
      </c>
      <c r="AI89" s="70">
        <v>0</v>
      </c>
      <c r="AJ89" s="70">
        <v>0</v>
      </c>
      <c r="AK89" s="70">
        <v>0</v>
      </c>
      <c r="AL89" s="70">
        <v>0.01</v>
      </c>
      <c r="AM89" s="70">
        <v>0</v>
      </c>
      <c r="AN89" s="70" t="s">
        <v>1807</v>
      </c>
    </row>
    <row r="90" spans="1:41">
      <c r="A90" s="132">
        <f t="shared" si="7"/>
        <v>82</v>
      </c>
      <c r="B90" s="133" t="s">
        <v>1742</v>
      </c>
      <c r="C90" s="133" t="s">
        <v>1905</v>
      </c>
      <c r="D90" s="132" t="s">
        <v>1024</v>
      </c>
      <c r="E90" s="147">
        <v>253254</v>
      </c>
      <c r="F90" s="135">
        <v>45630</v>
      </c>
      <c r="G90" s="45"/>
      <c r="H90" s="136"/>
      <c r="I90" s="136">
        <v>140244</v>
      </c>
      <c r="J90" s="137" t="s">
        <v>1025</v>
      </c>
      <c r="K90" s="137"/>
      <c r="L90" s="148">
        <f t="shared" si="13"/>
        <v>140244</v>
      </c>
      <c r="M90" s="122">
        <f t="shared" si="8"/>
        <v>0</v>
      </c>
      <c r="N90" s="137"/>
      <c r="O90" s="149" t="b">
        <f t="shared" si="9"/>
        <v>1</v>
      </c>
      <c r="P90" s="149">
        <f t="shared" si="10"/>
        <v>0</v>
      </c>
      <c r="Q90" s="149" t="b">
        <f t="shared" si="11"/>
        <v>0</v>
      </c>
      <c r="R90" s="149">
        <f t="shared" si="12"/>
        <v>0</v>
      </c>
      <c r="S90" s="144"/>
      <c r="T90" s="143">
        <v>45630</v>
      </c>
      <c r="U90" s="144">
        <v>253254</v>
      </c>
      <c r="V90" s="144">
        <v>0</v>
      </c>
      <c r="W90" s="144" t="s">
        <v>1071</v>
      </c>
      <c r="X90" s="144" t="s">
        <v>1801</v>
      </c>
      <c r="Y90" s="144" t="s">
        <v>1802</v>
      </c>
      <c r="Z90" s="145">
        <v>1542684</v>
      </c>
      <c r="AA90" s="145">
        <v>1402440</v>
      </c>
      <c r="AB90" s="144">
        <v>0</v>
      </c>
      <c r="AC90" s="144" t="s">
        <v>1022</v>
      </c>
      <c r="AD90" s="145">
        <v>140244</v>
      </c>
      <c r="AE90" s="144"/>
      <c r="AF90" s="146"/>
    </row>
    <row r="91" spans="1:41">
      <c r="A91" s="132">
        <f t="shared" si="7"/>
        <v>83</v>
      </c>
      <c r="B91" s="133" t="s">
        <v>1732</v>
      </c>
      <c r="C91" s="133" t="s">
        <v>1906</v>
      </c>
      <c r="D91" s="132" t="s">
        <v>1036</v>
      </c>
      <c r="E91" s="147" t="s">
        <v>1148</v>
      </c>
      <c r="F91" s="135">
        <v>45627</v>
      </c>
      <c r="G91" s="45"/>
      <c r="H91" s="136"/>
      <c r="I91" s="136">
        <v>861992</v>
      </c>
      <c r="J91" s="137" t="s">
        <v>1025</v>
      </c>
      <c r="K91" s="137"/>
      <c r="L91" s="148">
        <f t="shared" si="13"/>
        <v>861992</v>
      </c>
      <c r="M91" s="122">
        <f t="shared" si="8"/>
        <v>0</v>
      </c>
      <c r="N91" s="137"/>
      <c r="O91" s="149" t="b">
        <f t="shared" si="9"/>
        <v>1</v>
      </c>
      <c r="P91" s="149">
        <f t="shared" si="10"/>
        <v>0</v>
      </c>
      <c r="Q91" s="149" t="b">
        <f t="shared" si="11"/>
        <v>0</v>
      </c>
      <c r="R91" s="149">
        <f t="shared" si="12"/>
        <v>0</v>
      </c>
      <c r="S91" s="144"/>
      <c r="T91" s="143">
        <v>45627</v>
      </c>
      <c r="U91" s="144" t="s">
        <v>1148</v>
      </c>
      <c r="V91" s="144">
        <v>0</v>
      </c>
      <c r="W91" s="144" t="s">
        <v>1071</v>
      </c>
      <c r="X91" s="144" t="s">
        <v>1801</v>
      </c>
      <c r="Y91" s="144" t="s">
        <v>1802</v>
      </c>
      <c r="Z91" s="145">
        <v>9481912</v>
      </c>
      <c r="AA91" s="145">
        <v>8619920</v>
      </c>
      <c r="AB91" s="144">
        <v>0</v>
      </c>
      <c r="AC91" s="144" t="s">
        <v>1022</v>
      </c>
      <c r="AD91" s="145">
        <v>861992</v>
      </c>
      <c r="AE91" s="144">
        <v>0</v>
      </c>
      <c r="AF91" s="146">
        <v>0</v>
      </c>
      <c r="AG91" s="70">
        <v>0</v>
      </c>
      <c r="AH91" s="70">
        <v>0</v>
      </c>
      <c r="AI91" s="70">
        <v>0</v>
      </c>
      <c r="AJ91" s="70">
        <v>0</v>
      </c>
      <c r="AK91" s="70">
        <v>0</v>
      </c>
      <c r="AL91" s="70">
        <v>0.01</v>
      </c>
      <c r="AM91" s="70">
        <v>0</v>
      </c>
      <c r="AN91" s="70" t="s">
        <v>1820</v>
      </c>
    </row>
    <row r="92" spans="1:41">
      <c r="A92" s="132">
        <f t="shared" si="7"/>
        <v>84</v>
      </c>
      <c r="B92" s="133" t="s">
        <v>1728</v>
      </c>
      <c r="C92" s="133" t="s">
        <v>1904</v>
      </c>
      <c r="D92" s="132" t="s">
        <v>1698</v>
      </c>
      <c r="E92" s="147" t="s">
        <v>1149</v>
      </c>
      <c r="F92" s="135">
        <v>45630</v>
      </c>
      <c r="G92" s="45"/>
      <c r="H92" s="136"/>
      <c r="I92" s="136">
        <v>959140</v>
      </c>
      <c r="J92" s="137" t="s">
        <v>1025</v>
      </c>
      <c r="K92" s="137"/>
      <c r="L92" s="148">
        <f t="shared" si="13"/>
        <v>959140</v>
      </c>
      <c r="M92" s="122">
        <f t="shared" si="8"/>
        <v>0</v>
      </c>
      <c r="N92" s="137"/>
      <c r="O92" s="149" t="b">
        <f t="shared" si="9"/>
        <v>1</v>
      </c>
      <c r="P92" s="149">
        <f t="shared" si="10"/>
        <v>0</v>
      </c>
      <c r="Q92" s="149" t="b">
        <f t="shared" si="11"/>
        <v>0</v>
      </c>
      <c r="R92" s="149">
        <f t="shared" si="12"/>
        <v>0</v>
      </c>
      <c r="S92" s="144"/>
      <c r="T92" s="143">
        <v>45630</v>
      </c>
      <c r="U92" s="144" t="s">
        <v>1149</v>
      </c>
      <c r="V92" s="144">
        <v>0</v>
      </c>
      <c r="W92" s="144" t="s">
        <v>1071</v>
      </c>
      <c r="X92" s="144" t="s">
        <v>1801</v>
      </c>
      <c r="Y92" s="144" t="s">
        <v>1802</v>
      </c>
      <c r="Z92" s="145">
        <v>10550540</v>
      </c>
      <c r="AA92" s="145">
        <v>9591400</v>
      </c>
      <c r="AB92" s="144">
        <v>0</v>
      </c>
      <c r="AC92" s="144" t="s">
        <v>1022</v>
      </c>
      <c r="AD92" s="145">
        <v>959140</v>
      </c>
      <c r="AE92" s="144">
        <v>0</v>
      </c>
      <c r="AF92" s="146">
        <v>0</v>
      </c>
      <c r="AG92" s="70">
        <v>0</v>
      </c>
      <c r="AH92" s="70">
        <v>0</v>
      </c>
      <c r="AI92" s="70">
        <v>0</v>
      </c>
      <c r="AJ92" s="70">
        <v>0</v>
      </c>
      <c r="AK92" s="70">
        <v>0</v>
      </c>
      <c r="AL92" s="70">
        <v>0.01</v>
      </c>
      <c r="AM92" s="70">
        <v>0</v>
      </c>
      <c r="AN92" s="70" t="s">
        <v>1807</v>
      </c>
    </row>
    <row r="93" spans="1:41">
      <c r="A93" s="132">
        <f t="shared" si="7"/>
        <v>85</v>
      </c>
      <c r="B93" s="133" t="s">
        <v>1748</v>
      </c>
      <c r="C93" s="133" t="s">
        <v>1905</v>
      </c>
      <c r="D93" s="132" t="s">
        <v>1024</v>
      </c>
      <c r="E93" s="147">
        <v>253839</v>
      </c>
      <c r="F93" s="135">
        <v>45631</v>
      </c>
      <c r="G93" s="45"/>
      <c r="H93" s="136"/>
      <c r="I93" s="136">
        <v>29009</v>
      </c>
      <c r="J93" s="137" t="s">
        <v>1025</v>
      </c>
      <c r="K93" s="137"/>
      <c r="L93" s="148">
        <f t="shared" si="13"/>
        <v>29009</v>
      </c>
      <c r="M93" s="122">
        <f t="shared" si="8"/>
        <v>0</v>
      </c>
      <c r="N93" s="137"/>
      <c r="O93" s="149" t="b">
        <f t="shared" si="9"/>
        <v>1</v>
      </c>
      <c r="P93" s="149">
        <f t="shared" si="10"/>
        <v>0</v>
      </c>
      <c r="Q93" s="149" t="b">
        <f t="shared" si="11"/>
        <v>0</v>
      </c>
      <c r="R93" s="149">
        <f t="shared" si="12"/>
        <v>0</v>
      </c>
      <c r="S93" s="144"/>
      <c r="T93" s="143">
        <v>45631</v>
      </c>
      <c r="U93" s="144">
        <v>253839</v>
      </c>
      <c r="V93" s="144">
        <v>0</v>
      </c>
      <c r="W93" s="144" t="s">
        <v>1071</v>
      </c>
      <c r="X93" s="144" t="s">
        <v>1801</v>
      </c>
      <c r="Y93" s="144" t="s">
        <v>1802</v>
      </c>
      <c r="Z93" s="145">
        <v>319097</v>
      </c>
      <c r="AA93" s="145">
        <v>290088</v>
      </c>
      <c r="AB93" s="144">
        <v>0</v>
      </c>
      <c r="AC93" s="144" t="s">
        <v>1022</v>
      </c>
      <c r="AD93" s="145">
        <v>29009</v>
      </c>
      <c r="AE93" s="144"/>
      <c r="AF93" s="146"/>
    </row>
    <row r="94" spans="1:41">
      <c r="A94" s="132">
        <f t="shared" si="7"/>
        <v>86</v>
      </c>
      <c r="B94" s="133" t="s">
        <v>1748</v>
      </c>
      <c r="C94" s="133" t="s">
        <v>1905</v>
      </c>
      <c r="D94" s="132" t="s">
        <v>1024</v>
      </c>
      <c r="E94" s="147">
        <v>253838</v>
      </c>
      <c r="F94" s="135">
        <v>45631</v>
      </c>
      <c r="G94" s="45"/>
      <c r="H94" s="136"/>
      <c r="I94" s="136">
        <v>14504</v>
      </c>
      <c r="J94" s="137" t="s">
        <v>1025</v>
      </c>
      <c r="K94" s="137"/>
      <c r="L94" s="148">
        <f t="shared" si="13"/>
        <v>14504</v>
      </c>
      <c r="M94" s="122">
        <f t="shared" si="8"/>
        <v>0</v>
      </c>
      <c r="N94" s="137"/>
      <c r="O94" s="149" t="b">
        <f t="shared" si="9"/>
        <v>1</v>
      </c>
      <c r="P94" s="149">
        <f t="shared" si="10"/>
        <v>0</v>
      </c>
      <c r="Q94" s="149" t="b">
        <f t="shared" si="11"/>
        <v>0</v>
      </c>
      <c r="R94" s="149">
        <f t="shared" si="12"/>
        <v>0</v>
      </c>
      <c r="S94" s="144"/>
      <c r="T94" s="143">
        <v>45631</v>
      </c>
      <c r="U94" s="144">
        <v>253838</v>
      </c>
      <c r="V94" s="144">
        <v>0</v>
      </c>
      <c r="W94" s="144" t="s">
        <v>1071</v>
      </c>
      <c r="X94" s="144" t="s">
        <v>1801</v>
      </c>
      <c r="Y94" s="144" t="s">
        <v>1802</v>
      </c>
      <c r="Z94" s="145">
        <v>159548</v>
      </c>
      <c r="AA94" s="145">
        <v>145044</v>
      </c>
      <c r="AB94" s="144">
        <v>0</v>
      </c>
      <c r="AC94" s="144" t="s">
        <v>1022</v>
      </c>
      <c r="AD94" s="145">
        <v>14504</v>
      </c>
      <c r="AE94" s="144"/>
      <c r="AF94" s="146"/>
    </row>
    <row r="95" spans="1:41">
      <c r="A95" s="132">
        <f t="shared" si="7"/>
        <v>87</v>
      </c>
      <c r="B95" s="133" t="s">
        <v>1748</v>
      </c>
      <c r="C95" s="133" t="s">
        <v>1905</v>
      </c>
      <c r="D95" s="132" t="s">
        <v>1024</v>
      </c>
      <c r="E95" s="147">
        <v>252858</v>
      </c>
      <c r="F95" s="135">
        <v>45630</v>
      </c>
      <c r="G95" s="45"/>
      <c r="H95" s="136"/>
      <c r="I95" s="136">
        <v>4836</v>
      </c>
      <c r="J95" s="137" t="s">
        <v>1025</v>
      </c>
      <c r="K95" s="137"/>
      <c r="L95" s="148">
        <f t="shared" si="13"/>
        <v>4836</v>
      </c>
      <c r="M95" s="122">
        <f t="shared" si="8"/>
        <v>0</v>
      </c>
      <c r="N95" s="137"/>
      <c r="O95" s="149" t="b">
        <f t="shared" si="9"/>
        <v>1</v>
      </c>
      <c r="P95" s="149">
        <f t="shared" si="10"/>
        <v>0</v>
      </c>
      <c r="Q95" s="149" t="b">
        <f t="shared" si="11"/>
        <v>0</v>
      </c>
      <c r="R95" s="149">
        <f t="shared" si="12"/>
        <v>0</v>
      </c>
      <c r="S95" s="144"/>
      <c r="T95" s="143">
        <v>45630</v>
      </c>
      <c r="U95" s="144">
        <v>252858</v>
      </c>
      <c r="V95" s="144">
        <v>0</v>
      </c>
      <c r="W95" s="144" t="s">
        <v>1071</v>
      </c>
      <c r="X95" s="144" t="s">
        <v>1801</v>
      </c>
      <c r="Y95" s="144" t="s">
        <v>1802</v>
      </c>
      <c r="Z95" s="145">
        <v>53196</v>
      </c>
      <c r="AA95" s="145">
        <v>48360</v>
      </c>
      <c r="AB95" s="144">
        <v>0</v>
      </c>
      <c r="AC95" s="144" t="s">
        <v>1022</v>
      </c>
      <c r="AD95" s="145">
        <v>4836</v>
      </c>
      <c r="AE95" s="144"/>
      <c r="AF95" s="146"/>
    </row>
    <row r="96" spans="1:41">
      <c r="A96" s="132">
        <f t="shared" si="7"/>
        <v>88</v>
      </c>
      <c r="B96" s="133" t="s">
        <v>1742</v>
      </c>
      <c r="C96" s="133" t="s">
        <v>1905</v>
      </c>
      <c r="D96" s="132" t="s">
        <v>1024</v>
      </c>
      <c r="E96" s="147">
        <v>252495</v>
      </c>
      <c r="F96" s="135">
        <v>45629</v>
      </c>
      <c r="G96" s="45"/>
      <c r="H96" s="136"/>
      <c r="I96" s="136">
        <v>520128</v>
      </c>
      <c r="J96" s="137" t="s">
        <v>1025</v>
      </c>
      <c r="K96" s="137"/>
      <c r="L96" s="148">
        <f t="shared" si="13"/>
        <v>520128</v>
      </c>
      <c r="M96" s="122">
        <f t="shared" si="8"/>
        <v>0</v>
      </c>
      <c r="N96" s="137"/>
      <c r="O96" s="149" t="b">
        <f t="shared" si="9"/>
        <v>1</v>
      </c>
      <c r="P96" s="149">
        <f t="shared" si="10"/>
        <v>0</v>
      </c>
      <c r="Q96" s="149" t="b">
        <f t="shared" si="11"/>
        <v>0</v>
      </c>
      <c r="R96" s="149">
        <f t="shared" si="12"/>
        <v>0</v>
      </c>
      <c r="S96" s="144"/>
      <c r="T96" s="143">
        <v>45629</v>
      </c>
      <c r="U96" s="144">
        <v>252495</v>
      </c>
      <c r="V96" s="144">
        <v>0</v>
      </c>
      <c r="W96" s="144" t="s">
        <v>1071</v>
      </c>
      <c r="X96" s="144" t="s">
        <v>1801</v>
      </c>
      <c r="Y96" s="144" t="s">
        <v>1802</v>
      </c>
      <c r="Z96" s="145">
        <v>5721408</v>
      </c>
      <c r="AA96" s="145">
        <v>5201280</v>
      </c>
      <c r="AB96" s="144">
        <v>0</v>
      </c>
      <c r="AC96" s="144" t="s">
        <v>1022</v>
      </c>
      <c r="AD96" s="145">
        <v>520128</v>
      </c>
      <c r="AE96" s="144"/>
      <c r="AF96" s="146"/>
    </row>
    <row r="97" spans="1:41">
      <c r="A97" s="132">
        <f t="shared" si="7"/>
        <v>89</v>
      </c>
      <c r="B97" s="133" t="s">
        <v>1728</v>
      </c>
      <c r="C97" s="133" t="s">
        <v>1904</v>
      </c>
      <c r="D97" s="132" t="s">
        <v>1698</v>
      </c>
      <c r="E97" s="147" t="s">
        <v>1150</v>
      </c>
      <c r="F97" s="135">
        <v>45629</v>
      </c>
      <c r="G97" s="45"/>
      <c r="H97" s="136"/>
      <c r="I97" s="136">
        <v>2390976</v>
      </c>
      <c r="J97" s="137" t="s">
        <v>1025</v>
      </c>
      <c r="K97" s="137"/>
      <c r="L97" s="148">
        <f t="shared" si="13"/>
        <v>2390976</v>
      </c>
      <c r="M97" s="122">
        <f t="shared" si="8"/>
        <v>0</v>
      </c>
      <c r="N97" s="137"/>
      <c r="O97" s="149" t="b">
        <f t="shared" si="9"/>
        <v>1</v>
      </c>
      <c r="P97" s="149">
        <f t="shared" si="10"/>
        <v>0</v>
      </c>
      <c r="Q97" s="149" t="b">
        <f t="shared" si="11"/>
        <v>0</v>
      </c>
      <c r="R97" s="149">
        <f t="shared" si="12"/>
        <v>0</v>
      </c>
      <c r="S97" s="144"/>
      <c r="T97" s="143">
        <v>45629</v>
      </c>
      <c r="U97" s="144" t="s">
        <v>1150</v>
      </c>
      <c r="V97" s="144">
        <v>0</v>
      </c>
      <c r="W97" s="144" t="s">
        <v>1071</v>
      </c>
      <c r="X97" s="144" t="s">
        <v>1801</v>
      </c>
      <c r="Y97" s="144" t="s">
        <v>1802</v>
      </c>
      <c r="Z97" s="145">
        <v>26300736</v>
      </c>
      <c r="AA97" s="145">
        <v>23909760</v>
      </c>
      <c r="AB97" s="144">
        <v>0</v>
      </c>
      <c r="AC97" s="144" t="s">
        <v>1022</v>
      </c>
      <c r="AD97" s="145">
        <v>2390976</v>
      </c>
      <c r="AE97" s="144">
        <v>0</v>
      </c>
      <c r="AF97" s="146">
        <v>0</v>
      </c>
      <c r="AG97" s="70">
        <v>0</v>
      </c>
      <c r="AH97" s="70">
        <v>0</v>
      </c>
      <c r="AI97" s="70">
        <v>0</v>
      </c>
      <c r="AJ97" s="70">
        <v>0</v>
      </c>
      <c r="AK97" s="70">
        <v>0</v>
      </c>
      <c r="AL97" s="70">
        <v>0.01</v>
      </c>
      <c r="AM97" s="70">
        <v>0</v>
      </c>
      <c r="AN97" s="70" t="s">
        <v>1807</v>
      </c>
    </row>
    <row r="98" spans="1:41">
      <c r="A98" s="132">
        <f t="shared" si="7"/>
        <v>90</v>
      </c>
      <c r="B98" s="133" t="s">
        <v>1749</v>
      </c>
      <c r="C98" s="133" t="s">
        <v>1913</v>
      </c>
      <c r="D98" s="132" t="s">
        <v>1706</v>
      </c>
      <c r="E98" s="147">
        <v>2500044</v>
      </c>
      <c r="F98" s="135">
        <v>45747</v>
      </c>
      <c r="G98" s="45"/>
      <c r="H98" s="136"/>
      <c r="I98" s="136">
        <v>1444800</v>
      </c>
      <c r="J98" s="137" t="s">
        <v>1025</v>
      </c>
      <c r="K98" s="137"/>
      <c r="L98" s="148">
        <f t="shared" si="13"/>
        <v>1444800</v>
      </c>
      <c r="M98" s="122">
        <f t="shared" si="8"/>
        <v>0</v>
      </c>
      <c r="N98" s="137"/>
      <c r="O98" s="149" t="b">
        <f t="shared" si="9"/>
        <v>1</v>
      </c>
      <c r="P98" s="149">
        <f t="shared" si="10"/>
        <v>0</v>
      </c>
      <c r="Q98" s="149" t="b">
        <f t="shared" si="11"/>
        <v>0</v>
      </c>
      <c r="R98" s="149">
        <f t="shared" si="12"/>
        <v>0</v>
      </c>
      <c r="S98" s="144"/>
      <c r="T98" s="143">
        <v>45747</v>
      </c>
      <c r="U98" s="144">
        <v>2500044</v>
      </c>
      <c r="V98" s="144">
        <v>0</v>
      </c>
      <c r="W98" s="144" t="s">
        <v>1071</v>
      </c>
      <c r="X98" s="144" t="s">
        <v>1801</v>
      </c>
      <c r="Y98" s="144" t="s">
        <v>1802</v>
      </c>
      <c r="Z98" s="145">
        <v>15892800</v>
      </c>
      <c r="AA98" s="145">
        <v>14448000</v>
      </c>
      <c r="AB98" s="144">
        <v>0</v>
      </c>
      <c r="AC98" s="144" t="s">
        <v>1022</v>
      </c>
      <c r="AD98" s="145">
        <v>1444800</v>
      </c>
      <c r="AE98" s="144">
        <v>0</v>
      </c>
      <c r="AF98" s="146">
        <v>0</v>
      </c>
      <c r="AG98" s="70">
        <v>0</v>
      </c>
      <c r="AH98" s="70">
        <v>0</v>
      </c>
      <c r="AI98" s="70">
        <v>0</v>
      </c>
      <c r="AJ98" s="70">
        <v>0</v>
      </c>
      <c r="AK98" s="70">
        <v>0</v>
      </c>
      <c r="AL98" s="70">
        <v>0.01</v>
      </c>
      <c r="AM98" s="70">
        <v>0</v>
      </c>
      <c r="AN98" s="70" t="s">
        <v>1821</v>
      </c>
      <c r="AO98" s="70" t="s">
        <v>1804</v>
      </c>
    </row>
    <row r="99" spans="1:41">
      <c r="A99" s="132">
        <f t="shared" si="7"/>
        <v>91</v>
      </c>
      <c r="B99" s="133" t="s">
        <v>1749</v>
      </c>
      <c r="C99" s="133" t="s">
        <v>1913</v>
      </c>
      <c r="D99" s="132" t="s">
        <v>1706</v>
      </c>
      <c r="E99" s="147">
        <v>2500067</v>
      </c>
      <c r="F99" s="135">
        <v>45800</v>
      </c>
      <c r="G99" s="45"/>
      <c r="H99" s="136"/>
      <c r="I99" s="136">
        <v>235376</v>
      </c>
      <c r="J99" s="137" t="s">
        <v>1025</v>
      </c>
      <c r="K99" s="137"/>
      <c r="L99" s="148">
        <f t="shared" si="13"/>
        <v>235376</v>
      </c>
      <c r="M99" s="122">
        <f t="shared" si="8"/>
        <v>0</v>
      </c>
      <c r="N99" s="137"/>
      <c r="O99" s="149" t="b">
        <f t="shared" si="9"/>
        <v>1</v>
      </c>
      <c r="P99" s="149">
        <f t="shared" si="10"/>
        <v>0</v>
      </c>
      <c r="Q99" s="149" t="b">
        <f t="shared" si="11"/>
        <v>0</v>
      </c>
      <c r="R99" s="149">
        <f t="shared" si="12"/>
        <v>0</v>
      </c>
      <c r="S99" s="144"/>
      <c r="T99" s="143">
        <v>45800</v>
      </c>
      <c r="U99" s="144">
        <v>2500067</v>
      </c>
      <c r="V99" s="144">
        <v>0</v>
      </c>
      <c r="W99" s="144" t="s">
        <v>1071</v>
      </c>
      <c r="X99" s="144" t="s">
        <v>1801</v>
      </c>
      <c r="Y99" s="144" t="s">
        <v>1802</v>
      </c>
      <c r="Z99" s="145">
        <v>2589140</v>
      </c>
      <c r="AA99" s="145">
        <v>2353764</v>
      </c>
      <c r="AB99" s="144">
        <v>0</v>
      </c>
      <c r="AC99" s="144" t="s">
        <v>1022</v>
      </c>
      <c r="AD99" s="145">
        <v>235376</v>
      </c>
      <c r="AE99" s="144">
        <v>0</v>
      </c>
      <c r="AF99" s="146">
        <v>0</v>
      </c>
      <c r="AG99" s="70">
        <v>0</v>
      </c>
      <c r="AH99" s="70">
        <v>0</v>
      </c>
      <c r="AI99" s="70">
        <v>0</v>
      </c>
      <c r="AJ99" s="70">
        <v>0</v>
      </c>
      <c r="AK99" s="70">
        <v>0</v>
      </c>
      <c r="AL99" s="70">
        <v>0.01</v>
      </c>
      <c r="AM99" s="70">
        <v>0</v>
      </c>
      <c r="AN99" s="70" t="s">
        <v>1821</v>
      </c>
      <c r="AO99" s="70" t="s">
        <v>1804</v>
      </c>
    </row>
    <row r="100" spans="1:41">
      <c r="A100" s="132">
        <f t="shared" si="7"/>
        <v>92</v>
      </c>
      <c r="B100" s="133" t="s">
        <v>1742</v>
      </c>
      <c r="C100" s="133" t="s">
        <v>1905</v>
      </c>
      <c r="D100" s="132" t="s">
        <v>1024</v>
      </c>
      <c r="E100" s="147">
        <v>253242</v>
      </c>
      <c r="F100" s="135">
        <v>45630</v>
      </c>
      <c r="G100" s="45"/>
      <c r="H100" s="136"/>
      <c r="I100" s="136">
        <v>175305</v>
      </c>
      <c r="J100" s="137" t="s">
        <v>1025</v>
      </c>
      <c r="K100" s="137"/>
      <c r="L100" s="148">
        <f t="shared" si="13"/>
        <v>175305</v>
      </c>
      <c r="M100" s="122">
        <f t="shared" si="8"/>
        <v>0</v>
      </c>
      <c r="N100" s="137"/>
      <c r="O100" s="149" t="b">
        <f t="shared" si="9"/>
        <v>1</v>
      </c>
      <c r="P100" s="149">
        <f t="shared" si="10"/>
        <v>0</v>
      </c>
      <c r="Q100" s="149" t="b">
        <f t="shared" si="11"/>
        <v>0</v>
      </c>
      <c r="R100" s="149">
        <f t="shared" si="12"/>
        <v>0</v>
      </c>
      <c r="S100" s="144"/>
      <c r="T100" s="143">
        <v>45630</v>
      </c>
      <c r="U100" s="144">
        <v>253242</v>
      </c>
      <c r="V100" s="144">
        <v>0</v>
      </c>
      <c r="W100" s="144" t="s">
        <v>1071</v>
      </c>
      <c r="X100" s="144" t="s">
        <v>1801</v>
      </c>
      <c r="Y100" s="144" t="s">
        <v>1802</v>
      </c>
      <c r="Z100" s="145">
        <v>1928355</v>
      </c>
      <c r="AA100" s="145">
        <v>1753050</v>
      </c>
      <c r="AB100" s="144">
        <v>0</v>
      </c>
      <c r="AC100" s="144" t="s">
        <v>1022</v>
      </c>
      <c r="AD100" s="145">
        <v>175305</v>
      </c>
      <c r="AE100" s="144"/>
      <c r="AF100" s="146"/>
    </row>
    <row r="101" spans="1:41">
      <c r="A101" s="132">
        <f t="shared" si="7"/>
        <v>93</v>
      </c>
      <c r="B101" s="133" t="s">
        <v>1742</v>
      </c>
      <c r="C101" s="133" t="s">
        <v>1905</v>
      </c>
      <c r="D101" s="132" t="s">
        <v>1024</v>
      </c>
      <c r="E101" s="147">
        <v>264225</v>
      </c>
      <c r="F101" s="135">
        <v>45644</v>
      </c>
      <c r="G101" s="45"/>
      <c r="H101" s="136"/>
      <c r="I101" s="136">
        <v>206277</v>
      </c>
      <c r="J101" s="137" t="s">
        <v>1025</v>
      </c>
      <c r="K101" s="137"/>
      <c r="L101" s="148">
        <f t="shared" si="13"/>
        <v>206277</v>
      </c>
      <c r="M101" s="122">
        <f t="shared" si="8"/>
        <v>0</v>
      </c>
      <c r="N101" s="137"/>
      <c r="O101" s="149" t="b">
        <f t="shared" si="9"/>
        <v>1</v>
      </c>
      <c r="P101" s="149">
        <f t="shared" si="10"/>
        <v>0</v>
      </c>
      <c r="Q101" s="149" t="b">
        <f t="shared" si="11"/>
        <v>0</v>
      </c>
      <c r="R101" s="149">
        <f t="shared" si="12"/>
        <v>0</v>
      </c>
      <c r="S101" s="144"/>
      <c r="T101" s="143">
        <v>45644</v>
      </c>
      <c r="U101" s="144">
        <v>264225</v>
      </c>
      <c r="V101" s="144">
        <v>0</v>
      </c>
      <c r="W101" s="144" t="s">
        <v>1071</v>
      </c>
      <c r="X101" s="144" t="s">
        <v>1801</v>
      </c>
      <c r="Y101" s="144" t="s">
        <v>1802</v>
      </c>
      <c r="Z101" s="145">
        <v>2269050</v>
      </c>
      <c r="AA101" s="145">
        <v>2062773</v>
      </c>
      <c r="AB101" s="144">
        <v>0</v>
      </c>
      <c r="AC101" s="144" t="s">
        <v>1022</v>
      </c>
      <c r="AD101" s="145">
        <v>206277</v>
      </c>
      <c r="AE101" s="144"/>
      <c r="AF101" s="146"/>
    </row>
    <row r="102" spans="1:41">
      <c r="A102" s="132">
        <f t="shared" si="7"/>
        <v>94</v>
      </c>
      <c r="B102" s="133" t="s">
        <v>1732</v>
      </c>
      <c r="C102" s="133" t="s">
        <v>1906</v>
      </c>
      <c r="D102" s="132" t="s">
        <v>1036</v>
      </c>
      <c r="E102" s="147" t="s">
        <v>1151</v>
      </c>
      <c r="F102" s="135">
        <v>45638</v>
      </c>
      <c r="G102" s="45"/>
      <c r="H102" s="136"/>
      <c r="I102" s="136">
        <v>1108416</v>
      </c>
      <c r="J102" s="137" t="s">
        <v>1025</v>
      </c>
      <c r="K102" s="137"/>
      <c r="L102" s="148">
        <f t="shared" si="13"/>
        <v>1108416</v>
      </c>
      <c r="M102" s="122">
        <f t="shared" si="8"/>
        <v>0</v>
      </c>
      <c r="N102" s="137"/>
      <c r="O102" s="149" t="b">
        <f t="shared" si="9"/>
        <v>1</v>
      </c>
      <c r="P102" s="149">
        <f t="shared" si="10"/>
        <v>0</v>
      </c>
      <c r="Q102" s="149" t="b">
        <f t="shared" si="11"/>
        <v>0</v>
      </c>
      <c r="R102" s="149">
        <f t="shared" si="12"/>
        <v>0</v>
      </c>
      <c r="S102" s="144"/>
      <c r="T102" s="143">
        <v>45638</v>
      </c>
      <c r="U102" s="144" t="s">
        <v>1151</v>
      </c>
      <c r="V102" s="144">
        <v>0</v>
      </c>
      <c r="W102" s="144" t="s">
        <v>1071</v>
      </c>
      <c r="X102" s="144" t="s">
        <v>1801</v>
      </c>
      <c r="Y102" s="144" t="s">
        <v>1802</v>
      </c>
      <c r="Z102" s="145">
        <v>12192576</v>
      </c>
      <c r="AA102" s="145">
        <v>11084160</v>
      </c>
      <c r="AB102" s="144">
        <v>0</v>
      </c>
      <c r="AC102" s="144" t="s">
        <v>1022</v>
      </c>
      <c r="AD102" s="145">
        <v>1108416</v>
      </c>
      <c r="AE102" s="144">
        <v>0</v>
      </c>
      <c r="AF102" s="146">
        <v>0</v>
      </c>
      <c r="AG102" s="70">
        <v>0</v>
      </c>
      <c r="AH102" s="70">
        <v>0</v>
      </c>
      <c r="AI102" s="70">
        <v>0</v>
      </c>
      <c r="AJ102" s="70">
        <v>0</v>
      </c>
      <c r="AK102" s="70">
        <v>0</v>
      </c>
      <c r="AL102" s="70">
        <v>0.01</v>
      </c>
      <c r="AM102" s="70">
        <v>0</v>
      </c>
      <c r="AN102" s="70" t="s">
        <v>1073</v>
      </c>
    </row>
    <row r="103" spans="1:41">
      <c r="A103" s="132">
        <f t="shared" si="7"/>
        <v>95</v>
      </c>
      <c r="B103" s="133" t="s">
        <v>1728</v>
      </c>
      <c r="C103" s="133" t="s">
        <v>1904</v>
      </c>
      <c r="D103" s="132" t="s">
        <v>1698</v>
      </c>
      <c r="E103" s="147" t="s">
        <v>1152</v>
      </c>
      <c r="F103" s="135">
        <v>45644</v>
      </c>
      <c r="G103" s="45"/>
      <c r="H103" s="136"/>
      <c r="I103" s="136">
        <v>2231655</v>
      </c>
      <c r="J103" s="137" t="s">
        <v>1025</v>
      </c>
      <c r="K103" s="137"/>
      <c r="L103" s="148">
        <f t="shared" si="13"/>
        <v>2231655</v>
      </c>
      <c r="M103" s="122">
        <f t="shared" si="8"/>
        <v>0</v>
      </c>
      <c r="N103" s="137"/>
      <c r="O103" s="149" t="b">
        <f t="shared" si="9"/>
        <v>1</v>
      </c>
      <c r="P103" s="149">
        <f t="shared" si="10"/>
        <v>0</v>
      </c>
      <c r="Q103" s="149" t="b">
        <f t="shared" si="11"/>
        <v>0</v>
      </c>
      <c r="R103" s="149">
        <f t="shared" si="12"/>
        <v>0</v>
      </c>
      <c r="S103" s="144"/>
      <c r="T103" s="143">
        <v>45644</v>
      </c>
      <c r="U103" s="144" t="s">
        <v>1152</v>
      </c>
      <c r="V103" s="144">
        <v>0</v>
      </c>
      <c r="W103" s="144" t="s">
        <v>1071</v>
      </c>
      <c r="X103" s="144" t="s">
        <v>1801</v>
      </c>
      <c r="Y103" s="144" t="s">
        <v>1802</v>
      </c>
      <c r="Z103" s="145">
        <v>24548205</v>
      </c>
      <c r="AA103" s="145">
        <v>22316550</v>
      </c>
      <c r="AB103" s="144">
        <v>0</v>
      </c>
      <c r="AC103" s="144" t="s">
        <v>1022</v>
      </c>
      <c r="AD103" s="145">
        <v>2231655</v>
      </c>
      <c r="AE103" s="144">
        <v>0</v>
      </c>
      <c r="AF103" s="146">
        <v>0</v>
      </c>
      <c r="AG103" s="70">
        <v>0</v>
      </c>
      <c r="AH103" s="70">
        <v>0</v>
      </c>
      <c r="AI103" s="70">
        <v>0</v>
      </c>
      <c r="AJ103" s="70">
        <v>0</v>
      </c>
      <c r="AK103" s="70">
        <v>0</v>
      </c>
      <c r="AL103" s="70">
        <v>0.01</v>
      </c>
      <c r="AM103" s="70">
        <v>0</v>
      </c>
      <c r="AN103" s="70" t="s">
        <v>1807</v>
      </c>
    </row>
    <row r="104" spans="1:41">
      <c r="A104" s="132">
        <f t="shared" si="7"/>
        <v>96</v>
      </c>
      <c r="B104" s="133" t="s">
        <v>1742</v>
      </c>
      <c r="C104" s="133" t="s">
        <v>1905</v>
      </c>
      <c r="D104" s="132" t="s">
        <v>1024</v>
      </c>
      <c r="E104" s="147">
        <v>264000</v>
      </c>
      <c r="F104" s="135">
        <v>45643</v>
      </c>
      <c r="G104" s="45"/>
      <c r="H104" s="136"/>
      <c r="I104" s="136">
        <v>337596</v>
      </c>
      <c r="J104" s="137" t="s">
        <v>1025</v>
      </c>
      <c r="K104" s="137"/>
      <c r="L104" s="148">
        <f t="shared" si="13"/>
        <v>337596</v>
      </c>
      <c r="M104" s="122">
        <f t="shared" si="8"/>
        <v>0</v>
      </c>
      <c r="N104" s="137"/>
      <c r="O104" s="149" t="b">
        <f t="shared" si="9"/>
        <v>1</v>
      </c>
      <c r="P104" s="149">
        <f t="shared" si="10"/>
        <v>0</v>
      </c>
      <c r="Q104" s="149" t="b">
        <f t="shared" si="11"/>
        <v>0</v>
      </c>
      <c r="R104" s="149">
        <f t="shared" si="12"/>
        <v>0</v>
      </c>
      <c r="S104" s="144"/>
      <c r="T104" s="143">
        <v>45643</v>
      </c>
      <c r="U104" s="144">
        <v>264000</v>
      </c>
      <c r="V104" s="144">
        <v>0</v>
      </c>
      <c r="W104" s="144" t="s">
        <v>1071</v>
      </c>
      <c r="X104" s="144" t="s">
        <v>1801</v>
      </c>
      <c r="Y104" s="144" t="s">
        <v>1802</v>
      </c>
      <c r="Z104" s="145">
        <v>3713556</v>
      </c>
      <c r="AA104" s="145">
        <v>3375960</v>
      </c>
      <c r="AB104" s="144">
        <v>0</v>
      </c>
      <c r="AC104" s="144" t="s">
        <v>1022</v>
      </c>
      <c r="AD104" s="145">
        <v>337596</v>
      </c>
      <c r="AE104" s="144"/>
      <c r="AF104" s="146"/>
    </row>
    <row r="105" spans="1:41">
      <c r="A105" s="132">
        <f t="shared" si="7"/>
        <v>97</v>
      </c>
      <c r="B105" s="133" t="s">
        <v>1732</v>
      </c>
      <c r="C105" s="133" t="s">
        <v>1906</v>
      </c>
      <c r="D105" s="132" t="s">
        <v>1036</v>
      </c>
      <c r="E105" s="147" t="s">
        <v>1153</v>
      </c>
      <c r="F105" s="135">
        <v>45639</v>
      </c>
      <c r="G105" s="45"/>
      <c r="H105" s="136"/>
      <c r="I105" s="136">
        <v>2026584</v>
      </c>
      <c r="J105" s="137" t="s">
        <v>1025</v>
      </c>
      <c r="K105" s="137"/>
      <c r="L105" s="148">
        <f t="shared" si="13"/>
        <v>2026584</v>
      </c>
      <c r="M105" s="122">
        <f t="shared" si="8"/>
        <v>0</v>
      </c>
      <c r="N105" s="137"/>
      <c r="O105" s="149" t="b">
        <f t="shared" si="9"/>
        <v>1</v>
      </c>
      <c r="P105" s="149">
        <f t="shared" si="10"/>
        <v>0</v>
      </c>
      <c r="Q105" s="149" t="b">
        <f t="shared" si="11"/>
        <v>0</v>
      </c>
      <c r="R105" s="149">
        <f t="shared" si="12"/>
        <v>0</v>
      </c>
      <c r="S105" s="144"/>
      <c r="T105" s="143">
        <v>45639</v>
      </c>
      <c r="U105" s="144" t="s">
        <v>1153</v>
      </c>
      <c r="V105" s="144">
        <v>0</v>
      </c>
      <c r="W105" s="144" t="s">
        <v>1071</v>
      </c>
      <c r="X105" s="144" t="s">
        <v>1801</v>
      </c>
      <c r="Y105" s="144" t="s">
        <v>1802</v>
      </c>
      <c r="Z105" s="145">
        <v>22292424</v>
      </c>
      <c r="AA105" s="145">
        <v>20265840</v>
      </c>
      <c r="AB105" s="144">
        <v>0</v>
      </c>
      <c r="AC105" s="144" t="s">
        <v>1022</v>
      </c>
      <c r="AD105" s="145">
        <v>2026584</v>
      </c>
      <c r="AE105" s="144">
        <v>0</v>
      </c>
      <c r="AF105" s="146">
        <v>0</v>
      </c>
      <c r="AG105" s="70">
        <v>0</v>
      </c>
      <c r="AH105" s="70">
        <v>0</v>
      </c>
      <c r="AI105" s="70">
        <v>0</v>
      </c>
      <c r="AJ105" s="70">
        <v>0</v>
      </c>
      <c r="AK105" s="70">
        <v>0</v>
      </c>
      <c r="AL105" s="70">
        <v>0.01</v>
      </c>
      <c r="AM105" s="70">
        <v>0</v>
      </c>
      <c r="AN105" s="70" t="s">
        <v>1822</v>
      </c>
    </row>
    <row r="106" spans="1:41">
      <c r="A106" s="132">
        <f t="shared" si="7"/>
        <v>98</v>
      </c>
      <c r="B106" s="133" t="s">
        <v>1728</v>
      </c>
      <c r="C106" s="133" t="s">
        <v>1904</v>
      </c>
      <c r="D106" s="132" t="s">
        <v>1698</v>
      </c>
      <c r="E106" s="147" t="s">
        <v>1154</v>
      </c>
      <c r="F106" s="135">
        <v>45643</v>
      </c>
      <c r="G106" s="45"/>
      <c r="H106" s="136"/>
      <c r="I106" s="136">
        <v>2347096</v>
      </c>
      <c r="J106" s="137" t="s">
        <v>1025</v>
      </c>
      <c r="K106" s="137"/>
      <c r="L106" s="148">
        <f t="shared" si="13"/>
        <v>2347096</v>
      </c>
      <c r="M106" s="122">
        <f t="shared" si="8"/>
        <v>0</v>
      </c>
      <c r="N106" s="137"/>
      <c r="O106" s="149" t="b">
        <f t="shared" si="9"/>
        <v>1</v>
      </c>
      <c r="P106" s="149">
        <f t="shared" si="10"/>
        <v>0</v>
      </c>
      <c r="Q106" s="149" t="b">
        <f t="shared" si="11"/>
        <v>0</v>
      </c>
      <c r="R106" s="149">
        <f t="shared" si="12"/>
        <v>0</v>
      </c>
      <c r="S106" s="144"/>
      <c r="T106" s="143">
        <v>45643</v>
      </c>
      <c r="U106" s="144" t="s">
        <v>1154</v>
      </c>
      <c r="V106" s="144">
        <v>0</v>
      </c>
      <c r="W106" s="144" t="s">
        <v>1071</v>
      </c>
      <c r="X106" s="144" t="s">
        <v>1801</v>
      </c>
      <c r="Y106" s="144" t="s">
        <v>1802</v>
      </c>
      <c r="Z106" s="145">
        <v>25818056</v>
      </c>
      <c r="AA106" s="145">
        <v>23470960</v>
      </c>
      <c r="AB106" s="144">
        <v>0</v>
      </c>
      <c r="AC106" s="144" t="s">
        <v>1022</v>
      </c>
      <c r="AD106" s="145">
        <v>2347096</v>
      </c>
      <c r="AE106" s="144">
        <v>0</v>
      </c>
      <c r="AF106" s="146">
        <v>0</v>
      </c>
      <c r="AG106" s="70">
        <v>0</v>
      </c>
      <c r="AH106" s="70">
        <v>0</v>
      </c>
      <c r="AI106" s="70">
        <v>0</v>
      </c>
      <c r="AJ106" s="70">
        <v>0</v>
      </c>
      <c r="AK106" s="70">
        <v>0</v>
      </c>
      <c r="AL106" s="70">
        <v>0.01</v>
      </c>
      <c r="AM106" s="70">
        <v>0</v>
      </c>
      <c r="AN106" s="70" t="s">
        <v>1807</v>
      </c>
    </row>
    <row r="107" spans="1:41">
      <c r="A107" s="132">
        <f t="shared" si="7"/>
        <v>99</v>
      </c>
      <c r="B107" s="133" t="s">
        <v>1742</v>
      </c>
      <c r="C107" s="133" t="s">
        <v>1905</v>
      </c>
      <c r="D107" s="132" t="s">
        <v>1024</v>
      </c>
      <c r="E107" s="147">
        <v>256639</v>
      </c>
      <c r="F107" s="135">
        <v>45635</v>
      </c>
      <c r="G107" s="45"/>
      <c r="H107" s="136"/>
      <c r="I107" s="136">
        <v>175175</v>
      </c>
      <c r="J107" s="137" t="s">
        <v>1025</v>
      </c>
      <c r="K107" s="137"/>
      <c r="L107" s="148">
        <f t="shared" si="13"/>
        <v>175175</v>
      </c>
      <c r="M107" s="122">
        <f t="shared" si="8"/>
        <v>0</v>
      </c>
      <c r="N107" s="137"/>
      <c r="O107" s="149" t="b">
        <f t="shared" si="9"/>
        <v>1</v>
      </c>
      <c r="P107" s="149">
        <f t="shared" si="10"/>
        <v>0</v>
      </c>
      <c r="Q107" s="149" t="b">
        <f t="shared" si="11"/>
        <v>0</v>
      </c>
      <c r="R107" s="149">
        <f t="shared" si="12"/>
        <v>0</v>
      </c>
      <c r="S107" s="144"/>
      <c r="T107" s="143">
        <v>45635</v>
      </c>
      <c r="U107" s="144">
        <v>256639</v>
      </c>
      <c r="V107" s="144">
        <v>0</v>
      </c>
      <c r="W107" s="144" t="s">
        <v>1071</v>
      </c>
      <c r="X107" s="144" t="s">
        <v>1801</v>
      </c>
      <c r="Y107" s="144" t="s">
        <v>1802</v>
      </c>
      <c r="Z107" s="145">
        <v>1926920</v>
      </c>
      <c r="AA107" s="145">
        <v>1751745</v>
      </c>
      <c r="AB107" s="144">
        <v>0</v>
      </c>
      <c r="AC107" s="144" t="s">
        <v>1022</v>
      </c>
      <c r="AD107" s="145">
        <v>175175</v>
      </c>
      <c r="AE107" s="144"/>
      <c r="AF107" s="146"/>
    </row>
    <row r="108" spans="1:41">
      <c r="A108" s="132">
        <f t="shared" si="7"/>
        <v>100</v>
      </c>
      <c r="B108" s="133" t="s">
        <v>1750</v>
      </c>
      <c r="C108" s="133" t="s">
        <v>1914</v>
      </c>
      <c r="D108" s="132" t="s">
        <v>1707</v>
      </c>
      <c r="E108" s="147" t="s">
        <v>1155</v>
      </c>
      <c r="F108" s="135">
        <v>45570</v>
      </c>
      <c r="G108" s="45"/>
      <c r="H108" s="136"/>
      <c r="I108" s="136">
        <v>121770</v>
      </c>
      <c r="J108" s="137" t="s">
        <v>1025</v>
      </c>
      <c r="K108" s="137"/>
      <c r="L108" s="148">
        <f t="shared" si="13"/>
        <v>121770</v>
      </c>
      <c r="M108" s="122">
        <f t="shared" si="8"/>
        <v>0</v>
      </c>
      <c r="N108" s="137"/>
      <c r="O108" s="149" t="b">
        <f t="shared" si="9"/>
        <v>1</v>
      </c>
      <c r="P108" s="149">
        <f t="shared" si="10"/>
        <v>0</v>
      </c>
      <c r="Q108" s="149" t="b">
        <f t="shared" si="11"/>
        <v>0</v>
      </c>
      <c r="R108" s="149">
        <f t="shared" si="12"/>
        <v>0</v>
      </c>
      <c r="S108" s="144"/>
      <c r="T108" s="143">
        <v>45570</v>
      </c>
      <c r="U108" s="144" t="s">
        <v>1155</v>
      </c>
      <c r="V108" s="144">
        <v>0</v>
      </c>
      <c r="W108" s="144" t="s">
        <v>1071</v>
      </c>
      <c r="X108" s="144" t="s">
        <v>1801</v>
      </c>
      <c r="Y108" s="144" t="s">
        <v>1802</v>
      </c>
      <c r="Z108" s="145">
        <v>1339470</v>
      </c>
      <c r="AA108" s="145">
        <v>1217700</v>
      </c>
      <c r="AB108" s="144">
        <v>0</v>
      </c>
      <c r="AC108" s="144" t="s">
        <v>1022</v>
      </c>
      <c r="AD108" s="145">
        <v>121770</v>
      </c>
      <c r="AE108" s="144">
        <v>0</v>
      </c>
      <c r="AF108" s="146">
        <v>0</v>
      </c>
      <c r="AG108" s="70">
        <v>0</v>
      </c>
      <c r="AH108" s="70">
        <v>0</v>
      </c>
      <c r="AI108" s="70">
        <v>0</v>
      </c>
      <c r="AJ108" s="70">
        <v>0</v>
      </c>
      <c r="AK108" s="70">
        <v>0</v>
      </c>
      <c r="AL108" s="70">
        <v>0.01</v>
      </c>
      <c r="AM108" s="70">
        <v>0</v>
      </c>
      <c r="AN108" s="70" t="s">
        <v>1823</v>
      </c>
      <c r="AO108" s="70" t="s">
        <v>1804</v>
      </c>
    </row>
    <row r="109" spans="1:41">
      <c r="A109" s="132">
        <f t="shared" si="7"/>
        <v>101</v>
      </c>
      <c r="B109" s="133" t="s">
        <v>1728</v>
      </c>
      <c r="C109" s="133" t="s">
        <v>1904</v>
      </c>
      <c r="D109" s="132" t="s">
        <v>1698</v>
      </c>
      <c r="E109" s="147" t="s">
        <v>1156</v>
      </c>
      <c r="F109" s="135">
        <v>45635</v>
      </c>
      <c r="G109" s="45"/>
      <c r="H109" s="136"/>
      <c r="I109" s="136">
        <v>1191992</v>
      </c>
      <c r="J109" s="137" t="s">
        <v>1025</v>
      </c>
      <c r="K109" s="137"/>
      <c r="L109" s="148">
        <f t="shared" si="13"/>
        <v>1191992</v>
      </c>
      <c r="M109" s="122">
        <f t="shared" si="8"/>
        <v>0</v>
      </c>
      <c r="N109" s="137"/>
      <c r="O109" s="149" t="b">
        <f t="shared" si="9"/>
        <v>1</v>
      </c>
      <c r="P109" s="149">
        <f t="shared" si="10"/>
        <v>0</v>
      </c>
      <c r="Q109" s="149" t="b">
        <f t="shared" si="11"/>
        <v>0</v>
      </c>
      <c r="R109" s="149">
        <f t="shared" si="12"/>
        <v>0</v>
      </c>
      <c r="S109" s="144" t="s">
        <v>1045</v>
      </c>
      <c r="T109" s="143">
        <v>45635</v>
      </c>
      <c r="U109" s="144" t="s">
        <v>1156</v>
      </c>
      <c r="V109" s="144">
        <v>0</v>
      </c>
      <c r="W109" s="144" t="s">
        <v>1071</v>
      </c>
      <c r="X109" s="144" t="s">
        <v>1801</v>
      </c>
      <c r="Y109" s="144" t="s">
        <v>1802</v>
      </c>
      <c r="Z109" s="145">
        <v>13111912</v>
      </c>
      <c r="AA109" s="145">
        <v>11919920</v>
      </c>
      <c r="AB109" s="144">
        <v>0</v>
      </c>
      <c r="AC109" s="144" t="s">
        <v>1022</v>
      </c>
      <c r="AD109" s="145">
        <v>1191992</v>
      </c>
      <c r="AE109" s="144">
        <v>0</v>
      </c>
      <c r="AF109" s="146">
        <v>0</v>
      </c>
      <c r="AG109" s="70">
        <v>0</v>
      </c>
      <c r="AH109" s="70">
        <v>0</v>
      </c>
      <c r="AI109" s="70">
        <v>0</v>
      </c>
      <c r="AJ109" s="70">
        <v>0</v>
      </c>
      <c r="AK109" s="70">
        <v>0</v>
      </c>
      <c r="AL109" s="70">
        <v>0.01</v>
      </c>
      <c r="AM109" s="70">
        <v>0</v>
      </c>
      <c r="AN109" s="70" t="s">
        <v>1807</v>
      </c>
    </row>
    <row r="110" spans="1:41">
      <c r="A110" s="132">
        <f t="shared" si="7"/>
        <v>102</v>
      </c>
      <c r="B110" s="133" t="s">
        <v>1742</v>
      </c>
      <c r="C110" s="133" t="s">
        <v>1905</v>
      </c>
      <c r="D110" s="132" t="s">
        <v>1024</v>
      </c>
      <c r="E110" s="147">
        <v>256938</v>
      </c>
      <c r="F110" s="135">
        <v>45635</v>
      </c>
      <c r="G110" s="45"/>
      <c r="H110" s="136"/>
      <c r="I110" s="136">
        <v>183631</v>
      </c>
      <c r="J110" s="137" t="s">
        <v>1025</v>
      </c>
      <c r="K110" s="137"/>
      <c r="L110" s="148">
        <f t="shared" si="13"/>
        <v>183631</v>
      </c>
      <c r="M110" s="122">
        <f t="shared" si="8"/>
        <v>0</v>
      </c>
      <c r="N110" s="137"/>
      <c r="O110" s="149" t="b">
        <f t="shared" si="9"/>
        <v>1</v>
      </c>
      <c r="P110" s="149">
        <f t="shared" si="10"/>
        <v>0</v>
      </c>
      <c r="Q110" s="149" t="b">
        <f t="shared" si="11"/>
        <v>0</v>
      </c>
      <c r="R110" s="149">
        <f t="shared" si="12"/>
        <v>0</v>
      </c>
      <c r="S110" s="144"/>
      <c r="T110" s="143">
        <v>45635</v>
      </c>
      <c r="U110" s="144">
        <v>256938</v>
      </c>
      <c r="V110" s="144">
        <v>0</v>
      </c>
      <c r="W110" s="144" t="s">
        <v>1071</v>
      </c>
      <c r="X110" s="144" t="s">
        <v>1801</v>
      </c>
      <c r="Y110" s="144" t="s">
        <v>1802</v>
      </c>
      <c r="Z110" s="145">
        <v>2019943</v>
      </c>
      <c r="AA110" s="145">
        <v>1836312</v>
      </c>
      <c r="AB110" s="144">
        <v>0</v>
      </c>
      <c r="AC110" s="144" t="s">
        <v>1022</v>
      </c>
      <c r="AD110" s="145">
        <v>183631</v>
      </c>
      <c r="AE110" s="144"/>
      <c r="AF110" s="146"/>
    </row>
    <row r="111" spans="1:41">
      <c r="A111" s="132">
        <f t="shared" si="7"/>
        <v>103</v>
      </c>
      <c r="B111" s="133" t="s">
        <v>1732</v>
      </c>
      <c r="C111" s="133" t="s">
        <v>1906</v>
      </c>
      <c r="D111" s="132" t="s">
        <v>1036</v>
      </c>
      <c r="E111" s="147" t="s">
        <v>1157</v>
      </c>
      <c r="F111" s="135">
        <v>45629</v>
      </c>
      <c r="G111" s="45"/>
      <c r="H111" s="136"/>
      <c r="I111" s="136">
        <v>991872</v>
      </c>
      <c r="J111" s="137" t="s">
        <v>1025</v>
      </c>
      <c r="K111" s="137"/>
      <c r="L111" s="148">
        <f t="shared" si="13"/>
        <v>991872</v>
      </c>
      <c r="M111" s="122">
        <f t="shared" si="8"/>
        <v>0</v>
      </c>
      <c r="N111" s="137"/>
      <c r="O111" s="149" t="b">
        <f t="shared" si="9"/>
        <v>1</v>
      </c>
      <c r="P111" s="149">
        <f t="shared" si="10"/>
        <v>0</v>
      </c>
      <c r="Q111" s="149" t="b">
        <f t="shared" si="11"/>
        <v>0</v>
      </c>
      <c r="R111" s="149">
        <f t="shared" si="12"/>
        <v>0</v>
      </c>
      <c r="S111" s="144" t="s">
        <v>1045</v>
      </c>
      <c r="T111" s="143">
        <v>45629</v>
      </c>
      <c r="U111" s="144" t="s">
        <v>1157</v>
      </c>
      <c r="V111" s="144">
        <v>0</v>
      </c>
      <c r="W111" s="144" t="s">
        <v>1071</v>
      </c>
      <c r="X111" s="144" t="s">
        <v>1801</v>
      </c>
      <c r="Y111" s="144" t="s">
        <v>1802</v>
      </c>
      <c r="Z111" s="145">
        <v>10910592</v>
      </c>
      <c r="AA111" s="145">
        <v>9918720</v>
      </c>
      <c r="AB111" s="144">
        <v>0</v>
      </c>
      <c r="AC111" s="144" t="s">
        <v>1022</v>
      </c>
      <c r="AD111" s="145">
        <v>991872</v>
      </c>
      <c r="AE111" s="144">
        <v>0</v>
      </c>
      <c r="AF111" s="146">
        <v>0</v>
      </c>
      <c r="AG111" s="70">
        <v>0</v>
      </c>
      <c r="AH111" s="70">
        <v>0</v>
      </c>
      <c r="AI111" s="70">
        <v>0</v>
      </c>
      <c r="AJ111" s="70">
        <v>0</v>
      </c>
      <c r="AK111" s="70">
        <v>0</v>
      </c>
      <c r="AL111" s="70">
        <v>0.01</v>
      </c>
      <c r="AM111" s="70">
        <v>0</v>
      </c>
      <c r="AN111" s="70" t="s">
        <v>1824</v>
      </c>
    </row>
    <row r="112" spans="1:41">
      <c r="A112" s="132">
        <f t="shared" si="7"/>
        <v>104</v>
      </c>
      <c r="B112" s="133" t="s">
        <v>1728</v>
      </c>
      <c r="C112" s="133" t="s">
        <v>1904</v>
      </c>
      <c r="D112" s="132" t="s">
        <v>1698</v>
      </c>
      <c r="E112" s="147" t="s">
        <v>1158</v>
      </c>
      <c r="F112" s="135">
        <v>45635</v>
      </c>
      <c r="G112" s="45"/>
      <c r="H112" s="136"/>
      <c r="I112" s="136">
        <v>1989338</v>
      </c>
      <c r="J112" s="137" t="s">
        <v>1025</v>
      </c>
      <c r="K112" s="137"/>
      <c r="L112" s="148">
        <f t="shared" si="13"/>
        <v>1989338</v>
      </c>
      <c r="M112" s="122">
        <f t="shared" si="8"/>
        <v>0</v>
      </c>
      <c r="N112" s="137"/>
      <c r="O112" s="149" t="b">
        <f t="shared" si="9"/>
        <v>1</v>
      </c>
      <c r="P112" s="149">
        <f t="shared" si="10"/>
        <v>0</v>
      </c>
      <c r="Q112" s="149" t="b">
        <f t="shared" si="11"/>
        <v>0</v>
      </c>
      <c r="R112" s="149">
        <f t="shared" si="12"/>
        <v>0</v>
      </c>
      <c r="S112" s="144"/>
      <c r="T112" s="143">
        <v>45635</v>
      </c>
      <c r="U112" s="144" t="s">
        <v>1158</v>
      </c>
      <c r="V112" s="144">
        <v>0</v>
      </c>
      <c r="W112" s="144" t="s">
        <v>1071</v>
      </c>
      <c r="X112" s="144" t="s">
        <v>1801</v>
      </c>
      <c r="Y112" s="144" t="s">
        <v>1802</v>
      </c>
      <c r="Z112" s="145">
        <v>21882718</v>
      </c>
      <c r="AA112" s="145">
        <v>19893380</v>
      </c>
      <c r="AB112" s="144">
        <v>0</v>
      </c>
      <c r="AC112" s="144" t="s">
        <v>1022</v>
      </c>
      <c r="AD112" s="145">
        <v>1989338</v>
      </c>
      <c r="AE112" s="144">
        <v>0</v>
      </c>
      <c r="AF112" s="146">
        <v>0</v>
      </c>
      <c r="AG112" s="70">
        <v>0</v>
      </c>
      <c r="AH112" s="70">
        <v>0</v>
      </c>
      <c r="AI112" s="70">
        <v>0</v>
      </c>
      <c r="AJ112" s="70">
        <v>0</v>
      </c>
      <c r="AK112" s="70">
        <v>0</v>
      </c>
      <c r="AL112" s="70">
        <v>0.01</v>
      </c>
      <c r="AM112" s="70">
        <v>0</v>
      </c>
      <c r="AN112" s="70" t="s">
        <v>1807</v>
      </c>
    </row>
    <row r="113" spans="1:41">
      <c r="A113" s="132">
        <f t="shared" si="7"/>
        <v>105</v>
      </c>
      <c r="B113" s="133" t="s">
        <v>1742</v>
      </c>
      <c r="C113" s="133" t="s">
        <v>1905</v>
      </c>
      <c r="D113" s="132" t="s">
        <v>1024</v>
      </c>
      <c r="E113" s="147">
        <v>255973</v>
      </c>
      <c r="F113" s="135">
        <v>45633</v>
      </c>
      <c r="G113" s="45"/>
      <c r="H113" s="136"/>
      <c r="I113" s="136">
        <v>210262</v>
      </c>
      <c r="J113" s="137" t="s">
        <v>1025</v>
      </c>
      <c r="K113" s="137"/>
      <c r="L113" s="148">
        <f t="shared" si="13"/>
        <v>210262</v>
      </c>
      <c r="M113" s="122">
        <f t="shared" si="8"/>
        <v>0</v>
      </c>
      <c r="N113" s="137"/>
      <c r="O113" s="149" t="b">
        <f t="shared" si="9"/>
        <v>1</v>
      </c>
      <c r="P113" s="149">
        <f t="shared" si="10"/>
        <v>0</v>
      </c>
      <c r="Q113" s="149" t="b">
        <f t="shared" si="11"/>
        <v>0</v>
      </c>
      <c r="R113" s="149">
        <f t="shared" si="12"/>
        <v>0</v>
      </c>
      <c r="S113" s="144" t="s">
        <v>1045</v>
      </c>
      <c r="T113" s="143">
        <v>45633</v>
      </c>
      <c r="U113" s="144">
        <v>255973</v>
      </c>
      <c r="V113" s="144">
        <v>0</v>
      </c>
      <c r="W113" s="144" t="s">
        <v>1071</v>
      </c>
      <c r="X113" s="144" t="s">
        <v>1801</v>
      </c>
      <c r="Y113" s="144" t="s">
        <v>1802</v>
      </c>
      <c r="Z113" s="145">
        <v>2312878</v>
      </c>
      <c r="AA113" s="145">
        <v>2102616</v>
      </c>
      <c r="AB113" s="144">
        <v>0</v>
      </c>
      <c r="AC113" s="144" t="s">
        <v>1022</v>
      </c>
      <c r="AD113" s="145">
        <v>210262</v>
      </c>
      <c r="AE113" s="144"/>
      <c r="AF113" s="146"/>
    </row>
    <row r="114" spans="1:41">
      <c r="A114" s="132">
        <f t="shared" si="7"/>
        <v>106</v>
      </c>
      <c r="B114" s="133" t="s">
        <v>1732</v>
      </c>
      <c r="C114" s="133" t="s">
        <v>1906</v>
      </c>
      <c r="D114" s="132" t="s">
        <v>1036</v>
      </c>
      <c r="E114" s="147" t="s">
        <v>1159</v>
      </c>
      <c r="F114" s="135">
        <v>45629</v>
      </c>
      <c r="G114" s="45"/>
      <c r="H114" s="136"/>
      <c r="I114" s="136">
        <v>1282176</v>
      </c>
      <c r="J114" s="137" t="s">
        <v>1025</v>
      </c>
      <c r="K114" s="137"/>
      <c r="L114" s="148">
        <f t="shared" si="13"/>
        <v>1282176</v>
      </c>
      <c r="M114" s="122">
        <f t="shared" si="8"/>
        <v>0</v>
      </c>
      <c r="N114" s="137"/>
      <c r="O114" s="149" t="b">
        <f t="shared" si="9"/>
        <v>1</v>
      </c>
      <c r="P114" s="149">
        <f t="shared" si="10"/>
        <v>0</v>
      </c>
      <c r="Q114" s="149" t="b">
        <f t="shared" si="11"/>
        <v>0</v>
      </c>
      <c r="R114" s="149">
        <f t="shared" si="12"/>
        <v>0</v>
      </c>
      <c r="S114" s="144"/>
      <c r="T114" s="143">
        <v>45629</v>
      </c>
      <c r="U114" s="144" t="s">
        <v>1159</v>
      </c>
      <c r="V114" s="144">
        <v>0</v>
      </c>
      <c r="W114" s="144" t="s">
        <v>1071</v>
      </c>
      <c r="X114" s="144" t="s">
        <v>1801</v>
      </c>
      <c r="Y114" s="144" t="s">
        <v>1802</v>
      </c>
      <c r="Z114" s="145">
        <v>14103936</v>
      </c>
      <c r="AA114" s="145">
        <v>12821760</v>
      </c>
      <c r="AB114" s="144">
        <v>0</v>
      </c>
      <c r="AC114" s="144" t="s">
        <v>1022</v>
      </c>
      <c r="AD114" s="145">
        <v>1282176</v>
      </c>
      <c r="AE114" s="144">
        <v>0</v>
      </c>
      <c r="AF114" s="146">
        <v>0</v>
      </c>
      <c r="AG114" s="70">
        <v>0</v>
      </c>
      <c r="AH114" s="70">
        <v>0</v>
      </c>
      <c r="AI114" s="70">
        <v>0</v>
      </c>
      <c r="AJ114" s="70">
        <v>0</v>
      </c>
      <c r="AK114" s="70">
        <v>0</v>
      </c>
      <c r="AL114" s="70">
        <v>0.01</v>
      </c>
      <c r="AM114" s="70">
        <v>0</v>
      </c>
      <c r="AN114" s="70" t="s">
        <v>1825</v>
      </c>
    </row>
    <row r="115" spans="1:41">
      <c r="A115" s="132">
        <f t="shared" si="7"/>
        <v>107</v>
      </c>
      <c r="B115" s="133" t="s">
        <v>1728</v>
      </c>
      <c r="C115" s="133" t="s">
        <v>1904</v>
      </c>
      <c r="D115" s="132" t="s">
        <v>1698</v>
      </c>
      <c r="E115" s="147" t="s">
        <v>1160</v>
      </c>
      <c r="F115" s="135">
        <v>45632</v>
      </c>
      <c r="G115" s="45"/>
      <c r="H115" s="136"/>
      <c r="I115" s="136">
        <v>1446052</v>
      </c>
      <c r="J115" s="137" t="s">
        <v>1025</v>
      </c>
      <c r="K115" s="137"/>
      <c r="L115" s="148">
        <f t="shared" si="13"/>
        <v>1446052</v>
      </c>
      <c r="M115" s="122">
        <f t="shared" si="8"/>
        <v>0</v>
      </c>
      <c r="N115" s="137"/>
      <c r="O115" s="149" t="b">
        <f t="shared" si="9"/>
        <v>1</v>
      </c>
      <c r="P115" s="149">
        <f t="shared" si="10"/>
        <v>0</v>
      </c>
      <c r="Q115" s="149" t="b">
        <f t="shared" si="11"/>
        <v>0</v>
      </c>
      <c r="R115" s="149">
        <f t="shared" si="12"/>
        <v>0</v>
      </c>
      <c r="S115" s="144"/>
      <c r="T115" s="143">
        <v>45632</v>
      </c>
      <c r="U115" s="144" t="s">
        <v>1160</v>
      </c>
      <c r="V115" s="144">
        <v>0</v>
      </c>
      <c r="W115" s="144" t="s">
        <v>1071</v>
      </c>
      <c r="X115" s="144" t="s">
        <v>1801</v>
      </c>
      <c r="Y115" s="144" t="s">
        <v>1802</v>
      </c>
      <c r="Z115" s="145">
        <v>15906572</v>
      </c>
      <c r="AA115" s="145">
        <v>14460520</v>
      </c>
      <c r="AB115" s="144">
        <v>0</v>
      </c>
      <c r="AC115" s="144" t="s">
        <v>1022</v>
      </c>
      <c r="AD115" s="145">
        <v>1446052</v>
      </c>
      <c r="AE115" s="144">
        <v>0</v>
      </c>
      <c r="AF115" s="146">
        <v>0</v>
      </c>
      <c r="AG115" s="70">
        <v>0</v>
      </c>
      <c r="AH115" s="70">
        <v>0</v>
      </c>
      <c r="AI115" s="70">
        <v>0</v>
      </c>
      <c r="AJ115" s="70">
        <v>0</v>
      </c>
      <c r="AK115" s="70">
        <v>0</v>
      </c>
      <c r="AL115" s="70">
        <v>0.01</v>
      </c>
      <c r="AM115" s="70">
        <v>0</v>
      </c>
      <c r="AN115" s="70" t="s">
        <v>1807</v>
      </c>
    </row>
    <row r="116" spans="1:41">
      <c r="A116" s="132">
        <f t="shared" si="7"/>
        <v>108</v>
      </c>
      <c r="B116" s="133" t="s">
        <v>1742</v>
      </c>
      <c r="C116" s="133" t="s">
        <v>1905</v>
      </c>
      <c r="D116" s="132" t="s">
        <v>1024</v>
      </c>
      <c r="E116" s="147">
        <v>253246</v>
      </c>
      <c r="F116" s="135">
        <v>45630</v>
      </c>
      <c r="G116" s="45"/>
      <c r="H116" s="136"/>
      <c r="I116" s="136">
        <v>35061</v>
      </c>
      <c r="J116" s="137" t="s">
        <v>1025</v>
      </c>
      <c r="K116" s="137"/>
      <c r="L116" s="148">
        <f t="shared" si="13"/>
        <v>35061</v>
      </c>
      <c r="M116" s="122">
        <f t="shared" si="8"/>
        <v>0</v>
      </c>
      <c r="N116" s="137"/>
      <c r="O116" s="149" t="b">
        <f t="shared" si="9"/>
        <v>1</v>
      </c>
      <c r="P116" s="149">
        <f t="shared" si="10"/>
        <v>0</v>
      </c>
      <c r="Q116" s="149" t="b">
        <f t="shared" si="11"/>
        <v>0</v>
      </c>
      <c r="R116" s="149">
        <f t="shared" si="12"/>
        <v>0</v>
      </c>
      <c r="S116" s="144"/>
      <c r="T116" s="143">
        <v>45630</v>
      </c>
      <c r="U116" s="144">
        <v>253246</v>
      </c>
      <c r="V116" s="144">
        <v>0</v>
      </c>
      <c r="W116" s="144" t="s">
        <v>1071</v>
      </c>
      <c r="X116" s="144" t="s">
        <v>1801</v>
      </c>
      <c r="Y116" s="144" t="s">
        <v>1802</v>
      </c>
      <c r="Z116" s="145">
        <v>385671</v>
      </c>
      <c r="AA116" s="145">
        <v>350610</v>
      </c>
      <c r="AB116" s="144">
        <v>0</v>
      </c>
      <c r="AC116" s="144" t="s">
        <v>1022</v>
      </c>
      <c r="AD116" s="145">
        <v>35061</v>
      </c>
      <c r="AE116" s="144"/>
      <c r="AF116" s="146"/>
    </row>
    <row r="117" spans="1:41">
      <c r="A117" s="132">
        <f t="shared" si="7"/>
        <v>109</v>
      </c>
      <c r="B117" s="133" t="s">
        <v>1728</v>
      </c>
      <c r="C117" s="133" t="s">
        <v>1904</v>
      </c>
      <c r="D117" s="132" t="s">
        <v>1698</v>
      </c>
      <c r="E117" s="147" t="s">
        <v>1161</v>
      </c>
      <c r="F117" s="135">
        <v>45630</v>
      </c>
      <c r="G117" s="45"/>
      <c r="H117" s="136"/>
      <c r="I117" s="136">
        <v>257920</v>
      </c>
      <c r="J117" s="137" t="s">
        <v>1025</v>
      </c>
      <c r="K117" s="137"/>
      <c r="L117" s="148">
        <f t="shared" si="13"/>
        <v>257920</v>
      </c>
      <c r="M117" s="122">
        <f t="shared" si="8"/>
        <v>0</v>
      </c>
      <c r="N117" s="137"/>
      <c r="O117" s="149" t="b">
        <f t="shared" si="9"/>
        <v>1</v>
      </c>
      <c r="P117" s="149">
        <f t="shared" si="10"/>
        <v>0</v>
      </c>
      <c r="Q117" s="149" t="b">
        <f t="shared" si="11"/>
        <v>0</v>
      </c>
      <c r="R117" s="149">
        <f t="shared" si="12"/>
        <v>0</v>
      </c>
      <c r="S117" s="144"/>
      <c r="T117" s="143">
        <v>45630</v>
      </c>
      <c r="U117" s="144" t="s">
        <v>1161</v>
      </c>
      <c r="V117" s="144">
        <v>0</v>
      </c>
      <c r="W117" s="144" t="s">
        <v>1071</v>
      </c>
      <c r="X117" s="144" t="s">
        <v>1801</v>
      </c>
      <c r="Y117" s="144" t="s">
        <v>1802</v>
      </c>
      <c r="Z117" s="145">
        <v>2837120</v>
      </c>
      <c r="AA117" s="145">
        <v>2579200</v>
      </c>
      <c r="AB117" s="144">
        <v>0</v>
      </c>
      <c r="AC117" s="144" t="s">
        <v>1022</v>
      </c>
      <c r="AD117" s="145">
        <v>257920</v>
      </c>
      <c r="AE117" s="144">
        <v>0</v>
      </c>
      <c r="AF117" s="146">
        <v>0</v>
      </c>
      <c r="AG117" s="70">
        <v>0</v>
      </c>
      <c r="AH117" s="70">
        <v>0</v>
      </c>
      <c r="AI117" s="70">
        <v>0</v>
      </c>
      <c r="AJ117" s="70">
        <v>0</v>
      </c>
      <c r="AK117" s="70">
        <v>0</v>
      </c>
      <c r="AL117" s="70">
        <v>0.01</v>
      </c>
      <c r="AM117" s="70">
        <v>0</v>
      </c>
      <c r="AN117" s="70" t="s">
        <v>1807</v>
      </c>
    </row>
    <row r="118" spans="1:41">
      <c r="A118" s="132">
        <f t="shared" si="7"/>
        <v>110</v>
      </c>
      <c r="B118" s="133" t="s">
        <v>1751</v>
      </c>
      <c r="C118" s="133" t="s">
        <v>1914</v>
      </c>
      <c r="D118" s="132" t="s">
        <v>1707</v>
      </c>
      <c r="E118" s="147" t="s">
        <v>1162</v>
      </c>
      <c r="F118" s="135">
        <v>45602</v>
      </c>
      <c r="G118" s="45"/>
      <c r="H118" s="136"/>
      <c r="I118" s="136">
        <v>121920</v>
      </c>
      <c r="J118" s="137" t="s">
        <v>1025</v>
      </c>
      <c r="K118" s="137"/>
      <c r="L118" s="148">
        <f t="shared" si="13"/>
        <v>121920</v>
      </c>
      <c r="M118" s="122">
        <f t="shared" si="8"/>
        <v>0</v>
      </c>
      <c r="N118" s="137"/>
      <c r="O118" s="149" t="b">
        <f t="shared" si="9"/>
        <v>1</v>
      </c>
      <c r="P118" s="149">
        <f t="shared" si="10"/>
        <v>0</v>
      </c>
      <c r="Q118" s="149" t="b">
        <f t="shared" si="11"/>
        <v>0</v>
      </c>
      <c r="R118" s="149">
        <f t="shared" si="12"/>
        <v>0</v>
      </c>
      <c r="S118" s="144"/>
      <c r="T118" s="143">
        <v>45602</v>
      </c>
      <c r="U118" s="144" t="s">
        <v>1162</v>
      </c>
      <c r="V118" s="144">
        <v>0</v>
      </c>
      <c r="W118" s="144" t="s">
        <v>1071</v>
      </c>
      <c r="X118" s="144" t="s">
        <v>1801</v>
      </c>
      <c r="Y118" s="144" t="s">
        <v>1802</v>
      </c>
      <c r="Z118" s="145">
        <v>1341120</v>
      </c>
      <c r="AA118" s="145">
        <v>1219200</v>
      </c>
      <c r="AB118" s="144">
        <v>0</v>
      </c>
      <c r="AC118" s="144" t="s">
        <v>1022</v>
      </c>
      <c r="AD118" s="145">
        <v>121920</v>
      </c>
      <c r="AE118" s="144">
        <v>0</v>
      </c>
      <c r="AF118" s="146">
        <v>0</v>
      </c>
      <c r="AG118" s="70">
        <v>0</v>
      </c>
      <c r="AH118" s="70">
        <v>0</v>
      </c>
      <c r="AI118" s="70">
        <v>0</v>
      </c>
      <c r="AJ118" s="70">
        <v>0</v>
      </c>
      <c r="AK118" s="70">
        <v>0</v>
      </c>
      <c r="AL118" s="70">
        <v>0.01</v>
      </c>
      <c r="AM118" s="70">
        <v>0</v>
      </c>
      <c r="AN118" s="70" t="s">
        <v>1823</v>
      </c>
      <c r="AO118" s="70" t="s">
        <v>1804</v>
      </c>
    </row>
    <row r="119" spans="1:41">
      <c r="A119" s="132">
        <f t="shared" si="7"/>
        <v>111</v>
      </c>
      <c r="B119" s="133" t="s">
        <v>1728</v>
      </c>
      <c r="C119" s="133" t="s">
        <v>1904</v>
      </c>
      <c r="D119" s="132" t="s">
        <v>1698</v>
      </c>
      <c r="E119" s="147" t="s">
        <v>1163</v>
      </c>
      <c r="F119" s="135">
        <v>45677</v>
      </c>
      <c r="G119" s="45"/>
      <c r="H119" s="136"/>
      <c r="I119" s="136">
        <v>2598540</v>
      </c>
      <c r="J119" s="137" t="s">
        <v>1025</v>
      </c>
      <c r="K119" s="137"/>
      <c r="L119" s="148">
        <f t="shared" si="13"/>
        <v>2598540</v>
      </c>
      <c r="M119" s="122">
        <f t="shared" si="8"/>
        <v>0</v>
      </c>
      <c r="N119" s="137"/>
      <c r="O119" s="149" t="b">
        <f t="shared" si="9"/>
        <v>1</v>
      </c>
      <c r="P119" s="149">
        <f t="shared" si="10"/>
        <v>0</v>
      </c>
      <c r="Q119" s="149" t="b">
        <f t="shared" si="11"/>
        <v>0</v>
      </c>
      <c r="R119" s="149">
        <f t="shared" si="12"/>
        <v>0</v>
      </c>
      <c r="S119" s="144"/>
      <c r="T119" s="143">
        <v>45677</v>
      </c>
      <c r="U119" s="144" t="s">
        <v>1163</v>
      </c>
      <c r="V119" s="144">
        <v>0</v>
      </c>
      <c r="W119" s="144" t="s">
        <v>1071</v>
      </c>
      <c r="X119" s="144" t="s">
        <v>1801</v>
      </c>
      <c r="Y119" s="144" t="s">
        <v>1802</v>
      </c>
      <c r="Z119" s="145">
        <v>28583940</v>
      </c>
      <c r="AA119" s="145">
        <v>25985400</v>
      </c>
      <c r="AB119" s="144">
        <v>0</v>
      </c>
      <c r="AC119" s="144" t="s">
        <v>1022</v>
      </c>
      <c r="AD119" s="145">
        <v>2598540</v>
      </c>
      <c r="AE119" s="144">
        <v>0</v>
      </c>
      <c r="AF119" s="146">
        <v>0</v>
      </c>
      <c r="AG119" s="70">
        <v>0</v>
      </c>
      <c r="AH119" s="70">
        <v>0</v>
      </c>
      <c r="AI119" s="70">
        <v>0</v>
      </c>
      <c r="AJ119" s="70">
        <v>0</v>
      </c>
      <c r="AK119" s="70">
        <v>0</v>
      </c>
      <c r="AL119" s="70">
        <v>0.01</v>
      </c>
      <c r="AM119" s="70">
        <v>0</v>
      </c>
      <c r="AN119" s="70" t="s">
        <v>1807</v>
      </c>
    </row>
    <row r="120" spans="1:41">
      <c r="A120" s="132">
        <f t="shared" si="7"/>
        <v>112</v>
      </c>
      <c r="B120" s="133" t="s">
        <v>1728</v>
      </c>
      <c r="C120" s="133" t="s">
        <v>1904</v>
      </c>
      <c r="D120" s="132" t="s">
        <v>1698</v>
      </c>
      <c r="E120" s="147" t="s">
        <v>1164</v>
      </c>
      <c r="F120" s="135">
        <v>45678</v>
      </c>
      <c r="G120" s="45"/>
      <c r="H120" s="136"/>
      <c r="I120" s="136">
        <v>3295722</v>
      </c>
      <c r="J120" s="137" t="s">
        <v>1025</v>
      </c>
      <c r="K120" s="137"/>
      <c r="L120" s="148">
        <f t="shared" si="13"/>
        <v>3295722</v>
      </c>
      <c r="M120" s="122">
        <f t="shared" si="8"/>
        <v>0</v>
      </c>
      <c r="N120" s="137"/>
      <c r="O120" s="149" t="b">
        <f t="shared" si="9"/>
        <v>1</v>
      </c>
      <c r="P120" s="149">
        <f t="shared" si="10"/>
        <v>0</v>
      </c>
      <c r="Q120" s="149" t="b">
        <f t="shared" si="11"/>
        <v>0</v>
      </c>
      <c r="R120" s="149">
        <f t="shared" si="12"/>
        <v>0</v>
      </c>
      <c r="S120" s="144"/>
      <c r="T120" s="143">
        <v>45678</v>
      </c>
      <c r="U120" s="144" t="s">
        <v>1164</v>
      </c>
      <c r="V120" s="144">
        <v>0</v>
      </c>
      <c r="W120" s="144" t="s">
        <v>1071</v>
      </c>
      <c r="X120" s="144" t="s">
        <v>1801</v>
      </c>
      <c r="Y120" s="144" t="s">
        <v>1802</v>
      </c>
      <c r="Z120" s="145">
        <v>36252942</v>
      </c>
      <c r="AA120" s="145">
        <v>32957220</v>
      </c>
      <c r="AB120" s="144">
        <v>0</v>
      </c>
      <c r="AC120" s="144" t="s">
        <v>1022</v>
      </c>
      <c r="AD120" s="145">
        <v>3295722</v>
      </c>
      <c r="AE120" s="144">
        <v>0</v>
      </c>
      <c r="AF120" s="146">
        <v>0</v>
      </c>
      <c r="AG120" s="70">
        <v>0</v>
      </c>
      <c r="AH120" s="70">
        <v>0</v>
      </c>
      <c r="AI120" s="70">
        <v>0</v>
      </c>
      <c r="AJ120" s="70">
        <v>0</v>
      </c>
      <c r="AK120" s="70">
        <v>0</v>
      </c>
      <c r="AL120" s="70">
        <v>0.01</v>
      </c>
      <c r="AM120" s="70">
        <v>0</v>
      </c>
      <c r="AN120" s="70" t="s">
        <v>1807</v>
      </c>
    </row>
    <row r="121" spans="1:41">
      <c r="A121" s="132">
        <f t="shared" si="7"/>
        <v>113</v>
      </c>
      <c r="B121" s="133" t="s">
        <v>1728</v>
      </c>
      <c r="C121" s="133" t="s">
        <v>1904</v>
      </c>
      <c r="D121" s="132" t="s">
        <v>1698</v>
      </c>
      <c r="E121" s="147" t="s">
        <v>1165</v>
      </c>
      <c r="F121" s="135">
        <v>45678</v>
      </c>
      <c r="G121" s="45"/>
      <c r="H121" s="136"/>
      <c r="I121" s="136">
        <v>2360994</v>
      </c>
      <c r="J121" s="137" t="s">
        <v>1025</v>
      </c>
      <c r="K121" s="137"/>
      <c r="L121" s="148">
        <f t="shared" si="13"/>
        <v>2360994</v>
      </c>
      <c r="M121" s="122">
        <f t="shared" si="8"/>
        <v>0</v>
      </c>
      <c r="N121" s="137"/>
      <c r="O121" s="149" t="b">
        <f t="shared" si="9"/>
        <v>1</v>
      </c>
      <c r="P121" s="149">
        <f t="shared" si="10"/>
        <v>0</v>
      </c>
      <c r="Q121" s="149" t="b">
        <f t="shared" si="11"/>
        <v>0</v>
      </c>
      <c r="R121" s="149">
        <f t="shared" si="12"/>
        <v>0</v>
      </c>
      <c r="S121" s="144"/>
      <c r="T121" s="143">
        <v>45678</v>
      </c>
      <c r="U121" s="144" t="s">
        <v>1165</v>
      </c>
      <c r="V121" s="144">
        <v>0</v>
      </c>
      <c r="W121" s="144" t="s">
        <v>1071</v>
      </c>
      <c r="X121" s="144" t="s">
        <v>1801</v>
      </c>
      <c r="Y121" s="144" t="s">
        <v>1802</v>
      </c>
      <c r="Z121" s="145">
        <v>25970934</v>
      </c>
      <c r="AA121" s="145">
        <v>23609940</v>
      </c>
      <c r="AB121" s="144">
        <v>0</v>
      </c>
      <c r="AC121" s="144" t="s">
        <v>1022</v>
      </c>
      <c r="AD121" s="145">
        <v>2360994</v>
      </c>
      <c r="AE121" s="144">
        <v>0</v>
      </c>
      <c r="AF121" s="146">
        <v>0</v>
      </c>
      <c r="AG121" s="70">
        <v>0</v>
      </c>
      <c r="AH121" s="70">
        <v>0</v>
      </c>
      <c r="AI121" s="70">
        <v>0</v>
      </c>
      <c r="AJ121" s="70">
        <v>0</v>
      </c>
      <c r="AK121" s="70">
        <v>0</v>
      </c>
      <c r="AL121" s="70">
        <v>0.01</v>
      </c>
      <c r="AM121" s="70">
        <v>0</v>
      </c>
      <c r="AN121" s="70" t="s">
        <v>1807</v>
      </c>
    </row>
    <row r="122" spans="1:41">
      <c r="A122" s="132">
        <f t="shared" si="7"/>
        <v>114</v>
      </c>
      <c r="B122" s="133" t="s">
        <v>1728</v>
      </c>
      <c r="C122" s="133" t="s">
        <v>1904</v>
      </c>
      <c r="D122" s="132" t="s">
        <v>1698</v>
      </c>
      <c r="E122" s="147" t="s">
        <v>1166</v>
      </c>
      <c r="F122" s="135">
        <v>45678</v>
      </c>
      <c r="G122" s="45"/>
      <c r="H122" s="136"/>
      <c r="I122" s="136">
        <v>3996768</v>
      </c>
      <c r="J122" s="137" t="s">
        <v>1025</v>
      </c>
      <c r="K122" s="137"/>
      <c r="L122" s="148">
        <f t="shared" si="13"/>
        <v>3996768</v>
      </c>
      <c r="M122" s="122">
        <f t="shared" si="8"/>
        <v>0</v>
      </c>
      <c r="N122" s="137"/>
      <c r="O122" s="149" t="b">
        <f t="shared" si="9"/>
        <v>1</v>
      </c>
      <c r="P122" s="149">
        <f t="shared" si="10"/>
        <v>0</v>
      </c>
      <c r="Q122" s="149" t="b">
        <f t="shared" si="11"/>
        <v>0</v>
      </c>
      <c r="R122" s="149">
        <f t="shared" si="12"/>
        <v>0</v>
      </c>
      <c r="S122" s="144"/>
      <c r="T122" s="143">
        <v>45678</v>
      </c>
      <c r="U122" s="144" t="s">
        <v>1166</v>
      </c>
      <c r="V122" s="144">
        <v>0</v>
      </c>
      <c r="W122" s="144" t="s">
        <v>1071</v>
      </c>
      <c r="X122" s="144" t="s">
        <v>1801</v>
      </c>
      <c r="Y122" s="144" t="s">
        <v>1802</v>
      </c>
      <c r="Z122" s="145">
        <v>43964448</v>
      </c>
      <c r="AA122" s="145">
        <v>39967680</v>
      </c>
      <c r="AB122" s="144">
        <v>0</v>
      </c>
      <c r="AC122" s="144" t="s">
        <v>1022</v>
      </c>
      <c r="AD122" s="145">
        <v>3996768</v>
      </c>
      <c r="AE122" s="144">
        <v>0</v>
      </c>
      <c r="AF122" s="146">
        <v>0</v>
      </c>
      <c r="AG122" s="70">
        <v>0</v>
      </c>
      <c r="AH122" s="70">
        <v>0</v>
      </c>
      <c r="AI122" s="70">
        <v>0</v>
      </c>
      <c r="AJ122" s="70">
        <v>0</v>
      </c>
      <c r="AK122" s="70">
        <v>0</v>
      </c>
      <c r="AL122" s="70">
        <v>0.01</v>
      </c>
      <c r="AM122" s="70">
        <v>0</v>
      </c>
      <c r="AN122" s="70" t="s">
        <v>1807</v>
      </c>
    </row>
    <row r="123" spans="1:41">
      <c r="A123" s="132">
        <f t="shared" si="7"/>
        <v>115</v>
      </c>
      <c r="B123" s="133" t="s">
        <v>1728</v>
      </c>
      <c r="C123" s="133" t="s">
        <v>1904</v>
      </c>
      <c r="D123" s="132" t="s">
        <v>1698</v>
      </c>
      <c r="E123" s="147" t="s">
        <v>1167</v>
      </c>
      <c r="F123" s="135">
        <v>45678</v>
      </c>
      <c r="G123" s="45"/>
      <c r="H123" s="136"/>
      <c r="I123" s="136">
        <v>2127312</v>
      </c>
      <c r="J123" s="137" t="s">
        <v>1025</v>
      </c>
      <c r="K123" s="137"/>
      <c r="L123" s="148">
        <f t="shared" si="13"/>
        <v>2127312</v>
      </c>
      <c r="M123" s="122">
        <f t="shared" si="8"/>
        <v>0</v>
      </c>
      <c r="N123" s="137"/>
      <c r="O123" s="149" t="b">
        <f t="shared" si="9"/>
        <v>1</v>
      </c>
      <c r="P123" s="149">
        <f t="shared" si="10"/>
        <v>0</v>
      </c>
      <c r="Q123" s="149" t="b">
        <f t="shared" si="11"/>
        <v>0</v>
      </c>
      <c r="R123" s="149">
        <f t="shared" si="12"/>
        <v>0</v>
      </c>
      <c r="S123" s="144" t="s">
        <v>1046</v>
      </c>
      <c r="T123" s="143">
        <v>45678</v>
      </c>
      <c r="U123" s="144" t="s">
        <v>1167</v>
      </c>
      <c r="V123" s="144">
        <v>0</v>
      </c>
      <c r="W123" s="144" t="s">
        <v>1071</v>
      </c>
      <c r="X123" s="144" t="s">
        <v>1801</v>
      </c>
      <c r="Y123" s="144" t="s">
        <v>1802</v>
      </c>
      <c r="Z123" s="145">
        <v>23400432</v>
      </c>
      <c r="AA123" s="145">
        <v>21273120</v>
      </c>
      <c r="AB123" s="144">
        <v>0</v>
      </c>
      <c r="AC123" s="144" t="s">
        <v>1022</v>
      </c>
      <c r="AD123" s="145">
        <v>2127312</v>
      </c>
      <c r="AE123" s="144">
        <v>0</v>
      </c>
      <c r="AF123" s="146">
        <v>0</v>
      </c>
      <c r="AG123" s="70">
        <v>0</v>
      </c>
      <c r="AH123" s="70">
        <v>0</v>
      </c>
      <c r="AI123" s="70">
        <v>0</v>
      </c>
      <c r="AJ123" s="70">
        <v>0</v>
      </c>
      <c r="AK123" s="70">
        <v>0</v>
      </c>
      <c r="AL123" s="70">
        <v>0.01</v>
      </c>
      <c r="AM123" s="70">
        <v>0</v>
      </c>
      <c r="AN123" s="70" t="s">
        <v>1807</v>
      </c>
    </row>
    <row r="124" spans="1:41">
      <c r="A124" s="132">
        <f t="shared" si="7"/>
        <v>116</v>
      </c>
      <c r="B124" s="133" t="s">
        <v>1728</v>
      </c>
      <c r="C124" s="133" t="s">
        <v>1904</v>
      </c>
      <c r="D124" s="132" t="s">
        <v>1698</v>
      </c>
      <c r="E124" s="147" t="s">
        <v>1168</v>
      </c>
      <c r="F124" s="135">
        <v>45678</v>
      </c>
      <c r="G124" s="45"/>
      <c r="H124" s="136"/>
      <c r="I124" s="136">
        <v>1893630</v>
      </c>
      <c r="J124" s="137" t="s">
        <v>1025</v>
      </c>
      <c r="K124" s="137"/>
      <c r="L124" s="148">
        <f t="shared" si="13"/>
        <v>1893630</v>
      </c>
      <c r="M124" s="122">
        <f t="shared" si="8"/>
        <v>0</v>
      </c>
      <c r="N124" s="137"/>
      <c r="O124" s="149" t="b">
        <f t="shared" si="9"/>
        <v>1</v>
      </c>
      <c r="P124" s="149">
        <f t="shared" si="10"/>
        <v>0</v>
      </c>
      <c r="Q124" s="149" t="b">
        <f t="shared" si="11"/>
        <v>0</v>
      </c>
      <c r="R124" s="149">
        <f t="shared" si="12"/>
        <v>0</v>
      </c>
      <c r="S124" s="144"/>
      <c r="T124" s="143">
        <v>45678</v>
      </c>
      <c r="U124" s="144" t="s">
        <v>1168</v>
      </c>
      <c r="V124" s="144">
        <v>0</v>
      </c>
      <c r="W124" s="144" t="s">
        <v>1071</v>
      </c>
      <c r="X124" s="144" t="s">
        <v>1801</v>
      </c>
      <c r="Y124" s="144" t="s">
        <v>1802</v>
      </c>
      <c r="Z124" s="145">
        <v>20829930</v>
      </c>
      <c r="AA124" s="145">
        <v>18936300</v>
      </c>
      <c r="AB124" s="144">
        <v>0</v>
      </c>
      <c r="AC124" s="144" t="s">
        <v>1022</v>
      </c>
      <c r="AD124" s="145">
        <v>1893630</v>
      </c>
      <c r="AE124" s="144">
        <v>0</v>
      </c>
      <c r="AF124" s="146">
        <v>0</v>
      </c>
      <c r="AG124" s="70">
        <v>0</v>
      </c>
      <c r="AH124" s="70">
        <v>0</v>
      </c>
      <c r="AI124" s="70">
        <v>0</v>
      </c>
      <c r="AJ124" s="70">
        <v>0</v>
      </c>
      <c r="AK124" s="70">
        <v>0</v>
      </c>
      <c r="AL124" s="70">
        <v>0.01</v>
      </c>
      <c r="AM124" s="70">
        <v>0</v>
      </c>
      <c r="AN124" s="70" t="s">
        <v>1807</v>
      </c>
    </row>
    <row r="125" spans="1:41">
      <c r="A125" s="132">
        <f t="shared" si="7"/>
        <v>117</v>
      </c>
      <c r="B125" s="133" t="s">
        <v>1728</v>
      </c>
      <c r="C125" s="133" t="s">
        <v>1904</v>
      </c>
      <c r="D125" s="132" t="s">
        <v>1698</v>
      </c>
      <c r="E125" s="147" t="s">
        <v>1169</v>
      </c>
      <c r="F125" s="135">
        <v>45678</v>
      </c>
      <c r="G125" s="45"/>
      <c r="H125" s="136"/>
      <c r="I125" s="136">
        <v>1893630</v>
      </c>
      <c r="J125" s="137" t="s">
        <v>1025</v>
      </c>
      <c r="K125" s="137"/>
      <c r="L125" s="148">
        <f t="shared" si="13"/>
        <v>1893630</v>
      </c>
      <c r="M125" s="122">
        <f t="shared" si="8"/>
        <v>0</v>
      </c>
      <c r="N125" s="137"/>
      <c r="O125" s="149" t="b">
        <f t="shared" si="9"/>
        <v>1</v>
      </c>
      <c r="P125" s="149">
        <f t="shared" si="10"/>
        <v>0</v>
      </c>
      <c r="Q125" s="149" t="b">
        <f t="shared" si="11"/>
        <v>0</v>
      </c>
      <c r="R125" s="149">
        <f t="shared" si="12"/>
        <v>0</v>
      </c>
      <c r="S125" s="144"/>
      <c r="T125" s="143">
        <v>45678</v>
      </c>
      <c r="U125" s="144" t="s">
        <v>1169</v>
      </c>
      <c r="V125" s="144">
        <v>0</v>
      </c>
      <c r="W125" s="144" t="s">
        <v>1071</v>
      </c>
      <c r="X125" s="144" t="s">
        <v>1801</v>
      </c>
      <c r="Y125" s="144" t="s">
        <v>1802</v>
      </c>
      <c r="Z125" s="145">
        <v>20829930</v>
      </c>
      <c r="AA125" s="145">
        <v>18936300</v>
      </c>
      <c r="AB125" s="144">
        <v>0</v>
      </c>
      <c r="AC125" s="144" t="s">
        <v>1022</v>
      </c>
      <c r="AD125" s="145">
        <v>1893630</v>
      </c>
      <c r="AE125" s="144">
        <v>0</v>
      </c>
      <c r="AF125" s="146">
        <v>0</v>
      </c>
      <c r="AG125" s="70">
        <v>0</v>
      </c>
      <c r="AH125" s="70">
        <v>0</v>
      </c>
      <c r="AI125" s="70">
        <v>0</v>
      </c>
      <c r="AJ125" s="70">
        <v>0</v>
      </c>
      <c r="AK125" s="70">
        <v>0</v>
      </c>
      <c r="AL125" s="70">
        <v>0.01</v>
      </c>
      <c r="AM125" s="70">
        <v>0</v>
      </c>
      <c r="AN125" s="70" t="s">
        <v>1807</v>
      </c>
    </row>
    <row r="126" spans="1:41">
      <c r="A126" s="132">
        <f t="shared" si="7"/>
        <v>118</v>
      </c>
      <c r="B126" s="133" t="s">
        <v>1728</v>
      </c>
      <c r="C126" s="133" t="s">
        <v>1904</v>
      </c>
      <c r="D126" s="132" t="s">
        <v>1698</v>
      </c>
      <c r="E126" s="147" t="s">
        <v>1170</v>
      </c>
      <c r="F126" s="135">
        <v>45677</v>
      </c>
      <c r="G126" s="45"/>
      <c r="H126" s="136"/>
      <c r="I126" s="136">
        <v>1896450</v>
      </c>
      <c r="J126" s="137" t="s">
        <v>1025</v>
      </c>
      <c r="K126" s="137"/>
      <c r="L126" s="148">
        <f t="shared" si="13"/>
        <v>1896450</v>
      </c>
      <c r="M126" s="122">
        <f t="shared" si="8"/>
        <v>0</v>
      </c>
      <c r="N126" s="137"/>
      <c r="O126" s="149" t="b">
        <f t="shared" si="9"/>
        <v>1</v>
      </c>
      <c r="P126" s="149">
        <f t="shared" si="10"/>
        <v>0</v>
      </c>
      <c r="Q126" s="149" t="b">
        <f t="shared" si="11"/>
        <v>0</v>
      </c>
      <c r="R126" s="149">
        <f t="shared" si="12"/>
        <v>0</v>
      </c>
      <c r="S126" s="144"/>
      <c r="T126" s="143">
        <v>45677</v>
      </c>
      <c r="U126" s="144" t="s">
        <v>1170</v>
      </c>
      <c r="V126" s="144">
        <v>0</v>
      </c>
      <c r="W126" s="144" t="s">
        <v>1071</v>
      </c>
      <c r="X126" s="144" t="s">
        <v>1801</v>
      </c>
      <c r="Y126" s="144" t="s">
        <v>1802</v>
      </c>
      <c r="Z126" s="145">
        <v>20860950</v>
      </c>
      <c r="AA126" s="145">
        <v>18964500</v>
      </c>
      <c r="AB126" s="144">
        <v>0</v>
      </c>
      <c r="AC126" s="144" t="s">
        <v>1022</v>
      </c>
      <c r="AD126" s="145">
        <v>1896450</v>
      </c>
      <c r="AE126" s="144">
        <v>0</v>
      </c>
      <c r="AF126" s="146">
        <v>0</v>
      </c>
      <c r="AG126" s="70">
        <v>0</v>
      </c>
      <c r="AH126" s="70">
        <v>0</v>
      </c>
      <c r="AI126" s="70">
        <v>0</v>
      </c>
      <c r="AJ126" s="70">
        <v>0</v>
      </c>
      <c r="AK126" s="70">
        <v>0</v>
      </c>
      <c r="AL126" s="70">
        <v>0.01</v>
      </c>
      <c r="AM126" s="70">
        <v>0</v>
      </c>
      <c r="AN126" s="70" t="s">
        <v>1807</v>
      </c>
    </row>
    <row r="127" spans="1:41">
      <c r="A127" s="132">
        <f t="shared" si="7"/>
        <v>119</v>
      </c>
      <c r="B127" s="133" t="s">
        <v>1728</v>
      </c>
      <c r="C127" s="133" t="s">
        <v>1904</v>
      </c>
      <c r="D127" s="132" t="s">
        <v>1698</v>
      </c>
      <c r="E127" s="147" t="s">
        <v>1171</v>
      </c>
      <c r="F127" s="135">
        <v>45677</v>
      </c>
      <c r="G127" s="45"/>
      <c r="H127" s="136"/>
      <c r="I127" s="136">
        <v>2054790</v>
      </c>
      <c r="J127" s="137" t="s">
        <v>1025</v>
      </c>
      <c r="K127" s="137"/>
      <c r="L127" s="148">
        <f t="shared" si="13"/>
        <v>2054790</v>
      </c>
      <c r="M127" s="122">
        <f t="shared" si="8"/>
        <v>0</v>
      </c>
      <c r="N127" s="137"/>
      <c r="O127" s="149" t="b">
        <f t="shared" si="9"/>
        <v>1</v>
      </c>
      <c r="P127" s="149">
        <f t="shared" si="10"/>
        <v>0</v>
      </c>
      <c r="Q127" s="149" t="b">
        <f t="shared" si="11"/>
        <v>0</v>
      </c>
      <c r="R127" s="149">
        <f t="shared" si="12"/>
        <v>0</v>
      </c>
      <c r="S127" s="144"/>
      <c r="T127" s="143">
        <v>45678</v>
      </c>
      <c r="U127" s="144" t="s">
        <v>1171</v>
      </c>
      <c r="V127" s="144">
        <v>0</v>
      </c>
      <c r="W127" s="144" t="s">
        <v>1071</v>
      </c>
      <c r="X127" s="144" t="s">
        <v>1801</v>
      </c>
      <c r="Y127" s="144" t="s">
        <v>1802</v>
      </c>
      <c r="Z127" s="145">
        <v>22602690</v>
      </c>
      <c r="AA127" s="145">
        <v>20547900</v>
      </c>
      <c r="AB127" s="144">
        <v>0</v>
      </c>
      <c r="AC127" s="144" t="s">
        <v>1022</v>
      </c>
      <c r="AD127" s="145">
        <v>2054790</v>
      </c>
      <c r="AE127" s="144">
        <v>0</v>
      </c>
      <c r="AF127" s="146">
        <v>0</v>
      </c>
      <c r="AG127" s="70">
        <v>0</v>
      </c>
      <c r="AH127" s="70">
        <v>0</v>
      </c>
      <c r="AI127" s="70">
        <v>0</v>
      </c>
      <c r="AJ127" s="70">
        <v>0</v>
      </c>
      <c r="AK127" s="70">
        <v>0</v>
      </c>
      <c r="AL127" s="70">
        <v>0.01</v>
      </c>
      <c r="AM127" s="70">
        <v>0</v>
      </c>
      <c r="AN127" s="70" t="s">
        <v>1807</v>
      </c>
    </row>
    <row r="128" spans="1:41">
      <c r="A128" s="132">
        <f t="shared" si="7"/>
        <v>120</v>
      </c>
      <c r="B128" s="133" t="s">
        <v>1728</v>
      </c>
      <c r="C128" s="133" t="s">
        <v>1904</v>
      </c>
      <c r="D128" s="132" t="s">
        <v>1698</v>
      </c>
      <c r="E128" s="147" t="s">
        <v>1172</v>
      </c>
      <c r="F128" s="135">
        <v>45677</v>
      </c>
      <c r="G128" s="45"/>
      <c r="H128" s="136"/>
      <c r="I128" s="136">
        <v>1662420</v>
      </c>
      <c r="J128" s="137" t="s">
        <v>1025</v>
      </c>
      <c r="K128" s="137"/>
      <c r="L128" s="148">
        <f t="shared" si="13"/>
        <v>1662420</v>
      </c>
      <c r="M128" s="122">
        <f t="shared" si="8"/>
        <v>0</v>
      </c>
      <c r="N128" s="137"/>
      <c r="O128" s="149" t="b">
        <f t="shared" si="9"/>
        <v>1</v>
      </c>
      <c r="P128" s="149">
        <f t="shared" si="10"/>
        <v>0</v>
      </c>
      <c r="Q128" s="149" t="b">
        <f t="shared" si="11"/>
        <v>0</v>
      </c>
      <c r="R128" s="149">
        <f t="shared" si="12"/>
        <v>0</v>
      </c>
      <c r="S128" s="144"/>
      <c r="T128" s="143">
        <v>45677</v>
      </c>
      <c r="U128" s="144" t="s">
        <v>1172</v>
      </c>
      <c r="V128" s="144">
        <v>0</v>
      </c>
      <c r="W128" s="144" t="s">
        <v>1071</v>
      </c>
      <c r="X128" s="144" t="s">
        <v>1801</v>
      </c>
      <c r="Y128" s="144" t="s">
        <v>1802</v>
      </c>
      <c r="Z128" s="145">
        <v>18286620</v>
      </c>
      <c r="AA128" s="145">
        <v>16624200</v>
      </c>
      <c r="AB128" s="144">
        <v>0</v>
      </c>
      <c r="AC128" s="144" t="s">
        <v>1022</v>
      </c>
      <c r="AD128" s="145">
        <v>1662420</v>
      </c>
      <c r="AE128" s="144">
        <v>0</v>
      </c>
      <c r="AF128" s="146">
        <v>0</v>
      </c>
      <c r="AG128" s="70">
        <v>0</v>
      </c>
      <c r="AH128" s="70">
        <v>0</v>
      </c>
      <c r="AI128" s="70">
        <v>0</v>
      </c>
      <c r="AJ128" s="70">
        <v>0</v>
      </c>
      <c r="AK128" s="70">
        <v>0</v>
      </c>
      <c r="AL128" s="70">
        <v>0.01</v>
      </c>
      <c r="AM128" s="70">
        <v>0</v>
      </c>
      <c r="AN128" s="70" t="s">
        <v>1807</v>
      </c>
    </row>
    <row r="129" spans="1:41">
      <c r="A129" s="132">
        <f t="shared" si="7"/>
        <v>121</v>
      </c>
      <c r="B129" s="133" t="s">
        <v>1752</v>
      </c>
      <c r="C129" s="133" t="s">
        <v>1914</v>
      </c>
      <c r="D129" s="132" t="s">
        <v>1707</v>
      </c>
      <c r="E129" s="147" t="s">
        <v>1173</v>
      </c>
      <c r="F129" s="135">
        <v>45631</v>
      </c>
      <c r="G129" s="45"/>
      <c r="H129" s="136"/>
      <c r="I129" s="136">
        <v>120870</v>
      </c>
      <c r="J129" s="137" t="s">
        <v>1025</v>
      </c>
      <c r="K129" s="137"/>
      <c r="L129" s="148">
        <f t="shared" si="13"/>
        <v>120870</v>
      </c>
      <c r="M129" s="122">
        <f t="shared" si="8"/>
        <v>0</v>
      </c>
      <c r="N129" s="137"/>
      <c r="O129" s="149" t="b">
        <f t="shared" si="9"/>
        <v>1</v>
      </c>
      <c r="P129" s="149">
        <f t="shared" si="10"/>
        <v>0</v>
      </c>
      <c r="Q129" s="149" t="b">
        <f t="shared" si="11"/>
        <v>0</v>
      </c>
      <c r="R129" s="149">
        <f t="shared" si="12"/>
        <v>0</v>
      </c>
      <c r="S129" s="144"/>
      <c r="T129" s="143">
        <v>45631</v>
      </c>
      <c r="U129" s="144" t="s">
        <v>1173</v>
      </c>
      <c r="V129" s="144">
        <v>0</v>
      </c>
      <c r="W129" s="144" t="s">
        <v>1071</v>
      </c>
      <c r="X129" s="144" t="s">
        <v>1801</v>
      </c>
      <c r="Y129" s="144" t="s">
        <v>1802</v>
      </c>
      <c r="Z129" s="145">
        <v>1329570</v>
      </c>
      <c r="AA129" s="145">
        <v>1208700</v>
      </c>
      <c r="AB129" s="144">
        <v>0</v>
      </c>
      <c r="AC129" s="144" t="s">
        <v>1022</v>
      </c>
      <c r="AD129" s="145">
        <v>120870</v>
      </c>
      <c r="AE129" s="144">
        <v>0</v>
      </c>
      <c r="AF129" s="146">
        <v>0</v>
      </c>
      <c r="AG129" s="70">
        <v>0</v>
      </c>
      <c r="AH129" s="70">
        <v>0</v>
      </c>
      <c r="AI129" s="70">
        <v>0</v>
      </c>
      <c r="AJ129" s="70">
        <v>0</v>
      </c>
      <c r="AK129" s="70">
        <v>0</v>
      </c>
      <c r="AL129" s="70">
        <v>0.01</v>
      </c>
      <c r="AM129" s="70">
        <v>0</v>
      </c>
      <c r="AN129" s="70" t="s">
        <v>1823</v>
      </c>
      <c r="AO129" s="70" t="s">
        <v>1804</v>
      </c>
    </row>
    <row r="130" spans="1:41">
      <c r="A130" s="132">
        <f t="shared" si="7"/>
        <v>122</v>
      </c>
      <c r="B130" s="133" t="s">
        <v>1753</v>
      </c>
      <c r="C130" s="133" t="s">
        <v>1914</v>
      </c>
      <c r="D130" s="132" t="s">
        <v>1707</v>
      </c>
      <c r="E130" s="147" t="s">
        <v>1174</v>
      </c>
      <c r="F130" s="135">
        <v>45663</v>
      </c>
      <c r="G130" s="45"/>
      <c r="H130" s="136"/>
      <c r="I130" s="136">
        <v>120990</v>
      </c>
      <c r="J130" s="137" t="s">
        <v>1025</v>
      </c>
      <c r="K130" s="137"/>
      <c r="L130" s="148">
        <f t="shared" si="13"/>
        <v>120990</v>
      </c>
      <c r="M130" s="122">
        <f t="shared" si="8"/>
        <v>0</v>
      </c>
      <c r="N130" s="137"/>
      <c r="O130" s="149" t="b">
        <f t="shared" si="9"/>
        <v>1</v>
      </c>
      <c r="P130" s="149">
        <f t="shared" si="10"/>
        <v>0</v>
      </c>
      <c r="Q130" s="149" t="b">
        <f t="shared" si="11"/>
        <v>0</v>
      </c>
      <c r="R130" s="149">
        <f t="shared" si="12"/>
        <v>0</v>
      </c>
      <c r="S130" s="144"/>
      <c r="T130" s="143">
        <v>45663</v>
      </c>
      <c r="U130" s="144" t="s">
        <v>1174</v>
      </c>
      <c r="V130" s="144">
        <v>0</v>
      </c>
      <c r="W130" s="144" t="s">
        <v>1071</v>
      </c>
      <c r="X130" s="144" t="s">
        <v>1801</v>
      </c>
      <c r="Y130" s="144" t="s">
        <v>1802</v>
      </c>
      <c r="Z130" s="145">
        <v>1330890</v>
      </c>
      <c r="AA130" s="145">
        <v>1209900</v>
      </c>
      <c r="AB130" s="144">
        <v>0</v>
      </c>
      <c r="AC130" s="144" t="s">
        <v>1022</v>
      </c>
      <c r="AD130" s="145">
        <v>120990</v>
      </c>
      <c r="AE130" s="144">
        <v>0</v>
      </c>
      <c r="AF130" s="146">
        <v>0</v>
      </c>
      <c r="AG130" s="70">
        <v>0</v>
      </c>
      <c r="AH130" s="70">
        <v>0</v>
      </c>
      <c r="AI130" s="70">
        <v>0</v>
      </c>
      <c r="AJ130" s="70">
        <v>0</v>
      </c>
      <c r="AK130" s="70">
        <v>0</v>
      </c>
      <c r="AL130" s="70">
        <v>0.01</v>
      </c>
      <c r="AM130" s="70">
        <v>0</v>
      </c>
      <c r="AN130" s="70" t="s">
        <v>1823</v>
      </c>
      <c r="AO130" s="70" t="s">
        <v>1804</v>
      </c>
    </row>
    <row r="131" spans="1:41">
      <c r="A131" s="132">
        <f t="shared" si="7"/>
        <v>123</v>
      </c>
      <c r="B131" s="133" t="s">
        <v>1754</v>
      </c>
      <c r="C131" s="133" t="s">
        <v>1914</v>
      </c>
      <c r="D131" s="132" t="s">
        <v>1707</v>
      </c>
      <c r="E131" s="147" t="s">
        <v>1175</v>
      </c>
      <c r="F131" s="135">
        <v>45693</v>
      </c>
      <c r="G131" s="45"/>
      <c r="H131" s="136"/>
      <c r="I131" s="136">
        <v>321600</v>
      </c>
      <c r="J131" s="137" t="s">
        <v>1025</v>
      </c>
      <c r="K131" s="137"/>
      <c r="L131" s="148">
        <f t="shared" si="13"/>
        <v>321600</v>
      </c>
      <c r="M131" s="122">
        <f t="shared" si="8"/>
        <v>0</v>
      </c>
      <c r="N131" s="137"/>
      <c r="O131" s="149" t="b">
        <f t="shared" si="9"/>
        <v>1</v>
      </c>
      <c r="P131" s="149">
        <f t="shared" si="10"/>
        <v>0</v>
      </c>
      <c r="Q131" s="149" t="b">
        <f t="shared" si="11"/>
        <v>0</v>
      </c>
      <c r="R131" s="149">
        <f t="shared" si="12"/>
        <v>0</v>
      </c>
      <c r="S131" s="144"/>
      <c r="T131" s="143">
        <v>45693</v>
      </c>
      <c r="U131" s="144" t="s">
        <v>1175</v>
      </c>
      <c r="V131" s="144">
        <v>0</v>
      </c>
      <c r="W131" s="144" t="s">
        <v>1071</v>
      </c>
      <c r="X131" s="144" t="s">
        <v>1801</v>
      </c>
      <c r="Y131" s="144" t="s">
        <v>1802</v>
      </c>
      <c r="Z131" s="145">
        <v>3537600</v>
      </c>
      <c r="AA131" s="145">
        <v>3216000</v>
      </c>
      <c r="AB131" s="144">
        <v>0</v>
      </c>
      <c r="AC131" s="144" t="s">
        <v>1022</v>
      </c>
      <c r="AD131" s="145">
        <v>321600</v>
      </c>
      <c r="AE131" s="144">
        <v>0</v>
      </c>
      <c r="AF131" s="146">
        <v>0</v>
      </c>
      <c r="AG131" s="70">
        <v>0</v>
      </c>
      <c r="AH131" s="70">
        <v>0</v>
      </c>
      <c r="AI131" s="70">
        <v>0</v>
      </c>
      <c r="AJ131" s="70">
        <v>0</v>
      </c>
      <c r="AK131" s="70">
        <v>0</v>
      </c>
      <c r="AL131" s="70">
        <v>0.01</v>
      </c>
      <c r="AM131" s="70">
        <v>0</v>
      </c>
      <c r="AN131" s="70" t="s">
        <v>1823</v>
      </c>
      <c r="AO131" s="70" t="s">
        <v>1804</v>
      </c>
    </row>
    <row r="132" spans="1:41">
      <c r="A132" s="132">
        <f t="shared" si="7"/>
        <v>124</v>
      </c>
      <c r="B132" s="133" t="s">
        <v>1755</v>
      </c>
      <c r="C132" s="133" t="s">
        <v>1914</v>
      </c>
      <c r="D132" s="132" t="s">
        <v>1707</v>
      </c>
      <c r="E132" s="147" t="s">
        <v>1176</v>
      </c>
      <c r="F132" s="135">
        <v>45721</v>
      </c>
      <c r="G132" s="45"/>
      <c r="H132" s="136"/>
      <c r="I132" s="136">
        <v>120330</v>
      </c>
      <c r="J132" s="137" t="s">
        <v>1025</v>
      </c>
      <c r="K132" s="137"/>
      <c r="L132" s="148">
        <f t="shared" si="13"/>
        <v>120330</v>
      </c>
      <c r="M132" s="122">
        <f t="shared" si="8"/>
        <v>0</v>
      </c>
      <c r="N132" s="137"/>
      <c r="O132" s="149" t="b">
        <f t="shared" si="9"/>
        <v>1</v>
      </c>
      <c r="P132" s="149">
        <f t="shared" si="10"/>
        <v>0</v>
      </c>
      <c r="Q132" s="149" t="b">
        <f t="shared" si="11"/>
        <v>0</v>
      </c>
      <c r="R132" s="149">
        <f t="shared" si="12"/>
        <v>0</v>
      </c>
      <c r="S132" s="144"/>
      <c r="T132" s="143">
        <v>45721</v>
      </c>
      <c r="U132" s="144" t="s">
        <v>1176</v>
      </c>
      <c r="V132" s="144">
        <v>0</v>
      </c>
      <c r="W132" s="144" t="s">
        <v>1071</v>
      </c>
      <c r="X132" s="144" t="s">
        <v>1801</v>
      </c>
      <c r="Y132" s="144" t="s">
        <v>1802</v>
      </c>
      <c r="Z132" s="145">
        <v>1323630</v>
      </c>
      <c r="AA132" s="145">
        <v>1203300</v>
      </c>
      <c r="AB132" s="144">
        <v>0</v>
      </c>
      <c r="AC132" s="144" t="s">
        <v>1022</v>
      </c>
      <c r="AD132" s="145">
        <v>120330</v>
      </c>
      <c r="AE132" s="144">
        <v>0</v>
      </c>
      <c r="AF132" s="146">
        <v>0</v>
      </c>
      <c r="AG132" s="70">
        <v>0</v>
      </c>
      <c r="AH132" s="70">
        <v>0</v>
      </c>
      <c r="AI132" s="70">
        <v>0</v>
      </c>
      <c r="AJ132" s="70">
        <v>0</v>
      </c>
      <c r="AK132" s="70">
        <v>0</v>
      </c>
      <c r="AL132" s="70">
        <v>0.01</v>
      </c>
      <c r="AM132" s="70">
        <v>0</v>
      </c>
      <c r="AN132" s="70" t="s">
        <v>1823</v>
      </c>
      <c r="AO132" s="70" t="s">
        <v>1804</v>
      </c>
    </row>
    <row r="133" spans="1:41">
      <c r="A133" s="132">
        <f t="shared" si="7"/>
        <v>125</v>
      </c>
      <c r="B133" s="133" t="s">
        <v>1756</v>
      </c>
      <c r="C133" s="133" t="s">
        <v>1914</v>
      </c>
      <c r="D133" s="132" t="s">
        <v>1707</v>
      </c>
      <c r="E133" s="147" t="s">
        <v>1177</v>
      </c>
      <c r="F133" s="135">
        <v>45752</v>
      </c>
      <c r="G133" s="45"/>
      <c r="H133" s="136"/>
      <c r="I133" s="136">
        <v>120090</v>
      </c>
      <c r="J133" s="137" t="s">
        <v>1025</v>
      </c>
      <c r="K133" s="137"/>
      <c r="L133" s="148">
        <f t="shared" si="13"/>
        <v>120090</v>
      </c>
      <c r="M133" s="122">
        <f t="shared" si="8"/>
        <v>0</v>
      </c>
      <c r="N133" s="137"/>
      <c r="O133" s="149" t="b">
        <f t="shared" si="9"/>
        <v>1</v>
      </c>
      <c r="P133" s="149">
        <f t="shared" si="10"/>
        <v>0</v>
      </c>
      <c r="Q133" s="149" t="b">
        <f t="shared" si="11"/>
        <v>0</v>
      </c>
      <c r="R133" s="149">
        <f t="shared" si="12"/>
        <v>0</v>
      </c>
      <c r="S133" s="144"/>
      <c r="T133" s="143">
        <v>45752</v>
      </c>
      <c r="U133" s="144" t="s">
        <v>1177</v>
      </c>
      <c r="V133" s="144">
        <v>0</v>
      </c>
      <c r="W133" s="144" t="s">
        <v>1071</v>
      </c>
      <c r="X133" s="144" t="s">
        <v>1801</v>
      </c>
      <c r="Y133" s="144" t="s">
        <v>1802</v>
      </c>
      <c r="Z133" s="145">
        <v>1320990</v>
      </c>
      <c r="AA133" s="145">
        <v>1200900</v>
      </c>
      <c r="AB133" s="144">
        <v>0</v>
      </c>
      <c r="AC133" s="144" t="s">
        <v>1022</v>
      </c>
      <c r="AD133" s="145">
        <v>120090</v>
      </c>
      <c r="AE133" s="144">
        <v>0</v>
      </c>
      <c r="AF133" s="146">
        <v>0</v>
      </c>
      <c r="AG133" s="70">
        <v>0</v>
      </c>
      <c r="AH133" s="70">
        <v>0</v>
      </c>
      <c r="AI133" s="70">
        <v>0</v>
      </c>
      <c r="AJ133" s="70">
        <v>0</v>
      </c>
      <c r="AK133" s="70">
        <v>0</v>
      </c>
      <c r="AL133" s="70">
        <v>0.01</v>
      </c>
      <c r="AM133" s="70">
        <v>0</v>
      </c>
      <c r="AN133" s="70" t="s">
        <v>1823</v>
      </c>
      <c r="AO133" s="70" t="s">
        <v>1804</v>
      </c>
    </row>
    <row r="134" spans="1:41">
      <c r="A134" s="132">
        <f t="shared" si="7"/>
        <v>126</v>
      </c>
      <c r="B134" s="133" t="s">
        <v>1728</v>
      </c>
      <c r="C134" s="133" t="s">
        <v>1904</v>
      </c>
      <c r="D134" s="132" t="s">
        <v>1698</v>
      </c>
      <c r="E134" s="147" t="s">
        <v>1178</v>
      </c>
      <c r="F134" s="135">
        <v>45678</v>
      </c>
      <c r="G134" s="45"/>
      <c r="H134" s="136"/>
      <c r="I134" s="136">
        <v>2828358</v>
      </c>
      <c r="J134" s="137" t="s">
        <v>1025</v>
      </c>
      <c r="K134" s="137"/>
      <c r="L134" s="148">
        <f t="shared" si="13"/>
        <v>2828358</v>
      </c>
      <c r="M134" s="122">
        <f t="shared" si="8"/>
        <v>0</v>
      </c>
      <c r="N134" s="137"/>
      <c r="O134" s="149" t="b">
        <f t="shared" si="9"/>
        <v>1</v>
      </c>
      <c r="P134" s="149">
        <f t="shared" si="10"/>
        <v>0</v>
      </c>
      <c r="Q134" s="149" t="b">
        <f t="shared" si="11"/>
        <v>0</v>
      </c>
      <c r="R134" s="149">
        <f t="shared" si="12"/>
        <v>0</v>
      </c>
      <c r="S134" s="144"/>
      <c r="T134" s="143">
        <v>45678</v>
      </c>
      <c r="U134" s="144" t="s">
        <v>1178</v>
      </c>
      <c r="V134" s="144">
        <v>0</v>
      </c>
      <c r="W134" s="144" t="s">
        <v>1071</v>
      </c>
      <c r="X134" s="144" t="s">
        <v>1801</v>
      </c>
      <c r="Y134" s="144" t="s">
        <v>1802</v>
      </c>
      <c r="Z134" s="145">
        <v>31111938</v>
      </c>
      <c r="AA134" s="145">
        <v>28283580</v>
      </c>
      <c r="AB134" s="144">
        <v>0</v>
      </c>
      <c r="AC134" s="144" t="s">
        <v>1022</v>
      </c>
      <c r="AD134" s="145">
        <v>2828358</v>
      </c>
      <c r="AE134" s="144">
        <v>0</v>
      </c>
      <c r="AF134" s="146">
        <v>0</v>
      </c>
      <c r="AG134" s="70">
        <v>0</v>
      </c>
      <c r="AH134" s="70">
        <v>0</v>
      </c>
      <c r="AI134" s="70">
        <v>0</v>
      </c>
      <c r="AJ134" s="70">
        <v>0</v>
      </c>
      <c r="AK134" s="70">
        <v>0</v>
      </c>
      <c r="AL134" s="70">
        <v>0.01</v>
      </c>
      <c r="AM134" s="70">
        <v>0</v>
      </c>
      <c r="AN134" s="70" t="s">
        <v>1807</v>
      </c>
    </row>
    <row r="135" spans="1:41">
      <c r="A135" s="132">
        <f t="shared" si="7"/>
        <v>127</v>
      </c>
      <c r="B135" s="133" t="s">
        <v>1728</v>
      </c>
      <c r="C135" s="133" t="s">
        <v>1904</v>
      </c>
      <c r="D135" s="132" t="s">
        <v>1698</v>
      </c>
      <c r="E135" s="147" t="s">
        <v>1179</v>
      </c>
      <c r="F135" s="135">
        <v>45677</v>
      </c>
      <c r="G135" s="45"/>
      <c r="H135" s="136"/>
      <c r="I135" s="136">
        <v>2364510</v>
      </c>
      <c r="J135" s="137" t="s">
        <v>1025</v>
      </c>
      <c r="K135" s="137"/>
      <c r="L135" s="148">
        <f t="shared" si="13"/>
        <v>2364510</v>
      </c>
      <c r="M135" s="122">
        <f t="shared" si="8"/>
        <v>0</v>
      </c>
      <c r="N135" s="137"/>
      <c r="O135" s="149" t="b">
        <f t="shared" si="9"/>
        <v>1</v>
      </c>
      <c r="P135" s="149">
        <f t="shared" si="10"/>
        <v>0</v>
      </c>
      <c r="Q135" s="149" t="b">
        <f t="shared" si="11"/>
        <v>0</v>
      </c>
      <c r="R135" s="149">
        <f t="shared" si="12"/>
        <v>0</v>
      </c>
      <c r="S135" s="144"/>
      <c r="T135" s="143">
        <v>45677</v>
      </c>
      <c r="U135" s="144" t="s">
        <v>1179</v>
      </c>
      <c r="V135" s="144">
        <v>0</v>
      </c>
      <c r="W135" s="144" t="s">
        <v>1071</v>
      </c>
      <c r="X135" s="144" t="s">
        <v>1801</v>
      </c>
      <c r="Y135" s="144" t="s">
        <v>1802</v>
      </c>
      <c r="Z135" s="145">
        <v>26009610</v>
      </c>
      <c r="AA135" s="145">
        <v>23645100</v>
      </c>
      <c r="AB135" s="144">
        <v>0</v>
      </c>
      <c r="AC135" s="144" t="s">
        <v>1022</v>
      </c>
      <c r="AD135" s="145">
        <v>2364510</v>
      </c>
      <c r="AE135" s="144">
        <v>0</v>
      </c>
      <c r="AF135" s="146">
        <v>0</v>
      </c>
      <c r="AG135" s="70">
        <v>0</v>
      </c>
      <c r="AH135" s="70">
        <v>0</v>
      </c>
      <c r="AI135" s="70">
        <v>0</v>
      </c>
      <c r="AJ135" s="70">
        <v>0</v>
      </c>
      <c r="AK135" s="70">
        <v>0</v>
      </c>
      <c r="AL135" s="70">
        <v>0.01</v>
      </c>
      <c r="AM135" s="70">
        <v>0</v>
      </c>
      <c r="AN135" s="70" t="s">
        <v>1807</v>
      </c>
    </row>
    <row r="136" spans="1:41">
      <c r="A136" s="132">
        <f t="shared" si="7"/>
        <v>128</v>
      </c>
      <c r="B136" s="133" t="s">
        <v>1742</v>
      </c>
      <c r="C136" s="133" t="s">
        <v>1905</v>
      </c>
      <c r="D136" s="132" t="s">
        <v>1024</v>
      </c>
      <c r="E136" s="147">
        <v>202500014701</v>
      </c>
      <c r="F136" s="135">
        <v>45675</v>
      </c>
      <c r="G136" s="45"/>
      <c r="H136" s="136"/>
      <c r="I136" s="136">
        <v>175175</v>
      </c>
      <c r="J136" s="137" t="s">
        <v>1025</v>
      </c>
      <c r="K136" s="137"/>
      <c r="L136" s="148">
        <f t="shared" si="13"/>
        <v>175175</v>
      </c>
      <c r="M136" s="122">
        <f t="shared" si="8"/>
        <v>0</v>
      </c>
      <c r="N136" s="137"/>
      <c r="O136" s="149" t="b">
        <f t="shared" si="9"/>
        <v>1</v>
      </c>
      <c r="P136" s="149">
        <f t="shared" si="10"/>
        <v>0</v>
      </c>
      <c r="Q136" s="149" t="b">
        <f t="shared" si="11"/>
        <v>0</v>
      </c>
      <c r="R136" s="149">
        <f t="shared" si="12"/>
        <v>0</v>
      </c>
      <c r="S136" s="144"/>
      <c r="T136" s="143">
        <v>45675</v>
      </c>
      <c r="U136" s="144">
        <v>202500014701</v>
      </c>
      <c r="V136" s="144">
        <v>0</v>
      </c>
      <c r="W136" s="144" t="s">
        <v>1071</v>
      </c>
      <c r="X136" s="144" t="s">
        <v>1801</v>
      </c>
      <c r="Y136" s="144" t="s">
        <v>1802</v>
      </c>
      <c r="Z136" s="145">
        <v>1926920</v>
      </c>
      <c r="AA136" s="145">
        <v>1751745</v>
      </c>
      <c r="AB136" s="144">
        <v>0</v>
      </c>
      <c r="AC136" s="144" t="s">
        <v>1022</v>
      </c>
      <c r="AD136" s="145">
        <v>175175</v>
      </c>
      <c r="AE136" s="144">
        <v>0</v>
      </c>
      <c r="AF136" s="146">
        <v>0</v>
      </c>
      <c r="AG136" s="70">
        <v>0</v>
      </c>
      <c r="AH136" s="70">
        <v>0</v>
      </c>
      <c r="AI136" s="70">
        <v>0</v>
      </c>
      <c r="AJ136" s="70">
        <v>0</v>
      </c>
      <c r="AK136" s="70">
        <v>0</v>
      </c>
      <c r="AL136" s="70">
        <v>0.01</v>
      </c>
      <c r="AM136" s="70">
        <v>0</v>
      </c>
      <c r="AN136" s="70" t="s">
        <v>1826</v>
      </c>
    </row>
    <row r="137" spans="1:41">
      <c r="A137" s="132">
        <f t="shared" si="7"/>
        <v>129</v>
      </c>
      <c r="B137" s="133" t="s">
        <v>1742</v>
      </c>
      <c r="C137" s="133" t="s">
        <v>1905</v>
      </c>
      <c r="D137" s="132" t="s">
        <v>1024</v>
      </c>
      <c r="E137" s="147">
        <v>202500022891</v>
      </c>
      <c r="F137" s="135">
        <v>45686</v>
      </c>
      <c r="G137" s="45"/>
      <c r="H137" s="136"/>
      <c r="I137" s="136">
        <v>489636</v>
      </c>
      <c r="J137" s="137" t="s">
        <v>1025</v>
      </c>
      <c r="K137" s="137"/>
      <c r="L137" s="148">
        <f t="shared" si="13"/>
        <v>489636</v>
      </c>
      <c r="M137" s="122">
        <f t="shared" si="8"/>
        <v>0</v>
      </c>
      <c r="N137" s="137"/>
      <c r="O137" s="149" t="b">
        <f t="shared" si="9"/>
        <v>1</v>
      </c>
      <c r="P137" s="149">
        <f t="shared" si="10"/>
        <v>0</v>
      </c>
      <c r="Q137" s="149" t="b">
        <f t="shared" si="11"/>
        <v>0</v>
      </c>
      <c r="R137" s="149">
        <f t="shared" si="12"/>
        <v>0</v>
      </c>
      <c r="S137" s="144"/>
      <c r="T137" s="143">
        <v>45686</v>
      </c>
      <c r="U137" s="144">
        <v>202500022891</v>
      </c>
      <c r="V137" s="144">
        <v>0</v>
      </c>
      <c r="W137" s="144" t="s">
        <v>1071</v>
      </c>
      <c r="X137" s="144" t="s">
        <v>1801</v>
      </c>
      <c r="Y137" s="144" t="s">
        <v>1802</v>
      </c>
      <c r="Z137" s="145">
        <v>5385996</v>
      </c>
      <c r="AA137" s="145">
        <v>4896360</v>
      </c>
      <c r="AB137" s="144">
        <v>0</v>
      </c>
      <c r="AC137" s="144" t="s">
        <v>1022</v>
      </c>
      <c r="AD137" s="145">
        <v>489636</v>
      </c>
      <c r="AE137" s="144">
        <v>0</v>
      </c>
      <c r="AF137" s="146">
        <v>0</v>
      </c>
      <c r="AG137" s="70">
        <v>0</v>
      </c>
      <c r="AH137" s="70">
        <v>0</v>
      </c>
      <c r="AI137" s="70">
        <v>0</v>
      </c>
      <c r="AJ137" s="70">
        <v>0</v>
      </c>
      <c r="AK137" s="70">
        <v>0</v>
      </c>
      <c r="AL137" s="70">
        <v>0.01</v>
      </c>
      <c r="AM137" s="70">
        <v>0</v>
      </c>
      <c r="AN137" s="70" t="s">
        <v>1826</v>
      </c>
    </row>
    <row r="138" spans="1:41">
      <c r="A138" s="132">
        <f t="shared" si="7"/>
        <v>130</v>
      </c>
      <c r="B138" s="133" t="s">
        <v>1732</v>
      </c>
      <c r="C138" s="133" t="s">
        <v>1906</v>
      </c>
      <c r="D138" s="132" t="s">
        <v>1036</v>
      </c>
      <c r="E138" s="147" t="s">
        <v>1180</v>
      </c>
      <c r="F138" s="135">
        <v>45682</v>
      </c>
      <c r="G138" s="45"/>
      <c r="H138" s="136"/>
      <c r="I138" s="136">
        <v>2953616</v>
      </c>
      <c r="J138" s="137" t="s">
        <v>1025</v>
      </c>
      <c r="K138" s="137"/>
      <c r="L138" s="148">
        <f t="shared" si="13"/>
        <v>2953616</v>
      </c>
      <c r="M138" s="122">
        <f t="shared" si="8"/>
        <v>0</v>
      </c>
      <c r="N138" s="137"/>
      <c r="O138" s="149" t="b">
        <f t="shared" si="9"/>
        <v>1</v>
      </c>
      <c r="P138" s="149">
        <f t="shared" si="10"/>
        <v>0</v>
      </c>
      <c r="Q138" s="149" t="b">
        <f t="shared" si="11"/>
        <v>0</v>
      </c>
      <c r="R138" s="149">
        <f t="shared" si="12"/>
        <v>0</v>
      </c>
      <c r="S138" s="144"/>
      <c r="T138" s="143">
        <v>45682</v>
      </c>
      <c r="U138" s="144" t="s">
        <v>1180</v>
      </c>
      <c r="V138" s="144">
        <v>0</v>
      </c>
      <c r="W138" s="144" t="s">
        <v>1071</v>
      </c>
      <c r="X138" s="144" t="s">
        <v>1801</v>
      </c>
      <c r="Y138" s="144" t="s">
        <v>1802</v>
      </c>
      <c r="Z138" s="145">
        <v>32489776</v>
      </c>
      <c r="AA138" s="145">
        <v>29536160</v>
      </c>
      <c r="AB138" s="144">
        <v>0</v>
      </c>
      <c r="AC138" s="144" t="s">
        <v>1022</v>
      </c>
      <c r="AD138" s="145">
        <v>2953616</v>
      </c>
      <c r="AE138" s="144">
        <v>0</v>
      </c>
      <c r="AF138" s="146">
        <v>0</v>
      </c>
      <c r="AG138" s="70">
        <v>0</v>
      </c>
      <c r="AH138" s="70">
        <v>0</v>
      </c>
      <c r="AI138" s="70">
        <v>0</v>
      </c>
      <c r="AJ138" s="70">
        <v>0</v>
      </c>
      <c r="AK138" s="70">
        <v>0</v>
      </c>
      <c r="AL138" s="70">
        <v>0.01</v>
      </c>
      <c r="AM138" s="70">
        <v>0</v>
      </c>
      <c r="AN138" s="70" t="s">
        <v>1827</v>
      </c>
    </row>
    <row r="139" spans="1:41">
      <c r="A139" s="132">
        <f t="shared" ref="A139:A202" si="14">A138+1</f>
        <v>131</v>
      </c>
      <c r="B139" s="133" t="s">
        <v>1728</v>
      </c>
      <c r="C139" s="133" t="s">
        <v>1904</v>
      </c>
      <c r="D139" s="132" t="s">
        <v>1698</v>
      </c>
      <c r="E139" s="147" t="s">
        <v>1181</v>
      </c>
      <c r="F139" s="135">
        <v>45686</v>
      </c>
      <c r="G139" s="45"/>
      <c r="H139" s="136"/>
      <c r="I139" s="136">
        <v>3288360</v>
      </c>
      <c r="J139" s="137" t="s">
        <v>1025</v>
      </c>
      <c r="K139" s="137"/>
      <c r="L139" s="148">
        <f t="shared" si="13"/>
        <v>3288360</v>
      </c>
      <c r="M139" s="122">
        <f t="shared" si="8"/>
        <v>0</v>
      </c>
      <c r="N139" s="137"/>
      <c r="O139" s="149" t="b">
        <f t="shared" si="9"/>
        <v>1</v>
      </c>
      <c r="P139" s="149">
        <f t="shared" si="10"/>
        <v>0</v>
      </c>
      <c r="Q139" s="149" t="b">
        <f t="shared" si="11"/>
        <v>0</v>
      </c>
      <c r="R139" s="149">
        <f t="shared" si="12"/>
        <v>0</v>
      </c>
      <c r="S139" s="144"/>
      <c r="T139" s="143">
        <v>45686</v>
      </c>
      <c r="U139" s="144" t="s">
        <v>1181</v>
      </c>
      <c r="V139" s="144">
        <v>0</v>
      </c>
      <c r="W139" s="144" t="s">
        <v>1071</v>
      </c>
      <c r="X139" s="144" t="s">
        <v>1801</v>
      </c>
      <c r="Y139" s="144" t="s">
        <v>1802</v>
      </c>
      <c r="Z139" s="145">
        <v>36171960</v>
      </c>
      <c r="AA139" s="145">
        <v>32883600</v>
      </c>
      <c r="AB139" s="144">
        <v>0</v>
      </c>
      <c r="AC139" s="144" t="s">
        <v>1022</v>
      </c>
      <c r="AD139" s="145">
        <v>3288360</v>
      </c>
      <c r="AE139" s="144">
        <v>0</v>
      </c>
      <c r="AF139" s="146">
        <v>0</v>
      </c>
      <c r="AG139" s="70">
        <v>0</v>
      </c>
      <c r="AH139" s="70">
        <v>0</v>
      </c>
      <c r="AI139" s="70">
        <v>0</v>
      </c>
      <c r="AJ139" s="70">
        <v>0</v>
      </c>
      <c r="AK139" s="70">
        <v>0</v>
      </c>
      <c r="AL139" s="70">
        <v>0.01</v>
      </c>
      <c r="AM139" s="70">
        <v>0</v>
      </c>
      <c r="AN139" s="70" t="s">
        <v>1807</v>
      </c>
    </row>
    <row r="140" spans="1:41">
      <c r="A140" s="132">
        <f t="shared" si="14"/>
        <v>132</v>
      </c>
      <c r="B140" s="133" t="s">
        <v>1742</v>
      </c>
      <c r="C140" s="133" t="s">
        <v>1905</v>
      </c>
      <c r="D140" s="132" t="s">
        <v>1024</v>
      </c>
      <c r="E140" s="147">
        <v>202500016641</v>
      </c>
      <c r="F140" s="135">
        <v>45678</v>
      </c>
      <c r="G140" s="45"/>
      <c r="H140" s="136"/>
      <c r="I140" s="136">
        <v>175262</v>
      </c>
      <c r="J140" s="137" t="s">
        <v>1025</v>
      </c>
      <c r="K140" s="137"/>
      <c r="L140" s="148">
        <f t="shared" si="13"/>
        <v>175262</v>
      </c>
      <c r="M140" s="122">
        <f t="shared" si="8"/>
        <v>0</v>
      </c>
      <c r="N140" s="137"/>
      <c r="O140" s="149" t="b">
        <f t="shared" si="9"/>
        <v>1</v>
      </c>
      <c r="P140" s="149">
        <f t="shared" si="10"/>
        <v>0</v>
      </c>
      <c r="Q140" s="149" t="b">
        <f t="shared" si="11"/>
        <v>0</v>
      </c>
      <c r="R140" s="149">
        <f t="shared" si="12"/>
        <v>0</v>
      </c>
      <c r="S140" s="144"/>
      <c r="T140" s="143">
        <v>45678</v>
      </c>
      <c r="U140" s="144">
        <v>202500016641</v>
      </c>
      <c r="V140" s="144">
        <v>0</v>
      </c>
      <c r="W140" s="144" t="s">
        <v>1071</v>
      </c>
      <c r="X140" s="144" t="s">
        <v>1801</v>
      </c>
      <c r="Y140" s="144" t="s">
        <v>1802</v>
      </c>
      <c r="Z140" s="145">
        <v>1927877</v>
      </c>
      <c r="AA140" s="145">
        <v>1752615</v>
      </c>
      <c r="AB140" s="144">
        <v>0</v>
      </c>
      <c r="AC140" s="144" t="s">
        <v>1022</v>
      </c>
      <c r="AD140" s="145">
        <v>175262</v>
      </c>
      <c r="AE140" s="144">
        <v>0</v>
      </c>
      <c r="AF140" s="146">
        <v>0</v>
      </c>
      <c r="AG140" s="70">
        <v>0</v>
      </c>
      <c r="AH140" s="70">
        <v>0</v>
      </c>
      <c r="AI140" s="70">
        <v>0</v>
      </c>
      <c r="AJ140" s="70">
        <v>0</v>
      </c>
      <c r="AK140" s="70">
        <v>0</v>
      </c>
      <c r="AL140" s="70">
        <v>0.01</v>
      </c>
      <c r="AM140" s="70">
        <v>0</v>
      </c>
      <c r="AN140" s="70" t="s">
        <v>1826</v>
      </c>
    </row>
    <row r="141" spans="1:41">
      <c r="A141" s="132">
        <f t="shared" si="14"/>
        <v>133</v>
      </c>
      <c r="B141" s="133" t="s">
        <v>1732</v>
      </c>
      <c r="C141" s="133" t="s">
        <v>1906</v>
      </c>
      <c r="D141" s="132" t="s">
        <v>1036</v>
      </c>
      <c r="E141" s="147" t="s">
        <v>1182</v>
      </c>
      <c r="F141" s="135">
        <v>45673</v>
      </c>
      <c r="G141" s="45"/>
      <c r="H141" s="136"/>
      <c r="I141" s="136">
        <v>1070650</v>
      </c>
      <c r="J141" s="137" t="s">
        <v>1025</v>
      </c>
      <c r="K141" s="137"/>
      <c r="L141" s="148">
        <f t="shared" si="13"/>
        <v>1070650</v>
      </c>
      <c r="M141" s="122">
        <f t="shared" si="8"/>
        <v>0</v>
      </c>
      <c r="N141" s="137"/>
      <c r="O141" s="149" t="b">
        <f t="shared" si="9"/>
        <v>1</v>
      </c>
      <c r="P141" s="149">
        <f t="shared" si="10"/>
        <v>0</v>
      </c>
      <c r="Q141" s="149" t="b">
        <f t="shared" si="11"/>
        <v>0</v>
      </c>
      <c r="R141" s="149">
        <f t="shared" si="12"/>
        <v>0</v>
      </c>
      <c r="S141" s="144" t="s">
        <v>1047</v>
      </c>
      <c r="T141" s="143">
        <v>45673</v>
      </c>
      <c r="U141" s="144" t="s">
        <v>1182</v>
      </c>
      <c r="V141" s="144">
        <v>0</v>
      </c>
      <c r="W141" s="144" t="s">
        <v>1071</v>
      </c>
      <c r="X141" s="144" t="s">
        <v>1801</v>
      </c>
      <c r="Y141" s="144" t="s">
        <v>1802</v>
      </c>
      <c r="Z141" s="145">
        <v>11777150</v>
      </c>
      <c r="AA141" s="145">
        <v>10706500</v>
      </c>
      <c r="AB141" s="144">
        <v>0</v>
      </c>
      <c r="AC141" s="144" t="s">
        <v>1022</v>
      </c>
      <c r="AD141" s="145">
        <v>1070650</v>
      </c>
      <c r="AE141" s="144">
        <v>0</v>
      </c>
      <c r="AF141" s="146">
        <v>0</v>
      </c>
      <c r="AG141" s="70">
        <v>0</v>
      </c>
      <c r="AH141" s="70">
        <v>0</v>
      </c>
      <c r="AI141" s="70">
        <v>0</v>
      </c>
      <c r="AJ141" s="70">
        <v>0</v>
      </c>
      <c r="AK141" s="70">
        <v>0</v>
      </c>
      <c r="AL141" s="70">
        <v>0.01</v>
      </c>
      <c r="AM141" s="70">
        <v>0</v>
      </c>
      <c r="AN141" s="70" t="s">
        <v>1828</v>
      </c>
    </row>
    <row r="142" spans="1:41">
      <c r="A142" s="132">
        <f t="shared" si="14"/>
        <v>134</v>
      </c>
      <c r="B142" s="133" t="s">
        <v>1728</v>
      </c>
      <c r="C142" s="133" t="s">
        <v>1904</v>
      </c>
      <c r="D142" s="132" t="s">
        <v>1698</v>
      </c>
      <c r="E142" s="147" t="s">
        <v>1183</v>
      </c>
      <c r="F142" s="135">
        <v>45678</v>
      </c>
      <c r="G142" s="45"/>
      <c r="H142" s="136"/>
      <c r="I142" s="136">
        <v>1192584</v>
      </c>
      <c r="J142" s="137" t="s">
        <v>1025</v>
      </c>
      <c r="K142" s="137"/>
      <c r="L142" s="148">
        <f t="shared" si="13"/>
        <v>1192584</v>
      </c>
      <c r="M142" s="122">
        <f t="shared" si="8"/>
        <v>0</v>
      </c>
      <c r="N142" s="137"/>
      <c r="O142" s="149" t="b">
        <f t="shared" si="9"/>
        <v>1</v>
      </c>
      <c r="P142" s="149">
        <f t="shared" si="10"/>
        <v>0</v>
      </c>
      <c r="Q142" s="149" t="b">
        <f t="shared" si="11"/>
        <v>0</v>
      </c>
      <c r="R142" s="149">
        <f t="shared" si="12"/>
        <v>0</v>
      </c>
      <c r="S142" s="144"/>
      <c r="T142" s="143">
        <v>45678</v>
      </c>
      <c r="U142" s="144" t="s">
        <v>1183</v>
      </c>
      <c r="V142" s="144">
        <v>0</v>
      </c>
      <c r="W142" s="144" t="s">
        <v>1071</v>
      </c>
      <c r="X142" s="144" t="s">
        <v>1801</v>
      </c>
      <c r="Y142" s="144" t="s">
        <v>1802</v>
      </c>
      <c r="Z142" s="145">
        <v>13118424</v>
      </c>
      <c r="AA142" s="145">
        <v>11925840</v>
      </c>
      <c r="AB142" s="144">
        <v>0</v>
      </c>
      <c r="AC142" s="144" t="s">
        <v>1022</v>
      </c>
      <c r="AD142" s="145">
        <v>1192584</v>
      </c>
      <c r="AE142" s="144">
        <v>0</v>
      </c>
      <c r="AF142" s="146">
        <v>0</v>
      </c>
      <c r="AG142" s="70">
        <v>0</v>
      </c>
      <c r="AH142" s="70">
        <v>0</v>
      </c>
      <c r="AI142" s="70">
        <v>0</v>
      </c>
      <c r="AJ142" s="70">
        <v>0</v>
      </c>
      <c r="AK142" s="70">
        <v>0</v>
      </c>
      <c r="AL142" s="70">
        <v>0.01</v>
      </c>
      <c r="AM142" s="70">
        <v>0</v>
      </c>
      <c r="AN142" s="70" t="s">
        <v>1807</v>
      </c>
    </row>
    <row r="143" spans="1:41">
      <c r="A143" s="132">
        <f t="shared" si="14"/>
        <v>135</v>
      </c>
      <c r="B143" s="133" t="s">
        <v>1757</v>
      </c>
      <c r="C143" s="133" t="s">
        <v>1914</v>
      </c>
      <c r="D143" s="132" t="s">
        <v>1707</v>
      </c>
      <c r="E143" s="147" t="s">
        <v>1184</v>
      </c>
      <c r="F143" s="135">
        <v>45782</v>
      </c>
      <c r="G143" s="45"/>
      <c r="H143" s="136"/>
      <c r="I143" s="136">
        <v>120120</v>
      </c>
      <c r="J143" s="137" t="s">
        <v>1025</v>
      </c>
      <c r="K143" s="137"/>
      <c r="L143" s="148">
        <f t="shared" si="13"/>
        <v>120120</v>
      </c>
      <c r="M143" s="122">
        <f t="shared" si="8"/>
        <v>0</v>
      </c>
      <c r="N143" s="137"/>
      <c r="O143" s="149" t="b">
        <f t="shared" si="9"/>
        <v>1</v>
      </c>
      <c r="P143" s="149">
        <f t="shared" si="10"/>
        <v>0</v>
      </c>
      <c r="Q143" s="149" t="b">
        <f t="shared" si="11"/>
        <v>0</v>
      </c>
      <c r="R143" s="149">
        <f t="shared" si="12"/>
        <v>0</v>
      </c>
      <c r="S143" s="144"/>
      <c r="T143" s="143">
        <v>45782</v>
      </c>
      <c r="U143" s="144" t="s">
        <v>1184</v>
      </c>
      <c r="V143" s="144">
        <v>0</v>
      </c>
      <c r="W143" s="144" t="s">
        <v>1071</v>
      </c>
      <c r="X143" s="144" t="s">
        <v>1801</v>
      </c>
      <c r="Y143" s="144" t="s">
        <v>1802</v>
      </c>
      <c r="Z143" s="145">
        <v>1321320</v>
      </c>
      <c r="AA143" s="145">
        <v>1201200</v>
      </c>
      <c r="AB143" s="144">
        <v>0</v>
      </c>
      <c r="AC143" s="144" t="s">
        <v>1022</v>
      </c>
      <c r="AD143" s="145">
        <v>120120</v>
      </c>
      <c r="AE143" s="144">
        <v>0</v>
      </c>
      <c r="AF143" s="146">
        <v>0</v>
      </c>
      <c r="AG143" s="70">
        <v>0</v>
      </c>
      <c r="AH143" s="70">
        <v>0</v>
      </c>
      <c r="AI143" s="70">
        <v>0</v>
      </c>
      <c r="AJ143" s="70">
        <v>0</v>
      </c>
      <c r="AK143" s="70">
        <v>0</v>
      </c>
      <c r="AL143" s="70">
        <v>0.01</v>
      </c>
      <c r="AM143" s="70">
        <v>0</v>
      </c>
      <c r="AN143" s="70" t="s">
        <v>1823</v>
      </c>
      <c r="AO143" s="70" t="s">
        <v>1804</v>
      </c>
    </row>
    <row r="144" spans="1:41">
      <c r="A144" s="132">
        <f t="shared" si="14"/>
        <v>136</v>
      </c>
      <c r="B144" s="133" t="s">
        <v>1728</v>
      </c>
      <c r="C144" s="133" t="s">
        <v>1904</v>
      </c>
      <c r="D144" s="132" t="s">
        <v>1698</v>
      </c>
      <c r="E144" s="147" t="s">
        <v>1185</v>
      </c>
      <c r="F144" s="135">
        <v>45674</v>
      </c>
      <c r="G144" s="45"/>
      <c r="H144" s="136"/>
      <c r="I144" s="136">
        <v>1091317</v>
      </c>
      <c r="J144" s="137" t="s">
        <v>1025</v>
      </c>
      <c r="K144" s="137"/>
      <c r="L144" s="148">
        <f t="shared" si="13"/>
        <v>1091317</v>
      </c>
      <c r="M144" s="122">
        <f t="shared" si="8"/>
        <v>0</v>
      </c>
      <c r="N144" s="137"/>
      <c r="O144" s="149" t="b">
        <f t="shared" si="9"/>
        <v>1</v>
      </c>
      <c r="P144" s="149">
        <f t="shared" si="10"/>
        <v>0</v>
      </c>
      <c r="Q144" s="149" t="b">
        <f t="shared" si="11"/>
        <v>0</v>
      </c>
      <c r="R144" s="149">
        <f t="shared" si="12"/>
        <v>0</v>
      </c>
      <c r="S144" s="144"/>
      <c r="T144" s="143">
        <v>45674</v>
      </c>
      <c r="U144" s="144" t="s">
        <v>1185</v>
      </c>
      <c r="V144" s="144">
        <v>0</v>
      </c>
      <c r="W144" s="144" t="s">
        <v>1071</v>
      </c>
      <c r="X144" s="144" t="s">
        <v>1801</v>
      </c>
      <c r="Y144" s="144" t="s">
        <v>1802</v>
      </c>
      <c r="Z144" s="145">
        <v>12004487</v>
      </c>
      <c r="AA144" s="145">
        <v>10913170</v>
      </c>
      <c r="AB144" s="144">
        <v>0</v>
      </c>
      <c r="AC144" s="144" t="s">
        <v>1022</v>
      </c>
      <c r="AD144" s="145">
        <v>1091317</v>
      </c>
      <c r="AE144" s="144">
        <v>0</v>
      </c>
      <c r="AF144" s="146">
        <v>0</v>
      </c>
      <c r="AG144" s="70">
        <v>0</v>
      </c>
      <c r="AH144" s="70">
        <v>0</v>
      </c>
      <c r="AI144" s="70">
        <v>0</v>
      </c>
      <c r="AJ144" s="70">
        <v>0</v>
      </c>
      <c r="AK144" s="70">
        <v>0</v>
      </c>
      <c r="AL144" s="70">
        <v>0.01</v>
      </c>
      <c r="AM144" s="70">
        <v>0</v>
      </c>
      <c r="AN144" s="70" t="s">
        <v>1807</v>
      </c>
    </row>
    <row r="145" spans="1:41">
      <c r="A145" s="132">
        <f t="shared" si="14"/>
        <v>137</v>
      </c>
      <c r="B145" s="133" t="s">
        <v>1742</v>
      </c>
      <c r="C145" s="133" t="s">
        <v>1905</v>
      </c>
      <c r="D145" s="132" t="s">
        <v>1024</v>
      </c>
      <c r="E145" s="147">
        <v>202500011302</v>
      </c>
      <c r="F145" s="135">
        <v>45672</v>
      </c>
      <c r="G145" s="45"/>
      <c r="H145" s="136"/>
      <c r="I145" s="136">
        <v>421150</v>
      </c>
      <c r="J145" s="137" t="s">
        <v>1025</v>
      </c>
      <c r="K145" s="137"/>
      <c r="L145" s="148">
        <f t="shared" si="13"/>
        <v>421150</v>
      </c>
      <c r="M145" s="122">
        <f t="shared" si="8"/>
        <v>0</v>
      </c>
      <c r="N145" s="137"/>
      <c r="O145" s="149" t="b">
        <f t="shared" si="9"/>
        <v>1</v>
      </c>
      <c r="P145" s="149">
        <f t="shared" si="10"/>
        <v>0</v>
      </c>
      <c r="Q145" s="149" t="b">
        <f t="shared" si="11"/>
        <v>0</v>
      </c>
      <c r="R145" s="149">
        <f t="shared" si="12"/>
        <v>0</v>
      </c>
      <c r="S145" s="144"/>
      <c r="T145" s="143">
        <v>45672</v>
      </c>
      <c r="U145" s="144">
        <v>202500011302</v>
      </c>
      <c r="V145" s="144">
        <v>0</v>
      </c>
      <c r="W145" s="144" t="s">
        <v>1071</v>
      </c>
      <c r="X145" s="144" t="s">
        <v>1801</v>
      </c>
      <c r="Y145" s="144" t="s">
        <v>1802</v>
      </c>
      <c r="Z145" s="145">
        <v>4632646</v>
      </c>
      <c r="AA145" s="145">
        <v>4211496</v>
      </c>
      <c r="AB145" s="144">
        <v>0</v>
      </c>
      <c r="AC145" s="144" t="s">
        <v>1022</v>
      </c>
      <c r="AD145" s="145">
        <v>421150</v>
      </c>
      <c r="AE145" s="144">
        <v>0</v>
      </c>
      <c r="AF145" s="146">
        <v>0</v>
      </c>
      <c r="AG145" s="70">
        <v>0</v>
      </c>
      <c r="AH145" s="70">
        <v>0</v>
      </c>
      <c r="AI145" s="70">
        <v>0</v>
      </c>
      <c r="AJ145" s="70">
        <v>0</v>
      </c>
      <c r="AK145" s="70">
        <v>0</v>
      </c>
      <c r="AL145" s="70">
        <v>0.01</v>
      </c>
      <c r="AM145" s="70">
        <v>0</v>
      </c>
      <c r="AN145" s="70" t="s">
        <v>1826</v>
      </c>
    </row>
    <row r="146" spans="1:41">
      <c r="A146" s="132">
        <f t="shared" si="14"/>
        <v>138</v>
      </c>
      <c r="B146" s="133" t="s">
        <v>1732</v>
      </c>
      <c r="C146" s="133" t="s">
        <v>1906</v>
      </c>
      <c r="D146" s="132" t="s">
        <v>1036</v>
      </c>
      <c r="E146" s="147" t="s">
        <v>1186</v>
      </c>
      <c r="F146" s="135">
        <v>45668</v>
      </c>
      <c r="G146" s="45"/>
      <c r="H146" s="136"/>
      <c r="I146" s="136">
        <v>2546460</v>
      </c>
      <c r="J146" s="137" t="s">
        <v>1025</v>
      </c>
      <c r="K146" s="137"/>
      <c r="L146" s="148">
        <f t="shared" si="13"/>
        <v>2546460</v>
      </c>
      <c r="M146" s="122">
        <f t="shared" si="8"/>
        <v>0</v>
      </c>
      <c r="N146" s="137"/>
      <c r="O146" s="149" t="b">
        <f t="shared" si="9"/>
        <v>1</v>
      </c>
      <c r="P146" s="149">
        <f t="shared" si="10"/>
        <v>0</v>
      </c>
      <c r="Q146" s="149" t="b">
        <f t="shared" si="11"/>
        <v>0</v>
      </c>
      <c r="R146" s="149">
        <f t="shared" si="12"/>
        <v>0</v>
      </c>
      <c r="S146" s="144"/>
      <c r="T146" s="143">
        <v>45668</v>
      </c>
      <c r="U146" s="144" t="s">
        <v>1186</v>
      </c>
      <c r="V146" s="144">
        <v>0</v>
      </c>
      <c r="W146" s="144" t="s">
        <v>1071</v>
      </c>
      <c r="X146" s="144" t="s">
        <v>1801</v>
      </c>
      <c r="Y146" s="144" t="s">
        <v>1802</v>
      </c>
      <c r="Z146" s="145">
        <v>28011060</v>
      </c>
      <c r="AA146" s="145">
        <v>25464600</v>
      </c>
      <c r="AB146" s="144">
        <v>0</v>
      </c>
      <c r="AC146" s="144" t="s">
        <v>1022</v>
      </c>
      <c r="AD146" s="145">
        <v>2546460</v>
      </c>
      <c r="AE146" s="144">
        <v>0</v>
      </c>
      <c r="AF146" s="146">
        <v>0</v>
      </c>
      <c r="AG146" s="70">
        <v>0</v>
      </c>
      <c r="AH146" s="70">
        <v>0</v>
      </c>
      <c r="AI146" s="70">
        <v>0</v>
      </c>
      <c r="AJ146" s="70">
        <v>0</v>
      </c>
      <c r="AK146" s="70">
        <v>0</v>
      </c>
      <c r="AL146" s="70">
        <v>0.01</v>
      </c>
      <c r="AM146" s="70">
        <v>0</v>
      </c>
      <c r="AN146" s="70" t="s">
        <v>1829</v>
      </c>
    </row>
    <row r="147" spans="1:41">
      <c r="A147" s="132">
        <f t="shared" si="14"/>
        <v>139</v>
      </c>
      <c r="B147" s="133" t="s">
        <v>1728</v>
      </c>
      <c r="C147" s="133" t="s">
        <v>1904</v>
      </c>
      <c r="D147" s="132" t="s">
        <v>1698</v>
      </c>
      <c r="E147" s="147" t="s">
        <v>1187</v>
      </c>
      <c r="F147" s="135">
        <v>45672</v>
      </c>
      <c r="G147" s="45"/>
      <c r="H147" s="136"/>
      <c r="I147" s="136">
        <v>2831868</v>
      </c>
      <c r="J147" s="137" t="s">
        <v>1025</v>
      </c>
      <c r="K147" s="137"/>
      <c r="L147" s="148">
        <f t="shared" si="13"/>
        <v>2831868</v>
      </c>
      <c r="M147" s="122">
        <f t="shared" si="8"/>
        <v>0</v>
      </c>
      <c r="N147" s="137"/>
      <c r="O147" s="149" t="b">
        <f t="shared" si="9"/>
        <v>1</v>
      </c>
      <c r="P147" s="149">
        <f t="shared" si="10"/>
        <v>0</v>
      </c>
      <c r="Q147" s="149" t="b">
        <f t="shared" si="11"/>
        <v>0</v>
      </c>
      <c r="R147" s="149">
        <f t="shared" si="12"/>
        <v>0</v>
      </c>
      <c r="S147" s="144"/>
      <c r="T147" s="143">
        <v>45672</v>
      </c>
      <c r="U147" s="144" t="s">
        <v>1187</v>
      </c>
      <c r="V147" s="144">
        <v>0</v>
      </c>
      <c r="W147" s="144" t="s">
        <v>1071</v>
      </c>
      <c r="X147" s="144" t="s">
        <v>1801</v>
      </c>
      <c r="Y147" s="144" t="s">
        <v>1802</v>
      </c>
      <c r="Z147" s="145">
        <v>31150548</v>
      </c>
      <c r="AA147" s="145">
        <v>28318680</v>
      </c>
      <c r="AB147" s="144">
        <v>0</v>
      </c>
      <c r="AC147" s="144" t="s">
        <v>1022</v>
      </c>
      <c r="AD147" s="145">
        <v>2831868</v>
      </c>
      <c r="AE147" s="144">
        <v>0</v>
      </c>
      <c r="AF147" s="146">
        <v>0</v>
      </c>
      <c r="AG147" s="70">
        <v>0</v>
      </c>
      <c r="AH147" s="70">
        <v>0</v>
      </c>
      <c r="AI147" s="70">
        <v>0</v>
      </c>
      <c r="AJ147" s="70">
        <v>0</v>
      </c>
      <c r="AK147" s="70">
        <v>0</v>
      </c>
      <c r="AL147" s="70">
        <v>0.01</v>
      </c>
      <c r="AM147" s="70">
        <v>0</v>
      </c>
      <c r="AN147" s="70" t="s">
        <v>1807</v>
      </c>
    </row>
    <row r="148" spans="1:41">
      <c r="A148" s="132">
        <f t="shared" si="14"/>
        <v>140</v>
      </c>
      <c r="B148" s="133" t="s">
        <v>1742</v>
      </c>
      <c r="C148" s="133" t="s">
        <v>1905</v>
      </c>
      <c r="D148" s="132" t="s">
        <v>1024</v>
      </c>
      <c r="E148" s="147">
        <v>202500009636</v>
      </c>
      <c r="F148" s="135">
        <v>45670</v>
      </c>
      <c r="G148" s="45"/>
      <c r="H148" s="136"/>
      <c r="I148" s="136">
        <v>175827</v>
      </c>
      <c r="J148" s="137" t="s">
        <v>1025</v>
      </c>
      <c r="K148" s="137"/>
      <c r="L148" s="148">
        <f t="shared" si="13"/>
        <v>175827</v>
      </c>
      <c r="M148" s="122">
        <f t="shared" si="8"/>
        <v>0</v>
      </c>
      <c r="N148" s="137"/>
      <c r="O148" s="149" t="b">
        <f t="shared" si="9"/>
        <v>1</v>
      </c>
      <c r="P148" s="149">
        <f t="shared" si="10"/>
        <v>0</v>
      </c>
      <c r="Q148" s="149" t="b">
        <f t="shared" si="11"/>
        <v>0</v>
      </c>
      <c r="R148" s="149">
        <f t="shared" si="12"/>
        <v>0</v>
      </c>
      <c r="S148" s="144"/>
      <c r="T148" s="143">
        <v>45670</v>
      </c>
      <c r="U148" s="144">
        <v>202500009636</v>
      </c>
      <c r="V148" s="144">
        <v>0</v>
      </c>
      <c r="W148" s="144" t="s">
        <v>1071</v>
      </c>
      <c r="X148" s="144" t="s">
        <v>1801</v>
      </c>
      <c r="Y148" s="144" t="s">
        <v>1802</v>
      </c>
      <c r="Z148" s="145">
        <v>1934097</v>
      </c>
      <c r="AA148" s="145">
        <v>1758270</v>
      </c>
      <c r="AB148" s="144">
        <v>0</v>
      </c>
      <c r="AC148" s="144" t="s">
        <v>1022</v>
      </c>
      <c r="AD148" s="145">
        <v>175827</v>
      </c>
      <c r="AE148" s="144">
        <v>0</v>
      </c>
      <c r="AF148" s="146">
        <v>0</v>
      </c>
      <c r="AG148" s="70">
        <v>0</v>
      </c>
      <c r="AH148" s="70">
        <v>0</v>
      </c>
      <c r="AI148" s="70">
        <v>0</v>
      </c>
      <c r="AJ148" s="70">
        <v>0</v>
      </c>
      <c r="AK148" s="70">
        <v>0</v>
      </c>
      <c r="AL148" s="70">
        <v>0.01</v>
      </c>
      <c r="AM148" s="70">
        <v>0</v>
      </c>
      <c r="AN148" s="70" t="s">
        <v>1826</v>
      </c>
    </row>
    <row r="149" spans="1:41">
      <c r="A149" s="132">
        <f t="shared" si="14"/>
        <v>141</v>
      </c>
      <c r="B149" s="133" t="s">
        <v>1728</v>
      </c>
      <c r="C149" s="133" t="s">
        <v>1904</v>
      </c>
      <c r="D149" s="132" t="s">
        <v>1698</v>
      </c>
      <c r="E149" s="147" t="s">
        <v>1188</v>
      </c>
      <c r="F149" s="135">
        <v>45670</v>
      </c>
      <c r="G149" s="45"/>
      <c r="H149" s="136"/>
      <c r="I149" s="136">
        <v>1216642</v>
      </c>
      <c r="J149" s="137" t="s">
        <v>1025</v>
      </c>
      <c r="K149" s="137"/>
      <c r="L149" s="148">
        <f t="shared" si="13"/>
        <v>1216642</v>
      </c>
      <c r="M149" s="122">
        <f t="shared" si="8"/>
        <v>0</v>
      </c>
      <c r="N149" s="137"/>
      <c r="O149" s="149" t="b">
        <f t="shared" si="9"/>
        <v>1</v>
      </c>
      <c r="P149" s="149">
        <f t="shared" si="10"/>
        <v>0</v>
      </c>
      <c r="Q149" s="149" t="b">
        <f t="shared" si="11"/>
        <v>0</v>
      </c>
      <c r="R149" s="149">
        <f t="shared" si="12"/>
        <v>0</v>
      </c>
      <c r="S149" s="144"/>
      <c r="T149" s="143">
        <v>45670</v>
      </c>
      <c r="U149" s="144" t="s">
        <v>1188</v>
      </c>
      <c r="V149" s="144">
        <v>0</v>
      </c>
      <c r="W149" s="144" t="s">
        <v>1071</v>
      </c>
      <c r="X149" s="144" t="s">
        <v>1801</v>
      </c>
      <c r="Y149" s="144" t="s">
        <v>1802</v>
      </c>
      <c r="Z149" s="145">
        <v>13383062</v>
      </c>
      <c r="AA149" s="145">
        <v>12166420</v>
      </c>
      <c r="AB149" s="144">
        <v>0</v>
      </c>
      <c r="AC149" s="144" t="s">
        <v>1022</v>
      </c>
      <c r="AD149" s="145">
        <v>1216642</v>
      </c>
      <c r="AE149" s="144">
        <v>0</v>
      </c>
      <c r="AF149" s="146">
        <v>0</v>
      </c>
      <c r="AG149" s="70">
        <v>0</v>
      </c>
      <c r="AH149" s="70">
        <v>0</v>
      </c>
      <c r="AI149" s="70">
        <v>0</v>
      </c>
      <c r="AJ149" s="70">
        <v>0</v>
      </c>
      <c r="AK149" s="70">
        <v>0</v>
      </c>
      <c r="AL149" s="70">
        <v>0.01</v>
      </c>
      <c r="AM149" s="70">
        <v>0</v>
      </c>
      <c r="AN149" s="70" t="s">
        <v>1807</v>
      </c>
    </row>
    <row r="150" spans="1:41">
      <c r="A150" s="132">
        <f t="shared" si="14"/>
        <v>142</v>
      </c>
      <c r="B150" s="133" t="s">
        <v>1758</v>
      </c>
      <c r="C150" s="133" t="s">
        <v>1915</v>
      </c>
      <c r="D150" s="132" t="s">
        <v>1708</v>
      </c>
      <c r="E150" s="147" t="s">
        <v>1189</v>
      </c>
      <c r="F150" s="135">
        <v>45789</v>
      </c>
      <c r="G150" s="45"/>
      <c r="H150" s="136"/>
      <c r="I150" s="136">
        <v>720540</v>
      </c>
      <c r="J150" s="137" t="s">
        <v>1025</v>
      </c>
      <c r="K150" s="137"/>
      <c r="L150" s="148">
        <f t="shared" si="13"/>
        <v>720540</v>
      </c>
      <c r="M150" s="122">
        <f t="shared" si="8"/>
        <v>0</v>
      </c>
      <c r="N150" s="137"/>
      <c r="O150" s="149" t="b">
        <f t="shared" si="9"/>
        <v>1</v>
      </c>
      <c r="P150" s="149">
        <f t="shared" si="10"/>
        <v>0</v>
      </c>
      <c r="Q150" s="149" t="b">
        <f t="shared" si="11"/>
        <v>0</v>
      </c>
      <c r="R150" s="149">
        <f t="shared" si="12"/>
        <v>0</v>
      </c>
      <c r="S150" s="144"/>
      <c r="T150" s="143">
        <v>45792</v>
      </c>
      <c r="U150" s="144" t="s">
        <v>1189</v>
      </c>
      <c r="V150" s="144">
        <v>0</v>
      </c>
      <c r="W150" s="144" t="s">
        <v>1071</v>
      </c>
      <c r="X150" s="144" t="s">
        <v>1801</v>
      </c>
      <c r="Y150" s="144" t="s">
        <v>1802</v>
      </c>
      <c r="Z150" s="145">
        <v>7925940</v>
      </c>
      <c r="AA150" s="145">
        <v>7205400</v>
      </c>
      <c r="AB150" s="144">
        <v>0</v>
      </c>
      <c r="AC150" s="144" t="s">
        <v>1022</v>
      </c>
      <c r="AD150" s="145">
        <v>720540</v>
      </c>
      <c r="AE150" s="144">
        <v>0</v>
      </c>
      <c r="AF150" s="146">
        <v>0</v>
      </c>
      <c r="AG150" s="70">
        <v>0</v>
      </c>
      <c r="AH150" s="70">
        <v>0</v>
      </c>
      <c r="AI150" s="70">
        <v>0</v>
      </c>
      <c r="AJ150" s="70">
        <v>0</v>
      </c>
      <c r="AK150" s="70">
        <v>0</v>
      </c>
      <c r="AL150" s="70">
        <v>0.01</v>
      </c>
      <c r="AM150" s="70">
        <v>0</v>
      </c>
      <c r="AN150" s="70" t="s">
        <v>1830</v>
      </c>
      <c r="AO150" s="70" t="s">
        <v>1804</v>
      </c>
    </row>
    <row r="151" spans="1:41">
      <c r="A151" s="132">
        <f t="shared" si="14"/>
        <v>143</v>
      </c>
      <c r="B151" s="133" t="s">
        <v>1759</v>
      </c>
      <c r="C151" s="133" t="s">
        <v>1916</v>
      </c>
      <c r="D151" s="132" t="s">
        <v>1709</v>
      </c>
      <c r="E151" s="147">
        <v>103</v>
      </c>
      <c r="F151" s="135">
        <v>45576</v>
      </c>
      <c r="G151" s="45"/>
      <c r="H151" s="136"/>
      <c r="I151" s="136">
        <v>113358</v>
      </c>
      <c r="J151" s="137" t="s">
        <v>1025</v>
      </c>
      <c r="K151" s="137"/>
      <c r="L151" s="148">
        <f t="shared" si="13"/>
        <v>113358</v>
      </c>
      <c r="M151" s="122">
        <f t="shared" ref="M151:M214" si="15">I151-L151</f>
        <v>0</v>
      </c>
      <c r="N151" s="137"/>
      <c r="O151" s="149" t="b">
        <f t="shared" ref="O151:O214" si="16">U151=E151</f>
        <v>1</v>
      </c>
      <c r="P151" s="149">
        <f t="shared" ref="P151:P214" si="17">MONTH(F151)-MONTH(T151)</f>
        <v>0</v>
      </c>
      <c r="Q151" s="149" t="b">
        <f t="shared" ref="Q151:Q214" si="18">$B$5=X151</f>
        <v>0</v>
      </c>
      <c r="R151" s="149">
        <f t="shared" ref="R151:R214" si="19">I151-AD151</f>
        <v>0</v>
      </c>
      <c r="S151" s="144"/>
      <c r="T151" s="143">
        <v>45576</v>
      </c>
      <c r="U151" s="144">
        <v>103</v>
      </c>
      <c r="V151" s="144">
        <v>0</v>
      </c>
      <c r="W151" s="144" t="s">
        <v>1071</v>
      </c>
      <c r="X151" s="144" t="s">
        <v>1801</v>
      </c>
      <c r="Y151" s="144" t="s">
        <v>1802</v>
      </c>
      <c r="Z151" s="145">
        <v>1246935</v>
      </c>
      <c r="AA151" s="145">
        <v>1133577</v>
      </c>
      <c r="AB151" s="144">
        <v>0</v>
      </c>
      <c r="AC151" s="144" t="s">
        <v>1022</v>
      </c>
      <c r="AD151" s="145">
        <v>113358</v>
      </c>
      <c r="AE151" s="144">
        <v>0</v>
      </c>
      <c r="AF151" s="146">
        <v>0</v>
      </c>
      <c r="AG151" s="70">
        <v>0</v>
      </c>
      <c r="AH151" s="70">
        <v>0</v>
      </c>
      <c r="AI151" s="70">
        <v>0</v>
      </c>
      <c r="AJ151" s="70">
        <v>0</v>
      </c>
      <c r="AK151" s="70">
        <v>0</v>
      </c>
      <c r="AL151" s="70">
        <v>0.01</v>
      </c>
      <c r="AM151" s="70">
        <v>0</v>
      </c>
      <c r="AN151" s="70" t="s">
        <v>1759</v>
      </c>
      <c r="AO151" s="70" t="s">
        <v>1804</v>
      </c>
    </row>
    <row r="152" spans="1:41">
      <c r="A152" s="132">
        <f t="shared" si="14"/>
        <v>144</v>
      </c>
      <c r="B152" s="133" t="s">
        <v>1759</v>
      </c>
      <c r="C152" s="133" t="s">
        <v>1916</v>
      </c>
      <c r="D152" s="132" t="s">
        <v>1709</v>
      </c>
      <c r="E152" s="147">
        <v>139</v>
      </c>
      <c r="F152" s="135">
        <v>45651</v>
      </c>
      <c r="G152" s="45"/>
      <c r="H152" s="136"/>
      <c r="I152" s="136">
        <v>10048</v>
      </c>
      <c r="J152" s="137" t="s">
        <v>1025</v>
      </c>
      <c r="K152" s="137"/>
      <c r="L152" s="148">
        <f t="shared" ref="L152" si="20">I152</f>
        <v>10048</v>
      </c>
      <c r="M152" s="122">
        <f t="shared" si="15"/>
        <v>0</v>
      </c>
      <c r="N152" s="137"/>
      <c r="O152" s="149" t="b">
        <f t="shared" si="16"/>
        <v>1</v>
      </c>
      <c r="P152" s="149">
        <f t="shared" si="17"/>
        <v>0</v>
      </c>
      <c r="Q152" s="149" t="b">
        <f t="shared" si="18"/>
        <v>0</v>
      </c>
      <c r="R152" s="149">
        <f t="shared" si="19"/>
        <v>0</v>
      </c>
      <c r="S152" s="144"/>
      <c r="T152" s="143">
        <v>45651</v>
      </c>
      <c r="U152" s="144">
        <v>139</v>
      </c>
      <c r="V152" s="144">
        <v>0</v>
      </c>
      <c r="W152" s="144" t="s">
        <v>1071</v>
      </c>
      <c r="X152" s="144" t="s">
        <v>1801</v>
      </c>
      <c r="Y152" s="144" t="s">
        <v>1802</v>
      </c>
      <c r="Z152" s="145">
        <v>110523</v>
      </c>
      <c r="AA152" s="145">
        <v>100475</v>
      </c>
      <c r="AB152" s="144">
        <v>0</v>
      </c>
      <c r="AC152" s="144" t="s">
        <v>1022</v>
      </c>
      <c r="AD152" s="145">
        <v>10048</v>
      </c>
      <c r="AE152" s="144">
        <v>0</v>
      </c>
      <c r="AF152" s="146">
        <v>0</v>
      </c>
      <c r="AG152" s="70">
        <v>0</v>
      </c>
      <c r="AH152" s="70">
        <v>0</v>
      </c>
      <c r="AI152" s="70">
        <v>0</v>
      </c>
      <c r="AJ152" s="70">
        <v>0</v>
      </c>
      <c r="AK152" s="70">
        <v>0</v>
      </c>
      <c r="AL152" s="70">
        <v>0.01</v>
      </c>
      <c r="AM152" s="70">
        <v>0</v>
      </c>
      <c r="AN152" s="70" t="s">
        <v>1759</v>
      </c>
      <c r="AO152" s="70" t="s">
        <v>1804</v>
      </c>
    </row>
    <row r="153" spans="1:41">
      <c r="A153" s="132">
        <f t="shared" si="14"/>
        <v>145</v>
      </c>
      <c r="B153" s="133" t="s">
        <v>1759</v>
      </c>
      <c r="C153" s="133" t="s">
        <v>1916</v>
      </c>
      <c r="D153" s="132" t="s">
        <v>1709</v>
      </c>
      <c r="E153" s="147">
        <v>8</v>
      </c>
      <c r="F153" s="135">
        <v>45689</v>
      </c>
      <c r="G153" s="45"/>
      <c r="H153" s="136"/>
      <c r="I153" s="136">
        <v>52481</v>
      </c>
      <c r="J153" s="137" t="s">
        <v>1899</v>
      </c>
      <c r="K153" s="137"/>
      <c r="L153" s="148"/>
      <c r="M153" s="122">
        <f t="shared" si="15"/>
        <v>52481</v>
      </c>
      <c r="N153" s="137"/>
      <c r="O153" s="149" t="b">
        <f t="shared" si="16"/>
        <v>1</v>
      </c>
      <c r="P153" s="149">
        <f t="shared" si="17"/>
        <v>1</v>
      </c>
      <c r="Q153" s="149" t="b">
        <f t="shared" si="18"/>
        <v>0</v>
      </c>
      <c r="R153" s="149">
        <f t="shared" si="19"/>
        <v>0</v>
      </c>
      <c r="S153" s="144"/>
      <c r="T153" s="143">
        <v>45671</v>
      </c>
      <c r="U153" s="144">
        <v>8</v>
      </c>
      <c r="V153" s="144">
        <v>0</v>
      </c>
      <c r="W153" s="144" t="s">
        <v>1071</v>
      </c>
      <c r="X153" s="144" t="s">
        <v>1801</v>
      </c>
      <c r="Y153" s="144" t="s">
        <v>1802</v>
      </c>
      <c r="Z153" s="145">
        <v>577291</v>
      </c>
      <c r="AA153" s="145">
        <v>524810</v>
      </c>
      <c r="AB153" s="144">
        <v>0</v>
      </c>
      <c r="AC153" s="144" t="s">
        <v>1022</v>
      </c>
      <c r="AD153" s="145">
        <v>52481</v>
      </c>
      <c r="AE153" s="144">
        <v>0</v>
      </c>
      <c r="AF153" s="146">
        <v>0</v>
      </c>
      <c r="AG153" s="70">
        <v>0</v>
      </c>
      <c r="AH153" s="70">
        <v>0</v>
      </c>
      <c r="AI153" s="70">
        <v>0</v>
      </c>
      <c r="AJ153" s="70">
        <v>0</v>
      </c>
      <c r="AK153" s="70">
        <v>0</v>
      </c>
      <c r="AL153" s="70">
        <v>0.01</v>
      </c>
      <c r="AM153" s="70">
        <v>0</v>
      </c>
      <c r="AN153" s="70" t="s">
        <v>1759</v>
      </c>
      <c r="AO153" s="70" t="s">
        <v>1831</v>
      </c>
    </row>
    <row r="154" spans="1:41">
      <c r="A154" s="132">
        <f t="shared" si="14"/>
        <v>146</v>
      </c>
      <c r="B154" s="133" t="s">
        <v>1742</v>
      </c>
      <c r="C154" s="133" t="s">
        <v>1905</v>
      </c>
      <c r="D154" s="132" t="s">
        <v>1024</v>
      </c>
      <c r="E154" s="147">
        <v>202500007883</v>
      </c>
      <c r="F154" s="135">
        <v>45667</v>
      </c>
      <c r="G154" s="45"/>
      <c r="H154" s="136"/>
      <c r="I154" s="136">
        <v>207355</v>
      </c>
      <c r="J154" s="137" t="s">
        <v>1025</v>
      </c>
      <c r="K154" s="137"/>
      <c r="L154" s="148">
        <f>I154</f>
        <v>207355</v>
      </c>
      <c r="M154" s="122">
        <f t="shared" si="15"/>
        <v>0</v>
      </c>
      <c r="N154" s="137"/>
      <c r="O154" s="149" t="b">
        <f t="shared" si="16"/>
        <v>1</v>
      </c>
      <c r="P154" s="149">
        <f t="shared" si="17"/>
        <v>0</v>
      </c>
      <c r="Q154" s="149" t="b">
        <f t="shared" si="18"/>
        <v>0</v>
      </c>
      <c r="R154" s="149">
        <f t="shared" si="19"/>
        <v>0</v>
      </c>
      <c r="S154" s="144"/>
      <c r="T154" s="143">
        <v>45667</v>
      </c>
      <c r="U154" s="144">
        <v>202500007883</v>
      </c>
      <c r="V154" s="144">
        <v>0</v>
      </c>
      <c r="W154" s="144" t="s">
        <v>1071</v>
      </c>
      <c r="X154" s="144" t="s">
        <v>1801</v>
      </c>
      <c r="Y154" s="144" t="s">
        <v>1802</v>
      </c>
      <c r="Z154" s="145">
        <v>2280901</v>
      </c>
      <c r="AA154" s="145">
        <v>2073546</v>
      </c>
      <c r="AB154" s="144">
        <v>0</v>
      </c>
      <c r="AC154" s="144" t="s">
        <v>1022</v>
      </c>
      <c r="AD154" s="145">
        <v>207355</v>
      </c>
      <c r="AE154" s="144">
        <v>0</v>
      </c>
      <c r="AF154" s="146">
        <v>0</v>
      </c>
      <c r="AG154" s="70">
        <v>0</v>
      </c>
      <c r="AH154" s="70">
        <v>0</v>
      </c>
      <c r="AI154" s="70">
        <v>0</v>
      </c>
      <c r="AJ154" s="70">
        <v>0</v>
      </c>
      <c r="AK154" s="70">
        <v>0</v>
      </c>
      <c r="AL154" s="70">
        <v>0.01</v>
      </c>
      <c r="AM154" s="70">
        <v>0</v>
      </c>
      <c r="AN154" s="70" t="s">
        <v>1826</v>
      </c>
    </row>
    <row r="155" spans="1:41">
      <c r="A155" s="132">
        <f t="shared" si="14"/>
        <v>147</v>
      </c>
      <c r="B155" s="133" t="s">
        <v>1759</v>
      </c>
      <c r="C155" s="133" t="s">
        <v>1916</v>
      </c>
      <c r="D155" s="132" t="s">
        <v>1709</v>
      </c>
      <c r="E155" s="147">
        <v>56</v>
      </c>
      <c r="F155" s="135">
        <v>45756</v>
      </c>
      <c r="G155" s="45"/>
      <c r="H155" s="136"/>
      <c r="I155" s="136">
        <v>10104</v>
      </c>
      <c r="J155" s="137" t="s">
        <v>1899</v>
      </c>
      <c r="K155" s="137"/>
      <c r="L155" s="148"/>
      <c r="M155" s="122">
        <f t="shared" si="15"/>
        <v>10104</v>
      </c>
      <c r="N155" s="137"/>
      <c r="O155" s="149" t="b">
        <f t="shared" si="16"/>
        <v>0</v>
      </c>
      <c r="P155" s="149">
        <f t="shared" si="17"/>
        <v>0</v>
      </c>
      <c r="Q155" s="149" t="b">
        <f t="shared" si="18"/>
        <v>0</v>
      </c>
      <c r="R155" s="149">
        <f t="shared" si="19"/>
        <v>0</v>
      </c>
      <c r="S155" s="144"/>
      <c r="T155" s="143">
        <v>45756</v>
      </c>
      <c r="U155" s="144">
        <v>58</v>
      </c>
      <c r="V155" s="144">
        <v>0</v>
      </c>
      <c r="W155" s="144" t="s">
        <v>1071</v>
      </c>
      <c r="X155" s="144" t="s">
        <v>1801</v>
      </c>
      <c r="Y155" s="144" t="s">
        <v>1802</v>
      </c>
      <c r="Z155" s="145">
        <v>111139</v>
      </c>
      <c r="AA155" s="145">
        <v>101035</v>
      </c>
      <c r="AB155" s="144">
        <v>0</v>
      </c>
      <c r="AC155" s="144" t="s">
        <v>1022</v>
      </c>
      <c r="AD155" s="145">
        <v>10104</v>
      </c>
      <c r="AE155" s="144">
        <v>0</v>
      </c>
      <c r="AF155" s="146">
        <v>0</v>
      </c>
      <c r="AG155" s="70">
        <v>0</v>
      </c>
      <c r="AH155" s="70">
        <v>0</v>
      </c>
      <c r="AI155" s="70">
        <v>0</v>
      </c>
      <c r="AJ155" s="70">
        <v>0</v>
      </c>
      <c r="AK155" s="70">
        <v>0</v>
      </c>
      <c r="AL155" s="70">
        <v>0.01</v>
      </c>
      <c r="AM155" s="70">
        <v>0</v>
      </c>
      <c r="AN155" s="70" t="s">
        <v>1759</v>
      </c>
      <c r="AO155" s="70" t="s">
        <v>1804</v>
      </c>
    </row>
    <row r="156" spans="1:41">
      <c r="A156" s="132">
        <f t="shared" si="14"/>
        <v>148</v>
      </c>
      <c r="B156" s="133" t="s">
        <v>1732</v>
      </c>
      <c r="C156" s="133" t="s">
        <v>1906</v>
      </c>
      <c r="D156" s="132" t="s">
        <v>1036</v>
      </c>
      <c r="E156" s="147" t="s">
        <v>1190</v>
      </c>
      <c r="F156" s="135">
        <v>45661</v>
      </c>
      <c r="G156" s="45"/>
      <c r="H156" s="136"/>
      <c r="I156" s="136">
        <v>1112832</v>
      </c>
      <c r="J156" s="137" t="s">
        <v>1025</v>
      </c>
      <c r="K156" s="137"/>
      <c r="L156" s="148">
        <f t="shared" ref="L156:L167" si="21">I156</f>
        <v>1112832</v>
      </c>
      <c r="M156" s="122">
        <f t="shared" si="15"/>
        <v>0</v>
      </c>
      <c r="N156" s="137"/>
      <c r="O156" s="149" t="b">
        <f t="shared" si="16"/>
        <v>1</v>
      </c>
      <c r="P156" s="149">
        <f t="shared" si="17"/>
        <v>0</v>
      </c>
      <c r="Q156" s="149" t="b">
        <f t="shared" si="18"/>
        <v>0</v>
      </c>
      <c r="R156" s="149">
        <f t="shared" si="19"/>
        <v>0</v>
      </c>
      <c r="S156" s="144"/>
      <c r="T156" s="143">
        <v>45661</v>
      </c>
      <c r="U156" s="144" t="s">
        <v>1190</v>
      </c>
      <c r="V156" s="144">
        <v>0</v>
      </c>
      <c r="W156" s="144" t="s">
        <v>1071</v>
      </c>
      <c r="X156" s="144" t="s">
        <v>1801</v>
      </c>
      <c r="Y156" s="144" t="s">
        <v>1802</v>
      </c>
      <c r="Z156" s="145">
        <v>12241152</v>
      </c>
      <c r="AA156" s="145">
        <v>11128320</v>
      </c>
      <c r="AB156" s="144">
        <v>0</v>
      </c>
      <c r="AC156" s="144" t="s">
        <v>1022</v>
      </c>
      <c r="AD156" s="145">
        <v>1112832</v>
      </c>
      <c r="AE156" s="144">
        <v>0</v>
      </c>
      <c r="AF156" s="146">
        <v>0</v>
      </c>
      <c r="AG156" s="70">
        <v>0</v>
      </c>
      <c r="AH156" s="70">
        <v>0</v>
      </c>
      <c r="AI156" s="70">
        <v>0</v>
      </c>
      <c r="AJ156" s="70">
        <v>0</v>
      </c>
      <c r="AK156" s="70">
        <v>0</v>
      </c>
      <c r="AL156" s="70">
        <v>0.01</v>
      </c>
      <c r="AM156" s="70">
        <v>0</v>
      </c>
      <c r="AN156" s="70" t="s">
        <v>1832</v>
      </c>
    </row>
    <row r="157" spans="1:41">
      <c r="A157" s="132">
        <f t="shared" si="14"/>
        <v>149</v>
      </c>
      <c r="B157" s="133" t="s">
        <v>1728</v>
      </c>
      <c r="C157" s="133" t="s">
        <v>1904</v>
      </c>
      <c r="D157" s="132" t="s">
        <v>1698</v>
      </c>
      <c r="E157" s="147" t="s">
        <v>1191</v>
      </c>
      <c r="F157" s="135">
        <v>45667</v>
      </c>
      <c r="G157" s="45"/>
      <c r="H157" s="136"/>
      <c r="I157" s="136">
        <v>2243310</v>
      </c>
      <c r="J157" s="137" t="s">
        <v>1025</v>
      </c>
      <c r="K157" s="137"/>
      <c r="L157" s="148">
        <f t="shared" si="21"/>
        <v>2243310</v>
      </c>
      <c r="M157" s="122">
        <f t="shared" si="15"/>
        <v>0</v>
      </c>
      <c r="N157" s="137"/>
      <c r="O157" s="149" t="b">
        <f t="shared" si="16"/>
        <v>1</v>
      </c>
      <c r="P157" s="149">
        <f t="shared" si="17"/>
        <v>0</v>
      </c>
      <c r="Q157" s="149" t="b">
        <f t="shared" si="18"/>
        <v>0</v>
      </c>
      <c r="R157" s="149">
        <f t="shared" si="19"/>
        <v>0</v>
      </c>
      <c r="S157" s="144"/>
      <c r="T157" s="143">
        <v>45667</v>
      </c>
      <c r="U157" s="144" t="s">
        <v>1191</v>
      </c>
      <c r="V157" s="144">
        <v>0</v>
      </c>
      <c r="W157" s="144" t="s">
        <v>1071</v>
      </c>
      <c r="X157" s="144" t="s">
        <v>1801</v>
      </c>
      <c r="Y157" s="144" t="s">
        <v>1802</v>
      </c>
      <c r="Z157" s="145">
        <v>24676410</v>
      </c>
      <c r="AA157" s="145">
        <v>22433100</v>
      </c>
      <c r="AB157" s="144">
        <v>0</v>
      </c>
      <c r="AC157" s="144" t="s">
        <v>1022</v>
      </c>
      <c r="AD157" s="145">
        <v>2243310</v>
      </c>
      <c r="AE157" s="144">
        <v>0</v>
      </c>
      <c r="AF157" s="146">
        <v>0</v>
      </c>
      <c r="AG157" s="70">
        <v>0</v>
      </c>
      <c r="AH157" s="70">
        <v>0</v>
      </c>
      <c r="AI157" s="70">
        <v>0</v>
      </c>
      <c r="AJ157" s="70">
        <v>0</v>
      </c>
      <c r="AK157" s="70">
        <v>0</v>
      </c>
      <c r="AL157" s="70">
        <v>0.01</v>
      </c>
      <c r="AM157" s="70">
        <v>0</v>
      </c>
      <c r="AN157" s="70" t="s">
        <v>1807</v>
      </c>
    </row>
    <row r="158" spans="1:41">
      <c r="A158" s="132">
        <f t="shared" si="14"/>
        <v>150</v>
      </c>
      <c r="B158" s="133" t="s">
        <v>1742</v>
      </c>
      <c r="C158" s="133" t="s">
        <v>1905</v>
      </c>
      <c r="D158" s="132" t="s">
        <v>1024</v>
      </c>
      <c r="E158" s="147">
        <v>202500007788</v>
      </c>
      <c r="F158" s="135">
        <v>45667</v>
      </c>
      <c r="G158" s="45"/>
      <c r="H158" s="136"/>
      <c r="I158" s="136">
        <v>184315</v>
      </c>
      <c r="J158" s="137" t="s">
        <v>1025</v>
      </c>
      <c r="K158" s="137"/>
      <c r="L158" s="148">
        <f t="shared" si="21"/>
        <v>184315</v>
      </c>
      <c r="M158" s="122">
        <f t="shared" si="15"/>
        <v>0</v>
      </c>
      <c r="N158" s="137"/>
      <c r="O158" s="149" t="b">
        <f t="shared" si="16"/>
        <v>1</v>
      </c>
      <c r="P158" s="149">
        <f t="shared" si="17"/>
        <v>0</v>
      </c>
      <c r="Q158" s="149" t="b">
        <f t="shared" si="18"/>
        <v>0</v>
      </c>
      <c r="R158" s="149">
        <f t="shared" si="19"/>
        <v>0</v>
      </c>
      <c r="S158" s="144"/>
      <c r="T158" s="143">
        <v>45667</v>
      </c>
      <c r="U158" s="144">
        <v>202500007788</v>
      </c>
      <c r="V158" s="144">
        <v>0</v>
      </c>
      <c r="W158" s="144" t="s">
        <v>1071</v>
      </c>
      <c r="X158" s="144" t="s">
        <v>1801</v>
      </c>
      <c r="Y158" s="144" t="s">
        <v>1802</v>
      </c>
      <c r="Z158" s="145">
        <v>2027467</v>
      </c>
      <c r="AA158" s="145">
        <v>1843152</v>
      </c>
      <c r="AB158" s="144">
        <v>0</v>
      </c>
      <c r="AC158" s="144" t="s">
        <v>1022</v>
      </c>
      <c r="AD158" s="145">
        <v>184315</v>
      </c>
      <c r="AE158" s="144">
        <v>0</v>
      </c>
      <c r="AF158" s="146">
        <v>0</v>
      </c>
      <c r="AG158" s="70">
        <v>0</v>
      </c>
      <c r="AH158" s="70">
        <v>0</v>
      </c>
      <c r="AI158" s="70">
        <v>0</v>
      </c>
      <c r="AJ158" s="70">
        <v>0</v>
      </c>
      <c r="AK158" s="70">
        <v>0</v>
      </c>
      <c r="AL158" s="70">
        <v>0.01</v>
      </c>
      <c r="AM158" s="70">
        <v>0</v>
      </c>
      <c r="AN158" s="70" t="s">
        <v>1826</v>
      </c>
    </row>
    <row r="159" spans="1:41">
      <c r="A159" s="132">
        <f t="shared" si="14"/>
        <v>151</v>
      </c>
      <c r="B159" s="133" t="s">
        <v>1732</v>
      </c>
      <c r="C159" s="133" t="s">
        <v>1906</v>
      </c>
      <c r="D159" s="132" t="s">
        <v>1036</v>
      </c>
      <c r="E159" s="147" t="s">
        <v>1192</v>
      </c>
      <c r="F159" s="135">
        <v>45661</v>
      </c>
      <c r="G159" s="45"/>
      <c r="H159" s="136"/>
      <c r="I159" s="136">
        <v>991872</v>
      </c>
      <c r="J159" s="137" t="s">
        <v>1025</v>
      </c>
      <c r="K159" s="137"/>
      <c r="L159" s="148">
        <f t="shared" si="21"/>
        <v>991872</v>
      </c>
      <c r="M159" s="122">
        <f t="shared" si="15"/>
        <v>0</v>
      </c>
      <c r="N159" s="137"/>
      <c r="O159" s="149" t="b">
        <f t="shared" si="16"/>
        <v>1</v>
      </c>
      <c r="P159" s="149">
        <f t="shared" si="17"/>
        <v>0</v>
      </c>
      <c r="Q159" s="149" t="b">
        <f t="shared" si="18"/>
        <v>0</v>
      </c>
      <c r="R159" s="149">
        <f t="shared" si="19"/>
        <v>0</v>
      </c>
      <c r="S159" s="144"/>
      <c r="T159" s="143">
        <v>45661</v>
      </c>
      <c r="U159" s="144" t="s">
        <v>1192</v>
      </c>
      <c r="V159" s="144">
        <v>0</v>
      </c>
      <c r="W159" s="144" t="s">
        <v>1071</v>
      </c>
      <c r="X159" s="144" t="s">
        <v>1801</v>
      </c>
      <c r="Y159" s="144" t="s">
        <v>1802</v>
      </c>
      <c r="Z159" s="145">
        <v>10910592</v>
      </c>
      <c r="AA159" s="145">
        <v>9918720</v>
      </c>
      <c r="AB159" s="144">
        <v>0</v>
      </c>
      <c r="AC159" s="144" t="s">
        <v>1022</v>
      </c>
      <c r="AD159" s="145">
        <v>991872</v>
      </c>
      <c r="AE159" s="144">
        <v>0</v>
      </c>
      <c r="AF159" s="146">
        <v>0</v>
      </c>
      <c r="AG159" s="70">
        <v>0</v>
      </c>
      <c r="AH159" s="70">
        <v>0</v>
      </c>
      <c r="AI159" s="70">
        <v>0</v>
      </c>
      <c r="AJ159" s="70">
        <v>0</v>
      </c>
      <c r="AK159" s="70">
        <v>0</v>
      </c>
      <c r="AL159" s="70">
        <v>0.01</v>
      </c>
      <c r="AM159" s="70">
        <v>0</v>
      </c>
      <c r="AN159" s="70" t="s">
        <v>1833</v>
      </c>
    </row>
    <row r="160" spans="1:41">
      <c r="A160" s="132">
        <f t="shared" si="14"/>
        <v>152</v>
      </c>
      <c r="B160" s="133" t="s">
        <v>1728</v>
      </c>
      <c r="C160" s="133" t="s">
        <v>1904</v>
      </c>
      <c r="D160" s="132" t="s">
        <v>1698</v>
      </c>
      <c r="E160" s="147" t="s">
        <v>1193</v>
      </c>
      <c r="F160" s="135">
        <v>45667</v>
      </c>
      <c r="G160" s="45"/>
      <c r="H160" s="136"/>
      <c r="I160" s="136">
        <v>1996748</v>
      </c>
      <c r="J160" s="137" t="s">
        <v>1025</v>
      </c>
      <c r="K160" s="137"/>
      <c r="L160" s="148">
        <f t="shared" si="21"/>
        <v>1996748</v>
      </c>
      <c r="M160" s="122">
        <f t="shared" si="15"/>
        <v>0</v>
      </c>
      <c r="N160" s="137"/>
      <c r="O160" s="149" t="b">
        <f t="shared" si="16"/>
        <v>1</v>
      </c>
      <c r="P160" s="149">
        <f t="shared" si="17"/>
        <v>0</v>
      </c>
      <c r="Q160" s="149" t="b">
        <f t="shared" si="18"/>
        <v>0</v>
      </c>
      <c r="R160" s="149">
        <f t="shared" si="19"/>
        <v>0</v>
      </c>
      <c r="S160" s="144"/>
      <c r="T160" s="143">
        <v>45667</v>
      </c>
      <c r="U160" s="144" t="s">
        <v>1193</v>
      </c>
      <c r="V160" s="144">
        <v>0</v>
      </c>
      <c r="W160" s="144" t="s">
        <v>1071</v>
      </c>
      <c r="X160" s="144" t="s">
        <v>1801</v>
      </c>
      <c r="Y160" s="144" t="s">
        <v>1802</v>
      </c>
      <c r="Z160" s="145">
        <v>21964228</v>
      </c>
      <c r="AA160" s="145">
        <v>19967480</v>
      </c>
      <c r="AB160" s="144">
        <v>0</v>
      </c>
      <c r="AC160" s="144" t="s">
        <v>1022</v>
      </c>
      <c r="AD160" s="145">
        <v>1996748</v>
      </c>
      <c r="AE160" s="144">
        <v>0</v>
      </c>
      <c r="AF160" s="146">
        <v>0</v>
      </c>
      <c r="AG160" s="70">
        <v>0</v>
      </c>
      <c r="AH160" s="70">
        <v>0</v>
      </c>
      <c r="AI160" s="70">
        <v>0</v>
      </c>
      <c r="AJ160" s="70">
        <v>0</v>
      </c>
      <c r="AK160" s="70">
        <v>0</v>
      </c>
      <c r="AL160" s="70">
        <v>0.01</v>
      </c>
      <c r="AM160" s="70">
        <v>0</v>
      </c>
      <c r="AN160" s="70" t="s">
        <v>1807</v>
      </c>
    </row>
    <row r="161" spans="1:41">
      <c r="A161" s="132">
        <f t="shared" si="14"/>
        <v>153</v>
      </c>
      <c r="B161" s="133" t="s">
        <v>1742</v>
      </c>
      <c r="C161" s="133" t="s">
        <v>1905</v>
      </c>
      <c r="D161" s="132" t="s">
        <v>1024</v>
      </c>
      <c r="E161" s="147">
        <v>202500008230</v>
      </c>
      <c r="F161" s="135">
        <v>45668</v>
      </c>
      <c r="G161" s="45"/>
      <c r="H161" s="136"/>
      <c r="I161" s="136">
        <v>351654</v>
      </c>
      <c r="J161" s="137" t="s">
        <v>1025</v>
      </c>
      <c r="K161" s="137"/>
      <c r="L161" s="148">
        <f t="shared" si="21"/>
        <v>351654</v>
      </c>
      <c r="M161" s="122">
        <f t="shared" si="15"/>
        <v>0</v>
      </c>
      <c r="N161" s="137"/>
      <c r="O161" s="149" t="b">
        <f t="shared" si="16"/>
        <v>1</v>
      </c>
      <c r="P161" s="149">
        <f t="shared" si="17"/>
        <v>0</v>
      </c>
      <c r="Q161" s="149" t="b">
        <f t="shared" si="18"/>
        <v>0</v>
      </c>
      <c r="R161" s="149">
        <f t="shared" si="19"/>
        <v>0</v>
      </c>
      <c r="S161" s="144"/>
      <c r="T161" s="143">
        <v>45668</v>
      </c>
      <c r="U161" s="144">
        <v>202500008230</v>
      </c>
      <c r="V161" s="144">
        <v>0</v>
      </c>
      <c r="W161" s="144" t="s">
        <v>1071</v>
      </c>
      <c r="X161" s="144" t="s">
        <v>1801</v>
      </c>
      <c r="Y161" s="144" t="s">
        <v>1802</v>
      </c>
      <c r="Z161" s="145">
        <v>3868194</v>
      </c>
      <c r="AA161" s="145">
        <v>3516540</v>
      </c>
      <c r="AB161" s="144">
        <v>0</v>
      </c>
      <c r="AC161" s="144" t="s">
        <v>1022</v>
      </c>
      <c r="AD161" s="145">
        <v>351654</v>
      </c>
      <c r="AE161" s="144">
        <v>0</v>
      </c>
      <c r="AF161" s="146">
        <v>0</v>
      </c>
      <c r="AG161" s="70">
        <v>0</v>
      </c>
      <c r="AH161" s="70">
        <v>0</v>
      </c>
      <c r="AI161" s="70">
        <v>0</v>
      </c>
      <c r="AJ161" s="70">
        <v>0</v>
      </c>
      <c r="AK161" s="70">
        <v>0</v>
      </c>
      <c r="AL161" s="70">
        <v>0.01</v>
      </c>
      <c r="AM161" s="70">
        <v>0</v>
      </c>
      <c r="AN161" s="70" t="s">
        <v>1826</v>
      </c>
    </row>
    <row r="162" spans="1:41">
      <c r="A162" s="132">
        <f t="shared" si="14"/>
        <v>154</v>
      </c>
      <c r="B162" s="133" t="s">
        <v>1728</v>
      </c>
      <c r="C162" s="133" t="s">
        <v>1904</v>
      </c>
      <c r="D162" s="132" t="s">
        <v>1698</v>
      </c>
      <c r="E162" s="147" t="s">
        <v>1194</v>
      </c>
      <c r="F162" s="135">
        <v>45667</v>
      </c>
      <c r="G162" s="45"/>
      <c r="H162" s="136"/>
      <c r="I162" s="136">
        <v>2182680</v>
      </c>
      <c r="J162" s="137" t="s">
        <v>1025</v>
      </c>
      <c r="K162" s="137"/>
      <c r="L162" s="148">
        <f t="shared" si="21"/>
        <v>2182680</v>
      </c>
      <c r="M162" s="122">
        <f t="shared" si="15"/>
        <v>0</v>
      </c>
      <c r="N162" s="137"/>
      <c r="O162" s="149" t="b">
        <f t="shared" si="16"/>
        <v>1</v>
      </c>
      <c r="P162" s="149">
        <f t="shared" si="17"/>
        <v>0</v>
      </c>
      <c r="Q162" s="149" t="b">
        <f t="shared" si="18"/>
        <v>0</v>
      </c>
      <c r="R162" s="149">
        <f t="shared" si="19"/>
        <v>0</v>
      </c>
      <c r="S162" s="144"/>
      <c r="T162" s="143">
        <v>45667</v>
      </c>
      <c r="U162" s="144" t="s">
        <v>1194</v>
      </c>
      <c r="V162" s="144">
        <v>0</v>
      </c>
      <c r="W162" s="144" t="s">
        <v>1071</v>
      </c>
      <c r="X162" s="144" t="s">
        <v>1801</v>
      </c>
      <c r="Y162" s="144" t="s">
        <v>1802</v>
      </c>
      <c r="Z162" s="145">
        <v>24009480</v>
      </c>
      <c r="AA162" s="145">
        <v>21826800</v>
      </c>
      <c r="AB162" s="144">
        <v>0</v>
      </c>
      <c r="AC162" s="144" t="s">
        <v>1022</v>
      </c>
      <c r="AD162" s="145">
        <v>2182680</v>
      </c>
      <c r="AE162" s="144">
        <v>0</v>
      </c>
      <c r="AF162" s="146">
        <v>0</v>
      </c>
      <c r="AG162" s="70">
        <v>0</v>
      </c>
      <c r="AH162" s="70">
        <v>0</v>
      </c>
      <c r="AI162" s="70">
        <v>0</v>
      </c>
      <c r="AJ162" s="70">
        <v>0</v>
      </c>
      <c r="AK162" s="70">
        <v>0</v>
      </c>
      <c r="AL162" s="70">
        <v>0.01</v>
      </c>
      <c r="AM162" s="70">
        <v>0</v>
      </c>
      <c r="AN162" s="70" t="s">
        <v>1807</v>
      </c>
    </row>
    <row r="163" spans="1:41">
      <c r="A163" s="132">
        <f t="shared" si="14"/>
        <v>155</v>
      </c>
      <c r="B163" s="133" t="s">
        <v>1728</v>
      </c>
      <c r="C163" s="133" t="s">
        <v>1904</v>
      </c>
      <c r="D163" s="132" t="s">
        <v>1698</v>
      </c>
      <c r="E163" s="147" t="s">
        <v>1195</v>
      </c>
      <c r="F163" s="135">
        <v>45659</v>
      </c>
      <c r="G163" s="45"/>
      <c r="H163" s="136"/>
      <c r="I163" s="136">
        <v>1679259</v>
      </c>
      <c r="J163" s="137" t="s">
        <v>1025</v>
      </c>
      <c r="K163" s="137"/>
      <c r="L163" s="148">
        <f t="shared" si="21"/>
        <v>1679259</v>
      </c>
      <c r="M163" s="122">
        <f t="shared" si="15"/>
        <v>0</v>
      </c>
      <c r="N163" s="137"/>
      <c r="O163" s="149" t="b">
        <f t="shared" si="16"/>
        <v>1</v>
      </c>
      <c r="P163" s="149">
        <f t="shared" si="17"/>
        <v>0</v>
      </c>
      <c r="Q163" s="149" t="b">
        <f t="shared" si="18"/>
        <v>0</v>
      </c>
      <c r="R163" s="149">
        <f t="shared" si="19"/>
        <v>0</v>
      </c>
      <c r="S163" s="144"/>
      <c r="T163" s="143">
        <v>45659</v>
      </c>
      <c r="U163" s="144" t="s">
        <v>1195</v>
      </c>
      <c r="V163" s="144">
        <v>0</v>
      </c>
      <c r="W163" s="144" t="s">
        <v>1071</v>
      </c>
      <c r="X163" s="144" t="s">
        <v>1801</v>
      </c>
      <c r="Y163" s="144" t="s">
        <v>1802</v>
      </c>
      <c r="Z163" s="145">
        <v>18471849</v>
      </c>
      <c r="AA163" s="145">
        <v>16792590</v>
      </c>
      <c r="AB163" s="144">
        <v>0</v>
      </c>
      <c r="AC163" s="144" t="s">
        <v>1022</v>
      </c>
      <c r="AD163" s="145">
        <v>1679259</v>
      </c>
      <c r="AE163" s="144">
        <v>0</v>
      </c>
      <c r="AF163" s="146">
        <v>0</v>
      </c>
      <c r="AG163" s="70">
        <v>0</v>
      </c>
      <c r="AH163" s="70">
        <v>0</v>
      </c>
      <c r="AI163" s="70">
        <v>0</v>
      </c>
      <c r="AJ163" s="70">
        <v>0</v>
      </c>
      <c r="AK163" s="70">
        <v>0</v>
      </c>
      <c r="AL163" s="70">
        <v>0.01</v>
      </c>
      <c r="AM163" s="70">
        <v>0</v>
      </c>
      <c r="AN163" s="70" t="s">
        <v>1807</v>
      </c>
    </row>
    <row r="164" spans="1:41">
      <c r="A164" s="132">
        <f t="shared" si="14"/>
        <v>156</v>
      </c>
      <c r="B164" s="133" t="s">
        <v>1742</v>
      </c>
      <c r="C164" s="133" t="s">
        <v>1905</v>
      </c>
      <c r="D164" s="132" t="s">
        <v>1024</v>
      </c>
      <c r="E164" s="147">
        <v>202500002577</v>
      </c>
      <c r="F164" s="135">
        <v>45660</v>
      </c>
      <c r="G164" s="45"/>
      <c r="H164" s="136"/>
      <c r="I164" s="136">
        <v>252806</v>
      </c>
      <c r="J164" s="137" t="s">
        <v>1025</v>
      </c>
      <c r="K164" s="137"/>
      <c r="L164" s="148">
        <f t="shared" si="21"/>
        <v>252806</v>
      </c>
      <c r="M164" s="122">
        <f t="shared" si="15"/>
        <v>0</v>
      </c>
      <c r="N164" s="137"/>
      <c r="O164" s="149" t="b">
        <f t="shared" si="16"/>
        <v>1</v>
      </c>
      <c r="P164" s="149">
        <f t="shared" si="17"/>
        <v>0</v>
      </c>
      <c r="Q164" s="149" t="b">
        <f t="shared" si="18"/>
        <v>0</v>
      </c>
      <c r="R164" s="149">
        <f t="shared" si="19"/>
        <v>0</v>
      </c>
      <c r="S164" s="144"/>
      <c r="T164" s="143">
        <v>45660</v>
      </c>
      <c r="U164" s="144">
        <v>202500002577</v>
      </c>
      <c r="V164" s="144">
        <v>0</v>
      </c>
      <c r="W164" s="144" t="s">
        <v>1071</v>
      </c>
      <c r="X164" s="144" t="s">
        <v>1801</v>
      </c>
      <c r="Y164" s="144" t="s">
        <v>1802</v>
      </c>
      <c r="Z164" s="145">
        <v>2780870</v>
      </c>
      <c r="AA164" s="145">
        <v>2528064</v>
      </c>
      <c r="AB164" s="144">
        <v>0</v>
      </c>
      <c r="AC164" s="144" t="s">
        <v>1022</v>
      </c>
      <c r="AD164" s="145">
        <v>252806</v>
      </c>
      <c r="AE164" s="144">
        <v>0</v>
      </c>
      <c r="AF164" s="146">
        <v>0</v>
      </c>
      <c r="AG164" s="70">
        <v>0</v>
      </c>
      <c r="AH164" s="70">
        <v>0</v>
      </c>
      <c r="AI164" s="70">
        <v>0</v>
      </c>
      <c r="AJ164" s="70">
        <v>0</v>
      </c>
      <c r="AK164" s="70">
        <v>0</v>
      </c>
      <c r="AL164" s="70">
        <v>0.01</v>
      </c>
      <c r="AM164" s="70">
        <v>0</v>
      </c>
      <c r="AN164" s="70" t="s">
        <v>1826</v>
      </c>
    </row>
    <row r="165" spans="1:41">
      <c r="A165" s="132">
        <f t="shared" si="14"/>
        <v>157</v>
      </c>
      <c r="B165" s="133" t="s">
        <v>1732</v>
      </c>
      <c r="C165" s="133" t="s">
        <v>1906</v>
      </c>
      <c r="D165" s="132" t="s">
        <v>1036</v>
      </c>
      <c r="E165" s="147" t="s">
        <v>1196</v>
      </c>
      <c r="F165" s="135">
        <v>45659</v>
      </c>
      <c r="G165" s="45"/>
      <c r="H165" s="136"/>
      <c r="I165" s="136">
        <v>1353072</v>
      </c>
      <c r="J165" s="137" t="s">
        <v>1025</v>
      </c>
      <c r="K165" s="137"/>
      <c r="L165" s="148">
        <f t="shared" si="21"/>
        <v>1353072</v>
      </c>
      <c r="M165" s="122">
        <f t="shared" si="15"/>
        <v>0</v>
      </c>
      <c r="N165" s="137"/>
      <c r="O165" s="149" t="b">
        <f t="shared" si="16"/>
        <v>1</v>
      </c>
      <c r="P165" s="149">
        <f t="shared" si="17"/>
        <v>0</v>
      </c>
      <c r="Q165" s="149" t="b">
        <f t="shared" si="18"/>
        <v>0</v>
      </c>
      <c r="R165" s="149">
        <f t="shared" si="19"/>
        <v>0</v>
      </c>
      <c r="S165" s="144"/>
      <c r="T165" s="143">
        <v>45659</v>
      </c>
      <c r="U165" s="144" t="s">
        <v>1196</v>
      </c>
      <c r="V165" s="144">
        <v>0</v>
      </c>
      <c r="W165" s="144" t="s">
        <v>1071</v>
      </c>
      <c r="X165" s="144" t="s">
        <v>1801</v>
      </c>
      <c r="Y165" s="144" t="s">
        <v>1802</v>
      </c>
      <c r="Z165" s="145">
        <v>14883792</v>
      </c>
      <c r="AA165" s="145">
        <v>13530720</v>
      </c>
      <c r="AB165" s="144">
        <v>0</v>
      </c>
      <c r="AC165" s="144" t="s">
        <v>1022</v>
      </c>
      <c r="AD165" s="145">
        <v>1353072</v>
      </c>
      <c r="AE165" s="144">
        <v>0</v>
      </c>
      <c r="AF165" s="146">
        <v>0</v>
      </c>
      <c r="AG165" s="70">
        <v>0</v>
      </c>
      <c r="AH165" s="70">
        <v>0</v>
      </c>
      <c r="AI165" s="70">
        <v>0</v>
      </c>
      <c r="AJ165" s="70">
        <v>0</v>
      </c>
      <c r="AK165" s="70">
        <v>0</v>
      </c>
      <c r="AL165" s="70">
        <v>0.01</v>
      </c>
      <c r="AM165" s="70">
        <v>0</v>
      </c>
      <c r="AN165" s="70" t="s">
        <v>1834</v>
      </c>
    </row>
    <row r="166" spans="1:41">
      <c r="A166" s="132">
        <f t="shared" si="14"/>
        <v>158</v>
      </c>
      <c r="B166" s="133" t="s">
        <v>1728</v>
      </c>
      <c r="C166" s="133" t="s">
        <v>1904</v>
      </c>
      <c r="D166" s="132" t="s">
        <v>1698</v>
      </c>
      <c r="E166" s="147" t="s">
        <v>1197</v>
      </c>
      <c r="F166" s="135">
        <v>45660</v>
      </c>
      <c r="G166" s="45"/>
      <c r="H166" s="136"/>
      <c r="I166" s="136">
        <v>2729664</v>
      </c>
      <c r="J166" s="137" t="s">
        <v>1025</v>
      </c>
      <c r="K166" s="137"/>
      <c r="L166" s="148">
        <f t="shared" si="21"/>
        <v>2729664</v>
      </c>
      <c r="M166" s="122">
        <f t="shared" si="15"/>
        <v>0</v>
      </c>
      <c r="N166" s="137"/>
      <c r="O166" s="149" t="b">
        <f t="shared" si="16"/>
        <v>1</v>
      </c>
      <c r="P166" s="149">
        <f t="shared" si="17"/>
        <v>0</v>
      </c>
      <c r="Q166" s="149" t="b">
        <f t="shared" si="18"/>
        <v>0</v>
      </c>
      <c r="R166" s="149">
        <f t="shared" si="19"/>
        <v>0</v>
      </c>
      <c r="S166" s="144"/>
      <c r="T166" s="143">
        <v>45660</v>
      </c>
      <c r="U166" s="144" t="s">
        <v>1197</v>
      </c>
      <c r="V166" s="144">
        <v>0</v>
      </c>
      <c r="W166" s="144" t="s">
        <v>1071</v>
      </c>
      <c r="X166" s="144" t="s">
        <v>1801</v>
      </c>
      <c r="Y166" s="144" t="s">
        <v>1802</v>
      </c>
      <c r="Z166" s="145">
        <v>30026304</v>
      </c>
      <c r="AA166" s="145">
        <v>27296640</v>
      </c>
      <c r="AB166" s="144">
        <v>0</v>
      </c>
      <c r="AC166" s="144" t="s">
        <v>1022</v>
      </c>
      <c r="AD166" s="145">
        <v>2729664</v>
      </c>
      <c r="AE166" s="144">
        <v>0</v>
      </c>
      <c r="AF166" s="146">
        <v>0</v>
      </c>
      <c r="AG166" s="70">
        <v>0</v>
      </c>
      <c r="AH166" s="70">
        <v>0</v>
      </c>
      <c r="AI166" s="70">
        <v>0</v>
      </c>
      <c r="AJ166" s="70">
        <v>0</v>
      </c>
      <c r="AK166" s="70">
        <v>0</v>
      </c>
      <c r="AL166" s="70">
        <v>0.01</v>
      </c>
      <c r="AM166" s="70">
        <v>0</v>
      </c>
      <c r="AN166" s="70" t="s">
        <v>1807</v>
      </c>
    </row>
    <row r="167" spans="1:41">
      <c r="A167" s="132">
        <f t="shared" si="14"/>
        <v>159</v>
      </c>
      <c r="B167" s="133" t="s">
        <v>1742</v>
      </c>
      <c r="C167" s="133" t="s">
        <v>1905</v>
      </c>
      <c r="D167" s="132" t="s">
        <v>1024</v>
      </c>
      <c r="E167" s="147">
        <v>202500001279</v>
      </c>
      <c r="F167" s="135">
        <v>45659</v>
      </c>
      <c r="G167" s="45"/>
      <c r="H167" s="136"/>
      <c r="I167" s="136">
        <v>245244</v>
      </c>
      <c r="J167" s="137" t="s">
        <v>1025</v>
      </c>
      <c r="K167" s="137"/>
      <c r="L167" s="148">
        <f t="shared" si="21"/>
        <v>245244</v>
      </c>
      <c r="M167" s="122">
        <f t="shared" si="15"/>
        <v>0</v>
      </c>
      <c r="N167" s="137"/>
      <c r="O167" s="149" t="b">
        <f t="shared" si="16"/>
        <v>1</v>
      </c>
      <c r="P167" s="149">
        <f t="shared" si="17"/>
        <v>0</v>
      </c>
      <c r="Q167" s="149" t="b">
        <f t="shared" si="18"/>
        <v>0</v>
      </c>
      <c r="R167" s="149">
        <f t="shared" si="19"/>
        <v>0</v>
      </c>
      <c r="S167" s="144"/>
      <c r="T167" s="143">
        <v>45659</v>
      </c>
      <c r="U167" s="144">
        <v>202500001279</v>
      </c>
      <c r="V167" s="144">
        <v>0</v>
      </c>
      <c r="W167" s="144" t="s">
        <v>1071</v>
      </c>
      <c r="X167" s="144" t="s">
        <v>1801</v>
      </c>
      <c r="Y167" s="144" t="s">
        <v>1802</v>
      </c>
      <c r="Z167" s="145">
        <v>2697687</v>
      </c>
      <c r="AA167" s="145">
        <v>2452443</v>
      </c>
      <c r="AB167" s="144">
        <v>0</v>
      </c>
      <c r="AC167" s="144" t="s">
        <v>1022</v>
      </c>
      <c r="AD167" s="145">
        <v>245244</v>
      </c>
      <c r="AE167" s="144">
        <v>0</v>
      </c>
      <c r="AF167" s="146">
        <v>0</v>
      </c>
      <c r="AG167" s="70">
        <v>0</v>
      </c>
      <c r="AH167" s="70">
        <v>0</v>
      </c>
      <c r="AI167" s="70">
        <v>0</v>
      </c>
      <c r="AJ167" s="70">
        <v>0</v>
      </c>
      <c r="AK167" s="70">
        <v>0</v>
      </c>
      <c r="AL167" s="70">
        <v>0.01</v>
      </c>
      <c r="AM167" s="70">
        <v>0</v>
      </c>
      <c r="AN167" s="70" t="s">
        <v>1826</v>
      </c>
    </row>
    <row r="168" spans="1:41">
      <c r="A168" s="132">
        <f t="shared" si="14"/>
        <v>160</v>
      </c>
      <c r="B168" s="133" t="s">
        <v>1732</v>
      </c>
      <c r="C168" s="133" t="s">
        <v>1906</v>
      </c>
      <c r="D168" s="132" t="s">
        <v>1036</v>
      </c>
      <c r="E168" s="147" t="s">
        <v>1198</v>
      </c>
      <c r="F168" s="135">
        <v>45658</v>
      </c>
      <c r="G168" s="45"/>
      <c r="H168" s="136"/>
      <c r="I168" s="136">
        <v>1489250</v>
      </c>
      <c r="J168" s="137" t="s">
        <v>1899</v>
      </c>
      <c r="K168" s="137"/>
      <c r="L168" s="148"/>
      <c r="M168" s="122">
        <f t="shared" si="15"/>
        <v>1489250</v>
      </c>
      <c r="N168" s="137"/>
      <c r="O168" s="149" t="b">
        <f t="shared" si="16"/>
        <v>0</v>
      </c>
      <c r="P168" s="149">
        <f t="shared" si="17"/>
        <v>0</v>
      </c>
      <c r="Q168" s="149" t="b">
        <f t="shared" si="18"/>
        <v>0</v>
      </c>
      <c r="R168" s="149">
        <f t="shared" si="19"/>
        <v>1343846</v>
      </c>
      <c r="S168" s="144"/>
      <c r="T168" s="143">
        <v>45666</v>
      </c>
      <c r="U168" s="144" t="s">
        <v>1835</v>
      </c>
      <c r="V168" s="144"/>
      <c r="W168" s="144" t="s">
        <v>1071</v>
      </c>
      <c r="X168" s="144" t="s">
        <v>1836</v>
      </c>
      <c r="Y168" s="144" t="s">
        <v>1837</v>
      </c>
      <c r="Z168" s="145">
        <v>1599444</v>
      </c>
      <c r="AA168" s="145">
        <v>1454040</v>
      </c>
      <c r="AB168" s="144">
        <v>0</v>
      </c>
      <c r="AC168" s="144" t="s">
        <v>1022</v>
      </c>
      <c r="AD168" s="145">
        <v>145404</v>
      </c>
      <c r="AE168" s="144">
        <v>0</v>
      </c>
      <c r="AF168" s="146">
        <v>0</v>
      </c>
      <c r="AG168" s="70">
        <v>0</v>
      </c>
      <c r="AH168" s="70">
        <v>0</v>
      </c>
      <c r="AI168" s="70">
        <v>0</v>
      </c>
      <c r="AJ168" s="70">
        <v>0</v>
      </c>
      <c r="AK168" s="70">
        <v>0</v>
      </c>
      <c r="AL168" s="70">
        <v>0.01</v>
      </c>
      <c r="AN168" s="70" t="s">
        <v>1838</v>
      </c>
    </row>
    <row r="169" spans="1:41">
      <c r="A169" s="132">
        <f t="shared" si="14"/>
        <v>161</v>
      </c>
      <c r="B169" s="133" t="s">
        <v>1759</v>
      </c>
      <c r="C169" s="133" t="s">
        <v>1916</v>
      </c>
      <c r="D169" s="132" t="s">
        <v>1709</v>
      </c>
      <c r="E169" s="147">
        <v>79</v>
      </c>
      <c r="F169" s="135">
        <v>45776</v>
      </c>
      <c r="G169" s="45"/>
      <c r="H169" s="136"/>
      <c r="I169" s="136">
        <v>2566</v>
      </c>
      <c r="J169" s="137" t="s">
        <v>1025</v>
      </c>
      <c r="K169" s="137"/>
      <c r="L169" s="148">
        <f>I169</f>
        <v>2566</v>
      </c>
      <c r="M169" s="122">
        <f t="shared" si="15"/>
        <v>0</v>
      </c>
      <c r="N169" s="137"/>
      <c r="O169" s="149" t="b">
        <f t="shared" si="16"/>
        <v>1</v>
      </c>
      <c r="P169" s="149">
        <f t="shared" si="17"/>
        <v>0</v>
      </c>
      <c r="Q169" s="149" t="b">
        <f t="shared" si="18"/>
        <v>0</v>
      </c>
      <c r="R169" s="149">
        <f t="shared" si="19"/>
        <v>0</v>
      </c>
      <c r="S169" s="144"/>
      <c r="T169" s="143">
        <v>45776</v>
      </c>
      <c r="U169" s="144">
        <v>79</v>
      </c>
      <c r="V169" s="144">
        <v>0</v>
      </c>
      <c r="W169" s="144" t="s">
        <v>1071</v>
      </c>
      <c r="X169" s="144" t="s">
        <v>1801</v>
      </c>
      <c r="Y169" s="144" t="s">
        <v>1802</v>
      </c>
      <c r="Z169" s="145">
        <v>28221</v>
      </c>
      <c r="AA169" s="145">
        <v>25655</v>
      </c>
      <c r="AB169" s="144">
        <v>0</v>
      </c>
      <c r="AC169" s="144" t="s">
        <v>1022</v>
      </c>
      <c r="AD169" s="145">
        <v>2566</v>
      </c>
      <c r="AE169" s="144">
        <v>0</v>
      </c>
      <c r="AF169" s="146">
        <v>0</v>
      </c>
      <c r="AG169" s="70">
        <v>0</v>
      </c>
      <c r="AH169" s="70">
        <v>0</v>
      </c>
      <c r="AI169" s="70">
        <v>0</v>
      </c>
      <c r="AJ169" s="70">
        <v>0</v>
      </c>
      <c r="AK169" s="70">
        <v>0</v>
      </c>
      <c r="AL169" s="70">
        <v>0.01</v>
      </c>
      <c r="AM169" s="70">
        <v>0</v>
      </c>
      <c r="AN169" s="70" t="s">
        <v>1759</v>
      </c>
      <c r="AO169" s="70" t="s">
        <v>1804</v>
      </c>
    </row>
    <row r="170" spans="1:41">
      <c r="A170" s="132">
        <f t="shared" si="14"/>
        <v>162</v>
      </c>
      <c r="B170" s="133" t="s">
        <v>1726</v>
      </c>
      <c r="C170" s="133" t="s">
        <v>1903</v>
      </c>
      <c r="D170" s="132" t="s">
        <v>1697</v>
      </c>
      <c r="E170" s="147" t="s">
        <v>1199</v>
      </c>
      <c r="F170" s="135">
        <v>45688</v>
      </c>
      <c r="G170" s="45"/>
      <c r="H170" s="136"/>
      <c r="I170" s="136">
        <v>-30522</v>
      </c>
      <c r="J170" s="137" t="s">
        <v>1025</v>
      </c>
      <c r="K170" s="137"/>
      <c r="L170" s="148">
        <f t="shared" ref="L170:L219" si="22">I170</f>
        <v>-30522</v>
      </c>
      <c r="M170" s="122">
        <f t="shared" si="15"/>
        <v>0</v>
      </c>
      <c r="N170" s="137"/>
      <c r="O170" s="149" t="b">
        <f t="shared" si="16"/>
        <v>0</v>
      </c>
      <c r="P170" s="149">
        <f t="shared" si="17"/>
        <v>0</v>
      </c>
      <c r="Q170" s="149" t="b">
        <f t="shared" si="18"/>
        <v>1</v>
      </c>
      <c r="R170" s="149">
        <f t="shared" si="19"/>
        <v>-30522</v>
      </c>
      <c r="S170" s="144"/>
      <c r="T170" s="143"/>
      <c r="U170" s="144"/>
      <c r="V170" s="144"/>
      <c r="W170" s="144"/>
      <c r="X170" s="144"/>
      <c r="Y170" s="144"/>
      <c r="Z170" s="145"/>
      <c r="AA170" s="145"/>
      <c r="AB170" s="144"/>
      <c r="AC170" s="144"/>
      <c r="AD170" s="145"/>
      <c r="AE170" s="144"/>
      <c r="AF170" s="146"/>
    </row>
    <row r="171" spans="1:41">
      <c r="A171" s="132">
        <f t="shared" si="14"/>
        <v>163</v>
      </c>
      <c r="B171" s="133" t="s">
        <v>1726</v>
      </c>
      <c r="C171" s="133" t="s">
        <v>1903</v>
      </c>
      <c r="D171" s="132" t="s">
        <v>1697</v>
      </c>
      <c r="E171" s="147" t="s">
        <v>1200</v>
      </c>
      <c r="F171" s="135">
        <v>45688</v>
      </c>
      <c r="G171" s="45"/>
      <c r="H171" s="136"/>
      <c r="I171" s="136">
        <v>-24486</v>
      </c>
      <c r="J171" s="137" t="s">
        <v>1025</v>
      </c>
      <c r="K171" s="137"/>
      <c r="L171" s="148">
        <f t="shared" si="22"/>
        <v>-24486</v>
      </c>
      <c r="M171" s="122">
        <f t="shared" si="15"/>
        <v>0</v>
      </c>
      <c r="N171" s="137"/>
      <c r="O171" s="149" t="b">
        <f t="shared" si="16"/>
        <v>0</v>
      </c>
      <c r="P171" s="149">
        <f t="shared" si="17"/>
        <v>0</v>
      </c>
      <c r="Q171" s="149" t="b">
        <f t="shared" si="18"/>
        <v>1</v>
      </c>
      <c r="R171" s="149">
        <f t="shared" si="19"/>
        <v>-24486</v>
      </c>
      <c r="S171" s="144"/>
      <c r="T171" s="143"/>
      <c r="U171" s="144"/>
      <c r="V171" s="144"/>
      <c r="W171" s="144"/>
      <c r="X171" s="144"/>
      <c r="Y171" s="144"/>
      <c r="Z171" s="145"/>
      <c r="AA171" s="145"/>
      <c r="AB171" s="144"/>
      <c r="AC171" s="144"/>
      <c r="AD171" s="145"/>
      <c r="AE171" s="144"/>
      <c r="AF171" s="146"/>
    </row>
    <row r="172" spans="1:41">
      <c r="A172" s="132">
        <f t="shared" si="14"/>
        <v>164</v>
      </c>
      <c r="B172" s="133" t="s">
        <v>1726</v>
      </c>
      <c r="C172" s="133" t="s">
        <v>1903</v>
      </c>
      <c r="D172" s="132" t="s">
        <v>1697</v>
      </c>
      <c r="E172" s="147" t="s">
        <v>1201</v>
      </c>
      <c r="F172" s="135">
        <v>45688</v>
      </c>
      <c r="G172" s="45"/>
      <c r="H172" s="136"/>
      <c r="I172" s="136">
        <v>-225895</v>
      </c>
      <c r="J172" s="137" t="s">
        <v>1025</v>
      </c>
      <c r="K172" s="137"/>
      <c r="L172" s="148">
        <f t="shared" si="22"/>
        <v>-225895</v>
      </c>
      <c r="M172" s="122">
        <f t="shared" si="15"/>
        <v>0</v>
      </c>
      <c r="N172" s="137"/>
      <c r="O172" s="149" t="b">
        <f t="shared" si="16"/>
        <v>0</v>
      </c>
      <c r="P172" s="149">
        <f t="shared" si="17"/>
        <v>0</v>
      </c>
      <c r="Q172" s="149" t="b">
        <f t="shared" si="18"/>
        <v>1</v>
      </c>
      <c r="R172" s="149">
        <f t="shared" si="19"/>
        <v>-225895</v>
      </c>
      <c r="S172" s="144"/>
      <c r="T172" s="143"/>
      <c r="U172" s="144"/>
      <c r="V172" s="144"/>
      <c r="W172" s="144"/>
      <c r="X172" s="144"/>
      <c r="Y172" s="144"/>
      <c r="Z172" s="145"/>
      <c r="AA172" s="145"/>
      <c r="AB172" s="144"/>
      <c r="AC172" s="144"/>
      <c r="AD172" s="145"/>
      <c r="AE172" s="144"/>
      <c r="AF172" s="146"/>
    </row>
    <row r="173" spans="1:41">
      <c r="A173" s="132">
        <f t="shared" si="14"/>
        <v>165</v>
      </c>
      <c r="B173" s="133" t="s">
        <v>1726</v>
      </c>
      <c r="C173" s="133" t="s">
        <v>1903</v>
      </c>
      <c r="D173" s="132" t="s">
        <v>1697</v>
      </c>
      <c r="E173" s="147" t="s">
        <v>1202</v>
      </c>
      <c r="F173" s="135">
        <v>45688</v>
      </c>
      <c r="G173" s="45"/>
      <c r="H173" s="136"/>
      <c r="I173" s="136">
        <v>-54944</v>
      </c>
      <c r="J173" s="137" t="s">
        <v>1025</v>
      </c>
      <c r="K173" s="137"/>
      <c r="L173" s="148">
        <f t="shared" si="22"/>
        <v>-54944</v>
      </c>
      <c r="M173" s="122">
        <f t="shared" si="15"/>
        <v>0</v>
      </c>
      <c r="N173" s="137"/>
      <c r="O173" s="149" t="b">
        <f t="shared" si="16"/>
        <v>0</v>
      </c>
      <c r="P173" s="149">
        <f t="shared" si="17"/>
        <v>0</v>
      </c>
      <c r="Q173" s="149" t="b">
        <f t="shared" si="18"/>
        <v>1</v>
      </c>
      <c r="R173" s="149">
        <f t="shared" si="19"/>
        <v>-54944</v>
      </c>
      <c r="S173" s="144"/>
      <c r="T173" s="143"/>
      <c r="U173" s="144"/>
      <c r="V173" s="144"/>
      <c r="W173" s="144"/>
      <c r="X173" s="144"/>
      <c r="Y173" s="144"/>
      <c r="Z173" s="145"/>
      <c r="AA173" s="145"/>
      <c r="AB173" s="144"/>
      <c r="AC173" s="144"/>
      <c r="AD173" s="145"/>
      <c r="AE173" s="144"/>
      <c r="AF173" s="146"/>
    </row>
    <row r="174" spans="1:41">
      <c r="A174" s="132">
        <f t="shared" si="14"/>
        <v>166</v>
      </c>
      <c r="B174" s="133" t="s">
        <v>1726</v>
      </c>
      <c r="C174" s="133" t="s">
        <v>1903</v>
      </c>
      <c r="D174" s="132" t="s">
        <v>1697</v>
      </c>
      <c r="E174" s="147" t="s">
        <v>1203</v>
      </c>
      <c r="F174" s="135">
        <v>45688</v>
      </c>
      <c r="G174" s="45"/>
      <c r="H174" s="136"/>
      <c r="I174" s="136">
        <v>-171571</v>
      </c>
      <c r="J174" s="137" t="s">
        <v>1025</v>
      </c>
      <c r="K174" s="137"/>
      <c r="L174" s="148">
        <f t="shared" si="22"/>
        <v>-171571</v>
      </c>
      <c r="M174" s="122">
        <f t="shared" si="15"/>
        <v>0</v>
      </c>
      <c r="N174" s="137"/>
      <c r="O174" s="149" t="b">
        <f t="shared" si="16"/>
        <v>0</v>
      </c>
      <c r="P174" s="149">
        <f t="shared" si="17"/>
        <v>0</v>
      </c>
      <c r="Q174" s="149" t="b">
        <f t="shared" si="18"/>
        <v>1</v>
      </c>
      <c r="R174" s="149">
        <f t="shared" si="19"/>
        <v>-171571</v>
      </c>
      <c r="S174" s="144"/>
      <c r="T174" s="143"/>
      <c r="U174" s="144"/>
      <c r="V174" s="144"/>
      <c r="W174" s="144"/>
      <c r="X174" s="144"/>
      <c r="Y174" s="144"/>
      <c r="Z174" s="145"/>
      <c r="AA174" s="145"/>
      <c r="AB174" s="144"/>
      <c r="AC174" s="144"/>
      <c r="AD174" s="145"/>
      <c r="AE174" s="144"/>
      <c r="AF174" s="146"/>
    </row>
    <row r="175" spans="1:41">
      <c r="A175" s="132">
        <f t="shared" si="14"/>
        <v>167</v>
      </c>
      <c r="B175" s="133" t="s">
        <v>1726</v>
      </c>
      <c r="C175" s="133" t="s">
        <v>1903</v>
      </c>
      <c r="D175" s="132" t="s">
        <v>1697</v>
      </c>
      <c r="E175" s="147" t="s">
        <v>1204</v>
      </c>
      <c r="F175" s="135">
        <v>45688</v>
      </c>
      <c r="G175" s="45"/>
      <c r="H175" s="136"/>
      <c r="I175" s="136">
        <v>-24478</v>
      </c>
      <c r="J175" s="137" t="s">
        <v>1025</v>
      </c>
      <c r="K175" s="137"/>
      <c r="L175" s="148">
        <f t="shared" si="22"/>
        <v>-24478</v>
      </c>
      <c r="M175" s="122">
        <f t="shared" si="15"/>
        <v>0</v>
      </c>
      <c r="N175" s="137"/>
      <c r="O175" s="149" t="b">
        <f t="shared" si="16"/>
        <v>0</v>
      </c>
      <c r="P175" s="149">
        <f t="shared" si="17"/>
        <v>0</v>
      </c>
      <c r="Q175" s="149" t="b">
        <f t="shared" si="18"/>
        <v>1</v>
      </c>
      <c r="R175" s="149">
        <f t="shared" si="19"/>
        <v>-24478</v>
      </c>
      <c r="S175" s="144"/>
      <c r="T175" s="143"/>
      <c r="U175" s="144"/>
      <c r="V175" s="144"/>
      <c r="W175" s="144"/>
      <c r="X175" s="144"/>
      <c r="Y175" s="144"/>
      <c r="Z175" s="145"/>
      <c r="AA175" s="145"/>
      <c r="AB175" s="144"/>
      <c r="AC175" s="144"/>
      <c r="AD175" s="145"/>
      <c r="AE175" s="144"/>
      <c r="AF175" s="146"/>
    </row>
    <row r="176" spans="1:41">
      <c r="A176" s="132">
        <f t="shared" si="14"/>
        <v>168</v>
      </c>
      <c r="B176" s="133" t="s">
        <v>1726</v>
      </c>
      <c r="C176" s="133" t="s">
        <v>1903</v>
      </c>
      <c r="D176" s="132" t="s">
        <v>1697</v>
      </c>
      <c r="E176" s="147" t="s">
        <v>1205</v>
      </c>
      <c r="F176" s="135">
        <v>45688</v>
      </c>
      <c r="G176" s="45"/>
      <c r="H176" s="136"/>
      <c r="I176" s="136">
        <v>-24486</v>
      </c>
      <c r="J176" s="137" t="s">
        <v>1025</v>
      </c>
      <c r="K176" s="137"/>
      <c r="L176" s="148">
        <f t="shared" si="22"/>
        <v>-24486</v>
      </c>
      <c r="M176" s="122">
        <f t="shared" si="15"/>
        <v>0</v>
      </c>
      <c r="N176" s="137"/>
      <c r="O176" s="149" t="b">
        <f t="shared" si="16"/>
        <v>0</v>
      </c>
      <c r="P176" s="149">
        <f t="shared" si="17"/>
        <v>0</v>
      </c>
      <c r="Q176" s="149" t="b">
        <f t="shared" si="18"/>
        <v>1</v>
      </c>
      <c r="R176" s="149">
        <f t="shared" si="19"/>
        <v>-24486</v>
      </c>
      <c r="S176" s="144"/>
      <c r="T176" s="143"/>
      <c r="U176" s="144"/>
      <c r="V176" s="144"/>
      <c r="W176" s="144"/>
      <c r="X176" s="144"/>
      <c r="Y176" s="144"/>
      <c r="Z176" s="145"/>
      <c r="AA176" s="145"/>
      <c r="AB176" s="144"/>
      <c r="AC176" s="144"/>
      <c r="AD176" s="145"/>
      <c r="AE176" s="144"/>
      <c r="AF176" s="146"/>
    </row>
    <row r="177" spans="1:32">
      <c r="A177" s="132">
        <f t="shared" si="14"/>
        <v>169</v>
      </c>
      <c r="B177" s="133" t="s">
        <v>1726</v>
      </c>
      <c r="C177" s="133" t="s">
        <v>1903</v>
      </c>
      <c r="D177" s="132" t="s">
        <v>1697</v>
      </c>
      <c r="E177" s="147" t="s">
        <v>1206</v>
      </c>
      <c r="F177" s="135">
        <v>45688</v>
      </c>
      <c r="G177" s="45"/>
      <c r="H177" s="136"/>
      <c r="I177" s="136">
        <v>-189957</v>
      </c>
      <c r="J177" s="137" t="s">
        <v>1025</v>
      </c>
      <c r="K177" s="137"/>
      <c r="L177" s="148">
        <f t="shared" si="22"/>
        <v>-189957</v>
      </c>
      <c r="M177" s="122">
        <f t="shared" si="15"/>
        <v>0</v>
      </c>
      <c r="N177" s="137"/>
      <c r="O177" s="149" t="b">
        <f t="shared" si="16"/>
        <v>0</v>
      </c>
      <c r="P177" s="149">
        <f t="shared" si="17"/>
        <v>0</v>
      </c>
      <c r="Q177" s="149" t="b">
        <f t="shared" si="18"/>
        <v>1</v>
      </c>
      <c r="R177" s="149">
        <f t="shared" si="19"/>
        <v>-189957</v>
      </c>
      <c r="S177" s="144"/>
      <c r="T177" s="143"/>
      <c r="U177" s="144"/>
      <c r="V177" s="144"/>
      <c r="W177" s="144"/>
      <c r="X177" s="144"/>
      <c r="Y177" s="144"/>
      <c r="Z177" s="145"/>
      <c r="AA177" s="145"/>
      <c r="AB177" s="144"/>
      <c r="AC177" s="144"/>
      <c r="AD177" s="145"/>
      <c r="AE177" s="144"/>
      <c r="AF177" s="146"/>
    </row>
    <row r="178" spans="1:32">
      <c r="A178" s="132">
        <f t="shared" si="14"/>
        <v>170</v>
      </c>
      <c r="B178" s="133" t="s">
        <v>1726</v>
      </c>
      <c r="C178" s="133" t="s">
        <v>1903</v>
      </c>
      <c r="D178" s="132" t="s">
        <v>1697</v>
      </c>
      <c r="E178" s="147" t="s">
        <v>1207</v>
      </c>
      <c r="F178" s="135">
        <v>45688</v>
      </c>
      <c r="G178" s="45"/>
      <c r="H178" s="136"/>
      <c r="I178" s="136">
        <v>-116414</v>
      </c>
      <c r="J178" s="137" t="s">
        <v>1025</v>
      </c>
      <c r="K178" s="137"/>
      <c r="L178" s="148">
        <f t="shared" si="22"/>
        <v>-116414</v>
      </c>
      <c r="M178" s="122">
        <f t="shared" si="15"/>
        <v>0</v>
      </c>
      <c r="N178" s="137"/>
      <c r="O178" s="149" t="b">
        <f t="shared" si="16"/>
        <v>0</v>
      </c>
      <c r="P178" s="149">
        <f t="shared" si="17"/>
        <v>0</v>
      </c>
      <c r="Q178" s="149" t="b">
        <f t="shared" si="18"/>
        <v>1</v>
      </c>
      <c r="R178" s="149">
        <f t="shared" si="19"/>
        <v>-116414</v>
      </c>
      <c r="S178" s="144"/>
      <c r="T178" s="143"/>
      <c r="U178" s="144"/>
      <c r="V178" s="144"/>
      <c r="W178" s="144"/>
      <c r="X178" s="144"/>
      <c r="Y178" s="144"/>
      <c r="Z178" s="145"/>
      <c r="AA178" s="145"/>
      <c r="AB178" s="144"/>
      <c r="AC178" s="144"/>
      <c r="AD178" s="145"/>
      <c r="AE178" s="144"/>
      <c r="AF178" s="146"/>
    </row>
    <row r="179" spans="1:32">
      <c r="A179" s="132">
        <f t="shared" si="14"/>
        <v>171</v>
      </c>
      <c r="B179" s="133" t="s">
        <v>1726</v>
      </c>
      <c r="C179" s="133" t="s">
        <v>1903</v>
      </c>
      <c r="D179" s="132" t="s">
        <v>1697</v>
      </c>
      <c r="E179" s="147" t="s">
        <v>1208</v>
      </c>
      <c r="F179" s="135">
        <v>45688</v>
      </c>
      <c r="G179" s="45"/>
      <c r="H179" s="136"/>
      <c r="I179" s="136">
        <v>-189956.91</v>
      </c>
      <c r="J179" s="137" t="s">
        <v>1025</v>
      </c>
      <c r="K179" s="137"/>
      <c r="L179" s="148">
        <f t="shared" si="22"/>
        <v>-189956.91</v>
      </c>
      <c r="M179" s="122">
        <f t="shared" si="15"/>
        <v>0</v>
      </c>
      <c r="N179" s="137"/>
      <c r="O179" s="149" t="b">
        <f t="shared" si="16"/>
        <v>0</v>
      </c>
      <c r="P179" s="149">
        <f t="shared" si="17"/>
        <v>0</v>
      </c>
      <c r="Q179" s="149" t="b">
        <f t="shared" si="18"/>
        <v>1</v>
      </c>
      <c r="R179" s="149">
        <f t="shared" si="19"/>
        <v>-189956.91</v>
      </c>
      <c r="S179" s="144"/>
      <c r="T179" s="143"/>
      <c r="U179" s="144"/>
      <c r="V179" s="144"/>
      <c r="W179" s="144"/>
      <c r="X179" s="144"/>
      <c r="Y179" s="144"/>
      <c r="Z179" s="145"/>
      <c r="AA179" s="145"/>
      <c r="AB179" s="144"/>
      <c r="AC179" s="144"/>
      <c r="AD179" s="145"/>
      <c r="AE179" s="144"/>
      <c r="AF179" s="146"/>
    </row>
    <row r="180" spans="1:32">
      <c r="A180" s="132">
        <f t="shared" si="14"/>
        <v>172</v>
      </c>
      <c r="B180" s="133" t="s">
        <v>1726</v>
      </c>
      <c r="C180" s="133" t="s">
        <v>1903</v>
      </c>
      <c r="D180" s="132" t="s">
        <v>1697</v>
      </c>
      <c r="E180" s="147" t="s">
        <v>1209</v>
      </c>
      <c r="F180" s="135">
        <v>45688</v>
      </c>
      <c r="G180" s="45"/>
      <c r="H180" s="136"/>
      <c r="I180" s="136">
        <v>-189973</v>
      </c>
      <c r="J180" s="137" t="s">
        <v>1025</v>
      </c>
      <c r="K180" s="137"/>
      <c r="L180" s="148">
        <f t="shared" si="22"/>
        <v>-189973</v>
      </c>
      <c r="M180" s="122">
        <f t="shared" si="15"/>
        <v>0</v>
      </c>
      <c r="N180" s="137"/>
      <c r="O180" s="149" t="b">
        <f t="shared" si="16"/>
        <v>0</v>
      </c>
      <c r="P180" s="149">
        <f t="shared" si="17"/>
        <v>0</v>
      </c>
      <c r="Q180" s="149" t="b">
        <f t="shared" si="18"/>
        <v>1</v>
      </c>
      <c r="R180" s="149">
        <f t="shared" si="19"/>
        <v>-189973</v>
      </c>
      <c r="S180" s="144"/>
      <c r="T180" s="143"/>
      <c r="U180" s="144"/>
      <c r="V180" s="144"/>
      <c r="W180" s="144"/>
      <c r="X180" s="144"/>
      <c r="Y180" s="144"/>
      <c r="Z180" s="145"/>
      <c r="AA180" s="145"/>
      <c r="AB180" s="144"/>
      <c r="AC180" s="144"/>
      <c r="AD180" s="145"/>
      <c r="AE180" s="144"/>
      <c r="AF180" s="146"/>
    </row>
    <row r="181" spans="1:32">
      <c r="A181" s="132">
        <f t="shared" si="14"/>
        <v>173</v>
      </c>
      <c r="B181" s="133" t="s">
        <v>1726</v>
      </c>
      <c r="C181" s="133" t="s">
        <v>1903</v>
      </c>
      <c r="D181" s="132" t="s">
        <v>1697</v>
      </c>
      <c r="E181" s="147" t="s">
        <v>1210</v>
      </c>
      <c r="F181" s="135">
        <v>45688</v>
      </c>
      <c r="G181" s="45"/>
      <c r="H181" s="136"/>
      <c r="I181" s="136">
        <v>-62167</v>
      </c>
      <c r="J181" s="137" t="s">
        <v>1025</v>
      </c>
      <c r="K181" s="137"/>
      <c r="L181" s="148">
        <f t="shared" si="22"/>
        <v>-62167</v>
      </c>
      <c r="M181" s="122">
        <f t="shared" si="15"/>
        <v>0</v>
      </c>
      <c r="N181" s="137"/>
      <c r="O181" s="149" t="b">
        <f t="shared" si="16"/>
        <v>0</v>
      </c>
      <c r="P181" s="149">
        <f t="shared" si="17"/>
        <v>0</v>
      </c>
      <c r="Q181" s="149" t="b">
        <f t="shared" si="18"/>
        <v>1</v>
      </c>
      <c r="R181" s="149">
        <f t="shared" si="19"/>
        <v>-62167</v>
      </c>
      <c r="S181" s="144"/>
      <c r="T181" s="143"/>
      <c r="U181" s="144"/>
      <c r="V181" s="144"/>
      <c r="W181" s="144"/>
      <c r="X181" s="144"/>
      <c r="Y181" s="144"/>
      <c r="Z181" s="145"/>
      <c r="AA181" s="145"/>
      <c r="AB181" s="144"/>
      <c r="AC181" s="144"/>
      <c r="AD181" s="145"/>
      <c r="AE181" s="144"/>
      <c r="AF181" s="146"/>
    </row>
    <row r="182" spans="1:32">
      <c r="A182" s="132">
        <f t="shared" si="14"/>
        <v>174</v>
      </c>
      <c r="B182" s="133" t="s">
        <v>1726</v>
      </c>
      <c r="C182" s="133" t="s">
        <v>1903</v>
      </c>
      <c r="D182" s="132" t="s">
        <v>1697</v>
      </c>
      <c r="E182" s="147" t="s">
        <v>1211</v>
      </c>
      <c r="F182" s="135">
        <v>45688</v>
      </c>
      <c r="G182" s="45"/>
      <c r="H182" s="136"/>
      <c r="I182" s="136">
        <v>-192834</v>
      </c>
      <c r="J182" s="137" t="s">
        <v>1025</v>
      </c>
      <c r="K182" s="137"/>
      <c r="L182" s="148">
        <f t="shared" si="22"/>
        <v>-192834</v>
      </c>
      <c r="M182" s="122">
        <f t="shared" si="15"/>
        <v>0</v>
      </c>
      <c r="N182" s="137"/>
      <c r="O182" s="149" t="b">
        <f t="shared" si="16"/>
        <v>0</v>
      </c>
      <c r="P182" s="149">
        <f t="shared" si="17"/>
        <v>0</v>
      </c>
      <c r="Q182" s="149" t="b">
        <f t="shared" si="18"/>
        <v>1</v>
      </c>
      <c r="R182" s="149">
        <f t="shared" si="19"/>
        <v>-192834</v>
      </c>
      <c r="S182" s="144"/>
      <c r="T182" s="143"/>
      <c r="U182" s="144"/>
      <c r="V182" s="144"/>
      <c r="W182" s="144"/>
      <c r="X182" s="144"/>
      <c r="Y182" s="144"/>
      <c r="Z182" s="145"/>
      <c r="AA182" s="145"/>
      <c r="AB182" s="144"/>
      <c r="AC182" s="144"/>
      <c r="AD182" s="145"/>
      <c r="AE182" s="144"/>
      <c r="AF182" s="146"/>
    </row>
    <row r="183" spans="1:32">
      <c r="A183" s="132">
        <f t="shared" si="14"/>
        <v>175</v>
      </c>
      <c r="B183" s="133" t="s">
        <v>1726</v>
      </c>
      <c r="C183" s="133" t="s">
        <v>1903</v>
      </c>
      <c r="D183" s="132" t="s">
        <v>1697</v>
      </c>
      <c r="E183" s="147" t="s">
        <v>1212</v>
      </c>
      <c r="F183" s="135">
        <v>45688</v>
      </c>
      <c r="G183" s="45"/>
      <c r="H183" s="136"/>
      <c r="I183" s="136">
        <v>-99501</v>
      </c>
      <c r="J183" s="137" t="s">
        <v>1025</v>
      </c>
      <c r="K183" s="137"/>
      <c r="L183" s="148">
        <f t="shared" si="22"/>
        <v>-99501</v>
      </c>
      <c r="M183" s="122">
        <f t="shared" si="15"/>
        <v>0</v>
      </c>
      <c r="N183" s="137"/>
      <c r="O183" s="149" t="b">
        <f t="shared" si="16"/>
        <v>0</v>
      </c>
      <c r="P183" s="149">
        <f t="shared" si="17"/>
        <v>0</v>
      </c>
      <c r="Q183" s="149" t="b">
        <f t="shared" si="18"/>
        <v>1</v>
      </c>
      <c r="R183" s="149">
        <f t="shared" si="19"/>
        <v>-99501</v>
      </c>
      <c r="S183" s="144"/>
      <c r="T183" s="143"/>
      <c r="U183" s="144"/>
      <c r="V183" s="144"/>
      <c r="W183" s="144"/>
      <c r="X183" s="144"/>
      <c r="Y183" s="144"/>
      <c r="Z183" s="145"/>
      <c r="AA183" s="145"/>
      <c r="AB183" s="144"/>
      <c r="AC183" s="144"/>
      <c r="AD183" s="145"/>
      <c r="AE183" s="144"/>
      <c r="AF183" s="146"/>
    </row>
    <row r="184" spans="1:32">
      <c r="A184" s="132">
        <f t="shared" si="14"/>
        <v>176</v>
      </c>
      <c r="B184" s="133" t="s">
        <v>1726</v>
      </c>
      <c r="C184" s="133" t="s">
        <v>1903</v>
      </c>
      <c r="D184" s="132" t="s">
        <v>1697</v>
      </c>
      <c r="E184" s="147" t="s">
        <v>1213</v>
      </c>
      <c r="F184" s="135">
        <v>45688</v>
      </c>
      <c r="G184" s="45"/>
      <c r="H184" s="136"/>
      <c r="I184" s="136">
        <v>-62167</v>
      </c>
      <c r="J184" s="137" t="s">
        <v>1025</v>
      </c>
      <c r="K184" s="137"/>
      <c r="L184" s="148">
        <f t="shared" si="22"/>
        <v>-62167</v>
      </c>
      <c r="M184" s="122">
        <f t="shared" si="15"/>
        <v>0</v>
      </c>
      <c r="N184" s="137"/>
      <c r="O184" s="149" t="b">
        <f t="shared" si="16"/>
        <v>0</v>
      </c>
      <c r="P184" s="149">
        <f t="shared" si="17"/>
        <v>0</v>
      </c>
      <c r="Q184" s="149" t="b">
        <f t="shared" si="18"/>
        <v>1</v>
      </c>
      <c r="R184" s="149">
        <f t="shared" si="19"/>
        <v>-62167</v>
      </c>
      <c r="S184" s="144"/>
      <c r="T184" s="143"/>
      <c r="U184" s="144"/>
      <c r="V184" s="144"/>
      <c r="W184" s="144"/>
      <c r="X184" s="144"/>
      <c r="Y184" s="144"/>
      <c r="Z184" s="145"/>
      <c r="AA184" s="145"/>
      <c r="AB184" s="144"/>
      <c r="AC184" s="144"/>
      <c r="AD184" s="145"/>
      <c r="AE184" s="144"/>
      <c r="AF184" s="146"/>
    </row>
    <row r="185" spans="1:32">
      <c r="A185" s="132">
        <f t="shared" si="14"/>
        <v>177</v>
      </c>
      <c r="B185" s="133" t="s">
        <v>1726</v>
      </c>
      <c r="C185" s="133" t="s">
        <v>1903</v>
      </c>
      <c r="D185" s="132" t="s">
        <v>1697</v>
      </c>
      <c r="E185" s="147" t="s">
        <v>1214</v>
      </c>
      <c r="F185" s="135">
        <v>45688</v>
      </c>
      <c r="G185" s="45"/>
      <c r="H185" s="136"/>
      <c r="I185" s="136">
        <v>-192834</v>
      </c>
      <c r="J185" s="137" t="s">
        <v>1025</v>
      </c>
      <c r="K185" s="137"/>
      <c r="L185" s="148">
        <f t="shared" si="22"/>
        <v>-192834</v>
      </c>
      <c r="M185" s="122">
        <f t="shared" si="15"/>
        <v>0</v>
      </c>
      <c r="N185" s="137"/>
      <c r="O185" s="149" t="b">
        <f t="shared" si="16"/>
        <v>0</v>
      </c>
      <c r="P185" s="149">
        <f t="shared" si="17"/>
        <v>0</v>
      </c>
      <c r="Q185" s="149" t="b">
        <f t="shared" si="18"/>
        <v>1</v>
      </c>
      <c r="R185" s="149">
        <f t="shared" si="19"/>
        <v>-192834</v>
      </c>
      <c r="S185" s="144"/>
      <c r="T185" s="143"/>
      <c r="U185" s="144"/>
      <c r="V185" s="144"/>
      <c r="W185" s="144"/>
      <c r="X185" s="144"/>
      <c r="Y185" s="144"/>
      <c r="Z185" s="145"/>
      <c r="AA185" s="145"/>
      <c r="AB185" s="144"/>
      <c r="AC185" s="144"/>
      <c r="AD185" s="145"/>
      <c r="AE185" s="144"/>
      <c r="AF185" s="146"/>
    </row>
    <row r="186" spans="1:32">
      <c r="A186" s="132">
        <f t="shared" si="14"/>
        <v>178</v>
      </c>
      <c r="B186" s="133" t="s">
        <v>1726</v>
      </c>
      <c r="C186" s="133" t="s">
        <v>1903</v>
      </c>
      <c r="D186" s="132" t="s">
        <v>1697</v>
      </c>
      <c r="E186" s="147" t="s">
        <v>1215</v>
      </c>
      <c r="F186" s="135">
        <v>45688</v>
      </c>
      <c r="G186" s="45"/>
      <c r="H186" s="136"/>
      <c r="I186" s="136">
        <v>-24836</v>
      </c>
      <c r="J186" s="137" t="s">
        <v>1025</v>
      </c>
      <c r="K186" s="137"/>
      <c r="L186" s="148">
        <f t="shared" si="22"/>
        <v>-24836</v>
      </c>
      <c r="M186" s="122">
        <f t="shared" si="15"/>
        <v>0</v>
      </c>
      <c r="N186" s="137"/>
      <c r="O186" s="149" t="b">
        <f t="shared" si="16"/>
        <v>0</v>
      </c>
      <c r="P186" s="149">
        <f t="shared" si="17"/>
        <v>0</v>
      </c>
      <c r="Q186" s="149" t="b">
        <f t="shared" si="18"/>
        <v>1</v>
      </c>
      <c r="R186" s="149">
        <f t="shared" si="19"/>
        <v>-24836</v>
      </c>
      <c r="S186" s="144"/>
      <c r="T186" s="143"/>
      <c r="U186" s="144"/>
      <c r="V186" s="144"/>
      <c r="W186" s="144"/>
      <c r="X186" s="144"/>
      <c r="Y186" s="144"/>
      <c r="Z186" s="145"/>
      <c r="AA186" s="145"/>
      <c r="AB186" s="144"/>
      <c r="AC186" s="144"/>
      <c r="AD186" s="145"/>
      <c r="AE186" s="144"/>
      <c r="AF186" s="146"/>
    </row>
    <row r="187" spans="1:32">
      <c r="A187" s="132">
        <f t="shared" si="14"/>
        <v>179</v>
      </c>
      <c r="B187" s="133" t="s">
        <v>1726</v>
      </c>
      <c r="C187" s="133" t="s">
        <v>1903</v>
      </c>
      <c r="D187" s="132" t="s">
        <v>1697</v>
      </c>
      <c r="E187" s="147" t="s">
        <v>1216</v>
      </c>
      <c r="F187" s="135">
        <v>45688</v>
      </c>
      <c r="G187" s="45"/>
      <c r="H187" s="136"/>
      <c r="I187" s="136">
        <v>-24836</v>
      </c>
      <c r="J187" s="137" t="s">
        <v>1025</v>
      </c>
      <c r="K187" s="137"/>
      <c r="L187" s="148">
        <f t="shared" si="22"/>
        <v>-24836</v>
      </c>
      <c r="M187" s="122">
        <f t="shared" si="15"/>
        <v>0</v>
      </c>
      <c r="N187" s="137"/>
      <c r="O187" s="149" t="b">
        <f t="shared" si="16"/>
        <v>0</v>
      </c>
      <c r="P187" s="149">
        <f t="shared" si="17"/>
        <v>0</v>
      </c>
      <c r="Q187" s="149" t="b">
        <f t="shared" si="18"/>
        <v>1</v>
      </c>
      <c r="R187" s="149">
        <f t="shared" si="19"/>
        <v>-24836</v>
      </c>
      <c r="S187" s="144"/>
      <c r="T187" s="143"/>
      <c r="U187" s="144"/>
      <c r="V187" s="144"/>
      <c r="W187" s="144"/>
      <c r="X187" s="144"/>
      <c r="Y187" s="144"/>
      <c r="Z187" s="145"/>
      <c r="AA187" s="145"/>
      <c r="AB187" s="144"/>
      <c r="AC187" s="144"/>
      <c r="AD187" s="145"/>
      <c r="AE187" s="144"/>
      <c r="AF187" s="146"/>
    </row>
    <row r="188" spans="1:32">
      <c r="A188" s="132">
        <f t="shared" si="14"/>
        <v>180</v>
      </c>
      <c r="B188" s="133" t="s">
        <v>1726</v>
      </c>
      <c r="C188" s="133" t="s">
        <v>1903</v>
      </c>
      <c r="D188" s="132" t="s">
        <v>1697</v>
      </c>
      <c r="E188" s="147" t="s">
        <v>1217</v>
      </c>
      <c r="F188" s="135">
        <v>45688</v>
      </c>
      <c r="G188" s="45"/>
      <c r="H188" s="136"/>
      <c r="I188" s="136">
        <v>-30872</v>
      </c>
      <c r="J188" s="137" t="s">
        <v>1025</v>
      </c>
      <c r="K188" s="137"/>
      <c r="L188" s="148">
        <f t="shared" si="22"/>
        <v>-30872</v>
      </c>
      <c r="M188" s="122">
        <f t="shared" si="15"/>
        <v>0</v>
      </c>
      <c r="N188" s="137"/>
      <c r="O188" s="149" t="b">
        <f t="shared" si="16"/>
        <v>0</v>
      </c>
      <c r="P188" s="149">
        <f t="shared" si="17"/>
        <v>0</v>
      </c>
      <c r="Q188" s="149" t="b">
        <f t="shared" si="18"/>
        <v>1</v>
      </c>
      <c r="R188" s="149">
        <f t="shared" si="19"/>
        <v>-30872</v>
      </c>
      <c r="S188" s="144" t="s">
        <v>1046</v>
      </c>
      <c r="T188" s="143"/>
      <c r="U188" s="144"/>
      <c r="V188" s="144"/>
      <c r="W188" s="144"/>
      <c r="X188" s="144"/>
      <c r="Y188" s="144"/>
      <c r="Z188" s="145"/>
      <c r="AA188" s="145"/>
      <c r="AB188" s="144"/>
      <c r="AC188" s="144"/>
      <c r="AD188" s="145"/>
      <c r="AE188" s="144"/>
      <c r="AF188" s="146"/>
    </row>
    <row r="189" spans="1:32">
      <c r="A189" s="132">
        <f t="shared" si="14"/>
        <v>181</v>
      </c>
      <c r="B189" s="133" t="s">
        <v>1726</v>
      </c>
      <c r="C189" s="133" t="s">
        <v>1903</v>
      </c>
      <c r="D189" s="132" t="s">
        <v>1697</v>
      </c>
      <c r="E189" s="147" t="s">
        <v>1218</v>
      </c>
      <c r="F189" s="135">
        <v>45688</v>
      </c>
      <c r="G189" s="45"/>
      <c r="H189" s="136"/>
      <c r="I189" s="136">
        <v>-62167</v>
      </c>
      <c r="J189" s="137" t="s">
        <v>1025</v>
      </c>
      <c r="K189" s="137"/>
      <c r="L189" s="148">
        <f t="shared" si="22"/>
        <v>-62167</v>
      </c>
      <c r="M189" s="122">
        <f t="shared" si="15"/>
        <v>0</v>
      </c>
      <c r="N189" s="137"/>
      <c r="O189" s="149" t="b">
        <f t="shared" si="16"/>
        <v>0</v>
      </c>
      <c r="P189" s="149">
        <f t="shared" si="17"/>
        <v>0</v>
      </c>
      <c r="Q189" s="149" t="b">
        <f t="shared" si="18"/>
        <v>1</v>
      </c>
      <c r="R189" s="149">
        <f t="shared" si="19"/>
        <v>-62167</v>
      </c>
      <c r="S189" s="144"/>
      <c r="T189" s="143"/>
      <c r="U189" s="144"/>
      <c r="V189" s="144"/>
      <c r="W189" s="144"/>
      <c r="X189" s="144"/>
      <c r="Y189" s="144"/>
      <c r="Z189" s="145"/>
      <c r="AA189" s="145"/>
      <c r="AB189" s="144"/>
      <c r="AC189" s="144"/>
      <c r="AD189" s="145"/>
      <c r="AE189" s="144"/>
      <c r="AF189" s="146"/>
    </row>
    <row r="190" spans="1:32">
      <c r="A190" s="132">
        <f t="shared" si="14"/>
        <v>182</v>
      </c>
      <c r="B190" s="133" t="s">
        <v>1726</v>
      </c>
      <c r="C190" s="133" t="s">
        <v>1903</v>
      </c>
      <c r="D190" s="132" t="s">
        <v>1697</v>
      </c>
      <c r="E190" s="147" t="s">
        <v>1219</v>
      </c>
      <c r="F190" s="135">
        <v>45688</v>
      </c>
      <c r="G190" s="45"/>
      <c r="H190" s="136"/>
      <c r="I190" s="136">
        <v>-24836</v>
      </c>
      <c r="J190" s="137" t="s">
        <v>1025</v>
      </c>
      <c r="K190" s="137"/>
      <c r="L190" s="148">
        <f t="shared" si="22"/>
        <v>-24836</v>
      </c>
      <c r="M190" s="122">
        <f t="shared" si="15"/>
        <v>0</v>
      </c>
      <c r="N190" s="137"/>
      <c r="O190" s="149" t="b">
        <f t="shared" si="16"/>
        <v>0</v>
      </c>
      <c r="P190" s="149">
        <f t="shared" si="17"/>
        <v>0</v>
      </c>
      <c r="Q190" s="149" t="b">
        <f t="shared" si="18"/>
        <v>1</v>
      </c>
      <c r="R190" s="149">
        <f t="shared" si="19"/>
        <v>-24836</v>
      </c>
      <c r="S190" s="144"/>
      <c r="T190" s="143"/>
      <c r="U190" s="144"/>
      <c r="V190" s="144"/>
      <c r="W190" s="144"/>
      <c r="X190" s="144"/>
      <c r="Y190" s="144"/>
      <c r="Z190" s="145"/>
      <c r="AA190" s="145"/>
      <c r="AB190" s="144"/>
      <c r="AC190" s="144"/>
      <c r="AD190" s="145"/>
      <c r="AE190" s="144"/>
      <c r="AF190" s="146"/>
    </row>
    <row r="191" spans="1:32">
      <c r="A191" s="132">
        <f t="shared" si="14"/>
        <v>183</v>
      </c>
      <c r="B191" s="133" t="s">
        <v>1726</v>
      </c>
      <c r="C191" s="133" t="s">
        <v>1903</v>
      </c>
      <c r="D191" s="132" t="s">
        <v>1697</v>
      </c>
      <c r="E191" s="147" t="s">
        <v>1220</v>
      </c>
      <c r="F191" s="135">
        <v>45688</v>
      </c>
      <c r="G191" s="45"/>
      <c r="H191" s="136"/>
      <c r="I191" s="136">
        <v>-253194</v>
      </c>
      <c r="J191" s="137" t="s">
        <v>1025</v>
      </c>
      <c r="K191" s="137"/>
      <c r="L191" s="148">
        <f t="shared" si="22"/>
        <v>-253194</v>
      </c>
      <c r="M191" s="122">
        <f t="shared" si="15"/>
        <v>0</v>
      </c>
      <c r="N191" s="137"/>
      <c r="O191" s="149" t="b">
        <f t="shared" si="16"/>
        <v>0</v>
      </c>
      <c r="P191" s="149">
        <f t="shared" si="17"/>
        <v>0</v>
      </c>
      <c r="Q191" s="149" t="b">
        <f t="shared" si="18"/>
        <v>1</v>
      </c>
      <c r="R191" s="149">
        <f t="shared" si="19"/>
        <v>-253194</v>
      </c>
      <c r="S191" s="144"/>
      <c r="T191" s="143"/>
      <c r="U191" s="144"/>
      <c r="V191" s="144"/>
      <c r="W191" s="144"/>
      <c r="X191" s="144"/>
      <c r="Y191" s="144"/>
      <c r="Z191" s="145"/>
      <c r="AA191" s="145"/>
      <c r="AB191" s="144"/>
      <c r="AC191" s="144"/>
      <c r="AD191" s="145"/>
      <c r="AE191" s="144"/>
      <c r="AF191" s="146"/>
    </row>
    <row r="192" spans="1:32">
      <c r="A192" s="132">
        <f t="shared" si="14"/>
        <v>184</v>
      </c>
      <c r="B192" s="133" t="s">
        <v>1726</v>
      </c>
      <c r="C192" s="133" t="s">
        <v>1903</v>
      </c>
      <c r="D192" s="132" t="s">
        <v>1697</v>
      </c>
      <c r="E192" s="147" t="s">
        <v>1221</v>
      </c>
      <c r="F192" s="135">
        <v>45688</v>
      </c>
      <c r="G192" s="45"/>
      <c r="H192" s="136"/>
      <c r="I192" s="136">
        <v>-37319</v>
      </c>
      <c r="J192" s="137" t="s">
        <v>1025</v>
      </c>
      <c r="K192" s="137"/>
      <c r="L192" s="148">
        <f t="shared" si="22"/>
        <v>-37319</v>
      </c>
      <c r="M192" s="122">
        <f t="shared" si="15"/>
        <v>0</v>
      </c>
      <c r="N192" s="137"/>
      <c r="O192" s="149" t="b">
        <f t="shared" si="16"/>
        <v>0</v>
      </c>
      <c r="P192" s="149">
        <f t="shared" si="17"/>
        <v>0</v>
      </c>
      <c r="Q192" s="149" t="b">
        <f t="shared" si="18"/>
        <v>1</v>
      </c>
      <c r="R192" s="149">
        <f t="shared" si="19"/>
        <v>-37319</v>
      </c>
      <c r="S192" s="144"/>
      <c r="T192" s="143"/>
      <c r="U192" s="144"/>
      <c r="V192" s="144"/>
      <c r="W192" s="144"/>
      <c r="X192" s="144"/>
      <c r="Y192" s="144"/>
      <c r="Z192" s="145"/>
      <c r="AA192" s="145"/>
      <c r="AB192" s="144"/>
      <c r="AC192" s="144"/>
      <c r="AD192" s="145"/>
      <c r="AE192" s="144"/>
      <c r="AF192" s="146"/>
    </row>
    <row r="193" spans="1:32">
      <c r="A193" s="132">
        <f t="shared" si="14"/>
        <v>185</v>
      </c>
      <c r="B193" s="133" t="s">
        <v>1726</v>
      </c>
      <c r="C193" s="133" t="s">
        <v>1903</v>
      </c>
      <c r="D193" s="132" t="s">
        <v>1697</v>
      </c>
      <c r="E193" s="147" t="s">
        <v>1222</v>
      </c>
      <c r="F193" s="135">
        <v>45688</v>
      </c>
      <c r="G193" s="45"/>
      <c r="H193" s="136"/>
      <c r="I193" s="136">
        <v>-216978</v>
      </c>
      <c r="J193" s="137" t="s">
        <v>1025</v>
      </c>
      <c r="K193" s="137"/>
      <c r="L193" s="148">
        <f t="shared" si="22"/>
        <v>-216978</v>
      </c>
      <c r="M193" s="122">
        <f t="shared" si="15"/>
        <v>0</v>
      </c>
      <c r="N193" s="137"/>
      <c r="O193" s="149" t="b">
        <f t="shared" si="16"/>
        <v>0</v>
      </c>
      <c r="P193" s="149">
        <f t="shared" si="17"/>
        <v>0</v>
      </c>
      <c r="Q193" s="149" t="b">
        <f t="shared" si="18"/>
        <v>1</v>
      </c>
      <c r="R193" s="149">
        <f t="shared" si="19"/>
        <v>-216978</v>
      </c>
      <c r="S193" s="144"/>
      <c r="T193" s="143"/>
      <c r="U193" s="144"/>
      <c r="V193" s="144"/>
      <c r="W193" s="144"/>
      <c r="X193" s="144"/>
      <c r="Y193" s="144"/>
      <c r="Z193" s="145"/>
      <c r="AA193" s="145"/>
      <c r="AB193" s="144"/>
      <c r="AC193" s="144"/>
      <c r="AD193" s="145"/>
      <c r="AE193" s="144"/>
      <c r="AF193" s="146"/>
    </row>
    <row r="194" spans="1:32">
      <c r="A194" s="132">
        <f t="shared" si="14"/>
        <v>186</v>
      </c>
      <c r="B194" s="133" t="s">
        <v>1726</v>
      </c>
      <c r="C194" s="133" t="s">
        <v>1903</v>
      </c>
      <c r="D194" s="132" t="s">
        <v>1697</v>
      </c>
      <c r="E194" s="147" t="s">
        <v>1223</v>
      </c>
      <c r="F194" s="135">
        <v>45688</v>
      </c>
      <c r="G194" s="45"/>
      <c r="H194" s="136"/>
      <c r="I194" s="136">
        <v>-253194</v>
      </c>
      <c r="J194" s="137" t="s">
        <v>1025</v>
      </c>
      <c r="K194" s="137"/>
      <c r="L194" s="148">
        <f t="shared" si="22"/>
        <v>-253194</v>
      </c>
      <c r="M194" s="122">
        <f t="shared" si="15"/>
        <v>0</v>
      </c>
      <c r="N194" s="137"/>
      <c r="O194" s="149" t="b">
        <f t="shared" si="16"/>
        <v>0</v>
      </c>
      <c r="P194" s="149">
        <f t="shared" si="17"/>
        <v>0</v>
      </c>
      <c r="Q194" s="149" t="b">
        <f t="shared" si="18"/>
        <v>1</v>
      </c>
      <c r="R194" s="149">
        <f t="shared" si="19"/>
        <v>-253194</v>
      </c>
      <c r="S194" s="144"/>
      <c r="T194" s="143"/>
      <c r="U194" s="144"/>
      <c r="V194" s="144"/>
      <c r="W194" s="144"/>
      <c r="X194" s="144"/>
      <c r="Y194" s="144"/>
      <c r="Z194" s="145"/>
      <c r="AA194" s="145"/>
      <c r="AB194" s="144"/>
      <c r="AC194" s="144"/>
      <c r="AD194" s="145"/>
      <c r="AE194" s="144"/>
      <c r="AF194" s="146"/>
    </row>
    <row r="195" spans="1:32">
      <c r="A195" s="132">
        <f t="shared" si="14"/>
        <v>187</v>
      </c>
      <c r="B195" s="133" t="s">
        <v>1726</v>
      </c>
      <c r="C195" s="133" t="s">
        <v>1903</v>
      </c>
      <c r="D195" s="132" t="s">
        <v>1697</v>
      </c>
      <c r="E195" s="147" t="s">
        <v>1224</v>
      </c>
      <c r="F195" s="135">
        <v>45688</v>
      </c>
      <c r="G195" s="45"/>
      <c r="H195" s="136"/>
      <c r="I195" s="136">
        <v>-155499</v>
      </c>
      <c r="J195" s="137" t="s">
        <v>1025</v>
      </c>
      <c r="K195" s="137"/>
      <c r="L195" s="148">
        <f t="shared" si="22"/>
        <v>-155499</v>
      </c>
      <c r="M195" s="122">
        <f t="shared" si="15"/>
        <v>0</v>
      </c>
      <c r="N195" s="137"/>
      <c r="O195" s="149" t="b">
        <f t="shared" si="16"/>
        <v>0</v>
      </c>
      <c r="P195" s="149">
        <f t="shared" si="17"/>
        <v>0</v>
      </c>
      <c r="Q195" s="149" t="b">
        <f t="shared" si="18"/>
        <v>1</v>
      </c>
      <c r="R195" s="149">
        <f t="shared" si="19"/>
        <v>-155499</v>
      </c>
      <c r="S195" s="144"/>
      <c r="T195" s="143"/>
      <c r="U195" s="144"/>
      <c r="V195" s="144"/>
      <c r="W195" s="144"/>
      <c r="X195" s="144"/>
      <c r="Y195" s="144"/>
      <c r="Z195" s="145"/>
      <c r="AA195" s="145"/>
      <c r="AB195" s="144"/>
      <c r="AC195" s="144"/>
      <c r="AD195" s="145"/>
      <c r="AE195" s="144"/>
      <c r="AF195" s="146"/>
    </row>
    <row r="196" spans="1:32">
      <c r="A196" s="132">
        <f t="shared" si="14"/>
        <v>188</v>
      </c>
      <c r="B196" s="133" t="s">
        <v>1726</v>
      </c>
      <c r="C196" s="133" t="s">
        <v>1903</v>
      </c>
      <c r="D196" s="132" t="s">
        <v>1697</v>
      </c>
      <c r="E196" s="147" t="s">
        <v>1225</v>
      </c>
      <c r="F196" s="135">
        <v>45688</v>
      </c>
      <c r="G196" s="45"/>
      <c r="H196" s="136"/>
      <c r="I196" s="136">
        <v>-43503</v>
      </c>
      <c r="J196" s="137" t="s">
        <v>1025</v>
      </c>
      <c r="K196" s="137"/>
      <c r="L196" s="148">
        <f t="shared" si="22"/>
        <v>-43503</v>
      </c>
      <c r="M196" s="122">
        <f t="shared" si="15"/>
        <v>0</v>
      </c>
      <c r="N196" s="137"/>
      <c r="O196" s="149" t="b">
        <f t="shared" si="16"/>
        <v>0</v>
      </c>
      <c r="P196" s="149">
        <f t="shared" si="17"/>
        <v>0</v>
      </c>
      <c r="Q196" s="149" t="b">
        <f t="shared" si="18"/>
        <v>1</v>
      </c>
      <c r="R196" s="149">
        <f t="shared" si="19"/>
        <v>-43503</v>
      </c>
      <c r="S196" s="144"/>
      <c r="T196" s="143"/>
      <c r="U196" s="144"/>
      <c r="V196" s="144"/>
      <c r="W196" s="144"/>
      <c r="X196" s="144"/>
      <c r="Y196" s="144"/>
      <c r="Z196" s="145"/>
      <c r="AA196" s="145"/>
      <c r="AB196" s="144"/>
      <c r="AC196" s="144"/>
      <c r="AD196" s="145"/>
      <c r="AE196" s="144"/>
      <c r="AF196" s="146"/>
    </row>
    <row r="197" spans="1:32">
      <c r="A197" s="132">
        <f t="shared" si="14"/>
        <v>189</v>
      </c>
      <c r="B197" s="133" t="s">
        <v>1726</v>
      </c>
      <c r="C197" s="133" t="s">
        <v>1903</v>
      </c>
      <c r="D197" s="132" t="s">
        <v>1697</v>
      </c>
      <c r="E197" s="147" t="s">
        <v>1226</v>
      </c>
      <c r="F197" s="135">
        <v>45688</v>
      </c>
      <c r="G197" s="45"/>
      <c r="H197" s="136"/>
      <c r="I197" s="136">
        <v>-24832</v>
      </c>
      <c r="J197" s="137" t="s">
        <v>1025</v>
      </c>
      <c r="K197" s="137"/>
      <c r="L197" s="148">
        <f t="shared" si="22"/>
        <v>-24832</v>
      </c>
      <c r="M197" s="122">
        <f t="shared" si="15"/>
        <v>0</v>
      </c>
      <c r="N197" s="137"/>
      <c r="O197" s="149" t="b">
        <f t="shared" si="16"/>
        <v>0</v>
      </c>
      <c r="P197" s="149">
        <f t="shared" si="17"/>
        <v>0</v>
      </c>
      <c r="Q197" s="149" t="b">
        <f t="shared" si="18"/>
        <v>1</v>
      </c>
      <c r="R197" s="149">
        <f t="shared" si="19"/>
        <v>-24832</v>
      </c>
      <c r="S197" s="144"/>
      <c r="T197" s="143"/>
      <c r="U197" s="144"/>
      <c r="V197" s="144"/>
      <c r="W197" s="144"/>
      <c r="X197" s="144"/>
      <c r="Y197" s="144"/>
      <c r="Z197" s="145"/>
      <c r="AA197" s="145"/>
      <c r="AB197" s="144"/>
      <c r="AC197" s="144"/>
      <c r="AD197" s="145"/>
      <c r="AE197" s="144"/>
      <c r="AF197" s="146"/>
    </row>
    <row r="198" spans="1:32">
      <c r="A198" s="132">
        <f t="shared" si="14"/>
        <v>190</v>
      </c>
      <c r="B198" s="133" t="s">
        <v>1726</v>
      </c>
      <c r="C198" s="133" t="s">
        <v>1903</v>
      </c>
      <c r="D198" s="132" t="s">
        <v>1697</v>
      </c>
      <c r="E198" s="147" t="s">
        <v>1227</v>
      </c>
      <c r="F198" s="135">
        <v>45688</v>
      </c>
      <c r="G198" s="45"/>
      <c r="H198" s="136"/>
      <c r="I198" s="136">
        <v>-92910</v>
      </c>
      <c r="J198" s="137" t="s">
        <v>1025</v>
      </c>
      <c r="K198" s="137"/>
      <c r="L198" s="148">
        <f t="shared" si="22"/>
        <v>-92910</v>
      </c>
      <c r="M198" s="122">
        <f t="shared" si="15"/>
        <v>0</v>
      </c>
      <c r="N198" s="137"/>
      <c r="O198" s="149" t="b">
        <f t="shared" si="16"/>
        <v>0</v>
      </c>
      <c r="P198" s="149">
        <f t="shared" si="17"/>
        <v>0</v>
      </c>
      <c r="Q198" s="149" t="b">
        <f t="shared" si="18"/>
        <v>1</v>
      </c>
      <c r="R198" s="149">
        <f t="shared" si="19"/>
        <v>-92910</v>
      </c>
      <c r="S198" s="144"/>
      <c r="T198" s="143"/>
      <c r="U198" s="144"/>
      <c r="V198" s="144"/>
      <c r="W198" s="144"/>
      <c r="X198" s="144"/>
      <c r="Y198" s="144"/>
      <c r="Z198" s="145"/>
      <c r="AA198" s="145"/>
      <c r="AB198" s="144"/>
      <c r="AC198" s="144"/>
      <c r="AD198" s="145"/>
      <c r="AE198" s="144"/>
      <c r="AF198" s="146"/>
    </row>
    <row r="199" spans="1:32">
      <c r="A199" s="132">
        <f t="shared" si="14"/>
        <v>191</v>
      </c>
      <c r="B199" s="133" t="s">
        <v>1726</v>
      </c>
      <c r="C199" s="133" t="s">
        <v>1903</v>
      </c>
      <c r="D199" s="132" t="s">
        <v>1697</v>
      </c>
      <c r="E199" s="147" t="s">
        <v>1228</v>
      </c>
      <c r="F199" s="135">
        <v>45688</v>
      </c>
      <c r="G199" s="45"/>
      <c r="H199" s="136"/>
      <c r="I199" s="136">
        <v>-43503</v>
      </c>
      <c r="J199" s="137" t="s">
        <v>1025</v>
      </c>
      <c r="K199" s="137"/>
      <c r="L199" s="148">
        <f t="shared" si="22"/>
        <v>-43503</v>
      </c>
      <c r="M199" s="122">
        <f t="shared" si="15"/>
        <v>0</v>
      </c>
      <c r="N199" s="137"/>
      <c r="O199" s="149" t="b">
        <f t="shared" si="16"/>
        <v>0</v>
      </c>
      <c r="P199" s="149">
        <f t="shared" si="17"/>
        <v>0</v>
      </c>
      <c r="Q199" s="149" t="b">
        <f t="shared" si="18"/>
        <v>1</v>
      </c>
      <c r="R199" s="149">
        <f t="shared" si="19"/>
        <v>-43503</v>
      </c>
      <c r="S199" s="144"/>
      <c r="T199" s="143"/>
      <c r="U199" s="144"/>
      <c r="V199" s="144"/>
      <c r="W199" s="144"/>
      <c r="X199" s="144"/>
      <c r="Y199" s="144"/>
      <c r="Z199" s="145"/>
      <c r="AA199" s="145"/>
      <c r="AB199" s="144"/>
      <c r="AC199" s="144"/>
      <c r="AD199" s="145"/>
      <c r="AE199" s="144"/>
      <c r="AF199" s="146"/>
    </row>
    <row r="200" spans="1:32">
      <c r="A200" s="132">
        <f t="shared" si="14"/>
        <v>192</v>
      </c>
      <c r="B200" s="133" t="s">
        <v>1726</v>
      </c>
      <c r="C200" s="133" t="s">
        <v>1903</v>
      </c>
      <c r="D200" s="132" t="s">
        <v>1697</v>
      </c>
      <c r="E200" s="147" t="s">
        <v>1229</v>
      </c>
      <c r="F200" s="135">
        <v>45688</v>
      </c>
      <c r="G200" s="45"/>
      <c r="H200" s="136"/>
      <c r="I200" s="136">
        <v>-49539</v>
      </c>
      <c r="J200" s="137" t="s">
        <v>1025</v>
      </c>
      <c r="K200" s="137"/>
      <c r="L200" s="148">
        <f t="shared" si="22"/>
        <v>-49539</v>
      </c>
      <c r="M200" s="122">
        <f t="shared" si="15"/>
        <v>0</v>
      </c>
      <c r="N200" s="137"/>
      <c r="O200" s="149" t="b">
        <f t="shared" si="16"/>
        <v>0</v>
      </c>
      <c r="P200" s="149">
        <f t="shared" si="17"/>
        <v>0</v>
      </c>
      <c r="Q200" s="149" t="b">
        <f t="shared" si="18"/>
        <v>1</v>
      </c>
      <c r="R200" s="149">
        <f t="shared" si="19"/>
        <v>-49539</v>
      </c>
      <c r="S200" s="144"/>
      <c r="T200" s="143"/>
      <c r="U200" s="144"/>
      <c r="V200" s="144"/>
      <c r="W200" s="144"/>
      <c r="X200" s="144"/>
      <c r="Y200" s="144"/>
      <c r="Z200" s="145"/>
      <c r="AA200" s="145"/>
      <c r="AB200" s="144"/>
      <c r="AC200" s="144"/>
      <c r="AD200" s="145"/>
      <c r="AE200" s="144"/>
      <c r="AF200" s="146"/>
    </row>
    <row r="201" spans="1:32">
      <c r="A201" s="132">
        <f t="shared" si="14"/>
        <v>193</v>
      </c>
      <c r="B201" s="133" t="s">
        <v>1726</v>
      </c>
      <c r="C201" s="133" t="s">
        <v>1903</v>
      </c>
      <c r="D201" s="132" t="s">
        <v>1697</v>
      </c>
      <c r="E201" s="147" t="s">
        <v>1230</v>
      </c>
      <c r="F201" s="135">
        <v>45688</v>
      </c>
      <c r="G201" s="45"/>
      <c r="H201" s="136"/>
      <c r="I201" s="136">
        <v>-43503</v>
      </c>
      <c r="J201" s="137" t="s">
        <v>1025</v>
      </c>
      <c r="K201" s="137"/>
      <c r="L201" s="148">
        <f t="shared" si="22"/>
        <v>-43503</v>
      </c>
      <c r="M201" s="122">
        <f t="shared" si="15"/>
        <v>0</v>
      </c>
      <c r="N201" s="137"/>
      <c r="O201" s="149" t="b">
        <f t="shared" si="16"/>
        <v>0</v>
      </c>
      <c r="P201" s="149">
        <f t="shared" si="17"/>
        <v>0</v>
      </c>
      <c r="Q201" s="149" t="b">
        <f t="shared" si="18"/>
        <v>1</v>
      </c>
      <c r="R201" s="149">
        <f t="shared" si="19"/>
        <v>-43503</v>
      </c>
      <c r="S201" s="144"/>
      <c r="T201" s="143"/>
      <c r="U201" s="144"/>
      <c r="V201" s="144"/>
      <c r="W201" s="144"/>
      <c r="X201" s="144"/>
      <c r="Y201" s="144"/>
      <c r="Z201" s="145"/>
      <c r="AA201" s="145"/>
      <c r="AB201" s="144"/>
      <c r="AC201" s="144"/>
      <c r="AD201" s="145"/>
      <c r="AE201" s="144"/>
      <c r="AF201" s="146"/>
    </row>
    <row r="202" spans="1:32">
      <c r="A202" s="132">
        <f t="shared" si="14"/>
        <v>194</v>
      </c>
      <c r="B202" s="133" t="s">
        <v>1726</v>
      </c>
      <c r="C202" s="133" t="s">
        <v>1903</v>
      </c>
      <c r="D202" s="132" t="s">
        <v>1697</v>
      </c>
      <c r="E202" s="147" t="s">
        <v>1231</v>
      </c>
      <c r="F202" s="135">
        <v>45688</v>
      </c>
      <c r="G202" s="45"/>
      <c r="H202" s="136"/>
      <c r="I202" s="136">
        <v>-123645</v>
      </c>
      <c r="J202" s="137" t="s">
        <v>1025</v>
      </c>
      <c r="K202" s="137"/>
      <c r="L202" s="148">
        <f t="shared" si="22"/>
        <v>-123645</v>
      </c>
      <c r="M202" s="122">
        <f t="shared" si="15"/>
        <v>0</v>
      </c>
      <c r="N202" s="137"/>
      <c r="O202" s="149" t="b">
        <f t="shared" si="16"/>
        <v>0</v>
      </c>
      <c r="P202" s="149">
        <f t="shared" si="17"/>
        <v>0</v>
      </c>
      <c r="Q202" s="149" t="b">
        <f t="shared" si="18"/>
        <v>1</v>
      </c>
      <c r="R202" s="149">
        <f t="shared" si="19"/>
        <v>-123645</v>
      </c>
      <c r="S202" s="144"/>
      <c r="T202" s="143"/>
      <c r="U202" s="144"/>
      <c r="V202" s="144"/>
      <c r="W202" s="144"/>
      <c r="X202" s="144"/>
      <c r="Y202" s="144"/>
      <c r="Z202" s="145"/>
      <c r="AA202" s="145"/>
      <c r="AB202" s="144"/>
      <c r="AC202" s="144"/>
      <c r="AD202" s="145"/>
      <c r="AE202" s="144"/>
      <c r="AF202" s="146"/>
    </row>
    <row r="203" spans="1:32">
      <c r="A203" s="132">
        <f t="shared" ref="A203:A266" si="23">A202+1</f>
        <v>195</v>
      </c>
      <c r="B203" s="133" t="s">
        <v>1726</v>
      </c>
      <c r="C203" s="133" t="s">
        <v>1903</v>
      </c>
      <c r="D203" s="132" t="s">
        <v>1697</v>
      </c>
      <c r="E203" s="147" t="s">
        <v>1232</v>
      </c>
      <c r="F203" s="135">
        <v>45688</v>
      </c>
      <c r="G203" s="45"/>
      <c r="H203" s="136"/>
      <c r="I203" s="136">
        <v>-148908</v>
      </c>
      <c r="J203" s="137" t="s">
        <v>1025</v>
      </c>
      <c r="K203" s="137"/>
      <c r="L203" s="148">
        <f t="shared" si="22"/>
        <v>-148908</v>
      </c>
      <c r="M203" s="122">
        <f t="shared" si="15"/>
        <v>0</v>
      </c>
      <c r="N203" s="137"/>
      <c r="O203" s="149" t="b">
        <f t="shared" si="16"/>
        <v>0</v>
      </c>
      <c r="P203" s="149">
        <f t="shared" si="17"/>
        <v>0</v>
      </c>
      <c r="Q203" s="149" t="b">
        <f t="shared" si="18"/>
        <v>1</v>
      </c>
      <c r="R203" s="149">
        <f t="shared" si="19"/>
        <v>-148908</v>
      </c>
      <c r="S203" s="144"/>
      <c r="T203" s="143"/>
      <c r="U203" s="144"/>
      <c r="V203" s="144"/>
      <c r="W203" s="144"/>
      <c r="X203" s="144"/>
      <c r="Y203" s="144"/>
      <c r="Z203" s="145"/>
      <c r="AA203" s="145"/>
      <c r="AB203" s="144"/>
      <c r="AC203" s="144"/>
      <c r="AD203" s="145"/>
      <c r="AE203" s="144"/>
      <c r="AF203" s="146"/>
    </row>
    <row r="204" spans="1:32">
      <c r="A204" s="132">
        <f t="shared" si="23"/>
        <v>196</v>
      </c>
      <c r="B204" s="133" t="s">
        <v>1726</v>
      </c>
      <c r="C204" s="133" t="s">
        <v>1903</v>
      </c>
      <c r="D204" s="132" t="s">
        <v>1697</v>
      </c>
      <c r="E204" s="147" t="s">
        <v>1233</v>
      </c>
      <c r="F204" s="135">
        <v>45688</v>
      </c>
      <c r="G204" s="45"/>
      <c r="H204" s="136"/>
      <c r="I204" s="136">
        <v>-42252</v>
      </c>
      <c r="J204" s="137" t="s">
        <v>1025</v>
      </c>
      <c r="K204" s="137"/>
      <c r="L204" s="148">
        <f t="shared" si="22"/>
        <v>-42252</v>
      </c>
      <c r="M204" s="122">
        <f t="shared" si="15"/>
        <v>0</v>
      </c>
      <c r="N204" s="137"/>
      <c r="O204" s="149" t="b">
        <f t="shared" si="16"/>
        <v>0</v>
      </c>
      <c r="P204" s="149">
        <f t="shared" si="17"/>
        <v>0</v>
      </c>
      <c r="Q204" s="149" t="b">
        <f t="shared" si="18"/>
        <v>1</v>
      </c>
      <c r="R204" s="149">
        <f t="shared" si="19"/>
        <v>-42252</v>
      </c>
      <c r="S204" s="144"/>
      <c r="T204" s="143"/>
      <c r="U204" s="144"/>
      <c r="V204" s="144"/>
      <c r="W204" s="144"/>
      <c r="X204" s="144"/>
      <c r="Y204" s="144"/>
      <c r="Z204" s="145"/>
      <c r="AA204" s="145"/>
      <c r="AB204" s="144"/>
      <c r="AC204" s="144"/>
      <c r="AD204" s="145"/>
      <c r="AE204" s="144"/>
      <c r="AF204" s="146"/>
    </row>
    <row r="205" spans="1:32">
      <c r="A205" s="132">
        <f t="shared" si="23"/>
        <v>197</v>
      </c>
      <c r="B205" s="133" t="s">
        <v>1726</v>
      </c>
      <c r="C205" s="133" t="s">
        <v>1903</v>
      </c>
      <c r="D205" s="132" t="s">
        <v>1697</v>
      </c>
      <c r="E205" s="147" t="s">
        <v>1234</v>
      </c>
      <c r="F205" s="135">
        <v>45688</v>
      </c>
      <c r="G205" s="45"/>
      <c r="H205" s="136"/>
      <c r="I205" s="136">
        <v>-60360</v>
      </c>
      <c r="J205" s="137" t="s">
        <v>1025</v>
      </c>
      <c r="K205" s="137"/>
      <c r="L205" s="148">
        <f t="shared" si="22"/>
        <v>-60360</v>
      </c>
      <c r="M205" s="122">
        <f t="shared" si="15"/>
        <v>0</v>
      </c>
      <c r="N205" s="137"/>
      <c r="O205" s="149" t="b">
        <f t="shared" si="16"/>
        <v>0</v>
      </c>
      <c r="P205" s="149">
        <f t="shared" si="17"/>
        <v>0</v>
      </c>
      <c r="Q205" s="149" t="b">
        <f t="shared" si="18"/>
        <v>1</v>
      </c>
      <c r="R205" s="149">
        <f t="shared" si="19"/>
        <v>-60360</v>
      </c>
      <c r="S205" s="144"/>
      <c r="T205" s="143"/>
      <c r="U205" s="144"/>
      <c r="V205" s="144"/>
      <c r="W205" s="144"/>
      <c r="X205" s="144"/>
      <c r="Y205" s="144"/>
      <c r="Z205" s="145"/>
      <c r="AA205" s="145"/>
      <c r="AB205" s="144"/>
      <c r="AC205" s="144"/>
      <c r="AD205" s="145"/>
      <c r="AE205" s="144"/>
      <c r="AF205" s="146"/>
    </row>
    <row r="206" spans="1:32">
      <c r="A206" s="132">
        <f t="shared" si="23"/>
        <v>198</v>
      </c>
      <c r="B206" s="133" t="s">
        <v>1726</v>
      </c>
      <c r="C206" s="133" t="s">
        <v>1903</v>
      </c>
      <c r="D206" s="132" t="s">
        <v>1697</v>
      </c>
      <c r="E206" s="147" t="s">
        <v>1235</v>
      </c>
      <c r="F206" s="135">
        <v>45688</v>
      </c>
      <c r="G206" s="45"/>
      <c r="H206" s="136"/>
      <c r="I206" s="136">
        <v>-78468</v>
      </c>
      <c r="J206" s="137" t="s">
        <v>1025</v>
      </c>
      <c r="K206" s="137"/>
      <c r="L206" s="148">
        <f t="shared" si="22"/>
        <v>-78468</v>
      </c>
      <c r="M206" s="122">
        <f t="shared" si="15"/>
        <v>0</v>
      </c>
      <c r="N206" s="137"/>
      <c r="O206" s="149" t="b">
        <f t="shared" si="16"/>
        <v>0</v>
      </c>
      <c r="P206" s="149">
        <f t="shared" si="17"/>
        <v>0</v>
      </c>
      <c r="Q206" s="149" t="b">
        <f t="shared" si="18"/>
        <v>1</v>
      </c>
      <c r="R206" s="149">
        <f t="shared" si="19"/>
        <v>-78468</v>
      </c>
      <c r="S206" s="144"/>
      <c r="T206" s="143"/>
      <c r="U206" s="144"/>
      <c r="V206" s="144"/>
      <c r="W206" s="144"/>
      <c r="X206" s="144"/>
      <c r="Y206" s="144"/>
      <c r="Z206" s="145"/>
      <c r="AA206" s="145"/>
      <c r="AB206" s="144"/>
      <c r="AC206" s="144"/>
      <c r="AD206" s="145"/>
      <c r="AE206" s="144"/>
      <c r="AF206" s="146"/>
    </row>
    <row r="207" spans="1:32">
      <c r="A207" s="132">
        <f t="shared" si="23"/>
        <v>199</v>
      </c>
      <c r="B207" s="133" t="s">
        <v>1726</v>
      </c>
      <c r="C207" s="133" t="s">
        <v>1903</v>
      </c>
      <c r="D207" s="132" t="s">
        <v>1697</v>
      </c>
      <c r="E207" s="147" t="s">
        <v>1236</v>
      </c>
      <c r="F207" s="135">
        <v>45688</v>
      </c>
      <c r="G207" s="45"/>
      <c r="H207" s="136"/>
      <c r="I207" s="136">
        <v>-187116</v>
      </c>
      <c r="J207" s="137" t="s">
        <v>1025</v>
      </c>
      <c r="K207" s="137"/>
      <c r="L207" s="148">
        <f t="shared" si="22"/>
        <v>-187116</v>
      </c>
      <c r="M207" s="122">
        <f t="shared" si="15"/>
        <v>0</v>
      </c>
      <c r="N207" s="137"/>
      <c r="O207" s="149" t="b">
        <f t="shared" si="16"/>
        <v>0</v>
      </c>
      <c r="P207" s="149">
        <f t="shared" si="17"/>
        <v>0</v>
      </c>
      <c r="Q207" s="149" t="b">
        <f t="shared" si="18"/>
        <v>1</v>
      </c>
      <c r="R207" s="149">
        <f t="shared" si="19"/>
        <v>-187116</v>
      </c>
      <c r="S207" s="144"/>
      <c r="T207" s="143"/>
      <c r="U207" s="144"/>
      <c r="V207" s="144"/>
      <c r="W207" s="144"/>
      <c r="X207" s="144"/>
      <c r="Y207" s="144"/>
      <c r="Z207" s="145"/>
      <c r="AA207" s="145"/>
      <c r="AB207" s="144"/>
      <c r="AC207" s="144"/>
      <c r="AD207" s="145"/>
      <c r="AE207" s="144"/>
      <c r="AF207" s="146"/>
    </row>
    <row r="208" spans="1:32">
      <c r="A208" s="132">
        <f t="shared" si="23"/>
        <v>200</v>
      </c>
      <c r="B208" s="133" t="s">
        <v>1726</v>
      </c>
      <c r="C208" s="133" t="s">
        <v>1903</v>
      </c>
      <c r="D208" s="132" t="s">
        <v>1697</v>
      </c>
      <c r="E208" s="147" t="s">
        <v>1237</v>
      </c>
      <c r="F208" s="135">
        <v>45688</v>
      </c>
      <c r="G208" s="45"/>
      <c r="H208" s="136"/>
      <c r="I208" s="136">
        <v>-18108</v>
      </c>
      <c r="J208" s="137" t="s">
        <v>1025</v>
      </c>
      <c r="K208" s="137"/>
      <c r="L208" s="148">
        <f t="shared" si="22"/>
        <v>-18108</v>
      </c>
      <c r="M208" s="122">
        <f t="shared" si="15"/>
        <v>0</v>
      </c>
      <c r="N208" s="137"/>
      <c r="O208" s="149" t="b">
        <f t="shared" si="16"/>
        <v>0</v>
      </c>
      <c r="P208" s="149">
        <f t="shared" si="17"/>
        <v>0</v>
      </c>
      <c r="Q208" s="149" t="b">
        <f t="shared" si="18"/>
        <v>1</v>
      </c>
      <c r="R208" s="149">
        <f t="shared" si="19"/>
        <v>-18108</v>
      </c>
      <c r="S208" s="144"/>
      <c r="T208" s="143"/>
      <c r="U208" s="144"/>
      <c r="V208" s="144"/>
      <c r="W208" s="144"/>
      <c r="X208" s="144"/>
      <c r="Y208" s="144"/>
      <c r="Z208" s="145"/>
      <c r="AA208" s="145"/>
      <c r="AB208" s="144"/>
      <c r="AC208" s="144"/>
      <c r="AD208" s="145"/>
      <c r="AE208" s="144"/>
      <c r="AF208" s="146"/>
    </row>
    <row r="209" spans="1:41">
      <c r="A209" s="132">
        <f t="shared" si="23"/>
        <v>201</v>
      </c>
      <c r="B209" s="133" t="s">
        <v>1726</v>
      </c>
      <c r="C209" s="133" t="s">
        <v>1903</v>
      </c>
      <c r="D209" s="132" t="s">
        <v>1697</v>
      </c>
      <c r="E209" s="147" t="s">
        <v>1238</v>
      </c>
      <c r="F209" s="135">
        <v>45688</v>
      </c>
      <c r="G209" s="45"/>
      <c r="H209" s="136"/>
      <c r="I209" s="136">
        <v>-78468</v>
      </c>
      <c r="J209" s="137" t="s">
        <v>1025</v>
      </c>
      <c r="K209" s="137"/>
      <c r="L209" s="148">
        <f t="shared" si="22"/>
        <v>-78468</v>
      </c>
      <c r="M209" s="122">
        <f t="shared" si="15"/>
        <v>0</v>
      </c>
      <c r="N209" s="137"/>
      <c r="O209" s="149" t="b">
        <f t="shared" si="16"/>
        <v>0</v>
      </c>
      <c r="P209" s="149">
        <f t="shared" si="17"/>
        <v>0</v>
      </c>
      <c r="Q209" s="149" t="b">
        <f t="shared" si="18"/>
        <v>1</v>
      </c>
      <c r="R209" s="149">
        <f t="shared" si="19"/>
        <v>-78468</v>
      </c>
      <c r="S209" s="144" t="s">
        <v>1046</v>
      </c>
      <c r="T209" s="143"/>
      <c r="U209" s="144"/>
      <c r="V209" s="144"/>
      <c r="W209" s="144"/>
      <c r="X209" s="144"/>
      <c r="Y209" s="144"/>
      <c r="Z209" s="145"/>
      <c r="AA209" s="145"/>
      <c r="AB209" s="144"/>
      <c r="AC209" s="144"/>
      <c r="AD209" s="145"/>
      <c r="AE209" s="144"/>
      <c r="AF209" s="146"/>
    </row>
    <row r="210" spans="1:41">
      <c r="A210" s="132">
        <f t="shared" si="23"/>
        <v>202</v>
      </c>
      <c r="B210" s="133" t="s">
        <v>1726</v>
      </c>
      <c r="C210" s="133" t="s">
        <v>1903</v>
      </c>
      <c r="D210" s="132" t="s">
        <v>1697</v>
      </c>
      <c r="E210" s="147" t="s">
        <v>1239</v>
      </c>
      <c r="F210" s="135">
        <v>45688</v>
      </c>
      <c r="G210" s="45"/>
      <c r="H210" s="136"/>
      <c r="I210" s="136">
        <v>-96576</v>
      </c>
      <c r="J210" s="137" t="s">
        <v>1025</v>
      </c>
      <c r="K210" s="137"/>
      <c r="L210" s="148">
        <f t="shared" si="22"/>
        <v>-96576</v>
      </c>
      <c r="M210" s="122">
        <f t="shared" si="15"/>
        <v>0</v>
      </c>
      <c r="N210" s="137"/>
      <c r="O210" s="149" t="b">
        <f t="shared" si="16"/>
        <v>0</v>
      </c>
      <c r="P210" s="149">
        <f t="shared" si="17"/>
        <v>0</v>
      </c>
      <c r="Q210" s="149" t="b">
        <f t="shared" si="18"/>
        <v>1</v>
      </c>
      <c r="R210" s="149">
        <f t="shared" si="19"/>
        <v>-96576</v>
      </c>
      <c r="S210" s="144"/>
      <c r="T210" s="143"/>
      <c r="U210" s="144"/>
      <c r="V210" s="144"/>
      <c r="W210" s="144"/>
      <c r="X210" s="144"/>
      <c r="Y210" s="144"/>
      <c r="Z210" s="145"/>
      <c r="AA210" s="145"/>
      <c r="AB210" s="144"/>
      <c r="AC210" s="144"/>
      <c r="AD210" s="145"/>
      <c r="AE210" s="144"/>
      <c r="AF210" s="146"/>
    </row>
    <row r="211" spans="1:41">
      <c r="A211" s="132">
        <f t="shared" si="23"/>
        <v>203</v>
      </c>
      <c r="B211" s="133" t="s">
        <v>1726</v>
      </c>
      <c r="C211" s="133" t="s">
        <v>1903</v>
      </c>
      <c r="D211" s="132" t="s">
        <v>1697</v>
      </c>
      <c r="E211" s="147" t="s">
        <v>1240</v>
      </c>
      <c r="F211" s="135">
        <v>45688</v>
      </c>
      <c r="G211" s="45"/>
      <c r="H211" s="136"/>
      <c r="I211" s="136">
        <v>-247476</v>
      </c>
      <c r="J211" s="137" t="s">
        <v>1025</v>
      </c>
      <c r="K211" s="137"/>
      <c r="L211" s="148">
        <f t="shared" si="22"/>
        <v>-247476</v>
      </c>
      <c r="M211" s="122">
        <f t="shared" si="15"/>
        <v>0</v>
      </c>
      <c r="N211" s="137"/>
      <c r="O211" s="149" t="b">
        <f t="shared" si="16"/>
        <v>0</v>
      </c>
      <c r="P211" s="149">
        <f t="shared" si="17"/>
        <v>0</v>
      </c>
      <c r="Q211" s="149" t="b">
        <f t="shared" si="18"/>
        <v>1</v>
      </c>
      <c r="R211" s="149">
        <f t="shared" si="19"/>
        <v>-247476</v>
      </c>
      <c r="S211" s="144"/>
      <c r="T211" s="143"/>
      <c r="U211" s="144"/>
      <c r="V211" s="144"/>
      <c r="W211" s="144"/>
      <c r="X211" s="144"/>
      <c r="Y211" s="144"/>
      <c r="Z211" s="145"/>
      <c r="AA211" s="145"/>
      <c r="AB211" s="144"/>
      <c r="AC211" s="144"/>
      <c r="AD211" s="145"/>
      <c r="AE211" s="144"/>
      <c r="AF211" s="146"/>
    </row>
    <row r="212" spans="1:41">
      <c r="A212" s="132">
        <f t="shared" si="23"/>
        <v>204</v>
      </c>
      <c r="B212" s="133" t="s">
        <v>1726</v>
      </c>
      <c r="C212" s="133" t="s">
        <v>1903</v>
      </c>
      <c r="D212" s="132" t="s">
        <v>1697</v>
      </c>
      <c r="E212" s="147" t="s">
        <v>1241</v>
      </c>
      <c r="F212" s="135">
        <v>45688</v>
      </c>
      <c r="G212" s="45"/>
      <c r="H212" s="136"/>
      <c r="I212" s="136">
        <v>-30180</v>
      </c>
      <c r="J212" s="137" t="s">
        <v>1025</v>
      </c>
      <c r="K212" s="137"/>
      <c r="L212" s="148">
        <f t="shared" si="22"/>
        <v>-30180</v>
      </c>
      <c r="M212" s="122">
        <f t="shared" si="15"/>
        <v>0</v>
      </c>
      <c r="N212" s="137"/>
      <c r="O212" s="149" t="b">
        <f t="shared" si="16"/>
        <v>0</v>
      </c>
      <c r="P212" s="149">
        <f t="shared" si="17"/>
        <v>0</v>
      </c>
      <c r="Q212" s="149" t="b">
        <f t="shared" si="18"/>
        <v>1</v>
      </c>
      <c r="R212" s="149">
        <f t="shared" si="19"/>
        <v>-30180</v>
      </c>
      <c r="S212" s="144"/>
      <c r="T212" s="143"/>
      <c r="U212" s="144"/>
      <c r="V212" s="144"/>
      <c r="W212" s="144"/>
      <c r="X212" s="144"/>
      <c r="Y212" s="144"/>
      <c r="Z212" s="145"/>
      <c r="AA212" s="145"/>
      <c r="AB212" s="144"/>
      <c r="AC212" s="144"/>
      <c r="AD212" s="145"/>
      <c r="AE212" s="144"/>
      <c r="AF212" s="146"/>
    </row>
    <row r="213" spans="1:41">
      <c r="A213" s="132">
        <f t="shared" si="23"/>
        <v>205</v>
      </c>
      <c r="B213" s="133" t="s">
        <v>1726</v>
      </c>
      <c r="C213" s="133" t="s">
        <v>1903</v>
      </c>
      <c r="D213" s="132" t="s">
        <v>1697</v>
      </c>
      <c r="E213" s="147" t="s">
        <v>1242</v>
      </c>
      <c r="F213" s="135">
        <v>45688</v>
      </c>
      <c r="G213" s="45"/>
      <c r="H213" s="136"/>
      <c r="I213" s="136">
        <v>-24144</v>
      </c>
      <c r="J213" s="137" t="s">
        <v>1025</v>
      </c>
      <c r="K213" s="137"/>
      <c r="L213" s="148">
        <f t="shared" si="22"/>
        <v>-24144</v>
      </c>
      <c r="M213" s="122">
        <f t="shared" si="15"/>
        <v>0</v>
      </c>
      <c r="N213" s="137"/>
      <c r="O213" s="149" t="b">
        <f t="shared" si="16"/>
        <v>0</v>
      </c>
      <c r="P213" s="149">
        <f t="shared" si="17"/>
        <v>0</v>
      </c>
      <c r="Q213" s="149" t="b">
        <f t="shared" si="18"/>
        <v>1</v>
      </c>
      <c r="R213" s="149">
        <f t="shared" si="19"/>
        <v>-24144</v>
      </c>
      <c r="S213" s="144"/>
      <c r="T213" s="143"/>
      <c r="U213" s="144"/>
      <c r="V213" s="144"/>
      <c r="W213" s="144"/>
      <c r="X213" s="144"/>
      <c r="Y213" s="144"/>
      <c r="Z213" s="145"/>
      <c r="AA213" s="145"/>
      <c r="AB213" s="144"/>
      <c r="AC213" s="144"/>
      <c r="AD213" s="145"/>
      <c r="AE213" s="144"/>
      <c r="AF213" s="146"/>
    </row>
    <row r="214" spans="1:41">
      <c r="A214" s="132">
        <f t="shared" si="23"/>
        <v>206</v>
      </c>
      <c r="B214" s="133" t="s">
        <v>1726</v>
      </c>
      <c r="C214" s="133" t="s">
        <v>1903</v>
      </c>
      <c r="D214" s="132" t="s">
        <v>1697</v>
      </c>
      <c r="E214" s="147" t="s">
        <v>1243</v>
      </c>
      <c r="F214" s="135">
        <v>45688</v>
      </c>
      <c r="G214" s="45"/>
      <c r="H214" s="136"/>
      <c r="I214" s="136">
        <v>-30180</v>
      </c>
      <c r="J214" s="137" t="s">
        <v>1025</v>
      </c>
      <c r="K214" s="137"/>
      <c r="L214" s="148">
        <f t="shared" si="22"/>
        <v>-30180</v>
      </c>
      <c r="M214" s="122">
        <f t="shared" si="15"/>
        <v>0</v>
      </c>
      <c r="N214" s="137"/>
      <c r="O214" s="149" t="b">
        <f t="shared" si="16"/>
        <v>0</v>
      </c>
      <c r="P214" s="149">
        <f t="shared" si="17"/>
        <v>0</v>
      </c>
      <c r="Q214" s="149" t="b">
        <f t="shared" si="18"/>
        <v>1</v>
      </c>
      <c r="R214" s="149">
        <f t="shared" si="19"/>
        <v>-30180</v>
      </c>
      <c r="S214" s="144"/>
      <c r="T214" s="143"/>
      <c r="U214" s="144"/>
      <c r="V214" s="144"/>
      <c r="W214" s="144"/>
      <c r="X214" s="144"/>
      <c r="Y214" s="144"/>
      <c r="Z214" s="145"/>
      <c r="AA214" s="145"/>
      <c r="AB214" s="144"/>
      <c r="AC214" s="144"/>
      <c r="AD214" s="145"/>
      <c r="AE214" s="144"/>
      <c r="AF214" s="146"/>
    </row>
    <row r="215" spans="1:41">
      <c r="A215" s="132">
        <f t="shared" si="23"/>
        <v>207</v>
      </c>
      <c r="B215" s="133" t="s">
        <v>1726</v>
      </c>
      <c r="C215" s="133" t="s">
        <v>1903</v>
      </c>
      <c r="D215" s="132" t="s">
        <v>1697</v>
      </c>
      <c r="E215" s="147" t="s">
        <v>1244</v>
      </c>
      <c r="F215" s="135">
        <v>45688</v>
      </c>
      <c r="G215" s="45"/>
      <c r="H215" s="136"/>
      <c r="I215" s="136">
        <v>-48288</v>
      </c>
      <c r="J215" s="137" t="s">
        <v>1025</v>
      </c>
      <c r="K215" s="137"/>
      <c r="L215" s="148">
        <f t="shared" si="22"/>
        <v>-48288</v>
      </c>
      <c r="M215" s="122">
        <f t="shared" ref="M215:M278" si="24">I215-L215</f>
        <v>0</v>
      </c>
      <c r="N215" s="137"/>
      <c r="O215" s="149" t="b">
        <f t="shared" ref="O215:O278" si="25">U215=E215</f>
        <v>0</v>
      </c>
      <c r="P215" s="149">
        <f t="shared" ref="P215:P278" si="26">MONTH(F215)-MONTH(T215)</f>
        <v>0</v>
      </c>
      <c r="Q215" s="149" t="b">
        <f t="shared" ref="Q215:Q278" si="27">$B$5=X215</f>
        <v>1</v>
      </c>
      <c r="R215" s="149">
        <f t="shared" ref="R215:R278" si="28">I215-AD215</f>
        <v>-48288</v>
      </c>
      <c r="S215" s="144"/>
      <c r="T215" s="143"/>
      <c r="U215" s="144"/>
      <c r="V215" s="144"/>
      <c r="W215" s="144"/>
      <c r="X215" s="144"/>
      <c r="Y215" s="144"/>
      <c r="Z215" s="145"/>
      <c r="AA215" s="145"/>
      <c r="AB215" s="144"/>
      <c r="AC215" s="144"/>
      <c r="AD215" s="145"/>
      <c r="AE215" s="144"/>
      <c r="AF215" s="146"/>
    </row>
    <row r="216" spans="1:41">
      <c r="A216" s="132">
        <f t="shared" si="23"/>
        <v>208</v>
      </c>
      <c r="B216" s="133" t="s">
        <v>1726</v>
      </c>
      <c r="C216" s="133" t="s">
        <v>1903</v>
      </c>
      <c r="D216" s="132" t="s">
        <v>1697</v>
      </c>
      <c r="E216" s="147" t="s">
        <v>1245</v>
      </c>
      <c r="F216" s="135">
        <v>45688</v>
      </c>
      <c r="G216" s="45"/>
      <c r="H216" s="136"/>
      <c r="I216" s="136">
        <v>-169008</v>
      </c>
      <c r="J216" s="137" t="s">
        <v>1025</v>
      </c>
      <c r="K216" s="137"/>
      <c r="L216" s="148">
        <f t="shared" si="22"/>
        <v>-169008</v>
      </c>
      <c r="M216" s="122">
        <f t="shared" si="24"/>
        <v>0</v>
      </c>
      <c r="N216" s="137"/>
      <c r="O216" s="149" t="b">
        <f t="shared" si="25"/>
        <v>0</v>
      </c>
      <c r="P216" s="149">
        <f t="shared" si="26"/>
        <v>0</v>
      </c>
      <c r="Q216" s="149" t="b">
        <f t="shared" si="27"/>
        <v>1</v>
      </c>
      <c r="R216" s="149">
        <f t="shared" si="28"/>
        <v>-169008</v>
      </c>
      <c r="S216" s="144"/>
      <c r="T216" s="143"/>
      <c r="U216" s="144"/>
      <c r="V216" s="144"/>
      <c r="W216" s="144"/>
      <c r="X216" s="144"/>
      <c r="Y216" s="144"/>
      <c r="Z216" s="145"/>
      <c r="AA216" s="145"/>
      <c r="AB216" s="144"/>
      <c r="AC216" s="144"/>
      <c r="AD216" s="145"/>
      <c r="AE216" s="144"/>
      <c r="AF216" s="146"/>
    </row>
    <row r="217" spans="1:41">
      <c r="A217" s="132">
        <f t="shared" si="23"/>
        <v>209</v>
      </c>
      <c r="B217" s="133" t="s">
        <v>1726</v>
      </c>
      <c r="C217" s="133" t="s">
        <v>1903</v>
      </c>
      <c r="D217" s="132" t="s">
        <v>1697</v>
      </c>
      <c r="E217" s="147" t="s">
        <v>1246</v>
      </c>
      <c r="F217" s="135">
        <v>45688</v>
      </c>
      <c r="G217" s="45"/>
      <c r="H217" s="136"/>
      <c r="I217" s="136">
        <v>-48288</v>
      </c>
      <c r="J217" s="137" t="s">
        <v>1025</v>
      </c>
      <c r="K217" s="137"/>
      <c r="L217" s="148">
        <f t="shared" si="22"/>
        <v>-48288</v>
      </c>
      <c r="M217" s="122">
        <f t="shared" si="24"/>
        <v>0</v>
      </c>
      <c r="N217" s="137"/>
      <c r="O217" s="149" t="b">
        <f t="shared" si="25"/>
        <v>0</v>
      </c>
      <c r="P217" s="149">
        <f t="shared" si="26"/>
        <v>0</v>
      </c>
      <c r="Q217" s="149" t="b">
        <f t="shared" si="27"/>
        <v>1</v>
      </c>
      <c r="R217" s="149">
        <f t="shared" si="28"/>
        <v>-48288</v>
      </c>
      <c r="S217" s="144"/>
      <c r="T217" s="143"/>
      <c r="U217" s="144"/>
      <c r="V217" s="144"/>
      <c r="W217" s="144"/>
      <c r="X217" s="144"/>
      <c r="Y217" s="144"/>
      <c r="Z217" s="145"/>
      <c r="AA217" s="145"/>
      <c r="AB217" s="144"/>
      <c r="AC217" s="144"/>
      <c r="AD217" s="145"/>
      <c r="AE217" s="144"/>
      <c r="AF217" s="146"/>
    </row>
    <row r="218" spans="1:41">
      <c r="A218" s="132">
        <f t="shared" si="23"/>
        <v>210</v>
      </c>
      <c r="B218" s="133" t="s">
        <v>1726</v>
      </c>
      <c r="C218" s="133" t="s">
        <v>1903</v>
      </c>
      <c r="D218" s="132" t="s">
        <v>1697</v>
      </c>
      <c r="E218" s="147" t="s">
        <v>1247</v>
      </c>
      <c r="F218" s="135">
        <v>45688</v>
      </c>
      <c r="G218" s="45"/>
      <c r="H218" s="136"/>
      <c r="I218" s="136">
        <v>-60360</v>
      </c>
      <c r="J218" s="137" t="s">
        <v>1025</v>
      </c>
      <c r="K218" s="137"/>
      <c r="L218" s="148">
        <f t="shared" si="22"/>
        <v>-60360</v>
      </c>
      <c r="M218" s="122">
        <f t="shared" si="24"/>
        <v>0</v>
      </c>
      <c r="N218" s="137"/>
      <c r="O218" s="149" t="b">
        <f t="shared" si="25"/>
        <v>0</v>
      </c>
      <c r="P218" s="149">
        <f t="shared" si="26"/>
        <v>0</v>
      </c>
      <c r="Q218" s="149" t="b">
        <f t="shared" si="27"/>
        <v>1</v>
      </c>
      <c r="R218" s="149">
        <f t="shared" si="28"/>
        <v>-60360</v>
      </c>
      <c r="S218" s="144"/>
      <c r="T218" s="143"/>
      <c r="U218" s="144"/>
      <c r="V218" s="144"/>
      <c r="W218" s="144"/>
      <c r="X218" s="144"/>
      <c r="Y218" s="144"/>
      <c r="Z218" s="145"/>
      <c r="AA218" s="145"/>
      <c r="AB218" s="144"/>
      <c r="AC218" s="144"/>
      <c r="AD218" s="145"/>
      <c r="AE218" s="144"/>
      <c r="AF218" s="146"/>
    </row>
    <row r="219" spans="1:41">
      <c r="A219" s="132">
        <f t="shared" si="23"/>
        <v>211</v>
      </c>
      <c r="B219" s="133" t="s">
        <v>1726</v>
      </c>
      <c r="C219" s="133" t="s">
        <v>1903</v>
      </c>
      <c r="D219" s="132" t="s">
        <v>1697</v>
      </c>
      <c r="E219" s="147" t="s">
        <v>1248</v>
      </c>
      <c r="F219" s="135">
        <v>45688</v>
      </c>
      <c r="G219" s="45"/>
      <c r="H219" s="136"/>
      <c r="I219" s="136">
        <v>-38228</v>
      </c>
      <c r="J219" s="137" t="s">
        <v>1025</v>
      </c>
      <c r="K219" s="137"/>
      <c r="L219" s="148">
        <f t="shared" si="22"/>
        <v>-38228</v>
      </c>
      <c r="M219" s="122">
        <f t="shared" si="24"/>
        <v>0</v>
      </c>
      <c r="N219" s="137"/>
      <c r="O219" s="149" t="b">
        <f t="shared" si="25"/>
        <v>0</v>
      </c>
      <c r="P219" s="149">
        <f t="shared" si="26"/>
        <v>0</v>
      </c>
      <c r="Q219" s="149" t="b">
        <f t="shared" si="27"/>
        <v>1</v>
      </c>
      <c r="R219" s="149">
        <f t="shared" si="28"/>
        <v>-38228</v>
      </c>
      <c r="S219" s="144"/>
      <c r="T219" s="143"/>
      <c r="U219" s="144"/>
      <c r="V219" s="144"/>
      <c r="W219" s="144"/>
      <c r="X219" s="144"/>
      <c r="Y219" s="144"/>
      <c r="Z219" s="145"/>
      <c r="AA219" s="145"/>
      <c r="AB219" s="144"/>
      <c r="AC219" s="144"/>
      <c r="AD219" s="145"/>
      <c r="AE219" s="144"/>
      <c r="AF219" s="146"/>
    </row>
    <row r="220" spans="1:41">
      <c r="A220" s="132">
        <f t="shared" si="23"/>
        <v>212</v>
      </c>
      <c r="B220" s="133" t="s">
        <v>1726</v>
      </c>
      <c r="C220" s="133" t="s">
        <v>1903</v>
      </c>
      <c r="D220" s="132" t="s">
        <v>1697</v>
      </c>
      <c r="E220" s="147" t="s">
        <v>1249</v>
      </c>
      <c r="F220" s="135">
        <v>45688</v>
      </c>
      <c r="G220" s="45"/>
      <c r="H220" s="136"/>
      <c r="I220" s="136">
        <v>-126756</v>
      </c>
      <c r="J220" s="137" t="s">
        <v>1025</v>
      </c>
      <c r="K220" s="137"/>
      <c r="L220" s="148">
        <f>I220</f>
        <v>-126756</v>
      </c>
      <c r="M220" s="122">
        <f t="shared" si="24"/>
        <v>0</v>
      </c>
      <c r="N220" s="137"/>
      <c r="O220" s="149" t="b">
        <f t="shared" si="25"/>
        <v>0</v>
      </c>
      <c r="P220" s="149">
        <f t="shared" si="26"/>
        <v>0</v>
      </c>
      <c r="Q220" s="149" t="b">
        <f t="shared" si="27"/>
        <v>1</v>
      </c>
      <c r="R220" s="149">
        <f t="shared" si="28"/>
        <v>-126756</v>
      </c>
      <c r="S220" s="144"/>
      <c r="T220" s="143"/>
      <c r="U220" s="144"/>
      <c r="V220" s="144"/>
      <c r="W220" s="144"/>
      <c r="X220" s="144"/>
      <c r="Y220" s="144"/>
      <c r="Z220" s="145"/>
      <c r="AA220" s="145"/>
      <c r="AB220" s="144"/>
      <c r="AC220" s="144"/>
      <c r="AD220" s="145"/>
      <c r="AE220" s="144"/>
      <c r="AF220" s="146"/>
    </row>
    <row r="221" spans="1:41">
      <c r="A221" s="132">
        <f t="shared" si="23"/>
        <v>213</v>
      </c>
      <c r="B221" s="133" t="s">
        <v>1760</v>
      </c>
      <c r="C221" s="133" t="s">
        <v>1917</v>
      </c>
      <c r="D221" s="132" t="s">
        <v>1710</v>
      </c>
      <c r="E221" s="147" t="s">
        <v>1250</v>
      </c>
      <c r="F221" s="135">
        <v>45722</v>
      </c>
      <c r="G221" s="45"/>
      <c r="H221" s="136"/>
      <c r="I221" s="136">
        <v>4922480</v>
      </c>
      <c r="J221" s="137" t="s">
        <v>1025</v>
      </c>
      <c r="K221" s="137"/>
      <c r="L221" s="148">
        <f t="shared" ref="L221:L230" si="29">I221</f>
        <v>4922480</v>
      </c>
      <c r="M221" s="122">
        <f t="shared" si="24"/>
        <v>0</v>
      </c>
      <c r="N221" s="137"/>
      <c r="O221" s="149" t="b">
        <f t="shared" si="25"/>
        <v>1</v>
      </c>
      <c r="P221" s="149">
        <f t="shared" si="26"/>
        <v>0</v>
      </c>
      <c r="Q221" s="149" t="b">
        <f t="shared" si="27"/>
        <v>0</v>
      </c>
      <c r="R221" s="149">
        <f t="shared" si="28"/>
        <v>0</v>
      </c>
      <c r="S221" s="144"/>
      <c r="T221" s="143">
        <v>45722</v>
      </c>
      <c r="U221" s="144" t="s">
        <v>1250</v>
      </c>
      <c r="V221" s="144">
        <v>0</v>
      </c>
      <c r="W221" s="144" t="s">
        <v>1071</v>
      </c>
      <c r="X221" s="144" t="s">
        <v>1801</v>
      </c>
      <c r="Y221" s="144" t="s">
        <v>1802</v>
      </c>
      <c r="Z221" s="145">
        <v>54147277</v>
      </c>
      <c r="AA221" s="145">
        <v>49224797</v>
      </c>
      <c r="AB221" s="144">
        <v>0</v>
      </c>
      <c r="AC221" s="144" t="s">
        <v>1022</v>
      </c>
      <c r="AD221" s="145">
        <v>4922480</v>
      </c>
      <c r="AE221" s="144">
        <v>0</v>
      </c>
      <c r="AF221" s="146">
        <v>0</v>
      </c>
      <c r="AG221" s="70">
        <v>0</v>
      </c>
      <c r="AH221" s="70">
        <v>0</v>
      </c>
      <c r="AI221" s="70">
        <v>0</v>
      </c>
      <c r="AJ221" s="70">
        <v>0</v>
      </c>
      <c r="AK221" s="70">
        <v>0</v>
      </c>
      <c r="AL221" s="70">
        <v>0.01</v>
      </c>
      <c r="AM221" s="70">
        <v>0</v>
      </c>
      <c r="AN221" s="70" t="s">
        <v>1839</v>
      </c>
      <c r="AO221" s="70" t="s">
        <v>1804</v>
      </c>
    </row>
    <row r="222" spans="1:41">
      <c r="A222" s="132">
        <f t="shared" si="23"/>
        <v>214</v>
      </c>
      <c r="B222" s="133" t="s">
        <v>1760</v>
      </c>
      <c r="C222" s="133" t="s">
        <v>1917</v>
      </c>
      <c r="D222" s="132" t="s">
        <v>1710</v>
      </c>
      <c r="E222" s="147" t="s">
        <v>1251</v>
      </c>
      <c r="F222" s="135">
        <v>45744</v>
      </c>
      <c r="G222" s="45"/>
      <c r="H222" s="136"/>
      <c r="I222" s="136">
        <v>35177345</v>
      </c>
      <c r="J222" s="137" t="s">
        <v>1025</v>
      </c>
      <c r="K222" s="137"/>
      <c r="L222" s="148">
        <f t="shared" si="29"/>
        <v>35177345</v>
      </c>
      <c r="M222" s="122">
        <f t="shared" si="24"/>
        <v>0</v>
      </c>
      <c r="N222" s="137" t="s">
        <v>1901</v>
      </c>
      <c r="O222" s="149" t="b">
        <f t="shared" si="25"/>
        <v>1</v>
      </c>
      <c r="P222" s="149">
        <f t="shared" si="26"/>
        <v>0</v>
      </c>
      <c r="Q222" s="149" t="b">
        <f t="shared" si="27"/>
        <v>0</v>
      </c>
      <c r="R222" s="149">
        <f t="shared" si="28"/>
        <v>0</v>
      </c>
      <c r="S222" s="144"/>
      <c r="T222" s="143">
        <v>45744</v>
      </c>
      <c r="U222" s="144" t="s">
        <v>1251</v>
      </c>
      <c r="V222" s="144">
        <v>0</v>
      </c>
      <c r="W222" s="144" t="s">
        <v>1071</v>
      </c>
      <c r="X222" s="144" t="s">
        <v>1801</v>
      </c>
      <c r="Y222" s="144" t="s">
        <v>1802</v>
      </c>
      <c r="Z222" s="145">
        <v>386950793</v>
      </c>
      <c r="AA222" s="145">
        <v>351773448</v>
      </c>
      <c r="AB222" s="144">
        <v>0</v>
      </c>
      <c r="AC222" s="144" t="s">
        <v>1022</v>
      </c>
      <c r="AD222" s="145">
        <v>35177345</v>
      </c>
      <c r="AE222" s="144">
        <v>0</v>
      </c>
      <c r="AF222" s="146">
        <v>0</v>
      </c>
      <c r="AG222" s="70">
        <v>0</v>
      </c>
      <c r="AH222" s="70">
        <v>0</v>
      </c>
      <c r="AI222" s="70">
        <v>0</v>
      </c>
      <c r="AJ222" s="70">
        <v>0</v>
      </c>
      <c r="AK222" s="70">
        <v>0</v>
      </c>
      <c r="AL222" s="70">
        <v>0.01</v>
      </c>
      <c r="AM222" s="70">
        <v>0</v>
      </c>
      <c r="AN222" s="70" t="s">
        <v>1839</v>
      </c>
      <c r="AO222" s="70" t="s">
        <v>1804</v>
      </c>
    </row>
    <row r="223" spans="1:41">
      <c r="A223" s="132">
        <f t="shared" si="23"/>
        <v>215</v>
      </c>
      <c r="B223" s="133" t="s">
        <v>1760</v>
      </c>
      <c r="C223" s="133" t="s">
        <v>1917</v>
      </c>
      <c r="D223" s="132" t="s">
        <v>1710</v>
      </c>
      <c r="E223" s="147" t="s">
        <v>1252</v>
      </c>
      <c r="F223" s="135">
        <v>45777</v>
      </c>
      <c r="G223" s="45"/>
      <c r="H223" s="136"/>
      <c r="I223" s="136">
        <v>5998255</v>
      </c>
      <c r="J223" s="137" t="s">
        <v>1025</v>
      </c>
      <c r="K223" s="137"/>
      <c r="L223" s="148">
        <f t="shared" si="29"/>
        <v>5998255</v>
      </c>
      <c r="M223" s="122">
        <f t="shared" si="24"/>
        <v>0</v>
      </c>
      <c r="N223" s="137" t="s">
        <v>1901</v>
      </c>
      <c r="O223" s="149" t="b">
        <f t="shared" si="25"/>
        <v>1</v>
      </c>
      <c r="P223" s="149">
        <f t="shared" si="26"/>
        <v>0</v>
      </c>
      <c r="Q223" s="149" t="b">
        <f t="shared" si="27"/>
        <v>0</v>
      </c>
      <c r="R223" s="149">
        <f t="shared" si="28"/>
        <v>0</v>
      </c>
      <c r="S223" s="144"/>
      <c r="T223" s="143">
        <v>45777</v>
      </c>
      <c r="U223" s="144" t="s">
        <v>1252</v>
      </c>
      <c r="V223" s="144">
        <v>0</v>
      </c>
      <c r="W223" s="144" t="s">
        <v>1071</v>
      </c>
      <c r="X223" s="144" t="s">
        <v>1801</v>
      </c>
      <c r="Y223" s="144" t="s">
        <v>1802</v>
      </c>
      <c r="Z223" s="145">
        <v>65980809</v>
      </c>
      <c r="AA223" s="145">
        <v>59982554</v>
      </c>
      <c r="AB223" s="144">
        <v>0</v>
      </c>
      <c r="AC223" s="144" t="s">
        <v>1022</v>
      </c>
      <c r="AD223" s="145">
        <v>5998255</v>
      </c>
      <c r="AE223" s="144">
        <v>0</v>
      </c>
      <c r="AF223" s="146">
        <v>0</v>
      </c>
      <c r="AG223" s="70">
        <v>0</v>
      </c>
      <c r="AH223" s="70">
        <v>0</v>
      </c>
      <c r="AI223" s="70">
        <v>0</v>
      </c>
      <c r="AJ223" s="70">
        <v>0</v>
      </c>
      <c r="AK223" s="70">
        <v>0</v>
      </c>
      <c r="AL223" s="70">
        <v>0.01</v>
      </c>
      <c r="AM223" s="70">
        <v>0</v>
      </c>
      <c r="AN223" s="70" t="s">
        <v>1839</v>
      </c>
      <c r="AO223" s="70" t="s">
        <v>1804</v>
      </c>
    </row>
    <row r="224" spans="1:41">
      <c r="A224" s="132">
        <f t="shared" si="23"/>
        <v>216</v>
      </c>
      <c r="B224" s="133" t="s">
        <v>1760</v>
      </c>
      <c r="C224" s="133" t="s">
        <v>1917</v>
      </c>
      <c r="D224" s="132" t="s">
        <v>1710</v>
      </c>
      <c r="E224" s="147" t="s">
        <v>1253</v>
      </c>
      <c r="F224" s="135">
        <v>45807</v>
      </c>
      <c r="G224" s="45"/>
      <c r="H224" s="136"/>
      <c r="I224" s="136">
        <v>6455343</v>
      </c>
      <c r="J224" s="137" t="s">
        <v>1025</v>
      </c>
      <c r="K224" s="137"/>
      <c r="L224" s="148">
        <f t="shared" si="29"/>
        <v>6455343</v>
      </c>
      <c r="M224" s="122">
        <f t="shared" si="24"/>
        <v>0</v>
      </c>
      <c r="N224" s="137" t="s">
        <v>1901</v>
      </c>
      <c r="O224" s="149" t="b">
        <f t="shared" si="25"/>
        <v>1</v>
      </c>
      <c r="P224" s="149">
        <f t="shared" si="26"/>
        <v>0</v>
      </c>
      <c r="Q224" s="149" t="b">
        <f t="shared" si="27"/>
        <v>0</v>
      </c>
      <c r="R224" s="149">
        <f t="shared" si="28"/>
        <v>0</v>
      </c>
      <c r="S224" s="144"/>
      <c r="T224" s="143">
        <v>45807</v>
      </c>
      <c r="U224" s="144" t="s">
        <v>1253</v>
      </c>
      <c r="V224" s="144">
        <v>0</v>
      </c>
      <c r="W224" s="144" t="s">
        <v>1071</v>
      </c>
      <c r="X224" s="144" t="s">
        <v>1801</v>
      </c>
      <c r="Y224" s="144" t="s">
        <v>1802</v>
      </c>
      <c r="Z224" s="145">
        <v>71008770</v>
      </c>
      <c r="AA224" s="145">
        <v>64553427</v>
      </c>
      <c r="AB224" s="144">
        <v>0</v>
      </c>
      <c r="AC224" s="144" t="s">
        <v>1022</v>
      </c>
      <c r="AD224" s="145">
        <v>6455343</v>
      </c>
      <c r="AE224" s="144">
        <v>0</v>
      </c>
      <c r="AF224" s="146">
        <v>0</v>
      </c>
      <c r="AG224" s="70">
        <v>0</v>
      </c>
      <c r="AH224" s="70">
        <v>0</v>
      </c>
      <c r="AI224" s="70">
        <v>0</v>
      </c>
      <c r="AJ224" s="70">
        <v>0</v>
      </c>
      <c r="AK224" s="70">
        <v>0</v>
      </c>
      <c r="AL224" s="70">
        <v>0.01</v>
      </c>
      <c r="AM224" s="70">
        <v>0</v>
      </c>
      <c r="AN224" s="70" t="s">
        <v>1839</v>
      </c>
      <c r="AO224" s="70" t="s">
        <v>1804</v>
      </c>
    </row>
    <row r="225" spans="1:41">
      <c r="A225" s="132">
        <f t="shared" si="23"/>
        <v>217</v>
      </c>
      <c r="B225" s="133" t="s">
        <v>1742</v>
      </c>
      <c r="C225" s="133" t="s">
        <v>1905</v>
      </c>
      <c r="D225" s="132" t="s">
        <v>1024</v>
      </c>
      <c r="E225" s="147">
        <v>202500043532</v>
      </c>
      <c r="F225" s="135">
        <v>45715</v>
      </c>
      <c r="G225" s="45"/>
      <c r="H225" s="136"/>
      <c r="I225" s="136">
        <v>591876</v>
      </c>
      <c r="J225" s="137" t="s">
        <v>1025</v>
      </c>
      <c r="K225" s="137"/>
      <c r="L225" s="148">
        <f t="shared" si="29"/>
        <v>591876</v>
      </c>
      <c r="M225" s="122">
        <f t="shared" si="24"/>
        <v>0</v>
      </c>
      <c r="N225" s="137"/>
      <c r="O225" s="149" t="b">
        <f t="shared" si="25"/>
        <v>1</v>
      </c>
      <c r="P225" s="149">
        <f t="shared" si="26"/>
        <v>0</v>
      </c>
      <c r="Q225" s="149" t="b">
        <f t="shared" si="27"/>
        <v>0</v>
      </c>
      <c r="R225" s="149">
        <f t="shared" si="28"/>
        <v>-14760</v>
      </c>
      <c r="S225" s="144"/>
      <c r="T225" s="143">
        <v>45715</v>
      </c>
      <c r="U225" s="144">
        <v>202500043532</v>
      </c>
      <c r="V225" s="144">
        <v>0</v>
      </c>
      <c r="W225" s="144" t="s">
        <v>1071</v>
      </c>
      <c r="X225" s="144" t="s">
        <v>1801</v>
      </c>
      <c r="Y225" s="144" t="s">
        <v>1802</v>
      </c>
      <c r="Z225" s="145">
        <v>6672996</v>
      </c>
      <c r="AA225" s="145">
        <v>6066360</v>
      </c>
      <c r="AB225" s="144">
        <v>0</v>
      </c>
      <c r="AC225" s="144" t="s">
        <v>1022</v>
      </c>
      <c r="AD225" s="145">
        <v>606636</v>
      </c>
      <c r="AE225" s="144">
        <v>0</v>
      </c>
      <c r="AF225" s="146">
        <v>0</v>
      </c>
      <c r="AG225" s="70">
        <v>0</v>
      </c>
      <c r="AH225" s="70">
        <v>0</v>
      </c>
      <c r="AI225" s="70">
        <v>0</v>
      </c>
      <c r="AJ225" s="70">
        <v>0</v>
      </c>
      <c r="AK225" s="70">
        <v>0</v>
      </c>
      <c r="AL225" s="70">
        <v>0.01</v>
      </c>
      <c r="AM225" s="70">
        <v>0</v>
      </c>
      <c r="AN225" s="70" t="s">
        <v>1826</v>
      </c>
    </row>
    <row r="226" spans="1:41">
      <c r="A226" s="132">
        <f t="shared" si="23"/>
        <v>218</v>
      </c>
      <c r="B226" s="133" t="s">
        <v>1732</v>
      </c>
      <c r="C226" s="133" t="s">
        <v>1906</v>
      </c>
      <c r="D226" s="132" t="s">
        <v>1036</v>
      </c>
      <c r="E226" s="147" t="s">
        <v>1254</v>
      </c>
      <c r="F226" s="135">
        <v>45712</v>
      </c>
      <c r="G226" s="45"/>
      <c r="H226" s="136"/>
      <c r="I226" s="136">
        <v>3513636</v>
      </c>
      <c r="J226" s="137" t="s">
        <v>1025</v>
      </c>
      <c r="K226" s="137"/>
      <c r="L226" s="148">
        <f t="shared" si="29"/>
        <v>3513636</v>
      </c>
      <c r="M226" s="122">
        <f t="shared" si="24"/>
        <v>0</v>
      </c>
      <c r="N226" s="137"/>
      <c r="O226" s="149" t="b">
        <f t="shared" si="25"/>
        <v>1</v>
      </c>
      <c r="P226" s="149">
        <f t="shared" si="26"/>
        <v>0</v>
      </c>
      <c r="Q226" s="149" t="b">
        <f t="shared" si="27"/>
        <v>0</v>
      </c>
      <c r="R226" s="149">
        <f t="shared" si="28"/>
        <v>0</v>
      </c>
      <c r="S226" s="144"/>
      <c r="T226" s="143">
        <v>45712</v>
      </c>
      <c r="U226" s="144" t="s">
        <v>1254</v>
      </c>
      <c r="V226" s="144">
        <v>0</v>
      </c>
      <c r="W226" s="144" t="s">
        <v>1071</v>
      </c>
      <c r="X226" s="144" t="s">
        <v>1801</v>
      </c>
      <c r="Y226" s="144" t="s">
        <v>1802</v>
      </c>
      <c r="Z226" s="145">
        <v>38649996</v>
      </c>
      <c r="AA226" s="145">
        <v>35136360</v>
      </c>
      <c r="AB226" s="144">
        <v>0</v>
      </c>
      <c r="AC226" s="144" t="s">
        <v>1022</v>
      </c>
      <c r="AD226" s="145">
        <v>3513636</v>
      </c>
      <c r="AE226" s="144">
        <v>0</v>
      </c>
      <c r="AF226" s="146">
        <v>0</v>
      </c>
      <c r="AG226" s="70">
        <v>0</v>
      </c>
      <c r="AH226" s="70">
        <v>0</v>
      </c>
      <c r="AI226" s="70">
        <v>0</v>
      </c>
      <c r="AJ226" s="70">
        <v>0</v>
      </c>
      <c r="AK226" s="70">
        <v>0</v>
      </c>
      <c r="AL226" s="70">
        <v>0.01</v>
      </c>
      <c r="AM226" s="70">
        <v>0</v>
      </c>
      <c r="AN226" s="70" t="s">
        <v>1840</v>
      </c>
    </row>
    <row r="227" spans="1:41">
      <c r="A227" s="132">
        <f t="shared" si="23"/>
        <v>219</v>
      </c>
      <c r="B227" s="133" t="s">
        <v>1728</v>
      </c>
      <c r="C227" s="133" t="s">
        <v>1904</v>
      </c>
      <c r="D227" s="132" t="s">
        <v>1698</v>
      </c>
      <c r="E227" s="147" t="s">
        <v>1255</v>
      </c>
      <c r="F227" s="135">
        <v>45715</v>
      </c>
      <c r="G227" s="45"/>
      <c r="H227" s="136"/>
      <c r="I227" s="136">
        <v>4206490</v>
      </c>
      <c r="J227" s="137" t="s">
        <v>1025</v>
      </c>
      <c r="K227" s="137"/>
      <c r="L227" s="148">
        <f t="shared" si="29"/>
        <v>4206490</v>
      </c>
      <c r="M227" s="122">
        <f t="shared" si="24"/>
        <v>0</v>
      </c>
      <c r="N227" s="137"/>
      <c r="O227" s="149" t="b">
        <f t="shared" si="25"/>
        <v>1</v>
      </c>
      <c r="P227" s="149">
        <f t="shared" si="26"/>
        <v>0</v>
      </c>
      <c r="Q227" s="149" t="b">
        <f t="shared" si="27"/>
        <v>0</v>
      </c>
      <c r="R227" s="149">
        <f t="shared" si="28"/>
        <v>0</v>
      </c>
      <c r="S227" s="144"/>
      <c r="T227" s="143">
        <v>45715</v>
      </c>
      <c r="U227" s="144" t="s">
        <v>1255</v>
      </c>
      <c r="V227" s="144">
        <v>0</v>
      </c>
      <c r="W227" s="144" t="s">
        <v>1071</v>
      </c>
      <c r="X227" s="144" t="s">
        <v>1801</v>
      </c>
      <c r="Y227" s="144" t="s">
        <v>1802</v>
      </c>
      <c r="Z227" s="145">
        <v>46271390</v>
      </c>
      <c r="AA227" s="145">
        <v>42064900</v>
      </c>
      <c r="AB227" s="144">
        <v>0</v>
      </c>
      <c r="AC227" s="144" t="s">
        <v>1022</v>
      </c>
      <c r="AD227" s="145">
        <v>4206490</v>
      </c>
      <c r="AE227" s="144">
        <v>0</v>
      </c>
      <c r="AF227" s="146">
        <v>0</v>
      </c>
      <c r="AG227" s="70">
        <v>0</v>
      </c>
      <c r="AH227" s="70">
        <v>0</v>
      </c>
      <c r="AI227" s="70">
        <v>0</v>
      </c>
      <c r="AJ227" s="70">
        <v>0</v>
      </c>
      <c r="AK227" s="70">
        <v>0</v>
      </c>
      <c r="AL227" s="70">
        <v>0.01</v>
      </c>
      <c r="AM227" s="70">
        <v>0</v>
      </c>
      <c r="AN227" s="70" t="s">
        <v>1807</v>
      </c>
    </row>
    <row r="228" spans="1:41">
      <c r="A228" s="132">
        <f t="shared" si="23"/>
        <v>220</v>
      </c>
      <c r="B228" s="133" t="s">
        <v>1742</v>
      </c>
      <c r="C228" s="133" t="s">
        <v>1905</v>
      </c>
      <c r="D228" s="132" t="s">
        <v>1024</v>
      </c>
      <c r="E228" s="147">
        <v>202500041308</v>
      </c>
      <c r="F228" s="135">
        <v>45712</v>
      </c>
      <c r="G228" s="45"/>
      <c r="H228" s="136"/>
      <c r="I228" s="136">
        <v>69791</v>
      </c>
      <c r="J228" s="137" t="s">
        <v>1025</v>
      </c>
      <c r="K228" s="137"/>
      <c r="L228" s="148">
        <f t="shared" si="29"/>
        <v>69791</v>
      </c>
      <c r="M228" s="122">
        <f t="shared" si="24"/>
        <v>0</v>
      </c>
      <c r="N228" s="137"/>
      <c r="O228" s="149" t="b">
        <f t="shared" si="25"/>
        <v>1</v>
      </c>
      <c r="P228" s="149">
        <f t="shared" si="26"/>
        <v>0</v>
      </c>
      <c r="Q228" s="149" t="b">
        <f t="shared" si="27"/>
        <v>0</v>
      </c>
      <c r="R228" s="149">
        <f t="shared" si="28"/>
        <v>0</v>
      </c>
      <c r="S228" s="144"/>
      <c r="T228" s="143">
        <v>45712</v>
      </c>
      <c r="U228" s="144">
        <v>202500041308</v>
      </c>
      <c r="V228" s="144">
        <v>0</v>
      </c>
      <c r="W228" s="144" t="s">
        <v>1071</v>
      </c>
      <c r="X228" s="144" t="s">
        <v>1801</v>
      </c>
      <c r="Y228" s="144" t="s">
        <v>1802</v>
      </c>
      <c r="Z228" s="145">
        <v>767705</v>
      </c>
      <c r="AA228" s="145">
        <v>697914</v>
      </c>
      <c r="AB228" s="144">
        <v>0</v>
      </c>
      <c r="AC228" s="144" t="s">
        <v>1022</v>
      </c>
      <c r="AD228" s="145">
        <v>69791</v>
      </c>
      <c r="AE228" s="144">
        <v>0</v>
      </c>
      <c r="AF228" s="146">
        <v>0</v>
      </c>
      <c r="AG228" s="70">
        <v>0</v>
      </c>
      <c r="AH228" s="70">
        <v>0</v>
      </c>
      <c r="AI228" s="70">
        <v>0</v>
      </c>
      <c r="AJ228" s="70">
        <v>0</v>
      </c>
      <c r="AK228" s="70">
        <v>0</v>
      </c>
      <c r="AL228" s="70">
        <v>0.01</v>
      </c>
      <c r="AM228" s="70">
        <v>0</v>
      </c>
      <c r="AN228" s="70" t="s">
        <v>1826</v>
      </c>
    </row>
    <row r="229" spans="1:41">
      <c r="A229" s="132">
        <f t="shared" si="23"/>
        <v>221</v>
      </c>
      <c r="B229" s="133" t="s">
        <v>1728</v>
      </c>
      <c r="C229" s="133" t="s">
        <v>1904</v>
      </c>
      <c r="D229" s="132" t="s">
        <v>1698</v>
      </c>
      <c r="E229" s="147" t="s">
        <v>1256</v>
      </c>
      <c r="F229" s="135">
        <v>45709</v>
      </c>
      <c r="G229" s="45"/>
      <c r="H229" s="136"/>
      <c r="I229" s="136">
        <v>489464</v>
      </c>
      <c r="J229" s="137" t="s">
        <v>1025</v>
      </c>
      <c r="K229" s="137"/>
      <c r="L229" s="148">
        <f t="shared" si="29"/>
        <v>489464</v>
      </c>
      <c r="M229" s="122">
        <f t="shared" si="24"/>
        <v>0</v>
      </c>
      <c r="N229" s="137"/>
      <c r="O229" s="149" t="b">
        <f t="shared" si="25"/>
        <v>1</v>
      </c>
      <c r="P229" s="149">
        <f t="shared" si="26"/>
        <v>0</v>
      </c>
      <c r="Q229" s="149" t="b">
        <f t="shared" si="27"/>
        <v>0</v>
      </c>
      <c r="R229" s="149">
        <f t="shared" si="28"/>
        <v>0</v>
      </c>
      <c r="S229" s="144"/>
      <c r="T229" s="143">
        <v>45709</v>
      </c>
      <c r="U229" s="144" t="s">
        <v>1256</v>
      </c>
      <c r="V229" s="144">
        <v>0</v>
      </c>
      <c r="W229" s="144" t="s">
        <v>1071</v>
      </c>
      <c r="X229" s="144" t="s">
        <v>1801</v>
      </c>
      <c r="Y229" s="144" t="s">
        <v>1802</v>
      </c>
      <c r="Z229" s="145">
        <v>5384104</v>
      </c>
      <c r="AA229" s="145">
        <v>4894640</v>
      </c>
      <c r="AB229" s="144">
        <v>0</v>
      </c>
      <c r="AC229" s="144" t="s">
        <v>1022</v>
      </c>
      <c r="AD229" s="145">
        <v>489464</v>
      </c>
      <c r="AE229" s="144">
        <v>0</v>
      </c>
      <c r="AF229" s="146">
        <v>0</v>
      </c>
      <c r="AG229" s="70">
        <v>0</v>
      </c>
      <c r="AH229" s="70">
        <v>0</v>
      </c>
      <c r="AI229" s="70">
        <v>0</v>
      </c>
      <c r="AJ229" s="70">
        <v>0</v>
      </c>
      <c r="AK229" s="70">
        <v>0</v>
      </c>
      <c r="AL229" s="70">
        <v>0.01</v>
      </c>
      <c r="AM229" s="70">
        <v>0</v>
      </c>
      <c r="AN229" s="70" t="s">
        <v>1807</v>
      </c>
    </row>
    <row r="230" spans="1:41">
      <c r="A230" s="132">
        <f t="shared" si="23"/>
        <v>222</v>
      </c>
      <c r="B230" s="133" t="s">
        <v>1742</v>
      </c>
      <c r="C230" s="133" t="s">
        <v>1905</v>
      </c>
      <c r="D230" s="132" t="s">
        <v>1024</v>
      </c>
      <c r="E230" s="147">
        <v>202500038487</v>
      </c>
      <c r="F230" s="135">
        <v>45707</v>
      </c>
      <c r="G230" s="45"/>
      <c r="H230" s="136"/>
      <c r="I230" s="136">
        <v>349392</v>
      </c>
      <c r="J230" s="137" t="s">
        <v>1025</v>
      </c>
      <c r="K230" s="137"/>
      <c r="L230" s="148">
        <f t="shared" si="29"/>
        <v>349392</v>
      </c>
      <c r="M230" s="122">
        <f t="shared" si="24"/>
        <v>0</v>
      </c>
      <c r="N230" s="137"/>
      <c r="O230" s="149" t="b">
        <f t="shared" si="25"/>
        <v>1</v>
      </c>
      <c r="P230" s="149">
        <f t="shared" si="26"/>
        <v>0</v>
      </c>
      <c r="Q230" s="149" t="b">
        <f t="shared" si="27"/>
        <v>0</v>
      </c>
      <c r="R230" s="149">
        <f t="shared" si="28"/>
        <v>0</v>
      </c>
      <c r="S230" s="144"/>
      <c r="T230" s="143">
        <v>45707</v>
      </c>
      <c r="U230" s="144">
        <v>202500038487</v>
      </c>
      <c r="V230" s="144">
        <v>0</v>
      </c>
      <c r="W230" s="144" t="s">
        <v>1071</v>
      </c>
      <c r="X230" s="144" t="s">
        <v>1801</v>
      </c>
      <c r="Y230" s="144" t="s">
        <v>1802</v>
      </c>
      <c r="Z230" s="145">
        <v>3843312</v>
      </c>
      <c r="AA230" s="145">
        <v>3493920</v>
      </c>
      <c r="AB230" s="144">
        <v>0</v>
      </c>
      <c r="AC230" s="144" t="s">
        <v>1022</v>
      </c>
      <c r="AD230" s="145">
        <v>349392</v>
      </c>
      <c r="AE230" s="144">
        <v>0</v>
      </c>
      <c r="AF230" s="146">
        <v>0</v>
      </c>
      <c r="AG230" s="70">
        <v>0</v>
      </c>
      <c r="AH230" s="70">
        <v>0</v>
      </c>
      <c r="AI230" s="70">
        <v>0</v>
      </c>
      <c r="AJ230" s="70">
        <v>0</v>
      </c>
      <c r="AK230" s="70">
        <v>0</v>
      </c>
      <c r="AL230" s="70">
        <v>0.01</v>
      </c>
      <c r="AM230" s="70">
        <v>0</v>
      </c>
      <c r="AN230" s="70" t="s">
        <v>1826</v>
      </c>
    </row>
    <row r="231" spans="1:41">
      <c r="A231" s="132">
        <f t="shared" si="23"/>
        <v>223</v>
      </c>
      <c r="B231" s="133" t="s">
        <v>1761</v>
      </c>
      <c r="C231" s="133" t="s">
        <v>1918</v>
      </c>
      <c r="D231" s="132" t="s">
        <v>1711</v>
      </c>
      <c r="E231" s="147" t="s">
        <v>1257</v>
      </c>
      <c r="F231" s="135">
        <v>45590</v>
      </c>
      <c r="G231" s="45"/>
      <c r="H231" s="136"/>
      <c r="I231" s="136">
        <v>2044714</v>
      </c>
      <c r="J231" s="137" t="s">
        <v>1025</v>
      </c>
      <c r="K231" s="150">
        <f>L231</f>
        <v>2044713</v>
      </c>
      <c r="L231" s="148">
        <f>AD231</f>
        <v>2044713</v>
      </c>
      <c r="M231" s="122">
        <f t="shared" si="24"/>
        <v>1</v>
      </c>
      <c r="N231" s="137"/>
      <c r="O231" s="149" t="b">
        <f t="shared" si="25"/>
        <v>1</v>
      </c>
      <c r="P231" s="149">
        <f t="shared" si="26"/>
        <v>0</v>
      </c>
      <c r="Q231" s="149" t="b">
        <f t="shared" si="27"/>
        <v>0</v>
      </c>
      <c r="R231" s="149">
        <f t="shared" si="28"/>
        <v>1</v>
      </c>
      <c r="S231" s="144"/>
      <c r="T231" s="143">
        <v>45590</v>
      </c>
      <c r="U231" s="144" t="s">
        <v>1257</v>
      </c>
      <c r="V231" s="144">
        <v>0</v>
      </c>
      <c r="W231" s="144" t="s">
        <v>1071</v>
      </c>
      <c r="X231" s="144" t="s">
        <v>1801</v>
      </c>
      <c r="Y231" s="144" t="s">
        <v>1802</v>
      </c>
      <c r="Z231" s="145">
        <v>22491848</v>
      </c>
      <c r="AA231" s="145">
        <v>20447135</v>
      </c>
      <c r="AB231" s="144">
        <v>0</v>
      </c>
      <c r="AC231" s="144" t="s">
        <v>1022</v>
      </c>
      <c r="AD231" s="145">
        <v>2044713</v>
      </c>
      <c r="AE231" s="144">
        <v>0</v>
      </c>
      <c r="AF231" s="146">
        <v>0</v>
      </c>
      <c r="AG231" s="70">
        <v>0</v>
      </c>
      <c r="AH231" s="70">
        <v>0</v>
      </c>
      <c r="AI231" s="70">
        <v>0</v>
      </c>
      <c r="AJ231" s="70">
        <v>0</v>
      </c>
      <c r="AK231" s="70">
        <v>0</v>
      </c>
      <c r="AL231" s="70">
        <v>0.01</v>
      </c>
      <c r="AM231" s="70">
        <v>0</v>
      </c>
      <c r="AN231" s="70" t="s">
        <v>1841</v>
      </c>
      <c r="AO231" s="70" t="s">
        <v>1804</v>
      </c>
    </row>
    <row r="232" spans="1:41">
      <c r="A232" s="132">
        <f t="shared" si="23"/>
        <v>224</v>
      </c>
      <c r="B232" s="133" t="s">
        <v>1728</v>
      </c>
      <c r="C232" s="133" t="s">
        <v>1904</v>
      </c>
      <c r="D232" s="132" t="s">
        <v>1698</v>
      </c>
      <c r="E232" s="147" t="s">
        <v>1258</v>
      </c>
      <c r="F232" s="135">
        <v>45707</v>
      </c>
      <c r="G232" s="45"/>
      <c r="H232" s="136"/>
      <c r="I232" s="136">
        <v>2152576</v>
      </c>
      <c r="J232" s="137" t="s">
        <v>1025</v>
      </c>
      <c r="K232" s="137"/>
      <c r="L232" s="148">
        <f t="shared" ref="L232:L233" si="30">I232</f>
        <v>2152576</v>
      </c>
      <c r="M232" s="122">
        <f t="shared" si="24"/>
        <v>0</v>
      </c>
      <c r="N232" s="137"/>
      <c r="O232" s="149" t="b">
        <f t="shared" si="25"/>
        <v>1</v>
      </c>
      <c r="P232" s="149">
        <f t="shared" si="26"/>
        <v>0</v>
      </c>
      <c r="Q232" s="149" t="b">
        <f t="shared" si="27"/>
        <v>0</v>
      </c>
      <c r="R232" s="149">
        <f t="shared" si="28"/>
        <v>0</v>
      </c>
      <c r="S232" s="144"/>
      <c r="T232" s="143">
        <v>45707</v>
      </c>
      <c r="U232" s="144" t="s">
        <v>1258</v>
      </c>
      <c r="V232" s="144">
        <v>0</v>
      </c>
      <c r="W232" s="144" t="s">
        <v>1071</v>
      </c>
      <c r="X232" s="144" t="s">
        <v>1801</v>
      </c>
      <c r="Y232" s="144" t="s">
        <v>1802</v>
      </c>
      <c r="Z232" s="145">
        <v>23678336</v>
      </c>
      <c r="AA232" s="145">
        <v>21525760</v>
      </c>
      <c r="AB232" s="144">
        <v>0</v>
      </c>
      <c r="AC232" s="144" t="s">
        <v>1022</v>
      </c>
      <c r="AD232" s="145">
        <v>2152576</v>
      </c>
      <c r="AE232" s="144">
        <v>0</v>
      </c>
      <c r="AF232" s="146">
        <v>0</v>
      </c>
      <c r="AG232" s="70">
        <v>0</v>
      </c>
      <c r="AH232" s="70">
        <v>0</v>
      </c>
      <c r="AI232" s="70">
        <v>0</v>
      </c>
      <c r="AJ232" s="70">
        <v>0</v>
      </c>
      <c r="AK232" s="70">
        <v>0</v>
      </c>
      <c r="AL232" s="70">
        <v>0.01</v>
      </c>
      <c r="AM232" s="70">
        <v>0</v>
      </c>
      <c r="AN232" s="70" t="s">
        <v>1807</v>
      </c>
    </row>
    <row r="233" spans="1:41">
      <c r="A233" s="132">
        <f t="shared" si="23"/>
        <v>225</v>
      </c>
      <c r="B233" s="133" t="s">
        <v>1742</v>
      </c>
      <c r="C233" s="133" t="s">
        <v>1905</v>
      </c>
      <c r="D233" s="132" t="s">
        <v>1024</v>
      </c>
      <c r="E233" s="147">
        <v>202500034018</v>
      </c>
      <c r="F233" s="135">
        <v>45700</v>
      </c>
      <c r="G233" s="45"/>
      <c r="H233" s="136"/>
      <c r="I233" s="136">
        <v>342770</v>
      </c>
      <c r="J233" s="137" t="s">
        <v>1025</v>
      </c>
      <c r="K233" s="137"/>
      <c r="L233" s="148">
        <f t="shared" si="30"/>
        <v>342770</v>
      </c>
      <c r="M233" s="122">
        <f t="shared" si="24"/>
        <v>0</v>
      </c>
      <c r="N233" s="137"/>
      <c r="O233" s="149" t="b">
        <f t="shared" si="25"/>
        <v>1</v>
      </c>
      <c r="P233" s="149">
        <f t="shared" si="26"/>
        <v>0</v>
      </c>
      <c r="Q233" s="149" t="b">
        <f t="shared" si="27"/>
        <v>0</v>
      </c>
      <c r="R233" s="149">
        <f t="shared" si="28"/>
        <v>0</v>
      </c>
      <c r="S233" s="144"/>
      <c r="T233" s="143">
        <v>45700</v>
      </c>
      <c r="U233" s="144">
        <v>202500034018</v>
      </c>
      <c r="V233" s="144">
        <v>0</v>
      </c>
      <c r="W233" s="144" t="s">
        <v>1071</v>
      </c>
      <c r="X233" s="144" t="s">
        <v>1801</v>
      </c>
      <c r="Y233" s="144" t="s">
        <v>1802</v>
      </c>
      <c r="Z233" s="145">
        <v>3770465</v>
      </c>
      <c r="AA233" s="145">
        <v>3427695</v>
      </c>
      <c r="AB233" s="144">
        <v>0</v>
      </c>
      <c r="AC233" s="144" t="s">
        <v>1022</v>
      </c>
      <c r="AD233" s="145">
        <v>342770</v>
      </c>
      <c r="AE233" s="144">
        <v>0</v>
      </c>
      <c r="AF233" s="146">
        <v>0</v>
      </c>
      <c r="AG233" s="70">
        <v>0</v>
      </c>
      <c r="AH233" s="70">
        <v>0</v>
      </c>
      <c r="AI233" s="70">
        <v>0</v>
      </c>
      <c r="AJ233" s="70">
        <v>0</v>
      </c>
      <c r="AK233" s="70">
        <v>0</v>
      </c>
      <c r="AL233" s="70">
        <v>0.01</v>
      </c>
      <c r="AM233" s="70">
        <v>0</v>
      </c>
      <c r="AN233" s="70" t="s">
        <v>1826</v>
      </c>
    </row>
    <row r="234" spans="1:41">
      <c r="A234" s="132">
        <f t="shared" si="23"/>
        <v>226</v>
      </c>
      <c r="B234" s="133" t="s">
        <v>1761</v>
      </c>
      <c r="C234" s="133" t="s">
        <v>1918</v>
      </c>
      <c r="D234" s="132" t="s">
        <v>1711</v>
      </c>
      <c r="E234" s="147" t="s">
        <v>1259</v>
      </c>
      <c r="F234" s="135">
        <v>45621</v>
      </c>
      <c r="G234" s="45"/>
      <c r="H234" s="136"/>
      <c r="I234" s="136">
        <v>2021049</v>
      </c>
      <c r="J234" s="137" t="s">
        <v>1899</v>
      </c>
      <c r="K234" s="137"/>
      <c r="L234" s="148"/>
      <c r="M234" s="122">
        <f t="shared" si="24"/>
        <v>2021049</v>
      </c>
      <c r="N234" s="137"/>
      <c r="O234" s="149" t="b">
        <f t="shared" si="25"/>
        <v>0</v>
      </c>
      <c r="P234" s="149">
        <f t="shared" si="26"/>
        <v>0</v>
      </c>
      <c r="Q234" s="149" t="b">
        <f t="shared" si="27"/>
        <v>0</v>
      </c>
      <c r="R234" s="149">
        <f t="shared" si="28"/>
        <v>0</v>
      </c>
      <c r="S234" s="144"/>
      <c r="T234" s="143">
        <v>45621</v>
      </c>
      <c r="U234" s="144" t="s">
        <v>1842</v>
      </c>
      <c r="V234" s="144">
        <v>0</v>
      </c>
      <c r="W234" s="144" t="s">
        <v>1071</v>
      </c>
      <c r="X234" s="144" t="s">
        <v>1801</v>
      </c>
      <c r="Y234" s="144" t="s">
        <v>1802</v>
      </c>
      <c r="Z234" s="145">
        <v>22231539</v>
      </c>
      <c r="AA234" s="145">
        <v>20210490</v>
      </c>
      <c r="AB234" s="144">
        <v>0</v>
      </c>
      <c r="AC234" s="144" t="s">
        <v>1022</v>
      </c>
      <c r="AD234" s="145">
        <v>2021049</v>
      </c>
      <c r="AE234" s="144">
        <v>0</v>
      </c>
      <c r="AF234" s="146">
        <v>0</v>
      </c>
      <c r="AG234" s="70">
        <v>0</v>
      </c>
      <c r="AH234" s="70">
        <v>0</v>
      </c>
      <c r="AI234" s="70">
        <v>0</v>
      </c>
      <c r="AJ234" s="70">
        <v>0</v>
      </c>
      <c r="AK234" s="70">
        <v>0</v>
      </c>
      <c r="AL234" s="70">
        <v>0.01</v>
      </c>
      <c r="AM234" s="70">
        <v>0</v>
      </c>
      <c r="AN234" s="70" t="s">
        <v>1843</v>
      </c>
      <c r="AO234" s="70" t="s">
        <v>1804</v>
      </c>
    </row>
    <row r="235" spans="1:41">
      <c r="A235" s="132">
        <f t="shared" si="23"/>
        <v>227</v>
      </c>
      <c r="B235" s="133" t="s">
        <v>1761</v>
      </c>
      <c r="C235" s="133" t="s">
        <v>1918</v>
      </c>
      <c r="D235" s="132" t="s">
        <v>1711</v>
      </c>
      <c r="E235" s="147" t="s">
        <v>1260</v>
      </c>
      <c r="F235" s="135">
        <v>45653</v>
      </c>
      <c r="G235" s="45"/>
      <c r="H235" s="136"/>
      <c r="I235" s="136">
        <v>2024574</v>
      </c>
      <c r="J235" s="137" t="s">
        <v>1025</v>
      </c>
      <c r="K235" s="150">
        <f>L235</f>
        <v>2024573</v>
      </c>
      <c r="L235" s="148">
        <f>AD235</f>
        <v>2024573</v>
      </c>
      <c r="M235" s="122">
        <f t="shared" si="24"/>
        <v>1</v>
      </c>
      <c r="N235" s="137"/>
      <c r="O235" s="149" t="b">
        <f t="shared" si="25"/>
        <v>1</v>
      </c>
      <c r="P235" s="149">
        <f t="shared" si="26"/>
        <v>0</v>
      </c>
      <c r="Q235" s="149" t="b">
        <f t="shared" si="27"/>
        <v>0</v>
      </c>
      <c r="R235" s="149">
        <f t="shared" si="28"/>
        <v>1</v>
      </c>
      <c r="S235" s="144"/>
      <c r="T235" s="143">
        <v>45653</v>
      </c>
      <c r="U235" s="144" t="s">
        <v>1260</v>
      </c>
      <c r="V235" s="144">
        <v>0</v>
      </c>
      <c r="W235" s="144" t="s">
        <v>1071</v>
      </c>
      <c r="X235" s="144" t="s">
        <v>1801</v>
      </c>
      <c r="Y235" s="144" t="s">
        <v>1802</v>
      </c>
      <c r="Z235" s="145">
        <v>22270308</v>
      </c>
      <c r="AA235" s="145">
        <v>20245735</v>
      </c>
      <c r="AB235" s="144">
        <v>0</v>
      </c>
      <c r="AC235" s="144" t="s">
        <v>1022</v>
      </c>
      <c r="AD235" s="145">
        <v>2024573</v>
      </c>
      <c r="AE235" s="144">
        <v>0</v>
      </c>
      <c r="AF235" s="146">
        <v>0</v>
      </c>
      <c r="AG235" s="70">
        <v>0</v>
      </c>
      <c r="AH235" s="70">
        <v>0</v>
      </c>
      <c r="AI235" s="70">
        <v>0</v>
      </c>
      <c r="AJ235" s="70">
        <v>0</v>
      </c>
      <c r="AK235" s="70">
        <v>0</v>
      </c>
      <c r="AL235" s="70">
        <v>0.01</v>
      </c>
      <c r="AM235" s="70">
        <v>0</v>
      </c>
      <c r="AN235" s="70" t="s">
        <v>1844</v>
      </c>
      <c r="AO235" s="70" t="s">
        <v>1804</v>
      </c>
    </row>
    <row r="236" spans="1:41">
      <c r="A236" s="132">
        <f t="shared" si="23"/>
        <v>228</v>
      </c>
      <c r="B236" s="133" t="s">
        <v>1761</v>
      </c>
      <c r="C236" s="133" t="s">
        <v>1918</v>
      </c>
      <c r="D236" s="132" t="s">
        <v>1711</v>
      </c>
      <c r="E236" s="147" t="s">
        <v>1261</v>
      </c>
      <c r="F236" s="135">
        <v>45682</v>
      </c>
      <c r="G236" s="45"/>
      <c r="H236" s="136"/>
      <c r="I236" s="136">
        <v>2026084</v>
      </c>
      <c r="J236" s="137" t="s">
        <v>1025</v>
      </c>
      <c r="K236" s="137"/>
      <c r="L236" s="148">
        <f t="shared" ref="L236:L240" si="31">I236</f>
        <v>2026084</v>
      </c>
      <c r="M236" s="122">
        <f t="shared" si="24"/>
        <v>0</v>
      </c>
      <c r="N236" s="137"/>
      <c r="O236" s="149" t="b">
        <f t="shared" si="25"/>
        <v>1</v>
      </c>
      <c r="P236" s="149">
        <f t="shared" si="26"/>
        <v>0</v>
      </c>
      <c r="Q236" s="149" t="b">
        <f t="shared" si="27"/>
        <v>0</v>
      </c>
      <c r="R236" s="149">
        <f t="shared" si="28"/>
        <v>0</v>
      </c>
      <c r="S236" s="144"/>
      <c r="T236" s="143">
        <v>45682</v>
      </c>
      <c r="U236" s="144" t="s">
        <v>1261</v>
      </c>
      <c r="V236" s="144">
        <v>0</v>
      </c>
      <c r="W236" s="144" t="s">
        <v>1071</v>
      </c>
      <c r="X236" s="144" t="s">
        <v>1801</v>
      </c>
      <c r="Y236" s="144" t="s">
        <v>1802</v>
      </c>
      <c r="Z236" s="145">
        <v>22286924</v>
      </c>
      <c r="AA236" s="145">
        <v>20260840</v>
      </c>
      <c r="AB236" s="144">
        <v>0</v>
      </c>
      <c r="AC236" s="144" t="s">
        <v>1022</v>
      </c>
      <c r="AD236" s="145">
        <v>2026084</v>
      </c>
      <c r="AE236" s="144">
        <v>0</v>
      </c>
      <c r="AF236" s="146">
        <v>0</v>
      </c>
      <c r="AG236" s="70">
        <v>0</v>
      </c>
      <c r="AH236" s="70">
        <v>0</v>
      </c>
      <c r="AI236" s="70">
        <v>0</v>
      </c>
      <c r="AJ236" s="70">
        <v>0</v>
      </c>
      <c r="AK236" s="70">
        <v>0</v>
      </c>
      <c r="AL236" s="70">
        <v>0.01</v>
      </c>
      <c r="AM236" s="70">
        <v>0</v>
      </c>
      <c r="AN236" s="70" t="s">
        <v>1844</v>
      </c>
      <c r="AO236" s="70" t="s">
        <v>1804</v>
      </c>
    </row>
    <row r="237" spans="1:41">
      <c r="A237" s="132">
        <f t="shared" si="23"/>
        <v>229</v>
      </c>
      <c r="B237" s="133" t="s">
        <v>1761</v>
      </c>
      <c r="C237" s="133" t="s">
        <v>1918</v>
      </c>
      <c r="D237" s="132" t="s">
        <v>1711</v>
      </c>
      <c r="E237" s="147" t="s">
        <v>1262</v>
      </c>
      <c r="F237" s="135">
        <v>45715</v>
      </c>
      <c r="G237" s="45"/>
      <c r="H237" s="136"/>
      <c r="I237" s="136">
        <v>2019035</v>
      </c>
      <c r="J237" s="137" t="s">
        <v>1025</v>
      </c>
      <c r="K237" s="137"/>
      <c r="L237" s="148">
        <f t="shared" si="31"/>
        <v>2019035</v>
      </c>
      <c r="M237" s="122">
        <f t="shared" si="24"/>
        <v>0</v>
      </c>
      <c r="N237" s="137"/>
      <c r="O237" s="149" t="b">
        <f t="shared" si="25"/>
        <v>1</v>
      </c>
      <c r="P237" s="149">
        <f t="shared" si="26"/>
        <v>0</v>
      </c>
      <c r="Q237" s="149" t="b">
        <f t="shared" si="27"/>
        <v>0</v>
      </c>
      <c r="R237" s="149">
        <f t="shared" si="28"/>
        <v>0</v>
      </c>
      <c r="S237" s="144"/>
      <c r="T237" s="143">
        <v>45690</v>
      </c>
      <c r="U237" s="144" t="s">
        <v>1262</v>
      </c>
      <c r="V237" s="144">
        <v>0</v>
      </c>
      <c r="W237" s="144" t="s">
        <v>1071</v>
      </c>
      <c r="X237" s="144" t="s">
        <v>1801</v>
      </c>
      <c r="Y237" s="144" t="s">
        <v>1802</v>
      </c>
      <c r="Z237" s="145">
        <v>22209385</v>
      </c>
      <c r="AA237" s="145">
        <v>20190350</v>
      </c>
      <c r="AB237" s="144">
        <v>0</v>
      </c>
      <c r="AC237" s="144" t="s">
        <v>1022</v>
      </c>
      <c r="AD237" s="145">
        <v>2019035</v>
      </c>
      <c r="AE237" s="144">
        <v>0</v>
      </c>
      <c r="AF237" s="146">
        <v>0</v>
      </c>
      <c r="AG237" s="70">
        <v>0</v>
      </c>
      <c r="AH237" s="70">
        <v>0</v>
      </c>
      <c r="AI237" s="70">
        <v>0</v>
      </c>
      <c r="AJ237" s="70">
        <v>0</v>
      </c>
      <c r="AK237" s="70">
        <v>0</v>
      </c>
      <c r="AL237" s="70">
        <v>0.01</v>
      </c>
      <c r="AM237" s="70">
        <v>0</v>
      </c>
      <c r="AN237" s="70" t="s">
        <v>1845</v>
      </c>
      <c r="AO237" s="70" t="s">
        <v>1804</v>
      </c>
    </row>
    <row r="238" spans="1:41">
      <c r="A238" s="132">
        <f t="shared" si="23"/>
        <v>230</v>
      </c>
      <c r="B238" s="133" t="s">
        <v>1732</v>
      </c>
      <c r="C238" s="133" t="s">
        <v>1906</v>
      </c>
      <c r="D238" s="132" t="s">
        <v>1036</v>
      </c>
      <c r="E238" s="147" t="s">
        <v>1263</v>
      </c>
      <c r="F238" s="135">
        <v>45695</v>
      </c>
      <c r="G238" s="45"/>
      <c r="H238" s="136"/>
      <c r="I238" s="136">
        <v>1831752</v>
      </c>
      <c r="J238" s="137" t="s">
        <v>1025</v>
      </c>
      <c r="K238" s="137"/>
      <c r="L238" s="148">
        <f t="shared" si="31"/>
        <v>1831752</v>
      </c>
      <c r="M238" s="122">
        <f t="shared" si="24"/>
        <v>0</v>
      </c>
      <c r="N238" s="137"/>
      <c r="O238" s="149" t="b">
        <f t="shared" si="25"/>
        <v>1</v>
      </c>
      <c r="P238" s="149">
        <f t="shared" si="26"/>
        <v>0</v>
      </c>
      <c r="Q238" s="149" t="b">
        <f t="shared" si="27"/>
        <v>0</v>
      </c>
      <c r="R238" s="149">
        <f t="shared" si="28"/>
        <v>0</v>
      </c>
      <c r="S238" s="144"/>
      <c r="T238" s="143">
        <v>45695</v>
      </c>
      <c r="U238" s="144" t="s">
        <v>1263</v>
      </c>
      <c r="V238" s="144">
        <v>0</v>
      </c>
      <c r="W238" s="144" t="s">
        <v>1071</v>
      </c>
      <c r="X238" s="144" t="s">
        <v>1801</v>
      </c>
      <c r="Y238" s="144" t="s">
        <v>1802</v>
      </c>
      <c r="Z238" s="145">
        <v>20149272</v>
      </c>
      <c r="AA238" s="145">
        <v>18317520</v>
      </c>
      <c r="AB238" s="144">
        <v>0</v>
      </c>
      <c r="AC238" s="144" t="s">
        <v>1022</v>
      </c>
      <c r="AD238" s="145">
        <v>1831752</v>
      </c>
      <c r="AE238" s="144">
        <v>0</v>
      </c>
      <c r="AF238" s="146">
        <v>0</v>
      </c>
      <c r="AG238" s="70">
        <v>0</v>
      </c>
      <c r="AH238" s="70">
        <v>0</v>
      </c>
      <c r="AI238" s="70">
        <v>0</v>
      </c>
      <c r="AJ238" s="70">
        <v>0</v>
      </c>
      <c r="AK238" s="70">
        <v>0</v>
      </c>
      <c r="AL238" s="70">
        <v>0.01</v>
      </c>
      <c r="AM238" s="70">
        <v>0</v>
      </c>
      <c r="AN238" s="70" t="s">
        <v>1846</v>
      </c>
    </row>
    <row r="239" spans="1:41">
      <c r="A239" s="132">
        <f t="shared" si="23"/>
        <v>231</v>
      </c>
      <c r="B239" s="133" t="s">
        <v>1728</v>
      </c>
      <c r="C239" s="133" t="s">
        <v>1904</v>
      </c>
      <c r="D239" s="132" t="s">
        <v>1698</v>
      </c>
      <c r="E239" s="147" t="s">
        <v>1264</v>
      </c>
      <c r="F239" s="135">
        <v>45695</v>
      </c>
      <c r="G239" s="45"/>
      <c r="H239" s="136"/>
      <c r="I239" s="136">
        <v>3692289</v>
      </c>
      <c r="J239" s="137" t="s">
        <v>1025</v>
      </c>
      <c r="K239" s="137"/>
      <c r="L239" s="148">
        <f t="shared" si="31"/>
        <v>3692289</v>
      </c>
      <c r="M239" s="122">
        <f t="shared" si="24"/>
        <v>0</v>
      </c>
      <c r="N239" s="137"/>
      <c r="O239" s="149" t="b">
        <f t="shared" si="25"/>
        <v>1</v>
      </c>
      <c r="P239" s="149">
        <f t="shared" si="26"/>
        <v>0</v>
      </c>
      <c r="Q239" s="149" t="b">
        <f t="shared" si="27"/>
        <v>0</v>
      </c>
      <c r="R239" s="149">
        <f t="shared" si="28"/>
        <v>0</v>
      </c>
      <c r="S239" s="144"/>
      <c r="T239" s="143">
        <v>45700</v>
      </c>
      <c r="U239" s="144" t="s">
        <v>1264</v>
      </c>
      <c r="V239" s="144">
        <v>0</v>
      </c>
      <c r="W239" s="144" t="s">
        <v>1071</v>
      </c>
      <c r="X239" s="144" t="s">
        <v>1801</v>
      </c>
      <c r="Y239" s="144" t="s">
        <v>1802</v>
      </c>
      <c r="Z239" s="145">
        <v>40615179</v>
      </c>
      <c r="AA239" s="145">
        <v>36922890</v>
      </c>
      <c r="AB239" s="144">
        <v>0</v>
      </c>
      <c r="AC239" s="144" t="s">
        <v>1022</v>
      </c>
      <c r="AD239" s="145">
        <v>3692289</v>
      </c>
      <c r="AE239" s="144">
        <v>0</v>
      </c>
      <c r="AF239" s="146">
        <v>0</v>
      </c>
      <c r="AG239" s="70">
        <v>0</v>
      </c>
      <c r="AH239" s="70">
        <v>0</v>
      </c>
      <c r="AI239" s="70">
        <v>0</v>
      </c>
      <c r="AJ239" s="70">
        <v>0</v>
      </c>
      <c r="AK239" s="70">
        <v>0</v>
      </c>
      <c r="AL239" s="70">
        <v>0.01</v>
      </c>
      <c r="AM239" s="70">
        <v>0</v>
      </c>
      <c r="AN239" s="70" t="s">
        <v>1807</v>
      </c>
    </row>
    <row r="240" spans="1:41">
      <c r="A240" s="132">
        <f t="shared" si="23"/>
        <v>232</v>
      </c>
      <c r="B240" s="133" t="s">
        <v>1742</v>
      </c>
      <c r="C240" s="133" t="s">
        <v>1905</v>
      </c>
      <c r="D240" s="132" t="s">
        <v>1024</v>
      </c>
      <c r="E240" s="147">
        <v>202500032421</v>
      </c>
      <c r="F240" s="135">
        <v>45698</v>
      </c>
      <c r="G240" s="45"/>
      <c r="H240" s="136"/>
      <c r="I240" s="136">
        <v>160278</v>
      </c>
      <c r="J240" s="137" t="s">
        <v>1025</v>
      </c>
      <c r="K240" s="137"/>
      <c r="L240" s="148">
        <f t="shared" si="31"/>
        <v>160278</v>
      </c>
      <c r="M240" s="122">
        <f t="shared" si="24"/>
        <v>0</v>
      </c>
      <c r="N240" s="137"/>
      <c r="O240" s="149" t="b">
        <f t="shared" si="25"/>
        <v>1</v>
      </c>
      <c r="P240" s="149">
        <f t="shared" si="26"/>
        <v>0</v>
      </c>
      <c r="Q240" s="149" t="b">
        <f t="shared" si="27"/>
        <v>0</v>
      </c>
      <c r="R240" s="149">
        <f t="shared" si="28"/>
        <v>0</v>
      </c>
      <c r="S240" s="144"/>
      <c r="T240" s="143">
        <v>45698</v>
      </c>
      <c r="U240" s="144">
        <v>202500032421</v>
      </c>
      <c r="V240" s="144">
        <v>0</v>
      </c>
      <c r="W240" s="144" t="s">
        <v>1071</v>
      </c>
      <c r="X240" s="144" t="s">
        <v>1801</v>
      </c>
      <c r="Y240" s="144" t="s">
        <v>1802</v>
      </c>
      <c r="Z240" s="145">
        <v>1763061</v>
      </c>
      <c r="AA240" s="145">
        <v>1602783</v>
      </c>
      <c r="AB240" s="144">
        <v>0</v>
      </c>
      <c r="AC240" s="144" t="s">
        <v>1022</v>
      </c>
      <c r="AD240" s="145">
        <v>160278</v>
      </c>
      <c r="AE240" s="144">
        <v>0</v>
      </c>
      <c r="AF240" s="146">
        <v>0</v>
      </c>
      <c r="AG240" s="70">
        <v>0</v>
      </c>
      <c r="AH240" s="70">
        <v>0</v>
      </c>
      <c r="AI240" s="70">
        <v>0</v>
      </c>
      <c r="AJ240" s="70">
        <v>0</v>
      </c>
      <c r="AK240" s="70">
        <v>0</v>
      </c>
      <c r="AL240" s="70">
        <v>0.01</v>
      </c>
      <c r="AM240" s="70">
        <v>0</v>
      </c>
      <c r="AN240" s="70" t="s">
        <v>1826</v>
      </c>
    </row>
    <row r="241" spans="1:41">
      <c r="A241" s="132">
        <f t="shared" si="23"/>
        <v>233</v>
      </c>
      <c r="B241" s="133" t="s">
        <v>1761</v>
      </c>
      <c r="C241" s="133" t="s">
        <v>1918</v>
      </c>
      <c r="D241" s="132" t="s">
        <v>1711</v>
      </c>
      <c r="E241" s="147" t="s">
        <v>1265</v>
      </c>
      <c r="F241" s="135">
        <v>45742</v>
      </c>
      <c r="G241" s="45"/>
      <c r="H241" s="136"/>
      <c r="I241" s="136">
        <v>2203652</v>
      </c>
      <c r="J241" s="137" t="s">
        <v>1899</v>
      </c>
      <c r="K241" s="137"/>
      <c r="L241" s="148"/>
      <c r="M241" s="122">
        <f t="shared" si="24"/>
        <v>2203652</v>
      </c>
      <c r="N241" s="137"/>
      <c r="O241" s="149" t="b">
        <f t="shared" si="25"/>
        <v>0</v>
      </c>
      <c r="P241" s="149">
        <f t="shared" si="26"/>
        <v>0</v>
      </c>
      <c r="Q241" s="149" t="b">
        <f t="shared" si="27"/>
        <v>0</v>
      </c>
      <c r="R241" s="149">
        <f t="shared" si="28"/>
        <v>0</v>
      </c>
      <c r="S241" s="144"/>
      <c r="T241" s="143">
        <v>45742</v>
      </c>
      <c r="U241" s="144" t="s">
        <v>1847</v>
      </c>
      <c r="V241" s="144">
        <v>0</v>
      </c>
      <c r="W241" s="144" t="s">
        <v>1071</v>
      </c>
      <c r="X241" s="144" t="s">
        <v>1801</v>
      </c>
      <c r="Y241" s="144" t="s">
        <v>1802</v>
      </c>
      <c r="Z241" s="145">
        <v>24240167</v>
      </c>
      <c r="AA241" s="145">
        <v>22036515</v>
      </c>
      <c r="AB241" s="144">
        <v>0</v>
      </c>
      <c r="AC241" s="144" t="s">
        <v>1022</v>
      </c>
      <c r="AD241" s="145">
        <v>2203652</v>
      </c>
      <c r="AE241" s="144">
        <v>0</v>
      </c>
      <c r="AF241" s="146">
        <v>0</v>
      </c>
      <c r="AG241" s="70">
        <v>0</v>
      </c>
      <c r="AH241" s="70">
        <v>0</v>
      </c>
      <c r="AI241" s="70">
        <v>0</v>
      </c>
      <c r="AJ241" s="70">
        <v>0</v>
      </c>
      <c r="AK241" s="70">
        <v>0</v>
      </c>
      <c r="AL241" s="70">
        <v>0.01</v>
      </c>
      <c r="AM241" s="70">
        <v>0</v>
      </c>
      <c r="AN241" s="70" t="s">
        <v>1845</v>
      </c>
      <c r="AO241" s="70" t="s">
        <v>1804</v>
      </c>
    </row>
    <row r="242" spans="1:41">
      <c r="A242" s="132">
        <f t="shared" si="23"/>
        <v>234</v>
      </c>
      <c r="B242" s="133" t="s">
        <v>1728</v>
      </c>
      <c r="C242" s="133" t="s">
        <v>1904</v>
      </c>
      <c r="D242" s="132" t="s">
        <v>1698</v>
      </c>
      <c r="E242" s="147" t="s">
        <v>1266</v>
      </c>
      <c r="F242" s="135">
        <v>45691</v>
      </c>
      <c r="G242" s="45"/>
      <c r="H242" s="136"/>
      <c r="I242" s="136">
        <v>186621</v>
      </c>
      <c r="J242" s="137" t="s">
        <v>1025</v>
      </c>
      <c r="K242" s="137"/>
      <c r="L242" s="148">
        <f t="shared" ref="L242:L245" si="32">I242</f>
        <v>186621</v>
      </c>
      <c r="M242" s="122">
        <f t="shared" si="24"/>
        <v>0</v>
      </c>
      <c r="N242" s="137"/>
      <c r="O242" s="149" t="b">
        <f t="shared" si="25"/>
        <v>1</v>
      </c>
      <c r="P242" s="149">
        <f t="shared" si="26"/>
        <v>0</v>
      </c>
      <c r="Q242" s="149" t="b">
        <f t="shared" si="27"/>
        <v>0</v>
      </c>
      <c r="R242" s="149">
        <f t="shared" si="28"/>
        <v>0</v>
      </c>
      <c r="S242" s="144"/>
      <c r="T242" s="143">
        <v>45691</v>
      </c>
      <c r="U242" s="144" t="s">
        <v>1266</v>
      </c>
      <c r="V242" s="144">
        <v>0</v>
      </c>
      <c r="W242" s="144" t="s">
        <v>1071</v>
      </c>
      <c r="X242" s="144" t="s">
        <v>1801</v>
      </c>
      <c r="Y242" s="144" t="s">
        <v>1802</v>
      </c>
      <c r="Z242" s="145">
        <v>2052829</v>
      </c>
      <c r="AA242" s="145">
        <v>1866208</v>
      </c>
      <c r="AB242" s="144">
        <v>0</v>
      </c>
      <c r="AC242" s="144" t="s">
        <v>1022</v>
      </c>
      <c r="AD242" s="145">
        <v>186621</v>
      </c>
      <c r="AE242" s="144">
        <v>0</v>
      </c>
      <c r="AF242" s="146">
        <v>0</v>
      </c>
      <c r="AG242" s="70">
        <v>0</v>
      </c>
      <c r="AH242" s="70">
        <v>0</v>
      </c>
      <c r="AI242" s="70">
        <v>0</v>
      </c>
      <c r="AJ242" s="70">
        <v>0</v>
      </c>
      <c r="AK242" s="70">
        <v>0</v>
      </c>
      <c r="AL242" s="70">
        <v>0.01</v>
      </c>
      <c r="AM242" s="70">
        <v>0</v>
      </c>
      <c r="AN242" s="70" t="s">
        <v>1807</v>
      </c>
    </row>
    <row r="243" spans="1:41">
      <c r="A243" s="132">
        <f t="shared" si="23"/>
        <v>235</v>
      </c>
      <c r="B243" s="133" t="s">
        <v>1728</v>
      </c>
      <c r="C243" s="133" t="s">
        <v>1904</v>
      </c>
      <c r="D243" s="132" t="s">
        <v>1698</v>
      </c>
      <c r="E243" s="147" t="s">
        <v>1267</v>
      </c>
      <c r="F243" s="135">
        <v>45691</v>
      </c>
      <c r="G243" s="45"/>
      <c r="H243" s="136"/>
      <c r="I243" s="136">
        <v>150423</v>
      </c>
      <c r="J243" s="137" t="s">
        <v>1025</v>
      </c>
      <c r="K243" s="137"/>
      <c r="L243" s="148">
        <f t="shared" si="32"/>
        <v>150423</v>
      </c>
      <c r="M243" s="122">
        <f t="shared" si="24"/>
        <v>0</v>
      </c>
      <c r="N243" s="137"/>
      <c r="O243" s="149" t="b">
        <f t="shared" si="25"/>
        <v>1</v>
      </c>
      <c r="P243" s="149">
        <f t="shared" si="26"/>
        <v>0</v>
      </c>
      <c r="Q243" s="149" t="b">
        <f t="shared" si="27"/>
        <v>0</v>
      </c>
      <c r="R243" s="149">
        <f t="shared" si="28"/>
        <v>0</v>
      </c>
      <c r="S243" s="144"/>
      <c r="T243" s="143">
        <v>45691</v>
      </c>
      <c r="U243" s="144" t="s">
        <v>1267</v>
      </c>
      <c r="V243" s="144">
        <v>0</v>
      </c>
      <c r="W243" s="144" t="s">
        <v>1071</v>
      </c>
      <c r="X243" s="144" t="s">
        <v>1801</v>
      </c>
      <c r="Y243" s="144" t="s">
        <v>1802</v>
      </c>
      <c r="Z243" s="145">
        <v>1654651</v>
      </c>
      <c r="AA243" s="145">
        <v>1504228</v>
      </c>
      <c r="AB243" s="144">
        <v>0</v>
      </c>
      <c r="AC243" s="144" t="s">
        <v>1022</v>
      </c>
      <c r="AD243" s="145">
        <v>150423</v>
      </c>
      <c r="AE243" s="144">
        <v>0</v>
      </c>
      <c r="AF243" s="146">
        <v>0</v>
      </c>
      <c r="AG243" s="70">
        <v>0</v>
      </c>
      <c r="AH243" s="70">
        <v>0</v>
      </c>
      <c r="AI243" s="70">
        <v>0</v>
      </c>
      <c r="AJ243" s="70">
        <v>0</v>
      </c>
      <c r="AK243" s="70">
        <v>0</v>
      </c>
      <c r="AL243" s="70">
        <v>0.01</v>
      </c>
      <c r="AM243" s="70">
        <v>0</v>
      </c>
      <c r="AN243" s="70" t="s">
        <v>1807</v>
      </c>
    </row>
    <row r="244" spans="1:41">
      <c r="A244" s="132">
        <f t="shared" si="23"/>
        <v>236</v>
      </c>
      <c r="B244" s="133" t="s">
        <v>1728</v>
      </c>
      <c r="C244" s="133" t="s">
        <v>1904</v>
      </c>
      <c r="D244" s="132" t="s">
        <v>1698</v>
      </c>
      <c r="E244" s="147" t="s">
        <v>1268</v>
      </c>
      <c r="F244" s="135">
        <v>45698</v>
      </c>
      <c r="G244" s="45"/>
      <c r="H244" s="136"/>
      <c r="I244" s="136">
        <v>1739361</v>
      </c>
      <c r="J244" s="137" t="s">
        <v>1025</v>
      </c>
      <c r="K244" s="137"/>
      <c r="L244" s="148">
        <f t="shared" si="32"/>
        <v>1739361</v>
      </c>
      <c r="M244" s="122">
        <f t="shared" si="24"/>
        <v>0</v>
      </c>
      <c r="N244" s="137"/>
      <c r="O244" s="149" t="b">
        <f t="shared" si="25"/>
        <v>1</v>
      </c>
      <c r="P244" s="149">
        <f t="shared" si="26"/>
        <v>0</v>
      </c>
      <c r="Q244" s="149" t="b">
        <f t="shared" si="27"/>
        <v>0</v>
      </c>
      <c r="R244" s="149">
        <f t="shared" si="28"/>
        <v>0</v>
      </c>
      <c r="S244" s="144"/>
      <c r="T244" s="143">
        <v>45698</v>
      </c>
      <c r="U244" s="144" t="s">
        <v>1268</v>
      </c>
      <c r="V244" s="144">
        <v>0</v>
      </c>
      <c r="W244" s="144" t="s">
        <v>1071</v>
      </c>
      <c r="X244" s="144" t="s">
        <v>1801</v>
      </c>
      <c r="Y244" s="144" t="s">
        <v>1802</v>
      </c>
      <c r="Z244" s="145">
        <v>19132971</v>
      </c>
      <c r="AA244" s="145">
        <v>17393610</v>
      </c>
      <c r="AB244" s="144">
        <v>0</v>
      </c>
      <c r="AC244" s="144" t="s">
        <v>1022</v>
      </c>
      <c r="AD244" s="145">
        <v>1739361</v>
      </c>
      <c r="AE244" s="144">
        <v>0</v>
      </c>
      <c r="AF244" s="146">
        <v>0</v>
      </c>
      <c r="AG244" s="70">
        <v>0</v>
      </c>
      <c r="AH244" s="70">
        <v>0</v>
      </c>
      <c r="AI244" s="70">
        <v>0</v>
      </c>
      <c r="AJ244" s="70">
        <v>0</v>
      </c>
      <c r="AK244" s="70">
        <v>0</v>
      </c>
      <c r="AL244" s="70">
        <v>0.01</v>
      </c>
      <c r="AM244" s="70">
        <v>0</v>
      </c>
      <c r="AN244" s="70" t="s">
        <v>1807</v>
      </c>
    </row>
    <row r="245" spans="1:41">
      <c r="A245" s="132">
        <f t="shared" si="23"/>
        <v>237</v>
      </c>
      <c r="B245" s="133" t="s">
        <v>1732</v>
      </c>
      <c r="C245" s="133" t="s">
        <v>1906</v>
      </c>
      <c r="D245" s="132" t="s">
        <v>1036</v>
      </c>
      <c r="E245" s="147" t="s">
        <v>1269</v>
      </c>
      <c r="F245" s="135">
        <v>45693</v>
      </c>
      <c r="G245" s="45"/>
      <c r="H245" s="136"/>
      <c r="I245" s="136">
        <v>868320</v>
      </c>
      <c r="J245" s="137" t="s">
        <v>1025</v>
      </c>
      <c r="K245" s="137"/>
      <c r="L245" s="148">
        <f t="shared" si="32"/>
        <v>868320</v>
      </c>
      <c r="M245" s="122">
        <f t="shared" si="24"/>
        <v>0</v>
      </c>
      <c r="N245" s="137"/>
      <c r="O245" s="149" t="b">
        <f t="shared" si="25"/>
        <v>1</v>
      </c>
      <c r="P245" s="149">
        <f t="shared" si="26"/>
        <v>0</v>
      </c>
      <c r="Q245" s="149" t="b">
        <f t="shared" si="27"/>
        <v>0</v>
      </c>
      <c r="R245" s="149">
        <f t="shared" si="28"/>
        <v>0</v>
      </c>
      <c r="S245" s="144"/>
      <c r="T245" s="143">
        <v>45693</v>
      </c>
      <c r="U245" s="144" t="s">
        <v>1269</v>
      </c>
      <c r="V245" s="144">
        <v>0</v>
      </c>
      <c r="W245" s="144" t="s">
        <v>1071</v>
      </c>
      <c r="X245" s="144" t="s">
        <v>1801</v>
      </c>
      <c r="Y245" s="144" t="s">
        <v>1802</v>
      </c>
      <c r="Z245" s="145">
        <v>9551520</v>
      </c>
      <c r="AA245" s="145">
        <v>8683200</v>
      </c>
      <c r="AB245" s="144">
        <v>0</v>
      </c>
      <c r="AC245" s="144" t="s">
        <v>1022</v>
      </c>
      <c r="AD245" s="145">
        <v>868320</v>
      </c>
      <c r="AE245" s="144">
        <v>0</v>
      </c>
      <c r="AF245" s="146">
        <v>0</v>
      </c>
      <c r="AG245" s="70">
        <v>0</v>
      </c>
      <c r="AH245" s="70">
        <v>0</v>
      </c>
      <c r="AI245" s="70">
        <v>0</v>
      </c>
      <c r="AJ245" s="70">
        <v>0</v>
      </c>
      <c r="AK245" s="70">
        <v>0</v>
      </c>
      <c r="AL245" s="70">
        <v>0.01</v>
      </c>
      <c r="AM245" s="70">
        <v>0</v>
      </c>
      <c r="AN245" s="70" t="s">
        <v>1808</v>
      </c>
    </row>
    <row r="246" spans="1:41">
      <c r="A246" s="132">
        <f t="shared" si="23"/>
        <v>238</v>
      </c>
      <c r="B246" s="133" t="s">
        <v>1761</v>
      </c>
      <c r="C246" s="133" t="s">
        <v>1918</v>
      </c>
      <c r="D246" s="132" t="s">
        <v>1711</v>
      </c>
      <c r="E246" s="147" t="s">
        <v>1270</v>
      </c>
      <c r="F246" s="135">
        <v>45775</v>
      </c>
      <c r="G246" s="45"/>
      <c r="H246" s="136"/>
      <c r="I246" s="136">
        <v>2203101</v>
      </c>
      <c r="J246" s="137" t="s">
        <v>1899</v>
      </c>
      <c r="K246" s="137"/>
      <c r="L246" s="148"/>
      <c r="M246" s="122">
        <f t="shared" si="24"/>
        <v>2203101</v>
      </c>
      <c r="N246" s="137"/>
      <c r="O246" s="149" t="b">
        <f t="shared" si="25"/>
        <v>0</v>
      </c>
      <c r="P246" s="149">
        <f t="shared" si="26"/>
        <v>0</v>
      </c>
      <c r="Q246" s="149" t="b">
        <f t="shared" si="27"/>
        <v>0</v>
      </c>
      <c r="R246" s="149">
        <f t="shared" si="28"/>
        <v>0</v>
      </c>
      <c r="S246" s="144"/>
      <c r="T246" s="143">
        <v>45775</v>
      </c>
      <c r="U246" s="144" t="s">
        <v>1848</v>
      </c>
      <c r="V246" s="144">
        <v>0</v>
      </c>
      <c r="W246" s="144" t="s">
        <v>1071</v>
      </c>
      <c r="X246" s="144" t="s">
        <v>1801</v>
      </c>
      <c r="Y246" s="144" t="s">
        <v>1802</v>
      </c>
      <c r="Z246" s="145">
        <v>24234111</v>
      </c>
      <c r="AA246" s="145">
        <v>22031010</v>
      </c>
      <c r="AB246" s="144">
        <v>0</v>
      </c>
      <c r="AC246" s="144" t="s">
        <v>1022</v>
      </c>
      <c r="AD246" s="145">
        <v>2203101</v>
      </c>
      <c r="AE246" s="144">
        <v>0</v>
      </c>
      <c r="AF246" s="146">
        <v>0</v>
      </c>
      <c r="AG246" s="70">
        <v>0</v>
      </c>
      <c r="AH246" s="70">
        <v>0</v>
      </c>
      <c r="AI246" s="70">
        <v>0</v>
      </c>
      <c r="AJ246" s="70">
        <v>0</v>
      </c>
      <c r="AK246" s="70">
        <v>0</v>
      </c>
      <c r="AL246" s="70">
        <v>0.01</v>
      </c>
      <c r="AM246" s="70">
        <v>0</v>
      </c>
      <c r="AN246" s="70" t="s">
        <v>1845</v>
      </c>
      <c r="AO246" s="70" t="s">
        <v>1804</v>
      </c>
    </row>
    <row r="247" spans="1:41">
      <c r="A247" s="132">
        <f t="shared" si="23"/>
        <v>239</v>
      </c>
      <c r="B247" s="133" t="s">
        <v>1761</v>
      </c>
      <c r="C247" s="133" t="s">
        <v>1918</v>
      </c>
      <c r="D247" s="132" t="s">
        <v>1711</v>
      </c>
      <c r="E247" s="147" t="s">
        <v>1271</v>
      </c>
      <c r="F247" s="135">
        <v>45805</v>
      </c>
      <c r="G247" s="45"/>
      <c r="H247" s="136"/>
      <c r="I247" s="136">
        <v>2203652</v>
      </c>
      <c r="J247" s="137" t="s">
        <v>1899</v>
      </c>
      <c r="K247" s="137"/>
      <c r="L247" s="148"/>
      <c r="M247" s="122">
        <f t="shared" si="24"/>
        <v>2203652</v>
      </c>
      <c r="N247" s="137"/>
      <c r="O247" s="149" t="b">
        <f t="shared" si="25"/>
        <v>0</v>
      </c>
      <c r="P247" s="149">
        <f t="shared" si="26"/>
        <v>0</v>
      </c>
      <c r="Q247" s="149" t="b">
        <f t="shared" si="27"/>
        <v>0</v>
      </c>
      <c r="R247" s="149">
        <f t="shared" si="28"/>
        <v>0</v>
      </c>
      <c r="S247" s="144"/>
      <c r="T247" s="143">
        <v>45805</v>
      </c>
      <c r="U247" s="144" t="s">
        <v>1849</v>
      </c>
      <c r="V247" s="144">
        <v>0</v>
      </c>
      <c r="W247" s="144" t="s">
        <v>1071</v>
      </c>
      <c r="X247" s="144" t="s">
        <v>1801</v>
      </c>
      <c r="Y247" s="144" t="s">
        <v>1802</v>
      </c>
      <c r="Z247" s="145">
        <v>24240167</v>
      </c>
      <c r="AA247" s="145">
        <v>22036515</v>
      </c>
      <c r="AB247" s="144">
        <v>0</v>
      </c>
      <c r="AC247" s="144" t="s">
        <v>1022</v>
      </c>
      <c r="AD247" s="145">
        <v>2203652</v>
      </c>
      <c r="AE247" s="144">
        <v>0</v>
      </c>
      <c r="AF247" s="146">
        <v>0</v>
      </c>
      <c r="AG247" s="70">
        <v>0</v>
      </c>
      <c r="AH247" s="70">
        <v>0</v>
      </c>
      <c r="AI247" s="70">
        <v>0</v>
      </c>
      <c r="AJ247" s="70">
        <v>0</v>
      </c>
      <c r="AK247" s="70">
        <v>0</v>
      </c>
      <c r="AL247" s="70">
        <v>0.01</v>
      </c>
      <c r="AM247" s="70">
        <v>0</v>
      </c>
      <c r="AN247" s="70" t="s">
        <v>1845</v>
      </c>
      <c r="AO247" s="70" t="s">
        <v>1804</v>
      </c>
    </row>
    <row r="248" spans="1:41">
      <c r="A248" s="132">
        <f t="shared" si="23"/>
        <v>240</v>
      </c>
      <c r="B248" s="133" t="s">
        <v>1759</v>
      </c>
      <c r="C248" s="133" t="s">
        <v>1937</v>
      </c>
      <c r="D248" s="132" t="s">
        <v>1712</v>
      </c>
      <c r="E248" s="147">
        <v>10</v>
      </c>
      <c r="F248" s="135">
        <v>45714</v>
      </c>
      <c r="G248" s="45"/>
      <c r="H248" s="136"/>
      <c r="I248" s="136">
        <v>398795</v>
      </c>
      <c r="J248" s="137" t="s">
        <v>1025</v>
      </c>
      <c r="K248" s="137"/>
      <c r="L248" s="148">
        <f>I248</f>
        <v>398795</v>
      </c>
      <c r="M248" s="122">
        <f t="shared" si="24"/>
        <v>0</v>
      </c>
      <c r="N248" s="137"/>
      <c r="O248" s="149" t="b">
        <f t="shared" si="25"/>
        <v>1</v>
      </c>
      <c r="P248" s="149">
        <f t="shared" si="26"/>
        <v>0</v>
      </c>
      <c r="Q248" s="149" t="b">
        <f t="shared" si="27"/>
        <v>0</v>
      </c>
      <c r="R248" s="149">
        <f t="shared" si="28"/>
        <v>0</v>
      </c>
      <c r="S248" s="144"/>
      <c r="T248" s="143">
        <v>45714</v>
      </c>
      <c r="U248" s="144">
        <v>10</v>
      </c>
      <c r="V248" s="144">
        <v>0</v>
      </c>
      <c r="W248" s="144">
        <v>0</v>
      </c>
      <c r="X248" s="144" t="s">
        <v>1801</v>
      </c>
      <c r="Y248" s="144">
        <v>0</v>
      </c>
      <c r="Z248" s="145">
        <v>0</v>
      </c>
      <c r="AA248" s="145">
        <v>0</v>
      </c>
      <c r="AB248" s="144">
        <v>0</v>
      </c>
      <c r="AC248" s="144">
        <v>0</v>
      </c>
      <c r="AD248" s="145">
        <v>398795</v>
      </c>
      <c r="AE248" s="144">
        <v>0</v>
      </c>
      <c r="AF248" s="146">
        <v>0</v>
      </c>
      <c r="AG248" s="70">
        <v>0</v>
      </c>
      <c r="AH248" s="70">
        <v>0</v>
      </c>
      <c r="AI248" s="70">
        <v>0</v>
      </c>
      <c r="AJ248" s="70">
        <v>0</v>
      </c>
      <c r="AK248" s="70">
        <v>0</v>
      </c>
      <c r="AL248" s="70">
        <v>0</v>
      </c>
      <c r="AM248" s="70">
        <v>0</v>
      </c>
      <c r="AN248" s="70">
        <v>0</v>
      </c>
      <c r="AO248" s="70">
        <v>0</v>
      </c>
    </row>
    <row r="249" spans="1:41">
      <c r="A249" s="132">
        <f t="shared" si="23"/>
        <v>241</v>
      </c>
      <c r="B249" s="133" t="s">
        <v>1759</v>
      </c>
      <c r="C249" s="133" t="s">
        <v>1937</v>
      </c>
      <c r="D249" s="132" t="s">
        <v>1712</v>
      </c>
      <c r="E249" s="147">
        <v>15</v>
      </c>
      <c r="F249" s="135">
        <v>45743</v>
      </c>
      <c r="G249" s="45"/>
      <c r="H249" s="136"/>
      <c r="I249" s="136">
        <v>1996209</v>
      </c>
      <c r="J249" s="137" t="s">
        <v>1025</v>
      </c>
      <c r="K249" s="137"/>
      <c r="L249" s="148">
        <f t="shared" ref="L249:L302" si="33">I249</f>
        <v>1996209</v>
      </c>
      <c r="M249" s="122">
        <f t="shared" si="24"/>
        <v>0</v>
      </c>
      <c r="N249" s="137"/>
      <c r="O249" s="149" t="b">
        <f t="shared" si="25"/>
        <v>1</v>
      </c>
      <c r="P249" s="149">
        <f t="shared" si="26"/>
        <v>0</v>
      </c>
      <c r="Q249" s="149" t="b">
        <f t="shared" si="27"/>
        <v>0</v>
      </c>
      <c r="R249" s="149">
        <f t="shared" si="28"/>
        <v>0</v>
      </c>
      <c r="S249" s="144"/>
      <c r="T249" s="143">
        <v>45743</v>
      </c>
      <c r="U249" s="144">
        <v>15</v>
      </c>
      <c r="V249" s="144">
        <v>0</v>
      </c>
      <c r="W249" s="144" t="s">
        <v>1071</v>
      </c>
      <c r="X249" s="144" t="s">
        <v>1801</v>
      </c>
      <c r="Y249" s="144" t="s">
        <v>1802</v>
      </c>
      <c r="Z249" s="145">
        <v>21958294</v>
      </c>
      <c r="AA249" s="145">
        <v>19962085</v>
      </c>
      <c r="AB249" s="144">
        <v>0</v>
      </c>
      <c r="AC249" s="144" t="s">
        <v>1022</v>
      </c>
      <c r="AD249" s="145">
        <v>1996209</v>
      </c>
      <c r="AE249" s="144">
        <v>0</v>
      </c>
      <c r="AF249" s="146">
        <v>0</v>
      </c>
      <c r="AG249" s="70">
        <v>0</v>
      </c>
      <c r="AH249" s="70">
        <v>0</v>
      </c>
      <c r="AI249" s="70">
        <v>0</v>
      </c>
      <c r="AJ249" s="70">
        <v>0</v>
      </c>
      <c r="AK249" s="70">
        <v>0</v>
      </c>
      <c r="AL249" s="70">
        <v>0.01</v>
      </c>
      <c r="AM249" s="70">
        <v>0</v>
      </c>
      <c r="AN249" s="70" t="s">
        <v>1759</v>
      </c>
      <c r="AO249" s="70" t="s">
        <v>1804</v>
      </c>
    </row>
    <row r="250" spans="1:41">
      <c r="A250" s="132">
        <f t="shared" si="23"/>
        <v>242</v>
      </c>
      <c r="B250" s="133" t="s">
        <v>1759</v>
      </c>
      <c r="C250" s="133" t="s">
        <v>1937</v>
      </c>
      <c r="D250" s="132" t="s">
        <v>1712</v>
      </c>
      <c r="E250" s="147">
        <v>18</v>
      </c>
      <c r="F250" s="135">
        <v>45772</v>
      </c>
      <c r="G250" s="45"/>
      <c r="H250" s="136"/>
      <c r="I250" s="136">
        <v>3339703</v>
      </c>
      <c r="J250" s="137" t="s">
        <v>1025</v>
      </c>
      <c r="K250" s="137"/>
      <c r="L250" s="148">
        <f t="shared" si="33"/>
        <v>3339703</v>
      </c>
      <c r="M250" s="122">
        <f t="shared" si="24"/>
        <v>0</v>
      </c>
      <c r="N250" s="137"/>
      <c r="O250" s="149" t="b">
        <f t="shared" si="25"/>
        <v>1</v>
      </c>
      <c r="P250" s="149">
        <f t="shared" si="26"/>
        <v>0</v>
      </c>
      <c r="Q250" s="149" t="b">
        <f t="shared" si="27"/>
        <v>0</v>
      </c>
      <c r="R250" s="149">
        <f t="shared" si="28"/>
        <v>0</v>
      </c>
      <c r="S250" s="144"/>
      <c r="T250" s="143">
        <v>45772</v>
      </c>
      <c r="U250" s="144">
        <v>18</v>
      </c>
      <c r="V250" s="144">
        <v>0</v>
      </c>
      <c r="W250" s="144" t="s">
        <v>1071</v>
      </c>
      <c r="X250" s="144" t="s">
        <v>1801</v>
      </c>
      <c r="Y250" s="144" t="s">
        <v>1802</v>
      </c>
      <c r="Z250" s="145">
        <v>36736732</v>
      </c>
      <c r="AA250" s="145">
        <v>33397029</v>
      </c>
      <c r="AB250" s="144">
        <v>0</v>
      </c>
      <c r="AC250" s="144" t="s">
        <v>1022</v>
      </c>
      <c r="AD250" s="145">
        <v>3339703</v>
      </c>
      <c r="AE250" s="144">
        <v>0</v>
      </c>
      <c r="AF250" s="146">
        <v>0</v>
      </c>
      <c r="AG250" s="70">
        <v>0</v>
      </c>
      <c r="AH250" s="70">
        <v>0</v>
      </c>
      <c r="AI250" s="70">
        <v>0</v>
      </c>
      <c r="AJ250" s="70">
        <v>0</v>
      </c>
      <c r="AK250" s="70">
        <v>0</v>
      </c>
      <c r="AL250" s="70">
        <v>0.01</v>
      </c>
      <c r="AM250" s="70">
        <v>0</v>
      </c>
      <c r="AN250" s="70" t="s">
        <v>1759</v>
      </c>
      <c r="AO250" s="70" t="s">
        <v>1804</v>
      </c>
    </row>
    <row r="251" spans="1:41">
      <c r="A251" s="132">
        <f t="shared" si="23"/>
        <v>243</v>
      </c>
      <c r="B251" s="133" t="s">
        <v>1762</v>
      </c>
      <c r="C251" s="133" t="s">
        <v>1919</v>
      </c>
      <c r="D251" s="132" t="s">
        <v>1039</v>
      </c>
      <c r="E251" s="147">
        <v>2431343</v>
      </c>
      <c r="F251" s="135">
        <v>45643</v>
      </c>
      <c r="G251" s="45"/>
      <c r="H251" s="136"/>
      <c r="I251" s="136">
        <v>1476983</v>
      </c>
      <c r="J251" s="137" t="s">
        <v>1025</v>
      </c>
      <c r="K251" s="137"/>
      <c r="L251" s="148">
        <f t="shared" si="33"/>
        <v>1476983</v>
      </c>
      <c r="M251" s="122">
        <f t="shared" si="24"/>
        <v>0</v>
      </c>
      <c r="N251" s="137"/>
      <c r="O251" s="149" t="b">
        <f t="shared" si="25"/>
        <v>1</v>
      </c>
      <c r="P251" s="149">
        <f t="shared" si="26"/>
        <v>0</v>
      </c>
      <c r="Q251" s="149" t="b">
        <f t="shared" si="27"/>
        <v>0</v>
      </c>
      <c r="R251" s="149">
        <f t="shared" si="28"/>
        <v>0</v>
      </c>
      <c r="S251" s="144" t="s">
        <v>1047</v>
      </c>
      <c r="T251" s="143">
        <v>45643</v>
      </c>
      <c r="U251" s="144">
        <v>2431343</v>
      </c>
      <c r="V251" s="144">
        <v>0</v>
      </c>
      <c r="W251" s="144" t="s">
        <v>1071</v>
      </c>
      <c r="X251" s="144" t="s">
        <v>1801</v>
      </c>
      <c r="Y251" s="144" t="s">
        <v>1802</v>
      </c>
      <c r="Z251" s="145">
        <v>16246808</v>
      </c>
      <c r="AA251" s="145">
        <v>14769825</v>
      </c>
      <c r="AB251" s="144">
        <v>0</v>
      </c>
      <c r="AC251" s="144" t="s">
        <v>1022</v>
      </c>
      <c r="AD251" s="145">
        <v>1476983</v>
      </c>
      <c r="AE251" s="144">
        <v>0</v>
      </c>
      <c r="AF251" s="146">
        <v>0</v>
      </c>
      <c r="AG251" s="70">
        <v>0</v>
      </c>
      <c r="AH251" s="70">
        <v>0</v>
      </c>
      <c r="AI251" s="70">
        <v>0</v>
      </c>
      <c r="AJ251" s="70">
        <v>0</v>
      </c>
      <c r="AK251" s="70">
        <v>0</v>
      </c>
      <c r="AL251" s="70">
        <v>0.01</v>
      </c>
      <c r="AM251" s="70">
        <v>0</v>
      </c>
      <c r="AN251" s="70" t="s">
        <v>1850</v>
      </c>
      <c r="AO251" s="70" t="s">
        <v>1804</v>
      </c>
    </row>
    <row r="252" spans="1:41">
      <c r="A252" s="132">
        <f t="shared" si="23"/>
        <v>244</v>
      </c>
      <c r="B252" s="133" t="s">
        <v>1763</v>
      </c>
      <c r="C252" s="133" t="s">
        <v>1919</v>
      </c>
      <c r="D252" s="132" t="s">
        <v>1039</v>
      </c>
      <c r="E252" s="147">
        <v>2501560</v>
      </c>
      <c r="F252" s="135">
        <v>45671</v>
      </c>
      <c r="G252" s="45"/>
      <c r="H252" s="136"/>
      <c r="I252" s="136">
        <v>993102</v>
      </c>
      <c r="J252" s="137" t="s">
        <v>1025</v>
      </c>
      <c r="K252" s="137"/>
      <c r="L252" s="148">
        <f t="shared" si="33"/>
        <v>993102</v>
      </c>
      <c r="M252" s="122">
        <f t="shared" si="24"/>
        <v>0</v>
      </c>
      <c r="N252" s="137"/>
      <c r="O252" s="149" t="b">
        <f t="shared" si="25"/>
        <v>1</v>
      </c>
      <c r="P252" s="149">
        <f t="shared" si="26"/>
        <v>0</v>
      </c>
      <c r="Q252" s="149" t="b">
        <f t="shared" si="27"/>
        <v>0</v>
      </c>
      <c r="R252" s="149">
        <f t="shared" si="28"/>
        <v>0</v>
      </c>
      <c r="S252" s="144"/>
      <c r="T252" s="143">
        <v>45671</v>
      </c>
      <c r="U252" s="144">
        <v>2501560</v>
      </c>
      <c r="V252" s="144">
        <v>0</v>
      </c>
      <c r="W252" s="144" t="s">
        <v>1071</v>
      </c>
      <c r="X252" s="144" t="s">
        <v>1801</v>
      </c>
      <c r="Y252" s="144" t="s">
        <v>1802</v>
      </c>
      <c r="Z252" s="145">
        <v>10924122</v>
      </c>
      <c r="AA252" s="145">
        <v>9931020</v>
      </c>
      <c r="AB252" s="144">
        <v>0</v>
      </c>
      <c r="AC252" s="144" t="s">
        <v>1022</v>
      </c>
      <c r="AD252" s="145">
        <v>993102</v>
      </c>
      <c r="AE252" s="144">
        <v>0</v>
      </c>
      <c r="AF252" s="146">
        <v>0</v>
      </c>
      <c r="AG252" s="70">
        <v>0</v>
      </c>
      <c r="AH252" s="70">
        <v>0</v>
      </c>
      <c r="AI252" s="70">
        <v>0</v>
      </c>
      <c r="AJ252" s="70">
        <v>0</v>
      </c>
      <c r="AK252" s="70">
        <v>0</v>
      </c>
      <c r="AL252" s="70">
        <v>0.01</v>
      </c>
      <c r="AM252" s="70">
        <v>0</v>
      </c>
      <c r="AN252" s="70" t="s">
        <v>1850</v>
      </c>
      <c r="AO252" s="70" t="s">
        <v>1804</v>
      </c>
    </row>
    <row r="253" spans="1:41">
      <c r="A253" s="132">
        <f t="shared" si="23"/>
        <v>245</v>
      </c>
      <c r="B253" s="133" t="s">
        <v>1763</v>
      </c>
      <c r="C253" s="133" t="s">
        <v>1919</v>
      </c>
      <c r="D253" s="132" t="s">
        <v>1039</v>
      </c>
      <c r="E253" s="147">
        <v>2501027</v>
      </c>
      <c r="F253" s="135">
        <v>45665</v>
      </c>
      <c r="G253" s="45"/>
      <c r="H253" s="136"/>
      <c r="I253" s="136">
        <v>992856</v>
      </c>
      <c r="J253" s="137" t="s">
        <v>1025</v>
      </c>
      <c r="K253" s="137"/>
      <c r="L253" s="148">
        <f t="shared" si="33"/>
        <v>992856</v>
      </c>
      <c r="M253" s="122">
        <f t="shared" si="24"/>
        <v>0</v>
      </c>
      <c r="N253" s="137"/>
      <c r="O253" s="149" t="b">
        <f t="shared" si="25"/>
        <v>1</v>
      </c>
      <c r="P253" s="149">
        <f t="shared" si="26"/>
        <v>0</v>
      </c>
      <c r="Q253" s="149" t="b">
        <f t="shared" si="27"/>
        <v>0</v>
      </c>
      <c r="R253" s="149">
        <f t="shared" si="28"/>
        <v>0</v>
      </c>
      <c r="S253" s="144"/>
      <c r="T253" s="143">
        <v>45665</v>
      </c>
      <c r="U253" s="144">
        <v>2501027</v>
      </c>
      <c r="V253" s="144">
        <v>0</v>
      </c>
      <c r="W253" s="144" t="s">
        <v>1071</v>
      </c>
      <c r="X253" s="144" t="s">
        <v>1801</v>
      </c>
      <c r="Y253" s="144" t="s">
        <v>1802</v>
      </c>
      <c r="Z253" s="145">
        <v>10921416</v>
      </c>
      <c r="AA253" s="145">
        <v>9928560</v>
      </c>
      <c r="AB253" s="144">
        <v>0</v>
      </c>
      <c r="AC253" s="144" t="s">
        <v>1022</v>
      </c>
      <c r="AD253" s="145">
        <v>992856</v>
      </c>
      <c r="AE253" s="144">
        <v>0</v>
      </c>
      <c r="AF253" s="146">
        <v>0</v>
      </c>
      <c r="AG253" s="70">
        <v>0</v>
      </c>
      <c r="AH253" s="70">
        <v>0</v>
      </c>
      <c r="AI253" s="70">
        <v>0</v>
      </c>
      <c r="AJ253" s="70">
        <v>0</v>
      </c>
      <c r="AK253" s="70">
        <v>0</v>
      </c>
      <c r="AL253" s="70">
        <v>0.01</v>
      </c>
      <c r="AM253" s="70">
        <v>0</v>
      </c>
      <c r="AN253" s="70" t="s">
        <v>1850</v>
      </c>
      <c r="AO253" s="70" t="s">
        <v>1804</v>
      </c>
    </row>
    <row r="254" spans="1:41">
      <c r="A254" s="132">
        <f t="shared" si="23"/>
        <v>246</v>
      </c>
      <c r="B254" s="133" t="s">
        <v>1764</v>
      </c>
      <c r="C254" s="133" t="s">
        <v>1905</v>
      </c>
      <c r="D254" s="132" t="s">
        <v>1024</v>
      </c>
      <c r="E254" s="147">
        <v>202500060076</v>
      </c>
      <c r="F254" s="135">
        <v>45736</v>
      </c>
      <c r="G254" s="45"/>
      <c r="H254" s="136"/>
      <c r="I254" s="136">
        <v>488053</v>
      </c>
      <c r="J254" s="137" t="s">
        <v>1025</v>
      </c>
      <c r="K254" s="137"/>
      <c r="L254" s="148">
        <f t="shared" si="33"/>
        <v>488053</v>
      </c>
      <c r="M254" s="122">
        <f t="shared" si="24"/>
        <v>0</v>
      </c>
      <c r="N254" s="137"/>
      <c r="O254" s="149" t="b">
        <f t="shared" si="25"/>
        <v>1</v>
      </c>
      <c r="P254" s="149">
        <f t="shared" si="26"/>
        <v>0</v>
      </c>
      <c r="Q254" s="149" t="b">
        <f t="shared" si="27"/>
        <v>0</v>
      </c>
      <c r="R254" s="149">
        <f t="shared" si="28"/>
        <v>0</v>
      </c>
      <c r="S254" s="144"/>
      <c r="T254" s="143">
        <v>45736</v>
      </c>
      <c r="U254" s="144">
        <v>202500060076</v>
      </c>
      <c r="V254" s="144">
        <v>0</v>
      </c>
      <c r="W254" s="144" t="s">
        <v>1071</v>
      </c>
      <c r="X254" s="144" t="s">
        <v>1801</v>
      </c>
      <c r="Y254" s="144" t="s">
        <v>1802</v>
      </c>
      <c r="Z254" s="145">
        <v>5368579</v>
      </c>
      <c r="AA254" s="145">
        <v>4880526</v>
      </c>
      <c r="AB254" s="144">
        <v>0</v>
      </c>
      <c r="AC254" s="144" t="s">
        <v>1022</v>
      </c>
      <c r="AD254" s="145">
        <v>488053</v>
      </c>
      <c r="AE254" s="144">
        <v>0</v>
      </c>
      <c r="AF254" s="146">
        <v>0</v>
      </c>
      <c r="AG254" s="70">
        <v>0</v>
      </c>
      <c r="AH254" s="70">
        <v>0</v>
      </c>
      <c r="AI254" s="70">
        <v>0</v>
      </c>
      <c r="AJ254" s="70">
        <v>0</v>
      </c>
      <c r="AK254" s="70">
        <v>0</v>
      </c>
      <c r="AL254" s="70">
        <v>0.01</v>
      </c>
      <c r="AM254" s="70">
        <v>0</v>
      </c>
      <c r="AN254" s="70" t="s">
        <v>1826</v>
      </c>
    </row>
    <row r="255" spans="1:41">
      <c r="A255" s="132">
        <f t="shared" si="23"/>
        <v>247</v>
      </c>
      <c r="B255" s="133" t="s">
        <v>1072</v>
      </c>
      <c r="C255" s="133" t="s">
        <v>1906</v>
      </c>
      <c r="D255" s="132" t="s">
        <v>1036</v>
      </c>
      <c r="E255" s="147" t="s">
        <v>1272</v>
      </c>
      <c r="F255" s="135">
        <v>45734</v>
      </c>
      <c r="G255" s="45"/>
      <c r="H255" s="136"/>
      <c r="I255" s="136">
        <v>2941138</v>
      </c>
      <c r="J255" s="137" t="s">
        <v>1025</v>
      </c>
      <c r="K255" s="137"/>
      <c r="L255" s="148">
        <f t="shared" si="33"/>
        <v>2941138</v>
      </c>
      <c r="M255" s="122">
        <f t="shared" si="24"/>
        <v>0</v>
      </c>
      <c r="N255" s="137"/>
      <c r="O255" s="149" t="b">
        <f t="shared" si="25"/>
        <v>1</v>
      </c>
      <c r="P255" s="149">
        <f t="shared" si="26"/>
        <v>0</v>
      </c>
      <c r="Q255" s="149" t="b">
        <f t="shared" si="27"/>
        <v>0</v>
      </c>
      <c r="R255" s="149">
        <f t="shared" si="28"/>
        <v>0</v>
      </c>
      <c r="S255" s="144"/>
      <c r="T255" s="143">
        <v>45734</v>
      </c>
      <c r="U255" s="144" t="s">
        <v>1272</v>
      </c>
      <c r="V255" s="144">
        <v>0</v>
      </c>
      <c r="W255" s="144" t="s">
        <v>1071</v>
      </c>
      <c r="X255" s="144" t="s">
        <v>1801</v>
      </c>
      <c r="Y255" s="144" t="s">
        <v>1802</v>
      </c>
      <c r="Z255" s="145">
        <v>32352518</v>
      </c>
      <c r="AA255" s="145">
        <v>29411380</v>
      </c>
      <c r="AB255" s="144">
        <v>0</v>
      </c>
      <c r="AC255" s="144" t="s">
        <v>1022</v>
      </c>
      <c r="AD255" s="145">
        <v>2941138</v>
      </c>
      <c r="AE255" s="144">
        <v>0</v>
      </c>
      <c r="AF255" s="146">
        <v>0</v>
      </c>
      <c r="AG255" s="70">
        <v>0</v>
      </c>
      <c r="AH255" s="70">
        <v>0</v>
      </c>
      <c r="AI255" s="70">
        <v>0</v>
      </c>
      <c r="AJ255" s="70">
        <v>0</v>
      </c>
      <c r="AK255" s="70">
        <v>0</v>
      </c>
      <c r="AL255" s="70">
        <v>0.01</v>
      </c>
      <c r="AM255" s="70">
        <v>0</v>
      </c>
      <c r="AN255" s="70" t="s">
        <v>1851</v>
      </c>
    </row>
    <row r="256" spans="1:41">
      <c r="A256" s="132">
        <f t="shared" si="23"/>
        <v>248</v>
      </c>
      <c r="B256" s="133" t="s">
        <v>1765</v>
      </c>
      <c r="C256" s="133" t="s">
        <v>1904</v>
      </c>
      <c r="D256" s="132" t="s">
        <v>1698</v>
      </c>
      <c r="E256" s="147" t="s">
        <v>1273</v>
      </c>
      <c r="F256" s="135">
        <v>45736</v>
      </c>
      <c r="G256" s="45"/>
      <c r="H256" s="136"/>
      <c r="I256" s="136">
        <v>3297761</v>
      </c>
      <c r="J256" s="137" t="s">
        <v>1025</v>
      </c>
      <c r="K256" s="137"/>
      <c r="L256" s="148">
        <f t="shared" si="33"/>
        <v>3297761</v>
      </c>
      <c r="M256" s="122">
        <f t="shared" si="24"/>
        <v>0</v>
      </c>
      <c r="N256" s="137"/>
      <c r="O256" s="149" t="b">
        <f t="shared" si="25"/>
        <v>1</v>
      </c>
      <c r="P256" s="149">
        <f t="shared" si="26"/>
        <v>0</v>
      </c>
      <c r="Q256" s="149" t="b">
        <f t="shared" si="27"/>
        <v>0</v>
      </c>
      <c r="R256" s="149">
        <f t="shared" si="28"/>
        <v>0</v>
      </c>
      <c r="S256" s="144" t="s">
        <v>1046</v>
      </c>
      <c r="T256" s="143">
        <v>45736</v>
      </c>
      <c r="U256" s="144" t="s">
        <v>1273</v>
      </c>
      <c r="V256" s="144">
        <v>0</v>
      </c>
      <c r="W256" s="144" t="s">
        <v>1071</v>
      </c>
      <c r="X256" s="144" t="s">
        <v>1801</v>
      </c>
      <c r="Y256" s="144" t="s">
        <v>1802</v>
      </c>
      <c r="Z256" s="145">
        <v>36275371</v>
      </c>
      <c r="AA256" s="145">
        <v>32977610</v>
      </c>
      <c r="AB256" s="144">
        <v>0</v>
      </c>
      <c r="AC256" s="144" t="s">
        <v>1022</v>
      </c>
      <c r="AD256" s="145">
        <v>3297761</v>
      </c>
      <c r="AE256" s="144">
        <v>0</v>
      </c>
      <c r="AF256" s="146">
        <v>0</v>
      </c>
      <c r="AG256" s="70">
        <v>0</v>
      </c>
      <c r="AH256" s="70">
        <v>0</v>
      </c>
      <c r="AI256" s="70">
        <v>0</v>
      </c>
      <c r="AJ256" s="70">
        <v>0</v>
      </c>
      <c r="AK256" s="70">
        <v>0</v>
      </c>
      <c r="AL256" s="70">
        <v>0.01</v>
      </c>
      <c r="AM256" s="70">
        <v>0</v>
      </c>
      <c r="AN256" s="70" t="s">
        <v>1807</v>
      </c>
    </row>
    <row r="257" spans="1:41">
      <c r="A257" s="132">
        <f t="shared" si="23"/>
        <v>249</v>
      </c>
      <c r="B257" s="133" t="s">
        <v>1764</v>
      </c>
      <c r="C257" s="133" t="s">
        <v>1905</v>
      </c>
      <c r="D257" s="132" t="s">
        <v>1024</v>
      </c>
      <c r="E257" s="147">
        <v>202500060156</v>
      </c>
      <c r="F257" s="135">
        <v>45736</v>
      </c>
      <c r="G257" s="45"/>
      <c r="H257" s="136"/>
      <c r="I257" s="136">
        <v>174305</v>
      </c>
      <c r="J257" s="137" t="s">
        <v>1025</v>
      </c>
      <c r="K257" s="137"/>
      <c r="L257" s="148">
        <f t="shared" si="33"/>
        <v>174305</v>
      </c>
      <c r="M257" s="122">
        <f t="shared" si="24"/>
        <v>0</v>
      </c>
      <c r="N257" s="137"/>
      <c r="O257" s="149" t="b">
        <f t="shared" si="25"/>
        <v>1</v>
      </c>
      <c r="P257" s="149">
        <f t="shared" si="26"/>
        <v>0</v>
      </c>
      <c r="Q257" s="149" t="b">
        <f t="shared" si="27"/>
        <v>0</v>
      </c>
      <c r="R257" s="149">
        <f t="shared" si="28"/>
        <v>0</v>
      </c>
      <c r="S257" s="144" t="s">
        <v>1046</v>
      </c>
      <c r="T257" s="143">
        <v>45736</v>
      </c>
      <c r="U257" s="144">
        <v>202500060156</v>
      </c>
      <c r="V257" s="144">
        <v>0</v>
      </c>
      <c r="W257" s="144" t="s">
        <v>1071</v>
      </c>
      <c r="X257" s="144" t="s">
        <v>1801</v>
      </c>
      <c r="Y257" s="144" t="s">
        <v>1802</v>
      </c>
      <c r="Z257" s="145">
        <v>1917350</v>
      </c>
      <c r="AA257" s="145">
        <v>1743045</v>
      </c>
      <c r="AB257" s="144">
        <v>0</v>
      </c>
      <c r="AC257" s="144" t="s">
        <v>1022</v>
      </c>
      <c r="AD257" s="145">
        <v>174305</v>
      </c>
      <c r="AE257" s="144">
        <v>0</v>
      </c>
      <c r="AF257" s="146">
        <v>0</v>
      </c>
      <c r="AG257" s="70">
        <v>0</v>
      </c>
      <c r="AH257" s="70">
        <v>0</v>
      </c>
      <c r="AI257" s="70">
        <v>0</v>
      </c>
      <c r="AJ257" s="70">
        <v>0</v>
      </c>
      <c r="AK257" s="70">
        <v>0</v>
      </c>
      <c r="AL257" s="70">
        <v>0.01</v>
      </c>
      <c r="AM257" s="70">
        <v>0</v>
      </c>
      <c r="AN257" s="70" t="s">
        <v>1826</v>
      </c>
    </row>
    <row r="258" spans="1:41">
      <c r="A258" s="132">
        <f t="shared" si="23"/>
        <v>250</v>
      </c>
      <c r="B258" s="133" t="s">
        <v>1763</v>
      </c>
      <c r="C258" s="133" t="s">
        <v>1919</v>
      </c>
      <c r="D258" s="132" t="s">
        <v>1039</v>
      </c>
      <c r="E258" s="147">
        <v>2512466</v>
      </c>
      <c r="F258" s="135">
        <v>45797</v>
      </c>
      <c r="G258" s="45"/>
      <c r="H258" s="136"/>
      <c r="I258" s="136">
        <v>236177</v>
      </c>
      <c r="J258" s="137" t="s">
        <v>1025</v>
      </c>
      <c r="K258" s="137"/>
      <c r="L258" s="148">
        <f t="shared" si="33"/>
        <v>236177</v>
      </c>
      <c r="M258" s="122">
        <f t="shared" si="24"/>
        <v>0</v>
      </c>
      <c r="N258" s="137"/>
      <c r="O258" s="149" t="b">
        <f t="shared" si="25"/>
        <v>1</v>
      </c>
      <c r="P258" s="149">
        <f t="shared" si="26"/>
        <v>0</v>
      </c>
      <c r="Q258" s="149" t="b">
        <f t="shared" si="27"/>
        <v>0</v>
      </c>
      <c r="R258" s="149">
        <f t="shared" si="28"/>
        <v>0</v>
      </c>
      <c r="S258" s="144"/>
      <c r="T258" s="143">
        <v>45797</v>
      </c>
      <c r="U258" s="144">
        <v>2512466</v>
      </c>
      <c r="V258" s="144">
        <v>0</v>
      </c>
      <c r="W258" s="144" t="s">
        <v>1071</v>
      </c>
      <c r="X258" s="144" t="s">
        <v>1801</v>
      </c>
      <c r="Y258" s="144" t="s">
        <v>1802</v>
      </c>
      <c r="Z258" s="145">
        <v>2597947</v>
      </c>
      <c r="AA258" s="145">
        <v>2361770</v>
      </c>
      <c r="AB258" s="144">
        <v>0</v>
      </c>
      <c r="AC258" s="144" t="s">
        <v>1022</v>
      </c>
      <c r="AD258" s="145">
        <v>236177</v>
      </c>
      <c r="AE258" s="144">
        <v>0</v>
      </c>
      <c r="AF258" s="146">
        <v>0</v>
      </c>
      <c r="AG258" s="70">
        <v>0</v>
      </c>
      <c r="AH258" s="70">
        <v>0</v>
      </c>
      <c r="AI258" s="70">
        <v>0</v>
      </c>
      <c r="AJ258" s="70">
        <v>0</v>
      </c>
      <c r="AK258" s="70">
        <v>0</v>
      </c>
      <c r="AL258" s="70">
        <v>0.01</v>
      </c>
      <c r="AM258" s="70">
        <v>0</v>
      </c>
      <c r="AN258" s="70" t="s">
        <v>1850</v>
      </c>
      <c r="AO258" s="70" t="s">
        <v>1804</v>
      </c>
    </row>
    <row r="259" spans="1:41">
      <c r="A259" s="132">
        <f t="shared" si="23"/>
        <v>251</v>
      </c>
      <c r="B259" s="133" t="s">
        <v>1765</v>
      </c>
      <c r="C259" s="133" t="s">
        <v>1904</v>
      </c>
      <c r="D259" s="132" t="s">
        <v>1698</v>
      </c>
      <c r="E259" s="147" t="s">
        <v>1274</v>
      </c>
      <c r="F259" s="135">
        <v>45735</v>
      </c>
      <c r="G259" s="45"/>
      <c r="H259" s="136"/>
      <c r="I259" s="136">
        <v>1098994</v>
      </c>
      <c r="J259" s="137" t="s">
        <v>1025</v>
      </c>
      <c r="K259" s="137"/>
      <c r="L259" s="148">
        <f t="shared" si="33"/>
        <v>1098994</v>
      </c>
      <c r="M259" s="122">
        <f t="shared" si="24"/>
        <v>0</v>
      </c>
      <c r="N259" s="137"/>
      <c r="O259" s="149" t="b">
        <f t="shared" si="25"/>
        <v>1</v>
      </c>
      <c r="P259" s="149">
        <f t="shared" si="26"/>
        <v>0</v>
      </c>
      <c r="Q259" s="149" t="b">
        <f t="shared" si="27"/>
        <v>0</v>
      </c>
      <c r="R259" s="149">
        <f t="shared" si="28"/>
        <v>0</v>
      </c>
      <c r="S259" s="144"/>
      <c r="T259" s="143">
        <v>45735</v>
      </c>
      <c r="U259" s="144" t="s">
        <v>1274</v>
      </c>
      <c r="V259" s="144">
        <v>0</v>
      </c>
      <c r="W259" s="144" t="s">
        <v>1071</v>
      </c>
      <c r="X259" s="144" t="s">
        <v>1801</v>
      </c>
      <c r="Y259" s="144" t="s">
        <v>1802</v>
      </c>
      <c r="Z259" s="145">
        <v>12088930</v>
      </c>
      <c r="AA259" s="145">
        <v>10989936</v>
      </c>
      <c r="AB259" s="144">
        <v>0</v>
      </c>
      <c r="AC259" s="144" t="s">
        <v>1022</v>
      </c>
      <c r="AD259" s="145">
        <v>1098994</v>
      </c>
      <c r="AE259" s="144">
        <v>0</v>
      </c>
      <c r="AF259" s="146">
        <v>0</v>
      </c>
      <c r="AG259" s="70">
        <v>0</v>
      </c>
      <c r="AH259" s="70">
        <v>0</v>
      </c>
      <c r="AI259" s="70">
        <v>0</v>
      </c>
      <c r="AJ259" s="70">
        <v>0</v>
      </c>
      <c r="AK259" s="70">
        <v>0</v>
      </c>
      <c r="AL259" s="70">
        <v>0.01</v>
      </c>
      <c r="AM259" s="70">
        <v>0</v>
      </c>
      <c r="AN259" s="70" t="s">
        <v>1807</v>
      </c>
    </row>
    <row r="260" spans="1:41">
      <c r="A260" s="132">
        <f t="shared" si="23"/>
        <v>252</v>
      </c>
      <c r="B260" s="133" t="s">
        <v>1764</v>
      </c>
      <c r="C260" s="133" t="s">
        <v>1905</v>
      </c>
      <c r="D260" s="132" t="s">
        <v>1024</v>
      </c>
      <c r="E260" s="147">
        <v>202500054035</v>
      </c>
      <c r="F260" s="135">
        <v>45729</v>
      </c>
      <c r="G260" s="45"/>
      <c r="H260" s="136"/>
      <c r="I260" s="136">
        <v>592783</v>
      </c>
      <c r="J260" s="137" t="s">
        <v>1025</v>
      </c>
      <c r="K260" s="137"/>
      <c r="L260" s="148">
        <f t="shared" si="33"/>
        <v>592783</v>
      </c>
      <c r="M260" s="122">
        <f t="shared" si="24"/>
        <v>0</v>
      </c>
      <c r="N260" s="137"/>
      <c r="O260" s="149" t="b">
        <f t="shared" si="25"/>
        <v>1</v>
      </c>
      <c r="P260" s="149">
        <f t="shared" si="26"/>
        <v>0</v>
      </c>
      <c r="Q260" s="149" t="b">
        <f t="shared" si="27"/>
        <v>0</v>
      </c>
      <c r="R260" s="149">
        <f t="shared" si="28"/>
        <v>0</v>
      </c>
      <c r="S260" s="144"/>
      <c r="T260" s="143">
        <v>45729</v>
      </c>
      <c r="U260" s="144">
        <v>202500054035</v>
      </c>
      <c r="V260" s="144">
        <v>0</v>
      </c>
      <c r="W260" s="144" t="s">
        <v>1071</v>
      </c>
      <c r="X260" s="144" t="s">
        <v>1801</v>
      </c>
      <c r="Y260" s="144" t="s">
        <v>1802</v>
      </c>
      <c r="Z260" s="145">
        <v>6520615</v>
      </c>
      <c r="AA260" s="145">
        <v>5927832</v>
      </c>
      <c r="AB260" s="144">
        <v>0</v>
      </c>
      <c r="AC260" s="144" t="s">
        <v>1022</v>
      </c>
      <c r="AD260" s="145">
        <v>592783</v>
      </c>
      <c r="AE260" s="144">
        <v>0</v>
      </c>
      <c r="AF260" s="146">
        <v>0</v>
      </c>
      <c r="AG260" s="70">
        <v>0</v>
      </c>
      <c r="AH260" s="70">
        <v>0</v>
      </c>
      <c r="AI260" s="70">
        <v>0</v>
      </c>
      <c r="AJ260" s="70">
        <v>0</v>
      </c>
      <c r="AK260" s="70">
        <v>0</v>
      </c>
      <c r="AL260" s="70">
        <v>0.01</v>
      </c>
      <c r="AM260" s="70">
        <v>0</v>
      </c>
      <c r="AN260" s="70" t="s">
        <v>1826</v>
      </c>
    </row>
    <row r="261" spans="1:41">
      <c r="A261" s="132">
        <f t="shared" si="23"/>
        <v>253</v>
      </c>
      <c r="B261" s="133" t="s">
        <v>1072</v>
      </c>
      <c r="C261" s="133" t="s">
        <v>1906</v>
      </c>
      <c r="D261" s="132" t="s">
        <v>1036</v>
      </c>
      <c r="E261" s="147" t="s">
        <v>1275</v>
      </c>
      <c r="F261" s="135">
        <v>45727</v>
      </c>
      <c r="G261" s="45"/>
      <c r="H261" s="136"/>
      <c r="I261" s="136">
        <v>3567120</v>
      </c>
      <c r="J261" s="137" t="s">
        <v>1025</v>
      </c>
      <c r="K261" s="137"/>
      <c r="L261" s="148">
        <f t="shared" si="33"/>
        <v>3567120</v>
      </c>
      <c r="M261" s="122">
        <f t="shared" si="24"/>
        <v>0</v>
      </c>
      <c r="N261" s="137"/>
      <c r="O261" s="149" t="b">
        <f t="shared" si="25"/>
        <v>1</v>
      </c>
      <c r="P261" s="149">
        <f t="shared" si="26"/>
        <v>0</v>
      </c>
      <c r="Q261" s="149" t="b">
        <f t="shared" si="27"/>
        <v>0</v>
      </c>
      <c r="R261" s="149">
        <f t="shared" si="28"/>
        <v>0</v>
      </c>
      <c r="S261" s="144"/>
      <c r="T261" s="143">
        <v>45727</v>
      </c>
      <c r="U261" s="144" t="s">
        <v>1275</v>
      </c>
      <c r="V261" s="144">
        <v>0</v>
      </c>
      <c r="W261" s="144" t="s">
        <v>1071</v>
      </c>
      <c r="X261" s="144" t="s">
        <v>1801</v>
      </c>
      <c r="Y261" s="144" t="s">
        <v>1802</v>
      </c>
      <c r="Z261" s="145">
        <v>39238320</v>
      </c>
      <c r="AA261" s="145">
        <v>35671200</v>
      </c>
      <c r="AB261" s="144">
        <v>0</v>
      </c>
      <c r="AC261" s="144" t="s">
        <v>1022</v>
      </c>
      <c r="AD261" s="145">
        <v>3567120</v>
      </c>
      <c r="AE261" s="144">
        <v>0</v>
      </c>
      <c r="AF261" s="146">
        <v>0</v>
      </c>
      <c r="AG261" s="70">
        <v>0</v>
      </c>
      <c r="AH261" s="70">
        <v>0</v>
      </c>
      <c r="AI261" s="70">
        <v>0</v>
      </c>
      <c r="AJ261" s="70">
        <v>0</v>
      </c>
      <c r="AK261" s="70">
        <v>0</v>
      </c>
      <c r="AL261" s="70">
        <v>0.01</v>
      </c>
      <c r="AM261" s="70">
        <v>0</v>
      </c>
      <c r="AN261" s="70" t="s">
        <v>1852</v>
      </c>
    </row>
    <row r="262" spans="1:41">
      <c r="A262" s="132">
        <f t="shared" si="23"/>
        <v>254</v>
      </c>
      <c r="B262" s="133" t="s">
        <v>1765</v>
      </c>
      <c r="C262" s="133" t="s">
        <v>1904</v>
      </c>
      <c r="D262" s="132" t="s">
        <v>1698</v>
      </c>
      <c r="E262" s="147" t="s">
        <v>1276</v>
      </c>
      <c r="F262" s="135">
        <v>45729</v>
      </c>
      <c r="G262" s="45"/>
      <c r="H262" s="136"/>
      <c r="I262" s="136">
        <v>3995976</v>
      </c>
      <c r="J262" s="137" t="s">
        <v>1025</v>
      </c>
      <c r="K262" s="137"/>
      <c r="L262" s="148">
        <f t="shared" si="33"/>
        <v>3995976</v>
      </c>
      <c r="M262" s="122">
        <f t="shared" si="24"/>
        <v>0</v>
      </c>
      <c r="N262" s="137"/>
      <c r="O262" s="149" t="b">
        <f t="shared" si="25"/>
        <v>1</v>
      </c>
      <c r="P262" s="149">
        <f t="shared" si="26"/>
        <v>0</v>
      </c>
      <c r="Q262" s="149" t="b">
        <f t="shared" si="27"/>
        <v>0</v>
      </c>
      <c r="R262" s="149">
        <f t="shared" si="28"/>
        <v>0</v>
      </c>
      <c r="S262" s="144"/>
      <c r="T262" s="143">
        <v>45729</v>
      </c>
      <c r="U262" s="144" t="s">
        <v>1276</v>
      </c>
      <c r="V262" s="144">
        <v>0</v>
      </c>
      <c r="W262" s="144" t="s">
        <v>1071</v>
      </c>
      <c r="X262" s="144" t="s">
        <v>1801</v>
      </c>
      <c r="Y262" s="144" t="s">
        <v>1802</v>
      </c>
      <c r="Z262" s="145">
        <v>43955736</v>
      </c>
      <c r="AA262" s="145">
        <v>39959760</v>
      </c>
      <c r="AB262" s="144">
        <v>0</v>
      </c>
      <c r="AC262" s="144" t="s">
        <v>1022</v>
      </c>
      <c r="AD262" s="145">
        <v>3995976</v>
      </c>
      <c r="AE262" s="144">
        <v>0</v>
      </c>
      <c r="AF262" s="146">
        <v>0</v>
      </c>
      <c r="AG262" s="70">
        <v>0</v>
      </c>
      <c r="AH262" s="70">
        <v>0</v>
      </c>
      <c r="AI262" s="70">
        <v>0</v>
      </c>
      <c r="AJ262" s="70">
        <v>0</v>
      </c>
      <c r="AK262" s="70">
        <v>0</v>
      </c>
      <c r="AL262" s="70">
        <v>0.01</v>
      </c>
      <c r="AM262" s="70">
        <v>0</v>
      </c>
      <c r="AN262" s="70" t="s">
        <v>1807</v>
      </c>
    </row>
    <row r="263" spans="1:41">
      <c r="A263" s="132">
        <f t="shared" si="23"/>
        <v>255</v>
      </c>
      <c r="B263" s="133" t="s">
        <v>1764</v>
      </c>
      <c r="C263" s="133" t="s">
        <v>1905</v>
      </c>
      <c r="D263" s="132" t="s">
        <v>1024</v>
      </c>
      <c r="E263" s="147">
        <v>202500054713</v>
      </c>
      <c r="F263" s="135">
        <v>45730</v>
      </c>
      <c r="G263" s="45"/>
      <c r="H263" s="136"/>
      <c r="I263" s="136">
        <v>68520</v>
      </c>
      <c r="J263" s="137" t="s">
        <v>1025</v>
      </c>
      <c r="K263" s="137"/>
      <c r="L263" s="148">
        <f t="shared" si="33"/>
        <v>68520</v>
      </c>
      <c r="M263" s="122">
        <f t="shared" si="24"/>
        <v>0</v>
      </c>
      <c r="N263" s="137"/>
      <c r="O263" s="149" t="b">
        <f t="shared" si="25"/>
        <v>1</v>
      </c>
      <c r="P263" s="149">
        <f t="shared" si="26"/>
        <v>0</v>
      </c>
      <c r="Q263" s="149" t="b">
        <f t="shared" si="27"/>
        <v>0</v>
      </c>
      <c r="R263" s="149">
        <f t="shared" si="28"/>
        <v>0</v>
      </c>
      <c r="S263" s="144"/>
      <c r="T263" s="143">
        <v>45730</v>
      </c>
      <c r="U263" s="144">
        <v>202500054713</v>
      </c>
      <c r="V263" s="144">
        <v>0</v>
      </c>
      <c r="W263" s="144" t="s">
        <v>1071</v>
      </c>
      <c r="X263" s="144" t="s">
        <v>1801</v>
      </c>
      <c r="Y263" s="144" t="s">
        <v>1802</v>
      </c>
      <c r="Z263" s="145">
        <v>753717</v>
      </c>
      <c r="AA263" s="145">
        <v>685197</v>
      </c>
      <c r="AB263" s="144">
        <v>0</v>
      </c>
      <c r="AC263" s="144" t="s">
        <v>1022</v>
      </c>
      <c r="AD263" s="145">
        <v>68520</v>
      </c>
      <c r="AE263" s="144">
        <v>0</v>
      </c>
      <c r="AF263" s="146">
        <v>0</v>
      </c>
      <c r="AG263" s="70">
        <v>0</v>
      </c>
      <c r="AH263" s="70">
        <v>0</v>
      </c>
      <c r="AI263" s="70">
        <v>0</v>
      </c>
      <c r="AJ263" s="70">
        <v>0</v>
      </c>
      <c r="AK263" s="70">
        <v>0</v>
      </c>
      <c r="AL263" s="70">
        <v>0.01</v>
      </c>
      <c r="AM263" s="70">
        <v>0</v>
      </c>
      <c r="AN263" s="70" t="s">
        <v>1826</v>
      </c>
    </row>
    <row r="264" spans="1:41">
      <c r="A264" s="132">
        <f t="shared" si="23"/>
        <v>256</v>
      </c>
      <c r="B264" s="133" t="s">
        <v>1072</v>
      </c>
      <c r="C264" s="133" t="s">
        <v>1906</v>
      </c>
      <c r="D264" s="132" t="s">
        <v>1036</v>
      </c>
      <c r="E264" s="147" t="s">
        <v>1277</v>
      </c>
      <c r="F264" s="135">
        <v>45726</v>
      </c>
      <c r="G264" s="45"/>
      <c r="H264" s="136"/>
      <c r="I264" s="136">
        <v>384672</v>
      </c>
      <c r="J264" s="137" t="s">
        <v>1025</v>
      </c>
      <c r="K264" s="137"/>
      <c r="L264" s="148">
        <f t="shared" si="33"/>
        <v>384672</v>
      </c>
      <c r="M264" s="122">
        <f t="shared" si="24"/>
        <v>0</v>
      </c>
      <c r="N264" s="137"/>
      <c r="O264" s="149" t="b">
        <f t="shared" si="25"/>
        <v>1</v>
      </c>
      <c r="P264" s="149">
        <f t="shared" si="26"/>
        <v>0</v>
      </c>
      <c r="Q264" s="149" t="b">
        <f t="shared" si="27"/>
        <v>0</v>
      </c>
      <c r="R264" s="149">
        <f t="shared" si="28"/>
        <v>0</v>
      </c>
      <c r="S264" s="144"/>
      <c r="T264" s="143">
        <v>45726</v>
      </c>
      <c r="U264" s="144" t="s">
        <v>1277</v>
      </c>
      <c r="V264" s="144">
        <v>0</v>
      </c>
      <c r="W264" s="144" t="s">
        <v>1071</v>
      </c>
      <c r="X264" s="144" t="s">
        <v>1801</v>
      </c>
      <c r="Y264" s="144" t="s">
        <v>1802</v>
      </c>
      <c r="Z264" s="145">
        <v>4231392</v>
      </c>
      <c r="AA264" s="145">
        <v>3846720</v>
      </c>
      <c r="AB264" s="144">
        <v>0</v>
      </c>
      <c r="AC264" s="144" t="s">
        <v>1022</v>
      </c>
      <c r="AD264" s="145">
        <v>384672</v>
      </c>
      <c r="AE264" s="144">
        <v>0</v>
      </c>
      <c r="AF264" s="146">
        <v>0</v>
      </c>
      <c r="AG264" s="70">
        <v>0</v>
      </c>
      <c r="AH264" s="70">
        <v>0</v>
      </c>
      <c r="AI264" s="70">
        <v>0</v>
      </c>
      <c r="AJ264" s="70">
        <v>0</v>
      </c>
      <c r="AK264" s="70">
        <v>0</v>
      </c>
      <c r="AL264" s="70">
        <v>0.01</v>
      </c>
      <c r="AM264" s="70">
        <v>0</v>
      </c>
      <c r="AN264" s="70" t="s">
        <v>1853</v>
      </c>
    </row>
    <row r="265" spans="1:41">
      <c r="A265" s="132">
        <f t="shared" si="23"/>
        <v>257</v>
      </c>
      <c r="B265" s="133" t="s">
        <v>1765</v>
      </c>
      <c r="C265" s="133" t="s">
        <v>1904</v>
      </c>
      <c r="D265" s="132" t="s">
        <v>1698</v>
      </c>
      <c r="E265" s="147" t="s">
        <v>1278</v>
      </c>
      <c r="F265" s="135">
        <v>45730</v>
      </c>
      <c r="G265" s="45"/>
      <c r="H265" s="136"/>
      <c r="I265" s="136">
        <v>757323</v>
      </c>
      <c r="J265" s="137" t="s">
        <v>1025</v>
      </c>
      <c r="K265" s="137"/>
      <c r="L265" s="148">
        <f t="shared" si="33"/>
        <v>757323</v>
      </c>
      <c r="M265" s="122">
        <f t="shared" si="24"/>
        <v>0</v>
      </c>
      <c r="N265" s="137"/>
      <c r="O265" s="149" t="b">
        <f t="shared" si="25"/>
        <v>1</v>
      </c>
      <c r="P265" s="149">
        <f t="shared" si="26"/>
        <v>0</v>
      </c>
      <c r="Q265" s="149" t="b">
        <f t="shared" si="27"/>
        <v>0</v>
      </c>
      <c r="R265" s="149">
        <f t="shared" si="28"/>
        <v>0</v>
      </c>
      <c r="S265" s="144"/>
      <c r="T265" s="143">
        <v>45730</v>
      </c>
      <c r="U265" s="144" t="s">
        <v>1278</v>
      </c>
      <c r="V265" s="144">
        <v>0</v>
      </c>
      <c r="W265" s="144" t="s">
        <v>1071</v>
      </c>
      <c r="X265" s="144" t="s">
        <v>1801</v>
      </c>
      <c r="Y265" s="144" t="s">
        <v>1802</v>
      </c>
      <c r="Z265" s="145">
        <v>8330553</v>
      </c>
      <c r="AA265" s="145">
        <v>7573230</v>
      </c>
      <c r="AB265" s="144">
        <v>0</v>
      </c>
      <c r="AC265" s="144" t="s">
        <v>1022</v>
      </c>
      <c r="AD265" s="145">
        <v>757323</v>
      </c>
      <c r="AE265" s="144">
        <v>0</v>
      </c>
      <c r="AF265" s="146">
        <v>0</v>
      </c>
      <c r="AG265" s="70">
        <v>0</v>
      </c>
      <c r="AH265" s="70">
        <v>0</v>
      </c>
      <c r="AI265" s="70">
        <v>0</v>
      </c>
      <c r="AJ265" s="70">
        <v>0</v>
      </c>
      <c r="AK265" s="70">
        <v>0</v>
      </c>
      <c r="AL265" s="70">
        <v>0.01</v>
      </c>
      <c r="AM265" s="70">
        <v>0</v>
      </c>
      <c r="AN265" s="70" t="s">
        <v>1807</v>
      </c>
    </row>
    <row r="266" spans="1:41">
      <c r="A266" s="132">
        <f t="shared" si="23"/>
        <v>258</v>
      </c>
      <c r="B266" s="133" t="s">
        <v>1764</v>
      </c>
      <c r="C266" s="133" t="s">
        <v>1905</v>
      </c>
      <c r="D266" s="132" t="s">
        <v>1024</v>
      </c>
      <c r="E266" s="147">
        <v>202500048758</v>
      </c>
      <c r="F266" s="135">
        <v>45722</v>
      </c>
      <c r="G266" s="45"/>
      <c r="H266" s="136"/>
      <c r="I266" s="136">
        <v>673848</v>
      </c>
      <c r="J266" s="137" t="s">
        <v>1025</v>
      </c>
      <c r="K266" s="137"/>
      <c r="L266" s="148">
        <f t="shared" si="33"/>
        <v>673848</v>
      </c>
      <c r="M266" s="122">
        <f t="shared" si="24"/>
        <v>0</v>
      </c>
      <c r="N266" s="137"/>
      <c r="O266" s="149" t="b">
        <f t="shared" si="25"/>
        <v>1</v>
      </c>
      <c r="P266" s="149">
        <f t="shared" si="26"/>
        <v>0</v>
      </c>
      <c r="Q266" s="149" t="b">
        <f t="shared" si="27"/>
        <v>0</v>
      </c>
      <c r="R266" s="149">
        <f t="shared" si="28"/>
        <v>0</v>
      </c>
      <c r="S266" s="144"/>
      <c r="T266" s="143">
        <v>45722</v>
      </c>
      <c r="U266" s="144">
        <v>202500048758</v>
      </c>
      <c r="V266" s="144">
        <v>0</v>
      </c>
      <c r="W266" s="144" t="s">
        <v>1071</v>
      </c>
      <c r="X266" s="144" t="s">
        <v>1801</v>
      </c>
      <c r="Y266" s="144" t="s">
        <v>1802</v>
      </c>
      <c r="Z266" s="145">
        <v>7412328</v>
      </c>
      <c r="AA266" s="145">
        <v>6738480</v>
      </c>
      <c r="AB266" s="144">
        <v>0</v>
      </c>
      <c r="AC266" s="144" t="s">
        <v>1022</v>
      </c>
      <c r="AD266" s="145">
        <v>673848</v>
      </c>
      <c r="AE266" s="144">
        <v>0</v>
      </c>
      <c r="AF266" s="146">
        <v>0</v>
      </c>
      <c r="AG266" s="70">
        <v>0</v>
      </c>
      <c r="AH266" s="70">
        <v>0</v>
      </c>
      <c r="AI266" s="70">
        <v>0</v>
      </c>
      <c r="AJ266" s="70">
        <v>0</v>
      </c>
      <c r="AK266" s="70">
        <v>0</v>
      </c>
      <c r="AL266" s="70">
        <v>0.01</v>
      </c>
      <c r="AM266" s="70">
        <v>0</v>
      </c>
      <c r="AN266" s="70" t="s">
        <v>1826</v>
      </c>
    </row>
    <row r="267" spans="1:41">
      <c r="A267" s="132">
        <f t="shared" ref="A267:A330" si="34">A266+1</f>
        <v>259</v>
      </c>
      <c r="B267" s="133" t="s">
        <v>1072</v>
      </c>
      <c r="C267" s="133" t="s">
        <v>1906</v>
      </c>
      <c r="D267" s="132" t="s">
        <v>1036</v>
      </c>
      <c r="E267" s="147" t="s">
        <v>1279</v>
      </c>
      <c r="F267" s="135">
        <v>45720</v>
      </c>
      <c r="G267" s="45"/>
      <c r="H267" s="136"/>
      <c r="I267" s="136">
        <v>4017018</v>
      </c>
      <c r="J267" s="137" t="s">
        <v>1025</v>
      </c>
      <c r="K267" s="137"/>
      <c r="L267" s="148">
        <f t="shared" si="33"/>
        <v>4017018</v>
      </c>
      <c r="M267" s="122">
        <f t="shared" si="24"/>
        <v>0</v>
      </c>
      <c r="N267" s="137"/>
      <c r="O267" s="149" t="b">
        <f t="shared" si="25"/>
        <v>1</v>
      </c>
      <c r="P267" s="149">
        <f t="shared" si="26"/>
        <v>0</v>
      </c>
      <c r="Q267" s="149" t="b">
        <f t="shared" si="27"/>
        <v>0</v>
      </c>
      <c r="R267" s="149">
        <f t="shared" si="28"/>
        <v>0</v>
      </c>
      <c r="S267" s="144"/>
      <c r="T267" s="143">
        <v>45720</v>
      </c>
      <c r="U267" s="144" t="s">
        <v>1279</v>
      </c>
      <c r="V267" s="144">
        <v>0</v>
      </c>
      <c r="W267" s="144" t="s">
        <v>1071</v>
      </c>
      <c r="X267" s="144" t="s">
        <v>1801</v>
      </c>
      <c r="Y267" s="144" t="s">
        <v>1802</v>
      </c>
      <c r="Z267" s="145">
        <v>44187198</v>
      </c>
      <c r="AA267" s="145">
        <v>40170180</v>
      </c>
      <c r="AB267" s="144">
        <v>0</v>
      </c>
      <c r="AC267" s="144" t="s">
        <v>1022</v>
      </c>
      <c r="AD267" s="145">
        <v>4017018</v>
      </c>
      <c r="AE267" s="144">
        <v>0</v>
      </c>
      <c r="AF267" s="146">
        <v>0</v>
      </c>
      <c r="AG267" s="70">
        <v>0</v>
      </c>
      <c r="AH267" s="70">
        <v>0</v>
      </c>
      <c r="AI267" s="70">
        <v>0</v>
      </c>
      <c r="AJ267" s="70">
        <v>0</v>
      </c>
      <c r="AK267" s="70">
        <v>0</v>
      </c>
      <c r="AL267" s="70">
        <v>0.01</v>
      </c>
      <c r="AM267" s="70">
        <v>0</v>
      </c>
      <c r="AN267" s="70" t="s">
        <v>1854</v>
      </c>
    </row>
    <row r="268" spans="1:41">
      <c r="A268" s="132">
        <f t="shared" si="34"/>
        <v>260</v>
      </c>
      <c r="B268" s="133" t="s">
        <v>1765</v>
      </c>
      <c r="C268" s="133" t="s">
        <v>1904</v>
      </c>
      <c r="D268" s="132" t="s">
        <v>1698</v>
      </c>
      <c r="E268" s="147" t="s">
        <v>1280</v>
      </c>
      <c r="F268" s="135">
        <v>45722</v>
      </c>
      <c r="G268" s="45"/>
      <c r="H268" s="136"/>
      <c r="I268" s="136">
        <v>4684046</v>
      </c>
      <c r="J268" s="137" t="s">
        <v>1025</v>
      </c>
      <c r="K268" s="137"/>
      <c r="L268" s="148">
        <f t="shared" si="33"/>
        <v>4684046</v>
      </c>
      <c r="M268" s="122">
        <f t="shared" si="24"/>
        <v>0</v>
      </c>
      <c r="N268" s="137"/>
      <c r="O268" s="149" t="b">
        <f t="shared" si="25"/>
        <v>1</v>
      </c>
      <c r="P268" s="149">
        <f t="shared" si="26"/>
        <v>0</v>
      </c>
      <c r="Q268" s="149" t="b">
        <f t="shared" si="27"/>
        <v>0</v>
      </c>
      <c r="R268" s="149">
        <f t="shared" si="28"/>
        <v>0</v>
      </c>
      <c r="S268" s="144"/>
      <c r="T268" s="143">
        <v>45722</v>
      </c>
      <c r="U268" s="144" t="s">
        <v>1280</v>
      </c>
      <c r="V268" s="144">
        <v>0</v>
      </c>
      <c r="W268" s="144" t="s">
        <v>1071</v>
      </c>
      <c r="X268" s="144" t="s">
        <v>1801</v>
      </c>
      <c r="Y268" s="144" t="s">
        <v>1802</v>
      </c>
      <c r="Z268" s="145">
        <v>51524504</v>
      </c>
      <c r="AA268" s="145">
        <v>46840458</v>
      </c>
      <c r="AB268" s="144">
        <v>0</v>
      </c>
      <c r="AC268" s="144" t="s">
        <v>1022</v>
      </c>
      <c r="AD268" s="145">
        <v>4684046</v>
      </c>
      <c r="AE268" s="144">
        <v>0</v>
      </c>
      <c r="AF268" s="146">
        <v>0</v>
      </c>
      <c r="AG268" s="70">
        <v>0</v>
      </c>
      <c r="AH268" s="70">
        <v>0</v>
      </c>
      <c r="AI268" s="70">
        <v>0</v>
      </c>
      <c r="AJ268" s="70">
        <v>0</v>
      </c>
      <c r="AK268" s="70">
        <v>0</v>
      </c>
      <c r="AL268" s="70">
        <v>0.01</v>
      </c>
      <c r="AM268" s="70">
        <v>0</v>
      </c>
      <c r="AN268" s="70" t="s">
        <v>1807</v>
      </c>
    </row>
    <row r="269" spans="1:41">
      <c r="A269" s="132">
        <f t="shared" si="34"/>
        <v>261</v>
      </c>
      <c r="B269" s="133" t="s">
        <v>1764</v>
      </c>
      <c r="C269" s="133" t="s">
        <v>1905</v>
      </c>
      <c r="D269" s="132" t="s">
        <v>1024</v>
      </c>
      <c r="E269" s="147">
        <v>202500047536</v>
      </c>
      <c r="F269" s="135">
        <v>45721</v>
      </c>
      <c r="G269" s="45"/>
      <c r="H269" s="136"/>
      <c r="I269" s="136">
        <v>174479</v>
      </c>
      <c r="J269" s="137" t="s">
        <v>1025</v>
      </c>
      <c r="K269" s="137"/>
      <c r="L269" s="148">
        <f t="shared" si="33"/>
        <v>174479</v>
      </c>
      <c r="M269" s="122">
        <f t="shared" si="24"/>
        <v>0</v>
      </c>
      <c r="N269" s="137"/>
      <c r="O269" s="149" t="b">
        <f t="shared" si="25"/>
        <v>1</v>
      </c>
      <c r="P269" s="149">
        <f t="shared" si="26"/>
        <v>0</v>
      </c>
      <c r="Q269" s="149" t="b">
        <f t="shared" si="27"/>
        <v>0</v>
      </c>
      <c r="R269" s="149">
        <f t="shared" si="28"/>
        <v>0</v>
      </c>
      <c r="S269" s="144"/>
      <c r="T269" s="143">
        <v>45721</v>
      </c>
      <c r="U269" s="144">
        <v>202500047536</v>
      </c>
      <c r="V269" s="144">
        <v>0</v>
      </c>
      <c r="W269" s="144" t="s">
        <v>1071</v>
      </c>
      <c r="X269" s="144" t="s">
        <v>1801</v>
      </c>
      <c r="Y269" s="144" t="s">
        <v>1802</v>
      </c>
      <c r="Z269" s="145">
        <v>1919264</v>
      </c>
      <c r="AA269" s="145">
        <v>1744785</v>
      </c>
      <c r="AB269" s="144">
        <v>0</v>
      </c>
      <c r="AC269" s="144" t="s">
        <v>1022</v>
      </c>
      <c r="AD269" s="145">
        <v>174479</v>
      </c>
      <c r="AE269" s="144">
        <v>0</v>
      </c>
      <c r="AF269" s="146">
        <v>0</v>
      </c>
      <c r="AG269" s="70">
        <v>0</v>
      </c>
      <c r="AH269" s="70">
        <v>0</v>
      </c>
      <c r="AI269" s="70">
        <v>0</v>
      </c>
      <c r="AJ269" s="70">
        <v>0</v>
      </c>
      <c r="AK269" s="70">
        <v>0</v>
      </c>
      <c r="AL269" s="70">
        <v>0.01</v>
      </c>
      <c r="AM269" s="70">
        <v>0</v>
      </c>
      <c r="AN269" s="70" t="s">
        <v>1826</v>
      </c>
    </row>
    <row r="270" spans="1:41">
      <c r="A270" s="132">
        <f t="shared" si="34"/>
        <v>262</v>
      </c>
      <c r="B270" s="133" t="s">
        <v>1765</v>
      </c>
      <c r="C270" s="133" t="s">
        <v>1904</v>
      </c>
      <c r="D270" s="132" t="s">
        <v>1698</v>
      </c>
      <c r="E270" s="147" t="s">
        <v>1281</v>
      </c>
      <c r="F270" s="135">
        <v>45737</v>
      </c>
      <c r="G270" s="45"/>
      <c r="H270" s="136"/>
      <c r="I270" s="136">
        <v>2162700</v>
      </c>
      <c r="J270" s="137" t="s">
        <v>1025</v>
      </c>
      <c r="K270" s="137"/>
      <c r="L270" s="148">
        <f t="shared" si="33"/>
        <v>2162700</v>
      </c>
      <c r="M270" s="122">
        <f t="shared" si="24"/>
        <v>0</v>
      </c>
      <c r="N270" s="137"/>
      <c r="O270" s="149" t="b">
        <f t="shared" si="25"/>
        <v>1</v>
      </c>
      <c r="P270" s="149">
        <f t="shared" si="26"/>
        <v>0</v>
      </c>
      <c r="Q270" s="149" t="b">
        <f t="shared" si="27"/>
        <v>0</v>
      </c>
      <c r="R270" s="149">
        <f t="shared" si="28"/>
        <v>0</v>
      </c>
      <c r="S270" s="144"/>
      <c r="T270" s="143">
        <v>45737</v>
      </c>
      <c r="U270" s="144" t="s">
        <v>1281</v>
      </c>
      <c r="V270" s="144">
        <v>0</v>
      </c>
      <c r="W270" s="144" t="s">
        <v>1071</v>
      </c>
      <c r="X270" s="144" t="s">
        <v>1801</v>
      </c>
      <c r="Y270" s="144" t="s">
        <v>1802</v>
      </c>
      <c r="Z270" s="145">
        <v>23789700</v>
      </c>
      <c r="AA270" s="145">
        <v>21627000</v>
      </c>
      <c r="AB270" s="144">
        <v>0</v>
      </c>
      <c r="AC270" s="144" t="s">
        <v>1022</v>
      </c>
      <c r="AD270" s="145">
        <v>2162700</v>
      </c>
      <c r="AE270" s="144">
        <v>0</v>
      </c>
      <c r="AF270" s="146">
        <v>0</v>
      </c>
      <c r="AG270" s="70">
        <v>0</v>
      </c>
      <c r="AH270" s="70">
        <v>0</v>
      </c>
      <c r="AI270" s="70">
        <v>0</v>
      </c>
      <c r="AJ270" s="70">
        <v>0</v>
      </c>
      <c r="AK270" s="70">
        <v>0</v>
      </c>
      <c r="AL270" s="70">
        <v>0.01</v>
      </c>
      <c r="AM270" s="70">
        <v>0</v>
      </c>
      <c r="AN270" s="70" t="s">
        <v>1807</v>
      </c>
    </row>
    <row r="271" spans="1:41">
      <c r="A271" s="132">
        <f t="shared" si="34"/>
        <v>263</v>
      </c>
      <c r="B271" s="133" t="s">
        <v>1764</v>
      </c>
      <c r="C271" s="133" t="s">
        <v>1905</v>
      </c>
      <c r="D271" s="132" t="s">
        <v>1024</v>
      </c>
      <c r="E271" s="147">
        <v>202500061144</v>
      </c>
      <c r="F271" s="135">
        <v>45737</v>
      </c>
      <c r="G271" s="45"/>
      <c r="H271" s="136"/>
      <c r="I271" s="136">
        <v>348435</v>
      </c>
      <c r="J271" s="137" t="s">
        <v>1025</v>
      </c>
      <c r="K271" s="137"/>
      <c r="L271" s="148">
        <f t="shared" si="33"/>
        <v>348435</v>
      </c>
      <c r="M271" s="122">
        <f t="shared" si="24"/>
        <v>0</v>
      </c>
      <c r="N271" s="137"/>
      <c r="O271" s="149" t="b">
        <f t="shared" si="25"/>
        <v>1</v>
      </c>
      <c r="P271" s="149">
        <f t="shared" si="26"/>
        <v>0</v>
      </c>
      <c r="Q271" s="149" t="b">
        <f t="shared" si="27"/>
        <v>0</v>
      </c>
      <c r="R271" s="149">
        <f t="shared" si="28"/>
        <v>0</v>
      </c>
      <c r="S271" s="144" t="s">
        <v>1046</v>
      </c>
      <c r="T271" s="143">
        <v>45737</v>
      </c>
      <c r="U271" s="144">
        <v>202500061144</v>
      </c>
      <c r="V271" s="144">
        <v>0</v>
      </c>
      <c r="W271" s="144" t="s">
        <v>1071</v>
      </c>
      <c r="X271" s="144" t="s">
        <v>1801</v>
      </c>
      <c r="Y271" s="144" t="s">
        <v>1802</v>
      </c>
      <c r="Z271" s="145">
        <v>3832785</v>
      </c>
      <c r="AA271" s="145">
        <v>3484350</v>
      </c>
      <c r="AB271" s="144">
        <v>0</v>
      </c>
      <c r="AC271" s="144" t="s">
        <v>1022</v>
      </c>
      <c r="AD271" s="145">
        <v>348435</v>
      </c>
      <c r="AE271" s="144">
        <v>0</v>
      </c>
      <c r="AF271" s="146">
        <v>0</v>
      </c>
      <c r="AG271" s="70">
        <v>0</v>
      </c>
      <c r="AH271" s="70">
        <v>0</v>
      </c>
      <c r="AI271" s="70">
        <v>0</v>
      </c>
      <c r="AJ271" s="70">
        <v>0</v>
      </c>
      <c r="AK271" s="70">
        <v>0</v>
      </c>
      <c r="AL271" s="70">
        <v>0.01</v>
      </c>
      <c r="AM271" s="70">
        <v>0</v>
      </c>
      <c r="AN271" s="70" t="s">
        <v>1826</v>
      </c>
    </row>
    <row r="272" spans="1:41">
      <c r="A272" s="132">
        <f t="shared" si="34"/>
        <v>264</v>
      </c>
      <c r="B272" s="133" t="s">
        <v>1732</v>
      </c>
      <c r="C272" s="133" t="s">
        <v>1920</v>
      </c>
      <c r="D272" s="132" t="s">
        <v>1038</v>
      </c>
      <c r="E272" s="147">
        <v>7676087446</v>
      </c>
      <c r="F272" s="135">
        <v>45617</v>
      </c>
      <c r="G272" s="45"/>
      <c r="H272" s="136"/>
      <c r="I272" s="136">
        <v>195649</v>
      </c>
      <c r="J272" s="137" t="s">
        <v>1025</v>
      </c>
      <c r="K272" s="137"/>
      <c r="L272" s="148">
        <f t="shared" si="33"/>
        <v>195649</v>
      </c>
      <c r="M272" s="122">
        <f t="shared" si="24"/>
        <v>0</v>
      </c>
      <c r="N272" s="137"/>
      <c r="O272" s="149" t="b">
        <f t="shared" si="25"/>
        <v>1</v>
      </c>
      <c r="P272" s="149">
        <f t="shared" si="26"/>
        <v>0</v>
      </c>
      <c r="Q272" s="149" t="b">
        <f t="shared" si="27"/>
        <v>0</v>
      </c>
      <c r="R272" s="149">
        <f t="shared" si="28"/>
        <v>0</v>
      </c>
      <c r="S272" s="144"/>
      <c r="T272" s="143">
        <v>45617</v>
      </c>
      <c r="U272" s="144">
        <v>7676087446</v>
      </c>
      <c r="V272" s="144">
        <v>0</v>
      </c>
      <c r="W272" s="144" t="s">
        <v>1071</v>
      </c>
      <c r="X272" s="144" t="s">
        <v>1801</v>
      </c>
      <c r="Y272" s="144" t="s">
        <v>1802</v>
      </c>
      <c r="Z272" s="145">
        <v>2152139</v>
      </c>
      <c r="AA272" s="145">
        <v>1956490</v>
      </c>
      <c r="AB272" s="144">
        <v>0</v>
      </c>
      <c r="AC272" s="144" t="s">
        <v>1022</v>
      </c>
      <c r="AD272" s="145">
        <v>195649</v>
      </c>
      <c r="AE272" s="144">
        <v>0</v>
      </c>
      <c r="AF272" s="146">
        <v>0</v>
      </c>
      <c r="AG272" s="70">
        <v>0</v>
      </c>
      <c r="AH272" s="70">
        <v>0</v>
      </c>
      <c r="AI272" s="70">
        <v>0</v>
      </c>
      <c r="AJ272" s="70">
        <v>0</v>
      </c>
      <c r="AK272" s="70">
        <v>0</v>
      </c>
      <c r="AL272" s="70">
        <v>0.01</v>
      </c>
      <c r="AM272" s="70">
        <v>0</v>
      </c>
      <c r="AN272" s="70" t="s">
        <v>1855</v>
      </c>
      <c r="AO272" s="70" t="s">
        <v>1804</v>
      </c>
    </row>
    <row r="273" spans="1:41">
      <c r="A273" s="132">
        <f t="shared" si="34"/>
        <v>265</v>
      </c>
      <c r="B273" s="133" t="s">
        <v>1764</v>
      </c>
      <c r="C273" s="133" t="s">
        <v>1905</v>
      </c>
      <c r="D273" s="132" t="s">
        <v>1024</v>
      </c>
      <c r="E273" s="147">
        <v>202500068614</v>
      </c>
      <c r="F273" s="135">
        <v>45747</v>
      </c>
      <c r="G273" s="45"/>
      <c r="H273" s="136"/>
      <c r="I273" s="136">
        <v>452400</v>
      </c>
      <c r="J273" s="137" t="s">
        <v>1025</v>
      </c>
      <c r="K273" s="137"/>
      <c r="L273" s="148">
        <f t="shared" si="33"/>
        <v>452400</v>
      </c>
      <c r="M273" s="122">
        <f t="shared" si="24"/>
        <v>0</v>
      </c>
      <c r="N273" s="137"/>
      <c r="O273" s="149" t="b">
        <f t="shared" si="25"/>
        <v>1</v>
      </c>
      <c r="P273" s="149">
        <f t="shared" si="26"/>
        <v>0</v>
      </c>
      <c r="Q273" s="149" t="b">
        <f t="shared" si="27"/>
        <v>0</v>
      </c>
      <c r="R273" s="149">
        <f t="shared" si="28"/>
        <v>0</v>
      </c>
      <c r="S273" s="144"/>
      <c r="T273" s="143">
        <v>45747</v>
      </c>
      <c r="U273" s="144">
        <v>202500068614</v>
      </c>
      <c r="V273" s="144">
        <v>0</v>
      </c>
      <c r="W273" s="144" t="s">
        <v>1071</v>
      </c>
      <c r="X273" s="144" t="s">
        <v>1801</v>
      </c>
      <c r="Y273" s="144" t="s">
        <v>1802</v>
      </c>
      <c r="Z273" s="145">
        <v>4976400</v>
      </c>
      <c r="AA273" s="145">
        <v>4524000</v>
      </c>
      <c r="AB273" s="144">
        <v>0</v>
      </c>
      <c r="AC273" s="144" t="s">
        <v>1022</v>
      </c>
      <c r="AD273" s="145">
        <v>452400</v>
      </c>
      <c r="AE273" s="144">
        <v>0</v>
      </c>
      <c r="AF273" s="146">
        <v>0</v>
      </c>
      <c r="AG273" s="70">
        <v>0</v>
      </c>
      <c r="AH273" s="70">
        <v>0</v>
      </c>
      <c r="AI273" s="70">
        <v>0</v>
      </c>
      <c r="AJ273" s="70">
        <v>0</v>
      </c>
      <c r="AK273" s="70">
        <v>0</v>
      </c>
      <c r="AL273" s="70">
        <v>0.01</v>
      </c>
      <c r="AM273" s="70">
        <v>0</v>
      </c>
      <c r="AN273" s="70" t="s">
        <v>1826</v>
      </c>
    </row>
    <row r="274" spans="1:41">
      <c r="A274" s="132">
        <f t="shared" si="34"/>
        <v>266</v>
      </c>
      <c r="B274" s="133" t="s">
        <v>1072</v>
      </c>
      <c r="C274" s="133" t="s">
        <v>1906</v>
      </c>
      <c r="D274" s="132" t="s">
        <v>1036</v>
      </c>
      <c r="E274" s="147" t="s">
        <v>1282</v>
      </c>
      <c r="F274" s="135">
        <v>45742</v>
      </c>
      <c r="G274" s="45"/>
      <c r="H274" s="136"/>
      <c r="I274" s="136">
        <v>2730046</v>
      </c>
      <c r="J274" s="137" t="s">
        <v>1025</v>
      </c>
      <c r="K274" s="137"/>
      <c r="L274" s="148">
        <f t="shared" si="33"/>
        <v>2730046</v>
      </c>
      <c r="M274" s="122">
        <f t="shared" si="24"/>
        <v>0</v>
      </c>
      <c r="N274" s="137"/>
      <c r="O274" s="149" t="b">
        <f t="shared" si="25"/>
        <v>1</v>
      </c>
      <c r="P274" s="149">
        <f t="shared" si="26"/>
        <v>0</v>
      </c>
      <c r="Q274" s="149" t="b">
        <f t="shared" si="27"/>
        <v>0</v>
      </c>
      <c r="R274" s="149">
        <f t="shared" si="28"/>
        <v>0</v>
      </c>
      <c r="S274" s="144"/>
      <c r="T274" s="143">
        <v>45742</v>
      </c>
      <c r="U274" s="144" t="s">
        <v>1282</v>
      </c>
      <c r="V274" s="144">
        <v>0</v>
      </c>
      <c r="W274" s="144" t="s">
        <v>1071</v>
      </c>
      <c r="X274" s="144" t="s">
        <v>1801</v>
      </c>
      <c r="Y274" s="144" t="s">
        <v>1802</v>
      </c>
      <c r="Z274" s="145">
        <v>30030506</v>
      </c>
      <c r="AA274" s="145">
        <v>27300460</v>
      </c>
      <c r="AB274" s="144">
        <v>0</v>
      </c>
      <c r="AC274" s="144" t="s">
        <v>1022</v>
      </c>
      <c r="AD274" s="145">
        <v>2730046</v>
      </c>
      <c r="AE274" s="144">
        <v>0</v>
      </c>
      <c r="AF274" s="146">
        <v>0</v>
      </c>
      <c r="AG274" s="70">
        <v>0</v>
      </c>
      <c r="AH274" s="70">
        <v>0</v>
      </c>
      <c r="AI274" s="70">
        <v>0</v>
      </c>
      <c r="AJ274" s="70">
        <v>0</v>
      </c>
      <c r="AK274" s="70">
        <v>0</v>
      </c>
      <c r="AL274" s="70">
        <v>0.01</v>
      </c>
      <c r="AM274" s="70">
        <v>0</v>
      </c>
      <c r="AN274" s="70" t="s">
        <v>1856</v>
      </c>
    </row>
    <row r="275" spans="1:41">
      <c r="A275" s="132">
        <f t="shared" si="34"/>
        <v>267</v>
      </c>
      <c r="B275" s="133" t="s">
        <v>1766</v>
      </c>
      <c r="C275" s="133" t="s">
        <v>1920</v>
      </c>
      <c r="D275" s="132" t="s">
        <v>1038</v>
      </c>
      <c r="E275" s="147">
        <v>7676087456</v>
      </c>
      <c r="F275" s="135">
        <v>45617</v>
      </c>
      <c r="G275" s="45"/>
      <c r="H275" s="136"/>
      <c r="I275" s="136">
        <v>1393747</v>
      </c>
      <c r="J275" s="137" t="s">
        <v>1025</v>
      </c>
      <c r="K275" s="137"/>
      <c r="L275" s="148">
        <f t="shared" si="33"/>
        <v>1393747</v>
      </c>
      <c r="M275" s="122">
        <f t="shared" si="24"/>
        <v>0</v>
      </c>
      <c r="N275" s="137"/>
      <c r="O275" s="149" t="b">
        <f t="shared" si="25"/>
        <v>1</v>
      </c>
      <c r="P275" s="149">
        <f t="shared" si="26"/>
        <v>0</v>
      </c>
      <c r="Q275" s="149" t="b">
        <f t="shared" si="27"/>
        <v>0</v>
      </c>
      <c r="R275" s="149">
        <f t="shared" si="28"/>
        <v>0</v>
      </c>
      <c r="S275" s="144"/>
      <c r="T275" s="143">
        <v>45617</v>
      </c>
      <c r="U275" s="144">
        <v>7676087456</v>
      </c>
      <c r="V275" s="144">
        <v>0</v>
      </c>
      <c r="W275" s="144" t="s">
        <v>1071</v>
      </c>
      <c r="X275" s="144" t="s">
        <v>1801</v>
      </c>
      <c r="Y275" s="144" t="s">
        <v>1802</v>
      </c>
      <c r="Z275" s="145">
        <v>15331217</v>
      </c>
      <c r="AA275" s="145">
        <v>13937470</v>
      </c>
      <c r="AB275" s="144">
        <v>0</v>
      </c>
      <c r="AC275" s="144" t="s">
        <v>1022</v>
      </c>
      <c r="AD275" s="145">
        <v>1393747</v>
      </c>
      <c r="AE275" s="144">
        <v>0</v>
      </c>
      <c r="AF275" s="146">
        <v>0</v>
      </c>
      <c r="AG275" s="70">
        <v>0</v>
      </c>
      <c r="AH275" s="70">
        <v>0</v>
      </c>
      <c r="AI275" s="70">
        <v>0</v>
      </c>
      <c r="AJ275" s="70">
        <v>0</v>
      </c>
      <c r="AK275" s="70">
        <v>0</v>
      </c>
      <c r="AL275" s="70">
        <v>0.01</v>
      </c>
      <c r="AM275" s="70">
        <v>0</v>
      </c>
      <c r="AN275" s="70" t="s">
        <v>1855</v>
      </c>
      <c r="AO275" s="70" t="s">
        <v>1804</v>
      </c>
    </row>
    <row r="276" spans="1:41">
      <c r="A276" s="132">
        <f t="shared" si="34"/>
        <v>268</v>
      </c>
      <c r="B276" s="133" t="s">
        <v>1732</v>
      </c>
      <c r="C276" s="133" t="s">
        <v>1920</v>
      </c>
      <c r="D276" s="132" t="s">
        <v>1038</v>
      </c>
      <c r="E276" s="147">
        <v>7676087497</v>
      </c>
      <c r="F276" s="135">
        <v>45617</v>
      </c>
      <c r="G276" s="45"/>
      <c r="H276" s="136"/>
      <c r="I276" s="136">
        <v>195649</v>
      </c>
      <c r="J276" s="137" t="s">
        <v>1025</v>
      </c>
      <c r="K276" s="137"/>
      <c r="L276" s="148">
        <f t="shared" si="33"/>
        <v>195649</v>
      </c>
      <c r="M276" s="122">
        <f t="shared" si="24"/>
        <v>0</v>
      </c>
      <c r="N276" s="137"/>
      <c r="O276" s="149" t="b">
        <f t="shared" si="25"/>
        <v>1</v>
      </c>
      <c r="P276" s="149">
        <f t="shared" si="26"/>
        <v>0</v>
      </c>
      <c r="Q276" s="149" t="b">
        <f t="shared" si="27"/>
        <v>0</v>
      </c>
      <c r="R276" s="149">
        <f t="shared" si="28"/>
        <v>0</v>
      </c>
      <c r="S276" s="144"/>
      <c r="T276" s="143">
        <v>45617</v>
      </c>
      <c r="U276" s="144">
        <v>7676087497</v>
      </c>
      <c r="V276" s="144">
        <v>0</v>
      </c>
      <c r="W276" s="144" t="s">
        <v>1071</v>
      </c>
      <c r="X276" s="144" t="s">
        <v>1801</v>
      </c>
      <c r="Y276" s="144" t="s">
        <v>1802</v>
      </c>
      <c r="Z276" s="145">
        <v>2152139</v>
      </c>
      <c r="AA276" s="145">
        <v>1956490</v>
      </c>
      <c r="AB276" s="144">
        <v>0</v>
      </c>
      <c r="AC276" s="144" t="s">
        <v>1022</v>
      </c>
      <c r="AD276" s="145">
        <v>195649</v>
      </c>
      <c r="AE276" s="144">
        <v>0</v>
      </c>
      <c r="AF276" s="146">
        <v>0</v>
      </c>
      <c r="AG276" s="70">
        <v>0</v>
      </c>
      <c r="AH276" s="70">
        <v>0</v>
      </c>
      <c r="AI276" s="70">
        <v>0</v>
      </c>
      <c r="AJ276" s="70">
        <v>0</v>
      </c>
      <c r="AK276" s="70">
        <v>0</v>
      </c>
      <c r="AL276" s="70">
        <v>0.01</v>
      </c>
      <c r="AM276" s="70">
        <v>0</v>
      </c>
      <c r="AN276" s="70" t="s">
        <v>1855</v>
      </c>
      <c r="AO276" s="70" t="s">
        <v>1804</v>
      </c>
    </row>
    <row r="277" spans="1:41">
      <c r="A277" s="132">
        <f t="shared" si="34"/>
        <v>269</v>
      </c>
      <c r="B277" s="133" t="s">
        <v>1764</v>
      </c>
      <c r="C277" s="133" t="s">
        <v>1905</v>
      </c>
      <c r="D277" s="132" t="s">
        <v>1024</v>
      </c>
      <c r="E277" s="147">
        <v>202500065599</v>
      </c>
      <c r="F277" s="135">
        <v>45743</v>
      </c>
      <c r="G277" s="45"/>
      <c r="H277" s="136"/>
      <c r="I277" s="136">
        <v>136868</v>
      </c>
      <c r="J277" s="137" t="s">
        <v>1025</v>
      </c>
      <c r="K277" s="137"/>
      <c r="L277" s="148">
        <f t="shared" si="33"/>
        <v>136868</v>
      </c>
      <c r="M277" s="122">
        <f t="shared" si="24"/>
        <v>0</v>
      </c>
      <c r="N277" s="137"/>
      <c r="O277" s="149" t="b">
        <f t="shared" si="25"/>
        <v>1</v>
      </c>
      <c r="P277" s="149">
        <f t="shared" si="26"/>
        <v>0</v>
      </c>
      <c r="Q277" s="149" t="b">
        <f t="shared" si="27"/>
        <v>0</v>
      </c>
      <c r="R277" s="149">
        <f t="shared" si="28"/>
        <v>0</v>
      </c>
      <c r="S277" s="144"/>
      <c r="T277" s="143">
        <v>45743</v>
      </c>
      <c r="U277" s="144">
        <v>202500065599</v>
      </c>
      <c r="V277" s="144">
        <v>0</v>
      </c>
      <c r="W277" s="144" t="s">
        <v>1071</v>
      </c>
      <c r="X277" s="144" t="s">
        <v>1801</v>
      </c>
      <c r="Y277" s="144" t="s">
        <v>1802</v>
      </c>
      <c r="Z277" s="145">
        <v>1505552</v>
      </c>
      <c r="AA277" s="145">
        <v>1368684</v>
      </c>
      <c r="AB277" s="144">
        <v>0</v>
      </c>
      <c r="AC277" s="144" t="s">
        <v>1022</v>
      </c>
      <c r="AD277" s="145">
        <v>136868</v>
      </c>
      <c r="AE277" s="144">
        <v>0</v>
      </c>
      <c r="AF277" s="146">
        <v>0</v>
      </c>
      <c r="AG277" s="70">
        <v>0</v>
      </c>
      <c r="AH277" s="70">
        <v>0</v>
      </c>
      <c r="AI277" s="70">
        <v>0</v>
      </c>
      <c r="AJ277" s="70">
        <v>0</v>
      </c>
      <c r="AK277" s="70">
        <v>0</v>
      </c>
      <c r="AL277" s="70">
        <v>0.01</v>
      </c>
      <c r="AM277" s="70">
        <v>0</v>
      </c>
      <c r="AN277" s="70" t="s">
        <v>1826</v>
      </c>
    </row>
    <row r="278" spans="1:41">
      <c r="A278" s="132">
        <f t="shared" si="34"/>
        <v>270</v>
      </c>
      <c r="B278" s="133" t="s">
        <v>1072</v>
      </c>
      <c r="C278" s="133" t="s">
        <v>1906</v>
      </c>
      <c r="D278" s="132" t="s">
        <v>1036</v>
      </c>
      <c r="E278" s="147" t="s">
        <v>1283</v>
      </c>
      <c r="F278" s="135">
        <v>45740</v>
      </c>
      <c r="G278" s="45"/>
      <c r="H278" s="136"/>
      <c r="I278" s="136">
        <v>745116</v>
      </c>
      <c r="J278" s="137" t="s">
        <v>1025</v>
      </c>
      <c r="K278" s="137"/>
      <c r="L278" s="148">
        <f t="shared" si="33"/>
        <v>745116</v>
      </c>
      <c r="M278" s="122">
        <f t="shared" si="24"/>
        <v>0</v>
      </c>
      <c r="N278" s="137"/>
      <c r="O278" s="149" t="b">
        <f t="shared" si="25"/>
        <v>1</v>
      </c>
      <c r="P278" s="149">
        <f t="shared" si="26"/>
        <v>0</v>
      </c>
      <c r="Q278" s="149" t="b">
        <f t="shared" si="27"/>
        <v>0</v>
      </c>
      <c r="R278" s="149">
        <f t="shared" si="28"/>
        <v>0</v>
      </c>
      <c r="S278" s="144"/>
      <c r="T278" s="143">
        <v>45740</v>
      </c>
      <c r="U278" s="144" t="s">
        <v>1283</v>
      </c>
      <c r="V278" s="144">
        <v>0</v>
      </c>
      <c r="W278" s="144" t="s">
        <v>1071</v>
      </c>
      <c r="X278" s="144" t="s">
        <v>1801</v>
      </c>
      <c r="Y278" s="144" t="s">
        <v>1802</v>
      </c>
      <c r="Z278" s="145">
        <v>8196276</v>
      </c>
      <c r="AA278" s="145">
        <v>7451160</v>
      </c>
      <c r="AB278" s="144">
        <v>0</v>
      </c>
      <c r="AC278" s="144" t="s">
        <v>1022</v>
      </c>
      <c r="AD278" s="145">
        <v>745116</v>
      </c>
      <c r="AE278" s="144">
        <v>0</v>
      </c>
      <c r="AF278" s="146">
        <v>0</v>
      </c>
      <c r="AG278" s="70">
        <v>0</v>
      </c>
      <c r="AH278" s="70">
        <v>0</v>
      </c>
      <c r="AI278" s="70">
        <v>0</v>
      </c>
      <c r="AJ278" s="70">
        <v>0</v>
      </c>
      <c r="AK278" s="70">
        <v>0</v>
      </c>
      <c r="AL278" s="70">
        <v>0.01</v>
      </c>
      <c r="AM278" s="70">
        <v>0</v>
      </c>
      <c r="AN278" s="70" t="s">
        <v>1857</v>
      </c>
    </row>
    <row r="279" spans="1:41">
      <c r="A279" s="132">
        <f t="shared" si="34"/>
        <v>271</v>
      </c>
      <c r="B279" s="133" t="s">
        <v>1765</v>
      </c>
      <c r="C279" s="133" t="s">
        <v>1904</v>
      </c>
      <c r="D279" s="132" t="s">
        <v>1698</v>
      </c>
      <c r="E279" s="147" t="s">
        <v>1284</v>
      </c>
      <c r="F279" s="135">
        <v>45743</v>
      </c>
      <c r="G279" s="45"/>
      <c r="H279" s="136"/>
      <c r="I279" s="136">
        <v>1488744</v>
      </c>
      <c r="J279" s="137" t="s">
        <v>1025</v>
      </c>
      <c r="K279" s="137"/>
      <c r="L279" s="148">
        <f t="shared" si="33"/>
        <v>1488744</v>
      </c>
      <c r="M279" s="122">
        <f t="shared" ref="M279:M342" si="35">I279-L279</f>
        <v>0</v>
      </c>
      <c r="N279" s="137"/>
      <c r="O279" s="149" t="b">
        <f t="shared" ref="O279:O342" si="36">U279=E279</f>
        <v>1</v>
      </c>
      <c r="P279" s="149">
        <f t="shared" ref="P279:P342" si="37">MONTH(F279)-MONTH(T279)</f>
        <v>0</v>
      </c>
      <c r="Q279" s="149" t="b">
        <f t="shared" ref="Q279:Q342" si="38">$B$5=X279</f>
        <v>0</v>
      </c>
      <c r="R279" s="149">
        <f t="shared" ref="R279:R342" si="39">I279-AD279</f>
        <v>0</v>
      </c>
      <c r="S279" s="144"/>
      <c r="T279" s="143">
        <v>45743</v>
      </c>
      <c r="U279" s="144" t="s">
        <v>1284</v>
      </c>
      <c r="V279" s="144">
        <v>0</v>
      </c>
      <c r="W279" s="144" t="s">
        <v>1071</v>
      </c>
      <c r="X279" s="144" t="s">
        <v>1801</v>
      </c>
      <c r="Y279" s="144" t="s">
        <v>1802</v>
      </c>
      <c r="Z279" s="145">
        <v>16376184</v>
      </c>
      <c r="AA279" s="145">
        <v>14887440</v>
      </c>
      <c r="AB279" s="144">
        <v>0</v>
      </c>
      <c r="AC279" s="144" t="s">
        <v>1022</v>
      </c>
      <c r="AD279" s="145">
        <v>1488744</v>
      </c>
      <c r="AE279" s="144">
        <v>0</v>
      </c>
      <c r="AF279" s="146">
        <v>0</v>
      </c>
      <c r="AG279" s="70">
        <v>0</v>
      </c>
      <c r="AH279" s="70">
        <v>0</v>
      </c>
      <c r="AI279" s="70">
        <v>0</v>
      </c>
      <c r="AJ279" s="70">
        <v>0</v>
      </c>
      <c r="AK279" s="70">
        <v>0</v>
      </c>
      <c r="AL279" s="70">
        <v>0.01</v>
      </c>
      <c r="AM279" s="70">
        <v>0</v>
      </c>
      <c r="AN279" s="70" t="s">
        <v>1807</v>
      </c>
    </row>
    <row r="280" spans="1:41">
      <c r="A280" s="132">
        <f t="shared" si="34"/>
        <v>272</v>
      </c>
      <c r="B280" s="133" t="s">
        <v>1767</v>
      </c>
      <c r="C280" s="133" t="s">
        <v>1904</v>
      </c>
      <c r="D280" s="132" t="s">
        <v>1698</v>
      </c>
      <c r="E280" s="147" t="s">
        <v>1285</v>
      </c>
      <c r="F280" s="135">
        <v>45719</v>
      </c>
      <c r="G280" s="45"/>
      <c r="H280" s="136"/>
      <c r="I280" s="136">
        <v>81824</v>
      </c>
      <c r="J280" s="137" t="s">
        <v>1025</v>
      </c>
      <c r="K280" s="137"/>
      <c r="L280" s="148">
        <f t="shared" si="33"/>
        <v>81824</v>
      </c>
      <c r="M280" s="122">
        <f t="shared" si="35"/>
        <v>0</v>
      </c>
      <c r="N280" s="137"/>
      <c r="O280" s="149" t="b">
        <f t="shared" si="36"/>
        <v>1</v>
      </c>
      <c r="P280" s="149">
        <f t="shared" si="37"/>
        <v>0</v>
      </c>
      <c r="Q280" s="149" t="b">
        <f t="shared" si="38"/>
        <v>0</v>
      </c>
      <c r="R280" s="149">
        <f t="shared" si="39"/>
        <v>0</v>
      </c>
      <c r="S280" s="144"/>
      <c r="T280" s="143">
        <v>45719</v>
      </c>
      <c r="U280" s="144" t="s">
        <v>1285</v>
      </c>
      <c r="V280" s="144">
        <v>0</v>
      </c>
      <c r="W280" s="144" t="s">
        <v>1071</v>
      </c>
      <c r="X280" s="144" t="s">
        <v>1801</v>
      </c>
      <c r="Y280" s="144" t="s">
        <v>1802</v>
      </c>
      <c r="Z280" s="145">
        <v>900068</v>
      </c>
      <c r="AA280" s="145">
        <v>818244</v>
      </c>
      <c r="AB280" s="144">
        <v>0</v>
      </c>
      <c r="AC280" s="144" t="s">
        <v>1022</v>
      </c>
      <c r="AD280" s="145">
        <v>81824</v>
      </c>
      <c r="AE280" s="144">
        <v>0</v>
      </c>
      <c r="AF280" s="146">
        <v>0</v>
      </c>
      <c r="AG280" s="70">
        <v>0</v>
      </c>
      <c r="AH280" s="70">
        <v>0</v>
      </c>
      <c r="AI280" s="70">
        <v>0</v>
      </c>
      <c r="AJ280" s="70">
        <v>0</v>
      </c>
      <c r="AK280" s="70">
        <v>0</v>
      </c>
      <c r="AL280" s="70">
        <v>0.01</v>
      </c>
      <c r="AM280" s="70">
        <v>0</v>
      </c>
      <c r="AN280" s="70" t="s">
        <v>1807</v>
      </c>
    </row>
    <row r="281" spans="1:41">
      <c r="A281" s="132">
        <f t="shared" si="34"/>
        <v>273</v>
      </c>
      <c r="B281" s="133" t="s">
        <v>1732</v>
      </c>
      <c r="C281" s="133" t="s">
        <v>1920</v>
      </c>
      <c r="D281" s="132" t="s">
        <v>1038</v>
      </c>
      <c r="E281" s="147">
        <v>7676087500</v>
      </c>
      <c r="F281" s="135">
        <v>45617</v>
      </c>
      <c r="G281" s="45"/>
      <c r="H281" s="136"/>
      <c r="I281" s="136">
        <v>195649</v>
      </c>
      <c r="J281" s="137" t="s">
        <v>1025</v>
      </c>
      <c r="K281" s="137"/>
      <c r="L281" s="148">
        <f t="shared" si="33"/>
        <v>195649</v>
      </c>
      <c r="M281" s="122">
        <f t="shared" si="35"/>
        <v>0</v>
      </c>
      <c r="N281" s="137"/>
      <c r="O281" s="149" t="b">
        <f t="shared" si="36"/>
        <v>1</v>
      </c>
      <c r="P281" s="149">
        <f t="shared" si="37"/>
        <v>0</v>
      </c>
      <c r="Q281" s="149" t="b">
        <f t="shared" si="38"/>
        <v>0</v>
      </c>
      <c r="R281" s="149">
        <f t="shared" si="39"/>
        <v>0</v>
      </c>
      <c r="S281" s="144"/>
      <c r="T281" s="143">
        <v>45617</v>
      </c>
      <c r="U281" s="144">
        <v>7676087500</v>
      </c>
      <c r="V281" s="144">
        <v>0</v>
      </c>
      <c r="W281" s="144" t="s">
        <v>1071</v>
      </c>
      <c r="X281" s="144" t="s">
        <v>1801</v>
      </c>
      <c r="Y281" s="144" t="s">
        <v>1802</v>
      </c>
      <c r="Z281" s="145">
        <v>2152139</v>
      </c>
      <c r="AA281" s="145">
        <v>1956490</v>
      </c>
      <c r="AB281" s="144">
        <v>0</v>
      </c>
      <c r="AC281" s="144" t="s">
        <v>1022</v>
      </c>
      <c r="AD281" s="145">
        <v>195649</v>
      </c>
      <c r="AE281" s="144">
        <v>0</v>
      </c>
      <c r="AF281" s="146">
        <v>0</v>
      </c>
      <c r="AG281" s="70">
        <v>0</v>
      </c>
      <c r="AH281" s="70">
        <v>0</v>
      </c>
      <c r="AI281" s="70">
        <v>0</v>
      </c>
      <c r="AJ281" s="70">
        <v>0</v>
      </c>
      <c r="AK281" s="70">
        <v>0</v>
      </c>
      <c r="AL281" s="70">
        <v>0.01</v>
      </c>
      <c r="AM281" s="70">
        <v>0</v>
      </c>
      <c r="AN281" s="70" t="s">
        <v>1855</v>
      </c>
      <c r="AO281" s="70" t="s">
        <v>1804</v>
      </c>
    </row>
    <row r="282" spans="1:41">
      <c r="A282" s="132">
        <f t="shared" si="34"/>
        <v>274</v>
      </c>
      <c r="B282" s="133" t="s">
        <v>1765</v>
      </c>
      <c r="C282" s="133" t="s">
        <v>1904</v>
      </c>
      <c r="D282" s="132" t="s">
        <v>1698</v>
      </c>
      <c r="E282" s="147" t="s">
        <v>1286</v>
      </c>
      <c r="F282" s="135">
        <v>45721</v>
      </c>
      <c r="G282" s="45"/>
      <c r="H282" s="136"/>
      <c r="I282" s="136">
        <v>1086981</v>
      </c>
      <c r="J282" s="137" t="s">
        <v>1025</v>
      </c>
      <c r="K282" s="137"/>
      <c r="L282" s="148">
        <f t="shared" si="33"/>
        <v>1086981</v>
      </c>
      <c r="M282" s="122">
        <f t="shared" si="35"/>
        <v>0</v>
      </c>
      <c r="N282" s="137"/>
      <c r="O282" s="149" t="b">
        <f t="shared" si="36"/>
        <v>1</v>
      </c>
      <c r="P282" s="149">
        <f t="shared" si="37"/>
        <v>0</v>
      </c>
      <c r="Q282" s="149" t="b">
        <f t="shared" si="38"/>
        <v>0</v>
      </c>
      <c r="R282" s="149">
        <f t="shared" si="39"/>
        <v>0</v>
      </c>
      <c r="S282" s="144"/>
      <c r="T282" s="143">
        <v>45721</v>
      </c>
      <c r="U282" s="144" t="s">
        <v>1286</v>
      </c>
      <c r="V282" s="144">
        <v>0</v>
      </c>
      <c r="W282" s="144" t="s">
        <v>1071</v>
      </c>
      <c r="X282" s="144" t="s">
        <v>1801</v>
      </c>
      <c r="Y282" s="144" t="s">
        <v>1802</v>
      </c>
      <c r="Z282" s="145">
        <v>11956791</v>
      </c>
      <c r="AA282" s="145">
        <v>10869810</v>
      </c>
      <c r="AB282" s="144">
        <v>0</v>
      </c>
      <c r="AC282" s="144" t="s">
        <v>1022</v>
      </c>
      <c r="AD282" s="145">
        <v>1086981</v>
      </c>
      <c r="AE282" s="144">
        <v>0</v>
      </c>
      <c r="AF282" s="146">
        <v>0</v>
      </c>
      <c r="AG282" s="70">
        <v>0</v>
      </c>
      <c r="AH282" s="70">
        <v>0</v>
      </c>
      <c r="AI282" s="70">
        <v>0</v>
      </c>
      <c r="AJ282" s="70">
        <v>0</v>
      </c>
      <c r="AK282" s="70">
        <v>0</v>
      </c>
      <c r="AL282" s="70">
        <v>0.01</v>
      </c>
      <c r="AM282" s="70">
        <v>0</v>
      </c>
      <c r="AN282" s="70" t="s">
        <v>1807</v>
      </c>
    </row>
    <row r="283" spans="1:41">
      <c r="A283" s="132">
        <f t="shared" si="34"/>
        <v>275</v>
      </c>
      <c r="B283" s="133" t="s">
        <v>1764</v>
      </c>
      <c r="C283" s="133" t="s">
        <v>1905</v>
      </c>
      <c r="D283" s="132" t="s">
        <v>1024</v>
      </c>
      <c r="E283" s="147">
        <v>202500045440</v>
      </c>
      <c r="F283" s="135">
        <v>45719</v>
      </c>
      <c r="G283" s="45"/>
      <c r="H283" s="136"/>
      <c r="I283" s="136">
        <v>174479</v>
      </c>
      <c r="J283" s="137" t="s">
        <v>1025</v>
      </c>
      <c r="K283" s="137"/>
      <c r="L283" s="148">
        <f t="shared" si="33"/>
        <v>174479</v>
      </c>
      <c r="M283" s="122">
        <f t="shared" si="35"/>
        <v>0</v>
      </c>
      <c r="N283" s="137"/>
      <c r="O283" s="149" t="b">
        <f t="shared" si="36"/>
        <v>1</v>
      </c>
      <c r="P283" s="149">
        <f t="shared" si="37"/>
        <v>0</v>
      </c>
      <c r="Q283" s="149" t="b">
        <f t="shared" si="38"/>
        <v>0</v>
      </c>
      <c r="R283" s="149">
        <f t="shared" si="39"/>
        <v>0</v>
      </c>
      <c r="S283" s="144"/>
      <c r="T283" s="143">
        <v>45719</v>
      </c>
      <c r="U283" s="144">
        <v>202500045440</v>
      </c>
      <c r="V283" s="144">
        <v>0</v>
      </c>
      <c r="W283" s="144" t="s">
        <v>1071</v>
      </c>
      <c r="X283" s="144" t="s">
        <v>1801</v>
      </c>
      <c r="Y283" s="144" t="s">
        <v>1802</v>
      </c>
      <c r="Z283" s="145">
        <v>1919264</v>
      </c>
      <c r="AA283" s="145">
        <v>1744785</v>
      </c>
      <c r="AB283" s="144">
        <v>0</v>
      </c>
      <c r="AC283" s="144" t="s">
        <v>1022</v>
      </c>
      <c r="AD283" s="145">
        <v>174479</v>
      </c>
      <c r="AE283" s="144">
        <v>0</v>
      </c>
      <c r="AF283" s="146">
        <v>0</v>
      </c>
      <c r="AG283" s="70">
        <v>0</v>
      </c>
      <c r="AH283" s="70">
        <v>0</v>
      </c>
      <c r="AI283" s="70">
        <v>0</v>
      </c>
      <c r="AJ283" s="70">
        <v>0</v>
      </c>
      <c r="AK283" s="70">
        <v>0</v>
      </c>
      <c r="AL283" s="70">
        <v>0.01</v>
      </c>
      <c r="AM283" s="70">
        <v>0</v>
      </c>
      <c r="AN283" s="70" t="s">
        <v>1826</v>
      </c>
    </row>
    <row r="284" spans="1:41">
      <c r="A284" s="132">
        <f t="shared" si="34"/>
        <v>276</v>
      </c>
      <c r="B284" s="133" t="s">
        <v>1765</v>
      </c>
      <c r="C284" s="133" t="s">
        <v>1904</v>
      </c>
      <c r="D284" s="132" t="s">
        <v>1698</v>
      </c>
      <c r="E284" s="147" t="s">
        <v>1287</v>
      </c>
      <c r="F284" s="135">
        <v>45719</v>
      </c>
      <c r="G284" s="45"/>
      <c r="H284" s="136"/>
      <c r="I284" s="136">
        <v>1086981</v>
      </c>
      <c r="J284" s="137" t="s">
        <v>1025</v>
      </c>
      <c r="K284" s="137"/>
      <c r="L284" s="148">
        <f t="shared" si="33"/>
        <v>1086981</v>
      </c>
      <c r="M284" s="122">
        <f t="shared" si="35"/>
        <v>0</v>
      </c>
      <c r="N284" s="137"/>
      <c r="O284" s="149" t="b">
        <f t="shared" si="36"/>
        <v>1</v>
      </c>
      <c r="P284" s="149">
        <f t="shared" si="37"/>
        <v>0</v>
      </c>
      <c r="Q284" s="149" t="b">
        <f t="shared" si="38"/>
        <v>0</v>
      </c>
      <c r="R284" s="149">
        <f t="shared" si="39"/>
        <v>0</v>
      </c>
      <c r="S284" s="144"/>
      <c r="T284" s="143">
        <v>45719</v>
      </c>
      <c r="U284" s="144" t="s">
        <v>1287</v>
      </c>
      <c r="V284" s="144">
        <v>0</v>
      </c>
      <c r="W284" s="144" t="s">
        <v>1071</v>
      </c>
      <c r="X284" s="144" t="s">
        <v>1801</v>
      </c>
      <c r="Y284" s="144" t="s">
        <v>1802</v>
      </c>
      <c r="Z284" s="145">
        <v>11956791</v>
      </c>
      <c r="AA284" s="145">
        <v>10869810</v>
      </c>
      <c r="AB284" s="144">
        <v>0</v>
      </c>
      <c r="AC284" s="144" t="s">
        <v>1022</v>
      </c>
      <c r="AD284" s="145">
        <v>1086981</v>
      </c>
      <c r="AE284" s="144">
        <v>0</v>
      </c>
      <c r="AF284" s="146">
        <v>0</v>
      </c>
      <c r="AG284" s="70">
        <v>0</v>
      </c>
      <c r="AH284" s="70">
        <v>0</v>
      </c>
      <c r="AI284" s="70">
        <v>0</v>
      </c>
      <c r="AJ284" s="70">
        <v>0</v>
      </c>
      <c r="AK284" s="70">
        <v>0</v>
      </c>
      <c r="AL284" s="70">
        <v>0.01</v>
      </c>
      <c r="AM284" s="70">
        <v>0</v>
      </c>
      <c r="AN284" s="70" t="s">
        <v>1807</v>
      </c>
    </row>
    <row r="285" spans="1:41">
      <c r="A285" s="132">
        <f t="shared" si="34"/>
        <v>277</v>
      </c>
      <c r="B285" s="133" t="s">
        <v>1768</v>
      </c>
      <c r="C285" s="133" t="s">
        <v>1905</v>
      </c>
      <c r="D285" s="132" t="s">
        <v>1024</v>
      </c>
      <c r="E285" s="147">
        <v>202500067030</v>
      </c>
      <c r="F285" s="135">
        <v>45742</v>
      </c>
      <c r="G285" s="45"/>
      <c r="H285" s="136"/>
      <c r="I285" s="136">
        <v>6805</v>
      </c>
      <c r="J285" s="137" t="s">
        <v>1025</v>
      </c>
      <c r="K285" s="137"/>
      <c r="L285" s="148">
        <f t="shared" si="33"/>
        <v>6805</v>
      </c>
      <c r="M285" s="122">
        <f t="shared" si="35"/>
        <v>0</v>
      </c>
      <c r="N285" s="137"/>
      <c r="O285" s="149" t="b">
        <f t="shared" si="36"/>
        <v>1</v>
      </c>
      <c r="P285" s="149">
        <f t="shared" si="37"/>
        <v>0</v>
      </c>
      <c r="Q285" s="149" t="b">
        <f t="shared" si="38"/>
        <v>0</v>
      </c>
      <c r="R285" s="149">
        <f t="shared" si="39"/>
        <v>0</v>
      </c>
      <c r="S285" s="144"/>
      <c r="T285" s="143">
        <v>45744</v>
      </c>
      <c r="U285" s="144">
        <v>202500067030</v>
      </c>
      <c r="V285" s="144">
        <v>0</v>
      </c>
      <c r="W285" s="144" t="s">
        <v>1071</v>
      </c>
      <c r="X285" s="144" t="s">
        <v>1801</v>
      </c>
      <c r="Y285" s="144" t="s">
        <v>1802</v>
      </c>
      <c r="Z285" s="145">
        <v>74856</v>
      </c>
      <c r="AA285" s="145">
        <v>68051</v>
      </c>
      <c r="AB285" s="144">
        <v>0</v>
      </c>
      <c r="AC285" s="144" t="s">
        <v>1022</v>
      </c>
      <c r="AD285" s="145">
        <v>6805</v>
      </c>
      <c r="AE285" s="144">
        <v>0</v>
      </c>
      <c r="AF285" s="146">
        <v>0</v>
      </c>
      <c r="AG285" s="70">
        <v>0</v>
      </c>
      <c r="AH285" s="70">
        <v>0</v>
      </c>
      <c r="AI285" s="70">
        <v>0</v>
      </c>
      <c r="AJ285" s="70">
        <v>0</v>
      </c>
      <c r="AK285" s="70">
        <v>0</v>
      </c>
      <c r="AL285" s="70">
        <v>0.01</v>
      </c>
      <c r="AM285" s="70">
        <v>0</v>
      </c>
      <c r="AN285" s="70" t="s">
        <v>1858</v>
      </c>
    </row>
    <row r="286" spans="1:41">
      <c r="A286" s="132">
        <f t="shared" si="34"/>
        <v>278</v>
      </c>
      <c r="B286" s="133" t="s">
        <v>1769</v>
      </c>
      <c r="C286" s="133" t="s">
        <v>1904</v>
      </c>
      <c r="D286" s="132" t="s">
        <v>1698</v>
      </c>
      <c r="E286" s="147" t="s">
        <v>1288</v>
      </c>
      <c r="F286" s="135">
        <v>45744</v>
      </c>
      <c r="G286" s="45"/>
      <c r="H286" s="136"/>
      <c r="I286" s="136">
        <v>195346</v>
      </c>
      <c r="J286" s="137" t="s">
        <v>1025</v>
      </c>
      <c r="K286" s="137"/>
      <c r="L286" s="148">
        <f t="shared" si="33"/>
        <v>195346</v>
      </c>
      <c r="M286" s="122">
        <f t="shared" si="35"/>
        <v>0</v>
      </c>
      <c r="N286" s="137"/>
      <c r="O286" s="149" t="b">
        <f t="shared" si="36"/>
        <v>1</v>
      </c>
      <c r="P286" s="149">
        <f t="shared" si="37"/>
        <v>0</v>
      </c>
      <c r="Q286" s="149" t="b">
        <f t="shared" si="38"/>
        <v>0</v>
      </c>
      <c r="R286" s="149">
        <f t="shared" si="39"/>
        <v>0</v>
      </c>
      <c r="S286" s="144"/>
      <c r="T286" s="143">
        <v>45744</v>
      </c>
      <c r="U286" s="144" t="s">
        <v>1288</v>
      </c>
      <c r="V286" s="144">
        <v>0</v>
      </c>
      <c r="W286" s="144" t="s">
        <v>1071</v>
      </c>
      <c r="X286" s="144" t="s">
        <v>1801</v>
      </c>
      <c r="Y286" s="144" t="s">
        <v>1802</v>
      </c>
      <c r="Z286" s="145">
        <v>2148810</v>
      </c>
      <c r="AA286" s="145">
        <v>1953464</v>
      </c>
      <c r="AB286" s="144">
        <v>0</v>
      </c>
      <c r="AC286" s="144" t="s">
        <v>1022</v>
      </c>
      <c r="AD286" s="145">
        <v>195346</v>
      </c>
      <c r="AE286" s="144">
        <v>0</v>
      </c>
      <c r="AF286" s="146">
        <v>0</v>
      </c>
      <c r="AG286" s="70">
        <v>0</v>
      </c>
      <c r="AH286" s="70">
        <v>0</v>
      </c>
      <c r="AI286" s="70">
        <v>0</v>
      </c>
      <c r="AJ286" s="70">
        <v>0</v>
      </c>
      <c r="AK286" s="70">
        <v>0</v>
      </c>
      <c r="AL286" s="70">
        <v>0.01</v>
      </c>
      <c r="AM286" s="70">
        <v>0</v>
      </c>
      <c r="AN286" s="70" t="s">
        <v>1807</v>
      </c>
    </row>
    <row r="287" spans="1:41">
      <c r="A287" s="132">
        <f t="shared" si="34"/>
        <v>279</v>
      </c>
      <c r="B287" s="133" t="s">
        <v>1768</v>
      </c>
      <c r="C287" s="133" t="s">
        <v>1905</v>
      </c>
      <c r="D287" s="132" t="s">
        <v>1024</v>
      </c>
      <c r="E287" s="147">
        <v>202500064528</v>
      </c>
      <c r="F287" s="135">
        <v>45742</v>
      </c>
      <c r="G287" s="45"/>
      <c r="H287" s="136"/>
      <c r="I287" s="136">
        <v>20415</v>
      </c>
      <c r="J287" s="137" t="s">
        <v>1025</v>
      </c>
      <c r="K287" s="137"/>
      <c r="L287" s="148">
        <f t="shared" si="33"/>
        <v>20415</v>
      </c>
      <c r="M287" s="122">
        <f t="shared" si="35"/>
        <v>0</v>
      </c>
      <c r="N287" s="137"/>
      <c r="O287" s="149" t="b">
        <f t="shared" si="36"/>
        <v>1</v>
      </c>
      <c r="P287" s="149">
        <f t="shared" si="37"/>
        <v>0</v>
      </c>
      <c r="Q287" s="149" t="b">
        <f t="shared" si="38"/>
        <v>0</v>
      </c>
      <c r="R287" s="149">
        <f t="shared" si="39"/>
        <v>0</v>
      </c>
      <c r="S287" s="144"/>
      <c r="T287" s="143">
        <v>45742</v>
      </c>
      <c r="U287" s="144">
        <v>202500064528</v>
      </c>
      <c r="V287" s="144">
        <v>0</v>
      </c>
      <c r="W287" s="144" t="s">
        <v>1071</v>
      </c>
      <c r="X287" s="144" t="s">
        <v>1801</v>
      </c>
      <c r="Y287" s="144" t="s">
        <v>1802</v>
      </c>
      <c r="Z287" s="145">
        <v>224568</v>
      </c>
      <c r="AA287" s="145">
        <v>204153</v>
      </c>
      <c r="AB287" s="144">
        <v>0</v>
      </c>
      <c r="AC287" s="144" t="s">
        <v>1022</v>
      </c>
      <c r="AD287" s="145">
        <v>20415</v>
      </c>
      <c r="AE287" s="144">
        <v>0</v>
      </c>
      <c r="AF287" s="146">
        <v>0</v>
      </c>
      <c r="AG287" s="70">
        <v>0</v>
      </c>
      <c r="AH287" s="70">
        <v>0</v>
      </c>
      <c r="AI287" s="70">
        <v>0</v>
      </c>
      <c r="AJ287" s="70">
        <v>0</v>
      </c>
      <c r="AK287" s="70">
        <v>0</v>
      </c>
      <c r="AL287" s="70">
        <v>0.01</v>
      </c>
      <c r="AM287" s="70">
        <v>0</v>
      </c>
      <c r="AN287" s="70" t="s">
        <v>1858</v>
      </c>
    </row>
    <row r="288" spans="1:41">
      <c r="A288" s="132">
        <f t="shared" si="34"/>
        <v>280</v>
      </c>
      <c r="B288" s="133" t="s">
        <v>1769</v>
      </c>
      <c r="C288" s="133" t="s">
        <v>1904</v>
      </c>
      <c r="D288" s="132" t="s">
        <v>1698</v>
      </c>
      <c r="E288" s="147" t="s">
        <v>1289</v>
      </c>
      <c r="F288" s="135">
        <v>45744</v>
      </c>
      <c r="G288" s="45"/>
      <c r="H288" s="136"/>
      <c r="I288" s="136">
        <v>235376</v>
      </c>
      <c r="J288" s="137" t="s">
        <v>1025</v>
      </c>
      <c r="K288" s="137"/>
      <c r="L288" s="148">
        <f t="shared" si="33"/>
        <v>235376</v>
      </c>
      <c r="M288" s="122">
        <f t="shared" si="35"/>
        <v>0</v>
      </c>
      <c r="N288" s="137"/>
      <c r="O288" s="149" t="b">
        <f t="shared" si="36"/>
        <v>1</v>
      </c>
      <c r="P288" s="149">
        <f t="shared" si="37"/>
        <v>0</v>
      </c>
      <c r="Q288" s="149" t="b">
        <f t="shared" si="38"/>
        <v>0</v>
      </c>
      <c r="R288" s="149">
        <f t="shared" si="39"/>
        <v>0</v>
      </c>
      <c r="S288" s="144"/>
      <c r="T288" s="143">
        <v>45744</v>
      </c>
      <c r="U288" s="144" t="s">
        <v>1289</v>
      </c>
      <c r="V288" s="144">
        <v>0</v>
      </c>
      <c r="W288" s="144" t="s">
        <v>1071</v>
      </c>
      <c r="X288" s="144" t="s">
        <v>1801</v>
      </c>
      <c r="Y288" s="144" t="s">
        <v>1802</v>
      </c>
      <c r="Z288" s="145">
        <v>2589140</v>
      </c>
      <c r="AA288" s="145">
        <v>2353764</v>
      </c>
      <c r="AB288" s="144">
        <v>0</v>
      </c>
      <c r="AC288" s="144" t="s">
        <v>1022</v>
      </c>
      <c r="AD288" s="145">
        <v>235376</v>
      </c>
      <c r="AE288" s="144">
        <v>0</v>
      </c>
      <c r="AF288" s="146">
        <v>0</v>
      </c>
      <c r="AG288" s="70">
        <v>0</v>
      </c>
      <c r="AH288" s="70">
        <v>0</v>
      </c>
      <c r="AI288" s="70">
        <v>0</v>
      </c>
      <c r="AJ288" s="70">
        <v>0</v>
      </c>
      <c r="AK288" s="70">
        <v>0</v>
      </c>
      <c r="AL288" s="70">
        <v>0.01</v>
      </c>
      <c r="AM288" s="70">
        <v>0</v>
      </c>
      <c r="AN288" s="70" t="s">
        <v>1807</v>
      </c>
    </row>
    <row r="289" spans="1:41">
      <c r="A289" s="132">
        <f t="shared" si="34"/>
        <v>281</v>
      </c>
      <c r="B289" s="133" t="s">
        <v>1732</v>
      </c>
      <c r="C289" s="133" t="s">
        <v>1920</v>
      </c>
      <c r="D289" s="132" t="s">
        <v>1038</v>
      </c>
      <c r="E289" s="147">
        <v>7676088789</v>
      </c>
      <c r="F289" s="135">
        <v>45622</v>
      </c>
      <c r="G289" s="45"/>
      <c r="H289" s="136"/>
      <c r="I289" s="136">
        <v>997479</v>
      </c>
      <c r="J289" s="137" t="s">
        <v>1025</v>
      </c>
      <c r="K289" s="137"/>
      <c r="L289" s="148">
        <f t="shared" si="33"/>
        <v>997479</v>
      </c>
      <c r="M289" s="122">
        <f t="shared" si="35"/>
        <v>0</v>
      </c>
      <c r="N289" s="137"/>
      <c r="O289" s="149" t="b">
        <f t="shared" si="36"/>
        <v>1</v>
      </c>
      <c r="P289" s="149">
        <f t="shared" si="37"/>
        <v>0</v>
      </c>
      <c r="Q289" s="149" t="b">
        <f t="shared" si="38"/>
        <v>0</v>
      </c>
      <c r="R289" s="149">
        <f t="shared" si="39"/>
        <v>0</v>
      </c>
      <c r="S289" s="144"/>
      <c r="T289" s="143">
        <v>45622</v>
      </c>
      <c r="U289" s="144">
        <v>7676088789</v>
      </c>
      <c r="V289" s="144">
        <v>0</v>
      </c>
      <c r="W289" s="144" t="s">
        <v>1071</v>
      </c>
      <c r="X289" s="144" t="s">
        <v>1801</v>
      </c>
      <c r="Y289" s="144" t="s">
        <v>1802</v>
      </c>
      <c r="Z289" s="145">
        <v>10972269</v>
      </c>
      <c r="AA289" s="145">
        <v>9974790</v>
      </c>
      <c r="AB289" s="144">
        <v>0</v>
      </c>
      <c r="AC289" s="144" t="s">
        <v>1022</v>
      </c>
      <c r="AD289" s="145">
        <v>997479</v>
      </c>
      <c r="AE289" s="144">
        <v>0</v>
      </c>
      <c r="AF289" s="146">
        <v>0</v>
      </c>
      <c r="AG289" s="70">
        <v>0</v>
      </c>
      <c r="AH289" s="70">
        <v>0</v>
      </c>
      <c r="AI289" s="70">
        <v>0</v>
      </c>
      <c r="AJ289" s="70">
        <v>0</v>
      </c>
      <c r="AK289" s="70">
        <v>0</v>
      </c>
      <c r="AL289" s="70">
        <v>0.01</v>
      </c>
      <c r="AM289" s="70">
        <v>0</v>
      </c>
      <c r="AN289" s="70" t="s">
        <v>1855</v>
      </c>
      <c r="AO289" s="70" t="s">
        <v>1804</v>
      </c>
    </row>
    <row r="290" spans="1:41">
      <c r="A290" s="132">
        <f t="shared" si="34"/>
        <v>282</v>
      </c>
      <c r="B290" s="133" t="s">
        <v>1732</v>
      </c>
      <c r="C290" s="133" t="s">
        <v>1920</v>
      </c>
      <c r="D290" s="132" t="s">
        <v>1038</v>
      </c>
      <c r="E290" s="147">
        <v>7676089412</v>
      </c>
      <c r="F290" s="135">
        <v>45623</v>
      </c>
      <c r="G290" s="45"/>
      <c r="H290" s="136"/>
      <c r="I290" s="136">
        <v>219308</v>
      </c>
      <c r="J290" s="137" t="s">
        <v>1025</v>
      </c>
      <c r="K290" s="137"/>
      <c r="L290" s="148">
        <f t="shared" si="33"/>
        <v>219308</v>
      </c>
      <c r="M290" s="122">
        <f t="shared" si="35"/>
        <v>0</v>
      </c>
      <c r="N290" s="137"/>
      <c r="O290" s="149" t="b">
        <f t="shared" si="36"/>
        <v>1</v>
      </c>
      <c r="P290" s="149">
        <f t="shared" si="37"/>
        <v>0</v>
      </c>
      <c r="Q290" s="149" t="b">
        <f t="shared" si="38"/>
        <v>0</v>
      </c>
      <c r="R290" s="149">
        <f t="shared" si="39"/>
        <v>0</v>
      </c>
      <c r="S290" s="144"/>
      <c r="T290" s="143">
        <v>45623</v>
      </c>
      <c r="U290" s="144">
        <v>7676089412</v>
      </c>
      <c r="V290" s="144">
        <v>0</v>
      </c>
      <c r="W290" s="144" t="s">
        <v>1071</v>
      </c>
      <c r="X290" s="144" t="s">
        <v>1801</v>
      </c>
      <c r="Y290" s="144" t="s">
        <v>1802</v>
      </c>
      <c r="Z290" s="145">
        <v>2412388</v>
      </c>
      <c r="AA290" s="145">
        <v>2193080</v>
      </c>
      <c r="AB290" s="144">
        <v>0</v>
      </c>
      <c r="AC290" s="144" t="s">
        <v>1022</v>
      </c>
      <c r="AD290" s="145">
        <v>219308</v>
      </c>
      <c r="AE290" s="144">
        <v>0</v>
      </c>
      <c r="AF290" s="146">
        <v>0</v>
      </c>
      <c r="AG290" s="70">
        <v>0</v>
      </c>
      <c r="AH290" s="70">
        <v>0</v>
      </c>
      <c r="AI290" s="70">
        <v>0</v>
      </c>
      <c r="AJ290" s="70">
        <v>0</v>
      </c>
      <c r="AK290" s="70">
        <v>0</v>
      </c>
      <c r="AL290" s="70">
        <v>0.01</v>
      </c>
      <c r="AM290" s="70">
        <v>0</v>
      </c>
      <c r="AN290" s="70" t="s">
        <v>1855</v>
      </c>
      <c r="AO290" s="70" t="s">
        <v>1804</v>
      </c>
    </row>
    <row r="291" spans="1:41">
      <c r="A291" s="132">
        <f t="shared" si="34"/>
        <v>283</v>
      </c>
      <c r="B291" s="133" t="s">
        <v>1732</v>
      </c>
      <c r="C291" s="133" t="s">
        <v>1920</v>
      </c>
      <c r="D291" s="132" t="s">
        <v>1038</v>
      </c>
      <c r="E291" s="147">
        <v>7676096256</v>
      </c>
      <c r="F291" s="135">
        <v>45650</v>
      </c>
      <c r="G291" s="45"/>
      <c r="H291" s="136"/>
      <c r="I291" s="136">
        <v>1973329</v>
      </c>
      <c r="J291" s="137" t="s">
        <v>1025</v>
      </c>
      <c r="K291" s="137"/>
      <c r="L291" s="148">
        <f t="shared" si="33"/>
        <v>1973329</v>
      </c>
      <c r="M291" s="122">
        <f t="shared" si="35"/>
        <v>0</v>
      </c>
      <c r="N291" s="137"/>
      <c r="O291" s="149" t="b">
        <f t="shared" si="36"/>
        <v>1</v>
      </c>
      <c r="P291" s="149">
        <f t="shared" si="37"/>
        <v>0</v>
      </c>
      <c r="Q291" s="149" t="b">
        <f t="shared" si="38"/>
        <v>0</v>
      </c>
      <c r="R291" s="149">
        <f t="shared" si="39"/>
        <v>0</v>
      </c>
      <c r="S291" s="144"/>
      <c r="T291" s="143">
        <v>45650</v>
      </c>
      <c r="U291" s="144">
        <v>7676096256</v>
      </c>
      <c r="V291" s="144">
        <v>0</v>
      </c>
      <c r="W291" s="144" t="s">
        <v>1071</v>
      </c>
      <c r="X291" s="144" t="s">
        <v>1801</v>
      </c>
      <c r="Y291" s="144" t="s">
        <v>1802</v>
      </c>
      <c r="Z291" s="145">
        <v>21706619</v>
      </c>
      <c r="AA291" s="145">
        <v>19733290</v>
      </c>
      <c r="AB291" s="144">
        <v>0</v>
      </c>
      <c r="AC291" s="144" t="s">
        <v>1022</v>
      </c>
      <c r="AD291" s="145">
        <v>1973329</v>
      </c>
      <c r="AE291" s="144">
        <v>0</v>
      </c>
      <c r="AF291" s="146">
        <v>0</v>
      </c>
      <c r="AG291" s="70">
        <v>0</v>
      </c>
      <c r="AH291" s="70">
        <v>0</v>
      </c>
      <c r="AI291" s="70">
        <v>0</v>
      </c>
      <c r="AJ291" s="70">
        <v>0</v>
      </c>
      <c r="AK291" s="70">
        <v>0</v>
      </c>
      <c r="AL291" s="70">
        <v>0.01</v>
      </c>
      <c r="AM291" s="70">
        <v>0</v>
      </c>
      <c r="AN291" s="70" t="s">
        <v>1855</v>
      </c>
      <c r="AO291" s="70" t="s">
        <v>1804</v>
      </c>
    </row>
    <row r="292" spans="1:41">
      <c r="A292" s="132">
        <f t="shared" si="34"/>
        <v>284</v>
      </c>
      <c r="B292" s="133" t="s">
        <v>1732</v>
      </c>
      <c r="C292" s="133" t="s">
        <v>1920</v>
      </c>
      <c r="D292" s="132" t="s">
        <v>1038</v>
      </c>
      <c r="E292" s="147">
        <v>7676094852</v>
      </c>
      <c r="F292" s="135">
        <v>45645</v>
      </c>
      <c r="G292" s="45"/>
      <c r="H292" s="136"/>
      <c r="I292" s="136">
        <v>651402</v>
      </c>
      <c r="J292" s="137" t="s">
        <v>1025</v>
      </c>
      <c r="K292" s="137"/>
      <c r="L292" s="148">
        <f t="shared" si="33"/>
        <v>651402</v>
      </c>
      <c r="M292" s="122">
        <f t="shared" si="35"/>
        <v>0</v>
      </c>
      <c r="N292" s="137"/>
      <c r="O292" s="149" t="b">
        <f t="shared" si="36"/>
        <v>1</v>
      </c>
      <c r="P292" s="149">
        <f t="shared" si="37"/>
        <v>0</v>
      </c>
      <c r="Q292" s="149" t="b">
        <f t="shared" si="38"/>
        <v>0</v>
      </c>
      <c r="R292" s="149">
        <f t="shared" si="39"/>
        <v>0</v>
      </c>
      <c r="S292" s="144"/>
      <c r="T292" s="143">
        <v>45645</v>
      </c>
      <c r="U292" s="144">
        <v>7676094852</v>
      </c>
      <c r="V292" s="144">
        <v>0</v>
      </c>
      <c r="W292" s="144" t="s">
        <v>1071</v>
      </c>
      <c r="X292" s="144" t="s">
        <v>1801</v>
      </c>
      <c r="Y292" s="144" t="s">
        <v>1802</v>
      </c>
      <c r="Z292" s="145">
        <v>7165422</v>
      </c>
      <c r="AA292" s="145">
        <v>6514020</v>
      </c>
      <c r="AB292" s="144">
        <v>0</v>
      </c>
      <c r="AC292" s="144" t="s">
        <v>1022</v>
      </c>
      <c r="AD292" s="145">
        <v>651402</v>
      </c>
      <c r="AE292" s="144">
        <v>0</v>
      </c>
      <c r="AF292" s="146">
        <v>0</v>
      </c>
      <c r="AG292" s="70">
        <v>0</v>
      </c>
      <c r="AH292" s="70">
        <v>0</v>
      </c>
      <c r="AI292" s="70">
        <v>0</v>
      </c>
      <c r="AJ292" s="70">
        <v>0</v>
      </c>
      <c r="AK292" s="70">
        <v>0</v>
      </c>
      <c r="AL292" s="70">
        <v>0.01</v>
      </c>
      <c r="AM292" s="70">
        <v>0</v>
      </c>
      <c r="AN292" s="70" t="s">
        <v>1855</v>
      </c>
      <c r="AO292" s="70" t="s">
        <v>1804</v>
      </c>
    </row>
    <row r="293" spans="1:41">
      <c r="A293" s="132">
        <f t="shared" si="34"/>
        <v>285</v>
      </c>
      <c r="B293" s="133" t="s">
        <v>1732</v>
      </c>
      <c r="C293" s="133" t="s">
        <v>1920</v>
      </c>
      <c r="D293" s="132" t="s">
        <v>1038</v>
      </c>
      <c r="E293" s="147">
        <v>7676091192</v>
      </c>
      <c r="F293" s="135">
        <v>45630</v>
      </c>
      <c r="G293" s="45"/>
      <c r="H293" s="136"/>
      <c r="I293" s="136">
        <v>1001455</v>
      </c>
      <c r="J293" s="137" t="s">
        <v>1025</v>
      </c>
      <c r="K293" s="137"/>
      <c r="L293" s="148">
        <f t="shared" si="33"/>
        <v>1001455</v>
      </c>
      <c r="M293" s="122">
        <f t="shared" si="35"/>
        <v>0</v>
      </c>
      <c r="N293" s="137"/>
      <c r="O293" s="149" t="b">
        <f t="shared" si="36"/>
        <v>1</v>
      </c>
      <c r="P293" s="149">
        <f t="shared" si="37"/>
        <v>0</v>
      </c>
      <c r="Q293" s="149" t="b">
        <f t="shared" si="38"/>
        <v>0</v>
      </c>
      <c r="R293" s="149">
        <f t="shared" si="39"/>
        <v>0</v>
      </c>
      <c r="S293" s="144" t="s">
        <v>1045</v>
      </c>
      <c r="T293" s="143">
        <v>45630</v>
      </c>
      <c r="U293" s="144">
        <v>7676091192</v>
      </c>
      <c r="V293" s="144">
        <v>0</v>
      </c>
      <c r="W293" s="144" t="s">
        <v>1071</v>
      </c>
      <c r="X293" s="144" t="s">
        <v>1801</v>
      </c>
      <c r="Y293" s="144" t="s">
        <v>1802</v>
      </c>
      <c r="Z293" s="145">
        <v>11016005</v>
      </c>
      <c r="AA293" s="145">
        <v>10014550</v>
      </c>
      <c r="AB293" s="144">
        <v>0</v>
      </c>
      <c r="AC293" s="144" t="s">
        <v>1022</v>
      </c>
      <c r="AD293" s="145">
        <v>1001455</v>
      </c>
      <c r="AE293" s="144">
        <v>0</v>
      </c>
      <c r="AF293" s="146">
        <v>0</v>
      </c>
      <c r="AG293" s="70">
        <v>0</v>
      </c>
      <c r="AH293" s="70">
        <v>0</v>
      </c>
      <c r="AI293" s="70">
        <v>0</v>
      </c>
      <c r="AJ293" s="70">
        <v>0</v>
      </c>
      <c r="AK293" s="70">
        <v>0</v>
      </c>
      <c r="AL293" s="70">
        <v>0.01</v>
      </c>
      <c r="AM293" s="70">
        <v>0</v>
      </c>
      <c r="AN293" s="70" t="s">
        <v>1855</v>
      </c>
      <c r="AO293" s="70" t="s">
        <v>1804</v>
      </c>
    </row>
    <row r="294" spans="1:41">
      <c r="A294" s="132">
        <f t="shared" si="34"/>
        <v>286</v>
      </c>
      <c r="B294" s="133" t="s">
        <v>1732</v>
      </c>
      <c r="C294" s="133" t="s">
        <v>1920</v>
      </c>
      <c r="D294" s="132" t="s">
        <v>1038</v>
      </c>
      <c r="E294" s="147">
        <v>7676113070</v>
      </c>
      <c r="F294" s="135">
        <v>45715</v>
      </c>
      <c r="G294" s="45"/>
      <c r="H294" s="136"/>
      <c r="I294" s="136">
        <v>996485</v>
      </c>
      <c r="J294" s="137" t="s">
        <v>1025</v>
      </c>
      <c r="K294" s="137"/>
      <c r="L294" s="148">
        <f t="shared" si="33"/>
        <v>996485</v>
      </c>
      <c r="M294" s="122">
        <f t="shared" si="35"/>
        <v>0</v>
      </c>
      <c r="N294" s="137"/>
      <c r="O294" s="149" t="b">
        <f t="shared" si="36"/>
        <v>1</v>
      </c>
      <c r="P294" s="149">
        <f t="shared" si="37"/>
        <v>0</v>
      </c>
      <c r="Q294" s="149" t="b">
        <f t="shared" si="38"/>
        <v>0</v>
      </c>
      <c r="R294" s="149">
        <f t="shared" si="39"/>
        <v>0</v>
      </c>
      <c r="S294" s="144" t="s">
        <v>1045</v>
      </c>
      <c r="T294" s="143">
        <v>45715</v>
      </c>
      <c r="U294" s="144">
        <v>7676113070</v>
      </c>
      <c r="V294" s="144">
        <v>0</v>
      </c>
      <c r="W294" s="144" t="s">
        <v>1071</v>
      </c>
      <c r="X294" s="144" t="s">
        <v>1801</v>
      </c>
      <c r="Y294" s="144" t="s">
        <v>1802</v>
      </c>
      <c r="Z294" s="145">
        <v>10961335</v>
      </c>
      <c r="AA294" s="145">
        <v>9964850</v>
      </c>
      <c r="AB294" s="144">
        <v>0</v>
      </c>
      <c r="AC294" s="144" t="s">
        <v>1022</v>
      </c>
      <c r="AD294" s="145">
        <v>996485</v>
      </c>
      <c r="AE294" s="144">
        <v>0</v>
      </c>
      <c r="AF294" s="146">
        <v>0</v>
      </c>
      <c r="AG294" s="70">
        <v>0</v>
      </c>
      <c r="AH294" s="70">
        <v>0</v>
      </c>
      <c r="AI294" s="70">
        <v>0</v>
      </c>
      <c r="AJ294" s="70">
        <v>0</v>
      </c>
      <c r="AK294" s="70">
        <v>0</v>
      </c>
      <c r="AL294" s="70">
        <v>0.01</v>
      </c>
      <c r="AM294" s="70">
        <v>0</v>
      </c>
      <c r="AN294" s="70" t="s">
        <v>1855</v>
      </c>
      <c r="AO294" s="70" t="s">
        <v>1804</v>
      </c>
    </row>
    <row r="295" spans="1:41">
      <c r="A295" s="132">
        <f t="shared" si="34"/>
        <v>287</v>
      </c>
      <c r="B295" s="133" t="s">
        <v>1072</v>
      </c>
      <c r="C295" s="133" t="s">
        <v>1920</v>
      </c>
      <c r="D295" s="132" t="s">
        <v>1038</v>
      </c>
      <c r="E295" s="147">
        <v>7676127588</v>
      </c>
      <c r="F295" s="135">
        <v>45774</v>
      </c>
      <c r="G295" s="45"/>
      <c r="H295" s="136"/>
      <c r="I295" s="136">
        <v>994746</v>
      </c>
      <c r="J295" s="137" t="s">
        <v>1025</v>
      </c>
      <c r="K295" s="137"/>
      <c r="L295" s="148">
        <f t="shared" si="33"/>
        <v>994746</v>
      </c>
      <c r="M295" s="122">
        <f t="shared" si="35"/>
        <v>0</v>
      </c>
      <c r="N295" s="137"/>
      <c r="O295" s="149" t="b">
        <f t="shared" si="36"/>
        <v>1</v>
      </c>
      <c r="P295" s="149">
        <f t="shared" si="37"/>
        <v>0</v>
      </c>
      <c r="Q295" s="149" t="b">
        <f t="shared" si="38"/>
        <v>0</v>
      </c>
      <c r="R295" s="149">
        <f t="shared" si="39"/>
        <v>0</v>
      </c>
      <c r="S295" s="144"/>
      <c r="T295" s="143">
        <v>45774</v>
      </c>
      <c r="U295" s="144">
        <v>7676127588</v>
      </c>
      <c r="V295" s="144">
        <v>0</v>
      </c>
      <c r="W295" s="144" t="s">
        <v>1071</v>
      </c>
      <c r="X295" s="144" t="s">
        <v>1801</v>
      </c>
      <c r="Y295" s="144" t="s">
        <v>1802</v>
      </c>
      <c r="Z295" s="145">
        <v>10942201</v>
      </c>
      <c r="AA295" s="145">
        <v>9947455</v>
      </c>
      <c r="AB295" s="144">
        <v>0</v>
      </c>
      <c r="AC295" s="144" t="s">
        <v>1022</v>
      </c>
      <c r="AD295" s="145">
        <v>994746</v>
      </c>
      <c r="AE295" s="144">
        <v>0</v>
      </c>
      <c r="AF295" s="146">
        <v>0</v>
      </c>
      <c r="AG295" s="70">
        <v>0</v>
      </c>
      <c r="AH295" s="70">
        <v>0</v>
      </c>
      <c r="AI295" s="70">
        <v>0</v>
      </c>
      <c r="AJ295" s="70">
        <v>0</v>
      </c>
      <c r="AK295" s="70">
        <v>0</v>
      </c>
      <c r="AL295" s="70">
        <v>0.01</v>
      </c>
      <c r="AM295" s="70">
        <v>0</v>
      </c>
      <c r="AN295" s="70" t="s">
        <v>1855</v>
      </c>
      <c r="AO295" s="70" t="s">
        <v>1804</v>
      </c>
    </row>
    <row r="296" spans="1:41">
      <c r="A296" s="132">
        <f t="shared" si="34"/>
        <v>288</v>
      </c>
      <c r="B296" s="133" t="s">
        <v>1072</v>
      </c>
      <c r="C296" s="133" t="s">
        <v>1920</v>
      </c>
      <c r="D296" s="132" t="s">
        <v>1038</v>
      </c>
      <c r="E296" s="147">
        <v>7676127556</v>
      </c>
      <c r="F296" s="135">
        <v>45774</v>
      </c>
      <c r="G296" s="45"/>
      <c r="H296" s="136"/>
      <c r="I296" s="136">
        <v>1965473</v>
      </c>
      <c r="J296" s="137" t="s">
        <v>1025</v>
      </c>
      <c r="K296" s="137"/>
      <c r="L296" s="148">
        <f t="shared" si="33"/>
        <v>1965473</v>
      </c>
      <c r="M296" s="122">
        <f t="shared" si="35"/>
        <v>0</v>
      </c>
      <c r="N296" s="137"/>
      <c r="O296" s="149" t="b">
        <f t="shared" si="36"/>
        <v>1</v>
      </c>
      <c r="P296" s="149">
        <f t="shared" si="37"/>
        <v>0</v>
      </c>
      <c r="Q296" s="149" t="b">
        <f t="shared" si="38"/>
        <v>0</v>
      </c>
      <c r="R296" s="149">
        <f t="shared" si="39"/>
        <v>0</v>
      </c>
      <c r="S296" s="144"/>
      <c r="T296" s="143">
        <v>45774</v>
      </c>
      <c r="U296" s="144">
        <v>7676127556</v>
      </c>
      <c r="V296" s="144">
        <v>0</v>
      </c>
      <c r="W296" s="144" t="s">
        <v>1071</v>
      </c>
      <c r="X296" s="144" t="s">
        <v>1801</v>
      </c>
      <c r="Y296" s="144" t="s">
        <v>1802</v>
      </c>
      <c r="Z296" s="145">
        <v>21620203</v>
      </c>
      <c r="AA296" s="145">
        <v>19654730</v>
      </c>
      <c r="AB296" s="144">
        <v>0</v>
      </c>
      <c r="AC296" s="144" t="s">
        <v>1022</v>
      </c>
      <c r="AD296" s="145">
        <v>1965473</v>
      </c>
      <c r="AE296" s="144">
        <v>0</v>
      </c>
      <c r="AF296" s="146">
        <v>0</v>
      </c>
      <c r="AG296" s="70">
        <v>0</v>
      </c>
      <c r="AH296" s="70">
        <v>0</v>
      </c>
      <c r="AI296" s="70">
        <v>0</v>
      </c>
      <c r="AJ296" s="70">
        <v>0</v>
      </c>
      <c r="AK296" s="70">
        <v>0</v>
      </c>
      <c r="AL296" s="70">
        <v>0.01</v>
      </c>
      <c r="AM296" s="70">
        <v>0</v>
      </c>
      <c r="AN296" s="70" t="s">
        <v>1855</v>
      </c>
      <c r="AO296" s="70" t="s">
        <v>1804</v>
      </c>
    </row>
    <row r="297" spans="1:41">
      <c r="A297" s="132">
        <f t="shared" si="34"/>
        <v>289</v>
      </c>
      <c r="B297" s="133" t="s">
        <v>1770</v>
      </c>
      <c r="C297" s="133" t="s">
        <v>1920</v>
      </c>
      <c r="D297" s="132" t="s">
        <v>1038</v>
      </c>
      <c r="E297" s="147">
        <v>7676136178</v>
      </c>
      <c r="F297" s="135">
        <v>45803</v>
      </c>
      <c r="G297" s="45"/>
      <c r="H297" s="136"/>
      <c r="I297" s="136">
        <v>2741370</v>
      </c>
      <c r="J297" s="137" t="s">
        <v>1025</v>
      </c>
      <c r="K297" s="137"/>
      <c r="L297" s="148">
        <f t="shared" si="33"/>
        <v>2741370</v>
      </c>
      <c r="M297" s="122">
        <f t="shared" si="35"/>
        <v>0</v>
      </c>
      <c r="N297" s="137"/>
      <c r="O297" s="149" t="b">
        <f t="shared" si="36"/>
        <v>1</v>
      </c>
      <c r="P297" s="149">
        <f t="shared" si="37"/>
        <v>0</v>
      </c>
      <c r="Q297" s="149" t="b">
        <f t="shared" si="38"/>
        <v>0</v>
      </c>
      <c r="R297" s="149">
        <f t="shared" si="39"/>
        <v>0</v>
      </c>
      <c r="S297" s="144"/>
      <c r="T297" s="143">
        <v>45803</v>
      </c>
      <c r="U297" s="144">
        <v>7676136178</v>
      </c>
      <c r="V297" s="144">
        <v>0</v>
      </c>
      <c r="W297" s="144" t="s">
        <v>1071</v>
      </c>
      <c r="X297" s="144" t="s">
        <v>1801</v>
      </c>
      <c r="Y297" s="144" t="s">
        <v>1802</v>
      </c>
      <c r="Z297" s="145">
        <v>30155070</v>
      </c>
      <c r="AA297" s="145">
        <v>27413700</v>
      </c>
      <c r="AB297" s="144">
        <v>0</v>
      </c>
      <c r="AC297" s="144" t="s">
        <v>1022</v>
      </c>
      <c r="AD297" s="145">
        <v>2741370</v>
      </c>
      <c r="AE297" s="144">
        <v>0</v>
      </c>
      <c r="AF297" s="146">
        <v>0</v>
      </c>
      <c r="AG297" s="70">
        <v>0</v>
      </c>
      <c r="AH297" s="70">
        <v>0</v>
      </c>
      <c r="AI297" s="70">
        <v>0</v>
      </c>
      <c r="AJ297" s="70">
        <v>0</v>
      </c>
      <c r="AK297" s="70">
        <v>0</v>
      </c>
      <c r="AL297" s="70">
        <v>0.01</v>
      </c>
      <c r="AM297" s="70">
        <v>0</v>
      </c>
      <c r="AN297" s="70" t="s">
        <v>1855</v>
      </c>
      <c r="AO297" s="70" t="s">
        <v>1804</v>
      </c>
    </row>
    <row r="298" spans="1:41">
      <c r="A298" s="132">
        <f t="shared" si="34"/>
        <v>290</v>
      </c>
      <c r="B298" s="133" t="s">
        <v>1771</v>
      </c>
      <c r="C298" s="133" t="s">
        <v>1921</v>
      </c>
      <c r="D298" s="132" t="s">
        <v>1713</v>
      </c>
      <c r="E298" s="147" t="s">
        <v>1290</v>
      </c>
      <c r="F298" s="135">
        <v>45776</v>
      </c>
      <c r="G298" s="45"/>
      <c r="H298" s="136"/>
      <c r="I298" s="136">
        <v>23617700</v>
      </c>
      <c r="J298" s="137" t="s">
        <v>1025</v>
      </c>
      <c r="K298" s="137"/>
      <c r="L298" s="148">
        <f t="shared" si="33"/>
        <v>23617700</v>
      </c>
      <c r="M298" s="122">
        <f t="shared" si="35"/>
        <v>0</v>
      </c>
      <c r="N298" s="137" t="s">
        <v>1901</v>
      </c>
      <c r="O298" s="149" t="b">
        <f t="shared" si="36"/>
        <v>1</v>
      </c>
      <c r="P298" s="149">
        <f t="shared" si="37"/>
        <v>0</v>
      </c>
      <c r="Q298" s="149" t="b">
        <f t="shared" si="38"/>
        <v>0</v>
      </c>
      <c r="R298" s="149">
        <f t="shared" si="39"/>
        <v>0</v>
      </c>
      <c r="S298" s="144"/>
      <c r="T298" s="143">
        <v>45776</v>
      </c>
      <c r="U298" s="144" t="s">
        <v>1290</v>
      </c>
      <c r="V298" s="144">
        <v>0</v>
      </c>
      <c r="W298" s="144" t="s">
        <v>1071</v>
      </c>
      <c r="X298" s="144" t="s">
        <v>1801</v>
      </c>
      <c r="Y298" s="144" t="s">
        <v>1802</v>
      </c>
      <c r="Z298" s="145">
        <v>259794700</v>
      </c>
      <c r="AA298" s="145">
        <v>236177000</v>
      </c>
      <c r="AB298" s="144">
        <v>0</v>
      </c>
      <c r="AC298" s="144" t="s">
        <v>1022</v>
      </c>
      <c r="AD298" s="145">
        <v>23617700</v>
      </c>
      <c r="AE298" s="144">
        <v>0</v>
      </c>
      <c r="AF298" s="146">
        <v>0</v>
      </c>
      <c r="AG298" s="70">
        <v>0</v>
      </c>
      <c r="AH298" s="70">
        <v>0</v>
      </c>
      <c r="AI298" s="70">
        <v>0</v>
      </c>
      <c r="AJ298" s="70">
        <v>0</v>
      </c>
      <c r="AK298" s="70">
        <v>0</v>
      </c>
      <c r="AL298" s="70">
        <v>0.01</v>
      </c>
      <c r="AM298" s="70">
        <v>0</v>
      </c>
      <c r="AN298" s="70" t="s">
        <v>1859</v>
      </c>
      <c r="AO298" s="70" t="s">
        <v>1804</v>
      </c>
    </row>
    <row r="299" spans="1:41">
      <c r="A299" s="132">
        <f t="shared" si="34"/>
        <v>291</v>
      </c>
      <c r="B299" s="133" t="s">
        <v>1772</v>
      </c>
      <c r="C299" s="133" t="s">
        <v>1922</v>
      </c>
      <c r="D299" s="132" t="s">
        <v>1040</v>
      </c>
      <c r="E299" s="147" t="s">
        <v>1291</v>
      </c>
      <c r="F299" s="135">
        <v>45649</v>
      </c>
      <c r="G299" s="45"/>
      <c r="H299" s="136"/>
      <c r="I299" s="136">
        <v>1790910</v>
      </c>
      <c r="J299" s="137" t="s">
        <v>1025</v>
      </c>
      <c r="K299" s="137"/>
      <c r="L299" s="148">
        <f t="shared" si="33"/>
        <v>1790910</v>
      </c>
      <c r="M299" s="122">
        <f t="shared" si="35"/>
        <v>0</v>
      </c>
      <c r="N299" s="137"/>
      <c r="O299" s="149" t="b">
        <f t="shared" si="36"/>
        <v>1</v>
      </c>
      <c r="P299" s="149">
        <f t="shared" si="37"/>
        <v>0</v>
      </c>
      <c r="Q299" s="149" t="b">
        <f t="shared" si="38"/>
        <v>0</v>
      </c>
      <c r="R299" s="149">
        <f t="shared" si="39"/>
        <v>0</v>
      </c>
      <c r="S299" s="144"/>
      <c r="T299" s="143">
        <v>45649</v>
      </c>
      <c r="U299" s="144" t="s">
        <v>1291</v>
      </c>
      <c r="V299" s="144">
        <v>0</v>
      </c>
      <c r="W299" s="144" t="s">
        <v>1071</v>
      </c>
      <c r="X299" s="144" t="s">
        <v>1801</v>
      </c>
      <c r="Y299" s="144" t="s">
        <v>1802</v>
      </c>
      <c r="Z299" s="145">
        <v>19700010</v>
      </c>
      <c r="AA299" s="145">
        <v>17909100</v>
      </c>
      <c r="AB299" s="144">
        <v>0</v>
      </c>
      <c r="AC299" s="144" t="s">
        <v>1022</v>
      </c>
      <c r="AD299" s="145">
        <v>1790910</v>
      </c>
      <c r="AE299" s="144">
        <v>0</v>
      </c>
      <c r="AF299" s="146">
        <v>0</v>
      </c>
      <c r="AG299" s="70">
        <v>0</v>
      </c>
      <c r="AH299" s="70">
        <v>0</v>
      </c>
      <c r="AI299" s="70">
        <v>0</v>
      </c>
      <c r="AJ299" s="70">
        <v>0</v>
      </c>
      <c r="AK299" s="70">
        <v>0</v>
      </c>
      <c r="AL299" s="70">
        <v>0.01</v>
      </c>
      <c r="AM299" s="70">
        <v>0</v>
      </c>
      <c r="AN299" s="70" t="s">
        <v>1860</v>
      </c>
      <c r="AO299" s="70" t="s">
        <v>1804</v>
      </c>
    </row>
    <row r="300" spans="1:41">
      <c r="A300" s="132">
        <f t="shared" si="34"/>
        <v>292</v>
      </c>
      <c r="B300" s="133" t="s">
        <v>1772</v>
      </c>
      <c r="C300" s="133" t="s">
        <v>1922</v>
      </c>
      <c r="D300" s="132" t="s">
        <v>1040</v>
      </c>
      <c r="E300" s="147" t="s">
        <v>1292</v>
      </c>
      <c r="F300" s="135">
        <v>45667</v>
      </c>
      <c r="G300" s="45"/>
      <c r="H300" s="136"/>
      <c r="I300" s="136">
        <v>1800711</v>
      </c>
      <c r="J300" s="137" t="s">
        <v>1025</v>
      </c>
      <c r="K300" s="137"/>
      <c r="L300" s="148">
        <f t="shared" si="33"/>
        <v>1800711</v>
      </c>
      <c r="M300" s="122">
        <f t="shared" si="35"/>
        <v>0</v>
      </c>
      <c r="N300" s="137"/>
      <c r="O300" s="149" t="b">
        <f t="shared" si="36"/>
        <v>1</v>
      </c>
      <c r="P300" s="149">
        <f t="shared" si="37"/>
        <v>0</v>
      </c>
      <c r="Q300" s="149" t="b">
        <f t="shared" si="38"/>
        <v>0</v>
      </c>
      <c r="R300" s="149">
        <f t="shared" si="39"/>
        <v>0</v>
      </c>
      <c r="S300" s="144"/>
      <c r="T300" s="143">
        <v>45667</v>
      </c>
      <c r="U300" s="144" t="s">
        <v>1292</v>
      </c>
      <c r="V300" s="144">
        <v>0</v>
      </c>
      <c r="W300" s="144" t="s">
        <v>1071</v>
      </c>
      <c r="X300" s="144" t="s">
        <v>1801</v>
      </c>
      <c r="Y300" s="144" t="s">
        <v>1802</v>
      </c>
      <c r="Z300" s="145">
        <v>19807821</v>
      </c>
      <c r="AA300" s="145">
        <v>18007110</v>
      </c>
      <c r="AB300" s="144">
        <v>0</v>
      </c>
      <c r="AC300" s="144" t="s">
        <v>1022</v>
      </c>
      <c r="AD300" s="145">
        <v>1800711</v>
      </c>
      <c r="AE300" s="144">
        <v>0</v>
      </c>
      <c r="AF300" s="146">
        <v>0</v>
      </c>
      <c r="AG300" s="70">
        <v>0</v>
      </c>
      <c r="AH300" s="70">
        <v>0</v>
      </c>
      <c r="AI300" s="70">
        <v>0</v>
      </c>
      <c r="AJ300" s="70">
        <v>0</v>
      </c>
      <c r="AK300" s="70">
        <v>0</v>
      </c>
      <c r="AL300" s="70">
        <v>0.01</v>
      </c>
      <c r="AM300" s="70">
        <v>0</v>
      </c>
      <c r="AN300" s="70" t="s">
        <v>1860</v>
      </c>
      <c r="AO300" s="70" t="s">
        <v>1804</v>
      </c>
    </row>
    <row r="301" spans="1:41">
      <c r="A301" s="132">
        <f t="shared" si="34"/>
        <v>293</v>
      </c>
      <c r="B301" s="133" t="s">
        <v>1772</v>
      </c>
      <c r="C301" s="133" t="s">
        <v>1922</v>
      </c>
      <c r="D301" s="132" t="s">
        <v>1040</v>
      </c>
      <c r="E301" s="147" t="s">
        <v>1293</v>
      </c>
      <c r="F301" s="135">
        <v>45667</v>
      </c>
      <c r="G301" s="45"/>
      <c r="H301" s="136"/>
      <c r="I301" s="136">
        <v>1800711</v>
      </c>
      <c r="J301" s="137" t="s">
        <v>1025</v>
      </c>
      <c r="K301" s="137"/>
      <c r="L301" s="148">
        <f t="shared" si="33"/>
        <v>1800711</v>
      </c>
      <c r="M301" s="122">
        <f t="shared" si="35"/>
        <v>0</v>
      </c>
      <c r="N301" s="137"/>
      <c r="O301" s="149" t="b">
        <f t="shared" si="36"/>
        <v>1</v>
      </c>
      <c r="P301" s="149">
        <f t="shared" si="37"/>
        <v>0</v>
      </c>
      <c r="Q301" s="149" t="b">
        <f t="shared" si="38"/>
        <v>0</v>
      </c>
      <c r="R301" s="149">
        <f t="shared" si="39"/>
        <v>0</v>
      </c>
      <c r="S301" s="144"/>
      <c r="T301" s="143">
        <v>45667</v>
      </c>
      <c r="U301" s="144" t="s">
        <v>1293</v>
      </c>
      <c r="V301" s="144">
        <v>0</v>
      </c>
      <c r="W301" s="144" t="s">
        <v>1071</v>
      </c>
      <c r="X301" s="144" t="s">
        <v>1801</v>
      </c>
      <c r="Y301" s="144" t="s">
        <v>1802</v>
      </c>
      <c r="Z301" s="145">
        <v>19807821</v>
      </c>
      <c r="AA301" s="145">
        <v>18007110</v>
      </c>
      <c r="AB301" s="144">
        <v>0</v>
      </c>
      <c r="AC301" s="144" t="s">
        <v>1022</v>
      </c>
      <c r="AD301" s="145">
        <v>1800711</v>
      </c>
      <c r="AE301" s="144">
        <v>0</v>
      </c>
      <c r="AF301" s="146">
        <v>0</v>
      </c>
      <c r="AG301" s="70">
        <v>0</v>
      </c>
      <c r="AH301" s="70">
        <v>0</v>
      </c>
      <c r="AI301" s="70">
        <v>0</v>
      </c>
      <c r="AJ301" s="70">
        <v>0</v>
      </c>
      <c r="AK301" s="70">
        <v>0</v>
      </c>
      <c r="AL301" s="70">
        <v>0.01</v>
      </c>
      <c r="AM301" s="70">
        <v>0</v>
      </c>
      <c r="AN301" s="70" t="s">
        <v>1860</v>
      </c>
      <c r="AO301" s="70" t="s">
        <v>1804</v>
      </c>
    </row>
    <row r="302" spans="1:41">
      <c r="A302" s="132">
        <f t="shared" si="34"/>
        <v>294</v>
      </c>
      <c r="B302" s="133" t="s">
        <v>1764</v>
      </c>
      <c r="C302" s="133" t="s">
        <v>1905</v>
      </c>
      <c r="D302" s="132" t="s">
        <v>1024</v>
      </c>
      <c r="E302" s="147">
        <v>202500095405</v>
      </c>
      <c r="F302" s="135">
        <v>45776</v>
      </c>
      <c r="G302" s="45"/>
      <c r="H302" s="136"/>
      <c r="I302" s="136">
        <v>182537</v>
      </c>
      <c r="J302" s="137" t="s">
        <v>1025</v>
      </c>
      <c r="K302" s="137"/>
      <c r="L302" s="148">
        <f t="shared" si="33"/>
        <v>182537</v>
      </c>
      <c r="M302" s="122">
        <f t="shared" si="35"/>
        <v>0</v>
      </c>
      <c r="N302" s="137"/>
      <c r="O302" s="149" t="b">
        <f t="shared" si="36"/>
        <v>1</v>
      </c>
      <c r="P302" s="149">
        <f t="shared" si="37"/>
        <v>0</v>
      </c>
      <c r="Q302" s="149" t="b">
        <f t="shared" si="38"/>
        <v>0</v>
      </c>
      <c r="R302" s="149">
        <f t="shared" si="39"/>
        <v>0</v>
      </c>
      <c r="S302" s="144"/>
      <c r="T302" s="143">
        <v>45776</v>
      </c>
      <c r="U302" s="144">
        <v>202500095405</v>
      </c>
      <c r="V302" s="144">
        <v>0</v>
      </c>
      <c r="W302" s="144" t="s">
        <v>1071</v>
      </c>
      <c r="X302" s="144" t="s">
        <v>1801</v>
      </c>
      <c r="Y302" s="144" t="s">
        <v>1802</v>
      </c>
      <c r="Z302" s="145">
        <v>2007905</v>
      </c>
      <c r="AA302" s="145">
        <v>1825368</v>
      </c>
      <c r="AB302" s="144">
        <v>0</v>
      </c>
      <c r="AC302" s="144" t="s">
        <v>1022</v>
      </c>
      <c r="AD302" s="145">
        <v>182537</v>
      </c>
      <c r="AE302" s="144">
        <v>0</v>
      </c>
      <c r="AF302" s="146">
        <v>0</v>
      </c>
      <c r="AG302" s="70">
        <v>0</v>
      </c>
      <c r="AH302" s="70">
        <v>0</v>
      </c>
      <c r="AI302" s="70">
        <v>0</v>
      </c>
      <c r="AJ302" s="70">
        <v>0</v>
      </c>
      <c r="AK302" s="70">
        <v>0</v>
      </c>
      <c r="AL302" s="70">
        <v>0.01</v>
      </c>
      <c r="AM302" s="70">
        <v>0</v>
      </c>
      <c r="AN302" s="70" t="s">
        <v>1826</v>
      </c>
    </row>
    <row r="303" spans="1:41">
      <c r="A303" s="132">
        <f t="shared" si="34"/>
        <v>295</v>
      </c>
      <c r="B303" s="133" t="s">
        <v>1772</v>
      </c>
      <c r="C303" s="133" t="s">
        <v>1922</v>
      </c>
      <c r="D303" s="132" t="s">
        <v>1040</v>
      </c>
      <c r="E303" s="147" t="s">
        <v>1294</v>
      </c>
      <c r="F303" s="135">
        <v>45705</v>
      </c>
      <c r="G303" s="45"/>
      <c r="H303" s="136"/>
      <c r="I303" s="136">
        <v>1784228</v>
      </c>
      <c r="J303" s="137" t="s">
        <v>1025</v>
      </c>
      <c r="K303" s="150">
        <f>L303</f>
        <v>1784227</v>
      </c>
      <c r="L303" s="148">
        <f>AD303</f>
        <v>1784227</v>
      </c>
      <c r="M303" s="122">
        <f t="shared" si="35"/>
        <v>1</v>
      </c>
      <c r="N303" s="137"/>
      <c r="O303" s="149" t="b">
        <f t="shared" si="36"/>
        <v>1</v>
      </c>
      <c r="P303" s="149">
        <f t="shared" si="37"/>
        <v>0</v>
      </c>
      <c r="Q303" s="149" t="b">
        <f t="shared" si="38"/>
        <v>0</v>
      </c>
      <c r="R303" s="149">
        <f t="shared" si="39"/>
        <v>1</v>
      </c>
      <c r="S303" s="144"/>
      <c r="T303" s="143">
        <v>45705</v>
      </c>
      <c r="U303" s="144" t="s">
        <v>1294</v>
      </c>
      <c r="V303" s="144">
        <v>0</v>
      </c>
      <c r="W303" s="144" t="s">
        <v>1071</v>
      </c>
      <c r="X303" s="144" t="s">
        <v>1801</v>
      </c>
      <c r="Y303" s="144" t="s">
        <v>1802</v>
      </c>
      <c r="Z303" s="145">
        <v>19626502</v>
      </c>
      <c r="AA303" s="145">
        <v>17842275</v>
      </c>
      <c r="AB303" s="144">
        <v>0</v>
      </c>
      <c r="AC303" s="144" t="s">
        <v>1022</v>
      </c>
      <c r="AD303" s="145">
        <v>1784227</v>
      </c>
      <c r="AE303" s="144">
        <v>0</v>
      </c>
      <c r="AF303" s="146">
        <v>0</v>
      </c>
      <c r="AG303" s="70">
        <v>0</v>
      </c>
      <c r="AH303" s="70">
        <v>0</v>
      </c>
      <c r="AI303" s="70">
        <v>0</v>
      </c>
      <c r="AJ303" s="70">
        <v>0</v>
      </c>
      <c r="AK303" s="70">
        <v>0</v>
      </c>
      <c r="AL303" s="70">
        <v>0.01</v>
      </c>
      <c r="AM303" s="70">
        <v>0</v>
      </c>
      <c r="AN303" s="70" t="s">
        <v>1860</v>
      </c>
      <c r="AO303" s="70" t="s">
        <v>1804</v>
      </c>
    </row>
    <row r="304" spans="1:41">
      <c r="A304" s="132">
        <f t="shared" si="34"/>
        <v>296</v>
      </c>
      <c r="B304" s="133" t="s">
        <v>1772</v>
      </c>
      <c r="C304" s="133" t="s">
        <v>1922</v>
      </c>
      <c r="D304" s="132" t="s">
        <v>1040</v>
      </c>
      <c r="E304" s="147" t="s">
        <v>1295</v>
      </c>
      <c r="F304" s="135">
        <v>45735</v>
      </c>
      <c r="G304" s="45"/>
      <c r="H304" s="136"/>
      <c r="I304" s="136">
        <v>1785564</v>
      </c>
      <c r="J304" s="137" t="s">
        <v>1025</v>
      </c>
      <c r="K304" s="137"/>
      <c r="L304" s="148">
        <f>I304</f>
        <v>1785564</v>
      </c>
      <c r="M304" s="122">
        <f t="shared" si="35"/>
        <v>0</v>
      </c>
      <c r="N304" s="137"/>
      <c r="O304" s="149" t="b">
        <f t="shared" si="36"/>
        <v>1</v>
      </c>
      <c r="P304" s="149">
        <f t="shared" si="37"/>
        <v>0</v>
      </c>
      <c r="Q304" s="149" t="b">
        <f t="shared" si="38"/>
        <v>0</v>
      </c>
      <c r="R304" s="149">
        <f t="shared" si="39"/>
        <v>0</v>
      </c>
      <c r="S304" s="144"/>
      <c r="T304" s="143">
        <v>45735</v>
      </c>
      <c r="U304" s="144" t="s">
        <v>1295</v>
      </c>
      <c r="V304" s="144">
        <v>0</v>
      </c>
      <c r="W304" s="144" t="s">
        <v>1071</v>
      </c>
      <c r="X304" s="144" t="s">
        <v>1801</v>
      </c>
      <c r="Y304" s="144" t="s">
        <v>1802</v>
      </c>
      <c r="Z304" s="145">
        <v>19641204</v>
      </c>
      <c r="AA304" s="145">
        <v>17855640</v>
      </c>
      <c r="AB304" s="144">
        <v>0</v>
      </c>
      <c r="AC304" s="144" t="s">
        <v>1022</v>
      </c>
      <c r="AD304" s="145">
        <v>1785564</v>
      </c>
      <c r="AE304" s="144">
        <v>0</v>
      </c>
      <c r="AF304" s="146">
        <v>0</v>
      </c>
      <c r="AG304" s="70">
        <v>0</v>
      </c>
      <c r="AH304" s="70">
        <v>0</v>
      </c>
      <c r="AI304" s="70">
        <v>0</v>
      </c>
      <c r="AJ304" s="70">
        <v>0</v>
      </c>
      <c r="AK304" s="70">
        <v>0</v>
      </c>
      <c r="AL304" s="70">
        <v>0.01</v>
      </c>
      <c r="AM304" s="70">
        <v>0</v>
      </c>
      <c r="AN304" s="70" t="s">
        <v>1860</v>
      </c>
      <c r="AO304" s="70" t="s">
        <v>1804</v>
      </c>
    </row>
    <row r="305" spans="1:41">
      <c r="A305" s="132">
        <f t="shared" si="34"/>
        <v>297</v>
      </c>
      <c r="B305" s="133" t="s">
        <v>1772</v>
      </c>
      <c r="C305" s="133" t="s">
        <v>1922</v>
      </c>
      <c r="D305" s="132" t="s">
        <v>1040</v>
      </c>
      <c r="E305" s="147" t="s">
        <v>1296</v>
      </c>
      <c r="F305" s="135">
        <v>45720</v>
      </c>
      <c r="G305" s="45"/>
      <c r="H305" s="136"/>
      <c r="I305" s="136">
        <v>904030</v>
      </c>
      <c r="J305" s="137" t="s">
        <v>1025</v>
      </c>
      <c r="K305" s="150">
        <f>L305</f>
        <v>904029</v>
      </c>
      <c r="L305" s="148">
        <f>AD305</f>
        <v>904029</v>
      </c>
      <c r="M305" s="122">
        <f t="shared" si="35"/>
        <v>1</v>
      </c>
      <c r="N305" s="137"/>
      <c r="O305" s="149" t="b">
        <f t="shared" si="36"/>
        <v>1</v>
      </c>
      <c r="P305" s="149">
        <f t="shared" si="37"/>
        <v>0</v>
      </c>
      <c r="Q305" s="149" t="b">
        <f t="shared" si="38"/>
        <v>0</v>
      </c>
      <c r="R305" s="149">
        <f t="shared" si="39"/>
        <v>1</v>
      </c>
      <c r="S305" s="144"/>
      <c r="T305" s="143">
        <v>45720</v>
      </c>
      <c r="U305" s="144" t="s">
        <v>1296</v>
      </c>
      <c r="V305" s="144">
        <v>0</v>
      </c>
      <c r="W305" s="144" t="s">
        <v>1071</v>
      </c>
      <c r="X305" s="144" t="s">
        <v>1801</v>
      </c>
      <c r="Y305" s="144" t="s">
        <v>1802</v>
      </c>
      <c r="Z305" s="145">
        <v>9944324</v>
      </c>
      <c r="AA305" s="145">
        <v>9040295</v>
      </c>
      <c r="AB305" s="144">
        <v>0</v>
      </c>
      <c r="AC305" s="144" t="s">
        <v>1022</v>
      </c>
      <c r="AD305" s="145">
        <v>904029</v>
      </c>
      <c r="AE305" s="144">
        <v>0</v>
      </c>
      <c r="AF305" s="146">
        <v>0</v>
      </c>
      <c r="AG305" s="70">
        <v>0</v>
      </c>
      <c r="AH305" s="70">
        <v>0</v>
      </c>
      <c r="AI305" s="70">
        <v>0</v>
      </c>
      <c r="AJ305" s="70">
        <v>0</v>
      </c>
      <c r="AK305" s="70">
        <v>0</v>
      </c>
      <c r="AL305" s="70">
        <v>0.01</v>
      </c>
      <c r="AM305" s="70">
        <v>0</v>
      </c>
      <c r="AN305" s="70" t="s">
        <v>1860</v>
      </c>
      <c r="AO305" s="70" t="s">
        <v>1804</v>
      </c>
    </row>
    <row r="306" spans="1:41">
      <c r="A306" s="132">
        <f t="shared" si="34"/>
        <v>298</v>
      </c>
      <c r="B306" s="133" t="s">
        <v>1764</v>
      </c>
      <c r="C306" s="133" t="s">
        <v>1905</v>
      </c>
      <c r="D306" s="132" t="s">
        <v>1024</v>
      </c>
      <c r="E306" s="147">
        <v>202500096098</v>
      </c>
      <c r="F306" s="135">
        <v>45776</v>
      </c>
      <c r="G306" s="45"/>
      <c r="H306" s="136"/>
      <c r="I306" s="136">
        <v>174131</v>
      </c>
      <c r="J306" s="137" t="s">
        <v>1025</v>
      </c>
      <c r="K306" s="137"/>
      <c r="L306" s="148">
        <f t="shared" ref="L306:L337" si="40">I306</f>
        <v>174131</v>
      </c>
      <c r="M306" s="122">
        <f t="shared" si="35"/>
        <v>0</v>
      </c>
      <c r="N306" s="137"/>
      <c r="O306" s="149" t="b">
        <f t="shared" si="36"/>
        <v>1</v>
      </c>
      <c r="P306" s="149">
        <f t="shared" si="37"/>
        <v>0</v>
      </c>
      <c r="Q306" s="149" t="b">
        <f t="shared" si="38"/>
        <v>0</v>
      </c>
      <c r="R306" s="149">
        <f t="shared" si="39"/>
        <v>0</v>
      </c>
      <c r="S306" s="144"/>
      <c r="T306" s="143">
        <v>45776</v>
      </c>
      <c r="U306" s="144">
        <v>202500096098</v>
      </c>
      <c r="V306" s="144">
        <v>0</v>
      </c>
      <c r="W306" s="144" t="s">
        <v>1071</v>
      </c>
      <c r="X306" s="144" t="s">
        <v>1801</v>
      </c>
      <c r="Y306" s="144" t="s">
        <v>1802</v>
      </c>
      <c r="Z306" s="145">
        <v>1915436</v>
      </c>
      <c r="AA306" s="145">
        <v>1741305</v>
      </c>
      <c r="AB306" s="144">
        <v>0</v>
      </c>
      <c r="AC306" s="144" t="s">
        <v>1022</v>
      </c>
      <c r="AD306" s="145">
        <v>174131</v>
      </c>
      <c r="AE306" s="144">
        <v>0</v>
      </c>
      <c r="AF306" s="146">
        <v>0</v>
      </c>
      <c r="AG306" s="70">
        <v>0</v>
      </c>
      <c r="AH306" s="70">
        <v>0</v>
      </c>
      <c r="AI306" s="70">
        <v>0</v>
      </c>
      <c r="AJ306" s="70">
        <v>0</v>
      </c>
      <c r="AK306" s="70">
        <v>0</v>
      </c>
      <c r="AL306" s="70">
        <v>0.01</v>
      </c>
      <c r="AM306" s="70">
        <v>0</v>
      </c>
      <c r="AN306" s="70" t="s">
        <v>1826</v>
      </c>
    </row>
    <row r="307" spans="1:41">
      <c r="A307" s="132">
        <f t="shared" si="34"/>
        <v>299</v>
      </c>
      <c r="B307" s="133" t="s">
        <v>1772</v>
      </c>
      <c r="C307" s="133" t="s">
        <v>1922</v>
      </c>
      <c r="D307" s="132" t="s">
        <v>1040</v>
      </c>
      <c r="E307" s="147" t="s">
        <v>1297</v>
      </c>
      <c r="F307" s="135">
        <v>45751</v>
      </c>
      <c r="G307" s="45"/>
      <c r="H307" s="136"/>
      <c r="I307" s="136">
        <v>902677</v>
      </c>
      <c r="J307" s="137" t="s">
        <v>1025</v>
      </c>
      <c r="K307" s="137"/>
      <c r="L307" s="148">
        <f t="shared" si="40"/>
        <v>902677</v>
      </c>
      <c r="M307" s="122">
        <f t="shared" si="35"/>
        <v>0</v>
      </c>
      <c r="N307" s="137"/>
      <c r="O307" s="149" t="b">
        <f t="shared" si="36"/>
        <v>1</v>
      </c>
      <c r="P307" s="149">
        <f t="shared" si="37"/>
        <v>0</v>
      </c>
      <c r="Q307" s="149" t="b">
        <f t="shared" si="38"/>
        <v>0</v>
      </c>
      <c r="R307" s="149">
        <f t="shared" si="39"/>
        <v>0</v>
      </c>
      <c r="S307" s="144"/>
      <c r="T307" s="143">
        <v>45751</v>
      </c>
      <c r="U307" s="144" t="s">
        <v>1297</v>
      </c>
      <c r="V307" s="144">
        <v>0</v>
      </c>
      <c r="W307" s="144" t="s">
        <v>1071</v>
      </c>
      <c r="X307" s="144" t="s">
        <v>1801</v>
      </c>
      <c r="Y307" s="144" t="s">
        <v>1802</v>
      </c>
      <c r="Z307" s="145">
        <v>9929442</v>
      </c>
      <c r="AA307" s="145">
        <v>9026765</v>
      </c>
      <c r="AB307" s="144">
        <v>0</v>
      </c>
      <c r="AC307" s="144" t="s">
        <v>1022</v>
      </c>
      <c r="AD307" s="145">
        <v>902677</v>
      </c>
      <c r="AE307" s="144">
        <v>0</v>
      </c>
      <c r="AF307" s="146">
        <v>0</v>
      </c>
      <c r="AG307" s="70">
        <v>0</v>
      </c>
      <c r="AH307" s="70">
        <v>0</v>
      </c>
      <c r="AI307" s="70">
        <v>0</v>
      </c>
      <c r="AJ307" s="70">
        <v>0</v>
      </c>
      <c r="AK307" s="70">
        <v>0</v>
      </c>
      <c r="AL307" s="70">
        <v>0.01</v>
      </c>
      <c r="AM307" s="70">
        <v>0</v>
      </c>
      <c r="AN307" s="70" t="s">
        <v>1860</v>
      </c>
      <c r="AO307" s="70" t="s">
        <v>1804</v>
      </c>
    </row>
    <row r="308" spans="1:41">
      <c r="A308" s="132">
        <f t="shared" si="34"/>
        <v>300</v>
      </c>
      <c r="B308" s="133" t="s">
        <v>1765</v>
      </c>
      <c r="C308" s="133" t="s">
        <v>1904</v>
      </c>
      <c r="D308" s="132" t="s">
        <v>1698</v>
      </c>
      <c r="E308" s="147" t="s">
        <v>1298</v>
      </c>
      <c r="F308" s="135">
        <v>45776</v>
      </c>
      <c r="G308" s="45"/>
      <c r="H308" s="136"/>
      <c r="I308" s="136">
        <v>1084813</v>
      </c>
      <c r="J308" s="137" t="s">
        <v>1025</v>
      </c>
      <c r="K308" s="137"/>
      <c r="L308" s="148">
        <f t="shared" si="40"/>
        <v>1084813</v>
      </c>
      <c r="M308" s="122">
        <f t="shared" si="35"/>
        <v>0</v>
      </c>
      <c r="N308" s="137"/>
      <c r="O308" s="149" t="b">
        <f t="shared" si="36"/>
        <v>1</v>
      </c>
      <c r="P308" s="149">
        <f t="shared" si="37"/>
        <v>0</v>
      </c>
      <c r="Q308" s="149" t="b">
        <f t="shared" si="38"/>
        <v>0</v>
      </c>
      <c r="R308" s="149">
        <f t="shared" si="39"/>
        <v>0</v>
      </c>
      <c r="S308" s="144"/>
      <c r="T308" s="143">
        <v>45776</v>
      </c>
      <c r="U308" s="144" t="s">
        <v>1298</v>
      </c>
      <c r="V308" s="144">
        <v>0</v>
      </c>
      <c r="W308" s="144" t="s">
        <v>1071</v>
      </c>
      <c r="X308" s="144" t="s">
        <v>1801</v>
      </c>
      <c r="Y308" s="144" t="s">
        <v>1802</v>
      </c>
      <c r="Z308" s="145">
        <v>11932943</v>
      </c>
      <c r="AA308" s="145">
        <v>10848130</v>
      </c>
      <c r="AB308" s="144">
        <v>0</v>
      </c>
      <c r="AC308" s="144" t="s">
        <v>1022</v>
      </c>
      <c r="AD308" s="145">
        <v>1084813</v>
      </c>
      <c r="AE308" s="144">
        <v>0</v>
      </c>
      <c r="AF308" s="146">
        <v>0</v>
      </c>
      <c r="AG308" s="70">
        <v>0</v>
      </c>
      <c r="AH308" s="70">
        <v>0</v>
      </c>
      <c r="AI308" s="70">
        <v>0</v>
      </c>
      <c r="AJ308" s="70">
        <v>0</v>
      </c>
      <c r="AK308" s="70">
        <v>0</v>
      </c>
      <c r="AL308" s="70">
        <v>0.01</v>
      </c>
      <c r="AM308" s="70">
        <v>0</v>
      </c>
      <c r="AN308" s="70" t="s">
        <v>1807</v>
      </c>
    </row>
    <row r="309" spans="1:41">
      <c r="A309" s="132">
        <f t="shared" si="34"/>
        <v>301</v>
      </c>
      <c r="B309" s="133" t="s">
        <v>1072</v>
      </c>
      <c r="C309" s="133" t="s">
        <v>1906</v>
      </c>
      <c r="D309" s="132" t="s">
        <v>1036</v>
      </c>
      <c r="E309" s="147" t="s">
        <v>1299</v>
      </c>
      <c r="F309" s="135">
        <v>45772</v>
      </c>
      <c r="G309" s="45"/>
      <c r="H309" s="136"/>
      <c r="I309" s="136">
        <v>984738</v>
      </c>
      <c r="J309" s="137" t="s">
        <v>1025</v>
      </c>
      <c r="K309" s="137"/>
      <c r="L309" s="148">
        <f t="shared" si="40"/>
        <v>984738</v>
      </c>
      <c r="M309" s="122">
        <f t="shared" si="35"/>
        <v>0</v>
      </c>
      <c r="N309" s="137"/>
      <c r="O309" s="149" t="b">
        <f t="shared" si="36"/>
        <v>1</v>
      </c>
      <c r="P309" s="149">
        <f t="shared" si="37"/>
        <v>0</v>
      </c>
      <c r="Q309" s="149" t="b">
        <f t="shared" si="38"/>
        <v>0</v>
      </c>
      <c r="R309" s="149">
        <f t="shared" si="39"/>
        <v>0</v>
      </c>
      <c r="S309" s="144"/>
      <c r="T309" s="143">
        <v>45772</v>
      </c>
      <c r="U309" s="144" t="s">
        <v>1299</v>
      </c>
      <c r="V309" s="144">
        <v>0</v>
      </c>
      <c r="W309" s="144" t="s">
        <v>1071</v>
      </c>
      <c r="X309" s="144" t="s">
        <v>1801</v>
      </c>
      <c r="Y309" s="144" t="s">
        <v>1802</v>
      </c>
      <c r="Z309" s="145">
        <v>10832118</v>
      </c>
      <c r="AA309" s="145">
        <v>9847380</v>
      </c>
      <c r="AB309" s="144">
        <v>0</v>
      </c>
      <c r="AC309" s="144" t="s">
        <v>1022</v>
      </c>
      <c r="AD309" s="145">
        <v>984738</v>
      </c>
      <c r="AE309" s="144">
        <v>0</v>
      </c>
      <c r="AF309" s="146">
        <v>0</v>
      </c>
      <c r="AG309" s="70">
        <v>0</v>
      </c>
      <c r="AH309" s="70">
        <v>0</v>
      </c>
      <c r="AI309" s="70">
        <v>0</v>
      </c>
      <c r="AJ309" s="70">
        <v>0</v>
      </c>
      <c r="AK309" s="70">
        <v>0</v>
      </c>
      <c r="AL309" s="70">
        <v>0.01</v>
      </c>
      <c r="AM309" s="70">
        <v>0</v>
      </c>
      <c r="AN309" s="70" t="s">
        <v>1861</v>
      </c>
    </row>
    <row r="310" spans="1:41">
      <c r="A310" s="132">
        <f t="shared" si="34"/>
        <v>302</v>
      </c>
      <c r="B310" s="133" t="s">
        <v>1772</v>
      </c>
      <c r="C310" s="133" t="s">
        <v>1922</v>
      </c>
      <c r="D310" s="132" t="s">
        <v>1040</v>
      </c>
      <c r="E310" s="147" t="s">
        <v>1300</v>
      </c>
      <c r="F310" s="135">
        <v>45751</v>
      </c>
      <c r="G310" s="45"/>
      <c r="H310" s="136"/>
      <c r="I310" s="136">
        <v>1783337</v>
      </c>
      <c r="J310" s="137" t="s">
        <v>1025</v>
      </c>
      <c r="K310" s="137"/>
      <c r="L310" s="148">
        <f t="shared" si="40"/>
        <v>1783337</v>
      </c>
      <c r="M310" s="122">
        <f t="shared" si="35"/>
        <v>0</v>
      </c>
      <c r="N310" s="137"/>
      <c r="O310" s="149" t="b">
        <f t="shared" si="36"/>
        <v>1</v>
      </c>
      <c r="P310" s="149">
        <f t="shared" si="37"/>
        <v>0</v>
      </c>
      <c r="Q310" s="149" t="b">
        <f t="shared" si="38"/>
        <v>0</v>
      </c>
      <c r="R310" s="149">
        <f t="shared" si="39"/>
        <v>0</v>
      </c>
      <c r="S310" s="144"/>
      <c r="T310" s="143">
        <v>45751</v>
      </c>
      <c r="U310" s="144" t="s">
        <v>1300</v>
      </c>
      <c r="V310" s="144">
        <v>0</v>
      </c>
      <c r="W310" s="144" t="s">
        <v>1071</v>
      </c>
      <c r="X310" s="144" t="s">
        <v>1801</v>
      </c>
      <c r="Y310" s="144" t="s">
        <v>1802</v>
      </c>
      <c r="Z310" s="145">
        <v>19616702</v>
      </c>
      <c r="AA310" s="145">
        <v>17833365</v>
      </c>
      <c r="AB310" s="144">
        <v>0</v>
      </c>
      <c r="AC310" s="144" t="s">
        <v>1022</v>
      </c>
      <c r="AD310" s="145">
        <v>1783337</v>
      </c>
      <c r="AE310" s="144">
        <v>0</v>
      </c>
      <c r="AF310" s="146">
        <v>0</v>
      </c>
      <c r="AG310" s="70">
        <v>0</v>
      </c>
      <c r="AH310" s="70">
        <v>0</v>
      </c>
      <c r="AI310" s="70">
        <v>0</v>
      </c>
      <c r="AJ310" s="70">
        <v>0</v>
      </c>
      <c r="AK310" s="70">
        <v>0</v>
      </c>
      <c r="AL310" s="70">
        <v>0.01</v>
      </c>
      <c r="AM310" s="70">
        <v>0</v>
      </c>
      <c r="AN310" s="70" t="s">
        <v>1860</v>
      </c>
      <c r="AO310" s="70" t="s">
        <v>1804</v>
      </c>
    </row>
    <row r="311" spans="1:41">
      <c r="A311" s="132">
        <f t="shared" si="34"/>
        <v>303</v>
      </c>
      <c r="B311" s="133" t="s">
        <v>1765</v>
      </c>
      <c r="C311" s="133" t="s">
        <v>1904</v>
      </c>
      <c r="D311" s="132" t="s">
        <v>1698</v>
      </c>
      <c r="E311" s="147" t="s">
        <v>1301</v>
      </c>
      <c r="F311" s="135">
        <v>45776</v>
      </c>
      <c r="G311" s="45"/>
      <c r="H311" s="136"/>
      <c r="I311" s="136">
        <v>1977482</v>
      </c>
      <c r="J311" s="137" t="s">
        <v>1025</v>
      </c>
      <c r="K311" s="137"/>
      <c r="L311" s="148">
        <f t="shared" si="40"/>
        <v>1977482</v>
      </c>
      <c r="M311" s="122">
        <f t="shared" si="35"/>
        <v>0</v>
      </c>
      <c r="N311" s="137"/>
      <c r="O311" s="149" t="b">
        <f t="shared" si="36"/>
        <v>1</v>
      </c>
      <c r="P311" s="149">
        <f t="shared" si="37"/>
        <v>0</v>
      </c>
      <c r="Q311" s="149" t="b">
        <f t="shared" si="38"/>
        <v>0</v>
      </c>
      <c r="R311" s="149">
        <f t="shared" si="39"/>
        <v>0</v>
      </c>
      <c r="S311" s="144"/>
      <c r="T311" s="143">
        <v>45776</v>
      </c>
      <c r="U311" s="144" t="s">
        <v>1301</v>
      </c>
      <c r="V311" s="144">
        <v>0</v>
      </c>
      <c r="W311" s="144" t="s">
        <v>1071</v>
      </c>
      <c r="X311" s="144" t="s">
        <v>1801</v>
      </c>
      <c r="Y311" s="144" t="s">
        <v>1802</v>
      </c>
      <c r="Z311" s="145">
        <v>21752302</v>
      </c>
      <c r="AA311" s="145">
        <v>19774820</v>
      </c>
      <c r="AB311" s="144">
        <v>0</v>
      </c>
      <c r="AC311" s="144" t="s">
        <v>1022</v>
      </c>
      <c r="AD311" s="145">
        <v>1977482</v>
      </c>
      <c r="AE311" s="144">
        <v>0</v>
      </c>
      <c r="AF311" s="146">
        <v>0</v>
      </c>
      <c r="AG311" s="70">
        <v>0</v>
      </c>
      <c r="AH311" s="70">
        <v>0</v>
      </c>
      <c r="AI311" s="70">
        <v>0</v>
      </c>
      <c r="AJ311" s="70">
        <v>0</v>
      </c>
      <c r="AK311" s="70">
        <v>0</v>
      </c>
      <c r="AL311" s="70">
        <v>0.01</v>
      </c>
      <c r="AM311" s="70">
        <v>0</v>
      </c>
      <c r="AN311" s="70" t="s">
        <v>1807</v>
      </c>
    </row>
    <row r="312" spans="1:41">
      <c r="A312" s="132">
        <f t="shared" si="34"/>
        <v>304</v>
      </c>
      <c r="B312" s="133" t="s">
        <v>1764</v>
      </c>
      <c r="C312" s="133" t="s">
        <v>1905</v>
      </c>
      <c r="D312" s="132" t="s">
        <v>1024</v>
      </c>
      <c r="E312" s="147">
        <v>202500090154</v>
      </c>
      <c r="F312" s="135">
        <v>45771</v>
      </c>
      <c r="G312" s="45"/>
      <c r="H312" s="136"/>
      <c r="I312" s="136">
        <v>205354</v>
      </c>
      <c r="J312" s="137" t="s">
        <v>1025</v>
      </c>
      <c r="K312" s="137"/>
      <c r="L312" s="148">
        <f t="shared" si="40"/>
        <v>205354</v>
      </c>
      <c r="M312" s="122">
        <f t="shared" si="35"/>
        <v>0</v>
      </c>
      <c r="N312" s="137"/>
      <c r="O312" s="149" t="b">
        <f t="shared" si="36"/>
        <v>1</v>
      </c>
      <c r="P312" s="149">
        <f t="shared" si="37"/>
        <v>0</v>
      </c>
      <c r="Q312" s="149" t="b">
        <f t="shared" si="38"/>
        <v>0</v>
      </c>
      <c r="R312" s="149">
        <f t="shared" si="39"/>
        <v>0</v>
      </c>
      <c r="S312" s="144"/>
      <c r="T312" s="143">
        <v>45771</v>
      </c>
      <c r="U312" s="144">
        <v>202500090154</v>
      </c>
      <c r="V312" s="144">
        <v>0</v>
      </c>
      <c r="W312" s="144" t="s">
        <v>1071</v>
      </c>
      <c r="X312" s="144" t="s">
        <v>1801</v>
      </c>
      <c r="Y312" s="144" t="s">
        <v>1802</v>
      </c>
      <c r="Z312" s="145">
        <v>2258893</v>
      </c>
      <c r="AA312" s="145">
        <v>2053539</v>
      </c>
      <c r="AB312" s="144">
        <v>0</v>
      </c>
      <c r="AC312" s="144" t="s">
        <v>1022</v>
      </c>
      <c r="AD312" s="145">
        <v>205354</v>
      </c>
      <c r="AE312" s="144">
        <v>0</v>
      </c>
      <c r="AF312" s="146">
        <v>0</v>
      </c>
      <c r="AG312" s="70">
        <v>0</v>
      </c>
      <c r="AH312" s="70">
        <v>0</v>
      </c>
      <c r="AI312" s="70">
        <v>0</v>
      </c>
      <c r="AJ312" s="70">
        <v>0</v>
      </c>
      <c r="AK312" s="70">
        <v>0</v>
      </c>
      <c r="AL312" s="70">
        <v>0.01</v>
      </c>
      <c r="AM312" s="70">
        <v>0</v>
      </c>
      <c r="AN312" s="70" t="s">
        <v>1826</v>
      </c>
    </row>
    <row r="313" spans="1:41">
      <c r="A313" s="132">
        <f t="shared" si="34"/>
        <v>305</v>
      </c>
      <c r="B313" s="133" t="s">
        <v>1072</v>
      </c>
      <c r="C313" s="133" t="s">
        <v>1906</v>
      </c>
      <c r="D313" s="132" t="s">
        <v>1036</v>
      </c>
      <c r="E313" s="147" t="s">
        <v>1302</v>
      </c>
      <c r="F313" s="135">
        <v>45768</v>
      </c>
      <c r="G313" s="45"/>
      <c r="H313" s="136"/>
      <c r="I313" s="136">
        <v>1104828</v>
      </c>
      <c r="J313" s="137" t="s">
        <v>1025</v>
      </c>
      <c r="K313" s="137"/>
      <c r="L313" s="148">
        <f t="shared" si="40"/>
        <v>1104828</v>
      </c>
      <c r="M313" s="122">
        <f t="shared" si="35"/>
        <v>0</v>
      </c>
      <c r="N313" s="137"/>
      <c r="O313" s="149" t="b">
        <f t="shared" si="36"/>
        <v>1</v>
      </c>
      <c r="P313" s="149">
        <f t="shared" si="37"/>
        <v>0</v>
      </c>
      <c r="Q313" s="149" t="b">
        <f t="shared" si="38"/>
        <v>0</v>
      </c>
      <c r="R313" s="149">
        <f t="shared" si="39"/>
        <v>0</v>
      </c>
      <c r="S313" s="144"/>
      <c r="T313" s="143">
        <v>45768</v>
      </c>
      <c r="U313" s="144" t="s">
        <v>1302</v>
      </c>
      <c r="V313" s="144">
        <v>0</v>
      </c>
      <c r="W313" s="144" t="s">
        <v>1071</v>
      </c>
      <c r="X313" s="144" t="s">
        <v>1801</v>
      </c>
      <c r="Y313" s="144" t="s">
        <v>1802</v>
      </c>
      <c r="Z313" s="145">
        <v>12153108</v>
      </c>
      <c r="AA313" s="145">
        <v>11048280</v>
      </c>
      <c r="AB313" s="144">
        <v>0</v>
      </c>
      <c r="AC313" s="144" t="s">
        <v>1022</v>
      </c>
      <c r="AD313" s="145">
        <v>1104828</v>
      </c>
      <c r="AE313" s="144">
        <v>0</v>
      </c>
      <c r="AF313" s="146">
        <v>0</v>
      </c>
      <c r="AG313" s="70">
        <v>0</v>
      </c>
      <c r="AH313" s="70">
        <v>0</v>
      </c>
      <c r="AI313" s="70">
        <v>0</v>
      </c>
      <c r="AJ313" s="70">
        <v>0</v>
      </c>
      <c r="AK313" s="70">
        <v>0</v>
      </c>
      <c r="AL313" s="70">
        <v>0.01</v>
      </c>
      <c r="AM313" s="70">
        <v>0</v>
      </c>
      <c r="AN313" s="70" t="s">
        <v>1829</v>
      </c>
    </row>
    <row r="314" spans="1:41">
      <c r="A314" s="132">
        <f t="shared" si="34"/>
        <v>306</v>
      </c>
      <c r="B314" s="133" t="s">
        <v>1765</v>
      </c>
      <c r="C314" s="133" t="s">
        <v>1904</v>
      </c>
      <c r="D314" s="132" t="s">
        <v>1698</v>
      </c>
      <c r="E314" s="147" t="s">
        <v>1303</v>
      </c>
      <c r="F314" s="135">
        <v>45772</v>
      </c>
      <c r="G314" s="45"/>
      <c r="H314" s="136"/>
      <c r="I314" s="136">
        <v>2221665</v>
      </c>
      <c r="J314" s="137" t="s">
        <v>1025</v>
      </c>
      <c r="K314" s="137"/>
      <c r="L314" s="148">
        <f t="shared" si="40"/>
        <v>2221665</v>
      </c>
      <c r="M314" s="122">
        <f t="shared" si="35"/>
        <v>0</v>
      </c>
      <c r="N314" s="137"/>
      <c r="O314" s="149" t="b">
        <f t="shared" si="36"/>
        <v>1</v>
      </c>
      <c r="P314" s="149">
        <f t="shared" si="37"/>
        <v>0</v>
      </c>
      <c r="Q314" s="149" t="b">
        <f t="shared" si="38"/>
        <v>0</v>
      </c>
      <c r="R314" s="149">
        <f t="shared" si="39"/>
        <v>0</v>
      </c>
      <c r="S314" s="144"/>
      <c r="T314" s="143">
        <v>45772</v>
      </c>
      <c r="U314" s="144" t="s">
        <v>1303</v>
      </c>
      <c r="V314" s="144">
        <v>0</v>
      </c>
      <c r="W314" s="144" t="s">
        <v>1071</v>
      </c>
      <c r="X314" s="144" t="s">
        <v>1801</v>
      </c>
      <c r="Y314" s="144" t="s">
        <v>1802</v>
      </c>
      <c r="Z314" s="145">
        <v>24438315</v>
      </c>
      <c r="AA314" s="145">
        <v>22216650</v>
      </c>
      <c r="AB314" s="144">
        <v>0</v>
      </c>
      <c r="AC314" s="144" t="s">
        <v>1022</v>
      </c>
      <c r="AD314" s="145">
        <v>2221665</v>
      </c>
      <c r="AE314" s="144">
        <v>0</v>
      </c>
      <c r="AF314" s="146">
        <v>0</v>
      </c>
      <c r="AG314" s="70">
        <v>0</v>
      </c>
      <c r="AH314" s="70">
        <v>0</v>
      </c>
      <c r="AI314" s="70">
        <v>0</v>
      </c>
      <c r="AJ314" s="70">
        <v>0</v>
      </c>
      <c r="AK314" s="70">
        <v>0</v>
      </c>
      <c r="AL314" s="70">
        <v>0.01</v>
      </c>
      <c r="AM314" s="70">
        <v>0</v>
      </c>
      <c r="AN314" s="70" t="s">
        <v>1807</v>
      </c>
    </row>
    <row r="315" spans="1:41">
      <c r="A315" s="132">
        <f t="shared" si="34"/>
        <v>307</v>
      </c>
      <c r="B315" s="133" t="s">
        <v>1773</v>
      </c>
      <c r="C315" s="133" t="s">
        <v>1905</v>
      </c>
      <c r="D315" s="132" t="s">
        <v>1024</v>
      </c>
      <c r="E315" s="147">
        <v>202500093601</v>
      </c>
      <c r="F315" s="135">
        <v>45774</v>
      </c>
      <c r="G315" s="45"/>
      <c r="H315" s="136"/>
      <c r="I315" s="136">
        <v>1201</v>
      </c>
      <c r="J315" s="137" t="s">
        <v>1025</v>
      </c>
      <c r="K315" s="137"/>
      <c r="L315" s="148">
        <f t="shared" si="40"/>
        <v>1201</v>
      </c>
      <c r="M315" s="122">
        <f t="shared" si="35"/>
        <v>0</v>
      </c>
      <c r="N315" s="137"/>
      <c r="O315" s="149" t="b">
        <f t="shared" si="36"/>
        <v>1</v>
      </c>
      <c r="P315" s="149">
        <f t="shared" si="37"/>
        <v>0</v>
      </c>
      <c r="Q315" s="149" t="b">
        <f t="shared" si="38"/>
        <v>0</v>
      </c>
      <c r="R315" s="149">
        <f t="shared" si="39"/>
        <v>0</v>
      </c>
      <c r="S315" s="144"/>
      <c r="T315" s="143">
        <v>45774</v>
      </c>
      <c r="U315" s="144">
        <v>202500093601</v>
      </c>
      <c r="V315" s="144">
        <v>0</v>
      </c>
      <c r="W315" s="144" t="s">
        <v>1071</v>
      </c>
      <c r="X315" s="144" t="s">
        <v>1801</v>
      </c>
      <c r="Y315" s="144" t="s">
        <v>1802</v>
      </c>
      <c r="Z315" s="145">
        <v>13210</v>
      </c>
      <c r="AA315" s="145">
        <v>12009</v>
      </c>
      <c r="AB315" s="144">
        <v>0</v>
      </c>
      <c r="AC315" s="144" t="s">
        <v>1022</v>
      </c>
      <c r="AD315" s="145">
        <v>1201</v>
      </c>
      <c r="AE315" s="144">
        <v>0</v>
      </c>
      <c r="AF315" s="146">
        <v>0</v>
      </c>
      <c r="AG315" s="70">
        <v>0</v>
      </c>
      <c r="AH315" s="70">
        <v>0</v>
      </c>
      <c r="AI315" s="70">
        <v>0</v>
      </c>
      <c r="AJ315" s="70">
        <v>0</v>
      </c>
      <c r="AK315" s="70">
        <v>0</v>
      </c>
      <c r="AL315" s="70">
        <v>0.01</v>
      </c>
      <c r="AM315" s="70">
        <v>0</v>
      </c>
      <c r="AN315" s="70" t="s">
        <v>1862</v>
      </c>
    </row>
    <row r="316" spans="1:41">
      <c r="A316" s="132">
        <f t="shared" si="34"/>
        <v>308</v>
      </c>
      <c r="B316" s="133" t="s">
        <v>1773</v>
      </c>
      <c r="C316" s="133" t="s">
        <v>1905</v>
      </c>
      <c r="D316" s="132" t="s">
        <v>1024</v>
      </c>
      <c r="E316" s="147">
        <v>202500093568</v>
      </c>
      <c r="F316" s="135">
        <v>45773</v>
      </c>
      <c r="G316" s="45"/>
      <c r="H316" s="136"/>
      <c r="I316" s="136">
        <v>36027</v>
      </c>
      <c r="J316" s="137" t="s">
        <v>1025</v>
      </c>
      <c r="K316" s="137"/>
      <c r="L316" s="148">
        <f t="shared" si="40"/>
        <v>36027</v>
      </c>
      <c r="M316" s="122">
        <f t="shared" si="35"/>
        <v>0</v>
      </c>
      <c r="N316" s="137"/>
      <c r="O316" s="149" t="b">
        <f t="shared" si="36"/>
        <v>1</v>
      </c>
      <c r="P316" s="149">
        <f t="shared" si="37"/>
        <v>0</v>
      </c>
      <c r="Q316" s="149" t="b">
        <f t="shared" si="38"/>
        <v>0</v>
      </c>
      <c r="R316" s="149">
        <f t="shared" si="39"/>
        <v>0</v>
      </c>
      <c r="S316" s="144"/>
      <c r="T316" s="143">
        <v>45773</v>
      </c>
      <c r="U316" s="144">
        <v>202500093568</v>
      </c>
      <c r="V316" s="144">
        <v>0</v>
      </c>
      <c r="W316" s="144" t="s">
        <v>1071</v>
      </c>
      <c r="X316" s="144" t="s">
        <v>1801</v>
      </c>
      <c r="Y316" s="144" t="s">
        <v>1802</v>
      </c>
      <c r="Z316" s="145">
        <v>396297</v>
      </c>
      <c r="AA316" s="145">
        <v>360270</v>
      </c>
      <c r="AB316" s="144">
        <v>0</v>
      </c>
      <c r="AC316" s="144" t="s">
        <v>1022</v>
      </c>
      <c r="AD316" s="145">
        <v>36027</v>
      </c>
      <c r="AE316" s="144">
        <v>0</v>
      </c>
      <c r="AF316" s="146">
        <v>0</v>
      </c>
      <c r="AG316" s="70">
        <v>0</v>
      </c>
      <c r="AH316" s="70">
        <v>0</v>
      </c>
      <c r="AI316" s="70">
        <v>0</v>
      </c>
      <c r="AJ316" s="70">
        <v>0</v>
      </c>
      <c r="AK316" s="70">
        <v>0</v>
      </c>
      <c r="AL316" s="70">
        <v>0.01</v>
      </c>
      <c r="AM316" s="70">
        <v>0</v>
      </c>
      <c r="AN316" s="70" t="s">
        <v>1862</v>
      </c>
    </row>
    <row r="317" spans="1:41">
      <c r="A317" s="132">
        <f t="shared" si="34"/>
        <v>309</v>
      </c>
      <c r="B317" s="133" t="s">
        <v>1764</v>
      </c>
      <c r="C317" s="133" t="s">
        <v>1905</v>
      </c>
      <c r="D317" s="132" t="s">
        <v>1024</v>
      </c>
      <c r="E317" s="147">
        <v>202500086733</v>
      </c>
      <c r="F317" s="135">
        <v>45769</v>
      </c>
      <c r="G317" s="45"/>
      <c r="H317" s="136"/>
      <c r="I317" s="136">
        <v>159760</v>
      </c>
      <c r="J317" s="137" t="s">
        <v>1025</v>
      </c>
      <c r="K317" s="137"/>
      <c r="L317" s="148">
        <f t="shared" si="40"/>
        <v>159760</v>
      </c>
      <c r="M317" s="122">
        <f t="shared" si="35"/>
        <v>0</v>
      </c>
      <c r="N317" s="137"/>
      <c r="O317" s="149" t="b">
        <f t="shared" si="36"/>
        <v>1</v>
      </c>
      <c r="P317" s="149">
        <f t="shared" si="37"/>
        <v>0</v>
      </c>
      <c r="Q317" s="149" t="b">
        <f t="shared" si="38"/>
        <v>0</v>
      </c>
      <c r="R317" s="149">
        <f t="shared" si="39"/>
        <v>0</v>
      </c>
      <c r="S317" s="144"/>
      <c r="T317" s="143">
        <v>45769</v>
      </c>
      <c r="U317" s="144">
        <v>202500086733</v>
      </c>
      <c r="V317" s="144">
        <v>0</v>
      </c>
      <c r="W317" s="144" t="s">
        <v>1071</v>
      </c>
      <c r="X317" s="144" t="s">
        <v>1801</v>
      </c>
      <c r="Y317" s="144" t="s">
        <v>1802</v>
      </c>
      <c r="Z317" s="145">
        <v>1757356</v>
      </c>
      <c r="AA317" s="145">
        <v>1597596</v>
      </c>
      <c r="AB317" s="144">
        <v>0</v>
      </c>
      <c r="AC317" s="144" t="s">
        <v>1022</v>
      </c>
      <c r="AD317" s="145">
        <v>159760</v>
      </c>
      <c r="AE317" s="144">
        <v>0</v>
      </c>
      <c r="AF317" s="146">
        <v>0</v>
      </c>
      <c r="AG317" s="70">
        <v>0</v>
      </c>
      <c r="AH317" s="70">
        <v>0</v>
      </c>
      <c r="AI317" s="70">
        <v>0</v>
      </c>
      <c r="AJ317" s="70">
        <v>0</v>
      </c>
      <c r="AK317" s="70">
        <v>0</v>
      </c>
      <c r="AL317" s="70">
        <v>0.01</v>
      </c>
      <c r="AM317" s="70">
        <v>0</v>
      </c>
      <c r="AN317" s="70" t="s">
        <v>1826</v>
      </c>
    </row>
    <row r="318" spans="1:41">
      <c r="A318" s="132">
        <f t="shared" si="34"/>
        <v>310</v>
      </c>
      <c r="B318" s="133" t="s">
        <v>1072</v>
      </c>
      <c r="C318" s="133" t="s">
        <v>1906</v>
      </c>
      <c r="D318" s="132" t="s">
        <v>1036</v>
      </c>
      <c r="E318" s="147" t="s">
        <v>1304</v>
      </c>
      <c r="F318" s="135">
        <v>45764</v>
      </c>
      <c r="G318" s="45"/>
      <c r="H318" s="136"/>
      <c r="I318" s="136">
        <v>865080</v>
      </c>
      <c r="J318" s="137" t="s">
        <v>1025</v>
      </c>
      <c r="K318" s="137"/>
      <c r="L318" s="148">
        <f t="shared" si="40"/>
        <v>865080</v>
      </c>
      <c r="M318" s="122">
        <f t="shared" si="35"/>
        <v>0</v>
      </c>
      <c r="N318" s="137"/>
      <c r="O318" s="149" t="b">
        <f t="shared" si="36"/>
        <v>1</v>
      </c>
      <c r="P318" s="149">
        <f t="shared" si="37"/>
        <v>0</v>
      </c>
      <c r="Q318" s="149" t="b">
        <f t="shared" si="38"/>
        <v>0</v>
      </c>
      <c r="R318" s="149">
        <f t="shared" si="39"/>
        <v>0</v>
      </c>
      <c r="S318" s="144"/>
      <c r="T318" s="143">
        <v>45764</v>
      </c>
      <c r="U318" s="144" t="s">
        <v>1304</v>
      </c>
      <c r="V318" s="144">
        <v>0</v>
      </c>
      <c r="W318" s="144" t="s">
        <v>1071</v>
      </c>
      <c r="X318" s="144" t="s">
        <v>1801</v>
      </c>
      <c r="Y318" s="144" t="s">
        <v>1802</v>
      </c>
      <c r="Z318" s="145">
        <v>9515880</v>
      </c>
      <c r="AA318" s="145">
        <v>8650800</v>
      </c>
      <c r="AB318" s="144">
        <v>0</v>
      </c>
      <c r="AC318" s="144" t="s">
        <v>1022</v>
      </c>
      <c r="AD318" s="145">
        <v>865080</v>
      </c>
      <c r="AE318" s="144">
        <v>0</v>
      </c>
      <c r="AF318" s="146">
        <v>0</v>
      </c>
      <c r="AG318" s="70">
        <v>0</v>
      </c>
      <c r="AH318" s="70">
        <v>0</v>
      </c>
      <c r="AI318" s="70">
        <v>0</v>
      </c>
      <c r="AJ318" s="70">
        <v>0</v>
      </c>
      <c r="AK318" s="70">
        <v>0</v>
      </c>
      <c r="AL318" s="70">
        <v>0.01</v>
      </c>
      <c r="AM318" s="70">
        <v>0</v>
      </c>
      <c r="AN318" s="70" t="s">
        <v>1863</v>
      </c>
    </row>
    <row r="319" spans="1:41">
      <c r="A319" s="132">
        <f t="shared" si="34"/>
        <v>311</v>
      </c>
      <c r="B319" s="133" t="s">
        <v>1765</v>
      </c>
      <c r="C319" s="133" t="s">
        <v>1904</v>
      </c>
      <c r="D319" s="132" t="s">
        <v>1698</v>
      </c>
      <c r="E319" s="147" t="s">
        <v>1305</v>
      </c>
      <c r="F319" s="135">
        <v>45768</v>
      </c>
      <c r="G319" s="45"/>
      <c r="H319" s="136"/>
      <c r="I319" s="136">
        <v>1733299</v>
      </c>
      <c r="J319" s="137" t="s">
        <v>1025</v>
      </c>
      <c r="K319" s="137"/>
      <c r="L319" s="148">
        <f t="shared" si="40"/>
        <v>1733299</v>
      </c>
      <c r="M319" s="122">
        <f t="shared" si="35"/>
        <v>0</v>
      </c>
      <c r="N319" s="137"/>
      <c r="O319" s="149" t="b">
        <f t="shared" si="36"/>
        <v>1</v>
      </c>
      <c r="P319" s="149">
        <f t="shared" si="37"/>
        <v>0</v>
      </c>
      <c r="Q319" s="149" t="b">
        <f t="shared" si="38"/>
        <v>0</v>
      </c>
      <c r="R319" s="149">
        <f t="shared" si="39"/>
        <v>0</v>
      </c>
      <c r="S319" s="144"/>
      <c r="T319" s="143">
        <v>45768</v>
      </c>
      <c r="U319" s="144" t="s">
        <v>1305</v>
      </c>
      <c r="V319" s="144">
        <v>0</v>
      </c>
      <c r="W319" s="144" t="s">
        <v>1071</v>
      </c>
      <c r="X319" s="144" t="s">
        <v>1801</v>
      </c>
      <c r="Y319" s="144" t="s">
        <v>1802</v>
      </c>
      <c r="Z319" s="145">
        <v>19066289</v>
      </c>
      <c r="AA319" s="145">
        <v>17332990</v>
      </c>
      <c r="AB319" s="144">
        <v>0</v>
      </c>
      <c r="AC319" s="144" t="s">
        <v>1022</v>
      </c>
      <c r="AD319" s="145">
        <v>1733299</v>
      </c>
      <c r="AE319" s="144">
        <v>0</v>
      </c>
      <c r="AF319" s="146">
        <v>0</v>
      </c>
      <c r="AG319" s="70">
        <v>0</v>
      </c>
      <c r="AH319" s="70">
        <v>0</v>
      </c>
      <c r="AI319" s="70">
        <v>0</v>
      </c>
      <c r="AJ319" s="70">
        <v>0</v>
      </c>
      <c r="AK319" s="70">
        <v>0</v>
      </c>
      <c r="AL319" s="70">
        <v>0.01</v>
      </c>
      <c r="AM319" s="70">
        <v>0</v>
      </c>
      <c r="AN319" s="70" t="s">
        <v>1807</v>
      </c>
    </row>
    <row r="320" spans="1:41">
      <c r="A320" s="132">
        <f t="shared" si="34"/>
        <v>312</v>
      </c>
      <c r="B320" s="133" t="s">
        <v>1772</v>
      </c>
      <c r="C320" s="133" t="s">
        <v>1922</v>
      </c>
      <c r="D320" s="132" t="s">
        <v>1040</v>
      </c>
      <c r="E320" s="147" t="s">
        <v>1306</v>
      </c>
      <c r="F320" s="135">
        <v>45770</v>
      </c>
      <c r="G320" s="45"/>
      <c r="H320" s="136"/>
      <c r="I320" s="136">
        <v>902677</v>
      </c>
      <c r="J320" s="137" t="s">
        <v>1025</v>
      </c>
      <c r="K320" s="137"/>
      <c r="L320" s="148">
        <f t="shared" si="40"/>
        <v>902677</v>
      </c>
      <c r="M320" s="122">
        <f t="shared" si="35"/>
        <v>0</v>
      </c>
      <c r="N320" s="137"/>
      <c r="O320" s="149" t="b">
        <f t="shared" si="36"/>
        <v>1</v>
      </c>
      <c r="P320" s="149">
        <f t="shared" si="37"/>
        <v>0</v>
      </c>
      <c r="Q320" s="149" t="b">
        <f t="shared" si="38"/>
        <v>0</v>
      </c>
      <c r="R320" s="149">
        <f t="shared" si="39"/>
        <v>0</v>
      </c>
      <c r="S320" s="144"/>
      <c r="T320" s="143">
        <v>45770</v>
      </c>
      <c r="U320" s="144" t="s">
        <v>1306</v>
      </c>
      <c r="V320" s="144">
        <v>0</v>
      </c>
      <c r="W320" s="144" t="s">
        <v>1071</v>
      </c>
      <c r="X320" s="144" t="s">
        <v>1801</v>
      </c>
      <c r="Y320" s="144" t="s">
        <v>1802</v>
      </c>
      <c r="Z320" s="145">
        <v>9929442</v>
      </c>
      <c r="AA320" s="145">
        <v>9026765</v>
      </c>
      <c r="AB320" s="144">
        <v>0</v>
      </c>
      <c r="AC320" s="144" t="s">
        <v>1022</v>
      </c>
      <c r="AD320" s="145">
        <v>902677</v>
      </c>
      <c r="AE320" s="144">
        <v>0</v>
      </c>
      <c r="AF320" s="146">
        <v>0</v>
      </c>
      <c r="AG320" s="70">
        <v>0</v>
      </c>
      <c r="AH320" s="70">
        <v>0</v>
      </c>
      <c r="AI320" s="70">
        <v>0</v>
      </c>
      <c r="AJ320" s="70">
        <v>0</v>
      </c>
      <c r="AK320" s="70">
        <v>0</v>
      </c>
      <c r="AL320" s="70">
        <v>0.01</v>
      </c>
      <c r="AM320" s="70">
        <v>0</v>
      </c>
      <c r="AN320" s="70" t="s">
        <v>1860</v>
      </c>
      <c r="AO320" s="70" t="s">
        <v>1804</v>
      </c>
    </row>
    <row r="321" spans="1:41">
      <c r="A321" s="132">
        <f t="shared" si="34"/>
        <v>313</v>
      </c>
      <c r="B321" s="133" t="s">
        <v>1764</v>
      </c>
      <c r="C321" s="133" t="s">
        <v>1905</v>
      </c>
      <c r="D321" s="132" t="s">
        <v>1024</v>
      </c>
      <c r="E321" s="147">
        <v>202500096301</v>
      </c>
      <c r="F321" s="135">
        <v>45777</v>
      </c>
      <c r="G321" s="45"/>
      <c r="H321" s="136"/>
      <c r="I321" s="136">
        <v>174131</v>
      </c>
      <c r="J321" s="137" t="s">
        <v>1025</v>
      </c>
      <c r="K321" s="137"/>
      <c r="L321" s="148">
        <f t="shared" si="40"/>
        <v>174131</v>
      </c>
      <c r="M321" s="122">
        <f t="shared" si="35"/>
        <v>0</v>
      </c>
      <c r="N321" s="137"/>
      <c r="O321" s="149" t="b">
        <f t="shared" si="36"/>
        <v>1</v>
      </c>
      <c r="P321" s="149">
        <f t="shared" si="37"/>
        <v>0</v>
      </c>
      <c r="Q321" s="149" t="b">
        <f t="shared" si="38"/>
        <v>0</v>
      </c>
      <c r="R321" s="149">
        <f t="shared" si="39"/>
        <v>0</v>
      </c>
      <c r="S321" s="144"/>
      <c r="T321" s="143">
        <v>45777</v>
      </c>
      <c r="U321" s="144">
        <v>202500096301</v>
      </c>
      <c r="V321" s="144">
        <v>0</v>
      </c>
      <c r="W321" s="144" t="s">
        <v>1071</v>
      </c>
      <c r="X321" s="144" t="s">
        <v>1801</v>
      </c>
      <c r="Y321" s="144" t="s">
        <v>1802</v>
      </c>
      <c r="Z321" s="145">
        <v>1915436</v>
      </c>
      <c r="AA321" s="145">
        <v>1741305</v>
      </c>
      <c r="AB321" s="144">
        <v>0</v>
      </c>
      <c r="AC321" s="144" t="s">
        <v>1022</v>
      </c>
      <c r="AD321" s="145">
        <v>174131</v>
      </c>
      <c r="AE321" s="144">
        <v>0</v>
      </c>
      <c r="AF321" s="146">
        <v>0</v>
      </c>
      <c r="AG321" s="70">
        <v>0</v>
      </c>
      <c r="AH321" s="70">
        <v>0</v>
      </c>
      <c r="AI321" s="70">
        <v>0</v>
      </c>
      <c r="AJ321" s="70">
        <v>0</v>
      </c>
      <c r="AK321" s="70">
        <v>0</v>
      </c>
      <c r="AL321" s="70">
        <v>0.01</v>
      </c>
      <c r="AM321" s="70">
        <v>0</v>
      </c>
      <c r="AN321" s="70" t="s">
        <v>1826</v>
      </c>
    </row>
    <row r="322" spans="1:41">
      <c r="A322" s="132">
        <f t="shared" si="34"/>
        <v>314</v>
      </c>
      <c r="B322" s="133" t="s">
        <v>1774</v>
      </c>
      <c r="C322" s="133" t="s">
        <v>1922</v>
      </c>
      <c r="D322" s="132" t="s">
        <v>1040</v>
      </c>
      <c r="E322" s="147" t="s">
        <v>1307</v>
      </c>
      <c r="F322" s="135">
        <v>45805</v>
      </c>
      <c r="G322" s="45"/>
      <c r="H322" s="136"/>
      <c r="I322" s="136">
        <v>14411</v>
      </c>
      <c r="J322" s="137" t="s">
        <v>1025</v>
      </c>
      <c r="K322" s="137"/>
      <c r="L322" s="148">
        <f t="shared" si="40"/>
        <v>14411</v>
      </c>
      <c r="M322" s="122">
        <f t="shared" si="35"/>
        <v>0</v>
      </c>
      <c r="N322" s="137"/>
      <c r="O322" s="149" t="b">
        <f t="shared" si="36"/>
        <v>1</v>
      </c>
      <c r="P322" s="149">
        <f t="shared" si="37"/>
        <v>0</v>
      </c>
      <c r="Q322" s="149" t="b">
        <f t="shared" si="38"/>
        <v>0</v>
      </c>
      <c r="R322" s="149">
        <f t="shared" si="39"/>
        <v>0</v>
      </c>
      <c r="S322" s="144"/>
      <c r="T322" s="143">
        <v>45805</v>
      </c>
      <c r="U322" s="144" t="s">
        <v>1307</v>
      </c>
      <c r="V322" s="144">
        <v>0</v>
      </c>
      <c r="W322" s="144" t="s">
        <v>1071</v>
      </c>
      <c r="X322" s="144" t="s">
        <v>1801</v>
      </c>
      <c r="Y322" s="144" t="s">
        <v>1802</v>
      </c>
      <c r="Z322" s="145">
        <v>158519</v>
      </c>
      <c r="AA322" s="145">
        <v>144108</v>
      </c>
      <c r="AB322" s="144">
        <v>0</v>
      </c>
      <c r="AC322" s="144" t="s">
        <v>1022</v>
      </c>
      <c r="AD322" s="145">
        <v>14411</v>
      </c>
      <c r="AE322" s="144">
        <v>0</v>
      </c>
      <c r="AF322" s="146">
        <v>0</v>
      </c>
      <c r="AG322" s="70">
        <v>0</v>
      </c>
      <c r="AH322" s="70">
        <v>0</v>
      </c>
      <c r="AI322" s="70">
        <v>0</v>
      </c>
      <c r="AJ322" s="70">
        <v>0</v>
      </c>
      <c r="AK322" s="70">
        <v>0</v>
      </c>
      <c r="AL322" s="70">
        <v>0.01</v>
      </c>
      <c r="AM322" s="70">
        <v>0</v>
      </c>
      <c r="AN322" s="70" t="s">
        <v>1864</v>
      </c>
      <c r="AO322" s="70" t="s">
        <v>1804</v>
      </c>
    </row>
    <row r="323" spans="1:41">
      <c r="A323" s="132">
        <f t="shared" si="34"/>
        <v>315</v>
      </c>
      <c r="B323" s="133" t="s">
        <v>1764</v>
      </c>
      <c r="C323" s="133" t="s">
        <v>1905</v>
      </c>
      <c r="D323" s="132" t="s">
        <v>1024</v>
      </c>
      <c r="E323" s="147">
        <v>202500096304</v>
      </c>
      <c r="F323" s="135">
        <v>45777</v>
      </c>
      <c r="G323" s="45"/>
      <c r="H323" s="136"/>
      <c r="I323" s="136">
        <v>348261</v>
      </c>
      <c r="J323" s="137" t="s">
        <v>1025</v>
      </c>
      <c r="K323" s="137"/>
      <c r="L323" s="148">
        <f t="shared" si="40"/>
        <v>348261</v>
      </c>
      <c r="M323" s="122">
        <f t="shared" si="35"/>
        <v>0</v>
      </c>
      <c r="N323" s="137"/>
      <c r="O323" s="149" t="b">
        <f t="shared" si="36"/>
        <v>1</v>
      </c>
      <c r="P323" s="149">
        <f t="shared" si="37"/>
        <v>0</v>
      </c>
      <c r="Q323" s="149" t="b">
        <f t="shared" si="38"/>
        <v>0</v>
      </c>
      <c r="R323" s="149">
        <f t="shared" si="39"/>
        <v>0</v>
      </c>
      <c r="S323" s="144"/>
      <c r="T323" s="143">
        <v>45777</v>
      </c>
      <c r="U323" s="144">
        <v>202500096304</v>
      </c>
      <c r="V323" s="144">
        <v>0</v>
      </c>
      <c r="W323" s="144" t="s">
        <v>1071</v>
      </c>
      <c r="X323" s="144" t="s">
        <v>1801</v>
      </c>
      <c r="Y323" s="144" t="s">
        <v>1802</v>
      </c>
      <c r="Z323" s="145">
        <v>3830871</v>
      </c>
      <c r="AA323" s="145">
        <v>3482610</v>
      </c>
      <c r="AB323" s="144">
        <v>0</v>
      </c>
      <c r="AC323" s="144" t="s">
        <v>1022</v>
      </c>
      <c r="AD323" s="145">
        <v>348261</v>
      </c>
      <c r="AE323" s="144">
        <v>0</v>
      </c>
      <c r="AF323" s="146">
        <v>0</v>
      </c>
      <c r="AG323" s="70">
        <v>0</v>
      </c>
      <c r="AH323" s="70">
        <v>0</v>
      </c>
      <c r="AI323" s="70">
        <v>0</v>
      </c>
      <c r="AJ323" s="70">
        <v>0</v>
      </c>
      <c r="AK323" s="70">
        <v>0</v>
      </c>
      <c r="AL323" s="70">
        <v>0.01</v>
      </c>
      <c r="AM323" s="70">
        <v>0</v>
      </c>
      <c r="AN323" s="70" t="s">
        <v>1826</v>
      </c>
    </row>
    <row r="324" spans="1:41">
      <c r="A324" s="132">
        <f t="shared" si="34"/>
        <v>316</v>
      </c>
      <c r="B324" s="133" t="s">
        <v>1775</v>
      </c>
      <c r="C324" s="133" t="s">
        <v>1922</v>
      </c>
      <c r="D324" s="132" t="s">
        <v>1040</v>
      </c>
      <c r="E324" s="147" t="s">
        <v>1308</v>
      </c>
      <c r="F324" s="135">
        <v>45801</v>
      </c>
      <c r="G324" s="45"/>
      <c r="H324" s="136"/>
      <c r="I324" s="136">
        <v>110083</v>
      </c>
      <c r="J324" s="137" t="s">
        <v>1025</v>
      </c>
      <c r="K324" s="137"/>
      <c r="L324" s="148">
        <f t="shared" si="40"/>
        <v>110083</v>
      </c>
      <c r="M324" s="122">
        <f t="shared" si="35"/>
        <v>0</v>
      </c>
      <c r="N324" s="137"/>
      <c r="O324" s="149" t="b">
        <f t="shared" si="36"/>
        <v>1</v>
      </c>
      <c r="P324" s="149">
        <f t="shared" si="37"/>
        <v>0</v>
      </c>
      <c r="Q324" s="149" t="b">
        <f t="shared" si="38"/>
        <v>0</v>
      </c>
      <c r="R324" s="149">
        <f t="shared" si="39"/>
        <v>0</v>
      </c>
      <c r="S324" s="144"/>
      <c r="T324" s="143">
        <v>45801</v>
      </c>
      <c r="U324" s="144" t="s">
        <v>1308</v>
      </c>
      <c r="V324" s="144">
        <v>0</v>
      </c>
      <c r="W324" s="144" t="s">
        <v>1071</v>
      </c>
      <c r="X324" s="144" t="s">
        <v>1801</v>
      </c>
      <c r="Y324" s="144" t="s">
        <v>1802</v>
      </c>
      <c r="Z324" s="145">
        <v>1210908</v>
      </c>
      <c r="AA324" s="145">
        <v>1100825</v>
      </c>
      <c r="AB324" s="144">
        <v>0</v>
      </c>
      <c r="AC324" s="144" t="s">
        <v>1022</v>
      </c>
      <c r="AD324" s="145">
        <v>110083</v>
      </c>
      <c r="AE324" s="144">
        <v>0</v>
      </c>
      <c r="AF324" s="146">
        <v>0</v>
      </c>
      <c r="AG324" s="70">
        <v>0</v>
      </c>
      <c r="AH324" s="70">
        <v>0</v>
      </c>
      <c r="AI324" s="70">
        <v>0</v>
      </c>
      <c r="AJ324" s="70">
        <v>0</v>
      </c>
      <c r="AK324" s="70">
        <v>0</v>
      </c>
      <c r="AL324" s="70">
        <v>0.01</v>
      </c>
      <c r="AM324" s="70">
        <v>0</v>
      </c>
      <c r="AN324" s="70" t="s">
        <v>1865</v>
      </c>
      <c r="AO324" s="70" t="s">
        <v>1804</v>
      </c>
    </row>
    <row r="325" spans="1:41">
      <c r="A325" s="132">
        <f t="shared" si="34"/>
        <v>317</v>
      </c>
      <c r="B325" s="133" t="s">
        <v>1773</v>
      </c>
      <c r="C325" s="133" t="s">
        <v>1905</v>
      </c>
      <c r="D325" s="132" t="s">
        <v>1024</v>
      </c>
      <c r="E325" s="147">
        <v>202500093595</v>
      </c>
      <c r="F325" s="135">
        <v>45773</v>
      </c>
      <c r="G325" s="45"/>
      <c r="H325" s="136"/>
      <c r="I325" s="136">
        <v>2402</v>
      </c>
      <c r="J325" s="137" t="s">
        <v>1025</v>
      </c>
      <c r="K325" s="137"/>
      <c r="L325" s="148">
        <f t="shared" si="40"/>
        <v>2402</v>
      </c>
      <c r="M325" s="122">
        <f t="shared" si="35"/>
        <v>0</v>
      </c>
      <c r="N325" s="137"/>
      <c r="O325" s="149" t="b">
        <f t="shared" si="36"/>
        <v>1</v>
      </c>
      <c r="P325" s="149">
        <f t="shared" si="37"/>
        <v>0</v>
      </c>
      <c r="Q325" s="149" t="b">
        <f t="shared" si="38"/>
        <v>0</v>
      </c>
      <c r="R325" s="149">
        <f t="shared" si="39"/>
        <v>0</v>
      </c>
      <c r="S325" s="144"/>
      <c r="T325" s="143">
        <v>45773</v>
      </c>
      <c r="U325" s="144">
        <v>202500093595</v>
      </c>
      <c r="V325" s="144">
        <v>0</v>
      </c>
      <c r="W325" s="144" t="s">
        <v>1071</v>
      </c>
      <c r="X325" s="144" t="s">
        <v>1801</v>
      </c>
      <c r="Y325" s="144" t="s">
        <v>1802</v>
      </c>
      <c r="Z325" s="145">
        <v>26420</v>
      </c>
      <c r="AA325" s="145">
        <v>24018</v>
      </c>
      <c r="AB325" s="144">
        <v>0</v>
      </c>
      <c r="AC325" s="144" t="s">
        <v>1022</v>
      </c>
      <c r="AD325" s="145">
        <v>2402</v>
      </c>
      <c r="AE325" s="144">
        <v>0</v>
      </c>
      <c r="AF325" s="146">
        <v>0</v>
      </c>
      <c r="AG325" s="70">
        <v>0</v>
      </c>
      <c r="AH325" s="70">
        <v>0</v>
      </c>
      <c r="AI325" s="70">
        <v>0</v>
      </c>
      <c r="AJ325" s="70">
        <v>0</v>
      </c>
      <c r="AK325" s="70">
        <v>0</v>
      </c>
      <c r="AL325" s="70">
        <v>0.01</v>
      </c>
      <c r="AM325" s="70">
        <v>0</v>
      </c>
      <c r="AN325" s="70" t="s">
        <v>1862</v>
      </c>
    </row>
    <row r="326" spans="1:41">
      <c r="A326" s="132">
        <f t="shared" si="34"/>
        <v>318</v>
      </c>
      <c r="B326" s="133" t="s">
        <v>1765</v>
      </c>
      <c r="C326" s="133" t="s">
        <v>1904</v>
      </c>
      <c r="D326" s="132" t="s">
        <v>1698</v>
      </c>
      <c r="E326" s="147" t="s">
        <v>1309</v>
      </c>
      <c r="F326" s="135">
        <v>45751</v>
      </c>
      <c r="G326" s="45"/>
      <c r="H326" s="136"/>
      <c r="I326" s="136">
        <v>1084813</v>
      </c>
      <c r="J326" s="137" t="s">
        <v>1025</v>
      </c>
      <c r="K326" s="137"/>
      <c r="L326" s="148">
        <f t="shared" si="40"/>
        <v>1084813</v>
      </c>
      <c r="M326" s="122">
        <f t="shared" si="35"/>
        <v>0</v>
      </c>
      <c r="N326" s="137"/>
      <c r="O326" s="149" t="b">
        <f t="shared" si="36"/>
        <v>1</v>
      </c>
      <c r="P326" s="149">
        <f t="shared" si="37"/>
        <v>0</v>
      </c>
      <c r="Q326" s="149" t="b">
        <f t="shared" si="38"/>
        <v>0</v>
      </c>
      <c r="R326" s="149">
        <f t="shared" si="39"/>
        <v>0</v>
      </c>
      <c r="S326" s="144"/>
      <c r="T326" s="143">
        <v>45751</v>
      </c>
      <c r="U326" s="144" t="s">
        <v>1309</v>
      </c>
      <c r="V326" s="144">
        <v>0</v>
      </c>
      <c r="W326" s="144" t="s">
        <v>1071</v>
      </c>
      <c r="X326" s="144" t="s">
        <v>1801</v>
      </c>
      <c r="Y326" s="144" t="s">
        <v>1802</v>
      </c>
      <c r="Z326" s="145">
        <v>11932943</v>
      </c>
      <c r="AA326" s="145">
        <v>10848130</v>
      </c>
      <c r="AB326" s="144">
        <v>0</v>
      </c>
      <c r="AC326" s="144" t="s">
        <v>1022</v>
      </c>
      <c r="AD326" s="145">
        <v>1084813</v>
      </c>
      <c r="AE326" s="144">
        <v>0</v>
      </c>
      <c r="AF326" s="146">
        <v>0</v>
      </c>
      <c r="AG326" s="70">
        <v>0</v>
      </c>
      <c r="AH326" s="70">
        <v>0</v>
      </c>
      <c r="AI326" s="70">
        <v>0</v>
      </c>
      <c r="AJ326" s="70">
        <v>0</v>
      </c>
      <c r="AK326" s="70">
        <v>0</v>
      </c>
      <c r="AL326" s="70">
        <v>0.01</v>
      </c>
      <c r="AM326" s="70">
        <v>0</v>
      </c>
      <c r="AN326" s="70" t="s">
        <v>1807</v>
      </c>
    </row>
    <row r="327" spans="1:41">
      <c r="A327" s="132">
        <f t="shared" si="34"/>
        <v>319</v>
      </c>
      <c r="B327" s="133" t="s">
        <v>1764</v>
      </c>
      <c r="C327" s="133" t="s">
        <v>1905</v>
      </c>
      <c r="D327" s="132" t="s">
        <v>1024</v>
      </c>
      <c r="E327" s="147">
        <v>202500080080</v>
      </c>
      <c r="F327" s="135">
        <v>45758</v>
      </c>
      <c r="G327" s="45"/>
      <c r="H327" s="136"/>
      <c r="I327" s="136">
        <v>205508</v>
      </c>
      <c r="J327" s="137" t="s">
        <v>1025</v>
      </c>
      <c r="K327" s="137"/>
      <c r="L327" s="148">
        <f t="shared" si="40"/>
        <v>205508</v>
      </c>
      <c r="M327" s="122">
        <f t="shared" si="35"/>
        <v>0</v>
      </c>
      <c r="N327" s="137"/>
      <c r="O327" s="149" t="b">
        <f t="shared" si="36"/>
        <v>1</v>
      </c>
      <c r="P327" s="149">
        <f t="shared" si="37"/>
        <v>0</v>
      </c>
      <c r="Q327" s="149" t="b">
        <f t="shared" si="38"/>
        <v>0</v>
      </c>
      <c r="R327" s="149">
        <f t="shared" si="39"/>
        <v>0</v>
      </c>
      <c r="S327" s="144"/>
      <c r="T327" s="143">
        <v>45758</v>
      </c>
      <c r="U327" s="144">
        <v>202500080080</v>
      </c>
      <c r="V327" s="144">
        <v>0</v>
      </c>
      <c r="W327" s="144" t="s">
        <v>1071</v>
      </c>
      <c r="X327" s="144" t="s">
        <v>1801</v>
      </c>
      <c r="Y327" s="144" t="s">
        <v>1802</v>
      </c>
      <c r="Z327" s="145">
        <v>2260586</v>
      </c>
      <c r="AA327" s="145">
        <v>2055078</v>
      </c>
      <c r="AB327" s="144">
        <v>0</v>
      </c>
      <c r="AC327" s="144" t="s">
        <v>1022</v>
      </c>
      <c r="AD327" s="145">
        <v>205508</v>
      </c>
      <c r="AE327" s="144">
        <v>0</v>
      </c>
      <c r="AF327" s="146">
        <v>0</v>
      </c>
      <c r="AG327" s="70">
        <v>0</v>
      </c>
      <c r="AH327" s="70">
        <v>0</v>
      </c>
      <c r="AI327" s="70">
        <v>0</v>
      </c>
      <c r="AJ327" s="70">
        <v>0</v>
      </c>
      <c r="AK327" s="70">
        <v>0</v>
      </c>
      <c r="AL327" s="70">
        <v>0.01</v>
      </c>
      <c r="AM327" s="70">
        <v>0</v>
      </c>
      <c r="AN327" s="70" t="s">
        <v>1826</v>
      </c>
    </row>
    <row r="328" spans="1:41">
      <c r="A328" s="132">
        <f t="shared" si="34"/>
        <v>320</v>
      </c>
      <c r="B328" s="133" t="s">
        <v>1072</v>
      </c>
      <c r="C328" s="133" t="s">
        <v>1906</v>
      </c>
      <c r="D328" s="132" t="s">
        <v>1036</v>
      </c>
      <c r="E328" s="147" t="s">
        <v>1310</v>
      </c>
      <c r="F328" s="135">
        <v>45754</v>
      </c>
      <c r="G328" s="45"/>
      <c r="H328" s="136"/>
      <c r="I328" s="136">
        <v>1104552</v>
      </c>
      <c r="J328" s="137" t="s">
        <v>1025</v>
      </c>
      <c r="K328" s="137"/>
      <c r="L328" s="148">
        <f t="shared" si="40"/>
        <v>1104552</v>
      </c>
      <c r="M328" s="122">
        <f t="shared" si="35"/>
        <v>0</v>
      </c>
      <c r="N328" s="137"/>
      <c r="O328" s="149" t="b">
        <f t="shared" si="36"/>
        <v>1</v>
      </c>
      <c r="P328" s="149">
        <f t="shared" si="37"/>
        <v>0</v>
      </c>
      <c r="Q328" s="149" t="b">
        <f t="shared" si="38"/>
        <v>0</v>
      </c>
      <c r="R328" s="149">
        <f t="shared" si="39"/>
        <v>0</v>
      </c>
      <c r="S328" s="144"/>
      <c r="T328" s="143">
        <v>45754</v>
      </c>
      <c r="U328" s="144" t="s">
        <v>1310</v>
      </c>
      <c r="V328" s="144">
        <v>0</v>
      </c>
      <c r="W328" s="144" t="s">
        <v>1071</v>
      </c>
      <c r="X328" s="144" t="s">
        <v>1801</v>
      </c>
      <c r="Y328" s="144" t="s">
        <v>1802</v>
      </c>
      <c r="Z328" s="145">
        <v>12150072</v>
      </c>
      <c r="AA328" s="145">
        <v>11045520</v>
      </c>
      <c r="AB328" s="144">
        <v>0</v>
      </c>
      <c r="AC328" s="144" t="s">
        <v>1022</v>
      </c>
      <c r="AD328" s="145">
        <v>1104552</v>
      </c>
      <c r="AE328" s="144">
        <v>0</v>
      </c>
      <c r="AF328" s="146">
        <v>0</v>
      </c>
      <c r="AG328" s="70">
        <v>0</v>
      </c>
      <c r="AH328" s="70">
        <v>0</v>
      </c>
      <c r="AI328" s="70">
        <v>0</v>
      </c>
      <c r="AJ328" s="70">
        <v>0</v>
      </c>
      <c r="AK328" s="70">
        <v>0</v>
      </c>
      <c r="AL328" s="70">
        <v>0.01</v>
      </c>
      <c r="AM328" s="70">
        <v>0</v>
      </c>
      <c r="AN328" s="70" t="s">
        <v>1866</v>
      </c>
    </row>
    <row r="329" spans="1:41">
      <c r="A329" s="132">
        <f t="shared" si="34"/>
        <v>321</v>
      </c>
      <c r="B329" s="133" t="s">
        <v>1765</v>
      </c>
      <c r="C329" s="133" t="s">
        <v>1904</v>
      </c>
      <c r="D329" s="132" t="s">
        <v>1698</v>
      </c>
      <c r="E329" s="147" t="s">
        <v>1311</v>
      </c>
      <c r="F329" s="135">
        <v>45758</v>
      </c>
      <c r="G329" s="45"/>
      <c r="H329" s="136"/>
      <c r="I329" s="136">
        <v>2223330</v>
      </c>
      <c r="J329" s="137" t="s">
        <v>1025</v>
      </c>
      <c r="K329" s="137"/>
      <c r="L329" s="148">
        <f t="shared" si="40"/>
        <v>2223330</v>
      </c>
      <c r="M329" s="122">
        <f t="shared" si="35"/>
        <v>0</v>
      </c>
      <c r="N329" s="137"/>
      <c r="O329" s="149" t="b">
        <f t="shared" si="36"/>
        <v>1</v>
      </c>
      <c r="P329" s="149">
        <f t="shared" si="37"/>
        <v>0</v>
      </c>
      <c r="Q329" s="149" t="b">
        <f t="shared" si="38"/>
        <v>0</v>
      </c>
      <c r="R329" s="149">
        <f t="shared" si="39"/>
        <v>0</v>
      </c>
      <c r="S329" s="144"/>
      <c r="T329" s="143">
        <v>45758</v>
      </c>
      <c r="U329" s="144" t="s">
        <v>1311</v>
      </c>
      <c r="V329" s="144">
        <v>0</v>
      </c>
      <c r="W329" s="144" t="s">
        <v>1071</v>
      </c>
      <c r="X329" s="144" t="s">
        <v>1801</v>
      </c>
      <c r="Y329" s="144" t="s">
        <v>1802</v>
      </c>
      <c r="Z329" s="145">
        <v>24456630</v>
      </c>
      <c r="AA329" s="145">
        <v>22233300</v>
      </c>
      <c r="AB329" s="144">
        <v>0</v>
      </c>
      <c r="AC329" s="144" t="s">
        <v>1022</v>
      </c>
      <c r="AD329" s="145">
        <v>2223330</v>
      </c>
      <c r="AE329" s="144">
        <v>0</v>
      </c>
      <c r="AF329" s="146">
        <v>0</v>
      </c>
      <c r="AG329" s="70">
        <v>0</v>
      </c>
      <c r="AH329" s="70">
        <v>0</v>
      </c>
      <c r="AI329" s="70">
        <v>0</v>
      </c>
      <c r="AJ329" s="70">
        <v>0</v>
      </c>
      <c r="AK329" s="70">
        <v>0</v>
      </c>
      <c r="AL329" s="70">
        <v>0.01</v>
      </c>
      <c r="AM329" s="70">
        <v>0</v>
      </c>
      <c r="AN329" s="70" t="s">
        <v>1807</v>
      </c>
    </row>
    <row r="330" spans="1:41">
      <c r="A330" s="132">
        <f t="shared" si="34"/>
        <v>322</v>
      </c>
      <c r="B330" s="133" t="s">
        <v>1764</v>
      </c>
      <c r="C330" s="133" t="s">
        <v>1905</v>
      </c>
      <c r="D330" s="132" t="s">
        <v>1024</v>
      </c>
      <c r="E330" s="147">
        <v>202500074487</v>
      </c>
      <c r="F330" s="135">
        <v>45754</v>
      </c>
      <c r="G330" s="45"/>
      <c r="H330" s="136"/>
      <c r="I330" s="136">
        <v>487444</v>
      </c>
      <c r="J330" s="137" t="s">
        <v>1025</v>
      </c>
      <c r="K330" s="137"/>
      <c r="L330" s="148">
        <f t="shared" si="40"/>
        <v>487444</v>
      </c>
      <c r="M330" s="122">
        <f t="shared" si="35"/>
        <v>0</v>
      </c>
      <c r="N330" s="137"/>
      <c r="O330" s="149" t="b">
        <f t="shared" si="36"/>
        <v>1</v>
      </c>
      <c r="P330" s="149">
        <f t="shared" si="37"/>
        <v>0</v>
      </c>
      <c r="Q330" s="149" t="b">
        <f t="shared" si="38"/>
        <v>0</v>
      </c>
      <c r="R330" s="149">
        <f t="shared" si="39"/>
        <v>0</v>
      </c>
      <c r="S330" s="144"/>
      <c r="T330" s="143">
        <v>45754</v>
      </c>
      <c r="U330" s="144">
        <v>202500074487</v>
      </c>
      <c r="V330" s="144">
        <v>0</v>
      </c>
      <c r="W330" s="144" t="s">
        <v>1071</v>
      </c>
      <c r="X330" s="144" t="s">
        <v>1801</v>
      </c>
      <c r="Y330" s="144" t="s">
        <v>1802</v>
      </c>
      <c r="Z330" s="145">
        <v>5361880</v>
      </c>
      <c r="AA330" s="145">
        <v>4874436</v>
      </c>
      <c r="AB330" s="144">
        <v>0</v>
      </c>
      <c r="AC330" s="144" t="s">
        <v>1022</v>
      </c>
      <c r="AD330" s="145">
        <v>487444</v>
      </c>
      <c r="AE330" s="144">
        <v>0</v>
      </c>
      <c r="AF330" s="146">
        <v>0</v>
      </c>
      <c r="AG330" s="70">
        <v>0</v>
      </c>
      <c r="AH330" s="70">
        <v>0</v>
      </c>
      <c r="AI330" s="70">
        <v>0</v>
      </c>
      <c r="AJ330" s="70">
        <v>0</v>
      </c>
      <c r="AK330" s="70">
        <v>0</v>
      </c>
      <c r="AL330" s="70">
        <v>0.01</v>
      </c>
      <c r="AM330" s="70">
        <v>0</v>
      </c>
      <c r="AN330" s="70" t="s">
        <v>1826</v>
      </c>
    </row>
    <row r="331" spans="1:41">
      <c r="A331" s="132">
        <f t="shared" ref="A331:A394" si="41">A330+1</f>
        <v>323</v>
      </c>
      <c r="B331" s="133" t="s">
        <v>1072</v>
      </c>
      <c r="C331" s="133" t="s">
        <v>1906</v>
      </c>
      <c r="D331" s="132" t="s">
        <v>1036</v>
      </c>
      <c r="E331" s="147" t="s">
        <v>1312</v>
      </c>
      <c r="F331" s="135">
        <v>45749</v>
      </c>
      <c r="G331" s="45"/>
      <c r="H331" s="136"/>
      <c r="I331" s="136">
        <v>2936000</v>
      </c>
      <c r="J331" s="137" t="s">
        <v>1025</v>
      </c>
      <c r="K331" s="137"/>
      <c r="L331" s="148">
        <f t="shared" si="40"/>
        <v>2936000</v>
      </c>
      <c r="M331" s="122">
        <f t="shared" si="35"/>
        <v>0</v>
      </c>
      <c r="N331" s="137"/>
      <c r="O331" s="149" t="b">
        <f t="shared" si="36"/>
        <v>1</v>
      </c>
      <c r="P331" s="149">
        <f t="shared" si="37"/>
        <v>0</v>
      </c>
      <c r="Q331" s="149" t="b">
        <f t="shared" si="38"/>
        <v>0</v>
      </c>
      <c r="R331" s="149">
        <f t="shared" si="39"/>
        <v>0</v>
      </c>
      <c r="S331" s="144"/>
      <c r="T331" s="143">
        <v>45748</v>
      </c>
      <c r="U331" s="144" t="s">
        <v>1312</v>
      </c>
      <c r="V331" s="144">
        <v>0</v>
      </c>
      <c r="W331" s="144" t="s">
        <v>1071</v>
      </c>
      <c r="X331" s="144" t="s">
        <v>1801</v>
      </c>
      <c r="Y331" s="144" t="s">
        <v>1802</v>
      </c>
      <c r="Z331" s="145">
        <v>32296000</v>
      </c>
      <c r="AA331" s="145">
        <v>29360000</v>
      </c>
      <c r="AB331" s="144">
        <v>0</v>
      </c>
      <c r="AC331" s="144" t="s">
        <v>1022</v>
      </c>
      <c r="AD331" s="145">
        <v>2936000</v>
      </c>
      <c r="AE331" s="144">
        <v>0</v>
      </c>
      <c r="AF331" s="146">
        <v>0</v>
      </c>
      <c r="AG331" s="70">
        <v>0</v>
      </c>
      <c r="AH331" s="70">
        <v>0</v>
      </c>
      <c r="AI331" s="70">
        <v>0</v>
      </c>
      <c r="AJ331" s="70">
        <v>0</v>
      </c>
      <c r="AK331" s="70">
        <v>0</v>
      </c>
      <c r="AL331" s="70">
        <v>0.01</v>
      </c>
      <c r="AM331" s="70">
        <v>0</v>
      </c>
      <c r="AN331" s="70" t="s">
        <v>1867</v>
      </c>
    </row>
    <row r="332" spans="1:41">
      <c r="A332" s="132">
        <f t="shared" si="41"/>
        <v>324</v>
      </c>
      <c r="B332" s="133" t="s">
        <v>1765</v>
      </c>
      <c r="C332" s="133" t="s">
        <v>1904</v>
      </c>
      <c r="D332" s="132" t="s">
        <v>1698</v>
      </c>
      <c r="E332" s="147" t="s">
        <v>1313</v>
      </c>
      <c r="F332" s="135">
        <v>45754</v>
      </c>
      <c r="G332" s="45"/>
      <c r="H332" s="136"/>
      <c r="I332" s="136">
        <v>3273636</v>
      </c>
      <c r="J332" s="137" t="s">
        <v>1025</v>
      </c>
      <c r="K332" s="137"/>
      <c r="L332" s="148">
        <f t="shared" si="40"/>
        <v>3273636</v>
      </c>
      <c r="M332" s="122">
        <f t="shared" si="35"/>
        <v>0</v>
      </c>
      <c r="N332" s="137"/>
      <c r="O332" s="149" t="b">
        <f t="shared" si="36"/>
        <v>1</v>
      </c>
      <c r="P332" s="149">
        <f t="shared" si="37"/>
        <v>0</v>
      </c>
      <c r="Q332" s="149" t="b">
        <f t="shared" si="38"/>
        <v>0</v>
      </c>
      <c r="R332" s="149">
        <f t="shared" si="39"/>
        <v>0</v>
      </c>
      <c r="S332" s="144"/>
      <c r="T332" s="143">
        <v>45754</v>
      </c>
      <c r="U332" s="144" t="s">
        <v>1313</v>
      </c>
      <c r="V332" s="144">
        <v>0</v>
      </c>
      <c r="W332" s="144" t="s">
        <v>1071</v>
      </c>
      <c r="X332" s="144" t="s">
        <v>1801</v>
      </c>
      <c r="Y332" s="144" t="s">
        <v>1802</v>
      </c>
      <c r="Z332" s="145">
        <v>36009996</v>
      </c>
      <c r="AA332" s="145">
        <v>32736360</v>
      </c>
      <c r="AB332" s="144">
        <v>0</v>
      </c>
      <c r="AC332" s="144" t="s">
        <v>1022</v>
      </c>
      <c r="AD332" s="145">
        <v>3273636</v>
      </c>
      <c r="AE332" s="144">
        <v>0</v>
      </c>
      <c r="AF332" s="146">
        <v>0</v>
      </c>
      <c r="AG332" s="70">
        <v>0</v>
      </c>
      <c r="AH332" s="70">
        <v>0</v>
      </c>
      <c r="AI332" s="70">
        <v>0</v>
      </c>
      <c r="AJ332" s="70">
        <v>0</v>
      </c>
      <c r="AK332" s="70">
        <v>0</v>
      </c>
      <c r="AL332" s="70">
        <v>0.01</v>
      </c>
      <c r="AM332" s="70">
        <v>0</v>
      </c>
      <c r="AN332" s="70" t="s">
        <v>1807</v>
      </c>
    </row>
    <row r="333" spans="1:41">
      <c r="A333" s="132">
        <f t="shared" si="41"/>
        <v>325</v>
      </c>
      <c r="B333" s="133" t="s">
        <v>1776</v>
      </c>
      <c r="C333" s="133" t="s">
        <v>1904</v>
      </c>
      <c r="D333" s="132" t="s">
        <v>1698</v>
      </c>
      <c r="E333" s="147" t="s">
        <v>1314</v>
      </c>
      <c r="F333" s="135">
        <v>45748</v>
      </c>
      <c r="G333" s="45"/>
      <c r="H333" s="136"/>
      <c r="I333" s="136">
        <v>164000</v>
      </c>
      <c r="J333" s="137" t="s">
        <v>1025</v>
      </c>
      <c r="K333" s="137"/>
      <c r="L333" s="148">
        <f t="shared" si="40"/>
        <v>164000</v>
      </c>
      <c r="M333" s="122">
        <f t="shared" si="35"/>
        <v>0</v>
      </c>
      <c r="N333" s="137"/>
      <c r="O333" s="149" t="b">
        <f t="shared" si="36"/>
        <v>1</v>
      </c>
      <c r="P333" s="149">
        <f t="shared" si="37"/>
        <v>0</v>
      </c>
      <c r="Q333" s="149" t="b">
        <f t="shared" si="38"/>
        <v>0</v>
      </c>
      <c r="R333" s="149">
        <f t="shared" si="39"/>
        <v>0</v>
      </c>
      <c r="S333" s="144"/>
      <c r="T333" s="143">
        <v>45748</v>
      </c>
      <c r="U333" s="144" t="s">
        <v>1314</v>
      </c>
      <c r="V333" s="144">
        <v>0</v>
      </c>
      <c r="W333" s="144" t="s">
        <v>1071</v>
      </c>
      <c r="X333" s="144" t="s">
        <v>1801</v>
      </c>
      <c r="Y333" s="144" t="s">
        <v>1802</v>
      </c>
      <c r="Z333" s="145">
        <v>1804000</v>
      </c>
      <c r="AA333" s="145">
        <v>1640000</v>
      </c>
      <c r="AB333" s="144">
        <v>0</v>
      </c>
      <c r="AC333" s="144" t="s">
        <v>1022</v>
      </c>
      <c r="AD333" s="145">
        <v>164000</v>
      </c>
      <c r="AE333" s="144">
        <v>0</v>
      </c>
      <c r="AF333" s="146">
        <v>0</v>
      </c>
      <c r="AG333" s="70">
        <v>0</v>
      </c>
      <c r="AH333" s="70">
        <v>0</v>
      </c>
      <c r="AI333" s="70">
        <v>0</v>
      </c>
      <c r="AJ333" s="70">
        <v>0</v>
      </c>
      <c r="AK333" s="70">
        <v>0</v>
      </c>
      <c r="AL333" s="70">
        <v>0.01</v>
      </c>
      <c r="AM333" s="70">
        <v>0</v>
      </c>
      <c r="AN333" s="70" t="s">
        <v>1807</v>
      </c>
    </row>
    <row r="334" spans="1:41">
      <c r="A334" s="132">
        <f t="shared" si="41"/>
        <v>326</v>
      </c>
      <c r="B334" s="133" t="s">
        <v>1764</v>
      </c>
      <c r="C334" s="133" t="s">
        <v>1905</v>
      </c>
      <c r="D334" s="132" t="s">
        <v>1024</v>
      </c>
      <c r="E334" s="147">
        <v>202500073701</v>
      </c>
      <c r="F334" s="135">
        <v>45751</v>
      </c>
      <c r="G334" s="45"/>
      <c r="H334" s="136"/>
      <c r="I334" s="136">
        <v>174131</v>
      </c>
      <c r="J334" s="137" t="s">
        <v>1025</v>
      </c>
      <c r="K334" s="137"/>
      <c r="L334" s="148">
        <f t="shared" si="40"/>
        <v>174131</v>
      </c>
      <c r="M334" s="122">
        <f t="shared" si="35"/>
        <v>0</v>
      </c>
      <c r="N334" s="137"/>
      <c r="O334" s="149" t="b">
        <f t="shared" si="36"/>
        <v>1</v>
      </c>
      <c r="P334" s="149">
        <f t="shared" si="37"/>
        <v>0</v>
      </c>
      <c r="Q334" s="149" t="b">
        <f t="shared" si="38"/>
        <v>0</v>
      </c>
      <c r="R334" s="149">
        <f t="shared" si="39"/>
        <v>0</v>
      </c>
      <c r="S334" s="144"/>
      <c r="T334" s="143">
        <v>45751</v>
      </c>
      <c r="U334" s="144">
        <v>202500073701</v>
      </c>
      <c r="V334" s="144">
        <v>0</v>
      </c>
      <c r="W334" s="144" t="s">
        <v>1071</v>
      </c>
      <c r="X334" s="144" t="s">
        <v>1801</v>
      </c>
      <c r="Y334" s="144" t="s">
        <v>1802</v>
      </c>
      <c r="Z334" s="145">
        <v>1915436</v>
      </c>
      <c r="AA334" s="145">
        <v>1741305</v>
      </c>
      <c r="AB334" s="144">
        <v>0</v>
      </c>
      <c r="AC334" s="144" t="s">
        <v>1022</v>
      </c>
      <c r="AD334" s="145">
        <v>174131</v>
      </c>
      <c r="AE334" s="144">
        <v>0</v>
      </c>
      <c r="AF334" s="146">
        <v>0</v>
      </c>
      <c r="AG334" s="70">
        <v>0</v>
      </c>
      <c r="AH334" s="70">
        <v>0</v>
      </c>
      <c r="AI334" s="70">
        <v>0</v>
      </c>
      <c r="AJ334" s="70">
        <v>0</v>
      </c>
      <c r="AK334" s="70">
        <v>0</v>
      </c>
      <c r="AL334" s="70">
        <v>0.01</v>
      </c>
      <c r="AM334" s="70">
        <v>0</v>
      </c>
      <c r="AN334" s="70" t="s">
        <v>1826</v>
      </c>
    </row>
    <row r="335" spans="1:41">
      <c r="A335" s="132">
        <f t="shared" si="41"/>
        <v>327</v>
      </c>
      <c r="B335" s="133" t="s">
        <v>1072</v>
      </c>
      <c r="C335" s="133" t="s">
        <v>1922</v>
      </c>
      <c r="D335" s="132" t="s">
        <v>1040</v>
      </c>
      <c r="E335" s="147" t="s">
        <v>1315</v>
      </c>
      <c r="F335" s="135">
        <v>45790</v>
      </c>
      <c r="G335" s="45"/>
      <c r="H335" s="136"/>
      <c r="I335" s="136">
        <v>170085</v>
      </c>
      <c r="J335" s="137" t="s">
        <v>1025</v>
      </c>
      <c r="K335" s="137"/>
      <c r="L335" s="148">
        <f t="shared" si="40"/>
        <v>170085</v>
      </c>
      <c r="M335" s="122">
        <f t="shared" si="35"/>
        <v>0</v>
      </c>
      <c r="N335" s="137"/>
      <c r="O335" s="149" t="b">
        <f t="shared" si="36"/>
        <v>1</v>
      </c>
      <c r="P335" s="149">
        <f t="shared" si="37"/>
        <v>0</v>
      </c>
      <c r="Q335" s="149" t="b">
        <f t="shared" si="38"/>
        <v>0</v>
      </c>
      <c r="R335" s="149">
        <f t="shared" si="39"/>
        <v>0</v>
      </c>
      <c r="S335" s="144"/>
      <c r="T335" s="143">
        <v>45790</v>
      </c>
      <c r="U335" s="144" t="s">
        <v>1315</v>
      </c>
      <c r="V335" s="144">
        <v>0</v>
      </c>
      <c r="W335" s="144" t="s">
        <v>1071</v>
      </c>
      <c r="X335" s="144" t="s">
        <v>1801</v>
      </c>
      <c r="Y335" s="144" t="s">
        <v>1802</v>
      </c>
      <c r="Z335" s="145">
        <v>1870935</v>
      </c>
      <c r="AA335" s="145">
        <v>1700850</v>
      </c>
      <c r="AB335" s="144">
        <v>0</v>
      </c>
      <c r="AC335" s="144" t="s">
        <v>1022</v>
      </c>
      <c r="AD335" s="145">
        <v>170085</v>
      </c>
      <c r="AE335" s="144">
        <v>0</v>
      </c>
      <c r="AF335" s="146">
        <v>0</v>
      </c>
      <c r="AG335" s="70">
        <v>0</v>
      </c>
      <c r="AH335" s="70">
        <v>0</v>
      </c>
      <c r="AI335" s="70">
        <v>0</v>
      </c>
      <c r="AJ335" s="70">
        <v>0</v>
      </c>
      <c r="AK335" s="70">
        <v>0</v>
      </c>
      <c r="AL335" s="70">
        <v>0.01</v>
      </c>
      <c r="AM335" s="70">
        <v>0</v>
      </c>
      <c r="AN335" s="70" t="s">
        <v>1865</v>
      </c>
      <c r="AO335" s="70" t="s">
        <v>1804</v>
      </c>
    </row>
    <row r="336" spans="1:41">
      <c r="A336" s="132">
        <f t="shared" si="41"/>
        <v>328</v>
      </c>
      <c r="B336" s="133" t="s">
        <v>1773</v>
      </c>
      <c r="C336" s="133" t="s">
        <v>1905</v>
      </c>
      <c r="D336" s="132" t="s">
        <v>1024</v>
      </c>
      <c r="E336" s="147">
        <v>202500091494</v>
      </c>
      <c r="F336" s="135">
        <v>45772</v>
      </c>
      <c r="G336" s="45"/>
      <c r="H336" s="136"/>
      <c r="I336" s="136">
        <v>72054</v>
      </c>
      <c r="J336" s="137" t="s">
        <v>1025</v>
      </c>
      <c r="K336" s="137"/>
      <c r="L336" s="148">
        <f t="shared" si="40"/>
        <v>72054</v>
      </c>
      <c r="M336" s="122">
        <f t="shared" si="35"/>
        <v>0</v>
      </c>
      <c r="N336" s="137"/>
      <c r="O336" s="149" t="b">
        <f t="shared" si="36"/>
        <v>1</v>
      </c>
      <c r="P336" s="149">
        <f t="shared" si="37"/>
        <v>0</v>
      </c>
      <c r="Q336" s="149" t="b">
        <f t="shared" si="38"/>
        <v>0</v>
      </c>
      <c r="R336" s="149">
        <f t="shared" si="39"/>
        <v>0</v>
      </c>
      <c r="S336" s="144"/>
      <c r="T336" s="143">
        <v>45772</v>
      </c>
      <c r="U336" s="144">
        <v>202500091494</v>
      </c>
      <c r="V336" s="144">
        <v>0</v>
      </c>
      <c r="W336" s="144" t="s">
        <v>1071</v>
      </c>
      <c r="X336" s="144" t="s">
        <v>1801</v>
      </c>
      <c r="Y336" s="144" t="s">
        <v>1802</v>
      </c>
      <c r="Z336" s="145">
        <v>792594</v>
      </c>
      <c r="AA336" s="145">
        <v>720540</v>
      </c>
      <c r="AB336" s="144">
        <v>0</v>
      </c>
      <c r="AC336" s="144" t="s">
        <v>1022</v>
      </c>
      <c r="AD336" s="145">
        <v>72054</v>
      </c>
      <c r="AE336" s="144">
        <v>0</v>
      </c>
      <c r="AF336" s="146">
        <v>0</v>
      </c>
      <c r="AG336" s="70">
        <v>0</v>
      </c>
      <c r="AH336" s="70">
        <v>0</v>
      </c>
      <c r="AI336" s="70">
        <v>0</v>
      </c>
      <c r="AJ336" s="70">
        <v>0</v>
      </c>
      <c r="AK336" s="70">
        <v>0</v>
      </c>
      <c r="AL336" s="70">
        <v>0.01</v>
      </c>
      <c r="AM336" s="70">
        <v>0</v>
      </c>
      <c r="AN336" s="70" t="s">
        <v>1862</v>
      </c>
    </row>
    <row r="337" spans="1:41">
      <c r="A337" s="132">
        <f t="shared" si="41"/>
        <v>329</v>
      </c>
      <c r="B337" s="133" t="s">
        <v>1764</v>
      </c>
      <c r="C337" s="133" t="s">
        <v>1905</v>
      </c>
      <c r="D337" s="132" t="s">
        <v>1024</v>
      </c>
      <c r="E337" s="147">
        <v>202500073702</v>
      </c>
      <c r="F337" s="135">
        <v>45751</v>
      </c>
      <c r="G337" s="45"/>
      <c r="H337" s="136"/>
      <c r="I337" s="136">
        <v>348261</v>
      </c>
      <c r="J337" s="137" t="s">
        <v>1025</v>
      </c>
      <c r="K337" s="137"/>
      <c r="L337" s="148">
        <f t="shared" si="40"/>
        <v>348261</v>
      </c>
      <c r="M337" s="122">
        <f t="shared" si="35"/>
        <v>0</v>
      </c>
      <c r="N337" s="137"/>
      <c r="O337" s="149" t="b">
        <f t="shared" si="36"/>
        <v>1</v>
      </c>
      <c r="P337" s="149">
        <f t="shared" si="37"/>
        <v>0</v>
      </c>
      <c r="Q337" s="149" t="b">
        <f t="shared" si="38"/>
        <v>0</v>
      </c>
      <c r="R337" s="149">
        <f t="shared" si="39"/>
        <v>0</v>
      </c>
      <c r="S337" s="144"/>
      <c r="T337" s="143">
        <v>45751</v>
      </c>
      <c r="U337" s="144">
        <v>202500073702</v>
      </c>
      <c r="V337" s="144">
        <v>0</v>
      </c>
      <c r="W337" s="144" t="s">
        <v>1071</v>
      </c>
      <c r="X337" s="144" t="s">
        <v>1801</v>
      </c>
      <c r="Y337" s="144" t="s">
        <v>1802</v>
      </c>
      <c r="Z337" s="145">
        <v>3830871</v>
      </c>
      <c r="AA337" s="145">
        <v>3482610</v>
      </c>
      <c r="AB337" s="144">
        <v>0</v>
      </c>
      <c r="AC337" s="144" t="s">
        <v>1022</v>
      </c>
      <c r="AD337" s="145">
        <v>348261</v>
      </c>
      <c r="AE337" s="144">
        <v>0</v>
      </c>
      <c r="AF337" s="146">
        <v>0</v>
      </c>
      <c r="AG337" s="70">
        <v>0</v>
      </c>
      <c r="AH337" s="70">
        <v>0</v>
      </c>
      <c r="AI337" s="70">
        <v>0</v>
      </c>
      <c r="AJ337" s="70">
        <v>0</v>
      </c>
      <c r="AK337" s="70">
        <v>0</v>
      </c>
      <c r="AL337" s="70">
        <v>0.01</v>
      </c>
      <c r="AM337" s="70">
        <v>0</v>
      </c>
      <c r="AN337" s="70" t="s">
        <v>1826</v>
      </c>
    </row>
    <row r="338" spans="1:41">
      <c r="A338" s="132">
        <f t="shared" si="41"/>
        <v>330</v>
      </c>
      <c r="B338" s="133" t="s">
        <v>1777</v>
      </c>
      <c r="C338" s="133" t="s">
        <v>1923</v>
      </c>
      <c r="D338" s="132" t="s">
        <v>1714</v>
      </c>
      <c r="E338" s="147" t="s">
        <v>1316</v>
      </c>
      <c r="F338" s="135">
        <v>45672</v>
      </c>
      <c r="G338" s="45"/>
      <c r="H338" s="136"/>
      <c r="I338" s="136">
        <v>724500</v>
      </c>
      <c r="J338" s="137" t="s">
        <v>1025</v>
      </c>
      <c r="K338" s="150">
        <f>L338</f>
        <v>724320</v>
      </c>
      <c r="L338" s="148">
        <f>AD338</f>
        <v>724320</v>
      </c>
      <c r="M338" s="122">
        <f t="shared" si="35"/>
        <v>180</v>
      </c>
      <c r="N338" s="137"/>
      <c r="O338" s="149" t="b">
        <f t="shared" si="36"/>
        <v>1</v>
      </c>
      <c r="P338" s="149">
        <f t="shared" si="37"/>
        <v>0</v>
      </c>
      <c r="Q338" s="149" t="b">
        <f t="shared" si="38"/>
        <v>0</v>
      </c>
      <c r="R338" s="149">
        <f t="shared" si="39"/>
        <v>180</v>
      </c>
      <c r="S338" s="144"/>
      <c r="T338" s="143">
        <v>45673</v>
      </c>
      <c r="U338" s="144" t="s">
        <v>1316</v>
      </c>
      <c r="V338" s="144">
        <v>0</v>
      </c>
      <c r="W338" s="144" t="s">
        <v>1071</v>
      </c>
      <c r="X338" s="144" t="s">
        <v>1801</v>
      </c>
      <c r="Y338" s="144" t="s">
        <v>1802</v>
      </c>
      <c r="Z338" s="145">
        <v>7967520</v>
      </c>
      <c r="AA338" s="145">
        <v>7243200</v>
      </c>
      <c r="AB338" s="144">
        <v>0</v>
      </c>
      <c r="AC338" s="144" t="s">
        <v>1022</v>
      </c>
      <c r="AD338" s="145">
        <v>724320</v>
      </c>
      <c r="AE338" s="144">
        <v>0</v>
      </c>
      <c r="AF338" s="146">
        <v>0</v>
      </c>
      <c r="AG338" s="70">
        <v>0</v>
      </c>
      <c r="AH338" s="70">
        <v>0</v>
      </c>
      <c r="AI338" s="70">
        <v>0</v>
      </c>
      <c r="AJ338" s="70">
        <v>0</v>
      </c>
      <c r="AK338" s="70">
        <v>0</v>
      </c>
      <c r="AL338" s="70">
        <v>0.01</v>
      </c>
      <c r="AM338" s="70">
        <v>0</v>
      </c>
      <c r="AN338" s="70" t="s">
        <v>1868</v>
      </c>
      <c r="AO338" s="70" t="s">
        <v>1804</v>
      </c>
    </row>
    <row r="339" spans="1:41">
      <c r="A339" s="132">
        <f t="shared" si="41"/>
        <v>331</v>
      </c>
      <c r="B339" s="133" t="s">
        <v>1765</v>
      </c>
      <c r="C339" s="133" t="s">
        <v>1904</v>
      </c>
      <c r="D339" s="132" t="s">
        <v>1698</v>
      </c>
      <c r="E339" s="147" t="s">
        <v>1317</v>
      </c>
      <c r="F339" s="135">
        <v>45751</v>
      </c>
      <c r="G339" s="45"/>
      <c r="H339" s="136"/>
      <c r="I339" s="136">
        <v>2145608</v>
      </c>
      <c r="J339" s="137" t="s">
        <v>1025</v>
      </c>
      <c r="K339" s="137"/>
      <c r="L339" s="148">
        <f t="shared" ref="L339:L366" si="42">I339</f>
        <v>2145608</v>
      </c>
      <c r="M339" s="122">
        <f t="shared" si="35"/>
        <v>0</v>
      </c>
      <c r="N339" s="137"/>
      <c r="O339" s="149" t="b">
        <f t="shared" si="36"/>
        <v>1</v>
      </c>
      <c r="P339" s="149">
        <f t="shared" si="37"/>
        <v>0</v>
      </c>
      <c r="Q339" s="149" t="b">
        <f t="shared" si="38"/>
        <v>0</v>
      </c>
      <c r="R339" s="149">
        <f t="shared" si="39"/>
        <v>0</v>
      </c>
      <c r="S339" s="144"/>
      <c r="T339" s="143">
        <v>45751</v>
      </c>
      <c r="U339" s="144" t="s">
        <v>1317</v>
      </c>
      <c r="V339" s="144">
        <v>0</v>
      </c>
      <c r="W339" s="144" t="s">
        <v>1071</v>
      </c>
      <c r="X339" s="144" t="s">
        <v>1801</v>
      </c>
      <c r="Y339" s="144" t="s">
        <v>1802</v>
      </c>
      <c r="Z339" s="145">
        <v>23601688</v>
      </c>
      <c r="AA339" s="145">
        <v>21456080</v>
      </c>
      <c r="AB339" s="144">
        <v>0</v>
      </c>
      <c r="AC339" s="144" t="s">
        <v>1022</v>
      </c>
      <c r="AD339" s="145">
        <v>2145608</v>
      </c>
      <c r="AE339" s="144">
        <v>0</v>
      </c>
      <c r="AF339" s="146">
        <v>0</v>
      </c>
      <c r="AG339" s="70">
        <v>0</v>
      </c>
      <c r="AH339" s="70">
        <v>0</v>
      </c>
      <c r="AI339" s="70">
        <v>0</v>
      </c>
      <c r="AJ339" s="70">
        <v>0</v>
      </c>
      <c r="AK339" s="70">
        <v>0</v>
      </c>
      <c r="AL339" s="70">
        <v>0.01</v>
      </c>
      <c r="AM339" s="70">
        <v>0</v>
      </c>
      <c r="AN339" s="70" t="s">
        <v>1807</v>
      </c>
    </row>
    <row r="340" spans="1:41">
      <c r="A340" s="132">
        <f t="shared" si="41"/>
        <v>332</v>
      </c>
      <c r="B340" s="133" t="s">
        <v>1764</v>
      </c>
      <c r="C340" s="133" t="s">
        <v>1905</v>
      </c>
      <c r="D340" s="132" t="s">
        <v>1024</v>
      </c>
      <c r="E340" s="147">
        <v>202500072119</v>
      </c>
      <c r="F340" s="135">
        <v>45750</v>
      </c>
      <c r="G340" s="45"/>
      <c r="H340" s="136"/>
      <c r="I340" s="136">
        <v>68400</v>
      </c>
      <c r="J340" s="137" t="s">
        <v>1025</v>
      </c>
      <c r="K340" s="137"/>
      <c r="L340" s="148">
        <f t="shared" si="42"/>
        <v>68400</v>
      </c>
      <c r="M340" s="122">
        <f t="shared" si="35"/>
        <v>0</v>
      </c>
      <c r="N340" s="137"/>
      <c r="O340" s="149" t="b">
        <f t="shared" si="36"/>
        <v>1</v>
      </c>
      <c r="P340" s="149">
        <f t="shared" si="37"/>
        <v>0</v>
      </c>
      <c r="Q340" s="149" t="b">
        <f t="shared" si="38"/>
        <v>0</v>
      </c>
      <c r="R340" s="149">
        <f t="shared" si="39"/>
        <v>0</v>
      </c>
      <c r="S340" s="144"/>
      <c r="T340" s="143">
        <v>45750</v>
      </c>
      <c r="U340" s="144">
        <v>202500072119</v>
      </c>
      <c r="V340" s="144">
        <v>0</v>
      </c>
      <c r="W340" s="144" t="s">
        <v>1071</v>
      </c>
      <c r="X340" s="144" t="s">
        <v>1801</v>
      </c>
      <c r="Y340" s="144" t="s">
        <v>1802</v>
      </c>
      <c r="Z340" s="145">
        <v>752400</v>
      </c>
      <c r="AA340" s="145">
        <v>684000</v>
      </c>
      <c r="AB340" s="144">
        <v>0</v>
      </c>
      <c r="AC340" s="144" t="s">
        <v>1022</v>
      </c>
      <c r="AD340" s="145">
        <v>68400</v>
      </c>
      <c r="AE340" s="144">
        <v>0</v>
      </c>
      <c r="AF340" s="146">
        <v>0</v>
      </c>
      <c r="AG340" s="70">
        <v>0</v>
      </c>
      <c r="AH340" s="70">
        <v>0</v>
      </c>
      <c r="AI340" s="70">
        <v>0</v>
      </c>
      <c r="AJ340" s="70">
        <v>0</v>
      </c>
      <c r="AK340" s="70">
        <v>0</v>
      </c>
      <c r="AL340" s="70">
        <v>0.01</v>
      </c>
      <c r="AM340" s="70">
        <v>0</v>
      </c>
      <c r="AN340" s="70" t="s">
        <v>1826</v>
      </c>
    </row>
    <row r="341" spans="1:41">
      <c r="A341" s="132">
        <f t="shared" si="41"/>
        <v>333</v>
      </c>
      <c r="B341" s="133" t="s">
        <v>1072</v>
      </c>
      <c r="C341" s="133" t="s">
        <v>1906</v>
      </c>
      <c r="D341" s="132" t="s">
        <v>1036</v>
      </c>
      <c r="E341" s="147" t="s">
        <v>1318</v>
      </c>
      <c r="F341" s="135">
        <v>45748</v>
      </c>
      <c r="G341" s="45"/>
      <c r="H341" s="136"/>
      <c r="I341" s="136">
        <v>384000</v>
      </c>
      <c r="J341" s="137" t="s">
        <v>1025</v>
      </c>
      <c r="K341" s="137"/>
      <c r="L341" s="148">
        <f t="shared" si="42"/>
        <v>384000</v>
      </c>
      <c r="M341" s="122">
        <f t="shared" si="35"/>
        <v>0</v>
      </c>
      <c r="N341" s="137"/>
      <c r="O341" s="149" t="b">
        <f t="shared" si="36"/>
        <v>1</v>
      </c>
      <c r="P341" s="149">
        <f t="shared" si="37"/>
        <v>0</v>
      </c>
      <c r="Q341" s="149" t="b">
        <f t="shared" si="38"/>
        <v>0</v>
      </c>
      <c r="R341" s="149">
        <f t="shared" si="39"/>
        <v>0</v>
      </c>
      <c r="S341" s="144"/>
      <c r="T341" s="143">
        <v>45748</v>
      </c>
      <c r="U341" s="144" t="s">
        <v>1318</v>
      </c>
      <c r="V341" s="144">
        <v>0</v>
      </c>
      <c r="W341" s="144" t="s">
        <v>1071</v>
      </c>
      <c r="X341" s="144" t="s">
        <v>1801</v>
      </c>
      <c r="Y341" s="144" t="s">
        <v>1802</v>
      </c>
      <c r="Z341" s="145">
        <v>4224000</v>
      </c>
      <c r="AA341" s="145">
        <v>3840000</v>
      </c>
      <c r="AB341" s="144">
        <v>0</v>
      </c>
      <c r="AC341" s="144" t="s">
        <v>1022</v>
      </c>
      <c r="AD341" s="145">
        <v>384000</v>
      </c>
      <c r="AE341" s="144">
        <v>0</v>
      </c>
      <c r="AF341" s="146">
        <v>0</v>
      </c>
      <c r="AG341" s="70">
        <v>0</v>
      </c>
      <c r="AH341" s="70">
        <v>0</v>
      </c>
      <c r="AI341" s="70">
        <v>0</v>
      </c>
      <c r="AJ341" s="70">
        <v>0</v>
      </c>
      <c r="AK341" s="70">
        <v>0</v>
      </c>
      <c r="AL341" s="70">
        <v>0.01</v>
      </c>
      <c r="AM341" s="70">
        <v>0</v>
      </c>
      <c r="AN341" s="70" t="s">
        <v>1869</v>
      </c>
    </row>
    <row r="342" spans="1:41">
      <c r="A342" s="132">
        <f t="shared" si="41"/>
        <v>334</v>
      </c>
      <c r="B342" s="133" t="s">
        <v>1765</v>
      </c>
      <c r="C342" s="133" t="s">
        <v>1904</v>
      </c>
      <c r="D342" s="132" t="s">
        <v>1698</v>
      </c>
      <c r="E342" s="147" t="s">
        <v>1319</v>
      </c>
      <c r="F342" s="135">
        <v>45750</v>
      </c>
      <c r="G342" s="45"/>
      <c r="H342" s="136"/>
      <c r="I342" s="136">
        <v>732000</v>
      </c>
      <c r="J342" s="137" t="s">
        <v>1025</v>
      </c>
      <c r="K342" s="137"/>
      <c r="L342" s="148">
        <f t="shared" si="42"/>
        <v>732000</v>
      </c>
      <c r="M342" s="122">
        <f t="shared" si="35"/>
        <v>0</v>
      </c>
      <c r="N342" s="137"/>
      <c r="O342" s="149" t="b">
        <f t="shared" si="36"/>
        <v>1</v>
      </c>
      <c r="P342" s="149">
        <f t="shared" si="37"/>
        <v>0</v>
      </c>
      <c r="Q342" s="149" t="b">
        <f t="shared" si="38"/>
        <v>0</v>
      </c>
      <c r="R342" s="149">
        <f t="shared" si="39"/>
        <v>0</v>
      </c>
      <c r="S342" s="144"/>
      <c r="T342" s="143">
        <v>45750</v>
      </c>
      <c r="U342" s="144" t="s">
        <v>1319</v>
      </c>
      <c r="V342" s="144">
        <v>0</v>
      </c>
      <c r="W342" s="144" t="s">
        <v>1071</v>
      </c>
      <c r="X342" s="144" t="s">
        <v>1801</v>
      </c>
      <c r="Y342" s="144" t="s">
        <v>1802</v>
      </c>
      <c r="Z342" s="145">
        <v>8052000</v>
      </c>
      <c r="AA342" s="145">
        <v>7320000</v>
      </c>
      <c r="AB342" s="144">
        <v>0</v>
      </c>
      <c r="AC342" s="144" t="s">
        <v>1022</v>
      </c>
      <c r="AD342" s="145">
        <v>732000</v>
      </c>
      <c r="AE342" s="144">
        <v>0</v>
      </c>
      <c r="AF342" s="146">
        <v>0</v>
      </c>
      <c r="AG342" s="70">
        <v>0</v>
      </c>
      <c r="AH342" s="70">
        <v>0</v>
      </c>
      <c r="AI342" s="70">
        <v>0</v>
      </c>
      <c r="AJ342" s="70">
        <v>0</v>
      </c>
      <c r="AK342" s="70">
        <v>0</v>
      </c>
      <c r="AL342" s="70">
        <v>0.01</v>
      </c>
      <c r="AM342" s="70">
        <v>0</v>
      </c>
      <c r="AN342" s="70" t="s">
        <v>1807</v>
      </c>
    </row>
    <row r="343" spans="1:41">
      <c r="A343" s="132">
        <f t="shared" si="41"/>
        <v>335</v>
      </c>
      <c r="B343" s="133" t="s">
        <v>1765</v>
      </c>
      <c r="C343" s="133" t="s">
        <v>1904</v>
      </c>
      <c r="D343" s="132" t="s">
        <v>1698</v>
      </c>
      <c r="E343" s="147" t="s">
        <v>1320</v>
      </c>
      <c r="F343" s="135">
        <v>45748</v>
      </c>
      <c r="G343" s="45"/>
      <c r="H343" s="136"/>
      <c r="I343" s="136">
        <v>3040000</v>
      </c>
      <c r="J343" s="137" t="s">
        <v>1025</v>
      </c>
      <c r="K343" s="137"/>
      <c r="L343" s="148">
        <f t="shared" si="42"/>
        <v>3040000</v>
      </c>
      <c r="M343" s="122">
        <f t="shared" ref="M343:M406" si="43">I343-L343</f>
        <v>0</v>
      </c>
      <c r="N343" s="137"/>
      <c r="O343" s="149" t="b">
        <f t="shared" ref="O343:O406" si="44">U343=E343</f>
        <v>1</v>
      </c>
      <c r="P343" s="149">
        <f t="shared" ref="P343:P406" si="45">MONTH(F343)-MONTH(T343)</f>
        <v>0</v>
      </c>
      <c r="Q343" s="149" t="b">
        <f t="shared" ref="Q343:Q406" si="46">$B$5=X343</f>
        <v>0</v>
      </c>
      <c r="R343" s="149">
        <f t="shared" ref="R343:R406" si="47">I343-AD343</f>
        <v>0</v>
      </c>
      <c r="S343" s="144"/>
      <c r="T343" s="143">
        <v>45748</v>
      </c>
      <c r="U343" s="144" t="s">
        <v>1320</v>
      </c>
      <c r="V343" s="144">
        <v>0</v>
      </c>
      <c r="W343" s="144" t="s">
        <v>1071</v>
      </c>
      <c r="X343" s="144" t="s">
        <v>1801</v>
      </c>
      <c r="Y343" s="144" t="s">
        <v>1802</v>
      </c>
      <c r="Z343" s="145">
        <v>33440000</v>
      </c>
      <c r="AA343" s="145">
        <v>30400000</v>
      </c>
      <c r="AB343" s="144">
        <v>0</v>
      </c>
      <c r="AC343" s="144" t="s">
        <v>1022</v>
      </c>
      <c r="AD343" s="145">
        <v>3040000</v>
      </c>
      <c r="AE343" s="144">
        <v>0</v>
      </c>
      <c r="AF343" s="146">
        <v>0</v>
      </c>
      <c r="AG343" s="70">
        <v>0</v>
      </c>
      <c r="AH343" s="70">
        <v>0</v>
      </c>
      <c r="AI343" s="70">
        <v>0</v>
      </c>
      <c r="AJ343" s="70">
        <v>0</v>
      </c>
      <c r="AK343" s="70">
        <v>0</v>
      </c>
      <c r="AL343" s="70">
        <v>0.01</v>
      </c>
      <c r="AM343" s="70">
        <v>0</v>
      </c>
      <c r="AN343" s="70" t="s">
        <v>1807</v>
      </c>
    </row>
    <row r="344" spans="1:41">
      <c r="A344" s="132">
        <f t="shared" si="41"/>
        <v>336</v>
      </c>
      <c r="B344" s="133" t="s">
        <v>1765</v>
      </c>
      <c r="C344" s="133" t="s">
        <v>1904</v>
      </c>
      <c r="D344" s="132" t="s">
        <v>1698</v>
      </c>
      <c r="E344" s="147" t="s">
        <v>1321</v>
      </c>
      <c r="F344" s="135">
        <v>45758</v>
      </c>
      <c r="G344" s="45"/>
      <c r="H344" s="136"/>
      <c r="I344" s="136">
        <v>1902850</v>
      </c>
      <c r="J344" s="137" t="s">
        <v>1025</v>
      </c>
      <c r="K344" s="137"/>
      <c r="L344" s="148">
        <f t="shared" si="42"/>
        <v>1902850</v>
      </c>
      <c r="M344" s="122">
        <f t="shared" si="43"/>
        <v>0</v>
      </c>
      <c r="N344" s="137"/>
      <c r="O344" s="149" t="b">
        <f t="shared" si="44"/>
        <v>1</v>
      </c>
      <c r="P344" s="149">
        <f t="shared" si="45"/>
        <v>0</v>
      </c>
      <c r="Q344" s="149" t="b">
        <f t="shared" si="46"/>
        <v>0</v>
      </c>
      <c r="R344" s="149">
        <f t="shared" si="47"/>
        <v>0</v>
      </c>
      <c r="S344" s="144"/>
      <c r="T344" s="143">
        <v>45758</v>
      </c>
      <c r="U344" s="144" t="s">
        <v>1321</v>
      </c>
      <c r="V344" s="144">
        <v>0</v>
      </c>
      <c r="W344" s="144" t="s">
        <v>1071</v>
      </c>
      <c r="X344" s="144" t="s">
        <v>1801</v>
      </c>
      <c r="Y344" s="144" t="s">
        <v>1802</v>
      </c>
      <c r="Z344" s="145">
        <v>20931350</v>
      </c>
      <c r="AA344" s="145">
        <v>19028500</v>
      </c>
      <c r="AB344" s="144">
        <v>0</v>
      </c>
      <c r="AC344" s="144" t="s">
        <v>1022</v>
      </c>
      <c r="AD344" s="145">
        <v>1902850</v>
      </c>
      <c r="AE344" s="144">
        <v>0</v>
      </c>
      <c r="AF344" s="146">
        <v>0</v>
      </c>
      <c r="AG344" s="70">
        <v>0</v>
      </c>
      <c r="AH344" s="70">
        <v>0</v>
      </c>
      <c r="AI344" s="70">
        <v>0</v>
      </c>
      <c r="AJ344" s="70">
        <v>0</v>
      </c>
      <c r="AK344" s="70">
        <v>0</v>
      </c>
      <c r="AL344" s="70">
        <v>0.01</v>
      </c>
      <c r="AM344" s="70">
        <v>0</v>
      </c>
      <c r="AN344" s="70" t="s">
        <v>1807</v>
      </c>
    </row>
    <row r="345" spans="1:41">
      <c r="A345" s="132">
        <f t="shared" si="41"/>
        <v>337</v>
      </c>
      <c r="B345" s="133" t="s">
        <v>1072</v>
      </c>
      <c r="C345" s="133" t="s">
        <v>1906</v>
      </c>
      <c r="D345" s="132" t="s">
        <v>1036</v>
      </c>
      <c r="E345" s="147" t="s">
        <v>1322</v>
      </c>
      <c r="F345" s="135">
        <v>45755</v>
      </c>
      <c r="G345" s="45"/>
      <c r="H345" s="136"/>
      <c r="I345" s="136">
        <v>1688844</v>
      </c>
      <c r="J345" s="137" t="s">
        <v>1025</v>
      </c>
      <c r="K345" s="137"/>
      <c r="L345" s="148">
        <f t="shared" si="42"/>
        <v>1688844</v>
      </c>
      <c r="M345" s="122">
        <f t="shared" si="43"/>
        <v>0</v>
      </c>
      <c r="N345" s="137"/>
      <c r="O345" s="149" t="b">
        <f t="shared" si="44"/>
        <v>1</v>
      </c>
      <c r="P345" s="149">
        <f t="shared" si="45"/>
        <v>0</v>
      </c>
      <c r="Q345" s="149" t="b">
        <f t="shared" si="46"/>
        <v>0</v>
      </c>
      <c r="R345" s="149">
        <f t="shared" si="47"/>
        <v>0</v>
      </c>
      <c r="S345" s="144"/>
      <c r="T345" s="143">
        <v>45755</v>
      </c>
      <c r="U345" s="144" t="s">
        <v>1322</v>
      </c>
      <c r="V345" s="144">
        <v>0</v>
      </c>
      <c r="W345" s="144" t="s">
        <v>1071</v>
      </c>
      <c r="X345" s="144" t="s">
        <v>1801</v>
      </c>
      <c r="Y345" s="144" t="s">
        <v>1802</v>
      </c>
      <c r="Z345" s="145">
        <v>18577284</v>
      </c>
      <c r="AA345" s="145">
        <v>16888440</v>
      </c>
      <c r="AB345" s="144">
        <v>0</v>
      </c>
      <c r="AC345" s="144" t="s">
        <v>1022</v>
      </c>
      <c r="AD345" s="145">
        <v>1688844</v>
      </c>
      <c r="AE345" s="144">
        <v>0</v>
      </c>
      <c r="AF345" s="146">
        <v>0</v>
      </c>
      <c r="AG345" s="70">
        <v>0</v>
      </c>
      <c r="AH345" s="70">
        <v>0</v>
      </c>
      <c r="AI345" s="70">
        <v>0</v>
      </c>
      <c r="AJ345" s="70">
        <v>0</v>
      </c>
      <c r="AK345" s="70">
        <v>0</v>
      </c>
      <c r="AL345" s="70">
        <v>0.01</v>
      </c>
      <c r="AM345" s="70">
        <v>0</v>
      </c>
      <c r="AN345" s="70" t="s">
        <v>1870</v>
      </c>
    </row>
    <row r="346" spans="1:41">
      <c r="A346" s="132">
        <f t="shared" si="41"/>
        <v>338</v>
      </c>
      <c r="B346" s="133" t="s">
        <v>1764</v>
      </c>
      <c r="C346" s="133" t="s">
        <v>1905</v>
      </c>
      <c r="D346" s="132" t="s">
        <v>1024</v>
      </c>
      <c r="E346" s="147">
        <v>202500080259</v>
      </c>
      <c r="F346" s="135">
        <v>45759</v>
      </c>
      <c r="G346" s="45"/>
      <c r="H346" s="136"/>
      <c r="I346" s="136">
        <v>278818</v>
      </c>
      <c r="J346" s="137" t="s">
        <v>1025</v>
      </c>
      <c r="K346" s="137"/>
      <c r="L346" s="148">
        <f t="shared" si="42"/>
        <v>278818</v>
      </c>
      <c r="M346" s="122">
        <f t="shared" si="43"/>
        <v>0</v>
      </c>
      <c r="N346" s="137"/>
      <c r="O346" s="149" t="b">
        <f t="shared" si="44"/>
        <v>1</v>
      </c>
      <c r="P346" s="149">
        <f t="shared" si="45"/>
        <v>0</v>
      </c>
      <c r="Q346" s="149" t="b">
        <f t="shared" si="46"/>
        <v>0</v>
      </c>
      <c r="R346" s="149">
        <f t="shared" si="47"/>
        <v>0</v>
      </c>
      <c r="S346" s="144"/>
      <c r="T346" s="143">
        <v>45759</v>
      </c>
      <c r="U346" s="144">
        <v>202500080259</v>
      </c>
      <c r="V346" s="144">
        <v>0</v>
      </c>
      <c r="W346" s="144" t="s">
        <v>1071</v>
      </c>
      <c r="X346" s="144" t="s">
        <v>1801</v>
      </c>
      <c r="Y346" s="144" t="s">
        <v>1802</v>
      </c>
      <c r="Z346" s="145">
        <v>3066994</v>
      </c>
      <c r="AA346" s="145">
        <v>2788176</v>
      </c>
      <c r="AB346" s="144">
        <v>0</v>
      </c>
      <c r="AC346" s="144" t="s">
        <v>1022</v>
      </c>
      <c r="AD346" s="145">
        <v>278818</v>
      </c>
      <c r="AE346" s="144">
        <v>0</v>
      </c>
      <c r="AF346" s="146">
        <v>0</v>
      </c>
      <c r="AG346" s="70">
        <v>0</v>
      </c>
      <c r="AH346" s="70">
        <v>0</v>
      </c>
      <c r="AI346" s="70">
        <v>0</v>
      </c>
      <c r="AJ346" s="70">
        <v>0</v>
      </c>
      <c r="AK346" s="70">
        <v>0</v>
      </c>
      <c r="AL346" s="70">
        <v>0.01</v>
      </c>
      <c r="AM346" s="70">
        <v>0</v>
      </c>
      <c r="AN346" s="70" t="s">
        <v>1826</v>
      </c>
    </row>
    <row r="347" spans="1:41">
      <c r="A347" s="132">
        <f t="shared" si="41"/>
        <v>339</v>
      </c>
      <c r="B347" s="133" t="s">
        <v>1764</v>
      </c>
      <c r="C347" s="133" t="s">
        <v>1905</v>
      </c>
      <c r="D347" s="132" t="s">
        <v>1024</v>
      </c>
      <c r="E347" s="147">
        <v>202500084254</v>
      </c>
      <c r="F347" s="135">
        <v>45766</v>
      </c>
      <c r="G347" s="45"/>
      <c r="H347" s="136"/>
      <c r="I347" s="136">
        <v>452966</v>
      </c>
      <c r="J347" s="137" t="s">
        <v>1025</v>
      </c>
      <c r="K347" s="137"/>
      <c r="L347" s="148">
        <f t="shared" si="42"/>
        <v>452966</v>
      </c>
      <c r="M347" s="122">
        <f t="shared" si="43"/>
        <v>0</v>
      </c>
      <c r="N347" s="137"/>
      <c r="O347" s="149" t="b">
        <f t="shared" si="44"/>
        <v>1</v>
      </c>
      <c r="P347" s="149">
        <f t="shared" si="45"/>
        <v>0</v>
      </c>
      <c r="Q347" s="149" t="b">
        <f t="shared" si="46"/>
        <v>0</v>
      </c>
      <c r="R347" s="149">
        <f t="shared" si="47"/>
        <v>0</v>
      </c>
      <c r="S347" s="144"/>
      <c r="T347" s="143">
        <v>45766</v>
      </c>
      <c r="U347" s="144">
        <v>202500084254</v>
      </c>
      <c r="V347" s="144">
        <v>0</v>
      </c>
      <c r="W347" s="144" t="s">
        <v>1071</v>
      </c>
      <c r="X347" s="144" t="s">
        <v>1801</v>
      </c>
      <c r="Y347" s="144" t="s">
        <v>1802</v>
      </c>
      <c r="Z347" s="145">
        <v>4982621</v>
      </c>
      <c r="AA347" s="145">
        <v>4529655</v>
      </c>
      <c r="AB347" s="144">
        <v>0</v>
      </c>
      <c r="AC347" s="144" t="s">
        <v>1022</v>
      </c>
      <c r="AD347" s="145">
        <v>452966</v>
      </c>
      <c r="AE347" s="144">
        <v>0</v>
      </c>
      <c r="AF347" s="146">
        <v>0</v>
      </c>
      <c r="AG347" s="70">
        <v>0</v>
      </c>
      <c r="AH347" s="70">
        <v>0</v>
      </c>
      <c r="AI347" s="70">
        <v>0</v>
      </c>
      <c r="AJ347" s="70">
        <v>0</v>
      </c>
      <c r="AK347" s="70">
        <v>0</v>
      </c>
      <c r="AL347" s="70">
        <v>0.01</v>
      </c>
      <c r="AM347" s="70">
        <v>0</v>
      </c>
      <c r="AN347" s="70" t="s">
        <v>1826</v>
      </c>
    </row>
    <row r="348" spans="1:41">
      <c r="A348" s="132">
        <f t="shared" si="41"/>
        <v>340</v>
      </c>
      <c r="B348" s="133" t="s">
        <v>1072</v>
      </c>
      <c r="C348" s="133" t="s">
        <v>1906</v>
      </c>
      <c r="D348" s="132" t="s">
        <v>1036</v>
      </c>
      <c r="E348" s="147" t="s">
        <v>1323</v>
      </c>
      <c r="F348" s="135">
        <v>45762</v>
      </c>
      <c r="G348" s="45"/>
      <c r="H348" s="136"/>
      <c r="I348" s="136">
        <v>2732092</v>
      </c>
      <c r="J348" s="137" t="s">
        <v>1025</v>
      </c>
      <c r="K348" s="137"/>
      <c r="L348" s="148">
        <f t="shared" si="42"/>
        <v>2732092</v>
      </c>
      <c r="M348" s="122">
        <f t="shared" si="43"/>
        <v>0</v>
      </c>
      <c r="N348" s="137"/>
      <c r="O348" s="149" t="b">
        <f t="shared" si="44"/>
        <v>1</v>
      </c>
      <c r="P348" s="149">
        <f t="shared" si="45"/>
        <v>0</v>
      </c>
      <c r="Q348" s="149" t="b">
        <f t="shared" si="46"/>
        <v>0</v>
      </c>
      <c r="R348" s="149">
        <f t="shared" si="47"/>
        <v>0</v>
      </c>
      <c r="S348" s="144"/>
      <c r="T348" s="143">
        <v>45762</v>
      </c>
      <c r="U348" s="144" t="s">
        <v>1323</v>
      </c>
      <c r="V348" s="144">
        <v>0</v>
      </c>
      <c r="W348" s="144" t="s">
        <v>1071</v>
      </c>
      <c r="X348" s="144" t="s">
        <v>1801</v>
      </c>
      <c r="Y348" s="144" t="s">
        <v>1802</v>
      </c>
      <c r="Z348" s="145">
        <v>30053012</v>
      </c>
      <c r="AA348" s="145">
        <v>27320920</v>
      </c>
      <c r="AB348" s="144">
        <v>0</v>
      </c>
      <c r="AC348" s="144" t="s">
        <v>1022</v>
      </c>
      <c r="AD348" s="145">
        <v>2732092</v>
      </c>
      <c r="AE348" s="144">
        <v>0</v>
      </c>
      <c r="AF348" s="146">
        <v>0</v>
      </c>
      <c r="AG348" s="70">
        <v>0</v>
      </c>
      <c r="AH348" s="70">
        <v>0</v>
      </c>
      <c r="AI348" s="70">
        <v>0</v>
      </c>
      <c r="AJ348" s="70">
        <v>0</v>
      </c>
      <c r="AK348" s="70">
        <v>0</v>
      </c>
      <c r="AL348" s="70">
        <v>0.01</v>
      </c>
      <c r="AM348" s="70">
        <v>0</v>
      </c>
      <c r="AN348" s="70" t="s">
        <v>1871</v>
      </c>
    </row>
    <row r="349" spans="1:41">
      <c r="A349" s="132">
        <f t="shared" si="41"/>
        <v>341</v>
      </c>
      <c r="B349" s="133" t="s">
        <v>1765</v>
      </c>
      <c r="C349" s="133" t="s">
        <v>1904</v>
      </c>
      <c r="D349" s="132" t="s">
        <v>1698</v>
      </c>
      <c r="E349" s="147" t="s">
        <v>1324</v>
      </c>
      <c r="F349" s="135">
        <v>45765</v>
      </c>
      <c r="G349" s="45"/>
      <c r="H349" s="136"/>
      <c r="I349" s="136">
        <v>3083850</v>
      </c>
      <c r="J349" s="137" t="s">
        <v>1025</v>
      </c>
      <c r="K349" s="137"/>
      <c r="L349" s="148">
        <f t="shared" si="42"/>
        <v>3083850</v>
      </c>
      <c r="M349" s="122">
        <f t="shared" si="43"/>
        <v>0</v>
      </c>
      <c r="N349" s="137"/>
      <c r="O349" s="149" t="b">
        <f t="shared" si="44"/>
        <v>1</v>
      </c>
      <c r="P349" s="149">
        <f t="shared" si="45"/>
        <v>0</v>
      </c>
      <c r="Q349" s="149" t="b">
        <f t="shared" si="46"/>
        <v>0</v>
      </c>
      <c r="R349" s="149">
        <f t="shared" si="47"/>
        <v>0</v>
      </c>
      <c r="S349" s="144"/>
      <c r="T349" s="143">
        <v>45765</v>
      </c>
      <c r="U349" s="144" t="s">
        <v>1324</v>
      </c>
      <c r="V349" s="144">
        <v>0</v>
      </c>
      <c r="W349" s="144" t="s">
        <v>1071</v>
      </c>
      <c r="X349" s="144" t="s">
        <v>1801</v>
      </c>
      <c r="Y349" s="144" t="s">
        <v>1802</v>
      </c>
      <c r="Z349" s="145">
        <v>33922350</v>
      </c>
      <c r="AA349" s="145">
        <v>30838500</v>
      </c>
      <c r="AB349" s="144">
        <v>0</v>
      </c>
      <c r="AC349" s="144" t="s">
        <v>1022</v>
      </c>
      <c r="AD349" s="145">
        <v>3083850</v>
      </c>
      <c r="AE349" s="144">
        <v>0</v>
      </c>
      <c r="AF349" s="146">
        <v>0</v>
      </c>
      <c r="AG349" s="70">
        <v>0</v>
      </c>
      <c r="AH349" s="70">
        <v>0</v>
      </c>
      <c r="AI349" s="70">
        <v>0</v>
      </c>
      <c r="AJ349" s="70">
        <v>0</v>
      </c>
      <c r="AK349" s="70">
        <v>0</v>
      </c>
      <c r="AL349" s="70">
        <v>0.01</v>
      </c>
      <c r="AM349" s="70">
        <v>0</v>
      </c>
      <c r="AN349" s="70" t="s">
        <v>1807</v>
      </c>
    </row>
    <row r="350" spans="1:41">
      <c r="A350" s="132">
        <f t="shared" si="41"/>
        <v>342</v>
      </c>
      <c r="B350" s="133" t="s">
        <v>1764</v>
      </c>
      <c r="C350" s="133" t="s">
        <v>1905</v>
      </c>
      <c r="D350" s="132" t="s">
        <v>1024</v>
      </c>
      <c r="E350" s="147">
        <v>202500090156</v>
      </c>
      <c r="F350" s="135">
        <v>45771</v>
      </c>
      <c r="G350" s="45"/>
      <c r="H350" s="136"/>
      <c r="I350" s="136">
        <v>174131</v>
      </c>
      <c r="J350" s="137" t="s">
        <v>1025</v>
      </c>
      <c r="K350" s="137"/>
      <c r="L350" s="148">
        <f t="shared" si="42"/>
        <v>174131</v>
      </c>
      <c r="M350" s="122">
        <f t="shared" si="43"/>
        <v>0</v>
      </c>
      <c r="N350" s="137"/>
      <c r="O350" s="149" t="b">
        <f t="shared" si="44"/>
        <v>1</v>
      </c>
      <c r="P350" s="149">
        <f t="shared" si="45"/>
        <v>0</v>
      </c>
      <c r="Q350" s="149" t="b">
        <f t="shared" si="46"/>
        <v>0</v>
      </c>
      <c r="R350" s="149">
        <f t="shared" si="47"/>
        <v>0</v>
      </c>
      <c r="S350" s="144"/>
      <c r="T350" s="143">
        <v>45771</v>
      </c>
      <c r="U350" s="144">
        <v>202500090156</v>
      </c>
      <c r="V350" s="144">
        <v>0</v>
      </c>
      <c r="W350" s="144" t="s">
        <v>1071</v>
      </c>
      <c r="X350" s="144" t="s">
        <v>1801</v>
      </c>
      <c r="Y350" s="144" t="s">
        <v>1802</v>
      </c>
      <c r="Z350" s="145">
        <v>1915436</v>
      </c>
      <c r="AA350" s="145">
        <v>1741305</v>
      </c>
      <c r="AB350" s="144">
        <v>0</v>
      </c>
      <c r="AC350" s="144" t="s">
        <v>1022</v>
      </c>
      <c r="AD350" s="145">
        <v>174131</v>
      </c>
      <c r="AE350" s="144">
        <v>0</v>
      </c>
      <c r="AF350" s="146">
        <v>0</v>
      </c>
      <c r="AG350" s="70">
        <v>0</v>
      </c>
      <c r="AH350" s="70">
        <v>0</v>
      </c>
      <c r="AI350" s="70">
        <v>0</v>
      </c>
      <c r="AJ350" s="70">
        <v>0</v>
      </c>
      <c r="AK350" s="70">
        <v>0</v>
      </c>
      <c r="AL350" s="70">
        <v>0.01</v>
      </c>
      <c r="AM350" s="70">
        <v>0</v>
      </c>
      <c r="AN350" s="70" t="s">
        <v>1826</v>
      </c>
    </row>
    <row r="351" spans="1:41">
      <c r="A351" s="132">
        <f t="shared" si="41"/>
        <v>343</v>
      </c>
      <c r="B351" s="133" t="s">
        <v>1778</v>
      </c>
      <c r="C351" s="133" t="s">
        <v>1923</v>
      </c>
      <c r="D351" s="132" t="s">
        <v>1714</v>
      </c>
      <c r="E351" s="147" t="s">
        <v>1325</v>
      </c>
      <c r="F351" s="135">
        <v>45775</v>
      </c>
      <c r="G351" s="45"/>
      <c r="H351" s="136"/>
      <c r="I351" s="136">
        <v>720360</v>
      </c>
      <c r="J351" s="137" t="s">
        <v>1025</v>
      </c>
      <c r="K351" s="137"/>
      <c r="L351" s="148">
        <f t="shared" si="42"/>
        <v>720360</v>
      </c>
      <c r="M351" s="122">
        <f t="shared" si="43"/>
        <v>0</v>
      </c>
      <c r="N351" s="137"/>
      <c r="O351" s="149" t="b">
        <f t="shared" si="44"/>
        <v>1</v>
      </c>
      <c r="P351" s="149">
        <f t="shared" si="45"/>
        <v>0</v>
      </c>
      <c r="Q351" s="149" t="b">
        <f t="shared" si="46"/>
        <v>0</v>
      </c>
      <c r="R351" s="149">
        <f t="shared" si="47"/>
        <v>-180</v>
      </c>
      <c r="S351" s="144"/>
      <c r="T351" s="143">
        <v>45775</v>
      </c>
      <c r="U351" s="144" t="s">
        <v>1325</v>
      </c>
      <c r="V351" s="144">
        <v>0</v>
      </c>
      <c r="W351" s="144" t="s">
        <v>1071</v>
      </c>
      <c r="X351" s="144" t="s">
        <v>1801</v>
      </c>
      <c r="Y351" s="144" t="s">
        <v>1802</v>
      </c>
      <c r="Z351" s="145">
        <v>7925940</v>
      </c>
      <c r="AA351" s="145">
        <v>7205400</v>
      </c>
      <c r="AB351" s="144">
        <v>0</v>
      </c>
      <c r="AC351" s="144" t="s">
        <v>1022</v>
      </c>
      <c r="AD351" s="145">
        <v>720540</v>
      </c>
      <c r="AE351" s="144">
        <v>0</v>
      </c>
      <c r="AF351" s="146">
        <v>0</v>
      </c>
      <c r="AG351" s="70">
        <v>0</v>
      </c>
      <c r="AH351" s="70">
        <v>0</v>
      </c>
      <c r="AI351" s="70">
        <v>0</v>
      </c>
      <c r="AJ351" s="70">
        <v>0</v>
      </c>
      <c r="AK351" s="70">
        <v>0</v>
      </c>
      <c r="AL351" s="70">
        <v>0.01</v>
      </c>
      <c r="AM351" s="70">
        <v>0</v>
      </c>
      <c r="AN351" s="70" t="s">
        <v>1872</v>
      </c>
      <c r="AO351" s="70" t="s">
        <v>1804</v>
      </c>
    </row>
    <row r="352" spans="1:41">
      <c r="A352" s="132">
        <f t="shared" si="41"/>
        <v>344</v>
      </c>
      <c r="B352" s="133" t="s">
        <v>1765</v>
      </c>
      <c r="C352" s="133" t="s">
        <v>1904</v>
      </c>
      <c r="D352" s="132" t="s">
        <v>1698</v>
      </c>
      <c r="E352" s="147" t="s">
        <v>1326</v>
      </c>
      <c r="F352" s="135">
        <v>45771</v>
      </c>
      <c r="G352" s="45"/>
      <c r="H352" s="136"/>
      <c r="I352" s="136">
        <v>1184888</v>
      </c>
      <c r="J352" s="137" t="s">
        <v>1025</v>
      </c>
      <c r="K352" s="137"/>
      <c r="L352" s="148">
        <f t="shared" si="42"/>
        <v>1184888</v>
      </c>
      <c r="M352" s="122">
        <f t="shared" si="43"/>
        <v>0</v>
      </c>
      <c r="N352" s="137"/>
      <c r="O352" s="149" t="b">
        <f t="shared" si="44"/>
        <v>1</v>
      </c>
      <c r="P352" s="149">
        <f t="shared" si="45"/>
        <v>0</v>
      </c>
      <c r="Q352" s="149" t="b">
        <f t="shared" si="46"/>
        <v>0</v>
      </c>
      <c r="R352" s="149">
        <f t="shared" si="47"/>
        <v>0</v>
      </c>
      <c r="S352" s="144"/>
      <c r="T352" s="143">
        <v>45771</v>
      </c>
      <c r="U352" s="144" t="s">
        <v>1326</v>
      </c>
      <c r="V352" s="144">
        <v>0</v>
      </c>
      <c r="W352" s="144" t="s">
        <v>1071</v>
      </c>
      <c r="X352" s="144" t="s">
        <v>1801</v>
      </c>
      <c r="Y352" s="144" t="s">
        <v>1802</v>
      </c>
      <c r="Z352" s="145">
        <v>13033768</v>
      </c>
      <c r="AA352" s="145">
        <v>11848880</v>
      </c>
      <c r="AB352" s="144">
        <v>0</v>
      </c>
      <c r="AC352" s="144" t="s">
        <v>1022</v>
      </c>
      <c r="AD352" s="145">
        <v>1184888</v>
      </c>
      <c r="AE352" s="144">
        <v>0</v>
      </c>
      <c r="AF352" s="146">
        <v>0</v>
      </c>
      <c r="AG352" s="70">
        <v>0</v>
      </c>
      <c r="AH352" s="70">
        <v>0</v>
      </c>
      <c r="AI352" s="70">
        <v>0</v>
      </c>
      <c r="AJ352" s="70">
        <v>0</v>
      </c>
      <c r="AK352" s="70">
        <v>0</v>
      </c>
      <c r="AL352" s="70">
        <v>0.01</v>
      </c>
      <c r="AM352" s="70">
        <v>0</v>
      </c>
      <c r="AN352" s="70" t="s">
        <v>1807</v>
      </c>
    </row>
    <row r="353" spans="1:41">
      <c r="A353" s="132">
        <f t="shared" si="41"/>
        <v>345</v>
      </c>
      <c r="B353" s="133" t="s">
        <v>1773</v>
      </c>
      <c r="C353" s="133" t="s">
        <v>1905</v>
      </c>
      <c r="D353" s="132" t="s">
        <v>1024</v>
      </c>
      <c r="E353" s="147">
        <v>202500088366</v>
      </c>
      <c r="F353" s="135">
        <v>45770</v>
      </c>
      <c r="G353" s="45"/>
      <c r="H353" s="136"/>
      <c r="I353" s="136">
        <v>2402</v>
      </c>
      <c r="J353" s="137" t="s">
        <v>1025</v>
      </c>
      <c r="K353" s="137"/>
      <c r="L353" s="148">
        <f t="shared" si="42"/>
        <v>2402</v>
      </c>
      <c r="M353" s="122">
        <f t="shared" si="43"/>
        <v>0</v>
      </c>
      <c r="N353" s="137"/>
      <c r="O353" s="149" t="b">
        <f t="shared" si="44"/>
        <v>1</v>
      </c>
      <c r="P353" s="149">
        <f t="shared" si="45"/>
        <v>0</v>
      </c>
      <c r="Q353" s="149" t="b">
        <f t="shared" si="46"/>
        <v>0</v>
      </c>
      <c r="R353" s="149">
        <f t="shared" si="47"/>
        <v>0</v>
      </c>
      <c r="S353" s="144"/>
      <c r="T353" s="143">
        <v>45770</v>
      </c>
      <c r="U353" s="144">
        <v>202500088366</v>
      </c>
      <c r="V353" s="144">
        <v>0</v>
      </c>
      <c r="W353" s="144" t="s">
        <v>1071</v>
      </c>
      <c r="X353" s="144" t="s">
        <v>1801</v>
      </c>
      <c r="Y353" s="144" t="s">
        <v>1802</v>
      </c>
      <c r="Z353" s="145">
        <v>26420</v>
      </c>
      <c r="AA353" s="145">
        <v>24018</v>
      </c>
      <c r="AB353" s="144">
        <v>0</v>
      </c>
      <c r="AC353" s="144" t="s">
        <v>1022</v>
      </c>
      <c r="AD353" s="145">
        <v>2402</v>
      </c>
      <c r="AE353" s="144">
        <v>0</v>
      </c>
      <c r="AF353" s="146">
        <v>0</v>
      </c>
      <c r="AG353" s="70">
        <v>0</v>
      </c>
      <c r="AH353" s="70">
        <v>0</v>
      </c>
      <c r="AI353" s="70">
        <v>0</v>
      </c>
      <c r="AJ353" s="70">
        <v>0</v>
      </c>
      <c r="AK353" s="70">
        <v>0</v>
      </c>
      <c r="AL353" s="70">
        <v>0.01</v>
      </c>
      <c r="AM353" s="70">
        <v>0</v>
      </c>
      <c r="AN353" s="70" t="s">
        <v>1862</v>
      </c>
    </row>
    <row r="354" spans="1:41">
      <c r="A354" s="132">
        <f t="shared" si="41"/>
        <v>346</v>
      </c>
      <c r="B354" s="133" t="s">
        <v>1773</v>
      </c>
      <c r="C354" s="133" t="s">
        <v>1905</v>
      </c>
      <c r="D354" s="132" t="s">
        <v>1024</v>
      </c>
      <c r="E354" s="147">
        <v>202500087344</v>
      </c>
      <c r="F354" s="135">
        <v>45769</v>
      </c>
      <c r="G354" s="45"/>
      <c r="H354" s="136"/>
      <c r="I354" s="136">
        <v>7207</v>
      </c>
      <c r="J354" s="137" t="s">
        <v>1025</v>
      </c>
      <c r="K354" s="137"/>
      <c r="L354" s="148">
        <f t="shared" si="42"/>
        <v>7207</v>
      </c>
      <c r="M354" s="122">
        <f t="shared" si="43"/>
        <v>0</v>
      </c>
      <c r="N354" s="137"/>
      <c r="O354" s="149" t="b">
        <f t="shared" si="44"/>
        <v>1</v>
      </c>
      <c r="P354" s="149">
        <f t="shared" si="45"/>
        <v>0</v>
      </c>
      <c r="Q354" s="149" t="b">
        <f t="shared" si="46"/>
        <v>0</v>
      </c>
      <c r="R354" s="149">
        <f t="shared" si="47"/>
        <v>0</v>
      </c>
      <c r="S354" s="144"/>
      <c r="T354" s="143">
        <v>45769</v>
      </c>
      <c r="U354" s="144">
        <v>202500087344</v>
      </c>
      <c r="V354" s="144">
        <v>0</v>
      </c>
      <c r="W354" s="144" t="s">
        <v>1071</v>
      </c>
      <c r="X354" s="144" t="s">
        <v>1801</v>
      </c>
      <c r="Y354" s="144" t="s">
        <v>1802</v>
      </c>
      <c r="Z354" s="145">
        <v>79279</v>
      </c>
      <c r="AA354" s="145">
        <v>72072</v>
      </c>
      <c r="AB354" s="144">
        <v>0</v>
      </c>
      <c r="AC354" s="144" t="s">
        <v>1022</v>
      </c>
      <c r="AD354" s="145">
        <v>7207</v>
      </c>
      <c r="AE354" s="144">
        <v>0</v>
      </c>
      <c r="AF354" s="146">
        <v>0</v>
      </c>
      <c r="AG354" s="70">
        <v>0</v>
      </c>
      <c r="AH354" s="70">
        <v>0</v>
      </c>
      <c r="AI354" s="70">
        <v>0</v>
      </c>
      <c r="AJ354" s="70">
        <v>0</v>
      </c>
      <c r="AK354" s="70">
        <v>0</v>
      </c>
      <c r="AL354" s="70">
        <v>0.01</v>
      </c>
      <c r="AM354" s="70">
        <v>0</v>
      </c>
      <c r="AN354" s="70" t="s">
        <v>1862</v>
      </c>
    </row>
    <row r="355" spans="1:41">
      <c r="A355" s="132">
        <f t="shared" si="41"/>
        <v>347</v>
      </c>
      <c r="B355" s="133" t="s">
        <v>1773</v>
      </c>
      <c r="C355" s="133" t="s">
        <v>1905</v>
      </c>
      <c r="D355" s="132" t="s">
        <v>1024</v>
      </c>
      <c r="E355" s="147">
        <v>202500086379</v>
      </c>
      <c r="F355" s="135">
        <v>45768</v>
      </c>
      <c r="G355" s="45"/>
      <c r="H355" s="136"/>
      <c r="I355" s="136">
        <v>7205</v>
      </c>
      <c r="J355" s="137" t="s">
        <v>1025</v>
      </c>
      <c r="K355" s="137"/>
      <c r="L355" s="148">
        <f t="shared" si="42"/>
        <v>7205</v>
      </c>
      <c r="M355" s="122">
        <f t="shared" si="43"/>
        <v>0</v>
      </c>
      <c r="N355" s="137"/>
      <c r="O355" s="149" t="b">
        <f t="shared" si="44"/>
        <v>1</v>
      </c>
      <c r="P355" s="149">
        <f t="shared" si="45"/>
        <v>0</v>
      </c>
      <c r="Q355" s="149" t="b">
        <f t="shared" si="46"/>
        <v>0</v>
      </c>
      <c r="R355" s="149">
        <f t="shared" si="47"/>
        <v>0</v>
      </c>
      <c r="S355" s="144"/>
      <c r="T355" s="143">
        <v>45768</v>
      </c>
      <c r="U355" s="144">
        <v>202500086379</v>
      </c>
      <c r="V355" s="144">
        <v>0</v>
      </c>
      <c r="W355" s="144" t="s">
        <v>1071</v>
      </c>
      <c r="X355" s="144" t="s">
        <v>1801</v>
      </c>
      <c r="Y355" s="144" t="s">
        <v>1802</v>
      </c>
      <c r="Z355" s="145">
        <v>79259</v>
      </c>
      <c r="AA355" s="145">
        <v>72054</v>
      </c>
      <c r="AB355" s="144">
        <v>0</v>
      </c>
      <c r="AC355" s="144" t="s">
        <v>1022</v>
      </c>
      <c r="AD355" s="145">
        <v>7205</v>
      </c>
      <c r="AE355" s="144">
        <v>0</v>
      </c>
      <c r="AF355" s="146">
        <v>0</v>
      </c>
      <c r="AG355" s="70">
        <v>0</v>
      </c>
      <c r="AH355" s="70">
        <v>0</v>
      </c>
      <c r="AI355" s="70">
        <v>0</v>
      </c>
      <c r="AJ355" s="70">
        <v>0</v>
      </c>
      <c r="AK355" s="70">
        <v>0</v>
      </c>
      <c r="AL355" s="70">
        <v>0.01</v>
      </c>
      <c r="AM355" s="70">
        <v>0</v>
      </c>
      <c r="AN355" s="70" t="s">
        <v>1862</v>
      </c>
    </row>
    <row r="356" spans="1:41">
      <c r="A356" s="132">
        <f t="shared" si="41"/>
        <v>348</v>
      </c>
      <c r="B356" s="133" t="s">
        <v>1773</v>
      </c>
      <c r="C356" s="133" t="s">
        <v>1905</v>
      </c>
      <c r="D356" s="132" t="s">
        <v>1024</v>
      </c>
      <c r="E356" s="147">
        <v>202500084523</v>
      </c>
      <c r="F356" s="135">
        <v>45766</v>
      </c>
      <c r="G356" s="45"/>
      <c r="H356" s="136"/>
      <c r="I356" s="136">
        <v>64881</v>
      </c>
      <c r="J356" s="137" t="s">
        <v>1025</v>
      </c>
      <c r="K356" s="137"/>
      <c r="L356" s="148">
        <f t="shared" si="42"/>
        <v>64881</v>
      </c>
      <c r="M356" s="122">
        <f t="shared" si="43"/>
        <v>0</v>
      </c>
      <c r="N356" s="137"/>
      <c r="O356" s="149" t="b">
        <f t="shared" si="44"/>
        <v>1</v>
      </c>
      <c r="P356" s="149">
        <f t="shared" si="45"/>
        <v>0</v>
      </c>
      <c r="Q356" s="149" t="b">
        <f t="shared" si="46"/>
        <v>0</v>
      </c>
      <c r="R356" s="149">
        <f t="shared" si="47"/>
        <v>0</v>
      </c>
      <c r="S356" s="144"/>
      <c r="T356" s="143">
        <v>45766</v>
      </c>
      <c r="U356" s="144">
        <v>202500084523</v>
      </c>
      <c r="V356" s="144">
        <v>0</v>
      </c>
      <c r="W356" s="144" t="s">
        <v>1071</v>
      </c>
      <c r="X356" s="144" t="s">
        <v>1801</v>
      </c>
      <c r="Y356" s="144" t="s">
        <v>1802</v>
      </c>
      <c r="Z356" s="145">
        <v>713691</v>
      </c>
      <c r="AA356" s="145">
        <v>648810</v>
      </c>
      <c r="AB356" s="144">
        <v>0</v>
      </c>
      <c r="AC356" s="144" t="s">
        <v>1022</v>
      </c>
      <c r="AD356" s="145">
        <v>64881</v>
      </c>
      <c r="AE356" s="144">
        <v>0</v>
      </c>
      <c r="AF356" s="146">
        <v>0</v>
      </c>
      <c r="AG356" s="70">
        <v>0</v>
      </c>
      <c r="AH356" s="70">
        <v>0</v>
      </c>
      <c r="AI356" s="70">
        <v>0</v>
      </c>
      <c r="AJ356" s="70">
        <v>0</v>
      </c>
      <c r="AK356" s="70">
        <v>0</v>
      </c>
      <c r="AL356" s="70">
        <v>0.01</v>
      </c>
      <c r="AM356" s="70">
        <v>0</v>
      </c>
      <c r="AN356" s="70" t="s">
        <v>1862</v>
      </c>
    </row>
    <row r="357" spans="1:41">
      <c r="A357" s="132">
        <f t="shared" si="41"/>
        <v>349</v>
      </c>
      <c r="B357" s="133" t="s">
        <v>1773</v>
      </c>
      <c r="C357" s="133" t="s">
        <v>1905</v>
      </c>
      <c r="D357" s="132" t="s">
        <v>1024</v>
      </c>
      <c r="E357" s="147">
        <v>202500085102</v>
      </c>
      <c r="F357" s="135">
        <v>45767</v>
      </c>
      <c r="G357" s="45"/>
      <c r="H357" s="136"/>
      <c r="I357" s="136">
        <v>8411</v>
      </c>
      <c r="J357" s="137" t="s">
        <v>1025</v>
      </c>
      <c r="K357" s="137"/>
      <c r="L357" s="148">
        <f t="shared" si="42"/>
        <v>8411</v>
      </c>
      <c r="M357" s="122">
        <f t="shared" si="43"/>
        <v>0</v>
      </c>
      <c r="N357" s="137"/>
      <c r="O357" s="149" t="b">
        <f t="shared" si="44"/>
        <v>1</v>
      </c>
      <c r="P357" s="149">
        <f t="shared" si="45"/>
        <v>0</v>
      </c>
      <c r="Q357" s="149" t="b">
        <f t="shared" si="46"/>
        <v>0</v>
      </c>
      <c r="R357" s="149">
        <f t="shared" si="47"/>
        <v>0</v>
      </c>
      <c r="S357" s="144"/>
      <c r="T357" s="143">
        <v>45767</v>
      </c>
      <c r="U357" s="144">
        <v>202500085102</v>
      </c>
      <c r="V357" s="144">
        <v>0</v>
      </c>
      <c r="W357" s="144" t="s">
        <v>1071</v>
      </c>
      <c r="X357" s="144" t="s">
        <v>1801</v>
      </c>
      <c r="Y357" s="144" t="s">
        <v>1802</v>
      </c>
      <c r="Z357" s="145">
        <v>92516</v>
      </c>
      <c r="AA357" s="145">
        <v>84105</v>
      </c>
      <c r="AB357" s="144">
        <v>0</v>
      </c>
      <c r="AC357" s="144" t="s">
        <v>1022</v>
      </c>
      <c r="AD357" s="145">
        <v>8411</v>
      </c>
      <c r="AE357" s="144">
        <v>0</v>
      </c>
      <c r="AF357" s="146">
        <v>0</v>
      </c>
      <c r="AG357" s="70">
        <v>0</v>
      </c>
      <c r="AH357" s="70">
        <v>0</v>
      </c>
      <c r="AI357" s="70">
        <v>0</v>
      </c>
      <c r="AJ357" s="70">
        <v>0</v>
      </c>
      <c r="AK357" s="70">
        <v>0</v>
      </c>
      <c r="AL357" s="70">
        <v>0.01</v>
      </c>
      <c r="AM357" s="70">
        <v>0</v>
      </c>
      <c r="AN357" s="70" t="s">
        <v>1862</v>
      </c>
    </row>
    <row r="358" spans="1:41">
      <c r="A358" s="132">
        <f t="shared" si="41"/>
        <v>350</v>
      </c>
      <c r="B358" s="133" t="s">
        <v>1764</v>
      </c>
      <c r="C358" s="133" t="s">
        <v>1905</v>
      </c>
      <c r="D358" s="132" t="s">
        <v>1024</v>
      </c>
      <c r="E358" s="147">
        <v>202500083063</v>
      </c>
      <c r="F358" s="135">
        <v>45765</v>
      </c>
      <c r="G358" s="45"/>
      <c r="H358" s="136"/>
      <c r="I358" s="136">
        <v>205457</v>
      </c>
      <c r="J358" s="137" t="s">
        <v>1025</v>
      </c>
      <c r="K358" s="137"/>
      <c r="L358" s="148">
        <f t="shared" si="42"/>
        <v>205457</v>
      </c>
      <c r="M358" s="122">
        <f t="shared" si="43"/>
        <v>0</v>
      </c>
      <c r="N358" s="137"/>
      <c r="O358" s="149" t="b">
        <f t="shared" si="44"/>
        <v>1</v>
      </c>
      <c r="P358" s="149">
        <f t="shared" si="45"/>
        <v>0</v>
      </c>
      <c r="Q358" s="149" t="b">
        <f t="shared" si="46"/>
        <v>0</v>
      </c>
      <c r="R358" s="149">
        <f t="shared" si="47"/>
        <v>0</v>
      </c>
      <c r="S358" s="144"/>
      <c r="T358" s="143">
        <v>45765</v>
      </c>
      <c r="U358" s="144">
        <v>202500083063</v>
      </c>
      <c r="V358" s="144">
        <v>0</v>
      </c>
      <c r="W358" s="144" t="s">
        <v>1071</v>
      </c>
      <c r="X358" s="144" t="s">
        <v>1801</v>
      </c>
      <c r="Y358" s="144" t="s">
        <v>1802</v>
      </c>
      <c r="Z358" s="145">
        <v>2260022</v>
      </c>
      <c r="AA358" s="145">
        <v>2054565</v>
      </c>
      <c r="AB358" s="144">
        <v>0</v>
      </c>
      <c r="AC358" s="144" t="s">
        <v>1022</v>
      </c>
      <c r="AD358" s="145">
        <v>205457</v>
      </c>
      <c r="AE358" s="144">
        <v>0</v>
      </c>
      <c r="AF358" s="146">
        <v>0</v>
      </c>
      <c r="AG358" s="70">
        <v>0</v>
      </c>
      <c r="AH358" s="70">
        <v>0</v>
      </c>
      <c r="AI358" s="70">
        <v>0</v>
      </c>
      <c r="AJ358" s="70">
        <v>0</v>
      </c>
      <c r="AK358" s="70">
        <v>0</v>
      </c>
      <c r="AL358" s="70">
        <v>0.01</v>
      </c>
      <c r="AM358" s="70">
        <v>0</v>
      </c>
      <c r="AN358" s="70" t="s">
        <v>1826</v>
      </c>
    </row>
    <row r="359" spans="1:41">
      <c r="A359" s="132">
        <f t="shared" si="41"/>
        <v>351</v>
      </c>
      <c r="B359" s="133" t="s">
        <v>1072</v>
      </c>
      <c r="C359" s="133" t="s">
        <v>1906</v>
      </c>
      <c r="D359" s="132" t="s">
        <v>1036</v>
      </c>
      <c r="E359" s="147" t="s">
        <v>1327</v>
      </c>
      <c r="F359" s="135">
        <v>45756</v>
      </c>
      <c r="G359" s="45"/>
      <c r="H359" s="136"/>
      <c r="I359" s="136">
        <v>1105380</v>
      </c>
      <c r="J359" s="137" t="s">
        <v>1025</v>
      </c>
      <c r="K359" s="137"/>
      <c r="L359" s="148">
        <f t="shared" si="42"/>
        <v>1105380</v>
      </c>
      <c r="M359" s="122">
        <f t="shared" si="43"/>
        <v>0</v>
      </c>
      <c r="N359" s="137"/>
      <c r="O359" s="149" t="b">
        <f t="shared" si="44"/>
        <v>1</v>
      </c>
      <c r="P359" s="149">
        <f t="shared" si="45"/>
        <v>0</v>
      </c>
      <c r="Q359" s="149" t="b">
        <f t="shared" si="46"/>
        <v>0</v>
      </c>
      <c r="R359" s="149">
        <f t="shared" si="47"/>
        <v>0</v>
      </c>
      <c r="S359" s="144"/>
      <c r="T359" s="143">
        <v>45756</v>
      </c>
      <c r="U359" s="144" t="s">
        <v>1327</v>
      </c>
      <c r="V359" s="144">
        <v>0</v>
      </c>
      <c r="W359" s="144" t="s">
        <v>1071</v>
      </c>
      <c r="X359" s="144" t="s">
        <v>1801</v>
      </c>
      <c r="Y359" s="144" t="s">
        <v>1802</v>
      </c>
      <c r="Z359" s="145">
        <v>12159180</v>
      </c>
      <c r="AA359" s="145">
        <v>11053800</v>
      </c>
      <c r="AB359" s="144">
        <v>0</v>
      </c>
      <c r="AC359" s="144" t="s">
        <v>1022</v>
      </c>
      <c r="AD359" s="145">
        <v>1105380</v>
      </c>
      <c r="AE359" s="144">
        <v>0</v>
      </c>
      <c r="AF359" s="146">
        <v>0</v>
      </c>
      <c r="AG359" s="70">
        <v>0</v>
      </c>
      <c r="AH359" s="70">
        <v>0</v>
      </c>
      <c r="AI359" s="70">
        <v>0</v>
      </c>
      <c r="AJ359" s="70">
        <v>0</v>
      </c>
      <c r="AK359" s="70">
        <v>0</v>
      </c>
      <c r="AL359" s="70">
        <v>0.01</v>
      </c>
      <c r="AM359" s="70">
        <v>0</v>
      </c>
      <c r="AN359" s="70" t="s">
        <v>1873</v>
      </c>
    </row>
    <row r="360" spans="1:41">
      <c r="A360" s="132">
        <f t="shared" si="41"/>
        <v>352</v>
      </c>
      <c r="B360" s="133" t="s">
        <v>1765</v>
      </c>
      <c r="C360" s="133" t="s">
        <v>1904</v>
      </c>
      <c r="D360" s="132" t="s">
        <v>1698</v>
      </c>
      <c r="E360" s="147" t="s">
        <v>1328</v>
      </c>
      <c r="F360" s="135">
        <v>45764</v>
      </c>
      <c r="G360" s="45"/>
      <c r="H360" s="136"/>
      <c r="I360" s="136">
        <v>2222775</v>
      </c>
      <c r="J360" s="137" t="s">
        <v>1025</v>
      </c>
      <c r="K360" s="137"/>
      <c r="L360" s="148">
        <f t="shared" si="42"/>
        <v>2222775</v>
      </c>
      <c r="M360" s="122">
        <f t="shared" si="43"/>
        <v>0</v>
      </c>
      <c r="N360" s="137"/>
      <c r="O360" s="149" t="b">
        <f t="shared" si="44"/>
        <v>1</v>
      </c>
      <c r="P360" s="149">
        <f t="shared" si="45"/>
        <v>0</v>
      </c>
      <c r="Q360" s="149" t="b">
        <f t="shared" si="46"/>
        <v>0</v>
      </c>
      <c r="R360" s="149">
        <f t="shared" si="47"/>
        <v>0</v>
      </c>
      <c r="S360" s="144"/>
      <c r="T360" s="143">
        <v>45764</v>
      </c>
      <c r="U360" s="144" t="s">
        <v>1328</v>
      </c>
      <c r="V360" s="144">
        <v>0</v>
      </c>
      <c r="W360" s="144" t="s">
        <v>1071</v>
      </c>
      <c r="X360" s="144" t="s">
        <v>1801</v>
      </c>
      <c r="Y360" s="144" t="s">
        <v>1802</v>
      </c>
      <c r="Z360" s="145">
        <v>24450525</v>
      </c>
      <c r="AA360" s="145">
        <v>22227750</v>
      </c>
      <c r="AB360" s="144">
        <v>0</v>
      </c>
      <c r="AC360" s="144" t="s">
        <v>1022</v>
      </c>
      <c r="AD360" s="145">
        <v>2222775</v>
      </c>
      <c r="AE360" s="144">
        <v>0</v>
      </c>
      <c r="AF360" s="146">
        <v>0</v>
      </c>
      <c r="AG360" s="70">
        <v>0</v>
      </c>
      <c r="AH360" s="70">
        <v>0</v>
      </c>
      <c r="AI360" s="70">
        <v>0</v>
      </c>
      <c r="AJ360" s="70">
        <v>0</v>
      </c>
      <c r="AK360" s="70">
        <v>0</v>
      </c>
      <c r="AL360" s="70">
        <v>0.01</v>
      </c>
      <c r="AM360" s="70">
        <v>0</v>
      </c>
      <c r="AN360" s="70" t="s">
        <v>1807</v>
      </c>
    </row>
    <row r="361" spans="1:41">
      <c r="A361" s="132">
        <f t="shared" si="41"/>
        <v>353</v>
      </c>
      <c r="B361" s="133" t="s">
        <v>1773</v>
      </c>
      <c r="C361" s="133" t="s">
        <v>1905</v>
      </c>
      <c r="D361" s="132" t="s">
        <v>1024</v>
      </c>
      <c r="E361" s="147">
        <v>202500086730</v>
      </c>
      <c r="F361" s="135">
        <v>45768</v>
      </c>
      <c r="G361" s="45"/>
      <c r="H361" s="136"/>
      <c r="I361" s="136">
        <v>4804</v>
      </c>
      <c r="J361" s="137" t="s">
        <v>1025</v>
      </c>
      <c r="K361" s="137"/>
      <c r="L361" s="148">
        <f t="shared" si="42"/>
        <v>4804</v>
      </c>
      <c r="M361" s="122">
        <f t="shared" si="43"/>
        <v>0</v>
      </c>
      <c r="N361" s="137"/>
      <c r="O361" s="149" t="b">
        <f t="shared" si="44"/>
        <v>1</v>
      </c>
      <c r="P361" s="149">
        <f t="shared" si="45"/>
        <v>0</v>
      </c>
      <c r="Q361" s="149" t="b">
        <f t="shared" si="46"/>
        <v>0</v>
      </c>
      <c r="R361" s="149">
        <f t="shared" si="47"/>
        <v>0</v>
      </c>
      <c r="S361" s="144"/>
      <c r="T361" s="143">
        <v>45768</v>
      </c>
      <c r="U361" s="144">
        <v>202500086730</v>
      </c>
      <c r="V361" s="144">
        <v>0</v>
      </c>
      <c r="W361" s="144" t="s">
        <v>1071</v>
      </c>
      <c r="X361" s="144" t="s">
        <v>1801</v>
      </c>
      <c r="Y361" s="144" t="s">
        <v>1802</v>
      </c>
      <c r="Z361" s="145">
        <v>52840</v>
      </c>
      <c r="AA361" s="145">
        <v>48036</v>
      </c>
      <c r="AB361" s="144">
        <v>0</v>
      </c>
      <c r="AC361" s="144" t="s">
        <v>1022</v>
      </c>
      <c r="AD361" s="145">
        <v>4804</v>
      </c>
      <c r="AE361" s="144">
        <v>0</v>
      </c>
      <c r="AF361" s="146">
        <v>0</v>
      </c>
      <c r="AG361" s="70">
        <v>0</v>
      </c>
      <c r="AH361" s="70">
        <v>0</v>
      </c>
      <c r="AI361" s="70">
        <v>0</v>
      </c>
      <c r="AJ361" s="70">
        <v>0</v>
      </c>
      <c r="AK361" s="70">
        <v>0</v>
      </c>
      <c r="AL361" s="70">
        <v>0.01</v>
      </c>
      <c r="AM361" s="70">
        <v>0</v>
      </c>
      <c r="AN361" s="70" t="s">
        <v>1862</v>
      </c>
    </row>
    <row r="362" spans="1:41">
      <c r="A362" s="132">
        <f t="shared" si="41"/>
        <v>354</v>
      </c>
      <c r="B362" s="133" t="s">
        <v>1773</v>
      </c>
      <c r="C362" s="133" t="s">
        <v>1905</v>
      </c>
      <c r="D362" s="132" t="s">
        <v>1024</v>
      </c>
      <c r="E362" s="147">
        <v>202500085103</v>
      </c>
      <c r="F362" s="135">
        <v>45767</v>
      </c>
      <c r="G362" s="45"/>
      <c r="H362" s="136"/>
      <c r="I362" s="136">
        <v>4806</v>
      </c>
      <c r="J362" s="137" t="s">
        <v>1025</v>
      </c>
      <c r="K362" s="137"/>
      <c r="L362" s="148">
        <f t="shared" si="42"/>
        <v>4806</v>
      </c>
      <c r="M362" s="122">
        <f t="shared" si="43"/>
        <v>0</v>
      </c>
      <c r="N362" s="137"/>
      <c r="O362" s="149" t="b">
        <f t="shared" si="44"/>
        <v>1</v>
      </c>
      <c r="P362" s="149">
        <f t="shared" si="45"/>
        <v>0</v>
      </c>
      <c r="Q362" s="149" t="b">
        <f t="shared" si="46"/>
        <v>0</v>
      </c>
      <c r="R362" s="149">
        <f t="shared" si="47"/>
        <v>0</v>
      </c>
      <c r="S362" s="144"/>
      <c r="T362" s="143">
        <v>45767</v>
      </c>
      <c r="U362" s="144">
        <v>202500085103</v>
      </c>
      <c r="V362" s="144">
        <v>0</v>
      </c>
      <c r="W362" s="144" t="s">
        <v>1071</v>
      </c>
      <c r="X362" s="144" t="s">
        <v>1801</v>
      </c>
      <c r="Y362" s="144" t="s">
        <v>1802</v>
      </c>
      <c r="Z362" s="145">
        <v>52866</v>
      </c>
      <c r="AA362" s="145">
        <v>48060</v>
      </c>
      <c r="AB362" s="144">
        <v>0</v>
      </c>
      <c r="AC362" s="144" t="s">
        <v>1022</v>
      </c>
      <c r="AD362" s="145">
        <v>4806</v>
      </c>
      <c r="AE362" s="144">
        <v>0</v>
      </c>
      <c r="AF362" s="146">
        <v>0</v>
      </c>
      <c r="AG362" s="70">
        <v>0</v>
      </c>
      <c r="AH362" s="70">
        <v>0</v>
      </c>
      <c r="AI362" s="70">
        <v>0</v>
      </c>
      <c r="AJ362" s="70">
        <v>0</v>
      </c>
      <c r="AK362" s="70">
        <v>0</v>
      </c>
      <c r="AL362" s="70">
        <v>0.01</v>
      </c>
      <c r="AM362" s="70">
        <v>0</v>
      </c>
      <c r="AN362" s="70" t="s">
        <v>1862</v>
      </c>
    </row>
    <row r="363" spans="1:41">
      <c r="A363" s="132">
        <f t="shared" si="41"/>
        <v>355</v>
      </c>
      <c r="B363" s="133" t="s">
        <v>1773</v>
      </c>
      <c r="C363" s="133" t="s">
        <v>1905</v>
      </c>
      <c r="D363" s="132" t="s">
        <v>1024</v>
      </c>
      <c r="E363" s="147">
        <v>202500083072</v>
      </c>
      <c r="F363" s="135">
        <v>45765</v>
      </c>
      <c r="G363" s="45"/>
      <c r="H363" s="136"/>
      <c r="I363" s="136">
        <v>12015</v>
      </c>
      <c r="J363" s="137" t="s">
        <v>1025</v>
      </c>
      <c r="K363" s="137"/>
      <c r="L363" s="148">
        <f t="shared" si="42"/>
        <v>12015</v>
      </c>
      <c r="M363" s="122">
        <f t="shared" si="43"/>
        <v>0</v>
      </c>
      <c r="N363" s="137"/>
      <c r="O363" s="149" t="b">
        <f t="shared" si="44"/>
        <v>1</v>
      </c>
      <c r="P363" s="149">
        <f t="shared" si="45"/>
        <v>0</v>
      </c>
      <c r="Q363" s="149" t="b">
        <f t="shared" si="46"/>
        <v>0</v>
      </c>
      <c r="R363" s="149">
        <f t="shared" si="47"/>
        <v>0</v>
      </c>
      <c r="S363" s="144"/>
      <c r="T363" s="143">
        <v>45765</v>
      </c>
      <c r="U363" s="144">
        <v>202500083072</v>
      </c>
      <c r="V363" s="144">
        <v>0</v>
      </c>
      <c r="W363" s="144" t="s">
        <v>1071</v>
      </c>
      <c r="X363" s="144" t="s">
        <v>1801</v>
      </c>
      <c r="Y363" s="144" t="s">
        <v>1802</v>
      </c>
      <c r="Z363" s="145">
        <v>132165</v>
      </c>
      <c r="AA363" s="145">
        <v>120150</v>
      </c>
      <c r="AB363" s="144">
        <v>0</v>
      </c>
      <c r="AC363" s="144" t="s">
        <v>1022</v>
      </c>
      <c r="AD363" s="145">
        <v>12015</v>
      </c>
      <c r="AE363" s="144">
        <v>0</v>
      </c>
      <c r="AF363" s="146">
        <v>0</v>
      </c>
      <c r="AG363" s="70">
        <v>0</v>
      </c>
      <c r="AH363" s="70">
        <v>0</v>
      </c>
      <c r="AI363" s="70">
        <v>0</v>
      </c>
      <c r="AJ363" s="70">
        <v>0</v>
      </c>
      <c r="AK363" s="70">
        <v>0</v>
      </c>
      <c r="AL363" s="70">
        <v>0.01</v>
      </c>
      <c r="AM363" s="70">
        <v>0</v>
      </c>
      <c r="AN363" s="70" t="s">
        <v>1862</v>
      </c>
    </row>
    <row r="364" spans="1:41">
      <c r="A364" s="132">
        <f t="shared" si="41"/>
        <v>356</v>
      </c>
      <c r="B364" s="133" t="s">
        <v>1773</v>
      </c>
      <c r="C364" s="133" t="s">
        <v>1905</v>
      </c>
      <c r="D364" s="132" t="s">
        <v>1024</v>
      </c>
      <c r="E364" s="147">
        <v>202500084493</v>
      </c>
      <c r="F364" s="135">
        <v>45766</v>
      </c>
      <c r="G364" s="45"/>
      <c r="H364" s="136"/>
      <c r="I364" s="136">
        <v>12015</v>
      </c>
      <c r="J364" s="137" t="s">
        <v>1025</v>
      </c>
      <c r="K364" s="137"/>
      <c r="L364" s="148">
        <f t="shared" si="42"/>
        <v>12015</v>
      </c>
      <c r="M364" s="122">
        <f t="shared" si="43"/>
        <v>0</v>
      </c>
      <c r="N364" s="137"/>
      <c r="O364" s="149" t="b">
        <f t="shared" si="44"/>
        <v>1</v>
      </c>
      <c r="P364" s="149">
        <f t="shared" si="45"/>
        <v>0</v>
      </c>
      <c r="Q364" s="149" t="b">
        <f t="shared" si="46"/>
        <v>0</v>
      </c>
      <c r="R364" s="149">
        <f t="shared" si="47"/>
        <v>0</v>
      </c>
      <c r="S364" s="144"/>
      <c r="T364" s="143">
        <v>45766</v>
      </c>
      <c r="U364" s="144">
        <v>202500084493</v>
      </c>
      <c r="V364" s="144">
        <v>0</v>
      </c>
      <c r="W364" s="144" t="s">
        <v>1071</v>
      </c>
      <c r="X364" s="144" t="s">
        <v>1801</v>
      </c>
      <c r="Y364" s="144" t="s">
        <v>1802</v>
      </c>
      <c r="Z364" s="145">
        <v>132165</v>
      </c>
      <c r="AA364" s="145">
        <v>120150</v>
      </c>
      <c r="AB364" s="144">
        <v>0</v>
      </c>
      <c r="AC364" s="144" t="s">
        <v>1022</v>
      </c>
      <c r="AD364" s="145">
        <v>12015</v>
      </c>
      <c r="AE364" s="144">
        <v>0</v>
      </c>
      <c r="AF364" s="146">
        <v>0</v>
      </c>
      <c r="AG364" s="70">
        <v>0</v>
      </c>
      <c r="AH364" s="70">
        <v>0</v>
      </c>
      <c r="AI364" s="70">
        <v>0</v>
      </c>
      <c r="AJ364" s="70">
        <v>0</v>
      </c>
      <c r="AK364" s="70">
        <v>0</v>
      </c>
      <c r="AL364" s="70">
        <v>0.01</v>
      </c>
      <c r="AM364" s="70">
        <v>0</v>
      </c>
      <c r="AN364" s="70" t="s">
        <v>1862</v>
      </c>
    </row>
    <row r="365" spans="1:41">
      <c r="A365" s="132">
        <f t="shared" si="41"/>
        <v>357</v>
      </c>
      <c r="B365" s="133" t="s">
        <v>1773</v>
      </c>
      <c r="C365" s="133" t="s">
        <v>1905</v>
      </c>
      <c r="D365" s="132" t="s">
        <v>1024</v>
      </c>
      <c r="E365" s="147">
        <v>202500082027</v>
      </c>
      <c r="F365" s="135">
        <v>45764</v>
      </c>
      <c r="G365" s="45"/>
      <c r="H365" s="136"/>
      <c r="I365" s="136">
        <v>115344</v>
      </c>
      <c r="J365" s="137" t="s">
        <v>1025</v>
      </c>
      <c r="K365" s="137"/>
      <c r="L365" s="148">
        <f t="shared" si="42"/>
        <v>115344</v>
      </c>
      <c r="M365" s="122">
        <f t="shared" si="43"/>
        <v>0</v>
      </c>
      <c r="N365" s="137"/>
      <c r="O365" s="149" t="b">
        <f t="shared" si="44"/>
        <v>1</v>
      </c>
      <c r="P365" s="149">
        <f t="shared" si="45"/>
        <v>0</v>
      </c>
      <c r="Q365" s="149" t="b">
        <f t="shared" si="46"/>
        <v>0</v>
      </c>
      <c r="R365" s="149">
        <f t="shared" si="47"/>
        <v>0</v>
      </c>
      <c r="S365" s="144"/>
      <c r="T365" s="143">
        <v>45764</v>
      </c>
      <c r="U365" s="144">
        <v>202500082027</v>
      </c>
      <c r="V365" s="144">
        <v>0</v>
      </c>
      <c r="W365" s="144" t="s">
        <v>1071</v>
      </c>
      <c r="X365" s="144" t="s">
        <v>1801</v>
      </c>
      <c r="Y365" s="144" t="s">
        <v>1802</v>
      </c>
      <c r="Z365" s="145">
        <v>1268784</v>
      </c>
      <c r="AA365" s="145">
        <v>1153440</v>
      </c>
      <c r="AB365" s="144">
        <v>0</v>
      </c>
      <c r="AC365" s="144" t="s">
        <v>1022</v>
      </c>
      <c r="AD365" s="145">
        <v>115344</v>
      </c>
      <c r="AE365" s="144">
        <v>0</v>
      </c>
      <c r="AF365" s="146">
        <v>0</v>
      </c>
      <c r="AG365" s="70">
        <v>0</v>
      </c>
      <c r="AH365" s="70">
        <v>0</v>
      </c>
      <c r="AI365" s="70">
        <v>0</v>
      </c>
      <c r="AJ365" s="70">
        <v>0</v>
      </c>
      <c r="AK365" s="70">
        <v>0</v>
      </c>
      <c r="AL365" s="70">
        <v>0.01</v>
      </c>
      <c r="AM365" s="70">
        <v>0</v>
      </c>
      <c r="AN365" s="70" t="s">
        <v>1862</v>
      </c>
    </row>
    <row r="366" spans="1:41">
      <c r="A366" s="132">
        <f t="shared" si="41"/>
        <v>358</v>
      </c>
      <c r="B366" s="133" t="s">
        <v>1779</v>
      </c>
      <c r="C366" s="133" t="s">
        <v>1924</v>
      </c>
      <c r="D366" s="132" t="s">
        <v>1041</v>
      </c>
      <c r="E366" s="147" t="s">
        <v>1329</v>
      </c>
      <c r="F366" s="135">
        <v>45733</v>
      </c>
      <c r="G366" s="45"/>
      <c r="H366" s="136"/>
      <c r="I366" s="136">
        <v>845477</v>
      </c>
      <c r="J366" s="137" t="s">
        <v>1025</v>
      </c>
      <c r="K366" s="137"/>
      <c r="L366" s="148">
        <f t="shared" si="42"/>
        <v>845477</v>
      </c>
      <c r="M366" s="122">
        <f t="shared" si="43"/>
        <v>0</v>
      </c>
      <c r="N366" s="137"/>
      <c r="O366" s="149" t="b">
        <f t="shared" si="44"/>
        <v>1</v>
      </c>
      <c r="P366" s="149">
        <f t="shared" si="45"/>
        <v>0</v>
      </c>
      <c r="Q366" s="149" t="b">
        <f t="shared" si="46"/>
        <v>0</v>
      </c>
      <c r="R366" s="149">
        <f t="shared" si="47"/>
        <v>0</v>
      </c>
      <c r="S366" s="144"/>
      <c r="T366" s="143">
        <v>45733</v>
      </c>
      <c r="U366" s="144" t="s">
        <v>1329</v>
      </c>
      <c r="V366" s="144">
        <v>0</v>
      </c>
      <c r="W366" s="144" t="s">
        <v>1071</v>
      </c>
      <c r="X366" s="144" t="s">
        <v>1801</v>
      </c>
      <c r="Y366" s="144" t="s">
        <v>1802</v>
      </c>
      <c r="Z366" s="145">
        <v>9300247</v>
      </c>
      <c r="AA366" s="145">
        <v>8454770</v>
      </c>
      <c r="AB366" s="144">
        <v>0</v>
      </c>
      <c r="AC366" s="144" t="s">
        <v>1022</v>
      </c>
      <c r="AD366" s="145">
        <v>845477</v>
      </c>
      <c r="AE366" s="144">
        <v>0</v>
      </c>
      <c r="AF366" s="146">
        <v>0</v>
      </c>
      <c r="AG366" s="70">
        <v>0</v>
      </c>
      <c r="AH366" s="70">
        <v>0</v>
      </c>
      <c r="AI366" s="70">
        <v>0</v>
      </c>
      <c r="AJ366" s="70">
        <v>0</v>
      </c>
      <c r="AK366" s="70">
        <v>0</v>
      </c>
      <c r="AL366" s="70">
        <v>0.01</v>
      </c>
      <c r="AM366" s="70">
        <v>0</v>
      </c>
      <c r="AN366" s="70" t="s">
        <v>1874</v>
      </c>
      <c r="AO366" s="70" t="s">
        <v>1804</v>
      </c>
    </row>
    <row r="367" spans="1:41">
      <c r="A367" s="132">
        <f t="shared" si="41"/>
        <v>359</v>
      </c>
      <c r="B367" s="133" t="s">
        <v>1780</v>
      </c>
      <c r="C367" s="133" t="s">
        <v>1925</v>
      </c>
      <c r="D367" s="132" t="s">
        <v>1715</v>
      </c>
      <c r="E367" s="147" t="s">
        <v>1330</v>
      </c>
      <c r="F367" s="135">
        <v>45798</v>
      </c>
      <c r="G367" s="45"/>
      <c r="H367" s="136"/>
      <c r="I367" s="136">
        <v>320240</v>
      </c>
      <c r="J367" s="137" t="s">
        <v>1025</v>
      </c>
      <c r="K367" s="137"/>
      <c r="L367" s="148">
        <f>I367</f>
        <v>320240</v>
      </c>
      <c r="M367" s="122">
        <f t="shared" si="43"/>
        <v>0</v>
      </c>
      <c r="N367" s="137"/>
      <c r="O367" s="149" t="b">
        <f t="shared" si="44"/>
        <v>1</v>
      </c>
      <c r="P367" s="149">
        <f t="shared" si="45"/>
        <v>0</v>
      </c>
      <c r="Q367" s="149" t="b">
        <f t="shared" si="46"/>
        <v>1</v>
      </c>
      <c r="R367" s="149">
        <f t="shared" si="47"/>
        <v>0</v>
      </c>
      <c r="S367" s="144"/>
      <c r="T367" s="143">
        <v>45798</v>
      </c>
      <c r="U367" s="144" t="s">
        <v>1330</v>
      </c>
      <c r="V367" s="144"/>
      <c r="W367" s="144"/>
      <c r="X367" s="144"/>
      <c r="Y367" s="144" t="s">
        <v>1802</v>
      </c>
      <c r="Z367" s="145"/>
      <c r="AA367" s="145"/>
      <c r="AB367" s="144"/>
      <c r="AC367" s="144"/>
      <c r="AD367" s="145">
        <v>320240</v>
      </c>
      <c r="AE367" s="144"/>
      <c r="AF367" s="146"/>
    </row>
    <row r="368" spans="1:41">
      <c r="A368" s="132">
        <f t="shared" si="41"/>
        <v>360</v>
      </c>
      <c r="B368" s="133" t="s">
        <v>1780</v>
      </c>
      <c r="C368" s="133" t="s">
        <v>1925</v>
      </c>
      <c r="D368" s="132" t="s">
        <v>1715</v>
      </c>
      <c r="E368" s="147" t="s">
        <v>1331</v>
      </c>
      <c r="F368" s="135">
        <v>45799</v>
      </c>
      <c r="G368" s="45"/>
      <c r="H368" s="136"/>
      <c r="I368" s="136">
        <v>115286</v>
      </c>
      <c r="J368" s="137" t="s">
        <v>1025</v>
      </c>
      <c r="K368" s="137"/>
      <c r="L368" s="148">
        <f t="shared" ref="L368:L403" si="48">I368</f>
        <v>115286</v>
      </c>
      <c r="M368" s="122">
        <f t="shared" si="43"/>
        <v>0</v>
      </c>
      <c r="N368" s="137"/>
      <c r="O368" s="149" t="b">
        <f t="shared" si="44"/>
        <v>1</v>
      </c>
      <c r="P368" s="149">
        <f t="shared" si="45"/>
        <v>0</v>
      </c>
      <c r="Q368" s="149" t="b">
        <f t="shared" si="46"/>
        <v>1</v>
      </c>
      <c r="R368" s="149">
        <f t="shared" si="47"/>
        <v>0</v>
      </c>
      <c r="S368" s="144"/>
      <c r="T368" s="143">
        <v>45799</v>
      </c>
      <c r="U368" s="144" t="s">
        <v>1331</v>
      </c>
      <c r="V368" s="144"/>
      <c r="W368" s="144"/>
      <c r="X368" s="144"/>
      <c r="Y368" s="144" t="s">
        <v>1802</v>
      </c>
      <c r="Z368" s="145"/>
      <c r="AA368" s="145"/>
      <c r="AB368" s="144"/>
      <c r="AC368" s="144"/>
      <c r="AD368" s="145">
        <v>115286</v>
      </c>
      <c r="AE368" s="144"/>
      <c r="AF368" s="146"/>
    </row>
    <row r="369" spans="1:32">
      <c r="A369" s="132">
        <f t="shared" si="41"/>
        <v>361</v>
      </c>
      <c r="B369" s="133" t="s">
        <v>1780</v>
      </c>
      <c r="C369" s="133" t="s">
        <v>1925</v>
      </c>
      <c r="D369" s="132" t="s">
        <v>1715</v>
      </c>
      <c r="E369" s="147" t="s">
        <v>1332</v>
      </c>
      <c r="F369" s="135">
        <v>45799</v>
      </c>
      <c r="G369" s="45"/>
      <c r="H369" s="136"/>
      <c r="I369" s="136">
        <v>85264</v>
      </c>
      <c r="J369" s="137" t="s">
        <v>1025</v>
      </c>
      <c r="K369" s="137"/>
      <c r="L369" s="148">
        <f t="shared" si="48"/>
        <v>85264</v>
      </c>
      <c r="M369" s="122">
        <f t="shared" si="43"/>
        <v>0</v>
      </c>
      <c r="N369" s="137"/>
      <c r="O369" s="149" t="b">
        <f t="shared" si="44"/>
        <v>1</v>
      </c>
      <c r="P369" s="149">
        <f t="shared" si="45"/>
        <v>0</v>
      </c>
      <c r="Q369" s="149" t="b">
        <f t="shared" si="46"/>
        <v>1</v>
      </c>
      <c r="R369" s="149">
        <f t="shared" si="47"/>
        <v>0</v>
      </c>
      <c r="S369" s="144"/>
      <c r="T369" s="143">
        <v>45799</v>
      </c>
      <c r="U369" s="144" t="s">
        <v>1332</v>
      </c>
      <c r="V369" s="144"/>
      <c r="W369" s="144"/>
      <c r="X369" s="144"/>
      <c r="Y369" s="144" t="s">
        <v>1802</v>
      </c>
      <c r="Z369" s="145"/>
      <c r="AA369" s="145"/>
      <c r="AB369" s="144"/>
      <c r="AC369" s="144"/>
      <c r="AD369" s="145">
        <v>85264</v>
      </c>
      <c r="AE369" s="144"/>
      <c r="AF369" s="146"/>
    </row>
    <row r="370" spans="1:32">
      <c r="A370" s="132">
        <f t="shared" si="41"/>
        <v>362</v>
      </c>
      <c r="B370" s="133" t="s">
        <v>1780</v>
      </c>
      <c r="C370" s="133" t="s">
        <v>1925</v>
      </c>
      <c r="D370" s="132" t="s">
        <v>1715</v>
      </c>
      <c r="E370" s="147" t="s">
        <v>1333</v>
      </c>
      <c r="F370" s="135">
        <v>45799</v>
      </c>
      <c r="G370" s="45"/>
      <c r="H370" s="136"/>
      <c r="I370" s="136">
        <v>85264</v>
      </c>
      <c r="J370" s="137" t="s">
        <v>1025</v>
      </c>
      <c r="K370" s="137"/>
      <c r="L370" s="148">
        <f t="shared" si="48"/>
        <v>85264</v>
      </c>
      <c r="M370" s="122">
        <f t="shared" si="43"/>
        <v>0</v>
      </c>
      <c r="N370" s="137"/>
      <c r="O370" s="149" t="b">
        <f t="shared" si="44"/>
        <v>1</v>
      </c>
      <c r="P370" s="149">
        <f t="shared" si="45"/>
        <v>0</v>
      </c>
      <c r="Q370" s="149" t="b">
        <f t="shared" si="46"/>
        <v>1</v>
      </c>
      <c r="R370" s="149">
        <f t="shared" si="47"/>
        <v>0</v>
      </c>
      <c r="S370" s="144"/>
      <c r="T370" s="143">
        <v>45799</v>
      </c>
      <c r="U370" s="144" t="s">
        <v>1333</v>
      </c>
      <c r="V370" s="144"/>
      <c r="W370" s="144"/>
      <c r="X370" s="144"/>
      <c r="Y370" s="144" t="s">
        <v>1802</v>
      </c>
      <c r="Z370" s="145"/>
      <c r="AA370" s="145"/>
      <c r="AB370" s="144"/>
      <c r="AC370" s="144"/>
      <c r="AD370" s="145">
        <v>85264</v>
      </c>
      <c r="AE370" s="144"/>
      <c r="AF370" s="146"/>
    </row>
    <row r="371" spans="1:32">
      <c r="A371" s="132">
        <f t="shared" si="41"/>
        <v>363</v>
      </c>
      <c r="B371" s="133" t="s">
        <v>1780</v>
      </c>
      <c r="C371" s="133" t="s">
        <v>1925</v>
      </c>
      <c r="D371" s="132" t="s">
        <v>1715</v>
      </c>
      <c r="E371" s="147" t="s">
        <v>1334</v>
      </c>
      <c r="F371" s="135">
        <v>45804</v>
      </c>
      <c r="G371" s="45"/>
      <c r="H371" s="136"/>
      <c r="I371" s="136">
        <v>445534</v>
      </c>
      <c r="J371" s="137" t="s">
        <v>1025</v>
      </c>
      <c r="K371" s="137"/>
      <c r="L371" s="148">
        <f t="shared" si="48"/>
        <v>445534</v>
      </c>
      <c r="M371" s="122">
        <f t="shared" si="43"/>
        <v>0</v>
      </c>
      <c r="N371" s="137"/>
      <c r="O371" s="149" t="b">
        <f t="shared" si="44"/>
        <v>1</v>
      </c>
      <c r="P371" s="149">
        <f t="shared" si="45"/>
        <v>0</v>
      </c>
      <c r="Q371" s="149" t="b">
        <f t="shared" si="46"/>
        <v>1</v>
      </c>
      <c r="R371" s="149">
        <f t="shared" si="47"/>
        <v>0</v>
      </c>
      <c r="S371" s="144"/>
      <c r="T371" s="143">
        <v>45804</v>
      </c>
      <c r="U371" s="144" t="s">
        <v>1334</v>
      </c>
      <c r="V371" s="144"/>
      <c r="W371" s="144"/>
      <c r="X371" s="144"/>
      <c r="Y371" s="144" t="s">
        <v>1802</v>
      </c>
      <c r="Z371" s="145"/>
      <c r="AA371" s="145"/>
      <c r="AB371" s="144"/>
      <c r="AC371" s="144"/>
      <c r="AD371" s="145">
        <v>445534</v>
      </c>
      <c r="AE371" s="144"/>
      <c r="AF371" s="146"/>
    </row>
    <row r="372" spans="1:32">
      <c r="A372" s="132">
        <f t="shared" si="41"/>
        <v>364</v>
      </c>
      <c r="B372" s="133" t="s">
        <v>1780</v>
      </c>
      <c r="C372" s="133" t="s">
        <v>1925</v>
      </c>
      <c r="D372" s="132" t="s">
        <v>1715</v>
      </c>
      <c r="E372" s="147" t="s">
        <v>1335</v>
      </c>
      <c r="F372" s="135">
        <v>45803</v>
      </c>
      <c r="G372" s="45"/>
      <c r="H372" s="136"/>
      <c r="I372" s="136">
        <v>132066</v>
      </c>
      <c r="J372" s="137" t="s">
        <v>1025</v>
      </c>
      <c r="K372" s="137"/>
      <c r="L372" s="148">
        <f t="shared" si="48"/>
        <v>132066</v>
      </c>
      <c r="M372" s="122">
        <f t="shared" si="43"/>
        <v>0</v>
      </c>
      <c r="N372" s="137"/>
      <c r="O372" s="149" t="b">
        <f t="shared" si="44"/>
        <v>1</v>
      </c>
      <c r="P372" s="149">
        <f t="shared" si="45"/>
        <v>0</v>
      </c>
      <c r="Q372" s="149" t="b">
        <f t="shared" si="46"/>
        <v>1</v>
      </c>
      <c r="R372" s="149">
        <f t="shared" si="47"/>
        <v>0</v>
      </c>
      <c r="S372" s="144"/>
      <c r="T372" s="143">
        <v>45803</v>
      </c>
      <c r="U372" s="144" t="s">
        <v>1335</v>
      </c>
      <c r="V372" s="144"/>
      <c r="W372" s="144"/>
      <c r="X372" s="144"/>
      <c r="Y372" s="144" t="s">
        <v>1802</v>
      </c>
      <c r="Z372" s="145"/>
      <c r="AA372" s="145"/>
      <c r="AB372" s="144"/>
      <c r="AC372" s="144"/>
      <c r="AD372" s="145">
        <v>132066</v>
      </c>
      <c r="AE372" s="144"/>
      <c r="AF372" s="146"/>
    </row>
    <row r="373" spans="1:32">
      <c r="A373" s="132">
        <f t="shared" si="41"/>
        <v>365</v>
      </c>
      <c r="B373" s="133" t="s">
        <v>1780</v>
      </c>
      <c r="C373" s="133" t="s">
        <v>1925</v>
      </c>
      <c r="D373" s="132" t="s">
        <v>1715</v>
      </c>
      <c r="E373" s="147" t="s">
        <v>1336</v>
      </c>
      <c r="F373" s="135">
        <v>45800</v>
      </c>
      <c r="G373" s="45"/>
      <c r="H373" s="136"/>
      <c r="I373" s="136">
        <v>132099</v>
      </c>
      <c r="J373" s="137" t="s">
        <v>1025</v>
      </c>
      <c r="K373" s="137"/>
      <c r="L373" s="148">
        <f t="shared" si="48"/>
        <v>132099</v>
      </c>
      <c r="M373" s="122">
        <f t="shared" si="43"/>
        <v>0</v>
      </c>
      <c r="N373" s="137"/>
      <c r="O373" s="149" t="b">
        <f t="shared" si="44"/>
        <v>1</v>
      </c>
      <c r="P373" s="149">
        <f t="shared" si="45"/>
        <v>0</v>
      </c>
      <c r="Q373" s="149" t="b">
        <f t="shared" si="46"/>
        <v>1</v>
      </c>
      <c r="R373" s="149">
        <f t="shared" si="47"/>
        <v>0</v>
      </c>
      <c r="S373" s="144"/>
      <c r="T373" s="143">
        <v>45800</v>
      </c>
      <c r="U373" s="144" t="s">
        <v>1336</v>
      </c>
      <c r="V373" s="144"/>
      <c r="W373" s="144"/>
      <c r="X373" s="144"/>
      <c r="Y373" s="144" t="s">
        <v>1802</v>
      </c>
      <c r="Z373" s="145"/>
      <c r="AA373" s="145"/>
      <c r="AB373" s="144"/>
      <c r="AC373" s="144"/>
      <c r="AD373" s="145">
        <v>132099</v>
      </c>
      <c r="AE373" s="144"/>
      <c r="AF373" s="146"/>
    </row>
    <row r="374" spans="1:32">
      <c r="A374" s="132">
        <f t="shared" si="41"/>
        <v>366</v>
      </c>
      <c r="B374" s="133" t="s">
        <v>1780</v>
      </c>
      <c r="C374" s="133" t="s">
        <v>1925</v>
      </c>
      <c r="D374" s="132" t="s">
        <v>1715</v>
      </c>
      <c r="E374" s="147" t="s">
        <v>1337</v>
      </c>
      <c r="F374" s="135">
        <v>45798</v>
      </c>
      <c r="G374" s="45"/>
      <c r="H374" s="136"/>
      <c r="I374" s="136">
        <v>562422</v>
      </c>
      <c r="J374" s="137" t="s">
        <v>1025</v>
      </c>
      <c r="K374" s="137"/>
      <c r="L374" s="148">
        <f t="shared" si="48"/>
        <v>562422</v>
      </c>
      <c r="M374" s="122">
        <f t="shared" si="43"/>
        <v>0</v>
      </c>
      <c r="N374" s="137"/>
      <c r="O374" s="149" t="b">
        <f t="shared" si="44"/>
        <v>1</v>
      </c>
      <c r="P374" s="149">
        <f t="shared" si="45"/>
        <v>0</v>
      </c>
      <c r="Q374" s="149" t="b">
        <f t="shared" si="46"/>
        <v>1</v>
      </c>
      <c r="R374" s="149">
        <f t="shared" si="47"/>
        <v>0</v>
      </c>
      <c r="S374" s="144"/>
      <c r="T374" s="143">
        <v>45798</v>
      </c>
      <c r="U374" s="144" t="s">
        <v>1337</v>
      </c>
      <c r="V374" s="144"/>
      <c r="W374" s="144"/>
      <c r="X374" s="144"/>
      <c r="Y374" s="144" t="s">
        <v>1802</v>
      </c>
      <c r="Z374" s="145"/>
      <c r="AA374" s="145"/>
      <c r="AB374" s="144"/>
      <c r="AC374" s="144"/>
      <c r="AD374" s="145">
        <v>562422</v>
      </c>
      <c r="AE374" s="144"/>
      <c r="AF374" s="146"/>
    </row>
    <row r="375" spans="1:32">
      <c r="A375" s="132">
        <f t="shared" si="41"/>
        <v>367</v>
      </c>
      <c r="B375" s="133" t="s">
        <v>1780</v>
      </c>
      <c r="C375" s="133" t="s">
        <v>1925</v>
      </c>
      <c r="D375" s="132" t="s">
        <v>1715</v>
      </c>
      <c r="E375" s="147" t="s">
        <v>1338</v>
      </c>
      <c r="F375" s="135">
        <v>45803</v>
      </c>
      <c r="G375" s="45"/>
      <c r="H375" s="136"/>
      <c r="I375" s="136">
        <v>456228</v>
      </c>
      <c r="J375" s="137" t="s">
        <v>1025</v>
      </c>
      <c r="K375" s="137"/>
      <c r="L375" s="148">
        <f t="shared" si="48"/>
        <v>456228</v>
      </c>
      <c r="M375" s="122">
        <f t="shared" si="43"/>
        <v>0</v>
      </c>
      <c r="N375" s="137"/>
      <c r="O375" s="149" t="b">
        <f t="shared" si="44"/>
        <v>1</v>
      </c>
      <c r="P375" s="149">
        <f t="shared" si="45"/>
        <v>0</v>
      </c>
      <c r="Q375" s="149" t="b">
        <f t="shared" si="46"/>
        <v>1</v>
      </c>
      <c r="R375" s="149">
        <f t="shared" si="47"/>
        <v>0</v>
      </c>
      <c r="S375" s="144"/>
      <c r="T375" s="143">
        <v>45803</v>
      </c>
      <c r="U375" s="144" t="s">
        <v>1338</v>
      </c>
      <c r="V375" s="144"/>
      <c r="W375" s="144"/>
      <c r="X375" s="144"/>
      <c r="Y375" s="144" t="s">
        <v>1802</v>
      </c>
      <c r="Z375" s="145"/>
      <c r="AA375" s="145"/>
      <c r="AB375" s="144"/>
      <c r="AC375" s="144"/>
      <c r="AD375" s="145">
        <v>456228</v>
      </c>
      <c r="AE375" s="144"/>
      <c r="AF375" s="146"/>
    </row>
    <row r="376" spans="1:32">
      <c r="A376" s="132">
        <f t="shared" si="41"/>
        <v>368</v>
      </c>
      <c r="B376" s="133" t="s">
        <v>1780</v>
      </c>
      <c r="C376" s="133" t="s">
        <v>1925</v>
      </c>
      <c r="D376" s="132" t="s">
        <v>1715</v>
      </c>
      <c r="E376" s="147" t="s">
        <v>1339</v>
      </c>
      <c r="F376" s="135">
        <v>45804</v>
      </c>
      <c r="G376" s="45"/>
      <c r="H376" s="136"/>
      <c r="I376" s="136">
        <v>195346</v>
      </c>
      <c r="J376" s="137" t="s">
        <v>1025</v>
      </c>
      <c r="K376" s="137"/>
      <c r="L376" s="148">
        <f t="shared" si="48"/>
        <v>195346</v>
      </c>
      <c r="M376" s="122">
        <f t="shared" si="43"/>
        <v>0</v>
      </c>
      <c r="N376" s="137"/>
      <c r="O376" s="149" t="b">
        <f t="shared" si="44"/>
        <v>1</v>
      </c>
      <c r="P376" s="149">
        <f t="shared" si="45"/>
        <v>0</v>
      </c>
      <c r="Q376" s="149" t="b">
        <f t="shared" si="46"/>
        <v>1</v>
      </c>
      <c r="R376" s="149">
        <f t="shared" si="47"/>
        <v>0</v>
      </c>
      <c r="S376" s="144"/>
      <c r="T376" s="143">
        <v>45804</v>
      </c>
      <c r="U376" s="144" t="s">
        <v>1339</v>
      </c>
      <c r="V376" s="144"/>
      <c r="W376" s="144"/>
      <c r="X376" s="144"/>
      <c r="Y376" s="144" t="s">
        <v>1802</v>
      </c>
      <c r="Z376" s="145"/>
      <c r="AA376" s="145"/>
      <c r="AB376" s="144"/>
      <c r="AC376" s="144"/>
      <c r="AD376" s="145">
        <v>195346</v>
      </c>
      <c r="AE376" s="144"/>
      <c r="AF376" s="146"/>
    </row>
    <row r="377" spans="1:32">
      <c r="A377" s="132">
        <f t="shared" si="41"/>
        <v>369</v>
      </c>
      <c r="B377" s="133" t="s">
        <v>1780</v>
      </c>
      <c r="C377" s="133" t="s">
        <v>1925</v>
      </c>
      <c r="D377" s="132" t="s">
        <v>1715</v>
      </c>
      <c r="E377" s="147" t="s">
        <v>1340</v>
      </c>
      <c r="F377" s="135">
        <v>45804</v>
      </c>
      <c r="G377" s="45"/>
      <c r="H377" s="136"/>
      <c r="I377" s="136">
        <v>115286</v>
      </c>
      <c r="J377" s="137" t="s">
        <v>1025</v>
      </c>
      <c r="K377" s="137"/>
      <c r="L377" s="148">
        <f t="shared" si="48"/>
        <v>115286</v>
      </c>
      <c r="M377" s="122">
        <f t="shared" si="43"/>
        <v>0</v>
      </c>
      <c r="N377" s="137"/>
      <c r="O377" s="149" t="b">
        <f t="shared" si="44"/>
        <v>1</v>
      </c>
      <c r="P377" s="149">
        <f t="shared" si="45"/>
        <v>0</v>
      </c>
      <c r="Q377" s="149" t="b">
        <f t="shared" si="46"/>
        <v>1</v>
      </c>
      <c r="R377" s="149">
        <f t="shared" si="47"/>
        <v>0</v>
      </c>
      <c r="S377" s="144"/>
      <c r="T377" s="143">
        <v>45804</v>
      </c>
      <c r="U377" s="144" t="s">
        <v>1340</v>
      </c>
      <c r="V377" s="144"/>
      <c r="W377" s="144"/>
      <c r="X377" s="144"/>
      <c r="Y377" s="144" t="s">
        <v>1802</v>
      </c>
      <c r="Z377" s="145"/>
      <c r="AA377" s="145"/>
      <c r="AB377" s="144"/>
      <c r="AC377" s="144"/>
      <c r="AD377" s="145">
        <v>115286</v>
      </c>
      <c r="AE377" s="144"/>
      <c r="AF377" s="146"/>
    </row>
    <row r="378" spans="1:32">
      <c r="A378" s="132">
        <f t="shared" si="41"/>
        <v>370</v>
      </c>
      <c r="B378" s="133" t="s">
        <v>1780</v>
      </c>
      <c r="C378" s="133" t="s">
        <v>1925</v>
      </c>
      <c r="D378" s="132" t="s">
        <v>1715</v>
      </c>
      <c r="E378" s="147" t="s">
        <v>1341</v>
      </c>
      <c r="F378" s="135">
        <v>45799</v>
      </c>
      <c r="G378" s="45"/>
      <c r="H378" s="136"/>
      <c r="I378" s="136">
        <v>132099</v>
      </c>
      <c r="J378" s="137" t="s">
        <v>1025</v>
      </c>
      <c r="K378" s="137"/>
      <c r="L378" s="148">
        <f t="shared" si="48"/>
        <v>132099</v>
      </c>
      <c r="M378" s="122">
        <f t="shared" si="43"/>
        <v>0</v>
      </c>
      <c r="N378" s="137"/>
      <c r="O378" s="149" t="b">
        <f t="shared" si="44"/>
        <v>1</v>
      </c>
      <c r="P378" s="149">
        <f t="shared" si="45"/>
        <v>0</v>
      </c>
      <c r="Q378" s="149" t="b">
        <f t="shared" si="46"/>
        <v>1</v>
      </c>
      <c r="R378" s="149">
        <f t="shared" si="47"/>
        <v>0</v>
      </c>
      <c r="S378" s="144"/>
      <c r="T378" s="143">
        <v>45799</v>
      </c>
      <c r="U378" s="144" t="s">
        <v>1341</v>
      </c>
      <c r="V378" s="144"/>
      <c r="W378" s="144"/>
      <c r="X378" s="144"/>
      <c r="Y378" s="144" t="s">
        <v>1802</v>
      </c>
      <c r="Z378" s="145"/>
      <c r="AA378" s="145"/>
      <c r="AB378" s="144"/>
      <c r="AC378" s="144"/>
      <c r="AD378" s="145">
        <v>132099</v>
      </c>
      <c r="AE378" s="144"/>
      <c r="AF378" s="146"/>
    </row>
    <row r="379" spans="1:32">
      <c r="A379" s="132">
        <f t="shared" si="41"/>
        <v>371</v>
      </c>
      <c r="B379" s="133" t="s">
        <v>1780</v>
      </c>
      <c r="C379" s="133" t="s">
        <v>1925</v>
      </c>
      <c r="D379" s="132" t="s">
        <v>1715</v>
      </c>
      <c r="E379" s="147" t="s">
        <v>1342</v>
      </c>
      <c r="F379" s="135">
        <v>45804</v>
      </c>
      <c r="G379" s="45"/>
      <c r="H379" s="136"/>
      <c r="I379" s="136">
        <v>348261</v>
      </c>
      <c r="J379" s="137" t="s">
        <v>1025</v>
      </c>
      <c r="K379" s="137"/>
      <c r="L379" s="148">
        <f t="shared" si="48"/>
        <v>348261</v>
      </c>
      <c r="M379" s="122">
        <f t="shared" si="43"/>
        <v>0</v>
      </c>
      <c r="N379" s="137"/>
      <c r="O379" s="149" t="b">
        <f t="shared" si="44"/>
        <v>1</v>
      </c>
      <c r="P379" s="149">
        <f t="shared" si="45"/>
        <v>0</v>
      </c>
      <c r="Q379" s="149" t="b">
        <f t="shared" si="46"/>
        <v>1</v>
      </c>
      <c r="R379" s="149">
        <f t="shared" si="47"/>
        <v>0</v>
      </c>
      <c r="S379" s="144"/>
      <c r="T379" s="143">
        <v>45804</v>
      </c>
      <c r="U379" s="144" t="s">
        <v>1342</v>
      </c>
      <c r="V379" s="144"/>
      <c r="W379" s="144"/>
      <c r="X379" s="144"/>
      <c r="Y379" s="144" t="s">
        <v>1802</v>
      </c>
      <c r="Z379" s="145"/>
      <c r="AA379" s="145"/>
      <c r="AB379" s="144"/>
      <c r="AC379" s="144"/>
      <c r="AD379" s="145">
        <v>348261</v>
      </c>
      <c r="AE379" s="144"/>
      <c r="AF379" s="146"/>
    </row>
    <row r="380" spans="1:32">
      <c r="A380" s="132">
        <f t="shared" si="41"/>
        <v>372</v>
      </c>
      <c r="B380" s="133" t="s">
        <v>1780</v>
      </c>
      <c r="C380" s="133" t="s">
        <v>1925</v>
      </c>
      <c r="D380" s="132" t="s">
        <v>1715</v>
      </c>
      <c r="E380" s="147" t="s">
        <v>1343</v>
      </c>
      <c r="F380" s="135">
        <v>45804</v>
      </c>
      <c r="G380" s="45"/>
      <c r="H380" s="136"/>
      <c r="I380" s="136">
        <v>284213</v>
      </c>
      <c r="J380" s="137" t="s">
        <v>1025</v>
      </c>
      <c r="K380" s="137"/>
      <c r="L380" s="148">
        <f t="shared" si="48"/>
        <v>284213</v>
      </c>
      <c r="M380" s="122">
        <f t="shared" si="43"/>
        <v>0</v>
      </c>
      <c r="N380" s="137"/>
      <c r="O380" s="149" t="b">
        <f t="shared" si="44"/>
        <v>1</v>
      </c>
      <c r="P380" s="149">
        <f t="shared" si="45"/>
        <v>0</v>
      </c>
      <c r="Q380" s="149" t="b">
        <f t="shared" si="46"/>
        <v>1</v>
      </c>
      <c r="R380" s="149">
        <f t="shared" si="47"/>
        <v>0</v>
      </c>
      <c r="S380" s="144"/>
      <c r="T380" s="143">
        <v>45804</v>
      </c>
      <c r="U380" s="144" t="s">
        <v>1343</v>
      </c>
      <c r="V380" s="144"/>
      <c r="W380" s="144"/>
      <c r="X380" s="144"/>
      <c r="Y380" s="144" t="s">
        <v>1802</v>
      </c>
      <c r="Z380" s="145"/>
      <c r="AA380" s="145"/>
      <c r="AB380" s="144"/>
      <c r="AC380" s="144"/>
      <c r="AD380" s="145">
        <v>284213</v>
      </c>
      <c r="AE380" s="144"/>
      <c r="AF380" s="146"/>
    </row>
    <row r="381" spans="1:32">
      <c r="A381" s="132">
        <f t="shared" si="41"/>
        <v>373</v>
      </c>
      <c r="B381" s="133" t="s">
        <v>1780</v>
      </c>
      <c r="C381" s="133" t="s">
        <v>1925</v>
      </c>
      <c r="D381" s="132" t="s">
        <v>1715</v>
      </c>
      <c r="E381" s="147" t="s">
        <v>1344</v>
      </c>
      <c r="F381" s="135">
        <v>45798</v>
      </c>
      <c r="G381" s="45"/>
      <c r="H381" s="136"/>
      <c r="I381" s="136">
        <v>132099</v>
      </c>
      <c r="J381" s="137" t="s">
        <v>1025</v>
      </c>
      <c r="K381" s="137"/>
      <c r="L381" s="148">
        <f t="shared" si="48"/>
        <v>132099</v>
      </c>
      <c r="M381" s="122">
        <f t="shared" si="43"/>
        <v>0</v>
      </c>
      <c r="N381" s="137"/>
      <c r="O381" s="149" t="b">
        <f t="shared" si="44"/>
        <v>1</v>
      </c>
      <c r="P381" s="149">
        <f t="shared" si="45"/>
        <v>0</v>
      </c>
      <c r="Q381" s="149" t="b">
        <f t="shared" si="46"/>
        <v>1</v>
      </c>
      <c r="R381" s="149">
        <f t="shared" si="47"/>
        <v>0</v>
      </c>
      <c r="S381" s="144"/>
      <c r="T381" s="143">
        <v>45798</v>
      </c>
      <c r="U381" s="144" t="s">
        <v>1344</v>
      </c>
      <c r="V381" s="144"/>
      <c r="W381" s="144"/>
      <c r="X381" s="144"/>
      <c r="Y381" s="144" t="s">
        <v>1802</v>
      </c>
      <c r="Z381" s="145"/>
      <c r="AA381" s="145"/>
      <c r="AB381" s="144"/>
      <c r="AC381" s="144"/>
      <c r="AD381" s="145">
        <v>132099</v>
      </c>
      <c r="AE381" s="144"/>
      <c r="AF381" s="146"/>
    </row>
    <row r="382" spans="1:32">
      <c r="A382" s="132">
        <f t="shared" si="41"/>
        <v>374</v>
      </c>
      <c r="B382" s="133" t="s">
        <v>1780</v>
      </c>
      <c r="C382" s="133" t="s">
        <v>1925</v>
      </c>
      <c r="D382" s="132" t="s">
        <v>1715</v>
      </c>
      <c r="E382" s="147" t="s">
        <v>1345</v>
      </c>
      <c r="F382" s="135">
        <v>45798</v>
      </c>
      <c r="G382" s="45"/>
      <c r="H382" s="136"/>
      <c r="I382" s="136">
        <v>240180</v>
      </c>
      <c r="J382" s="137" t="s">
        <v>1025</v>
      </c>
      <c r="K382" s="137"/>
      <c r="L382" s="148">
        <f t="shared" si="48"/>
        <v>240180</v>
      </c>
      <c r="M382" s="122">
        <f t="shared" si="43"/>
        <v>0</v>
      </c>
      <c r="N382" s="137"/>
      <c r="O382" s="149" t="b">
        <f t="shared" si="44"/>
        <v>1</v>
      </c>
      <c r="P382" s="149">
        <f t="shared" si="45"/>
        <v>0</v>
      </c>
      <c r="Q382" s="149" t="b">
        <f t="shared" si="46"/>
        <v>1</v>
      </c>
      <c r="R382" s="149">
        <f t="shared" si="47"/>
        <v>0</v>
      </c>
      <c r="S382" s="144"/>
      <c r="T382" s="143">
        <v>45798</v>
      </c>
      <c r="U382" s="144" t="s">
        <v>1345</v>
      </c>
      <c r="V382" s="144"/>
      <c r="W382" s="144"/>
      <c r="X382" s="144"/>
      <c r="Y382" s="144" t="s">
        <v>1802</v>
      </c>
      <c r="Z382" s="145"/>
      <c r="AA382" s="145"/>
      <c r="AB382" s="144"/>
      <c r="AC382" s="144"/>
      <c r="AD382" s="145">
        <v>240180</v>
      </c>
      <c r="AE382" s="144"/>
      <c r="AF382" s="146"/>
    </row>
    <row r="383" spans="1:32">
      <c r="A383" s="132">
        <f t="shared" si="41"/>
        <v>375</v>
      </c>
      <c r="B383" s="133" t="s">
        <v>1780</v>
      </c>
      <c r="C383" s="133" t="s">
        <v>1925</v>
      </c>
      <c r="D383" s="132" t="s">
        <v>1715</v>
      </c>
      <c r="E383" s="147" t="s">
        <v>1346</v>
      </c>
      <c r="F383" s="135">
        <v>45798</v>
      </c>
      <c r="G383" s="45"/>
      <c r="H383" s="136"/>
      <c r="I383" s="136">
        <v>132099</v>
      </c>
      <c r="J383" s="137" t="s">
        <v>1025</v>
      </c>
      <c r="K383" s="137"/>
      <c r="L383" s="148">
        <f t="shared" si="48"/>
        <v>132099</v>
      </c>
      <c r="M383" s="122">
        <f t="shared" si="43"/>
        <v>0</v>
      </c>
      <c r="N383" s="137"/>
      <c r="O383" s="149" t="b">
        <f t="shared" si="44"/>
        <v>1</v>
      </c>
      <c r="P383" s="149">
        <f t="shared" si="45"/>
        <v>0</v>
      </c>
      <c r="Q383" s="149" t="b">
        <f t="shared" si="46"/>
        <v>1</v>
      </c>
      <c r="R383" s="149">
        <f t="shared" si="47"/>
        <v>0</v>
      </c>
      <c r="S383" s="144" t="s">
        <v>1045</v>
      </c>
      <c r="T383" s="143">
        <v>45798</v>
      </c>
      <c r="U383" s="144" t="s">
        <v>1346</v>
      </c>
      <c r="V383" s="144"/>
      <c r="W383" s="144"/>
      <c r="X383" s="144"/>
      <c r="Y383" s="144" t="s">
        <v>1802</v>
      </c>
      <c r="Z383" s="145"/>
      <c r="AA383" s="145"/>
      <c r="AB383" s="144"/>
      <c r="AC383" s="144"/>
      <c r="AD383" s="145">
        <v>132099</v>
      </c>
      <c r="AE383" s="144"/>
      <c r="AF383" s="146"/>
    </row>
    <row r="384" spans="1:32">
      <c r="A384" s="132">
        <f t="shared" si="41"/>
        <v>376</v>
      </c>
      <c r="B384" s="133" t="s">
        <v>1780</v>
      </c>
      <c r="C384" s="133" t="s">
        <v>1925</v>
      </c>
      <c r="D384" s="132" t="s">
        <v>1715</v>
      </c>
      <c r="E384" s="147" t="s">
        <v>1347</v>
      </c>
      <c r="F384" s="135">
        <v>45798</v>
      </c>
      <c r="G384" s="45"/>
      <c r="H384" s="136"/>
      <c r="I384" s="136">
        <v>132099</v>
      </c>
      <c r="J384" s="137" t="s">
        <v>1025</v>
      </c>
      <c r="K384" s="137"/>
      <c r="L384" s="148">
        <f t="shared" si="48"/>
        <v>132099</v>
      </c>
      <c r="M384" s="122">
        <f t="shared" si="43"/>
        <v>0</v>
      </c>
      <c r="N384" s="137"/>
      <c r="O384" s="149" t="b">
        <f t="shared" si="44"/>
        <v>1</v>
      </c>
      <c r="P384" s="149">
        <f t="shared" si="45"/>
        <v>0</v>
      </c>
      <c r="Q384" s="149" t="b">
        <f t="shared" si="46"/>
        <v>1</v>
      </c>
      <c r="R384" s="149">
        <f t="shared" si="47"/>
        <v>0</v>
      </c>
      <c r="S384" s="144"/>
      <c r="T384" s="143">
        <v>45798</v>
      </c>
      <c r="U384" s="144" t="s">
        <v>1347</v>
      </c>
      <c r="V384" s="144"/>
      <c r="W384" s="144"/>
      <c r="X384" s="144"/>
      <c r="Y384" s="144" t="s">
        <v>1802</v>
      </c>
      <c r="Z384" s="145"/>
      <c r="AA384" s="145"/>
      <c r="AB384" s="144"/>
      <c r="AC384" s="144"/>
      <c r="AD384" s="145">
        <v>132099</v>
      </c>
      <c r="AE384" s="144"/>
      <c r="AF384" s="146"/>
    </row>
    <row r="385" spans="1:32">
      <c r="A385" s="132">
        <f t="shared" si="41"/>
        <v>377</v>
      </c>
      <c r="B385" s="133" t="s">
        <v>1780</v>
      </c>
      <c r="C385" s="133" t="s">
        <v>1925</v>
      </c>
      <c r="D385" s="132" t="s">
        <v>1715</v>
      </c>
      <c r="E385" s="147" t="s">
        <v>1348</v>
      </c>
      <c r="F385" s="135">
        <v>45798</v>
      </c>
      <c r="G385" s="45"/>
      <c r="H385" s="136"/>
      <c r="I385" s="136">
        <v>212159</v>
      </c>
      <c r="J385" s="137" t="s">
        <v>1025</v>
      </c>
      <c r="K385" s="137"/>
      <c r="L385" s="148">
        <f t="shared" si="48"/>
        <v>212159</v>
      </c>
      <c r="M385" s="122">
        <f t="shared" si="43"/>
        <v>0</v>
      </c>
      <c r="N385" s="137"/>
      <c r="O385" s="149" t="b">
        <f t="shared" si="44"/>
        <v>1</v>
      </c>
      <c r="P385" s="149">
        <f t="shared" si="45"/>
        <v>0</v>
      </c>
      <c r="Q385" s="149" t="b">
        <f t="shared" si="46"/>
        <v>1</v>
      </c>
      <c r="R385" s="149">
        <f t="shared" si="47"/>
        <v>0</v>
      </c>
      <c r="S385" s="144"/>
      <c r="T385" s="143">
        <v>45798</v>
      </c>
      <c r="U385" s="144" t="s">
        <v>1348</v>
      </c>
      <c r="V385" s="144"/>
      <c r="W385" s="144"/>
      <c r="X385" s="144"/>
      <c r="Y385" s="144" t="s">
        <v>1802</v>
      </c>
      <c r="Z385" s="145"/>
      <c r="AA385" s="145"/>
      <c r="AB385" s="144"/>
      <c r="AC385" s="144"/>
      <c r="AD385" s="145">
        <v>212159</v>
      </c>
      <c r="AE385" s="144"/>
      <c r="AF385" s="146"/>
    </row>
    <row r="386" spans="1:32">
      <c r="A386" s="132">
        <f t="shared" si="41"/>
        <v>378</v>
      </c>
      <c r="B386" s="133" t="s">
        <v>1780</v>
      </c>
      <c r="C386" s="133" t="s">
        <v>1925</v>
      </c>
      <c r="D386" s="132" t="s">
        <v>1715</v>
      </c>
      <c r="E386" s="147" t="s">
        <v>1349</v>
      </c>
      <c r="F386" s="135">
        <v>45798</v>
      </c>
      <c r="G386" s="45"/>
      <c r="H386" s="136"/>
      <c r="I386" s="136">
        <v>132099</v>
      </c>
      <c r="J386" s="137" t="s">
        <v>1025</v>
      </c>
      <c r="K386" s="137"/>
      <c r="L386" s="148">
        <f t="shared" si="48"/>
        <v>132099</v>
      </c>
      <c r="M386" s="122">
        <f t="shared" si="43"/>
        <v>0</v>
      </c>
      <c r="N386" s="137"/>
      <c r="O386" s="149" t="b">
        <f t="shared" si="44"/>
        <v>1</v>
      </c>
      <c r="P386" s="149">
        <f t="shared" si="45"/>
        <v>0</v>
      </c>
      <c r="Q386" s="149" t="b">
        <f t="shared" si="46"/>
        <v>1</v>
      </c>
      <c r="R386" s="149">
        <f t="shared" si="47"/>
        <v>0</v>
      </c>
      <c r="S386" s="144"/>
      <c r="T386" s="143">
        <v>45798</v>
      </c>
      <c r="U386" s="144" t="s">
        <v>1349</v>
      </c>
      <c r="V386" s="144"/>
      <c r="W386" s="144"/>
      <c r="X386" s="144"/>
      <c r="Y386" s="144" t="s">
        <v>1802</v>
      </c>
      <c r="Z386" s="145"/>
      <c r="AA386" s="145"/>
      <c r="AB386" s="144"/>
      <c r="AC386" s="144"/>
      <c r="AD386" s="145">
        <v>132099</v>
      </c>
      <c r="AE386" s="144"/>
      <c r="AF386" s="146"/>
    </row>
    <row r="387" spans="1:32">
      <c r="A387" s="132">
        <f t="shared" si="41"/>
        <v>379</v>
      </c>
      <c r="B387" s="133" t="s">
        <v>1780</v>
      </c>
      <c r="C387" s="133" t="s">
        <v>1925</v>
      </c>
      <c r="D387" s="132" t="s">
        <v>1715</v>
      </c>
      <c r="E387" s="147" t="s">
        <v>1350</v>
      </c>
      <c r="F387" s="135">
        <v>45804</v>
      </c>
      <c r="G387" s="45"/>
      <c r="H387" s="136"/>
      <c r="I387" s="136">
        <v>115286</v>
      </c>
      <c r="J387" s="137" t="s">
        <v>1025</v>
      </c>
      <c r="K387" s="137"/>
      <c r="L387" s="148">
        <f t="shared" si="48"/>
        <v>115286</v>
      </c>
      <c r="M387" s="122">
        <f t="shared" si="43"/>
        <v>0</v>
      </c>
      <c r="N387" s="137"/>
      <c r="O387" s="149" t="b">
        <f t="shared" si="44"/>
        <v>1</v>
      </c>
      <c r="P387" s="149">
        <f t="shared" si="45"/>
        <v>0</v>
      </c>
      <c r="Q387" s="149" t="b">
        <f t="shared" si="46"/>
        <v>1</v>
      </c>
      <c r="R387" s="149">
        <f t="shared" si="47"/>
        <v>0</v>
      </c>
      <c r="S387" s="144"/>
      <c r="T387" s="143">
        <v>45804</v>
      </c>
      <c r="U387" s="144" t="s">
        <v>1350</v>
      </c>
      <c r="V387" s="144"/>
      <c r="W387" s="144"/>
      <c r="X387" s="144"/>
      <c r="Y387" s="144" t="s">
        <v>1802</v>
      </c>
      <c r="Z387" s="145"/>
      <c r="AA387" s="145"/>
      <c r="AB387" s="144"/>
      <c r="AC387" s="144"/>
      <c r="AD387" s="145">
        <v>115286</v>
      </c>
      <c r="AE387" s="144"/>
      <c r="AF387" s="146"/>
    </row>
    <row r="388" spans="1:32">
      <c r="A388" s="132">
        <f t="shared" si="41"/>
        <v>380</v>
      </c>
      <c r="B388" s="133" t="s">
        <v>1780</v>
      </c>
      <c r="C388" s="133" t="s">
        <v>1925</v>
      </c>
      <c r="D388" s="132" t="s">
        <v>1715</v>
      </c>
      <c r="E388" s="147" t="s">
        <v>1351</v>
      </c>
      <c r="F388" s="135">
        <v>45799</v>
      </c>
      <c r="G388" s="45"/>
      <c r="H388" s="136"/>
      <c r="I388" s="136">
        <v>115286</v>
      </c>
      <c r="J388" s="137" t="s">
        <v>1025</v>
      </c>
      <c r="K388" s="137"/>
      <c r="L388" s="148">
        <f t="shared" si="48"/>
        <v>115286</v>
      </c>
      <c r="M388" s="122">
        <f t="shared" si="43"/>
        <v>0</v>
      </c>
      <c r="N388" s="137"/>
      <c r="O388" s="149" t="b">
        <f t="shared" si="44"/>
        <v>1</v>
      </c>
      <c r="P388" s="149">
        <f t="shared" si="45"/>
        <v>0</v>
      </c>
      <c r="Q388" s="149" t="b">
        <f t="shared" si="46"/>
        <v>1</v>
      </c>
      <c r="R388" s="149">
        <f t="shared" si="47"/>
        <v>0</v>
      </c>
      <c r="S388" s="144"/>
      <c r="T388" s="143">
        <v>45799</v>
      </c>
      <c r="U388" s="144" t="s">
        <v>1351</v>
      </c>
      <c r="V388" s="144"/>
      <c r="W388" s="144"/>
      <c r="X388" s="144"/>
      <c r="Y388" s="144" t="s">
        <v>1802</v>
      </c>
      <c r="Z388" s="145"/>
      <c r="AA388" s="145"/>
      <c r="AB388" s="144"/>
      <c r="AC388" s="144"/>
      <c r="AD388" s="145">
        <v>115286</v>
      </c>
      <c r="AE388" s="144"/>
      <c r="AF388" s="146"/>
    </row>
    <row r="389" spans="1:32">
      <c r="A389" s="132">
        <f t="shared" si="41"/>
        <v>381</v>
      </c>
      <c r="B389" s="133" t="s">
        <v>1780</v>
      </c>
      <c r="C389" s="133" t="s">
        <v>1925</v>
      </c>
      <c r="D389" s="132" t="s">
        <v>1715</v>
      </c>
      <c r="E389" s="147" t="s">
        <v>1352</v>
      </c>
      <c r="F389" s="135">
        <v>45804</v>
      </c>
      <c r="G389" s="45"/>
      <c r="H389" s="136"/>
      <c r="I389" s="136">
        <v>115286</v>
      </c>
      <c r="J389" s="137" t="s">
        <v>1025</v>
      </c>
      <c r="K389" s="137"/>
      <c r="L389" s="148">
        <f t="shared" si="48"/>
        <v>115286</v>
      </c>
      <c r="M389" s="122">
        <f t="shared" si="43"/>
        <v>0</v>
      </c>
      <c r="N389" s="137"/>
      <c r="O389" s="149" t="b">
        <f t="shared" si="44"/>
        <v>1</v>
      </c>
      <c r="P389" s="149">
        <f t="shared" si="45"/>
        <v>0</v>
      </c>
      <c r="Q389" s="149" t="b">
        <f t="shared" si="46"/>
        <v>1</v>
      </c>
      <c r="R389" s="149">
        <f t="shared" si="47"/>
        <v>0</v>
      </c>
      <c r="S389" s="144"/>
      <c r="T389" s="143">
        <v>45804</v>
      </c>
      <c r="U389" s="144" t="s">
        <v>1352</v>
      </c>
      <c r="V389" s="144"/>
      <c r="W389" s="144"/>
      <c r="X389" s="144"/>
      <c r="Y389" s="144" t="s">
        <v>1802</v>
      </c>
      <c r="Z389" s="145"/>
      <c r="AA389" s="145"/>
      <c r="AB389" s="144"/>
      <c r="AC389" s="144"/>
      <c r="AD389" s="145">
        <v>115286</v>
      </c>
      <c r="AE389" s="144"/>
      <c r="AF389" s="146"/>
    </row>
    <row r="390" spans="1:32">
      <c r="A390" s="132">
        <f t="shared" si="41"/>
        <v>382</v>
      </c>
      <c r="B390" s="133" t="s">
        <v>1780</v>
      </c>
      <c r="C390" s="133" t="s">
        <v>1925</v>
      </c>
      <c r="D390" s="132" t="s">
        <v>1715</v>
      </c>
      <c r="E390" s="147" t="s">
        <v>1353</v>
      </c>
      <c r="F390" s="135">
        <v>45805</v>
      </c>
      <c r="G390" s="45"/>
      <c r="H390" s="136"/>
      <c r="I390" s="136">
        <v>222167</v>
      </c>
      <c r="J390" s="137" t="s">
        <v>1025</v>
      </c>
      <c r="K390" s="137"/>
      <c r="L390" s="148">
        <f t="shared" si="48"/>
        <v>222167</v>
      </c>
      <c r="M390" s="122">
        <f t="shared" si="43"/>
        <v>0</v>
      </c>
      <c r="N390" s="137"/>
      <c r="O390" s="149" t="b">
        <f t="shared" si="44"/>
        <v>1</v>
      </c>
      <c r="P390" s="149">
        <f t="shared" si="45"/>
        <v>0</v>
      </c>
      <c r="Q390" s="149" t="b">
        <f t="shared" si="46"/>
        <v>1</v>
      </c>
      <c r="R390" s="149">
        <f t="shared" si="47"/>
        <v>0</v>
      </c>
      <c r="S390" s="144"/>
      <c r="T390" s="143">
        <v>45805</v>
      </c>
      <c r="U390" s="144" t="s">
        <v>1353</v>
      </c>
      <c r="V390" s="144"/>
      <c r="W390" s="144"/>
      <c r="X390" s="144"/>
      <c r="Y390" s="144" t="s">
        <v>1802</v>
      </c>
      <c r="Z390" s="145"/>
      <c r="AA390" s="145"/>
      <c r="AB390" s="144"/>
      <c r="AC390" s="144"/>
      <c r="AD390" s="145">
        <v>222167</v>
      </c>
      <c r="AE390" s="144"/>
      <c r="AF390" s="146"/>
    </row>
    <row r="391" spans="1:32">
      <c r="A391" s="132">
        <f t="shared" si="41"/>
        <v>383</v>
      </c>
      <c r="B391" s="133" t="s">
        <v>1780</v>
      </c>
      <c r="C391" s="133" t="s">
        <v>1925</v>
      </c>
      <c r="D391" s="132" t="s">
        <v>1715</v>
      </c>
      <c r="E391" s="147" t="s">
        <v>1354</v>
      </c>
      <c r="F391" s="135">
        <v>45804</v>
      </c>
      <c r="G391" s="45"/>
      <c r="H391" s="136"/>
      <c r="I391" s="136">
        <v>132132</v>
      </c>
      <c r="J391" s="137" t="s">
        <v>1025</v>
      </c>
      <c r="K391" s="137"/>
      <c r="L391" s="148">
        <f t="shared" si="48"/>
        <v>132132</v>
      </c>
      <c r="M391" s="122">
        <f t="shared" si="43"/>
        <v>0</v>
      </c>
      <c r="N391" s="137"/>
      <c r="O391" s="149" t="b">
        <f t="shared" si="44"/>
        <v>1</v>
      </c>
      <c r="P391" s="149">
        <f t="shared" si="45"/>
        <v>0</v>
      </c>
      <c r="Q391" s="149" t="b">
        <f t="shared" si="46"/>
        <v>1</v>
      </c>
      <c r="R391" s="149">
        <f t="shared" si="47"/>
        <v>0</v>
      </c>
      <c r="S391" s="144"/>
      <c r="T391" s="143">
        <v>45806</v>
      </c>
      <c r="U391" s="144" t="s">
        <v>1354</v>
      </c>
      <c r="V391" s="144"/>
      <c r="W391" s="144"/>
      <c r="X391" s="144"/>
      <c r="Y391" s="144" t="s">
        <v>1802</v>
      </c>
      <c r="Z391" s="145"/>
      <c r="AA391" s="145"/>
      <c r="AB391" s="144"/>
      <c r="AC391" s="144"/>
      <c r="AD391" s="145">
        <v>132132</v>
      </c>
      <c r="AE391" s="144"/>
      <c r="AF391" s="146"/>
    </row>
    <row r="392" spans="1:32">
      <c r="A392" s="132">
        <f t="shared" si="41"/>
        <v>384</v>
      </c>
      <c r="B392" s="133" t="s">
        <v>1780</v>
      </c>
      <c r="C392" s="133" t="s">
        <v>1925</v>
      </c>
      <c r="D392" s="132" t="s">
        <v>1715</v>
      </c>
      <c r="E392" s="147" t="s">
        <v>1355</v>
      </c>
      <c r="F392" s="135">
        <v>45806</v>
      </c>
      <c r="G392" s="45"/>
      <c r="H392" s="136"/>
      <c r="I392" s="136">
        <v>240240</v>
      </c>
      <c r="J392" s="137" t="s">
        <v>1025</v>
      </c>
      <c r="K392" s="137"/>
      <c r="L392" s="148">
        <f t="shared" si="48"/>
        <v>240240</v>
      </c>
      <c r="M392" s="122">
        <f t="shared" si="43"/>
        <v>0</v>
      </c>
      <c r="N392" s="137"/>
      <c r="O392" s="149" t="b">
        <f t="shared" si="44"/>
        <v>1</v>
      </c>
      <c r="P392" s="149">
        <f t="shared" si="45"/>
        <v>0</v>
      </c>
      <c r="Q392" s="149" t="b">
        <f t="shared" si="46"/>
        <v>1</v>
      </c>
      <c r="R392" s="149">
        <f t="shared" si="47"/>
        <v>0</v>
      </c>
      <c r="S392" s="144"/>
      <c r="T392" s="143">
        <v>45806</v>
      </c>
      <c r="U392" s="144" t="s">
        <v>1355</v>
      </c>
      <c r="V392" s="144"/>
      <c r="W392" s="144"/>
      <c r="X392" s="144"/>
      <c r="Y392" s="144" t="s">
        <v>1802</v>
      </c>
      <c r="Z392" s="145"/>
      <c r="AA392" s="145"/>
      <c r="AB392" s="144"/>
      <c r="AC392" s="144"/>
      <c r="AD392" s="145">
        <v>240240</v>
      </c>
      <c r="AE392" s="144"/>
      <c r="AF392" s="146"/>
    </row>
    <row r="393" spans="1:32">
      <c r="A393" s="132">
        <f t="shared" si="41"/>
        <v>385</v>
      </c>
      <c r="B393" s="133" t="s">
        <v>1780</v>
      </c>
      <c r="C393" s="133" t="s">
        <v>1925</v>
      </c>
      <c r="D393" s="132" t="s">
        <v>1715</v>
      </c>
      <c r="E393" s="147" t="s">
        <v>1356</v>
      </c>
      <c r="F393" s="135">
        <v>45806</v>
      </c>
      <c r="G393" s="45"/>
      <c r="H393" s="136"/>
      <c r="I393" s="136">
        <v>132132</v>
      </c>
      <c r="J393" s="137" t="s">
        <v>1025</v>
      </c>
      <c r="K393" s="137"/>
      <c r="L393" s="148">
        <f t="shared" si="48"/>
        <v>132132</v>
      </c>
      <c r="M393" s="122">
        <f t="shared" si="43"/>
        <v>0</v>
      </c>
      <c r="N393" s="137"/>
      <c r="O393" s="149" t="b">
        <f t="shared" si="44"/>
        <v>1</v>
      </c>
      <c r="P393" s="149">
        <f t="shared" si="45"/>
        <v>0</v>
      </c>
      <c r="Q393" s="149" t="b">
        <f t="shared" si="46"/>
        <v>1</v>
      </c>
      <c r="R393" s="149">
        <f t="shared" si="47"/>
        <v>0</v>
      </c>
      <c r="S393" s="144"/>
      <c r="T393" s="143">
        <v>45806</v>
      </c>
      <c r="U393" s="144" t="s">
        <v>1356</v>
      </c>
      <c r="V393" s="144"/>
      <c r="W393" s="144"/>
      <c r="X393" s="144"/>
      <c r="Y393" s="144" t="s">
        <v>1802</v>
      </c>
      <c r="Z393" s="145"/>
      <c r="AA393" s="145"/>
      <c r="AB393" s="144"/>
      <c r="AC393" s="144"/>
      <c r="AD393" s="145">
        <v>132132</v>
      </c>
      <c r="AE393" s="144"/>
      <c r="AF393" s="146"/>
    </row>
    <row r="394" spans="1:32">
      <c r="A394" s="132">
        <f t="shared" si="41"/>
        <v>386</v>
      </c>
      <c r="B394" s="133" t="s">
        <v>1780</v>
      </c>
      <c r="C394" s="133" t="s">
        <v>1925</v>
      </c>
      <c r="D394" s="132" t="s">
        <v>1715</v>
      </c>
      <c r="E394" s="147" t="s">
        <v>1357</v>
      </c>
      <c r="F394" s="135">
        <v>45806</v>
      </c>
      <c r="G394" s="45"/>
      <c r="H394" s="136"/>
      <c r="I394" s="136">
        <v>132132</v>
      </c>
      <c r="J394" s="137" t="s">
        <v>1025</v>
      </c>
      <c r="K394" s="137"/>
      <c r="L394" s="148">
        <f t="shared" si="48"/>
        <v>132132</v>
      </c>
      <c r="M394" s="122">
        <f t="shared" si="43"/>
        <v>0</v>
      </c>
      <c r="N394" s="137"/>
      <c r="O394" s="149" t="b">
        <f t="shared" si="44"/>
        <v>1</v>
      </c>
      <c r="P394" s="149">
        <f t="shared" si="45"/>
        <v>0</v>
      </c>
      <c r="Q394" s="149" t="b">
        <f t="shared" si="46"/>
        <v>1</v>
      </c>
      <c r="R394" s="149">
        <f t="shared" si="47"/>
        <v>0</v>
      </c>
      <c r="S394" s="144"/>
      <c r="T394" s="143">
        <v>45806</v>
      </c>
      <c r="U394" s="144" t="s">
        <v>1357</v>
      </c>
      <c r="V394" s="144"/>
      <c r="W394" s="144"/>
      <c r="X394" s="144"/>
      <c r="Y394" s="144" t="s">
        <v>1802</v>
      </c>
      <c r="Z394" s="145"/>
      <c r="AA394" s="145"/>
      <c r="AB394" s="144"/>
      <c r="AC394" s="144"/>
      <c r="AD394" s="145">
        <v>132132</v>
      </c>
      <c r="AE394" s="144"/>
      <c r="AF394" s="146"/>
    </row>
    <row r="395" spans="1:32">
      <c r="A395" s="132">
        <f t="shared" ref="A395:A458" si="49">A394+1</f>
        <v>387</v>
      </c>
      <c r="B395" s="133" t="s">
        <v>1780</v>
      </c>
      <c r="C395" s="133" t="s">
        <v>1925</v>
      </c>
      <c r="D395" s="132" t="s">
        <v>1715</v>
      </c>
      <c r="E395" s="147" t="s">
        <v>1358</v>
      </c>
      <c r="F395" s="135">
        <v>45806</v>
      </c>
      <c r="G395" s="45"/>
      <c r="H395" s="136"/>
      <c r="I395" s="136">
        <v>132132</v>
      </c>
      <c r="J395" s="137" t="s">
        <v>1025</v>
      </c>
      <c r="K395" s="137"/>
      <c r="L395" s="148">
        <f t="shared" si="48"/>
        <v>132132</v>
      </c>
      <c r="M395" s="122">
        <f t="shared" si="43"/>
        <v>0</v>
      </c>
      <c r="N395" s="137"/>
      <c r="O395" s="149" t="b">
        <f t="shared" si="44"/>
        <v>1</v>
      </c>
      <c r="P395" s="149">
        <f t="shared" si="45"/>
        <v>0</v>
      </c>
      <c r="Q395" s="149" t="b">
        <f t="shared" si="46"/>
        <v>1</v>
      </c>
      <c r="R395" s="149">
        <f t="shared" si="47"/>
        <v>0</v>
      </c>
      <c r="S395" s="144"/>
      <c r="T395" s="143">
        <v>45806</v>
      </c>
      <c r="U395" s="144" t="s">
        <v>1358</v>
      </c>
      <c r="V395" s="144"/>
      <c r="W395" s="144"/>
      <c r="X395" s="144"/>
      <c r="Y395" s="144" t="s">
        <v>1802</v>
      </c>
      <c r="Z395" s="145"/>
      <c r="AA395" s="145"/>
      <c r="AB395" s="144"/>
      <c r="AC395" s="144"/>
      <c r="AD395" s="145">
        <v>132132</v>
      </c>
      <c r="AE395" s="144"/>
      <c r="AF395" s="146"/>
    </row>
    <row r="396" spans="1:32">
      <c r="A396" s="132">
        <f t="shared" si="49"/>
        <v>388</v>
      </c>
      <c r="B396" s="133" t="s">
        <v>1780</v>
      </c>
      <c r="C396" s="133" t="s">
        <v>1925</v>
      </c>
      <c r="D396" s="132" t="s">
        <v>1715</v>
      </c>
      <c r="E396" s="147" t="s">
        <v>1359</v>
      </c>
      <c r="F396" s="135">
        <v>45806</v>
      </c>
      <c r="G396" s="45"/>
      <c r="H396" s="136"/>
      <c r="I396" s="136">
        <v>348348</v>
      </c>
      <c r="J396" s="137" t="s">
        <v>1025</v>
      </c>
      <c r="K396" s="137"/>
      <c r="L396" s="148">
        <f t="shared" si="48"/>
        <v>348348</v>
      </c>
      <c r="M396" s="122">
        <f t="shared" si="43"/>
        <v>0</v>
      </c>
      <c r="N396" s="137"/>
      <c r="O396" s="149" t="b">
        <f t="shared" si="44"/>
        <v>1</v>
      </c>
      <c r="P396" s="149">
        <f t="shared" si="45"/>
        <v>0</v>
      </c>
      <c r="Q396" s="149" t="b">
        <f t="shared" si="46"/>
        <v>1</v>
      </c>
      <c r="R396" s="149">
        <f t="shared" si="47"/>
        <v>0</v>
      </c>
      <c r="S396" s="144"/>
      <c r="T396" s="143">
        <v>45806</v>
      </c>
      <c r="U396" s="144" t="s">
        <v>1359</v>
      </c>
      <c r="V396" s="144"/>
      <c r="W396" s="144"/>
      <c r="X396" s="144"/>
      <c r="Y396" s="144" t="s">
        <v>1802</v>
      </c>
      <c r="Z396" s="145"/>
      <c r="AA396" s="145"/>
      <c r="AB396" s="144"/>
      <c r="AC396" s="144"/>
      <c r="AD396" s="145">
        <v>348348</v>
      </c>
      <c r="AE396" s="144"/>
      <c r="AF396" s="146"/>
    </row>
    <row r="397" spans="1:32">
      <c r="A397" s="132">
        <f t="shared" si="49"/>
        <v>389</v>
      </c>
      <c r="B397" s="133" t="s">
        <v>1780</v>
      </c>
      <c r="C397" s="133" t="s">
        <v>1925</v>
      </c>
      <c r="D397" s="132" t="s">
        <v>1715</v>
      </c>
      <c r="E397" s="147" t="s">
        <v>1360</v>
      </c>
      <c r="F397" s="135">
        <v>45806</v>
      </c>
      <c r="G397" s="45"/>
      <c r="H397" s="136"/>
      <c r="I397" s="136">
        <v>1105104</v>
      </c>
      <c r="J397" s="137" t="s">
        <v>1025</v>
      </c>
      <c r="K397" s="137"/>
      <c r="L397" s="148">
        <f t="shared" si="48"/>
        <v>1105104</v>
      </c>
      <c r="M397" s="122">
        <f t="shared" si="43"/>
        <v>0</v>
      </c>
      <c r="N397" s="137"/>
      <c r="O397" s="149" t="b">
        <f t="shared" si="44"/>
        <v>1</v>
      </c>
      <c r="P397" s="149">
        <f t="shared" si="45"/>
        <v>0</v>
      </c>
      <c r="Q397" s="149" t="b">
        <f t="shared" si="46"/>
        <v>1</v>
      </c>
      <c r="R397" s="149">
        <f t="shared" si="47"/>
        <v>0</v>
      </c>
      <c r="S397" s="144"/>
      <c r="T397" s="143">
        <v>45806</v>
      </c>
      <c r="U397" s="144" t="s">
        <v>1360</v>
      </c>
      <c r="V397" s="144"/>
      <c r="W397" s="144"/>
      <c r="X397" s="144"/>
      <c r="Y397" s="144" t="s">
        <v>1802</v>
      </c>
      <c r="Z397" s="145"/>
      <c r="AA397" s="145"/>
      <c r="AB397" s="144"/>
      <c r="AC397" s="144"/>
      <c r="AD397" s="145">
        <v>1105104</v>
      </c>
      <c r="AE397" s="144"/>
      <c r="AF397" s="146"/>
    </row>
    <row r="398" spans="1:32">
      <c r="A398" s="132">
        <f t="shared" si="49"/>
        <v>390</v>
      </c>
      <c r="B398" s="133" t="s">
        <v>1780</v>
      </c>
      <c r="C398" s="133" t="s">
        <v>1925</v>
      </c>
      <c r="D398" s="132" t="s">
        <v>1715</v>
      </c>
      <c r="E398" s="147" t="s">
        <v>1361</v>
      </c>
      <c r="F398" s="135">
        <v>45805</v>
      </c>
      <c r="G398" s="45"/>
      <c r="H398" s="136"/>
      <c r="I398" s="136">
        <v>164123</v>
      </c>
      <c r="J398" s="137" t="s">
        <v>1025</v>
      </c>
      <c r="K398" s="137"/>
      <c r="L398" s="148">
        <f t="shared" si="48"/>
        <v>164123</v>
      </c>
      <c r="M398" s="122">
        <f t="shared" si="43"/>
        <v>0</v>
      </c>
      <c r="N398" s="137"/>
      <c r="O398" s="149" t="b">
        <f t="shared" si="44"/>
        <v>1</v>
      </c>
      <c r="P398" s="149">
        <f t="shared" si="45"/>
        <v>0</v>
      </c>
      <c r="Q398" s="149" t="b">
        <f t="shared" si="46"/>
        <v>1</v>
      </c>
      <c r="R398" s="149">
        <f t="shared" si="47"/>
        <v>0</v>
      </c>
      <c r="S398" s="144"/>
      <c r="T398" s="143">
        <v>45805</v>
      </c>
      <c r="U398" s="144" t="s">
        <v>1361</v>
      </c>
      <c r="V398" s="144"/>
      <c r="W398" s="144"/>
      <c r="X398" s="144"/>
      <c r="Y398" s="144" t="s">
        <v>1802</v>
      </c>
      <c r="Z398" s="145"/>
      <c r="AA398" s="145"/>
      <c r="AB398" s="144"/>
      <c r="AC398" s="144"/>
      <c r="AD398" s="145">
        <v>164123</v>
      </c>
      <c r="AE398" s="144"/>
      <c r="AF398" s="146"/>
    </row>
    <row r="399" spans="1:32">
      <c r="A399" s="132">
        <f t="shared" si="49"/>
        <v>391</v>
      </c>
      <c r="B399" s="133" t="s">
        <v>1780</v>
      </c>
      <c r="C399" s="133" t="s">
        <v>1925</v>
      </c>
      <c r="D399" s="132" t="s">
        <v>1715</v>
      </c>
      <c r="E399" s="147" t="s">
        <v>1362</v>
      </c>
      <c r="F399" s="135">
        <v>45805</v>
      </c>
      <c r="G399" s="45"/>
      <c r="H399" s="136"/>
      <c r="I399" s="136">
        <v>222167</v>
      </c>
      <c r="J399" s="137" t="s">
        <v>1025</v>
      </c>
      <c r="K399" s="137"/>
      <c r="L399" s="148">
        <f t="shared" si="48"/>
        <v>222167</v>
      </c>
      <c r="M399" s="122">
        <f t="shared" si="43"/>
        <v>0</v>
      </c>
      <c r="N399" s="137"/>
      <c r="O399" s="149" t="b">
        <f t="shared" si="44"/>
        <v>1</v>
      </c>
      <c r="P399" s="149">
        <f t="shared" si="45"/>
        <v>0</v>
      </c>
      <c r="Q399" s="149" t="b">
        <f t="shared" si="46"/>
        <v>1</v>
      </c>
      <c r="R399" s="149">
        <f t="shared" si="47"/>
        <v>0</v>
      </c>
      <c r="S399" s="144" t="s">
        <v>1046</v>
      </c>
      <c r="T399" s="143">
        <v>45805</v>
      </c>
      <c r="U399" s="144" t="s">
        <v>1362</v>
      </c>
      <c r="V399" s="144"/>
      <c r="W399" s="144"/>
      <c r="X399" s="144"/>
      <c r="Y399" s="144" t="s">
        <v>1802</v>
      </c>
      <c r="Z399" s="145"/>
      <c r="AA399" s="145"/>
      <c r="AB399" s="144"/>
      <c r="AC399" s="144"/>
      <c r="AD399" s="145">
        <v>222167</v>
      </c>
      <c r="AE399" s="144"/>
      <c r="AF399" s="146"/>
    </row>
    <row r="400" spans="1:32">
      <c r="A400" s="132">
        <f t="shared" si="49"/>
        <v>392</v>
      </c>
      <c r="B400" s="133" t="s">
        <v>1780</v>
      </c>
      <c r="C400" s="133" t="s">
        <v>1925</v>
      </c>
      <c r="D400" s="132" t="s">
        <v>1715</v>
      </c>
      <c r="E400" s="147" t="s">
        <v>1363</v>
      </c>
      <c r="F400" s="135">
        <v>45804</v>
      </c>
      <c r="G400" s="45"/>
      <c r="H400" s="136"/>
      <c r="I400" s="136">
        <v>115286</v>
      </c>
      <c r="J400" s="137" t="s">
        <v>1025</v>
      </c>
      <c r="K400" s="137"/>
      <c r="L400" s="148">
        <f t="shared" si="48"/>
        <v>115286</v>
      </c>
      <c r="M400" s="122">
        <f t="shared" si="43"/>
        <v>0</v>
      </c>
      <c r="N400" s="137"/>
      <c r="O400" s="149" t="b">
        <f t="shared" si="44"/>
        <v>1</v>
      </c>
      <c r="P400" s="149">
        <f t="shared" si="45"/>
        <v>0</v>
      </c>
      <c r="Q400" s="149" t="b">
        <f t="shared" si="46"/>
        <v>1</v>
      </c>
      <c r="R400" s="149">
        <f t="shared" si="47"/>
        <v>0</v>
      </c>
      <c r="S400" s="144"/>
      <c r="T400" s="143">
        <v>45804</v>
      </c>
      <c r="U400" s="144" t="s">
        <v>1363</v>
      </c>
      <c r="V400" s="144"/>
      <c r="W400" s="144"/>
      <c r="X400" s="144"/>
      <c r="Y400" s="144" t="s">
        <v>1802</v>
      </c>
      <c r="Z400" s="145"/>
      <c r="AA400" s="145"/>
      <c r="AB400" s="144"/>
      <c r="AC400" s="144"/>
      <c r="AD400" s="145">
        <v>115286</v>
      </c>
      <c r="AE400" s="144"/>
      <c r="AF400" s="146"/>
    </row>
    <row r="401" spans="1:41">
      <c r="A401" s="132">
        <f t="shared" si="49"/>
        <v>393</v>
      </c>
      <c r="B401" s="133" t="s">
        <v>1780</v>
      </c>
      <c r="C401" s="133" t="s">
        <v>1925</v>
      </c>
      <c r="D401" s="132" t="s">
        <v>1715</v>
      </c>
      <c r="E401" s="147" t="s">
        <v>1364</v>
      </c>
      <c r="F401" s="135">
        <v>45805</v>
      </c>
      <c r="G401" s="45"/>
      <c r="H401" s="136"/>
      <c r="I401" s="136">
        <v>164123</v>
      </c>
      <c r="J401" s="137" t="s">
        <v>1025</v>
      </c>
      <c r="K401" s="137"/>
      <c r="L401" s="148">
        <f t="shared" si="48"/>
        <v>164123</v>
      </c>
      <c r="M401" s="122">
        <f t="shared" si="43"/>
        <v>0</v>
      </c>
      <c r="N401" s="137"/>
      <c r="O401" s="149" t="b">
        <f t="shared" si="44"/>
        <v>1</v>
      </c>
      <c r="P401" s="149">
        <f t="shared" si="45"/>
        <v>0</v>
      </c>
      <c r="Q401" s="149" t="b">
        <f t="shared" si="46"/>
        <v>1</v>
      </c>
      <c r="R401" s="149">
        <f t="shared" si="47"/>
        <v>0</v>
      </c>
      <c r="S401" s="144"/>
      <c r="T401" s="143">
        <v>45805</v>
      </c>
      <c r="U401" s="144" t="s">
        <v>1364</v>
      </c>
      <c r="V401" s="144"/>
      <c r="W401" s="144"/>
      <c r="X401" s="144"/>
      <c r="Y401" s="144" t="s">
        <v>1802</v>
      </c>
      <c r="Z401" s="145"/>
      <c r="AA401" s="145"/>
      <c r="AB401" s="144"/>
      <c r="AC401" s="144"/>
      <c r="AD401" s="145">
        <v>164123</v>
      </c>
      <c r="AE401" s="144"/>
      <c r="AF401" s="146"/>
    </row>
    <row r="402" spans="1:41">
      <c r="A402" s="132">
        <f t="shared" si="49"/>
        <v>394</v>
      </c>
      <c r="B402" s="133" t="s">
        <v>1780</v>
      </c>
      <c r="C402" s="133" t="s">
        <v>1925</v>
      </c>
      <c r="D402" s="132" t="s">
        <v>1715</v>
      </c>
      <c r="E402" s="147" t="s">
        <v>1365</v>
      </c>
      <c r="F402" s="135">
        <v>45805</v>
      </c>
      <c r="G402" s="45"/>
      <c r="H402" s="136"/>
      <c r="I402" s="136">
        <v>225369</v>
      </c>
      <c r="J402" s="137" t="s">
        <v>1025</v>
      </c>
      <c r="K402" s="137"/>
      <c r="L402" s="148">
        <f t="shared" si="48"/>
        <v>225369</v>
      </c>
      <c r="M402" s="122">
        <f t="shared" si="43"/>
        <v>0</v>
      </c>
      <c r="N402" s="137"/>
      <c r="O402" s="149" t="b">
        <f t="shared" si="44"/>
        <v>1</v>
      </c>
      <c r="P402" s="149">
        <f t="shared" si="45"/>
        <v>0</v>
      </c>
      <c r="Q402" s="149" t="b">
        <f t="shared" si="46"/>
        <v>1</v>
      </c>
      <c r="R402" s="149">
        <f t="shared" si="47"/>
        <v>0</v>
      </c>
      <c r="S402" s="144"/>
      <c r="T402" s="143">
        <v>45805</v>
      </c>
      <c r="U402" s="144" t="s">
        <v>1365</v>
      </c>
      <c r="V402" s="144"/>
      <c r="W402" s="144"/>
      <c r="X402" s="144"/>
      <c r="Y402" s="144" t="s">
        <v>1802</v>
      </c>
      <c r="Z402" s="145"/>
      <c r="AA402" s="145"/>
      <c r="AB402" s="144"/>
      <c r="AC402" s="144"/>
      <c r="AD402" s="145">
        <v>225369</v>
      </c>
      <c r="AE402" s="144"/>
      <c r="AF402" s="146"/>
    </row>
    <row r="403" spans="1:41">
      <c r="A403" s="132">
        <f t="shared" si="49"/>
        <v>395</v>
      </c>
      <c r="B403" s="133" t="s">
        <v>1780</v>
      </c>
      <c r="C403" s="133" t="s">
        <v>1925</v>
      </c>
      <c r="D403" s="132" t="s">
        <v>1715</v>
      </c>
      <c r="E403" s="147" t="s">
        <v>1366</v>
      </c>
      <c r="F403" s="135">
        <v>45805</v>
      </c>
      <c r="G403" s="45"/>
      <c r="H403" s="136"/>
      <c r="I403" s="136">
        <v>132099</v>
      </c>
      <c r="J403" s="137" t="s">
        <v>1025</v>
      </c>
      <c r="K403" s="137"/>
      <c r="L403" s="148">
        <f t="shared" si="48"/>
        <v>132099</v>
      </c>
      <c r="M403" s="122">
        <f t="shared" si="43"/>
        <v>0</v>
      </c>
      <c r="N403" s="137"/>
      <c r="O403" s="149" t="b">
        <f t="shared" si="44"/>
        <v>1</v>
      </c>
      <c r="P403" s="149">
        <f t="shared" si="45"/>
        <v>0</v>
      </c>
      <c r="Q403" s="149" t="b">
        <f t="shared" si="46"/>
        <v>1</v>
      </c>
      <c r="R403" s="149">
        <f t="shared" si="47"/>
        <v>0</v>
      </c>
      <c r="S403" s="144"/>
      <c r="T403" s="143">
        <v>45805</v>
      </c>
      <c r="U403" s="144" t="s">
        <v>1366</v>
      </c>
      <c r="V403" s="144"/>
      <c r="W403" s="144"/>
      <c r="X403" s="144"/>
      <c r="Y403" s="144" t="s">
        <v>1802</v>
      </c>
      <c r="Z403" s="145"/>
      <c r="AA403" s="145"/>
      <c r="AB403" s="144"/>
      <c r="AC403" s="144"/>
      <c r="AD403" s="145">
        <v>132099</v>
      </c>
      <c r="AE403" s="144"/>
      <c r="AF403" s="146"/>
    </row>
    <row r="404" spans="1:41">
      <c r="A404" s="132">
        <f t="shared" si="49"/>
        <v>396</v>
      </c>
      <c r="B404" s="133" t="s">
        <v>1772</v>
      </c>
      <c r="C404" s="133" t="s">
        <v>1924</v>
      </c>
      <c r="D404" s="132" t="s">
        <v>1041</v>
      </c>
      <c r="E404" s="147" t="s">
        <v>1367</v>
      </c>
      <c r="F404" s="135">
        <v>45771</v>
      </c>
      <c r="G404" s="45"/>
      <c r="H404" s="136"/>
      <c r="I404" s="136">
        <v>844633</v>
      </c>
      <c r="J404" s="137" t="s">
        <v>1025</v>
      </c>
      <c r="K404" s="137"/>
      <c r="L404" s="148">
        <f>I404</f>
        <v>844633</v>
      </c>
      <c r="M404" s="122">
        <f t="shared" si="43"/>
        <v>0</v>
      </c>
      <c r="N404" s="137"/>
      <c r="O404" s="149" t="b">
        <f t="shared" si="44"/>
        <v>1</v>
      </c>
      <c r="P404" s="149">
        <f t="shared" si="45"/>
        <v>0</v>
      </c>
      <c r="Q404" s="149" t="b">
        <f t="shared" si="46"/>
        <v>0</v>
      </c>
      <c r="R404" s="149">
        <f t="shared" si="47"/>
        <v>0</v>
      </c>
      <c r="S404" s="144"/>
      <c r="T404" s="143">
        <v>45771</v>
      </c>
      <c r="U404" s="144" t="s">
        <v>1367</v>
      </c>
      <c r="V404" s="144">
        <v>0</v>
      </c>
      <c r="W404" s="144" t="s">
        <v>1071</v>
      </c>
      <c r="X404" s="144" t="s">
        <v>1801</v>
      </c>
      <c r="Y404" s="144" t="s">
        <v>1802</v>
      </c>
      <c r="Z404" s="145">
        <v>9290963</v>
      </c>
      <c r="AA404" s="145">
        <v>8446330</v>
      </c>
      <c r="AB404" s="144">
        <v>0</v>
      </c>
      <c r="AC404" s="144" t="s">
        <v>1022</v>
      </c>
      <c r="AD404" s="145">
        <v>844633</v>
      </c>
      <c r="AE404" s="144">
        <v>0</v>
      </c>
      <c r="AF404" s="146">
        <v>0</v>
      </c>
      <c r="AG404" s="70">
        <v>0</v>
      </c>
      <c r="AH404" s="70">
        <v>0</v>
      </c>
      <c r="AI404" s="70">
        <v>0</v>
      </c>
      <c r="AJ404" s="70">
        <v>0</v>
      </c>
      <c r="AK404" s="70">
        <v>0</v>
      </c>
      <c r="AL404" s="70">
        <v>0.01</v>
      </c>
      <c r="AM404" s="70">
        <v>0</v>
      </c>
      <c r="AN404" s="70" t="s">
        <v>1875</v>
      </c>
      <c r="AO404" s="70" t="s">
        <v>1804</v>
      </c>
    </row>
    <row r="405" spans="1:41">
      <c r="A405" s="132">
        <f t="shared" si="49"/>
        <v>397</v>
      </c>
      <c r="B405" s="133" t="s">
        <v>1781</v>
      </c>
      <c r="C405" s="133" t="s">
        <v>1926</v>
      </c>
      <c r="D405" s="132" t="s">
        <v>1035</v>
      </c>
      <c r="E405" s="147" t="s">
        <v>1368</v>
      </c>
      <c r="F405" s="135">
        <v>45709</v>
      </c>
      <c r="G405" s="45"/>
      <c r="H405" s="136"/>
      <c r="I405" s="136">
        <v>420859</v>
      </c>
      <c r="J405" s="137" t="s">
        <v>1899</v>
      </c>
      <c r="K405" s="137"/>
      <c r="L405" s="148"/>
      <c r="M405" s="122">
        <f t="shared" si="43"/>
        <v>420859</v>
      </c>
      <c r="N405" s="137"/>
      <c r="O405" s="149" t="b">
        <f t="shared" si="44"/>
        <v>0</v>
      </c>
      <c r="P405" s="149">
        <f t="shared" si="45"/>
        <v>1</v>
      </c>
      <c r="Q405" s="149" t="b">
        <f t="shared" si="46"/>
        <v>1</v>
      </c>
      <c r="R405" s="149">
        <f t="shared" si="47"/>
        <v>420859</v>
      </c>
      <c r="S405" s="144"/>
      <c r="T405" s="143">
        <v>0</v>
      </c>
      <c r="U405" s="144">
        <v>0</v>
      </c>
      <c r="V405" s="144">
        <v>0</v>
      </c>
      <c r="W405" s="144">
        <v>0</v>
      </c>
      <c r="X405" s="144">
        <v>0</v>
      </c>
      <c r="Y405" s="144">
        <v>0</v>
      </c>
      <c r="Z405" s="145">
        <v>0</v>
      </c>
      <c r="AA405" s="145">
        <v>0</v>
      </c>
      <c r="AB405" s="144">
        <v>0</v>
      </c>
      <c r="AC405" s="144">
        <v>0</v>
      </c>
      <c r="AD405" s="145">
        <v>0</v>
      </c>
      <c r="AE405" s="144">
        <v>0</v>
      </c>
      <c r="AF405" s="146">
        <v>0</v>
      </c>
      <c r="AG405" s="70">
        <v>0</v>
      </c>
      <c r="AH405" s="70">
        <v>0</v>
      </c>
      <c r="AI405" s="70">
        <v>0</v>
      </c>
      <c r="AJ405" s="70">
        <v>0</v>
      </c>
      <c r="AK405" s="70">
        <v>0</v>
      </c>
      <c r="AL405" s="70">
        <v>0</v>
      </c>
      <c r="AM405" s="70">
        <v>0</v>
      </c>
      <c r="AN405" s="70">
        <v>0</v>
      </c>
      <c r="AO405" s="70">
        <v>0</v>
      </c>
    </row>
    <row r="406" spans="1:41">
      <c r="A406" s="132">
        <f t="shared" si="49"/>
        <v>398</v>
      </c>
      <c r="B406" s="133" t="s">
        <v>1780</v>
      </c>
      <c r="C406" s="133" t="s">
        <v>1925</v>
      </c>
      <c r="D406" s="132" t="s">
        <v>1715</v>
      </c>
      <c r="E406" s="147" t="s">
        <v>1369</v>
      </c>
      <c r="F406" s="135">
        <v>45799</v>
      </c>
      <c r="G406" s="45"/>
      <c r="H406" s="136"/>
      <c r="I406" s="136">
        <v>115286</v>
      </c>
      <c r="J406" s="137" t="s">
        <v>1025</v>
      </c>
      <c r="K406" s="137"/>
      <c r="L406" s="148">
        <f t="shared" ref="L406:L430" si="50">I406</f>
        <v>115286</v>
      </c>
      <c r="M406" s="122">
        <f t="shared" si="43"/>
        <v>0</v>
      </c>
      <c r="N406" s="137"/>
      <c r="O406" s="149" t="b">
        <f t="shared" si="44"/>
        <v>1</v>
      </c>
      <c r="P406" s="149">
        <f t="shared" si="45"/>
        <v>0</v>
      </c>
      <c r="Q406" s="149" t="b">
        <f t="shared" si="46"/>
        <v>1</v>
      </c>
      <c r="R406" s="149">
        <f t="shared" si="47"/>
        <v>0</v>
      </c>
      <c r="S406" s="144"/>
      <c r="T406" s="143">
        <v>45799</v>
      </c>
      <c r="U406" s="144" t="s">
        <v>1369</v>
      </c>
      <c r="V406" s="144"/>
      <c r="W406" s="144"/>
      <c r="X406" s="144"/>
      <c r="Y406" s="144" t="s">
        <v>1802</v>
      </c>
      <c r="Z406" s="145"/>
      <c r="AA406" s="145"/>
      <c r="AB406" s="144"/>
      <c r="AC406" s="144"/>
      <c r="AD406" s="145">
        <v>115286</v>
      </c>
      <c r="AE406" s="144"/>
      <c r="AF406" s="146"/>
    </row>
    <row r="407" spans="1:41">
      <c r="A407" s="132">
        <f t="shared" si="49"/>
        <v>399</v>
      </c>
      <c r="B407" s="133" t="s">
        <v>1780</v>
      </c>
      <c r="C407" s="133" t="s">
        <v>1925</v>
      </c>
      <c r="D407" s="132" t="s">
        <v>1715</v>
      </c>
      <c r="E407" s="147" t="s">
        <v>1370</v>
      </c>
      <c r="F407" s="135">
        <v>45804</v>
      </c>
      <c r="G407" s="45"/>
      <c r="H407" s="136"/>
      <c r="I407" s="136">
        <v>115286</v>
      </c>
      <c r="J407" s="137" t="s">
        <v>1025</v>
      </c>
      <c r="K407" s="137"/>
      <c r="L407" s="148">
        <f t="shared" si="50"/>
        <v>115286</v>
      </c>
      <c r="M407" s="122">
        <f t="shared" ref="M407:M470" si="51">I407-L407</f>
        <v>0</v>
      </c>
      <c r="N407" s="137"/>
      <c r="O407" s="149" t="b">
        <f t="shared" ref="O407:O470" si="52">U407=E407</f>
        <v>1</v>
      </c>
      <c r="P407" s="149">
        <f t="shared" ref="P407:P470" si="53">MONTH(F407)-MONTH(T407)</f>
        <v>0</v>
      </c>
      <c r="Q407" s="149" t="b">
        <f t="shared" ref="Q407:Q470" si="54">$B$5=X407</f>
        <v>1</v>
      </c>
      <c r="R407" s="149">
        <f t="shared" ref="R407:R470" si="55">I407-AD407</f>
        <v>0</v>
      </c>
      <c r="S407" s="144"/>
      <c r="T407" s="143">
        <v>45804</v>
      </c>
      <c r="U407" s="144" t="s">
        <v>1370</v>
      </c>
      <c r="V407" s="144"/>
      <c r="W407" s="144"/>
      <c r="X407" s="144"/>
      <c r="Y407" s="144" t="s">
        <v>1802</v>
      </c>
      <c r="Z407" s="145"/>
      <c r="AA407" s="145"/>
      <c r="AB407" s="144"/>
      <c r="AC407" s="144"/>
      <c r="AD407" s="145">
        <v>115286</v>
      </c>
      <c r="AE407" s="144"/>
      <c r="AF407" s="146"/>
    </row>
    <row r="408" spans="1:41">
      <c r="A408" s="132">
        <f t="shared" si="49"/>
        <v>400</v>
      </c>
      <c r="B408" s="133" t="s">
        <v>1780</v>
      </c>
      <c r="C408" s="133" t="s">
        <v>1925</v>
      </c>
      <c r="D408" s="132" t="s">
        <v>1715</v>
      </c>
      <c r="E408" s="147" t="s">
        <v>1371</v>
      </c>
      <c r="F408" s="135">
        <v>45804</v>
      </c>
      <c r="G408" s="45"/>
      <c r="H408" s="136"/>
      <c r="I408" s="136">
        <v>85264</v>
      </c>
      <c r="J408" s="137" t="s">
        <v>1025</v>
      </c>
      <c r="K408" s="137"/>
      <c r="L408" s="148">
        <f t="shared" si="50"/>
        <v>85264</v>
      </c>
      <c r="M408" s="122">
        <f t="shared" si="51"/>
        <v>0</v>
      </c>
      <c r="N408" s="137"/>
      <c r="O408" s="149" t="b">
        <f t="shared" si="52"/>
        <v>1</v>
      </c>
      <c r="P408" s="149">
        <f t="shared" si="53"/>
        <v>0</v>
      </c>
      <c r="Q408" s="149" t="b">
        <f t="shared" si="54"/>
        <v>1</v>
      </c>
      <c r="R408" s="149">
        <f t="shared" si="55"/>
        <v>0</v>
      </c>
      <c r="S408" s="144"/>
      <c r="T408" s="143">
        <v>45804</v>
      </c>
      <c r="U408" s="144" t="s">
        <v>1371</v>
      </c>
      <c r="V408" s="144"/>
      <c r="W408" s="144"/>
      <c r="X408" s="144"/>
      <c r="Y408" s="144" t="s">
        <v>1802</v>
      </c>
      <c r="Z408" s="145"/>
      <c r="AA408" s="145"/>
      <c r="AB408" s="144"/>
      <c r="AC408" s="144"/>
      <c r="AD408" s="145">
        <v>85264</v>
      </c>
      <c r="AE408" s="144"/>
      <c r="AF408" s="146"/>
    </row>
    <row r="409" spans="1:41">
      <c r="A409" s="132">
        <f t="shared" si="49"/>
        <v>401</v>
      </c>
      <c r="B409" s="133" t="s">
        <v>1780</v>
      </c>
      <c r="C409" s="133" t="s">
        <v>1925</v>
      </c>
      <c r="D409" s="132" t="s">
        <v>1715</v>
      </c>
      <c r="E409" s="147" t="s">
        <v>1372</v>
      </c>
      <c r="F409" s="135">
        <v>45798</v>
      </c>
      <c r="G409" s="45"/>
      <c r="H409" s="136"/>
      <c r="I409" s="136">
        <v>240180</v>
      </c>
      <c r="J409" s="137" t="s">
        <v>1025</v>
      </c>
      <c r="K409" s="137"/>
      <c r="L409" s="148">
        <f t="shared" si="50"/>
        <v>240180</v>
      </c>
      <c r="M409" s="122">
        <f t="shared" si="51"/>
        <v>0</v>
      </c>
      <c r="N409" s="137"/>
      <c r="O409" s="149" t="b">
        <f t="shared" si="52"/>
        <v>1</v>
      </c>
      <c r="P409" s="149">
        <f t="shared" si="53"/>
        <v>0</v>
      </c>
      <c r="Q409" s="149" t="b">
        <f t="shared" si="54"/>
        <v>1</v>
      </c>
      <c r="R409" s="149">
        <f t="shared" si="55"/>
        <v>0</v>
      </c>
      <c r="S409" s="144"/>
      <c r="T409" s="143">
        <v>45798</v>
      </c>
      <c r="U409" s="144" t="s">
        <v>1372</v>
      </c>
      <c r="V409" s="144"/>
      <c r="W409" s="144"/>
      <c r="X409" s="144"/>
      <c r="Y409" s="144" t="s">
        <v>1802</v>
      </c>
      <c r="Z409" s="145"/>
      <c r="AA409" s="145"/>
      <c r="AB409" s="144"/>
      <c r="AC409" s="144"/>
      <c r="AD409" s="145">
        <v>240180</v>
      </c>
      <c r="AE409" s="144"/>
      <c r="AF409" s="146"/>
    </row>
    <row r="410" spans="1:41">
      <c r="A410" s="132">
        <f t="shared" si="49"/>
        <v>402</v>
      </c>
      <c r="B410" s="133" t="s">
        <v>1780</v>
      </c>
      <c r="C410" s="133" t="s">
        <v>1925</v>
      </c>
      <c r="D410" s="132" t="s">
        <v>1715</v>
      </c>
      <c r="E410" s="147" t="s">
        <v>1373</v>
      </c>
      <c r="F410" s="135">
        <v>45798</v>
      </c>
      <c r="G410" s="45"/>
      <c r="H410" s="136"/>
      <c r="I410" s="136">
        <v>132099</v>
      </c>
      <c r="J410" s="137" t="s">
        <v>1025</v>
      </c>
      <c r="K410" s="137"/>
      <c r="L410" s="148">
        <f t="shared" si="50"/>
        <v>132099</v>
      </c>
      <c r="M410" s="122">
        <f t="shared" si="51"/>
        <v>0</v>
      </c>
      <c r="N410" s="137"/>
      <c r="O410" s="149" t="b">
        <f t="shared" si="52"/>
        <v>1</v>
      </c>
      <c r="P410" s="149">
        <f t="shared" si="53"/>
        <v>0</v>
      </c>
      <c r="Q410" s="149" t="b">
        <f t="shared" si="54"/>
        <v>1</v>
      </c>
      <c r="R410" s="149">
        <f t="shared" si="55"/>
        <v>0</v>
      </c>
      <c r="S410" s="144"/>
      <c r="T410" s="143">
        <v>45798</v>
      </c>
      <c r="U410" s="144" t="s">
        <v>1373</v>
      </c>
      <c r="V410" s="144"/>
      <c r="W410" s="144"/>
      <c r="X410" s="144"/>
      <c r="Y410" s="144" t="s">
        <v>1802</v>
      </c>
      <c r="Z410" s="145"/>
      <c r="AA410" s="145"/>
      <c r="AB410" s="144"/>
      <c r="AC410" s="144"/>
      <c r="AD410" s="145">
        <v>132099</v>
      </c>
      <c r="AE410" s="144"/>
      <c r="AF410" s="146"/>
    </row>
    <row r="411" spans="1:41">
      <c r="A411" s="132">
        <f t="shared" si="49"/>
        <v>403</v>
      </c>
      <c r="B411" s="133" t="s">
        <v>1780</v>
      </c>
      <c r="C411" s="133" t="s">
        <v>1925</v>
      </c>
      <c r="D411" s="132" t="s">
        <v>1715</v>
      </c>
      <c r="E411" s="147" t="s">
        <v>1374</v>
      </c>
      <c r="F411" s="135">
        <v>45806</v>
      </c>
      <c r="G411" s="45"/>
      <c r="H411" s="136"/>
      <c r="I411" s="136">
        <v>240240</v>
      </c>
      <c r="J411" s="137" t="s">
        <v>1025</v>
      </c>
      <c r="K411" s="137"/>
      <c r="L411" s="148">
        <f t="shared" si="50"/>
        <v>240240</v>
      </c>
      <c r="M411" s="122">
        <f t="shared" si="51"/>
        <v>0</v>
      </c>
      <c r="N411" s="137"/>
      <c r="O411" s="149" t="b">
        <f t="shared" si="52"/>
        <v>1</v>
      </c>
      <c r="P411" s="149">
        <f t="shared" si="53"/>
        <v>0</v>
      </c>
      <c r="Q411" s="149" t="b">
        <f t="shared" si="54"/>
        <v>1</v>
      </c>
      <c r="R411" s="149">
        <f t="shared" si="55"/>
        <v>0</v>
      </c>
      <c r="S411" s="144"/>
      <c r="T411" s="143">
        <v>45806</v>
      </c>
      <c r="U411" s="144" t="s">
        <v>1374</v>
      </c>
      <c r="V411" s="144"/>
      <c r="W411" s="144"/>
      <c r="X411" s="144"/>
      <c r="Y411" s="144" t="s">
        <v>1802</v>
      </c>
      <c r="Z411" s="145"/>
      <c r="AA411" s="145"/>
      <c r="AB411" s="144"/>
      <c r="AC411" s="144"/>
      <c r="AD411" s="145">
        <v>240240</v>
      </c>
      <c r="AE411" s="144"/>
      <c r="AF411" s="146"/>
    </row>
    <row r="412" spans="1:41">
      <c r="A412" s="132">
        <f t="shared" si="49"/>
        <v>404</v>
      </c>
      <c r="B412" s="133" t="s">
        <v>1780</v>
      </c>
      <c r="C412" s="133" t="s">
        <v>1925</v>
      </c>
      <c r="D412" s="132" t="s">
        <v>1715</v>
      </c>
      <c r="E412" s="147" t="s">
        <v>1375</v>
      </c>
      <c r="F412" s="135">
        <v>45798</v>
      </c>
      <c r="G412" s="45"/>
      <c r="H412" s="136"/>
      <c r="I412" s="136">
        <v>454341</v>
      </c>
      <c r="J412" s="137" t="s">
        <v>1025</v>
      </c>
      <c r="K412" s="137"/>
      <c r="L412" s="148">
        <f t="shared" si="50"/>
        <v>454341</v>
      </c>
      <c r="M412" s="122">
        <f t="shared" si="51"/>
        <v>0</v>
      </c>
      <c r="N412" s="137"/>
      <c r="O412" s="149" t="b">
        <f t="shared" si="52"/>
        <v>1</v>
      </c>
      <c r="P412" s="149">
        <f t="shared" si="53"/>
        <v>0</v>
      </c>
      <c r="Q412" s="149" t="b">
        <f t="shared" si="54"/>
        <v>1</v>
      </c>
      <c r="R412" s="149">
        <f t="shared" si="55"/>
        <v>0</v>
      </c>
      <c r="S412" s="144"/>
      <c r="T412" s="143">
        <v>45798</v>
      </c>
      <c r="U412" s="144" t="s">
        <v>1375</v>
      </c>
      <c r="V412" s="144"/>
      <c r="W412" s="144"/>
      <c r="X412" s="144"/>
      <c r="Y412" s="144" t="s">
        <v>1802</v>
      </c>
      <c r="Z412" s="145"/>
      <c r="AA412" s="145"/>
      <c r="AB412" s="144"/>
      <c r="AC412" s="144"/>
      <c r="AD412" s="145">
        <v>454341</v>
      </c>
      <c r="AE412" s="144"/>
      <c r="AF412" s="146"/>
    </row>
    <row r="413" spans="1:41">
      <c r="A413" s="132">
        <f t="shared" si="49"/>
        <v>405</v>
      </c>
      <c r="B413" s="133" t="s">
        <v>1780</v>
      </c>
      <c r="C413" s="133" t="s">
        <v>1925</v>
      </c>
      <c r="D413" s="132" t="s">
        <v>1715</v>
      </c>
      <c r="E413" s="147" t="s">
        <v>1376</v>
      </c>
      <c r="F413" s="135">
        <v>45796</v>
      </c>
      <c r="G413" s="45"/>
      <c r="H413" s="136"/>
      <c r="I413" s="136">
        <v>132066</v>
      </c>
      <c r="J413" s="137" t="s">
        <v>1025</v>
      </c>
      <c r="K413" s="137"/>
      <c r="L413" s="148">
        <f t="shared" si="50"/>
        <v>132066</v>
      </c>
      <c r="M413" s="122">
        <f t="shared" si="51"/>
        <v>0</v>
      </c>
      <c r="N413" s="137"/>
      <c r="O413" s="149" t="b">
        <f t="shared" si="52"/>
        <v>1</v>
      </c>
      <c r="P413" s="149">
        <f t="shared" si="53"/>
        <v>0</v>
      </c>
      <c r="Q413" s="149" t="b">
        <f t="shared" si="54"/>
        <v>1</v>
      </c>
      <c r="R413" s="149">
        <f t="shared" si="55"/>
        <v>0</v>
      </c>
      <c r="S413" s="144"/>
      <c r="T413" s="143">
        <v>45796</v>
      </c>
      <c r="U413" s="144" t="s">
        <v>1376</v>
      </c>
      <c r="V413" s="144"/>
      <c r="W413" s="144"/>
      <c r="X413" s="144"/>
      <c r="Y413" s="144" t="s">
        <v>1802</v>
      </c>
      <c r="Z413" s="145"/>
      <c r="AA413" s="145"/>
      <c r="AB413" s="144"/>
      <c r="AC413" s="144"/>
      <c r="AD413" s="145">
        <v>132066</v>
      </c>
      <c r="AE413" s="144"/>
      <c r="AF413" s="146"/>
    </row>
    <row r="414" spans="1:41">
      <c r="A414" s="132">
        <f t="shared" si="49"/>
        <v>406</v>
      </c>
      <c r="B414" s="133" t="s">
        <v>1780</v>
      </c>
      <c r="C414" s="133" t="s">
        <v>1925</v>
      </c>
      <c r="D414" s="132" t="s">
        <v>1715</v>
      </c>
      <c r="E414" s="147" t="s">
        <v>1377</v>
      </c>
      <c r="F414" s="135">
        <v>45797</v>
      </c>
      <c r="G414" s="45"/>
      <c r="H414" s="136"/>
      <c r="I414" s="136">
        <v>122092</v>
      </c>
      <c r="J414" s="137" t="s">
        <v>1025</v>
      </c>
      <c r="K414" s="137"/>
      <c r="L414" s="148">
        <f t="shared" si="50"/>
        <v>122092</v>
      </c>
      <c r="M414" s="122">
        <f t="shared" si="51"/>
        <v>0</v>
      </c>
      <c r="N414" s="137"/>
      <c r="O414" s="149" t="b">
        <f t="shared" si="52"/>
        <v>1</v>
      </c>
      <c r="P414" s="149">
        <f t="shared" si="53"/>
        <v>0</v>
      </c>
      <c r="Q414" s="149" t="b">
        <f t="shared" si="54"/>
        <v>1</v>
      </c>
      <c r="R414" s="149">
        <f t="shared" si="55"/>
        <v>0</v>
      </c>
      <c r="S414" s="144"/>
      <c r="T414" s="143">
        <v>45797</v>
      </c>
      <c r="U414" s="144" t="s">
        <v>1377</v>
      </c>
      <c r="V414" s="144"/>
      <c r="W414" s="144"/>
      <c r="X414" s="144"/>
      <c r="Y414" s="144" t="s">
        <v>1802</v>
      </c>
      <c r="Z414" s="145"/>
      <c r="AA414" s="145"/>
      <c r="AB414" s="144"/>
      <c r="AC414" s="144"/>
      <c r="AD414" s="145">
        <v>122092</v>
      </c>
      <c r="AE414" s="144"/>
      <c r="AF414" s="146"/>
    </row>
    <row r="415" spans="1:41">
      <c r="A415" s="132">
        <f t="shared" si="49"/>
        <v>407</v>
      </c>
      <c r="B415" s="133" t="s">
        <v>1780</v>
      </c>
      <c r="C415" s="133" t="s">
        <v>1925</v>
      </c>
      <c r="D415" s="132" t="s">
        <v>1715</v>
      </c>
      <c r="E415" s="147" t="s">
        <v>1378</v>
      </c>
      <c r="F415" s="135">
        <v>45797</v>
      </c>
      <c r="G415" s="45"/>
      <c r="H415" s="136"/>
      <c r="I415" s="136">
        <v>132099</v>
      </c>
      <c r="J415" s="137" t="s">
        <v>1025</v>
      </c>
      <c r="K415" s="137"/>
      <c r="L415" s="148">
        <f t="shared" si="50"/>
        <v>132099</v>
      </c>
      <c r="M415" s="122">
        <f t="shared" si="51"/>
        <v>0</v>
      </c>
      <c r="N415" s="137"/>
      <c r="O415" s="149" t="b">
        <f t="shared" si="52"/>
        <v>1</v>
      </c>
      <c r="P415" s="149">
        <f t="shared" si="53"/>
        <v>0</v>
      </c>
      <c r="Q415" s="149" t="b">
        <f t="shared" si="54"/>
        <v>1</v>
      </c>
      <c r="R415" s="149">
        <f t="shared" si="55"/>
        <v>0</v>
      </c>
      <c r="S415" s="144"/>
      <c r="T415" s="143">
        <v>45797</v>
      </c>
      <c r="U415" s="144" t="s">
        <v>1378</v>
      </c>
      <c r="V415" s="144"/>
      <c r="W415" s="144"/>
      <c r="X415" s="144"/>
      <c r="Y415" s="144" t="s">
        <v>1802</v>
      </c>
      <c r="Z415" s="145"/>
      <c r="AA415" s="145"/>
      <c r="AB415" s="144"/>
      <c r="AC415" s="144"/>
      <c r="AD415" s="145">
        <v>132099</v>
      </c>
      <c r="AE415" s="144"/>
      <c r="AF415" s="146"/>
    </row>
    <row r="416" spans="1:41">
      <c r="A416" s="132">
        <f t="shared" si="49"/>
        <v>408</v>
      </c>
      <c r="B416" s="133" t="s">
        <v>1780</v>
      </c>
      <c r="C416" s="133" t="s">
        <v>1925</v>
      </c>
      <c r="D416" s="132" t="s">
        <v>1715</v>
      </c>
      <c r="E416" s="147" t="s">
        <v>1379</v>
      </c>
      <c r="F416" s="135">
        <v>45796</v>
      </c>
      <c r="G416" s="45"/>
      <c r="H416" s="136"/>
      <c r="I416" s="136">
        <v>132066</v>
      </c>
      <c r="J416" s="137" t="s">
        <v>1025</v>
      </c>
      <c r="K416" s="137"/>
      <c r="L416" s="148">
        <f t="shared" si="50"/>
        <v>132066</v>
      </c>
      <c r="M416" s="122">
        <f t="shared" si="51"/>
        <v>0</v>
      </c>
      <c r="N416" s="137"/>
      <c r="O416" s="149" t="b">
        <f t="shared" si="52"/>
        <v>1</v>
      </c>
      <c r="P416" s="149">
        <f t="shared" si="53"/>
        <v>0</v>
      </c>
      <c r="Q416" s="149" t="b">
        <f t="shared" si="54"/>
        <v>1</v>
      </c>
      <c r="R416" s="149">
        <f t="shared" si="55"/>
        <v>0</v>
      </c>
      <c r="S416" s="144"/>
      <c r="T416" s="143">
        <v>45796</v>
      </c>
      <c r="U416" s="144" t="s">
        <v>1379</v>
      </c>
      <c r="V416" s="144"/>
      <c r="W416" s="144"/>
      <c r="X416" s="144"/>
      <c r="Y416" s="144" t="s">
        <v>1802</v>
      </c>
      <c r="Z416" s="145"/>
      <c r="AA416" s="145"/>
      <c r="AB416" s="144"/>
      <c r="AC416" s="144"/>
      <c r="AD416" s="145">
        <v>132066</v>
      </c>
      <c r="AE416" s="144"/>
      <c r="AF416" s="146"/>
    </row>
    <row r="417" spans="1:40">
      <c r="A417" s="132">
        <f t="shared" si="49"/>
        <v>409</v>
      </c>
      <c r="B417" s="133" t="s">
        <v>1780</v>
      </c>
      <c r="C417" s="133" t="s">
        <v>1925</v>
      </c>
      <c r="D417" s="132" t="s">
        <v>1715</v>
      </c>
      <c r="E417" s="147" t="s">
        <v>1380</v>
      </c>
      <c r="F417" s="135">
        <v>45797</v>
      </c>
      <c r="G417" s="45"/>
      <c r="H417" s="136"/>
      <c r="I417" s="136">
        <v>132099</v>
      </c>
      <c r="J417" s="137" t="s">
        <v>1025</v>
      </c>
      <c r="K417" s="137"/>
      <c r="L417" s="148">
        <f t="shared" si="50"/>
        <v>132099</v>
      </c>
      <c r="M417" s="122">
        <f t="shared" si="51"/>
        <v>0</v>
      </c>
      <c r="N417" s="137"/>
      <c r="O417" s="149" t="b">
        <f t="shared" si="52"/>
        <v>1</v>
      </c>
      <c r="P417" s="149">
        <f t="shared" si="53"/>
        <v>0</v>
      </c>
      <c r="Q417" s="149" t="b">
        <f t="shared" si="54"/>
        <v>1</v>
      </c>
      <c r="R417" s="149">
        <f t="shared" si="55"/>
        <v>0</v>
      </c>
      <c r="S417" s="144"/>
      <c r="T417" s="143">
        <v>45797</v>
      </c>
      <c r="U417" s="144" t="s">
        <v>1380</v>
      </c>
      <c r="V417" s="144"/>
      <c r="W417" s="144"/>
      <c r="X417" s="144"/>
      <c r="Y417" s="144" t="s">
        <v>1802</v>
      </c>
      <c r="Z417" s="145"/>
      <c r="AA417" s="145"/>
      <c r="AB417" s="144"/>
      <c r="AC417" s="144"/>
      <c r="AD417" s="145">
        <v>132099</v>
      </c>
      <c r="AE417" s="144"/>
      <c r="AF417" s="146"/>
    </row>
    <row r="418" spans="1:40">
      <c r="A418" s="132">
        <f t="shared" si="49"/>
        <v>410</v>
      </c>
      <c r="B418" s="133" t="s">
        <v>1780</v>
      </c>
      <c r="C418" s="133" t="s">
        <v>1925</v>
      </c>
      <c r="D418" s="132" t="s">
        <v>1715</v>
      </c>
      <c r="E418" s="147" t="s">
        <v>1381</v>
      </c>
      <c r="F418" s="135">
        <v>45797</v>
      </c>
      <c r="G418" s="45"/>
      <c r="H418" s="136"/>
      <c r="I418" s="136">
        <v>132099</v>
      </c>
      <c r="J418" s="137" t="s">
        <v>1025</v>
      </c>
      <c r="K418" s="137"/>
      <c r="L418" s="148">
        <f t="shared" si="50"/>
        <v>132099</v>
      </c>
      <c r="M418" s="122">
        <f t="shared" si="51"/>
        <v>0</v>
      </c>
      <c r="N418" s="137"/>
      <c r="O418" s="149" t="b">
        <f t="shared" si="52"/>
        <v>1</v>
      </c>
      <c r="P418" s="149">
        <f t="shared" si="53"/>
        <v>0</v>
      </c>
      <c r="Q418" s="149" t="b">
        <f t="shared" si="54"/>
        <v>1</v>
      </c>
      <c r="R418" s="149">
        <f t="shared" si="55"/>
        <v>0</v>
      </c>
      <c r="S418" s="144"/>
      <c r="T418" s="143">
        <v>45797</v>
      </c>
      <c r="U418" s="144" t="s">
        <v>1381</v>
      </c>
      <c r="V418" s="144"/>
      <c r="W418" s="144"/>
      <c r="X418" s="144"/>
      <c r="Y418" s="144" t="s">
        <v>1802</v>
      </c>
      <c r="Z418" s="145"/>
      <c r="AA418" s="145"/>
      <c r="AB418" s="144"/>
      <c r="AC418" s="144"/>
      <c r="AD418" s="145">
        <v>132099</v>
      </c>
      <c r="AE418" s="144"/>
      <c r="AF418" s="146"/>
    </row>
    <row r="419" spans="1:40">
      <c r="A419" s="132">
        <f t="shared" si="49"/>
        <v>411</v>
      </c>
      <c r="B419" s="133" t="s">
        <v>1780</v>
      </c>
      <c r="C419" s="133" t="s">
        <v>1925</v>
      </c>
      <c r="D419" s="132" t="s">
        <v>1715</v>
      </c>
      <c r="E419" s="147" t="s">
        <v>1382</v>
      </c>
      <c r="F419" s="135">
        <v>45797</v>
      </c>
      <c r="G419" s="45"/>
      <c r="H419" s="136"/>
      <c r="I419" s="136">
        <v>122092</v>
      </c>
      <c r="J419" s="137" t="s">
        <v>1025</v>
      </c>
      <c r="K419" s="137"/>
      <c r="L419" s="148">
        <f t="shared" si="50"/>
        <v>122092</v>
      </c>
      <c r="M419" s="122">
        <f t="shared" si="51"/>
        <v>0</v>
      </c>
      <c r="N419" s="137"/>
      <c r="O419" s="149" t="b">
        <f t="shared" si="52"/>
        <v>1</v>
      </c>
      <c r="P419" s="149">
        <f t="shared" si="53"/>
        <v>0</v>
      </c>
      <c r="Q419" s="149" t="b">
        <f t="shared" si="54"/>
        <v>1</v>
      </c>
      <c r="R419" s="149">
        <f t="shared" si="55"/>
        <v>0</v>
      </c>
      <c r="S419" s="144"/>
      <c r="T419" s="143">
        <v>45797</v>
      </c>
      <c r="U419" s="144" t="s">
        <v>1382</v>
      </c>
      <c r="V419" s="144"/>
      <c r="W419" s="144"/>
      <c r="X419" s="144"/>
      <c r="Y419" s="144" t="s">
        <v>1802</v>
      </c>
      <c r="Z419" s="145"/>
      <c r="AA419" s="145"/>
      <c r="AB419" s="144"/>
      <c r="AC419" s="144"/>
      <c r="AD419" s="145">
        <v>122092</v>
      </c>
      <c r="AE419" s="144"/>
      <c r="AF419" s="146"/>
    </row>
    <row r="420" spans="1:40">
      <c r="A420" s="132">
        <f t="shared" si="49"/>
        <v>412</v>
      </c>
      <c r="B420" s="133" t="s">
        <v>1780</v>
      </c>
      <c r="C420" s="133" t="s">
        <v>1925</v>
      </c>
      <c r="D420" s="132" t="s">
        <v>1715</v>
      </c>
      <c r="E420" s="147" t="s">
        <v>1383</v>
      </c>
      <c r="F420" s="135">
        <v>45796</v>
      </c>
      <c r="G420" s="45"/>
      <c r="H420" s="136"/>
      <c r="I420" s="136">
        <v>132066</v>
      </c>
      <c r="J420" s="137" t="s">
        <v>1025</v>
      </c>
      <c r="K420" s="137"/>
      <c r="L420" s="148">
        <f t="shared" si="50"/>
        <v>132066</v>
      </c>
      <c r="M420" s="122">
        <f t="shared" si="51"/>
        <v>0</v>
      </c>
      <c r="N420" s="137"/>
      <c r="O420" s="149" t="b">
        <f t="shared" si="52"/>
        <v>1</v>
      </c>
      <c r="P420" s="149">
        <f t="shared" si="53"/>
        <v>0</v>
      </c>
      <c r="Q420" s="149" t="b">
        <f t="shared" si="54"/>
        <v>1</v>
      </c>
      <c r="R420" s="149">
        <f t="shared" si="55"/>
        <v>0</v>
      </c>
      <c r="S420" s="144"/>
      <c r="T420" s="143">
        <v>45796</v>
      </c>
      <c r="U420" s="144" t="s">
        <v>1383</v>
      </c>
      <c r="V420" s="144"/>
      <c r="W420" s="144"/>
      <c r="X420" s="144"/>
      <c r="Y420" s="144" t="s">
        <v>1802</v>
      </c>
      <c r="Z420" s="145"/>
      <c r="AA420" s="145"/>
      <c r="AB420" s="144"/>
      <c r="AC420" s="144"/>
      <c r="AD420" s="145">
        <v>132066</v>
      </c>
      <c r="AE420" s="144"/>
      <c r="AF420" s="146"/>
    </row>
    <row r="421" spans="1:40">
      <c r="A421" s="132">
        <f t="shared" si="49"/>
        <v>413</v>
      </c>
      <c r="B421" s="133" t="s">
        <v>1780</v>
      </c>
      <c r="C421" s="133" t="s">
        <v>1925</v>
      </c>
      <c r="D421" s="132" t="s">
        <v>1715</v>
      </c>
      <c r="E421" s="147" t="s">
        <v>1384</v>
      </c>
      <c r="F421" s="135">
        <v>45797</v>
      </c>
      <c r="G421" s="45"/>
      <c r="H421" s="136"/>
      <c r="I421" s="136">
        <v>222167</v>
      </c>
      <c r="J421" s="137" t="s">
        <v>1025</v>
      </c>
      <c r="K421" s="137"/>
      <c r="L421" s="148">
        <f t="shared" si="50"/>
        <v>222167</v>
      </c>
      <c r="M421" s="122">
        <f t="shared" si="51"/>
        <v>0</v>
      </c>
      <c r="N421" s="137"/>
      <c r="O421" s="149" t="b">
        <f t="shared" si="52"/>
        <v>1</v>
      </c>
      <c r="P421" s="149">
        <f t="shared" si="53"/>
        <v>0</v>
      </c>
      <c r="Q421" s="149" t="b">
        <f t="shared" si="54"/>
        <v>1</v>
      </c>
      <c r="R421" s="149">
        <f t="shared" si="55"/>
        <v>0</v>
      </c>
      <c r="S421" s="144"/>
      <c r="T421" s="143">
        <v>45797</v>
      </c>
      <c r="U421" s="144" t="s">
        <v>1384</v>
      </c>
      <c r="V421" s="144"/>
      <c r="W421" s="144"/>
      <c r="X421" s="144"/>
      <c r="Y421" s="144" t="s">
        <v>1802</v>
      </c>
      <c r="Z421" s="145"/>
      <c r="AA421" s="145"/>
      <c r="AB421" s="144"/>
      <c r="AC421" s="144"/>
      <c r="AD421" s="145">
        <v>222167</v>
      </c>
      <c r="AE421" s="144"/>
      <c r="AF421" s="146"/>
    </row>
    <row r="422" spans="1:40">
      <c r="A422" s="132">
        <f t="shared" si="49"/>
        <v>414</v>
      </c>
      <c r="B422" s="133" t="s">
        <v>1780</v>
      </c>
      <c r="C422" s="133" t="s">
        <v>1925</v>
      </c>
      <c r="D422" s="132" t="s">
        <v>1715</v>
      </c>
      <c r="E422" s="147" t="s">
        <v>1385</v>
      </c>
      <c r="F422" s="135">
        <v>45796</v>
      </c>
      <c r="G422" s="45"/>
      <c r="H422" s="136"/>
      <c r="I422" s="136">
        <v>132066</v>
      </c>
      <c r="J422" s="137" t="s">
        <v>1025</v>
      </c>
      <c r="K422" s="137"/>
      <c r="L422" s="148">
        <f t="shared" si="50"/>
        <v>132066</v>
      </c>
      <c r="M422" s="122">
        <f t="shared" si="51"/>
        <v>0</v>
      </c>
      <c r="N422" s="137"/>
      <c r="O422" s="149" t="b">
        <f t="shared" si="52"/>
        <v>1</v>
      </c>
      <c r="P422" s="149">
        <f t="shared" si="53"/>
        <v>0</v>
      </c>
      <c r="Q422" s="149" t="b">
        <f t="shared" si="54"/>
        <v>1</v>
      </c>
      <c r="R422" s="149">
        <f t="shared" si="55"/>
        <v>0</v>
      </c>
      <c r="S422" s="144"/>
      <c r="T422" s="143">
        <v>45796</v>
      </c>
      <c r="U422" s="144" t="s">
        <v>1385</v>
      </c>
      <c r="V422" s="144"/>
      <c r="W422" s="144"/>
      <c r="X422" s="144"/>
      <c r="Y422" s="144" t="s">
        <v>1802</v>
      </c>
      <c r="Z422" s="145"/>
      <c r="AA422" s="145"/>
      <c r="AB422" s="144"/>
      <c r="AC422" s="144"/>
      <c r="AD422" s="145">
        <v>132066</v>
      </c>
      <c r="AE422" s="144"/>
      <c r="AF422" s="146"/>
    </row>
    <row r="423" spans="1:40">
      <c r="A423" s="132">
        <f t="shared" si="49"/>
        <v>415</v>
      </c>
      <c r="B423" s="133" t="s">
        <v>1780</v>
      </c>
      <c r="C423" s="133" t="s">
        <v>1925</v>
      </c>
      <c r="D423" s="132" t="s">
        <v>1715</v>
      </c>
      <c r="E423" s="147" t="s">
        <v>1386</v>
      </c>
      <c r="F423" s="135">
        <v>45797</v>
      </c>
      <c r="G423" s="45"/>
      <c r="H423" s="136"/>
      <c r="I423" s="136">
        <v>132099</v>
      </c>
      <c r="J423" s="137" t="s">
        <v>1025</v>
      </c>
      <c r="K423" s="137"/>
      <c r="L423" s="148">
        <f t="shared" si="50"/>
        <v>132099</v>
      </c>
      <c r="M423" s="122">
        <f t="shared" si="51"/>
        <v>0</v>
      </c>
      <c r="N423" s="137"/>
      <c r="O423" s="149" t="b">
        <f t="shared" si="52"/>
        <v>1</v>
      </c>
      <c r="P423" s="149">
        <f t="shared" si="53"/>
        <v>0</v>
      </c>
      <c r="Q423" s="149" t="b">
        <f t="shared" si="54"/>
        <v>1</v>
      </c>
      <c r="R423" s="149">
        <f t="shared" si="55"/>
        <v>0</v>
      </c>
      <c r="S423" s="144"/>
      <c r="T423" s="143">
        <v>45797</v>
      </c>
      <c r="U423" s="144" t="s">
        <v>1386</v>
      </c>
      <c r="V423" s="144"/>
      <c r="W423" s="144"/>
      <c r="X423" s="144"/>
      <c r="Y423" s="144" t="s">
        <v>1802</v>
      </c>
      <c r="Z423" s="145"/>
      <c r="AA423" s="145"/>
      <c r="AB423" s="144"/>
      <c r="AC423" s="144"/>
      <c r="AD423" s="145">
        <v>132099</v>
      </c>
      <c r="AE423" s="144"/>
      <c r="AF423" s="146"/>
    </row>
    <row r="424" spans="1:40">
      <c r="A424" s="132">
        <f t="shared" si="49"/>
        <v>416</v>
      </c>
      <c r="B424" s="133" t="s">
        <v>1780</v>
      </c>
      <c r="C424" s="133" t="s">
        <v>1925</v>
      </c>
      <c r="D424" s="132" t="s">
        <v>1715</v>
      </c>
      <c r="E424" s="147" t="s">
        <v>1387</v>
      </c>
      <c r="F424" s="135">
        <v>45796</v>
      </c>
      <c r="G424" s="45"/>
      <c r="H424" s="136"/>
      <c r="I424" s="136">
        <v>456228</v>
      </c>
      <c r="J424" s="137" t="s">
        <v>1025</v>
      </c>
      <c r="K424" s="137"/>
      <c r="L424" s="148">
        <f t="shared" si="50"/>
        <v>456228</v>
      </c>
      <c r="M424" s="122">
        <f t="shared" si="51"/>
        <v>0</v>
      </c>
      <c r="N424" s="137"/>
      <c r="O424" s="149" t="b">
        <f t="shared" si="52"/>
        <v>1</v>
      </c>
      <c r="P424" s="149">
        <f t="shared" si="53"/>
        <v>0</v>
      </c>
      <c r="Q424" s="149" t="b">
        <f t="shared" si="54"/>
        <v>1</v>
      </c>
      <c r="R424" s="149">
        <f t="shared" si="55"/>
        <v>0</v>
      </c>
      <c r="S424" s="144"/>
      <c r="T424" s="143">
        <v>45796</v>
      </c>
      <c r="U424" s="144" t="s">
        <v>1387</v>
      </c>
      <c r="V424" s="144"/>
      <c r="W424" s="144"/>
      <c r="X424" s="144"/>
      <c r="Y424" s="144" t="s">
        <v>1802</v>
      </c>
      <c r="Z424" s="145"/>
      <c r="AA424" s="145"/>
      <c r="AB424" s="144"/>
      <c r="AC424" s="144"/>
      <c r="AD424" s="145">
        <v>456228</v>
      </c>
      <c r="AE424" s="144"/>
      <c r="AF424" s="146"/>
    </row>
    <row r="425" spans="1:40">
      <c r="A425" s="132">
        <f t="shared" si="49"/>
        <v>417</v>
      </c>
      <c r="B425" s="133" t="s">
        <v>1780</v>
      </c>
      <c r="C425" s="133" t="s">
        <v>1925</v>
      </c>
      <c r="D425" s="132" t="s">
        <v>1715</v>
      </c>
      <c r="E425" s="147" t="s">
        <v>1388</v>
      </c>
      <c r="F425" s="135">
        <v>45796</v>
      </c>
      <c r="G425" s="45"/>
      <c r="H425" s="136"/>
      <c r="I425" s="136">
        <v>164082</v>
      </c>
      <c r="J425" s="137" t="s">
        <v>1025</v>
      </c>
      <c r="K425" s="137"/>
      <c r="L425" s="148">
        <f t="shared" si="50"/>
        <v>164082</v>
      </c>
      <c r="M425" s="122">
        <f t="shared" si="51"/>
        <v>0</v>
      </c>
      <c r="N425" s="137"/>
      <c r="O425" s="149" t="b">
        <f t="shared" si="52"/>
        <v>1</v>
      </c>
      <c r="P425" s="149">
        <f t="shared" si="53"/>
        <v>0</v>
      </c>
      <c r="Q425" s="149" t="b">
        <f t="shared" si="54"/>
        <v>1</v>
      </c>
      <c r="R425" s="149">
        <f t="shared" si="55"/>
        <v>0</v>
      </c>
      <c r="S425" s="144"/>
      <c r="T425" s="143">
        <v>45796</v>
      </c>
      <c r="U425" s="144" t="s">
        <v>1388</v>
      </c>
      <c r="V425" s="144"/>
      <c r="W425" s="144"/>
      <c r="X425" s="144"/>
      <c r="Y425" s="144" t="s">
        <v>1802</v>
      </c>
      <c r="Z425" s="145"/>
      <c r="AA425" s="145"/>
      <c r="AB425" s="144"/>
      <c r="AC425" s="144"/>
      <c r="AD425" s="145">
        <v>164082</v>
      </c>
      <c r="AE425" s="144"/>
      <c r="AF425" s="146"/>
    </row>
    <row r="426" spans="1:40">
      <c r="A426" s="132">
        <f t="shared" si="49"/>
        <v>418</v>
      </c>
      <c r="B426" s="133" t="s">
        <v>1780</v>
      </c>
      <c r="C426" s="133" t="s">
        <v>1925</v>
      </c>
      <c r="D426" s="132" t="s">
        <v>1715</v>
      </c>
      <c r="E426" s="147" t="s">
        <v>1389</v>
      </c>
      <c r="F426" s="135">
        <v>45797</v>
      </c>
      <c r="G426" s="45"/>
      <c r="H426" s="136"/>
      <c r="I426" s="136">
        <v>132099</v>
      </c>
      <c r="J426" s="137" t="s">
        <v>1025</v>
      </c>
      <c r="K426" s="137"/>
      <c r="L426" s="148">
        <f t="shared" si="50"/>
        <v>132099</v>
      </c>
      <c r="M426" s="122">
        <f t="shared" si="51"/>
        <v>0</v>
      </c>
      <c r="N426" s="137"/>
      <c r="O426" s="149" t="b">
        <f t="shared" si="52"/>
        <v>1</v>
      </c>
      <c r="P426" s="149">
        <f t="shared" si="53"/>
        <v>0</v>
      </c>
      <c r="Q426" s="149" t="b">
        <f t="shared" si="54"/>
        <v>1</v>
      </c>
      <c r="R426" s="149">
        <f t="shared" si="55"/>
        <v>0</v>
      </c>
      <c r="S426" s="144"/>
      <c r="T426" s="143">
        <v>45797</v>
      </c>
      <c r="U426" s="144" t="s">
        <v>1389</v>
      </c>
      <c r="V426" s="144"/>
      <c r="W426" s="144"/>
      <c r="X426" s="144"/>
      <c r="Y426" s="144" t="s">
        <v>1802</v>
      </c>
      <c r="Z426" s="145"/>
      <c r="AA426" s="145"/>
      <c r="AB426" s="144"/>
      <c r="AC426" s="144"/>
      <c r="AD426" s="145">
        <v>132099</v>
      </c>
      <c r="AE426" s="144"/>
      <c r="AF426" s="146"/>
    </row>
    <row r="427" spans="1:40">
      <c r="A427" s="132">
        <f t="shared" si="49"/>
        <v>419</v>
      </c>
      <c r="B427" s="133" t="s">
        <v>1780</v>
      </c>
      <c r="C427" s="133" t="s">
        <v>1925</v>
      </c>
      <c r="D427" s="132" t="s">
        <v>1715</v>
      </c>
      <c r="E427" s="147" t="s">
        <v>1390</v>
      </c>
      <c r="F427" s="135">
        <v>45797</v>
      </c>
      <c r="G427" s="45"/>
      <c r="H427" s="136"/>
      <c r="I427" s="136">
        <v>132099</v>
      </c>
      <c r="J427" s="137" t="s">
        <v>1025</v>
      </c>
      <c r="K427" s="137"/>
      <c r="L427" s="148">
        <f t="shared" si="50"/>
        <v>132099</v>
      </c>
      <c r="M427" s="122">
        <f t="shared" si="51"/>
        <v>0</v>
      </c>
      <c r="N427" s="137"/>
      <c r="O427" s="149" t="b">
        <f t="shared" si="52"/>
        <v>1</v>
      </c>
      <c r="P427" s="149">
        <f t="shared" si="53"/>
        <v>0</v>
      </c>
      <c r="Q427" s="149" t="b">
        <f t="shared" si="54"/>
        <v>1</v>
      </c>
      <c r="R427" s="149">
        <f t="shared" si="55"/>
        <v>0</v>
      </c>
      <c r="S427" s="144"/>
      <c r="T427" s="143">
        <v>45797</v>
      </c>
      <c r="U427" s="144" t="s">
        <v>1390</v>
      </c>
      <c r="V427" s="144"/>
      <c r="W427" s="144"/>
      <c r="X427" s="144"/>
      <c r="Y427" s="144" t="s">
        <v>1802</v>
      </c>
      <c r="Z427" s="145"/>
      <c r="AA427" s="145"/>
      <c r="AB427" s="144"/>
      <c r="AC427" s="144"/>
      <c r="AD427" s="145">
        <v>132099</v>
      </c>
      <c r="AE427" s="144"/>
      <c r="AF427" s="146"/>
    </row>
    <row r="428" spans="1:40">
      <c r="A428" s="132">
        <f t="shared" si="49"/>
        <v>420</v>
      </c>
      <c r="B428" s="133" t="s">
        <v>1780</v>
      </c>
      <c r="C428" s="133" t="s">
        <v>1925</v>
      </c>
      <c r="D428" s="132" t="s">
        <v>1715</v>
      </c>
      <c r="E428" s="147" t="s">
        <v>1391</v>
      </c>
      <c r="F428" s="135">
        <v>45796</v>
      </c>
      <c r="G428" s="45"/>
      <c r="H428" s="136"/>
      <c r="I428" s="136">
        <v>240120</v>
      </c>
      <c r="J428" s="137" t="s">
        <v>1025</v>
      </c>
      <c r="K428" s="137"/>
      <c r="L428" s="148">
        <f t="shared" si="50"/>
        <v>240120</v>
      </c>
      <c r="M428" s="122">
        <f t="shared" si="51"/>
        <v>0</v>
      </c>
      <c r="N428" s="137"/>
      <c r="O428" s="149" t="b">
        <f t="shared" si="52"/>
        <v>1</v>
      </c>
      <c r="P428" s="149">
        <f t="shared" si="53"/>
        <v>0</v>
      </c>
      <c r="Q428" s="149" t="b">
        <f t="shared" si="54"/>
        <v>1</v>
      </c>
      <c r="R428" s="149">
        <f t="shared" si="55"/>
        <v>0</v>
      </c>
      <c r="S428" s="144"/>
      <c r="T428" s="143">
        <v>45796</v>
      </c>
      <c r="U428" s="144" t="s">
        <v>1391</v>
      </c>
      <c r="V428" s="144"/>
      <c r="W428" s="144"/>
      <c r="X428" s="144"/>
      <c r="Y428" s="144" t="s">
        <v>1802</v>
      </c>
      <c r="Z428" s="145"/>
      <c r="AA428" s="145"/>
      <c r="AB428" s="144"/>
      <c r="AC428" s="144"/>
      <c r="AD428" s="145">
        <v>240120</v>
      </c>
      <c r="AE428" s="144"/>
      <c r="AF428" s="146"/>
    </row>
    <row r="429" spans="1:40">
      <c r="A429" s="132">
        <f t="shared" si="49"/>
        <v>421</v>
      </c>
      <c r="B429" s="133" t="s">
        <v>1780</v>
      </c>
      <c r="C429" s="133" t="s">
        <v>1925</v>
      </c>
      <c r="D429" s="132" t="s">
        <v>1715</v>
      </c>
      <c r="E429" s="147" t="s">
        <v>1392</v>
      </c>
      <c r="F429" s="135">
        <v>45796</v>
      </c>
      <c r="G429" s="45"/>
      <c r="H429" s="136"/>
      <c r="I429" s="136">
        <v>132066</v>
      </c>
      <c r="J429" s="137" t="s">
        <v>1025</v>
      </c>
      <c r="K429" s="137"/>
      <c r="L429" s="148">
        <f t="shared" si="50"/>
        <v>132066</v>
      </c>
      <c r="M429" s="122">
        <f t="shared" si="51"/>
        <v>0</v>
      </c>
      <c r="N429" s="137"/>
      <c r="O429" s="149" t="b">
        <f t="shared" si="52"/>
        <v>1</v>
      </c>
      <c r="P429" s="149">
        <f t="shared" si="53"/>
        <v>0</v>
      </c>
      <c r="Q429" s="149" t="b">
        <f t="shared" si="54"/>
        <v>1</v>
      </c>
      <c r="R429" s="149">
        <f t="shared" si="55"/>
        <v>0</v>
      </c>
      <c r="S429" s="144"/>
      <c r="T429" s="143">
        <v>45796</v>
      </c>
      <c r="U429" s="144" t="s">
        <v>1392</v>
      </c>
      <c r="V429" s="144"/>
      <c r="W429" s="144"/>
      <c r="X429" s="144"/>
      <c r="Y429" s="144" t="s">
        <v>1802</v>
      </c>
      <c r="Z429" s="145"/>
      <c r="AA429" s="145"/>
      <c r="AB429" s="144"/>
      <c r="AC429" s="144"/>
      <c r="AD429" s="145">
        <v>132066</v>
      </c>
      <c r="AE429" s="144"/>
      <c r="AF429" s="146"/>
    </row>
    <row r="430" spans="1:40">
      <c r="A430" s="132">
        <f t="shared" si="49"/>
        <v>422</v>
      </c>
      <c r="B430" s="133" t="s">
        <v>1780</v>
      </c>
      <c r="C430" s="133" t="s">
        <v>1925</v>
      </c>
      <c r="D430" s="132" t="s">
        <v>1715</v>
      </c>
      <c r="E430" s="147" t="s">
        <v>1393</v>
      </c>
      <c r="F430" s="135">
        <v>45797</v>
      </c>
      <c r="G430" s="45"/>
      <c r="H430" s="136"/>
      <c r="I430" s="136">
        <v>164123</v>
      </c>
      <c r="J430" s="137" t="s">
        <v>1025</v>
      </c>
      <c r="K430" s="137"/>
      <c r="L430" s="148">
        <f t="shared" si="50"/>
        <v>164123</v>
      </c>
      <c r="M430" s="122">
        <f t="shared" si="51"/>
        <v>0</v>
      </c>
      <c r="N430" s="137"/>
      <c r="O430" s="149" t="b">
        <f t="shared" si="52"/>
        <v>1</v>
      </c>
      <c r="P430" s="149">
        <f t="shared" si="53"/>
        <v>0</v>
      </c>
      <c r="Q430" s="149" t="b">
        <f t="shared" si="54"/>
        <v>1</v>
      </c>
      <c r="R430" s="149">
        <f t="shared" si="55"/>
        <v>0</v>
      </c>
      <c r="S430" s="144"/>
      <c r="T430" s="143">
        <v>45797</v>
      </c>
      <c r="U430" s="144" t="s">
        <v>1393</v>
      </c>
      <c r="V430" s="144"/>
      <c r="W430" s="144"/>
      <c r="X430" s="144"/>
      <c r="Y430" s="144" t="s">
        <v>1802</v>
      </c>
      <c r="Z430" s="145"/>
      <c r="AA430" s="145"/>
      <c r="AB430" s="144"/>
      <c r="AC430" s="144"/>
      <c r="AD430" s="145">
        <v>164123</v>
      </c>
      <c r="AE430" s="144"/>
      <c r="AF430" s="146"/>
    </row>
    <row r="431" spans="1:40">
      <c r="A431" s="132">
        <f t="shared" si="49"/>
        <v>423</v>
      </c>
      <c r="B431" s="133" t="s">
        <v>1782</v>
      </c>
      <c r="C431" s="133" t="s">
        <v>1927</v>
      </c>
      <c r="D431" s="132" t="s">
        <v>1716</v>
      </c>
      <c r="E431" s="147">
        <v>59019388</v>
      </c>
      <c r="F431" s="135">
        <v>45638</v>
      </c>
      <c r="G431" s="45"/>
      <c r="H431" s="136"/>
      <c r="I431" s="136">
        <v>473888</v>
      </c>
      <c r="J431" s="137" t="s">
        <v>1025</v>
      </c>
      <c r="K431" s="137"/>
      <c r="L431" s="148">
        <f>I431</f>
        <v>473888</v>
      </c>
      <c r="M431" s="122">
        <f t="shared" si="51"/>
        <v>0</v>
      </c>
      <c r="N431" s="137"/>
      <c r="O431" s="149" t="b">
        <f t="shared" si="52"/>
        <v>1</v>
      </c>
      <c r="P431" s="149">
        <f t="shared" si="53"/>
        <v>0</v>
      </c>
      <c r="Q431" s="149" t="b">
        <f t="shared" si="54"/>
        <v>0</v>
      </c>
      <c r="R431" s="149">
        <f t="shared" si="55"/>
        <v>0</v>
      </c>
      <c r="S431" s="144"/>
      <c r="T431" s="143">
        <v>45638</v>
      </c>
      <c r="U431" s="144">
        <v>59019388</v>
      </c>
      <c r="V431" s="144"/>
      <c r="W431" s="144" t="s">
        <v>1071</v>
      </c>
      <c r="X431" s="144" t="s">
        <v>1801</v>
      </c>
      <c r="Y431" s="144" t="s">
        <v>1802</v>
      </c>
      <c r="Z431" s="145">
        <v>5212768</v>
      </c>
      <c r="AA431" s="145">
        <v>4738880</v>
      </c>
      <c r="AB431" s="144">
        <v>0</v>
      </c>
      <c r="AC431" s="144" t="s">
        <v>1022</v>
      </c>
      <c r="AD431" s="145">
        <v>473888</v>
      </c>
      <c r="AE431" s="144">
        <v>0</v>
      </c>
      <c r="AF431" s="146">
        <v>0</v>
      </c>
      <c r="AG431" s="70">
        <v>0</v>
      </c>
      <c r="AH431" s="70">
        <v>0</v>
      </c>
      <c r="AI431" s="70">
        <v>0</v>
      </c>
      <c r="AJ431" s="70">
        <v>0</v>
      </c>
      <c r="AK431" s="70">
        <v>0</v>
      </c>
      <c r="AL431" s="70">
        <v>0.01</v>
      </c>
      <c r="AN431" s="70" t="s">
        <v>1876</v>
      </c>
    </row>
    <row r="432" spans="1:40">
      <c r="A432" s="132">
        <f t="shared" si="49"/>
        <v>424</v>
      </c>
      <c r="B432" s="133" t="s">
        <v>1780</v>
      </c>
      <c r="C432" s="133" t="s">
        <v>1925</v>
      </c>
      <c r="D432" s="132" t="s">
        <v>1715</v>
      </c>
      <c r="E432" s="147" t="s">
        <v>1394</v>
      </c>
      <c r="F432" s="135">
        <v>45796</v>
      </c>
      <c r="G432" s="45"/>
      <c r="H432" s="136"/>
      <c r="I432" s="136">
        <v>240120</v>
      </c>
      <c r="J432" s="137" t="s">
        <v>1025</v>
      </c>
      <c r="K432" s="137"/>
      <c r="L432" s="148">
        <f t="shared" ref="L432:L437" si="56">I432</f>
        <v>240120</v>
      </c>
      <c r="M432" s="122">
        <f t="shared" si="51"/>
        <v>0</v>
      </c>
      <c r="N432" s="137"/>
      <c r="O432" s="149" t="b">
        <f t="shared" si="52"/>
        <v>1</v>
      </c>
      <c r="P432" s="149">
        <f t="shared" si="53"/>
        <v>0</v>
      </c>
      <c r="Q432" s="149" t="b">
        <f t="shared" si="54"/>
        <v>1</v>
      </c>
      <c r="R432" s="149">
        <f t="shared" si="55"/>
        <v>0</v>
      </c>
      <c r="S432" s="144"/>
      <c r="T432" s="143">
        <v>45796</v>
      </c>
      <c r="U432" s="144" t="s">
        <v>1394</v>
      </c>
      <c r="V432" s="144"/>
      <c r="W432" s="144"/>
      <c r="X432" s="144"/>
      <c r="Y432" s="144" t="s">
        <v>1802</v>
      </c>
      <c r="Z432" s="145"/>
      <c r="AA432" s="145"/>
      <c r="AB432" s="144"/>
      <c r="AC432" s="144"/>
      <c r="AD432" s="145">
        <v>240120</v>
      </c>
      <c r="AE432" s="144"/>
      <c r="AF432" s="146"/>
    </row>
    <row r="433" spans="1:40">
      <c r="A433" s="132">
        <f t="shared" si="49"/>
        <v>425</v>
      </c>
      <c r="B433" s="133" t="s">
        <v>1780</v>
      </c>
      <c r="C433" s="133" t="s">
        <v>1925</v>
      </c>
      <c r="D433" s="132" t="s">
        <v>1715</v>
      </c>
      <c r="E433" s="147" t="s">
        <v>1395</v>
      </c>
      <c r="F433" s="135">
        <v>45796</v>
      </c>
      <c r="G433" s="45"/>
      <c r="H433" s="136"/>
      <c r="I433" s="136">
        <v>240120</v>
      </c>
      <c r="J433" s="137" t="s">
        <v>1025</v>
      </c>
      <c r="K433" s="137"/>
      <c r="L433" s="148">
        <f t="shared" si="56"/>
        <v>240120</v>
      </c>
      <c r="M433" s="122">
        <f t="shared" si="51"/>
        <v>0</v>
      </c>
      <c r="N433" s="137"/>
      <c r="O433" s="149" t="b">
        <f t="shared" si="52"/>
        <v>1</v>
      </c>
      <c r="P433" s="149">
        <f t="shared" si="53"/>
        <v>0</v>
      </c>
      <c r="Q433" s="149" t="b">
        <f t="shared" si="54"/>
        <v>1</v>
      </c>
      <c r="R433" s="149">
        <f t="shared" si="55"/>
        <v>0</v>
      </c>
      <c r="S433" s="144"/>
      <c r="T433" s="143">
        <v>45796</v>
      </c>
      <c r="U433" s="144" t="s">
        <v>1395</v>
      </c>
      <c r="V433" s="144"/>
      <c r="W433" s="144"/>
      <c r="X433" s="144"/>
      <c r="Y433" s="144" t="s">
        <v>1802</v>
      </c>
      <c r="Z433" s="145"/>
      <c r="AA433" s="145"/>
      <c r="AB433" s="144"/>
      <c r="AC433" s="144"/>
      <c r="AD433" s="145">
        <v>240120</v>
      </c>
      <c r="AE433" s="144"/>
      <c r="AF433" s="146"/>
    </row>
    <row r="434" spans="1:40">
      <c r="A434" s="132">
        <f t="shared" si="49"/>
        <v>426</v>
      </c>
      <c r="B434" s="133" t="s">
        <v>1780</v>
      </c>
      <c r="C434" s="133" t="s">
        <v>1925</v>
      </c>
      <c r="D434" s="132" t="s">
        <v>1715</v>
      </c>
      <c r="E434" s="147" t="s">
        <v>1396</v>
      </c>
      <c r="F434" s="135">
        <v>45796</v>
      </c>
      <c r="G434" s="45"/>
      <c r="H434" s="136"/>
      <c r="I434" s="136">
        <v>132066</v>
      </c>
      <c r="J434" s="137" t="s">
        <v>1025</v>
      </c>
      <c r="K434" s="137"/>
      <c r="L434" s="148">
        <f t="shared" si="56"/>
        <v>132066</v>
      </c>
      <c r="M434" s="122">
        <f t="shared" si="51"/>
        <v>0</v>
      </c>
      <c r="N434" s="137"/>
      <c r="O434" s="149" t="b">
        <f t="shared" si="52"/>
        <v>1</v>
      </c>
      <c r="P434" s="149">
        <f t="shared" si="53"/>
        <v>0</v>
      </c>
      <c r="Q434" s="149" t="b">
        <f t="shared" si="54"/>
        <v>1</v>
      </c>
      <c r="R434" s="149">
        <f t="shared" si="55"/>
        <v>0</v>
      </c>
      <c r="S434" s="144"/>
      <c r="T434" s="143">
        <v>45796</v>
      </c>
      <c r="U434" s="144" t="s">
        <v>1396</v>
      </c>
      <c r="V434" s="144"/>
      <c r="W434" s="144"/>
      <c r="X434" s="144"/>
      <c r="Y434" s="144" t="s">
        <v>1802</v>
      </c>
      <c r="Z434" s="145"/>
      <c r="AA434" s="145"/>
      <c r="AB434" s="144"/>
      <c r="AC434" s="144"/>
      <c r="AD434" s="145">
        <v>132066</v>
      </c>
      <c r="AE434" s="144"/>
      <c r="AF434" s="146"/>
    </row>
    <row r="435" spans="1:40" ht="23.4" thickBot="1">
      <c r="A435" s="132">
        <f t="shared" si="49"/>
        <v>427</v>
      </c>
      <c r="B435" s="133" t="s">
        <v>1780</v>
      </c>
      <c r="C435" s="133" t="s">
        <v>1925</v>
      </c>
      <c r="D435" s="132" t="s">
        <v>1715</v>
      </c>
      <c r="E435" s="147" t="s">
        <v>1397</v>
      </c>
      <c r="F435" s="135">
        <v>45798</v>
      </c>
      <c r="G435" s="45"/>
      <c r="H435" s="136"/>
      <c r="I435" s="136">
        <v>888666</v>
      </c>
      <c r="J435" s="137" t="s">
        <v>1025</v>
      </c>
      <c r="K435" s="137"/>
      <c r="L435" s="148">
        <f t="shared" si="56"/>
        <v>888666</v>
      </c>
      <c r="M435" s="122">
        <f t="shared" si="51"/>
        <v>0</v>
      </c>
      <c r="N435" s="137"/>
      <c r="O435" s="149" t="b">
        <f t="shared" si="52"/>
        <v>1</v>
      </c>
      <c r="P435" s="149">
        <f t="shared" si="53"/>
        <v>0</v>
      </c>
      <c r="Q435" s="149" t="b">
        <f t="shared" si="54"/>
        <v>1</v>
      </c>
      <c r="R435" s="149">
        <f t="shared" si="55"/>
        <v>0</v>
      </c>
      <c r="S435" s="144"/>
      <c r="T435" s="143">
        <v>45798</v>
      </c>
      <c r="U435" s="144" t="s">
        <v>1397</v>
      </c>
      <c r="V435" s="144"/>
      <c r="W435" s="144"/>
      <c r="X435" s="144"/>
      <c r="Y435" s="144" t="s">
        <v>1802</v>
      </c>
      <c r="Z435" s="145"/>
      <c r="AA435" s="145"/>
      <c r="AB435" s="144"/>
      <c r="AC435" s="144"/>
      <c r="AD435" s="145">
        <v>888666</v>
      </c>
      <c r="AE435" s="144"/>
      <c r="AF435" s="146"/>
    </row>
    <row r="436" spans="1:40" ht="23.4" thickBot="1">
      <c r="A436" s="132">
        <f t="shared" si="49"/>
        <v>428</v>
      </c>
      <c r="B436" s="133" t="s">
        <v>1780</v>
      </c>
      <c r="C436" s="133" t="s">
        <v>1925</v>
      </c>
      <c r="D436" s="132" t="s">
        <v>1715</v>
      </c>
      <c r="E436" s="147" t="s">
        <v>1398</v>
      </c>
      <c r="F436" s="135">
        <v>45798</v>
      </c>
      <c r="G436" s="45"/>
      <c r="H436" s="136"/>
      <c r="I436" s="136">
        <v>240180</v>
      </c>
      <c r="J436" s="137" t="s">
        <v>1025</v>
      </c>
      <c r="K436" s="137"/>
      <c r="L436" s="148">
        <f t="shared" si="56"/>
        <v>240180</v>
      </c>
      <c r="M436" s="122">
        <f t="shared" si="51"/>
        <v>0</v>
      </c>
      <c r="N436" s="137"/>
      <c r="O436" s="149" t="b">
        <f t="shared" si="52"/>
        <v>1</v>
      </c>
      <c r="P436" s="149">
        <f t="shared" si="53"/>
        <v>0</v>
      </c>
      <c r="Q436" s="149" t="b">
        <f t="shared" si="54"/>
        <v>1</v>
      </c>
      <c r="R436" s="149">
        <f t="shared" si="55"/>
        <v>0</v>
      </c>
      <c r="S436" s="144"/>
      <c r="T436" s="151">
        <v>45798</v>
      </c>
      <c r="U436" s="152" t="s">
        <v>1398</v>
      </c>
      <c r="V436" s="152"/>
      <c r="W436" s="152"/>
      <c r="X436" s="153"/>
      <c r="Y436" s="154" t="s">
        <v>1802</v>
      </c>
      <c r="Z436" s="155"/>
      <c r="AA436" s="155"/>
      <c r="AB436" s="155"/>
      <c r="AC436" s="156"/>
      <c r="AD436" s="155">
        <v>240180</v>
      </c>
      <c r="AE436" s="155"/>
      <c r="AF436" s="155"/>
      <c r="AG436" s="155"/>
      <c r="AH436" s="155"/>
      <c r="AI436" s="155"/>
      <c r="AJ436" s="155"/>
      <c r="AK436" s="155"/>
      <c r="AL436" s="157"/>
      <c r="AM436" s="156"/>
      <c r="AN436" s="154"/>
    </row>
    <row r="437" spans="1:40" ht="23.4" thickBot="1">
      <c r="A437" s="132">
        <f t="shared" si="49"/>
        <v>429</v>
      </c>
      <c r="B437" s="133" t="s">
        <v>1780</v>
      </c>
      <c r="C437" s="133" t="s">
        <v>1925</v>
      </c>
      <c r="D437" s="132" t="s">
        <v>1715</v>
      </c>
      <c r="E437" s="147" t="s">
        <v>1399</v>
      </c>
      <c r="F437" s="135">
        <v>45798</v>
      </c>
      <c r="G437" s="45"/>
      <c r="H437" s="136"/>
      <c r="I437" s="136">
        <v>132099</v>
      </c>
      <c r="J437" s="137" t="s">
        <v>1025</v>
      </c>
      <c r="K437" s="137"/>
      <c r="L437" s="148">
        <f t="shared" si="56"/>
        <v>132099</v>
      </c>
      <c r="M437" s="122">
        <f t="shared" si="51"/>
        <v>0</v>
      </c>
      <c r="N437" s="137"/>
      <c r="O437" s="149" t="b">
        <f t="shared" si="52"/>
        <v>1</v>
      </c>
      <c r="P437" s="149">
        <f t="shared" si="53"/>
        <v>0</v>
      </c>
      <c r="Q437" s="149" t="b">
        <f t="shared" si="54"/>
        <v>1</v>
      </c>
      <c r="R437" s="149">
        <f t="shared" si="55"/>
        <v>0</v>
      </c>
      <c r="S437" s="144"/>
      <c r="T437" s="151">
        <v>45798</v>
      </c>
      <c r="U437" s="152" t="s">
        <v>1399</v>
      </c>
      <c r="V437" s="152"/>
      <c r="W437" s="152"/>
      <c r="X437" s="153"/>
      <c r="Y437" s="154" t="s">
        <v>1802</v>
      </c>
      <c r="Z437" s="155"/>
      <c r="AA437" s="155"/>
      <c r="AB437" s="155"/>
      <c r="AC437" s="156"/>
      <c r="AD437" s="155">
        <v>132099</v>
      </c>
      <c r="AE437" s="155"/>
      <c r="AF437" s="155"/>
      <c r="AG437" s="155"/>
      <c r="AH437" s="155"/>
      <c r="AI437" s="155"/>
      <c r="AJ437" s="155"/>
      <c r="AK437" s="155"/>
      <c r="AL437" s="157"/>
      <c r="AM437" s="156"/>
      <c r="AN437" s="154"/>
    </row>
    <row r="438" spans="1:40">
      <c r="A438" s="132">
        <f t="shared" si="49"/>
        <v>430</v>
      </c>
      <c r="B438" s="133" t="s">
        <v>1780</v>
      </c>
      <c r="C438" s="133" t="s">
        <v>1925</v>
      </c>
      <c r="D438" s="132" t="s">
        <v>1715</v>
      </c>
      <c r="E438" s="147" t="s">
        <v>1400</v>
      </c>
      <c r="F438" s="135">
        <v>45798</v>
      </c>
      <c r="G438" s="45"/>
      <c r="H438" s="136"/>
      <c r="I438" s="136">
        <v>240180</v>
      </c>
      <c r="J438" s="137" t="s">
        <v>1025</v>
      </c>
      <c r="K438" s="137"/>
      <c r="L438" s="148">
        <f>I438</f>
        <v>240180</v>
      </c>
      <c r="M438" s="122">
        <f t="shared" si="51"/>
        <v>0</v>
      </c>
      <c r="N438" s="137"/>
      <c r="O438" s="149" t="b">
        <f t="shared" si="52"/>
        <v>1</v>
      </c>
      <c r="P438" s="149">
        <f t="shared" si="53"/>
        <v>0</v>
      </c>
      <c r="Q438" s="149" t="b">
        <f t="shared" si="54"/>
        <v>1</v>
      </c>
      <c r="R438" s="149">
        <f t="shared" si="55"/>
        <v>0</v>
      </c>
      <c r="S438" s="144"/>
      <c r="T438" s="143">
        <v>45798</v>
      </c>
      <c r="U438" s="144" t="s">
        <v>1400</v>
      </c>
      <c r="V438" s="144"/>
      <c r="W438" s="144"/>
      <c r="X438" s="144"/>
      <c r="Y438" s="144" t="s">
        <v>1802</v>
      </c>
      <c r="Z438" s="145"/>
      <c r="AA438" s="145"/>
      <c r="AB438" s="144"/>
      <c r="AC438" s="144"/>
      <c r="AD438" s="145">
        <v>240180</v>
      </c>
      <c r="AE438" s="144"/>
      <c r="AF438" s="146"/>
    </row>
    <row r="439" spans="1:40">
      <c r="A439" s="132">
        <f t="shared" si="49"/>
        <v>431</v>
      </c>
      <c r="B439" s="133" t="s">
        <v>1780</v>
      </c>
      <c r="C439" s="133" t="s">
        <v>1925</v>
      </c>
      <c r="D439" s="132" t="s">
        <v>1715</v>
      </c>
      <c r="E439" s="147" t="s">
        <v>1401</v>
      </c>
      <c r="F439" s="135">
        <v>45798</v>
      </c>
      <c r="G439" s="45"/>
      <c r="H439" s="136"/>
      <c r="I439" s="136">
        <v>240180</v>
      </c>
      <c r="J439" s="137" t="s">
        <v>1025</v>
      </c>
      <c r="K439" s="137"/>
      <c r="L439" s="148">
        <f t="shared" ref="L439:L457" si="57">I439</f>
        <v>240180</v>
      </c>
      <c r="M439" s="122">
        <f t="shared" si="51"/>
        <v>0</v>
      </c>
      <c r="N439" s="137"/>
      <c r="O439" s="149" t="b">
        <f t="shared" si="52"/>
        <v>1</v>
      </c>
      <c r="P439" s="149">
        <f t="shared" si="53"/>
        <v>0</v>
      </c>
      <c r="Q439" s="149" t="b">
        <f t="shared" si="54"/>
        <v>1</v>
      </c>
      <c r="R439" s="149">
        <f t="shared" si="55"/>
        <v>0</v>
      </c>
      <c r="S439" s="144"/>
      <c r="T439" s="143">
        <v>45798</v>
      </c>
      <c r="U439" s="144" t="s">
        <v>1401</v>
      </c>
      <c r="V439" s="144"/>
      <c r="W439" s="144"/>
      <c r="X439" s="144"/>
      <c r="Y439" s="144" t="s">
        <v>1802</v>
      </c>
      <c r="Z439" s="145"/>
      <c r="AA439" s="145"/>
      <c r="AB439" s="144"/>
      <c r="AC439" s="144"/>
      <c r="AD439" s="145">
        <v>240180</v>
      </c>
      <c r="AE439" s="144"/>
      <c r="AF439" s="146"/>
    </row>
    <row r="440" spans="1:40">
      <c r="A440" s="132">
        <f t="shared" si="49"/>
        <v>432</v>
      </c>
      <c r="B440" s="133" t="s">
        <v>1780</v>
      </c>
      <c r="C440" s="133" t="s">
        <v>1925</v>
      </c>
      <c r="D440" s="132" t="s">
        <v>1715</v>
      </c>
      <c r="E440" s="147" t="s">
        <v>1402</v>
      </c>
      <c r="F440" s="135">
        <v>45798</v>
      </c>
      <c r="G440" s="45"/>
      <c r="H440" s="136"/>
      <c r="I440" s="136">
        <v>996747</v>
      </c>
      <c r="J440" s="137" t="s">
        <v>1025</v>
      </c>
      <c r="K440" s="137"/>
      <c r="L440" s="148">
        <f t="shared" si="57"/>
        <v>996747</v>
      </c>
      <c r="M440" s="122">
        <f t="shared" si="51"/>
        <v>0</v>
      </c>
      <c r="N440" s="137"/>
      <c r="O440" s="149" t="b">
        <f t="shared" si="52"/>
        <v>1</v>
      </c>
      <c r="P440" s="149">
        <f t="shared" si="53"/>
        <v>0</v>
      </c>
      <c r="Q440" s="149" t="b">
        <f t="shared" si="54"/>
        <v>1</v>
      </c>
      <c r="R440" s="149">
        <f t="shared" si="55"/>
        <v>0</v>
      </c>
      <c r="S440" s="144"/>
      <c r="T440" s="143">
        <v>45798</v>
      </c>
      <c r="U440" s="144" t="s">
        <v>1402</v>
      </c>
      <c r="V440" s="144"/>
      <c r="W440" s="144"/>
      <c r="X440" s="144"/>
      <c r="Y440" s="144" t="s">
        <v>1802</v>
      </c>
      <c r="Z440" s="145"/>
      <c r="AA440" s="145"/>
      <c r="AB440" s="144"/>
      <c r="AC440" s="144"/>
      <c r="AD440" s="145">
        <v>996747</v>
      </c>
      <c r="AE440" s="144"/>
      <c r="AF440" s="146"/>
    </row>
    <row r="441" spans="1:40">
      <c r="A441" s="132">
        <f t="shared" si="49"/>
        <v>433</v>
      </c>
      <c r="B441" s="133" t="s">
        <v>1780</v>
      </c>
      <c r="C441" s="133" t="s">
        <v>1925</v>
      </c>
      <c r="D441" s="132" t="s">
        <v>1715</v>
      </c>
      <c r="E441" s="147" t="s">
        <v>1403</v>
      </c>
      <c r="F441" s="135">
        <v>45798</v>
      </c>
      <c r="G441" s="45"/>
      <c r="H441" s="136"/>
      <c r="I441" s="136">
        <v>996747</v>
      </c>
      <c r="J441" s="137" t="s">
        <v>1025</v>
      </c>
      <c r="K441" s="137"/>
      <c r="L441" s="148">
        <f t="shared" si="57"/>
        <v>996747</v>
      </c>
      <c r="M441" s="122">
        <f t="shared" si="51"/>
        <v>0</v>
      </c>
      <c r="N441" s="137"/>
      <c r="O441" s="149" t="b">
        <f t="shared" si="52"/>
        <v>1</v>
      </c>
      <c r="P441" s="149">
        <f t="shared" si="53"/>
        <v>0</v>
      </c>
      <c r="Q441" s="149" t="b">
        <f t="shared" si="54"/>
        <v>1</v>
      </c>
      <c r="R441" s="149">
        <f t="shared" si="55"/>
        <v>0</v>
      </c>
      <c r="S441" s="144"/>
      <c r="T441" s="143">
        <v>45798</v>
      </c>
      <c r="U441" s="144" t="s">
        <v>1403</v>
      </c>
      <c r="V441" s="144"/>
      <c r="W441" s="144"/>
      <c r="X441" s="144"/>
      <c r="Y441" s="144" t="s">
        <v>1802</v>
      </c>
      <c r="Z441" s="145"/>
      <c r="AA441" s="145"/>
      <c r="AB441" s="144"/>
      <c r="AC441" s="144"/>
      <c r="AD441" s="145">
        <v>996747</v>
      </c>
      <c r="AE441" s="144"/>
      <c r="AF441" s="146"/>
    </row>
    <row r="442" spans="1:40">
      <c r="A442" s="132">
        <f t="shared" si="49"/>
        <v>434</v>
      </c>
      <c r="B442" s="133" t="s">
        <v>1780</v>
      </c>
      <c r="C442" s="133" t="s">
        <v>1925</v>
      </c>
      <c r="D442" s="132" t="s">
        <v>1715</v>
      </c>
      <c r="E442" s="147" t="s">
        <v>1404</v>
      </c>
      <c r="F442" s="135">
        <v>45798</v>
      </c>
      <c r="G442" s="45"/>
      <c r="H442" s="136"/>
      <c r="I442" s="136">
        <v>240180</v>
      </c>
      <c r="J442" s="137" t="s">
        <v>1025</v>
      </c>
      <c r="K442" s="137"/>
      <c r="L442" s="148">
        <f t="shared" si="57"/>
        <v>240180</v>
      </c>
      <c r="M442" s="122">
        <f t="shared" si="51"/>
        <v>0</v>
      </c>
      <c r="N442" s="137"/>
      <c r="O442" s="149" t="b">
        <f t="shared" si="52"/>
        <v>1</v>
      </c>
      <c r="P442" s="149">
        <f t="shared" si="53"/>
        <v>0</v>
      </c>
      <c r="Q442" s="149" t="b">
        <f t="shared" si="54"/>
        <v>1</v>
      </c>
      <c r="R442" s="149">
        <f t="shared" si="55"/>
        <v>0</v>
      </c>
      <c r="S442" s="144"/>
      <c r="T442" s="143">
        <v>45798</v>
      </c>
      <c r="U442" s="144" t="s">
        <v>1404</v>
      </c>
      <c r="V442" s="144"/>
      <c r="W442" s="144"/>
      <c r="X442" s="144"/>
      <c r="Y442" s="144" t="s">
        <v>1802</v>
      </c>
      <c r="Z442" s="145"/>
      <c r="AA442" s="145"/>
      <c r="AB442" s="144"/>
      <c r="AC442" s="144"/>
      <c r="AD442" s="145">
        <v>240180</v>
      </c>
      <c r="AE442" s="144"/>
      <c r="AF442" s="146"/>
    </row>
    <row r="443" spans="1:40">
      <c r="A443" s="132">
        <f t="shared" si="49"/>
        <v>435</v>
      </c>
      <c r="B443" s="133" t="s">
        <v>1780</v>
      </c>
      <c r="C443" s="133" t="s">
        <v>1925</v>
      </c>
      <c r="D443" s="132" t="s">
        <v>1715</v>
      </c>
      <c r="E443" s="147" t="s">
        <v>1405</v>
      </c>
      <c r="F443" s="135">
        <v>45798</v>
      </c>
      <c r="G443" s="45"/>
      <c r="H443" s="136"/>
      <c r="I443" s="136">
        <v>672504</v>
      </c>
      <c r="J443" s="137" t="s">
        <v>1025</v>
      </c>
      <c r="K443" s="137"/>
      <c r="L443" s="148">
        <f t="shared" si="57"/>
        <v>672504</v>
      </c>
      <c r="M443" s="122">
        <f t="shared" si="51"/>
        <v>0</v>
      </c>
      <c r="N443" s="137"/>
      <c r="O443" s="149" t="b">
        <f t="shared" si="52"/>
        <v>1</v>
      </c>
      <c r="P443" s="149">
        <f t="shared" si="53"/>
        <v>0</v>
      </c>
      <c r="Q443" s="149" t="b">
        <f t="shared" si="54"/>
        <v>1</v>
      </c>
      <c r="R443" s="149">
        <f t="shared" si="55"/>
        <v>0</v>
      </c>
      <c r="S443" s="144"/>
      <c r="T443" s="143">
        <v>45798</v>
      </c>
      <c r="U443" s="144" t="s">
        <v>1405</v>
      </c>
      <c r="V443" s="144"/>
      <c r="W443" s="144"/>
      <c r="X443" s="144"/>
      <c r="Y443" s="144" t="s">
        <v>1802</v>
      </c>
      <c r="Z443" s="145"/>
      <c r="AA443" s="145"/>
      <c r="AB443" s="144"/>
      <c r="AC443" s="144"/>
      <c r="AD443" s="145">
        <v>672504</v>
      </c>
      <c r="AE443" s="144"/>
      <c r="AF443" s="146"/>
    </row>
    <row r="444" spans="1:40">
      <c r="A444" s="132">
        <f t="shared" si="49"/>
        <v>436</v>
      </c>
      <c r="B444" s="133" t="s">
        <v>1780</v>
      </c>
      <c r="C444" s="133" t="s">
        <v>1925</v>
      </c>
      <c r="D444" s="132" t="s">
        <v>1715</v>
      </c>
      <c r="E444" s="147" t="s">
        <v>1406</v>
      </c>
      <c r="F444" s="135">
        <v>45798</v>
      </c>
      <c r="G444" s="45"/>
      <c r="H444" s="136"/>
      <c r="I444" s="136">
        <v>722542</v>
      </c>
      <c r="J444" s="137" t="s">
        <v>1025</v>
      </c>
      <c r="K444" s="137"/>
      <c r="L444" s="148">
        <f t="shared" si="57"/>
        <v>722542</v>
      </c>
      <c r="M444" s="122">
        <f t="shared" si="51"/>
        <v>0</v>
      </c>
      <c r="N444" s="137"/>
      <c r="O444" s="149" t="b">
        <f t="shared" si="52"/>
        <v>1</v>
      </c>
      <c r="P444" s="149">
        <f t="shared" si="53"/>
        <v>0</v>
      </c>
      <c r="Q444" s="149" t="b">
        <f t="shared" si="54"/>
        <v>1</v>
      </c>
      <c r="R444" s="149">
        <f t="shared" si="55"/>
        <v>0</v>
      </c>
      <c r="S444" s="144"/>
      <c r="T444" s="143">
        <v>45798</v>
      </c>
      <c r="U444" s="144" t="s">
        <v>1406</v>
      </c>
      <c r="V444" s="144"/>
      <c r="W444" s="144"/>
      <c r="X444" s="144"/>
      <c r="Y444" s="144" t="s">
        <v>1802</v>
      </c>
      <c r="Z444" s="145"/>
      <c r="AA444" s="145"/>
      <c r="AB444" s="144"/>
      <c r="AC444" s="144"/>
      <c r="AD444" s="145">
        <v>722542</v>
      </c>
      <c r="AE444" s="144"/>
      <c r="AF444" s="146"/>
    </row>
    <row r="445" spans="1:40">
      <c r="A445" s="132">
        <f t="shared" si="49"/>
        <v>437</v>
      </c>
      <c r="B445" s="133" t="s">
        <v>1780</v>
      </c>
      <c r="C445" s="133" t="s">
        <v>1925</v>
      </c>
      <c r="D445" s="132" t="s">
        <v>1715</v>
      </c>
      <c r="E445" s="147" t="s">
        <v>1407</v>
      </c>
      <c r="F445" s="135">
        <v>45797</v>
      </c>
      <c r="G445" s="45"/>
      <c r="H445" s="136"/>
      <c r="I445" s="136">
        <v>284213</v>
      </c>
      <c r="J445" s="137" t="s">
        <v>1025</v>
      </c>
      <c r="K445" s="137"/>
      <c r="L445" s="148">
        <f t="shared" si="57"/>
        <v>284213</v>
      </c>
      <c r="M445" s="122">
        <f t="shared" si="51"/>
        <v>0</v>
      </c>
      <c r="N445" s="137"/>
      <c r="O445" s="149" t="b">
        <f t="shared" si="52"/>
        <v>1</v>
      </c>
      <c r="P445" s="149">
        <f t="shared" si="53"/>
        <v>0</v>
      </c>
      <c r="Q445" s="149" t="b">
        <f t="shared" si="54"/>
        <v>1</v>
      </c>
      <c r="R445" s="149">
        <f t="shared" si="55"/>
        <v>0</v>
      </c>
      <c r="S445" s="144" t="s">
        <v>1046</v>
      </c>
      <c r="T445" s="143">
        <v>45797</v>
      </c>
      <c r="U445" s="144" t="s">
        <v>1407</v>
      </c>
      <c r="V445" s="144"/>
      <c r="W445" s="144"/>
      <c r="X445" s="144"/>
      <c r="Y445" s="144" t="s">
        <v>1802</v>
      </c>
      <c r="Z445" s="145"/>
      <c r="AA445" s="145"/>
      <c r="AB445" s="144"/>
      <c r="AC445" s="144"/>
      <c r="AD445" s="145">
        <v>284213</v>
      </c>
      <c r="AE445" s="144"/>
      <c r="AF445" s="146"/>
    </row>
    <row r="446" spans="1:40">
      <c r="A446" s="132">
        <f t="shared" si="49"/>
        <v>438</v>
      </c>
      <c r="B446" s="133" t="s">
        <v>1780</v>
      </c>
      <c r="C446" s="133" t="s">
        <v>1925</v>
      </c>
      <c r="D446" s="132" t="s">
        <v>1715</v>
      </c>
      <c r="E446" s="147" t="s">
        <v>1408</v>
      </c>
      <c r="F446" s="135">
        <v>45798</v>
      </c>
      <c r="G446" s="45"/>
      <c r="H446" s="136"/>
      <c r="I446" s="136">
        <v>564423</v>
      </c>
      <c r="J446" s="137" t="s">
        <v>1025</v>
      </c>
      <c r="K446" s="137"/>
      <c r="L446" s="148">
        <f t="shared" si="57"/>
        <v>564423</v>
      </c>
      <c r="M446" s="122">
        <f t="shared" si="51"/>
        <v>0</v>
      </c>
      <c r="N446" s="137"/>
      <c r="O446" s="149" t="b">
        <f t="shared" si="52"/>
        <v>1</v>
      </c>
      <c r="P446" s="149">
        <f t="shared" si="53"/>
        <v>0</v>
      </c>
      <c r="Q446" s="149" t="b">
        <f t="shared" si="54"/>
        <v>1</v>
      </c>
      <c r="R446" s="149">
        <f t="shared" si="55"/>
        <v>0</v>
      </c>
      <c r="S446" s="144"/>
      <c r="T446" s="143">
        <v>45798</v>
      </c>
      <c r="U446" s="144" t="s">
        <v>1408</v>
      </c>
      <c r="V446" s="144"/>
      <c r="W446" s="144"/>
      <c r="X446" s="144"/>
      <c r="Y446" s="144" t="s">
        <v>1802</v>
      </c>
      <c r="Z446" s="145"/>
      <c r="AA446" s="145"/>
      <c r="AB446" s="144"/>
      <c r="AC446" s="144"/>
      <c r="AD446" s="145">
        <v>564423</v>
      </c>
      <c r="AE446" s="144"/>
      <c r="AF446" s="146"/>
    </row>
    <row r="447" spans="1:40">
      <c r="A447" s="132">
        <f t="shared" si="49"/>
        <v>439</v>
      </c>
      <c r="B447" s="133" t="s">
        <v>1780</v>
      </c>
      <c r="C447" s="133" t="s">
        <v>1925</v>
      </c>
      <c r="D447" s="132" t="s">
        <v>1715</v>
      </c>
      <c r="E447" s="147" t="s">
        <v>1409</v>
      </c>
      <c r="F447" s="135">
        <v>45798</v>
      </c>
      <c r="G447" s="45"/>
      <c r="H447" s="136"/>
      <c r="I447" s="136">
        <v>240180</v>
      </c>
      <c r="J447" s="137" t="s">
        <v>1025</v>
      </c>
      <c r="K447" s="137"/>
      <c r="L447" s="148">
        <f t="shared" si="57"/>
        <v>240180</v>
      </c>
      <c r="M447" s="122">
        <f t="shared" si="51"/>
        <v>0</v>
      </c>
      <c r="N447" s="137"/>
      <c r="O447" s="149" t="b">
        <f t="shared" si="52"/>
        <v>1</v>
      </c>
      <c r="P447" s="149">
        <f t="shared" si="53"/>
        <v>0</v>
      </c>
      <c r="Q447" s="149" t="b">
        <f t="shared" si="54"/>
        <v>1</v>
      </c>
      <c r="R447" s="149">
        <f t="shared" si="55"/>
        <v>0</v>
      </c>
      <c r="S447" s="144"/>
      <c r="T447" s="143">
        <v>45798</v>
      </c>
      <c r="U447" s="144" t="s">
        <v>1409</v>
      </c>
      <c r="V447" s="144"/>
      <c r="W447" s="144"/>
      <c r="X447" s="144"/>
      <c r="Y447" s="144" t="s">
        <v>1802</v>
      </c>
      <c r="Z447" s="145"/>
      <c r="AA447" s="145"/>
      <c r="AB447" s="144"/>
      <c r="AC447" s="144"/>
      <c r="AD447" s="145">
        <v>240180</v>
      </c>
      <c r="AE447" s="144"/>
      <c r="AF447" s="146"/>
    </row>
    <row r="448" spans="1:40">
      <c r="A448" s="132">
        <f t="shared" si="49"/>
        <v>440</v>
      </c>
      <c r="B448" s="133" t="s">
        <v>1780</v>
      </c>
      <c r="C448" s="133" t="s">
        <v>1925</v>
      </c>
      <c r="D448" s="132" t="s">
        <v>1715</v>
      </c>
      <c r="E448" s="147" t="s">
        <v>1410</v>
      </c>
      <c r="F448" s="135">
        <v>45793</v>
      </c>
      <c r="G448" s="45"/>
      <c r="H448" s="136"/>
      <c r="I448" s="136">
        <v>1104552</v>
      </c>
      <c r="J448" s="137" t="s">
        <v>1025</v>
      </c>
      <c r="K448" s="137"/>
      <c r="L448" s="148">
        <f t="shared" si="57"/>
        <v>1104552</v>
      </c>
      <c r="M448" s="122">
        <f t="shared" si="51"/>
        <v>0</v>
      </c>
      <c r="N448" s="137"/>
      <c r="O448" s="149" t="b">
        <f t="shared" si="52"/>
        <v>1</v>
      </c>
      <c r="P448" s="149">
        <f t="shared" si="53"/>
        <v>0</v>
      </c>
      <c r="Q448" s="149" t="b">
        <f t="shared" si="54"/>
        <v>1</v>
      </c>
      <c r="R448" s="149">
        <f t="shared" si="55"/>
        <v>0</v>
      </c>
      <c r="S448" s="144"/>
      <c r="T448" s="143">
        <v>45793</v>
      </c>
      <c r="U448" s="144" t="s">
        <v>1410</v>
      </c>
      <c r="V448" s="144"/>
      <c r="W448" s="144"/>
      <c r="X448" s="144"/>
      <c r="Y448" s="144" t="s">
        <v>1802</v>
      </c>
      <c r="Z448" s="145"/>
      <c r="AA448" s="145"/>
      <c r="AB448" s="144"/>
      <c r="AC448" s="144"/>
      <c r="AD448" s="145">
        <v>1104552</v>
      </c>
      <c r="AE448" s="144"/>
      <c r="AF448" s="146"/>
    </row>
    <row r="449" spans="1:41">
      <c r="A449" s="132">
        <f t="shared" si="49"/>
        <v>441</v>
      </c>
      <c r="B449" s="133" t="s">
        <v>1780</v>
      </c>
      <c r="C449" s="133" t="s">
        <v>1925</v>
      </c>
      <c r="D449" s="132" t="s">
        <v>1715</v>
      </c>
      <c r="E449" s="147" t="s">
        <v>1411</v>
      </c>
      <c r="F449" s="135">
        <v>45793</v>
      </c>
      <c r="G449" s="45"/>
      <c r="H449" s="136"/>
      <c r="I449" s="136">
        <v>456228</v>
      </c>
      <c r="J449" s="137" t="s">
        <v>1025</v>
      </c>
      <c r="K449" s="137"/>
      <c r="L449" s="148">
        <f t="shared" si="57"/>
        <v>456228</v>
      </c>
      <c r="M449" s="122">
        <f t="shared" si="51"/>
        <v>0</v>
      </c>
      <c r="N449" s="137"/>
      <c r="O449" s="149" t="b">
        <f t="shared" si="52"/>
        <v>1</v>
      </c>
      <c r="P449" s="149">
        <f t="shared" si="53"/>
        <v>0</v>
      </c>
      <c r="Q449" s="149" t="b">
        <f t="shared" si="54"/>
        <v>1</v>
      </c>
      <c r="R449" s="149">
        <f t="shared" si="55"/>
        <v>0</v>
      </c>
      <c r="S449" s="144"/>
      <c r="T449" s="143">
        <v>45793</v>
      </c>
      <c r="U449" s="144" t="s">
        <v>1411</v>
      </c>
      <c r="V449" s="144"/>
      <c r="W449" s="144"/>
      <c r="X449" s="144"/>
      <c r="Y449" s="144" t="s">
        <v>1802</v>
      </c>
      <c r="Z449" s="145"/>
      <c r="AA449" s="145"/>
      <c r="AB449" s="144"/>
      <c r="AC449" s="144"/>
      <c r="AD449" s="145">
        <v>456228</v>
      </c>
      <c r="AE449" s="144"/>
      <c r="AF449" s="146"/>
    </row>
    <row r="450" spans="1:41">
      <c r="A450" s="132">
        <f t="shared" si="49"/>
        <v>442</v>
      </c>
      <c r="B450" s="133" t="s">
        <v>1780</v>
      </c>
      <c r="C450" s="133" t="s">
        <v>1925</v>
      </c>
      <c r="D450" s="132" t="s">
        <v>1715</v>
      </c>
      <c r="E450" s="147" t="s">
        <v>1412</v>
      </c>
      <c r="F450" s="135">
        <v>45793</v>
      </c>
      <c r="G450" s="45"/>
      <c r="H450" s="136"/>
      <c r="I450" s="136">
        <v>132066</v>
      </c>
      <c r="J450" s="137" t="s">
        <v>1025</v>
      </c>
      <c r="K450" s="137"/>
      <c r="L450" s="148">
        <f t="shared" si="57"/>
        <v>132066</v>
      </c>
      <c r="M450" s="122">
        <f t="shared" si="51"/>
        <v>0</v>
      </c>
      <c r="N450" s="137"/>
      <c r="O450" s="149" t="b">
        <f t="shared" si="52"/>
        <v>1</v>
      </c>
      <c r="P450" s="149">
        <f t="shared" si="53"/>
        <v>0</v>
      </c>
      <c r="Q450" s="149" t="b">
        <f t="shared" si="54"/>
        <v>1</v>
      </c>
      <c r="R450" s="149">
        <f t="shared" si="55"/>
        <v>0</v>
      </c>
      <c r="S450" s="144"/>
      <c r="T450" s="143">
        <v>45793</v>
      </c>
      <c r="U450" s="144" t="s">
        <v>1412</v>
      </c>
      <c r="V450" s="144"/>
      <c r="W450" s="144"/>
      <c r="X450" s="144"/>
      <c r="Y450" s="144" t="s">
        <v>1802</v>
      </c>
      <c r="Z450" s="145"/>
      <c r="AA450" s="145"/>
      <c r="AB450" s="144"/>
      <c r="AC450" s="144"/>
      <c r="AD450" s="145">
        <v>132066</v>
      </c>
      <c r="AE450" s="144"/>
      <c r="AF450" s="146"/>
    </row>
    <row r="451" spans="1:41">
      <c r="A451" s="132">
        <f t="shared" si="49"/>
        <v>443</v>
      </c>
      <c r="B451" s="133" t="s">
        <v>1780</v>
      </c>
      <c r="C451" s="133" t="s">
        <v>1925</v>
      </c>
      <c r="D451" s="132" t="s">
        <v>1715</v>
      </c>
      <c r="E451" s="147" t="s">
        <v>1413</v>
      </c>
      <c r="F451" s="135">
        <v>45797</v>
      </c>
      <c r="G451" s="45"/>
      <c r="H451" s="136"/>
      <c r="I451" s="136">
        <v>132099</v>
      </c>
      <c r="J451" s="137" t="s">
        <v>1025</v>
      </c>
      <c r="K451" s="137"/>
      <c r="L451" s="148">
        <f t="shared" si="57"/>
        <v>132099</v>
      </c>
      <c r="M451" s="122">
        <f t="shared" si="51"/>
        <v>0</v>
      </c>
      <c r="N451" s="137"/>
      <c r="O451" s="149" t="b">
        <f t="shared" si="52"/>
        <v>1</v>
      </c>
      <c r="P451" s="149">
        <f t="shared" si="53"/>
        <v>0</v>
      </c>
      <c r="Q451" s="149" t="b">
        <f t="shared" si="54"/>
        <v>1</v>
      </c>
      <c r="R451" s="149">
        <f t="shared" si="55"/>
        <v>0</v>
      </c>
      <c r="S451" s="144"/>
      <c r="T451" s="143">
        <v>45797</v>
      </c>
      <c r="U451" s="144" t="s">
        <v>1413</v>
      </c>
      <c r="V451" s="144"/>
      <c r="W451" s="144"/>
      <c r="X451" s="144"/>
      <c r="Y451" s="144" t="s">
        <v>1802</v>
      </c>
      <c r="Z451" s="145"/>
      <c r="AA451" s="145"/>
      <c r="AB451" s="144"/>
      <c r="AC451" s="144"/>
      <c r="AD451" s="145">
        <v>132099</v>
      </c>
      <c r="AE451" s="144"/>
      <c r="AF451" s="146"/>
    </row>
    <row r="452" spans="1:41">
      <c r="A452" s="132">
        <f t="shared" si="49"/>
        <v>444</v>
      </c>
      <c r="B452" s="133" t="s">
        <v>1780</v>
      </c>
      <c r="C452" s="133" t="s">
        <v>1925</v>
      </c>
      <c r="D452" s="132" t="s">
        <v>1715</v>
      </c>
      <c r="E452" s="147" t="s">
        <v>1414</v>
      </c>
      <c r="F452" s="135">
        <v>45796</v>
      </c>
      <c r="G452" s="45"/>
      <c r="H452" s="136"/>
      <c r="I452" s="136">
        <v>222111</v>
      </c>
      <c r="J452" s="137" t="s">
        <v>1025</v>
      </c>
      <c r="K452" s="137"/>
      <c r="L452" s="148">
        <f t="shared" si="57"/>
        <v>222111</v>
      </c>
      <c r="M452" s="122">
        <f t="shared" si="51"/>
        <v>0</v>
      </c>
      <c r="N452" s="137"/>
      <c r="O452" s="149" t="b">
        <f t="shared" si="52"/>
        <v>1</v>
      </c>
      <c r="P452" s="149">
        <f t="shared" si="53"/>
        <v>0</v>
      </c>
      <c r="Q452" s="149" t="b">
        <f t="shared" si="54"/>
        <v>1</v>
      </c>
      <c r="R452" s="149">
        <f t="shared" si="55"/>
        <v>0</v>
      </c>
      <c r="S452" s="144"/>
      <c r="T452" s="143">
        <v>45796</v>
      </c>
      <c r="U452" s="144" t="s">
        <v>1414</v>
      </c>
      <c r="V452" s="144"/>
      <c r="W452" s="144"/>
      <c r="X452" s="144"/>
      <c r="Y452" s="144" t="s">
        <v>1802</v>
      </c>
      <c r="Z452" s="145"/>
      <c r="AA452" s="145"/>
      <c r="AB452" s="144"/>
      <c r="AC452" s="144"/>
      <c r="AD452" s="145">
        <v>222111</v>
      </c>
      <c r="AE452" s="144"/>
      <c r="AF452" s="146"/>
    </row>
    <row r="453" spans="1:41">
      <c r="A453" s="132">
        <f t="shared" si="49"/>
        <v>445</v>
      </c>
      <c r="B453" s="133" t="s">
        <v>1780</v>
      </c>
      <c r="C453" s="133" t="s">
        <v>1925</v>
      </c>
      <c r="D453" s="132" t="s">
        <v>1715</v>
      </c>
      <c r="E453" s="147" t="s">
        <v>1415</v>
      </c>
      <c r="F453" s="135">
        <v>45797</v>
      </c>
      <c r="G453" s="45"/>
      <c r="H453" s="136"/>
      <c r="I453" s="136">
        <v>252189</v>
      </c>
      <c r="J453" s="137" t="s">
        <v>1025</v>
      </c>
      <c r="K453" s="137"/>
      <c r="L453" s="148">
        <f t="shared" si="57"/>
        <v>252189</v>
      </c>
      <c r="M453" s="122">
        <f t="shared" si="51"/>
        <v>0</v>
      </c>
      <c r="N453" s="137"/>
      <c r="O453" s="149" t="b">
        <f t="shared" si="52"/>
        <v>1</v>
      </c>
      <c r="P453" s="149">
        <f t="shared" si="53"/>
        <v>0</v>
      </c>
      <c r="Q453" s="149" t="b">
        <f t="shared" si="54"/>
        <v>1</v>
      </c>
      <c r="R453" s="149">
        <f t="shared" si="55"/>
        <v>0</v>
      </c>
      <c r="S453" s="144"/>
      <c r="T453" s="143">
        <v>45797</v>
      </c>
      <c r="U453" s="144" t="s">
        <v>1415</v>
      </c>
      <c r="V453" s="144"/>
      <c r="W453" s="144"/>
      <c r="X453" s="144"/>
      <c r="Y453" s="144" t="s">
        <v>1802</v>
      </c>
      <c r="Z453" s="145"/>
      <c r="AA453" s="145"/>
      <c r="AB453" s="144"/>
      <c r="AC453" s="144"/>
      <c r="AD453" s="145">
        <v>252189</v>
      </c>
      <c r="AE453" s="144"/>
      <c r="AF453" s="146"/>
    </row>
    <row r="454" spans="1:41">
      <c r="A454" s="132">
        <f t="shared" si="49"/>
        <v>446</v>
      </c>
      <c r="B454" s="133" t="s">
        <v>1780</v>
      </c>
      <c r="C454" s="133" t="s">
        <v>1925</v>
      </c>
      <c r="D454" s="132" t="s">
        <v>1715</v>
      </c>
      <c r="E454" s="147" t="s">
        <v>1416</v>
      </c>
      <c r="F454" s="135">
        <v>45806</v>
      </c>
      <c r="G454" s="45"/>
      <c r="H454" s="136"/>
      <c r="I454" s="136">
        <v>372372</v>
      </c>
      <c r="J454" s="137" t="s">
        <v>1025</v>
      </c>
      <c r="K454" s="137"/>
      <c r="L454" s="148">
        <f t="shared" si="57"/>
        <v>372372</v>
      </c>
      <c r="M454" s="122">
        <f t="shared" si="51"/>
        <v>0</v>
      </c>
      <c r="N454" s="137"/>
      <c r="O454" s="149" t="b">
        <f t="shared" si="52"/>
        <v>1</v>
      </c>
      <c r="P454" s="149">
        <f t="shared" si="53"/>
        <v>0</v>
      </c>
      <c r="Q454" s="149" t="b">
        <f t="shared" si="54"/>
        <v>1</v>
      </c>
      <c r="R454" s="149">
        <f t="shared" si="55"/>
        <v>0</v>
      </c>
      <c r="S454" s="144"/>
      <c r="T454" s="143">
        <v>45806</v>
      </c>
      <c r="U454" s="144" t="s">
        <v>1416</v>
      </c>
      <c r="V454" s="144"/>
      <c r="W454" s="144"/>
      <c r="X454" s="144"/>
      <c r="Y454" s="144" t="s">
        <v>1802</v>
      </c>
      <c r="Z454" s="145"/>
      <c r="AA454" s="145"/>
      <c r="AB454" s="144"/>
      <c r="AC454" s="144"/>
      <c r="AD454" s="145">
        <v>372372</v>
      </c>
      <c r="AE454" s="144"/>
      <c r="AF454" s="146"/>
    </row>
    <row r="455" spans="1:41">
      <c r="A455" s="132">
        <f t="shared" si="49"/>
        <v>447</v>
      </c>
      <c r="B455" s="133" t="s">
        <v>1780</v>
      </c>
      <c r="C455" s="133" t="s">
        <v>1925</v>
      </c>
      <c r="D455" s="132" t="s">
        <v>1715</v>
      </c>
      <c r="E455" s="147" t="s">
        <v>1417</v>
      </c>
      <c r="F455" s="135">
        <v>45806</v>
      </c>
      <c r="G455" s="45"/>
      <c r="H455" s="136"/>
      <c r="I455" s="136">
        <v>240240</v>
      </c>
      <c r="J455" s="137" t="s">
        <v>1025</v>
      </c>
      <c r="K455" s="137"/>
      <c r="L455" s="148">
        <f t="shared" si="57"/>
        <v>240240</v>
      </c>
      <c r="M455" s="122">
        <f t="shared" si="51"/>
        <v>0</v>
      </c>
      <c r="N455" s="137"/>
      <c r="O455" s="149" t="b">
        <f t="shared" si="52"/>
        <v>1</v>
      </c>
      <c r="P455" s="149">
        <f t="shared" si="53"/>
        <v>0</v>
      </c>
      <c r="Q455" s="149" t="b">
        <f t="shared" si="54"/>
        <v>1</v>
      </c>
      <c r="R455" s="149">
        <f t="shared" si="55"/>
        <v>0</v>
      </c>
      <c r="S455" s="144"/>
      <c r="T455" s="143">
        <v>45806</v>
      </c>
      <c r="U455" s="144" t="s">
        <v>1417</v>
      </c>
      <c r="V455" s="144"/>
      <c r="W455" s="144"/>
      <c r="X455" s="144"/>
      <c r="Y455" s="144" t="s">
        <v>1802</v>
      </c>
      <c r="Z455" s="145"/>
      <c r="AA455" s="145"/>
      <c r="AB455" s="144"/>
      <c r="AC455" s="144"/>
      <c r="AD455" s="145">
        <v>240240</v>
      </c>
      <c r="AE455" s="144"/>
      <c r="AF455" s="146"/>
    </row>
    <row r="456" spans="1:41">
      <c r="A456" s="132">
        <f t="shared" si="49"/>
        <v>448</v>
      </c>
      <c r="B456" s="133" t="s">
        <v>1769</v>
      </c>
      <c r="C456" s="133" t="s">
        <v>1928</v>
      </c>
      <c r="D456" s="132" t="s">
        <v>1717</v>
      </c>
      <c r="E456" s="147" t="s">
        <v>1418</v>
      </c>
      <c r="F456" s="135">
        <v>45786</v>
      </c>
      <c r="G456" s="45"/>
      <c r="H456" s="136"/>
      <c r="I456" s="136">
        <v>341056</v>
      </c>
      <c r="J456" s="137" t="s">
        <v>1025</v>
      </c>
      <c r="K456" s="137"/>
      <c r="L456" s="148">
        <f t="shared" si="57"/>
        <v>341056</v>
      </c>
      <c r="M456" s="122">
        <f t="shared" si="51"/>
        <v>0</v>
      </c>
      <c r="N456" s="137"/>
      <c r="O456" s="149" t="b">
        <f t="shared" si="52"/>
        <v>1</v>
      </c>
      <c r="P456" s="149">
        <f t="shared" si="53"/>
        <v>0</v>
      </c>
      <c r="Q456" s="149" t="b">
        <f t="shared" si="54"/>
        <v>1</v>
      </c>
      <c r="R456" s="149">
        <f t="shared" si="55"/>
        <v>0</v>
      </c>
      <c r="S456" s="144"/>
      <c r="T456" s="143">
        <v>45786</v>
      </c>
      <c r="U456" s="144" t="s">
        <v>1418</v>
      </c>
      <c r="V456" s="144"/>
      <c r="W456" s="144"/>
      <c r="X456" s="144"/>
      <c r="Y456" s="144" t="s">
        <v>1802</v>
      </c>
      <c r="Z456" s="145"/>
      <c r="AA456" s="145"/>
      <c r="AB456" s="144"/>
      <c r="AC456" s="144"/>
      <c r="AD456" s="145">
        <v>341056</v>
      </c>
      <c r="AE456" s="144"/>
      <c r="AF456" s="146"/>
    </row>
    <row r="457" spans="1:41">
      <c r="A457" s="132">
        <f t="shared" si="49"/>
        <v>449</v>
      </c>
      <c r="B457" s="133" t="s">
        <v>1769</v>
      </c>
      <c r="C457" s="133" t="s">
        <v>1928</v>
      </c>
      <c r="D457" s="132" t="s">
        <v>1717</v>
      </c>
      <c r="E457" s="147" t="s">
        <v>1419</v>
      </c>
      <c r="F457" s="135">
        <v>45786</v>
      </c>
      <c r="G457" s="45"/>
      <c r="H457" s="136"/>
      <c r="I457" s="136">
        <v>678509</v>
      </c>
      <c r="J457" s="137" t="s">
        <v>1025</v>
      </c>
      <c r="K457" s="137"/>
      <c r="L457" s="148">
        <f t="shared" si="57"/>
        <v>678509</v>
      </c>
      <c r="M457" s="122">
        <f t="shared" si="51"/>
        <v>0</v>
      </c>
      <c r="N457" s="137"/>
      <c r="O457" s="149" t="b">
        <f t="shared" si="52"/>
        <v>1</v>
      </c>
      <c r="P457" s="149">
        <f t="shared" si="53"/>
        <v>0</v>
      </c>
      <c r="Q457" s="149" t="b">
        <f t="shared" si="54"/>
        <v>1</v>
      </c>
      <c r="R457" s="149">
        <f t="shared" si="55"/>
        <v>0</v>
      </c>
      <c r="S457" s="144"/>
      <c r="T457" s="143">
        <v>45786</v>
      </c>
      <c r="U457" s="144" t="s">
        <v>1419</v>
      </c>
      <c r="V457" s="144"/>
      <c r="W457" s="144"/>
      <c r="X457" s="144"/>
      <c r="Y457" s="144" t="s">
        <v>1802</v>
      </c>
      <c r="Z457" s="145"/>
      <c r="AA457" s="145"/>
      <c r="AB457" s="144"/>
      <c r="AC457" s="144"/>
      <c r="AD457" s="145">
        <v>678509</v>
      </c>
      <c r="AE457" s="144"/>
      <c r="AF457" s="146"/>
    </row>
    <row r="458" spans="1:41">
      <c r="A458" s="132">
        <f t="shared" si="49"/>
        <v>450</v>
      </c>
      <c r="B458" s="133" t="s">
        <v>1768</v>
      </c>
      <c r="C458" s="133" t="s">
        <v>1929</v>
      </c>
      <c r="D458" s="132" t="s">
        <v>1069</v>
      </c>
      <c r="E458" s="147" t="s">
        <v>1420</v>
      </c>
      <c r="F458" s="135">
        <v>45796</v>
      </c>
      <c r="G458" s="45"/>
      <c r="H458" s="136"/>
      <c r="I458" s="136">
        <v>28014</v>
      </c>
      <c r="J458" s="137" t="s">
        <v>1025</v>
      </c>
      <c r="K458" s="137"/>
      <c r="L458" s="148">
        <f>I458</f>
        <v>28014</v>
      </c>
      <c r="M458" s="122">
        <f t="shared" si="51"/>
        <v>0</v>
      </c>
      <c r="N458" s="137"/>
      <c r="O458" s="149" t="b">
        <f t="shared" si="52"/>
        <v>1</v>
      </c>
      <c r="P458" s="149">
        <f t="shared" si="53"/>
        <v>0</v>
      </c>
      <c r="Q458" s="149" t="b">
        <f t="shared" si="54"/>
        <v>0</v>
      </c>
      <c r="R458" s="149">
        <f t="shared" si="55"/>
        <v>0</v>
      </c>
      <c r="S458" s="144"/>
      <c r="T458" s="143">
        <v>45796</v>
      </c>
      <c r="U458" s="144" t="s">
        <v>1420</v>
      </c>
      <c r="V458" s="144">
        <v>0</v>
      </c>
      <c r="W458" s="144" t="s">
        <v>1071</v>
      </c>
      <c r="X458" s="144" t="s">
        <v>1801</v>
      </c>
      <c r="Y458" s="144" t="s">
        <v>1802</v>
      </c>
      <c r="Z458" s="145">
        <v>308154</v>
      </c>
      <c r="AA458" s="145">
        <v>280140</v>
      </c>
      <c r="AB458" s="144">
        <v>0</v>
      </c>
      <c r="AC458" s="144" t="s">
        <v>1022</v>
      </c>
      <c r="AD458" s="145">
        <v>28014</v>
      </c>
      <c r="AE458" s="144">
        <v>0</v>
      </c>
      <c r="AF458" s="146">
        <v>0</v>
      </c>
      <c r="AG458" s="70">
        <v>0</v>
      </c>
      <c r="AH458" s="70">
        <v>0</v>
      </c>
      <c r="AI458" s="70">
        <v>0</v>
      </c>
      <c r="AJ458" s="70">
        <v>0</v>
      </c>
      <c r="AK458" s="70">
        <v>0</v>
      </c>
      <c r="AL458" s="70">
        <v>0.01</v>
      </c>
      <c r="AM458" s="70">
        <v>0</v>
      </c>
      <c r="AN458" s="70" t="s">
        <v>1877</v>
      </c>
    </row>
    <row r="459" spans="1:41">
      <c r="A459" s="132">
        <f t="shared" ref="A459:A522" si="58">A458+1</f>
        <v>451</v>
      </c>
      <c r="B459" s="133" t="s">
        <v>1769</v>
      </c>
      <c r="C459" s="133" t="s">
        <v>1928</v>
      </c>
      <c r="D459" s="132" t="s">
        <v>1717</v>
      </c>
      <c r="E459" s="147" t="s">
        <v>1421</v>
      </c>
      <c r="F459" s="135">
        <v>45786</v>
      </c>
      <c r="G459" s="45"/>
      <c r="H459" s="136"/>
      <c r="I459" s="136">
        <v>163923</v>
      </c>
      <c r="J459" s="137" t="s">
        <v>1025</v>
      </c>
      <c r="K459" s="137"/>
      <c r="L459" s="148">
        <f>I459</f>
        <v>163923</v>
      </c>
      <c r="M459" s="122">
        <f t="shared" si="51"/>
        <v>0</v>
      </c>
      <c r="N459" s="137"/>
      <c r="O459" s="149" t="b">
        <f t="shared" si="52"/>
        <v>1</v>
      </c>
      <c r="P459" s="149">
        <f t="shared" si="53"/>
        <v>0</v>
      </c>
      <c r="Q459" s="149" t="b">
        <f t="shared" si="54"/>
        <v>1</v>
      </c>
      <c r="R459" s="149">
        <f t="shared" si="55"/>
        <v>0</v>
      </c>
      <c r="S459" s="144"/>
      <c r="T459" s="143">
        <v>45786</v>
      </c>
      <c r="U459" s="144" t="s">
        <v>1421</v>
      </c>
      <c r="V459" s="144"/>
      <c r="W459" s="144"/>
      <c r="X459" s="144"/>
      <c r="Y459" s="144" t="s">
        <v>1802</v>
      </c>
      <c r="Z459" s="145"/>
      <c r="AA459" s="145"/>
      <c r="AB459" s="144"/>
      <c r="AC459" s="144"/>
      <c r="AD459" s="145">
        <v>163923</v>
      </c>
      <c r="AE459" s="144"/>
      <c r="AF459" s="146"/>
    </row>
    <row r="460" spans="1:41">
      <c r="A460" s="132">
        <f t="shared" si="58"/>
        <v>452</v>
      </c>
      <c r="B460" s="133" t="s">
        <v>1768</v>
      </c>
      <c r="C460" s="133" t="s">
        <v>1929</v>
      </c>
      <c r="D460" s="132" t="s">
        <v>1069</v>
      </c>
      <c r="E460" s="147" t="s">
        <v>1422</v>
      </c>
      <c r="F460" s="135">
        <v>45796</v>
      </c>
      <c r="G460" s="45"/>
      <c r="H460" s="136"/>
      <c r="I460" s="136">
        <v>28014</v>
      </c>
      <c r="J460" s="137" t="s">
        <v>1025</v>
      </c>
      <c r="K460" s="137"/>
      <c r="L460" s="148">
        <f>I460</f>
        <v>28014</v>
      </c>
      <c r="M460" s="122">
        <f t="shared" si="51"/>
        <v>0</v>
      </c>
      <c r="N460" s="137"/>
      <c r="O460" s="149" t="b">
        <f t="shared" si="52"/>
        <v>1</v>
      </c>
      <c r="P460" s="149">
        <f t="shared" si="53"/>
        <v>0</v>
      </c>
      <c r="Q460" s="149" t="b">
        <f t="shared" si="54"/>
        <v>0</v>
      </c>
      <c r="R460" s="149">
        <f t="shared" si="55"/>
        <v>0</v>
      </c>
      <c r="S460" s="144"/>
      <c r="T460" s="143">
        <v>45796</v>
      </c>
      <c r="U460" s="144" t="s">
        <v>1422</v>
      </c>
      <c r="V460" s="144">
        <v>0</v>
      </c>
      <c r="W460" s="144" t="s">
        <v>1071</v>
      </c>
      <c r="X460" s="144" t="s">
        <v>1801</v>
      </c>
      <c r="Y460" s="144" t="s">
        <v>1802</v>
      </c>
      <c r="Z460" s="145">
        <v>308154</v>
      </c>
      <c r="AA460" s="145">
        <v>280140</v>
      </c>
      <c r="AB460" s="144">
        <v>0</v>
      </c>
      <c r="AC460" s="144" t="s">
        <v>1022</v>
      </c>
      <c r="AD460" s="145">
        <v>28014</v>
      </c>
      <c r="AE460" s="144">
        <v>0</v>
      </c>
      <c r="AF460" s="146">
        <v>0</v>
      </c>
      <c r="AG460" s="70">
        <v>0</v>
      </c>
      <c r="AH460" s="70">
        <v>0</v>
      </c>
      <c r="AI460" s="70">
        <v>0</v>
      </c>
      <c r="AJ460" s="70">
        <v>0</v>
      </c>
      <c r="AK460" s="70">
        <v>0</v>
      </c>
      <c r="AL460" s="70">
        <v>0.01</v>
      </c>
      <c r="AM460" s="70">
        <v>0</v>
      </c>
      <c r="AN460" s="70" t="s">
        <v>1877</v>
      </c>
    </row>
    <row r="461" spans="1:41">
      <c r="A461" s="132">
        <f t="shared" si="58"/>
        <v>453</v>
      </c>
      <c r="B461" s="133" t="s">
        <v>1769</v>
      </c>
      <c r="C461" s="133" t="s">
        <v>1928</v>
      </c>
      <c r="D461" s="132" t="s">
        <v>1717</v>
      </c>
      <c r="E461" s="147" t="s">
        <v>1423</v>
      </c>
      <c r="F461" s="135">
        <v>45786</v>
      </c>
      <c r="G461" s="45"/>
      <c r="H461" s="136"/>
      <c r="I461" s="136">
        <v>210558</v>
      </c>
      <c r="J461" s="137" t="s">
        <v>1025</v>
      </c>
      <c r="K461" s="137"/>
      <c r="L461" s="148">
        <f>I461</f>
        <v>210558</v>
      </c>
      <c r="M461" s="122">
        <f t="shared" si="51"/>
        <v>0</v>
      </c>
      <c r="N461" s="137"/>
      <c r="O461" s="149" t="b">
        <f t="shared" si="52"/>
        <v>1</v>
      </c>
      <c r="P461" s="149">
        <f t="shared" si="53"/>
        <v>0</v>
      </c>
      <c r="Q461" s="149" t="b">
        <f t="shared" si="54"/>
        <v>1</v>
      </c>
      <c r="R461" s="149">
        <f t="shared" si="55"/>
        <v>0</v>
      </c>
      <c r="S461" s="144"/>
      <c r="T461" s="143">
        <v>45786</v>
      </c>
      <c r="U461" s="144" t="s">
        <v>1423</v>
      </c>
      <c r="V461" s="144"/>
      <c r="W461" s="144"/>
      <c r="X461" s="144"/>
      <c r="Y461" s="144" t="s">
        <v>1802</v>
      </c>
      <c r="Z461" s="145"/>
      <c r="AA461" s="145"/>
      <c r="AB461" s="144"/>
      <c r="AC461" s="144"/>
      <c r="AD461" s="145">
        <v>210558</v>
      </c>
      <c r="AE461" s="144"/>
      <c r="AF461" s="146"/>
    </row>
    <row r="462" spans="1:41">
      <c r="A462" s="132">
        <f t="shared" si="58"/>
        <v>454</v>
      </c>
      <c r="B462" s="133" t="s">
        <v>1764</v>
      </c>
      <c r="C462" s="133" t="s">
        <v>1905</v>
      </c>
      <c r="D462" s="132" t="s">
        <v>1024</v>
      </c>
      <c r="E462" s="147">
        <v>202500123712</v>
      </c>
      <c r="F462" s="135">
        <v>45804</v>
      </c>
      <c r="G462" s="45"/>
      <c r="H462" s="136"/>
      <c r="I462" s="136">
        <v>487565</v>
      </c>
      <c r="J462" s="137" t="s">
        <v>1025</v>
      </c>
      <c r="K462" s="137"/>
      <c r="L462" s="148">
        <f t="shared" ref="L462:L463" si="59">I462</f>
        <v>487565</v>
      </c>
      <c r="M462" s="122">
        <f t="shared" si="51"/>
        <v>0</v>
      </c>
      <c r="N462" s="137"/>
      <c r="O462" s="149" t="b">
        <f t="shared" si="52"/>
        <v>1</v>
      </c>
      <c r="P462" s="149">
        <f t="shared" si="53"/>
        <v>0</v>
      </c>
      <c r="Q462" s="149" t="b">
        <f t="shared" si="54"/>
        <v>0</v>
      </c>
      <c r="R462" s="149">
        <f t="shared" si="55"/>
        <v>0</v>
      </c>
      <c r="S462" s="144"/>
      <c r="T462" s="143">
        <v>45804</v>
      </c>
      <c r="U462" s="144">
        <v>202500123712</v>
      </c>
      <c r="V462" s="144"/>
      <c r="W462" s="144" t="s">
        <v>1071</v>
      </c>
      <c r="X462" s="144" t="s">
        <v>1801</v>
      </c>
      <c r="Y462" s="144" t="s">
        <v>1802</v>
      </c>
      <c r="Z462" s="145">
        <v>5363219</v>
      </c>
      <c r="AA462" s="145">
        <v>4875654</v>
      </c>
      <c r="AB462" s="144">
        <v>0</v>
      </c>
      <c r="AC462" s="144" t="s">
        <v>1022</v>
      </c>
      <c r="AD462" s="145">
        <v>487565</v>
      </c>
      <c r="AE462" s="144"/>
      <c r="AF462" s="146"/>
    </row>
    <row r="463" spans="1:41">
      <c r="A463" s="132">
        <f t="shared" si="58"/>
        <v>455</v>
      </c>
      <c r="B463" s="133" t="s">
        <v>1783</v>
      </c>
      <c r="C463" s="133" t="s">
        <v>1930</v>
      </c>
      <c r="D463" s="132" t="s">
        <v>1718</v>
      </c>
      <c r="E463" s="147">
        <v>10041707</v>
      </c>
      <c r="F463" s="135">
        <v>45646</v>
      </c>
      <c r="G463" s="45"/>
      <c r="H463" s="136"/>
      <c r="I463" s="136">
        <v>1442462</v>
      </c>
      <c r="J463" s="137" t="s">
        <v>1025</v>
      </c>
      <c r="K463" s="137"/>
      <c r="L463" s="148">
        <f t="shared" si="59"/>
        <v>1442462</v>
      </c>
      <c r="M463" s="122">
        <f t="shared" si="51"/>
        <v>0</v>
      </c>
      <c r="N463" s="137"/>
      <c r="O463" s="149" t="b">
        <f t="shared" si="52"/>
        <v>1</v>
      </c>
      <c r="P463" s="149">
        <f t="shared" si="53"/>
        <v>0</v>
      </c>
      <c r="Q463" s="149" t="b">
        <f t="shared" si="54"/>
        <v>0</v>
      </c>
      <c r="R463" s="149">
        <f t="shared" si="55"/>
        <v>0</v>
      </c>
      <c r="S463" s="144"/>
      <c r="T463" s="143">
        <v>45652</v>
      </c>
      <c r="U463" s="144">
        <v>10041707</v>
      </c>
      <c r="V463" s="144">
        <v>0</v>
      </c>
      <c r="W463" s="144" t="s">
        <v>1071</v>
      </c>
      <c r="X463" s="144" t="s">
        <v>1801</v>
      </c>
      <c r="Y463" s="144" t="s">
        <v>1802</v>
      </c>
      <c r="Z463" s="145">
        <v>15867082</v>
      </c>
      <c r="AA463" s="145">
        <v>14424620</v>
      </c>
      <c r="AB463" s="144">
        <v>0</v>
      </c>
      <c r="AC463" s="144" t="s">
        <v>1022</v>
      </c>
      <c r="AD463" s="145">
        <v>1442462</v>
      </c>
      <c r="AE463" s="144">
        <v>0</v>
      </c>
      <c r="AF463" s="146">
        <v>0</v>
      </c>
      <c r="AG463" s="70">
        <v>0</v>
      </c>
      <c r="AH463" s="70">
        <v>0</v>
      </c>
      <c r="AI463" s="70">
        <v>0</v>
      </c>
      <c r="AJ463" s="70">
        <v>0</v>
      </c>
      <c r="AK463" s="70">
        <v>0</v>
      </c>
      <c r="AL463" s="70">
        <v>0.01</v>
      </c>
      <c r="AM463" s="70">
        <v>0</v>
      </c>
      <c r="AN463" s="70" t="s">
        <v>1878</v>
      </c>
      <c r="AO463" s="70" t="s">
        <v>1804</v>
      </c>
    </row>
    <row r="464" spans="1:41">
      <c r="A464" s="132">
        <f t="shared" si="58"/>
        <v>456</v>
      </c>
      <c r="B464" s="133" t="s">
        <v>1765</v>
      </c>
      <c r="C464" s="133" t="s">
        <v>1904</v>
      </c>
      <c r="D464" s="132" t="s">
        <v>1698</v>
      </c>
      <c r="E464" s="147" t="s">
        <v>1424</v>
      </c>
      <c r="F464" s="135">
        <v>45804</v>
      </c>
      <c r="G464" s="45"/>
      <c r="H464" s="136"/>
      <c r="I464" s="136">
        <v>3314484</v>
      </c>
      <c r="J464" s="137" t="s">
        <v>1025</v>
      </c>
      <c r="K464" s="137"/>
      <c r="L464" s="148">
        <f>I464</f>
        <v>3314484</v>
      </c>
      <c r="M464" s="122">
        <f t="shared" si="51"/>
        <v>0</v>
      </c>
      <c r="N464" s="137"/>
      <c r="O464" s="149" t="b">
        <f t="shared" si="52"/>
        <v>1</v>
      </c>
      <c r="P464" s="149">
        <f t="shared" si="53"/>
        <v>0</v>
      </c>
      <c r="Q464" s="149" t="b">
        <f t="shared" si="54"/>
        <v>1</v>
      </c>
      <c r="R464" s="149">
        <f t="shared" si="55"/>
        <v>0</v>
      </c>
      <c r="S464" s="144"/>
      <c r="T464" s="143">
        <v>45804</v>
      </c>
      <c r="U464" s="144" t="s">
        <v>1424</v>
      </c>
      <c r="V464" s="144"/>
      <c r="W464" s="144"/>
      <c r="X464" s="144"/>
      <c r="Y464" s="144" t="s">
        <v>1802</v>
      </c>
      <c r="Z464" s="145"/>
      <c r="AA464" s="145"/>
      <c r="AB464" s="144"/>
      <c r="AC464" s="144"/>
      <c r="AD464" s="145">
        <v>3314484</v>
      </c>
      <c r="AE464" s="144"/>
      <c r="AF464" s="146"/>
      <c r="AN464" s="70" t="s">
        <v>1807</v>
      </c>
    </row>
    <row r="465" spans="1:40">
      <c r="A465" s="132">
        <f t="shared" si="58"/>
        <v>457</v>
      </c>
      <c r="B465" s="133" t="s">
        <v>1764</v>
      </c>
      <c r="C465" s="133" t="s">
        <v>1905</v>
      </c>
      <c r="D465" s="132" t="s">
        <v>1024</v>
      </c>
      <c r="E465" s="147">
        <v>202500123701</v>
      </c>
      <c r="F465" s="135">
        <v>45804</v>
      </c>
      <c r="G465" s="45"/>
      <c r="H465" s="136"/>
      <c r="I465" s="136">
        <v>440730</v>
      </c>
      <c r="J465" s="137" t="s">
        <v>1025</v>
      </c>
      <c r="K465" s="137"/>
      <c r="L465" s="148">
        <f>I465</f>
        <v>440730</v>
      </c>
      <c r="M465" s="122">
        <f t="shared" si="51"/>
        <v>0</v>
      </c>
      <c r="N465" s="137"/>
      <c r="O465" s="149" t="b">
        <f t="shared" si="52"/>
        <v>1</v>
      </c>
      <c r="P465" s="149">
        <f t="shared" si="53"/>
        <v>0</v>
      </c>
      <c r="Q465" s="149" t="b">
        <f t="shared" si="54"/>
        <v>0</v>
      </c>
      <c r="R465" s="149">
        <f t="shared" si="55"/>
        <v>0</v>
      </c>
      <c r="S465" s="144"/>
      <c r="T465" s="143">
        <v>45804</v>
      </c>
      <c r="U465" s="144">
        <v>202500123701</v>
      </c>
      <c r="V465" s="144"/>
      <c r="W465" s="144" t="s">
        <v>1071</v>
      </c>
      <c r="X465" s="144" t="s">
        <v>1801</v>
      </c>
      <c r="Y465" s="144" t="s">
        <v>1802</v>
      </c>
      <c r="Z465" s="145">
        <v>4848033</v>
      </c>
      <c r="AA465" s="145">
        <v>4407303</v>
      </c>
      <c r="AB465" s="144">
        <v>0</v>
      </c>
      <c r="AC465" s="144" t="s">
        <v>1022</v>
      </c>
      <c r="AD465" s="145">
        <v>440730</v>
      </c>
      <c r="AE465" s="144"/>
      <c r="AF465" s="146"/>
    </row>
    <row r="466" spans="1:40">
      <c r="A466" s="132">
        <f t="shared" si="58"/>
        <v>458</v>
      </c>
      <c r="B466" s="133" t="s">
        <v>1770</v>
      </c>
      <c r="C466" s="133" t="s">
        <v>1906</v>
      </c>
      <c r="D466" s="132" t="s">
        <v>1036</v>
      </c>
      <c r="E466" s="147" t="s">
        <v>1425</v>
      </c>
      <c r="F466" s="135">
        <v>45801</v>
      </c>
      <c r="G466" s="45"/>
      <c r="H466" s="136"/>
      <c r="I466" s="136">
        <v>2641980</v>
      </c>
      <c r="J466" s="137" t="s">
        <v>1899</v>
      </c>
      <c r="K466" s="137"/>
      <c r="L466" s="148"/>
      <c r="M466" s="122">
        <f t="shared" si="51"/>
        <v>2641980</v>
      </c>
      <c r="N466" s="137"/>
      <c r="O466" s="149" t="b">
        <f t="shared" si="52"/>
        <v>1</v>
      </c>
      <c r="P466" s="149">
        <f t="shared" si="53"/>
        <v>0</v>
      </c>
      <c r="Q466" s="149" t="b">
        <f t="shared" si="54"/>
        <v>0</v>
      </c>
      <c r="R466" s="149">
        <f t="shared" si="55"/>
        <v>2497872</v>
      </c>
      <c r="S466" s="144"/>
      <c r="T466" s="143">
        <v>45801</v>
      </c>
      <c r="U466" s="144" t="s">
        <v>1425</v>
      </c>
      <c r="V466" s="144"/>
      <c r="W466" s="144" t="s">
        <v>1071</v>
      </c>
      <c r="X466" s="144" t="s">
        <v>1879</v>
      </c>
      <c r="Y466" s="144" t="s">
        <v>1880</v>
      </c>
      <c r="Z466" s="145">
        <v>1585188</v>
      </c>
      <c r="AA466" s="145">
        <v>1441080</v>
      </c>
      <c r="AB466" s="144">
        <v>0</v>
      </c>
      <c r="AC466" s="144" t="s">
        <v>1022</v>
      </c>
      <c r="AD466" s="145">
        <v>144108</v>
      </c>
      <c r="AE466" s="144">
        <v>0</v>
      </c>
      <c r="AF466" s="146">
        <v>0</v>
      </c>
      <c r="AG466" s="70">
        <v>0</v>
      </c>
      <c r="AH466" s="70">
        <v>0</v>
      </c>
      <c r="AI466" s="70">
        <v>0</v>
      </c>
      <c r="AJ466" s="70">
        <v>0</v>
      </c>
      <c r="AK466" s="70">
        <v>0</v>
      </c>
      <c r="AL466" s="70">
        <v>0.01</v>
      </c>
      <c r="AN466" s="70" t="s">
        <v>1881</v>
      </c>
    </row>
    <row r="467" spans="1:40">
      <c r="A467" s="132">
        <f t="shared" si="58"/>
        <v>459</v>
      </c>
      <c r="B467" s="133" t="s">
        <v>1768</v>
      </c>
      <c r="C467" s="133" t="s">
        <v>1929</v>
      </c>
      <c r="D467" s="132" t="s">
        <v>1069</v>
      </c>
      <c r="E467" s="147" t="s">
        <v>1426</v>
      </c>
      <c r="F467" s="135">
        <v>45796</v>
      </c>
      <c r="G467" s="45"/>
      <c r="H467" s="136"/>
      <c r="I467" s="136">
        <v>112056</v>
      </c>
      <c r="J467" s="137" t="s">
        <v>1025</v>
      </c>
      <c r="K467" s="137"/>
      <c r="L467" s="148">
        <f t="shared" ref="L467:L478" si="60">I467</f>
        <v>112056</v>
      </c>
      <c r="M467" s="122">
        <f t="shared" si="51"/>
        <v>0</v>
      </c>
      <c r="N467" s="137"/>
      <c r="O467" s="149" t="b">
        <f t="shared" si="52"/>
        <v>1</v>
      </c>
      <c r="P467" s="149">
        <f t="shared" si="53"/>
        <v>0</v>
      </c>
      <c r="Q467" s="149" t="b">
        <f t="shared" si="54"/>
        <v>0</v>
      </c>
      <c r="R467" s="149">
        <f t="shared" si="55"/>
        <v>0</v>
      </c>
      <c r="S467" s="144"/>
      <c r="T467" s="143">
        <v>45796</v>
      </c>
      <c r="U467" s="144" t="s">
        <v>1426</v>
      </c>
      <c r="V467" s="144">
        <v>0</v>
      </c>
      <c r="W467" s="144" t="s">
        <v>1071</v>
      </c>
      <c r="X467" s="144" t="s">
        <v>1801</v>
      </c>
      <c r="Y467" s="144" t="s">
        <v>1802</v>
      </c>
      <c r="Z467" s="145">
        <v>1232616</v>
      </c>
      <c r="AA467" s="145">
        <v>1120560</v>
      </c>
      <c r="AB467" s="144">
        <v>0</v>
      </c>
      <c r="AC467" s="144" t="s">
        <v>1022</v>
      </c>
      <c r="AD467" s="145">
        <v>112056</v>
      </c>
      <c r="AE467" s="144">
        <v>0</v>
      </c>
      <c r="AF467" s="146">
        <v>0</v>
      </c>
      <c r="AG467" s="70">
        <v>0</v>
      </c>
      <c r="AH467" s="70">
        <v>0</v>
      </c>
      <c r="AI467" s="70">
        <v>0</v>
      </c>
      <c r="AJ467" s="70">
        <v>0</v>
      </c>
      <c r="AK467" s="70">
        <v>0</v>
      </c>
      <c r="AL467" s="70">
        <v>0.01</v>
      </c>
      <c r="AM467" s="70">
        <v>0</v>
      </c>
      <c r="AN467" s="70" t="s">
        <v>1877</v>
      </c>
    </row>
    <row r="468" spans="1:40">
      <c r="A468" s="132">
        <f t="shared" si="58"/>
        <v>460</v>
      </c>
      <c r="B468" s="133" t="s">
        <v>1769</v>
      </c>
      <c r="C468" s="133" t="s">
        <v>1928</v>
      </c>
      <c r="D468" s="132" t="s">
        <v>1717</v>
      </c>
      <c r="E468" s="147" t="s">
        <v>1427</v>
      </c>
      <c r="F468" s="135">
        <v>45786</v>
      </c>
      <c r="G468" s="45"/>
      <c r="H468" s="136"/>
      <c r="I468" s="136">
        <v>852639</v>
      </c>
      <c r="J468" s="137" t="s">
        <v>1025</v>
      </c>
      <c r="K468" s="137"/>
      <c r="L468" s="148">
        <f t="shared" si="60"/>
        <v>852639</v>
      </c>
      <c r="M468" s="122">
        <f t="shared" si="51"/>
        <v>0</v>
      </c>
      <c r="N468" s="137"/>
      <c r="O468" s="149" t="b">
        <f t="shared" si="52"/>
        <v>1</v>
      </c>
      <c r="P468" s="149">
        <f t="shared" si="53"/>
        <v>0</v>
      </c>
      <c r="Q468" s="149" t="b">
        <f t="shared" si="54"/>
        <v>1</v>
      </c>
      <c r="R468" s="149">
        <f t="shared" si="55"/>
        <v>0</v>
      </c>
      <c r="S468" s="144"/>
      <c r="T468" s="143">
        <v>45786</v>
      </c>
      <c r="U468" s="144" t="s">
        <v>1427</v>
      </c>
      <c r="V468" s="144"/>
      <c r="W468" s="144"/>
      <c r="X468" s="144"/>
      <c r="Y468" s="144" t="s">
        <v>1802</v>
      </c>
      <c r="Z468" s="145"/>
      <c r="AA468" s="145"/>
      <c r="AB468" s="144"/>
      <c r="AC468" s="144"/>
      <c r="AD468" s="145">
        <v>852639</v>
      </c>
      <c r="AE468" s="144"/>
      <c r="AF468" s="146"/>
    </row>
    <row r="469" spans="1:40">
      <c r="A469" s="132">
        <f t="shared" si="58"/>
        <v>461</v>
      </c>
      <c r="B469" s="133" t="s">
        <v>1768</v>
      </c>
      <c r="C469" s="133" t="s">
        <v>1929</v>
      </c>
      <c r="D469" s="132" t="s">
        <v>1069</v>
      </c>
      <c r="E469" s="147" t="s">
        <v>1428</v>
      </c>
      <c r="F469" s="135">
        <v>45796</v>
      </c>
      <c r="G469" s="45"/>
      <c r="H469" s="136"/>
      <c r="I469" s="136">
        <v>56028</v>
      </c>
      <c r="J469" s="137" t="s">
        <v>1025</v>
      </c>
      <c r="K469" s="137"/>
      <c r="L469" s="148">
        <f t="shared" si="60"/>
        <v>56028</v>
      </c>
      <c r="M469" s="122">
        <f t="shared" si="51"/>
        <v>0</v>
      </c>
      <c r="N469" s="137"/>
      <c r="O469" s="149" t="b">
        <f t="shared" si="52"/>
        <v>1</v>
      </c>
      <c r="P469" s="149">
        <f t="shared" si="53"/>
        <v>0</v>
      </c>
      <c r="Q469" s="149" t="b">
        <f t="shared" si="54"/>
        <v>0</v>
      </c>
      <c r="R469" s="149">
        <f t="shared" si="55"/>
        <v>0</v>
      </c>
      <c r="S469" s="144"/>
      <c r="T469" s="143">
        <v>45796</v>
      </c>
      <c r="U469" s="144" t="s">
        <v>1428</v>
      </c>
      <c r="V469" s="144">
        <v>0</v>
      </c>
      <c r="W469" s="144" t="s">
        <v>1071</v>
      </c>
      <c r="X469" s="144" t="s">
        <v>1801</v>
      </c>
      <c r="Y469" s="144" t="s">
        <v>1802</v>
      </c>
      <c r="Z469" s="145">
        <v>616308</v>
      </c>
      <c r="AA469" s="145">
        <v>560280</v>
      </c>
      <c r="AB469" s="144">
        <v>0</v>
      </c>
      <c r="AC469" s="144" t="s">
        <v>1022</v>
      </c>
      <c r="AD469" s="145">
        <v>56028</v>
      </c>
      <c r="AE469" s="144">
        <v>0</v>
      </c>
      <c r="AF469" s="146">
        <v>0</v>
      </c>
      <c r="AG469" s="70">
        <v>0</v>
      </c>
      <c r="AH469" s="70">
        <v>0</v>
      </c>
      <c r="AI469" s="70">
        <v>0</v>
      </c>
      <c r="AJ469" s="70">
        <v>0</v>
      </c>
      <c r="AK469" s="70">
        <v>0</v>
      </c>
      <c r="AL469" s="70">
        <v>0.01</v>
      </c>
      <c r="AM469" s="70">
        <v>0</v>
      </c>
      <c r="AN469" s="70" t="s">
        <v>1877</v>
      </c>
    </row>
    <row r="470" spans="1:40">
      <c r="A470" s="132">
        <f t="shared" si="58"/>
        <v>462</v>
      </c>
      <c r="B470" s="133" t="s">
        <v>1769</v>
      </c>
      <c r="C470" s="133" t="s">
        <v>1928</v>
      </c>
      <c r="D470" s="132" t="s">
        <v>1717</v>
      </c>
      <c r="E470" s="147" t="s">
        <v>1429</v>
      </c>
      <c r="F470" s="135">
        <v>45786</v>
      </c>
      <c r="G470" s="45"/>
      <c r="H470" s="136"/>
      <c r="I470" s="136">
        <v>1534750</v>
      </c>
      <c r="J470" s="137" t="s">
        <v>1025</v>
      </c>
      <c r="K470" s="137"/>
      <c r="L470" s="148">
        <f t="shared" si="60"/>
        <v>1534750</v>
      </c>
      <c r="M470" s="122">
        <f t="shared" si="51"/>
        <v>0</v>
      </c>
      <c r="N470" s="137"/>
      <c r="O470" s="149" t="b">
        <f t="shared" si="52"/>
        <v>1</v>
      </c>
      <c r="P470" s="149">
        <f t="shared" si="53"/>
        <v>0</v>
      </c>
      <c r="Q470" s="149" t="b">
        <f t="shared" si="54"/>
        <v>1</v>
      </c>
      <c r="R470" s="149">
        <f t="shared" si="55"/>
        <v>0</v>
      </c>
      <c r="S470" s="144"/>
      <c r="T470" s="143">
        <v>45786</v>
      </c>
      <c r="U470" s="144" t="s">
        <v>1429</v>
      </c>
      <c r="V470" s="144"/>
      <c r="W470" s="144"/>
      <c r="X470" s="144"/>
      <c r="Y470" s="144" t="s">
        <v>1802</v>
      </c>
      <c r="Z470" s="145"/>
      <c r="AA470" s="145"/>
      <c r="AB470" s="144"/>
      <c r="AC470" s="144"/>
      <c r="AD470" s="145">
        <v>1534750</v>
      </c>
      <c r="AE470" s="144"/>
      <c r="AF470" s="146"/>
    </row>
    <row r="471" spans="1:40">
      <c r="A471" s="132">
        <f t="shared" si="58"/>
        <v>463</v>
      </c>
      <c r="B471" s="133" t="s">
        <v>1768</v>
      </c>
      <c r="C471" s="133" t="s">
        <v>1929</v>
      </c>
      <c r="D471" s="132" t="s">
        <v>1069</v>
      </c>
      <c r="E471" s="147" t="s">
        <v>1430</v>
      </c>
      <c r="F471" s="135">
        <v>45796</v>
      </c>
      <c r="G471" s="45"/>
      <c r="H471" s="136"/>
      <c r="I471" s="136">
        <v>56028</v>
      </c>
      <c r="J471" s="137" t="s">
        <v>1025</v>
      </c>
      <c r="K471" s="137"/>
      <c r="L471" s="148">
        <f t="shared" si="60"/>
        <v>56028</v>
      </c>
      <c r="M471" s="122">
        <f t="shared" ref="M471:M534" si="61">I471-L471</f>
        <v>0</v>
      </c>
      <c r="N471" s="137"/>
      <c r="O471" s="149" t="b">
        <f t="shared" ref="O471:O534" si="62">U471=E471</f>
        <v>1</v>
      </c>
      <c r="P471" s="149">
        <f t="shared" ref="P471:P534" si="63">MONTH(F471)-MONTH(T471)</f>
        <v>0</v>
      </c>
      <c r="Q471" s="149" t="b">
        <f t="shared" ref="Q471:Q534" si="64">$B$5=X471</f>
        <v>0</v>
      </c>
      <c r="R471" s="149">
        <f t="shared" ref="R471:R534" si="65">I471-AD471</f>
        <v>0</v>
      </c>
      <c r="S471" s="144"/>
      <c r="T471" s="143">
        <v>45796</v>
      </c>
      <c r="U471" s="144" t="s">
        <v>1430</v>
      </c>
      <c r="V471" s="144">
        <v>0</v>
      </c>
      <c r="W471" s="144" t="s">
        <v>1071</v>
      </c>
      <c r="X471" s="144" t="s">
        <v>1801</v>
      </c>
      <c r="Y471" s="144" t="s">
        <v>1802</v>
      </c>
      <c r="Z471" s="145">
        <v>616308</v>
      </c>
      <c r="AA471" s="145">
        <v>560280</v>
      </c>
      <c r="AB471" s="144">
        <v>0</v>
      </c>
      <c r="AC471" s="144" t="s">
        <v>1022</v>
      </c>
      <c r="AD471" s="145">
        <v>56028</v>
      </c>
      <c r="AE471" s="144">
        <v>0</v>
      </c>
      <c r="AF471" s="146">
        <v>0</v>
      </c>
      <c r="AG471" s="70">
        <v>0</v>
      </c>
      <c r="AH471" s="70">
        <v>0</v>
      </c>
      <c r="AI471" s="70">
        <v>0</v>
      </c>
      <c r="AJ471" s="70">
        <v>0</v>
      </c>
      <c r="AK471" s="70">
        <v>0</v>
      </c>
      <c r="AL471" s="70">
        <v>0.01</v>
      </c>
      <c r="AM471" s="70">
        <v>0</v>
      </c>
      <c r="AN471" s="70" t="s">
        <v>1877</v>
      </c>
    </row>
    <row r="472" spans="1:40">
      <c r="A472" s="132">
        <f t="shared" si="58"/>
        <v>464</v>
      </c>
      <c r="B472" s="133" t="s">
        <v>1769</v>
      </c>
      <c r="C472" s="133" t="s">
        <v>1928</v>
      </c>
      <c r="D472" s="132" t="s">
        <v>1717</v>
      </c>
      <c r="E472" s="147" t="s">
        <v>1431</v>
      </c>
      <c r="F472" s="135">
        <v>45786</v>
      </c>
      <c r="G472" s="45"/>
      <c r="H472" s="136"/>
      <c r="I472" s="136">
        <v>333250</v>
      </c>
      <c r="J472" s="137" t="s">
        <v>1025</v>
      </c>
      <c r="K472" s="137"/>
      <c r="L472" s="148">
        <f t="shared" si="60"/>
        <v>333250</v>
      </c>
      <c r="M472" s="122">
        <f t="shared" si="61"/>
        <v>0</v>
      </c>
      <c r="N472" s="137"/>
      <c r="O472" s="149" t="b">
        <f t="shared" si="62"/>
        <v>1</v>
      </c>
      <c r="P472" s="149">
        <f t="shared" si="63"/>
        <v>0</v>
      </c>
      <c r="Q472" s="149" t="b">
        <f t="shared" si="64"/>
        <v>1</v>
      </c>
      <c r="R472" s="149">
        <f t="shared" si="65"/>
        <v>0</v>
      </c>
      <c r="S472" s="144"/>
      <c r="T472" s="143">
        <v>45786</v>
      </c>
      <c r="U472" s="144" t="s">
        <v>1431</v>
      </c>
      <c r="V472" s="144"/>
      <c r="W472" s="144"/>
      <c r="X472" s="144"/>
      <c r="Y472" s="144" t="s">
        <v>1802</v>
      </c>
      <c r="Z472" s="145"/>
      <c r="AA472" s="145"/>
      <c r="AB472" s="144"/>
      <c r="AC472" s="144"/>
      <c r="AD472" s="145">
        <v>333250</v>
      </c>
      <c r="AE472" s="144"/>
      <c r="AF472" s="146"/>
    </row>
    <row r="473" spans="1:40">
      <c r="A473" s="132">
        <f t="shared" si="58"/>
        <v>465</v>
      </c>
      <c r="B473" s="133" t="s">
        <v>1768</v>
      </c>
      <c r="C473" s="133" t="s">
        <v>1929</v>
      </c>
      <c r="D473" s="132" t="s">
        <v>1069</v>
      </c>
      <c r="E473" s="147" t="s">
        <v>1432</v>
      </c>
      <c r="F473" s="135">
        <v>45796</v>
      </c>
      <c r="G473" s="45"/>
      <c r="H473" s="136"/>
      <c r="I473" s="136">
        <v>28014</v>
      </c>
      <c r="J473" s="137" t="s">
        <v>1025</v>
      </c>
      <c r="K473" s="137"/>
      <c r="L473" s="148">
        <f t="shared" si="60"/>
        <v>28014</v>
      </c>
      <c r="M473" s="122">
        <f t="shared" si="61"/>
        <v>0</v>
      </c>
      <c r="N473" s="137"/>
      <c r="O473" s="149" t="b">
        <f t="shared" si="62"/>
        <v>1</v>
      </c>
      <c r="P473" s="149">
        <f t="shared" si="63"/>
        <v>0</v>
      </c>
      <c r="Q473" s="149" t="b">
        <f t="shared" si="64"/>
        <v>0</v>
      </c>
      <c r="R473" s="149">
        <f t="shared" si="65"/>
        <v>0</v>
      </c>
      <c r="S473" s="144"/>
      <c r="T473" s="143">
        <v>45796</v>
      </c>
      <c r="U473" s="144" t="s">
        <v>1432</v>
      </c>
      <c r="V473" s="144">
        <v>0</v>
      </c>
      <c r="W473" s="144" t="s">
        <v>1071</v>
      </c>
      <c r="X473" s="144" t="s">
        <v>1801</v>
      </c>
      <c r="Y473" s="144" t="s">
        <v>1802</v>
      </c>
      <c r="Z473" s="145">
        <v>308154</v>
      </c>
      <c r="AA473" s="145">
        <v>280140</v>
      </c>
      <c r="AB473" s="144">
        <v>0</v>
      </c>
      <c r="AC473" s="144" t="s">
        <v>1022</v>
      </c>
      <c r="AD473" s="145">
        <v>28014</v>
      </c>
      <c r="AE473" s="144">
        <v>0</v>
      </c>
      <c r="AF473" s="146">
        <v>0</v>
      </c>
      <c r="AG473" s="70">
        <v>0</v>
      </c>
      <c r="AH473" s="70">
        <v>0</v>
      </c>
      <c r="AI473" s="70">
        <v>0</v>
      </c>
      <c r="AJ473" s="70">
        <v>0</v>
      </c>
      <c r="AK473" s="70">
        <v>0</v>
      </c>
      <c r="AL473" s="70">
        <v>0.01</v>
      </c>
      <c r="AM473" s="70">
        <v>0</v>
      </c>
      <c r="AN473" s="70" t="s">
        <v>1877</v>
      </c>
    </row>
    <row r="474" spans="1:40">
      <c r="A474" s="132">
        <f t="shared" si="58"/>
        <v>466</v>
      </c>
      <c r="B474" s="133" t="s">
        <v>1769</v>
      </c>
      <c r="C474" s="133" t="s">
        <v>1928</v>
      </c>
      <c r="D474" s="132" t="s">
        <v>1717</v>
      </c>
      <c r="E474" s="147" t="s">
        <v>1433</v>
      </c>
      <c r="F474" s="135">
        <v>45786</v>
      </c>
      <c r="G474" s="45"/>
      <c r="H474" s="136"/>
      <c r="I474" s="136">
        <v>229372</v>
      </c>
      <c r="J474" s="137" t="s">
        <v>1025</v>
      </c>
      <c r="K474" s="137"/>
      <c r="L474" s="148">
        <f t="shared" si="60"/>
        <v>229372</v>
      </c>
      <c r="M474" s="122">
        <f t="shared" si="61"/>
        <v>0</v>
      </c>
      <c r="N474" s="137"/>
      <c r="O474" s="149" t="b">
        <f t="shared" si="62"/>
        <v>1</v>
      </c>
      <c r="P474" s="149">
        <f t="shared" si="63"/>
        <v>0</v>
      </c>
      <c r="Q474" s="149" t="b">
        <f t="shared" si="64"/>
        <v>1</v>
      </c>
      <c r="R474" s="149">
        <f t="shared" si="65"/>
        <v>0</v>
      </c>
      <c r="S474" s="144"/>
      <c r="T474" s="143">
        <v>45786</v>
      </c>
      <c r="U474" s="144" t="s">
        <v>1433</v>
      </c>
      <c r="V474" s="144"/>
      <c r="W474" s="144"/>
      <c r="X474" s="144"/>
      <c r="Y474" s="144" t="s">
        <v>1802</v>
      </c>
      <c r="Z474" s="145"/>
      <c r="AA474" s="145"/>
      <c r="AB474" s="144"/>
      <c r="AC474" s="144"/>
      <c r="AD474" s="145">
        <v>229372</v>
      </c>
      <c r="AE474" s="144"/>
      <c r="AF474" s="146"/>
    </row>
    <row r="475" spans="1:40">
      <c r="A475" s="132">
        <f t="shared" si="58"/>
        <v>467</v>
      </c>
      <c r="B475" s="133" t="s">
        <v>1768</v>
      </c>
      <c r="C475" s="133" t="s">
        <v>1929</v>
      </c>
      <c r="D475" s="132" t="s">
        <v>1069</v>
      </c>
      <c r="E475" s="147" t="s">
        <v>1434</v>
      </c>
      <c r="F475" s="135">
        <v>45796</v>
      </c>
      <c r="G475" s="45"/>
      <c r="H475" s="136"/>
      <c r="I475" s="136">
        <v>140070</v>
      </c>
      <c r="J475" s="137" t="s">
        <v>1025</v>
      </c>
      <c r="K475" s="137"/>
      <c r="L475" s="148">
        <f t="shared" si="60"/>
        <v>140070</v>
      </c>
      <c r="M475" s="122">
        <f t="shared" si="61"/>
        <v>0</v>
      </c>
      <c r="N475" s="137"/>
      <c r="O475" s="149" t="b">
        <f t="shared" si="62"/>
        <v>1</v>
      </c>
      <c r="P475" s="149">
        <f t="shared" si="63"/>
        <v>0</v>
      </c>
      <c r="Q475" s="149" t="b">
        <f t="shared" si="64"/>
        <v>0</v>
      </c>
      <c r="R475" s="149">
        <f t="shared" si="65"/>
        <v>0</v>
      </c>
      <c r="S475" s="144"/>
      <c r="T475" s="143">
        <v>45796</v>
      </c>
      <c r="U475" s="144" t="s">
        <v>1434</v>
      </c>
      <c r="V475" s="144">
        <v>0</v>
      </c>
      <c r="W475" s="144" t="s">
        <v>1071</v>
      </c>
      <c r="X475" s="144" t="s">
        <v>1801</v>
      </c>
      <c r="Y475" s="144" t="s">
        <v>1802</v>
      </c>
      <c r="Z475" s="145">
        <v>1540770</v>
      </c>
      <c r="AA475" s="145">
        <v>1400700</v>
      </c>
      <c r="AB475" s="144">
        <v>0</v>
      </c>
      <c r="AC475" s="144" t="s">
        <v>1022</v>
      </c>
      <c r="AD475" s="145">
        <v>140070</v>
      </c>
      <c r="AE475" s="144">
        <v>0</v>
      </c>
      <c r="AF475" s="146">
        <v>0</v>
      </c>
      <c r="AG475" s="70">
        <v>0</v>
      </c>
      <c r="AH475" s="70">
        <v>0</v>
      </c>
      <c r="AI475" s="70">
        <v>0</v>
      </c>
      <c r="AJ475" s="70">
        <v>0</v>
      </c>
      <c r="AK475" s="70">
        <v>0</v>
      </c>
      <c r="AL475" s="70">
        <v>0.01</v>
      </c>
      <c r="AM475" s="70">
        <v>0</v>
      </c>
      <c r="AN475" s="70" t="s">
        <v>1877</v>
      </c>
    </row>
    <row r="476" spans="1:40">
      <c r="A476" s="132">
        <f t="shared" si="58"/>
        <v>468</v>
      </c>
      <c r="B476" s="133" t="s">
        <v>1769</v>
      </c>
      <c r="C476" s="133" t="s">
        <v>1928</v>
      </c>
      <c r="D476" s="132" t="s">
        <v>1717</v>
      </c>
      <c r="E476" s="147" t="s">
        <v>1435</v>
      </c>
      <c r="F476" s="135">
        <v>45786</v>
      </c>
      <c r="G476" s="45"/>
      <c r="H476" s="136"/>
      <c r="I476" s="136">
        <v>341056</v>
      </c>
      <c r="J476" s="137" t="s">
        <v>1025</v>
      </c>
      <c r="K476" s="137"/>
      <c r="L476" s="148">
        <f t="shared" si="60"/>
        <v>341056</v>
      </c>
      <c r="M476" s="122">
        <f t="shared" si="61"/>
        <v>0</v>
      </c>
      <c r="N476" s="137"/>
      <c r="O476" s="149" t="b">
        <f t="shared" si="62"/>
        <v>1</v>
      </c>
      <c r="P476" s="149">
        <f t="shared" si="63"/>
        <v>0</v>
      </c>
      <c r="Q476" s="149" t="b">
        <f t="shared" si="64"/>
        <v>1</v>
      </c>
      <c r="R476" s="149">
        <f t="shared" si="65"/>
        <v>0</v>
      </c>
      <c r="S476" s="144"/>
      <c r="T476" s="143">
        <v>45786</v>
      </c>
      <c r="U476" s="144" t="s">
        <v>1435</v>
      </c>
      <c r="V476" s="144"/>
      <c r="W476" s="144"/>
      <c r="X476" s="144"/>
      <c r="Y476" s="144" t="s">
        <v>1802</v>
      </c>
      <c r="Z476" s="145"/>
      <c r="AA476" s="145"/>
      <c r="AB476" s="144"/>
      <c r="AC476" s="144"/>
      <c r="AD476" s="145">
        <v>341056</v>
      </c>
      <c r="AE476" s="144"/>
      <c r="AF476" s="146"/>
    </row>
    <row r="477" spans="1:40">
      <c r="A477" s="132">
        <f t="shared" si="58"/>
        <v>469</v>
      </c>
      <c r="B477" s="133" t="s">
        <v>1784</v>
      </c>
      <c r="C477" s="133" t="s">
        <v>1929</v>
      </c>
      <c r="D477" s="132" t="s">
        <v>1069</v>
      </c>
      <c r="E477" s="147" t="s">
        <v>1436</v>
      </c>
      <c r="F477" s="135">
        <v>45805</v>
      </c>
      <c r="G477" s="45"/>
      <c r="H477" s="136"/>
      <c r="I477" s="136">
        <v>2402</v>
      </c>
      <c r="J477" s="137" t="s">
        <v>1025</v>
      </c>
      <c r="K477" s="137"/>
      <c r="L477" s="148">
        <f t="shared" si="60"/>
        <v>2402</v>
      </c>
      <c r="M477" s="122">
        <f t="shared" si="61"/>
        <v>0</v>
      </c>
      <c r="N477" s="137"/>
      <c r="O477" s="149" t="b">
        <f t="shared" si="62"/>
        <v>1</v>
      </c>
      <c r="P477" s="149">
        <f t="shared" si="63"/>
        <v>0</v>
      </c>
      <c r="Q477" s="149" t="b">
        <f t="shared" si="64"/>
        <v>0</v>
      </c>
      <c r="R477" s="149">
        <f t="shared" si="65"/>
        <v>0</v>
      </c>
      <c r="S477" s="144"/>
      <c r="T477" s="143">
        <v>45805</v>
      </c>
      <c r="U477" s="144" t="s">
        <v>1436</v>
      </c>
      <c r="V477" s="144">
        <v>0</v>
      </c>
      <c r="W477" s="144" t="s">
        <v>1071</v>
      </c>
      <c r="X477" s="144" t="s">
        <v>1801</v>
      </c>
      <c r="Y477" s="144" t="s">
        <v>1802</v>
      </c>
      <c r="Z477" s="145">
        <v>26422</v>
      </c>
      <c r="AA477" s="145">
        <v>24020</v>
      </c>
      <c r="AB477" s="144">
        <v>0</v>
      </c>
      <c r="AC477" s="144" t="s">
        <v>1022</v>
      </c>
      <c r="AD477" s="145">
        <v>2402</v>
      </c>
      <c r="AE477" s="144">
        <v>0</v>
      </c>
      <c r="AF477" s="146">
        <v>0</v>
      </c>
      <c r="AG477" s="70">
        <v>0</v>
      </c>
      <c r="AH477" s="70">
        <v>0</v>
      </c>
      <c r="AI477" s="70">
        <v>0</v>
      </c>
      <c r="AJ477" s="70">
        <v>0</v>
      </c>
      <c r="AK477" s="70">
        <v>0</v>
      </c>
      <c r="AL477" s="70">
        <v>0.01</v>
      </c>
      <c r="AM477" s="70">
        <v>0</v>
      </c>
      <c r="AN477" s="70" t="s">
        <v>1877</v>
      </c>
    </row>
    <row r="478" spans="1:40">
      <c r="A478" s="132">
        <f t="shared" si="58"/>
        <v>470</v>
      </c>
      <c r="B478" s="133" t="s">
        <v>1768</v>
      </c>
      <c r="C478" s="133" t="s">
        <v>1929</v>
      </c>
      <c r="D478" s="132" t="s">
        <v>1069</v>
      </c>
      <c r="E478" s="147" t="s">
        <v>1437</v>
      </c>
      <c r="F478" s="135">
        <v>45796</v>
      </c>
      <c r="G478" s="45"/>
      <c r="H478" s="136"/>
      <c r="I478" s="136">
        <v>28014</v>
      </c>
      <c r="J478" s="137" t="s">
        <v>1025</v>
      </c>
      <c r="K478" s="137"/>
      <c r="L478" s="148">
        <f t="shared" si="60"/>
        <v>28014</v>
      </c>
      <c r="M478" s="122">
        <f t="shared" si="61"/>
        <v>0</v>
      </c>
      <c r="N478" s="137"/>
      <c r="O478" s="149" t="b">
        <f t="shared" si="62"/>
        <v>1</v>
      </c>
      <c r="P478" s="149">
        <f t="shared" si="63"/>
        <v>0</v>
      </c>
      <c r="Q478" s="149" t="b">
        <f t="shared" si="64"/>
        <v>0</v>
      </c>
      <c r="R478" s="149">
        <f t="shared" si="65"/>
        <v>0</v>
      </c>
      <c r="S478" s="144" t="s">
        <v>1046</v>
      </c>
      <c r="T478" s="143">
        <v>45796</v>
      </c>
      <c r="U478" s="144" t="s">
        <v>1437</v>
      </c>
      <c r="V478" s="144">
        <v>0</v>
      </c>
      <c r="W478" s="144" t="s">
        <v>1071</v>
      </c>
      <c r="X478" s="144" t="s">
        <v>1801</v>
      </c>
      <c r="Y478" s="144" t="s">
        <v>1802</v>
      </c>
      <c r="Z478" s="145">
        <v>308154</v>
      </c>
      <c r="AA478" s="145">
        <v>280140</v>
      </c>
      <c r="AB478" s="144">
        <v>0</v>
      </c>
      <c r="AC478" s="144" t="s">
        <v>1022</v>
      </c>
      <c r="AD478" s="145">
        <v>28014</v>
      </c>
      <c r="AE478" s="144">
        <v>0</v>
      </c>
      <c r="AF478" s="146">
        <v>0</v>
      </c>
      <c r="AG478" s="70">
        <v>0</v>
      </c>
      <c r="AH478" s="70">
        <v>0</v>
      </c>
      <c r="AI478" s="70">
        <v>0</v>
      </c>
      <c r="AJ478" s="70">
        <v>0</v>
      </c>
      <c r="AK478" s="70">
        <v>0</v>
      </c>
      <c r="AL478" s="70">
        <v>0.01</v>
      </c>
      <c r="AM478" s="70">
        <v>0</v>
      </c>
      <c r="AN478" s="70" t="s">
        <v>1877</v>
      </c>
    </row>
    <row r="479" spans="1:40">
      <c r="A479" s="132">
        <f t="shared" si="58"/>
        <v>471</v>
      </c>
      <c r="B479" s="133" t="s">
        <v>1769</v>
      </c>
      <c r="C479" s="133" t="s">
        <v>1928</v>
      </c>
      <c r="D479" s="132" t="s">
        <v>1717</v>
      </c>
      <c r="E479" s="147" t="s">
        <v>1438</v>
      </c>
      <c r="F479" s="135">
        <v>45786</v>
      </c>
      <c r="G479" s="45"/>
      <c r="H479" s="136"/>
      <c r="I479" s="136">
        <v>170528</v>
      </c>
      <c r="J479" s="137" t="s">
        <v>1025</v>
      </c>
      <c r="K479" s="137"/>
      <c r="L479" s="148">
        <f>I479</f>
        <v>170528</v>
      </c>
      <c r="M479" s="122">
        <f t="shared" si="61"/>
        <v>0</v>
      </c>
      <c r="N479" s="137"/>
      <c r="O479" s="149" t="b">
        <f t="shared" si="62"/>
        <v>1</v>
      </c>
      <c r="P479" s="149">
        <f t="shared" si="63"/>
        <v>0</v>
      </c>
      <c r="Q479" s="149" t="b">
        <f t="shared" si="64"/>
        <v>1</v>
      </c>
      <c r="R479" s="149">
        <f t="shared" si="65"/>
        <v>0</v>
      </c>
      <c r="S479" s="144"/>
      <c r="T479" s="143">
        <v>45786</v>
      </c>
      <c r="U479" s="144" t="s">
        <v>1438</v>
      </c>
      <c r="V479" s="144"/>
      <c r="W479" s="144"/>
      <c r="X479" s="144"/>
      <c r="Y479" s="144" t="s">
        <v>1802</v>
      </c>
      <c r="Z479" s="145"/>
      <c r="AA479" s="145"/>
      <c r="AB479" s="144"/>
      <c r="AC479" s="144"/>
      <c r="AD479" s="145">
        <v>170528</v>
      </c>
      <c r="AE479" s="144"/>
      <c r="AF479" s="146"/>
    </row>
    <row r="480" spans="1:40">
      <c r="A480" s="132">
        <f t="shared" si="58"/>
        <v>472</v>
      </c>
      <c r="B480" s="133" t="s">
        <v>1768</v>
      </c>
      <c r="C480" s="133" t="s">
        <v>1929</v>
      </c>
      <c r="D480" s="132" t="s">
        <v>1069</v>
      </c>
      <c r="E480" s="147" t="s">
        <v>1439</v>
      </c>
      <c r="F480" s="135">
        <v>45796</v>
      </c>
      <c r="G480" s="45"/>
      <c r="H480" s="136"/>
      <c r="I480" s="136">
        <v>224112</v>
      </c>
      <c r="J480" s="137" t="s">
        <v>1025</v>
      </c>
      <c r="K480" s="137"/>
      <c r="L480" s="148">
        <f>I480</f>
        <v>224112</v>
      </c>
      <c r="M480" s="122">
        <f t="shared" si="61"/>
        <v>0</v>
      </c>
      <c r="N480" s="137"/>
      <c r="O480" s="149" t="b">
        <f t="shared" si="62"/>
        <v>1</v>
      </c>
      <c r="P480" s="149">
        <f t="shared" si="63"/>
        <v>0</v>
      </c>
      <c r="Q480" s="149" t="b">
        <f t="shared" si="64"/>
        <v>0</v>
      </c>
      <c r="R480" s="149">
        <f t="shared" si="65"/>
        <v>0</v>
      </c>
      <c r="S480" s="144"/>
      <c r="T480" s="143">
        <v>45796</v>
      </c>
      <c r="U480" s="144" t="s">
        <v>1439</v>
      </c>
      <c r="V480" s="144">
        <v>0</v>
      </c>
      <c r="W480" s="144" t="s">
        <v>1071</v>
      </c>
      <c r="X480" s="144" t="s">
        <v>1801</v>
      </c>
      <c r="Y480" s="144" t="s">
        <v>1802</v>
      </c>
      <c r="Z480" s="145">
        <v>2465232</v>
      </c>
      <c r="AA480" s="145">
        <v>2241120</v>
      </c>
      <c r="AB480" s="144">
        <v>0</v>
      </c>
      <c r="AC480" s="144" t="s">
        <v>1022</v>
      </c>
      <c r="AD480" s="145">
        <v>224112</v>
      </c>
      <c r="AE480" s="144">
        <v>0</v>
      </c>
      <c r="AF480" s="146">
        <v>0</v>
      </c>
      <c r="AG480" s="70">
        <v>0</v>
      </c>
      <c r="AH480" s="70">
        <v>0</v>
      </c>
      <c r="AI480" s="70">
        <v>0</v>
      </c>
      <c r="AJ480" s="70">
        <v>0</v>
      </c>
      <c r="AK480" s="70">
        <v>0</v>
      </c>
      <c r="AL480" s="70">
        <v>0.01</v>
      </c>
      <c r="AM480" s="70">
        <v>0</v>
      </c>
      <c r="AN480" s="70" t="s">
        <v>1877</v>
      </c>
    </row>
    <row r="481" spans="1:41">
      <c r="A481" s="132">
        <f t="shared" si="58"/>
        <v>473</v>
      </c>
      <c r="B481" s="133" t="s">
        <v>1769</v>
      </c>
      <c r="C481" s="133" t="s">
        <v>1928</v>
      </c>
      <c r="D481" s="132" t="s">
        <v>1717</v>
      </c>
      <c r="E481" s="147" t="s">
        <v>1440</v>
      </c>
      <c r="F481" s="135">
        <v>45786</v>
      </c>
      <c r="G481" s="45"/>
      <c r="H481" s="136"/>
      <c r="I481" s="136">
        <v>1364222</v>
      </c>
      <c r="J481" s="137" t="s">
        <v>1025</v>
      </c>
      <c r="K481" s="137"/>
      <c r="L481" s="148">
        <f t="shared" ref="L481:L491" si="66">I481</f>
        <v>1364222</v>
      </c>
      <c r="M481" s="122">
        <f t="shared" si="61"/>
        <v>0</v>
      </c>
      <c r="N481" s="137"/>
      <c r="O481" s="149" t="b">
        <f t="shared" si="62"/>
        <v>1</v>
      </c>
      <c r="P481" s="149">
        <f t="shared" si="63"/>
        <v>0</v>
      </c>
      <c r="Q481" s="149" t="b">
        <f t="shared" si="64"/>
        <v>1</v>
      </c>
      <c r="R481" s="149">
        <f t="shared" si="65"/>
        <v>0</v>
      </c>
      <c r="S481" s="144"/>
      <c r="T481" s="143">
        <v>45786</v>
      </c>
      <c r="U481" s="144" t="s">
        <v>1440</v>
      </c>
      <c r="V481" s="144"/>
      <c r="W481" s="144"/>
      <c r="X481" s="144"/>
      <c r="Y481" s="144" t="s">
        <v>1802</v>
      </c>
      <c r="Z481" s="145"/>
      <c r="AA481" s="145"/>
      <c r="AB481" s="144"/>
      <c r="AC481" s="144"/>
      <c r="AD481" s="145">
        <v>1364222</v>
      </c>
      <c r="AE481" s="144"/>
      <c r="AF481" s="146"/>
    </row>
    <row r="482" spans="1:41">
      <c r="A482" s="132">
        <f t="shared" si="58"/>
        <v>474</v>
      </c>
      <c r="B482" s="133" t="s">
        <v>1765</v>
      </c>
      <c r="C482" s="133" t="s">
        <v>1904</v>
      </c>
      <c r="D482" s="132" t="s">
        <v>1698</v>
      </c>
      <c r="E482" s="147" t="s">
        <v>1441</v>
      </c>
      <c r="F482" s="135">
        <v>45804</v>
      </c>
      <c r="G482" s="45"/>
      <c r="H482" s="136"/>
      <c r="I482" s="136">
        <v>3026268</v>
      </c>
      <c r="J482" s="137" t="s">
        <v>1025</v>
      </c>
      <c r="K482" s="137"/>
      <c r="L482" s="148">
        <f t="shared" si="66"/>
        <v>3026268</v>
      </c>
      <c r="M482" s="122">
        <f t="shared" si="61"/>
        <v>0</v>
      </c>
      <c r="N482" s="137"/>
      <c r="O482" s="149" t="b">
        <f t="shared" si="62"/>
        <v>1</v>
      </c>
      <c r="P482" s="149">
        <f t="shared" si="63"/>
        <v>0</v>
      </c>
      <c r="Q482" s="149" t="b">
        <f t="shared" si="64"/>
        <v>1</v>
      </c>
      <c r="R482" s="149">
        <f t="shared" si="65"/>
        <v>0</v>
      </c>
      <c r="S482" s="144"/>
      <c r="T482" s="143">
        <v>45804</v>
      </c>
      <c r="U482" s="144" t="s">
        <v>1441</v>
      </c>
      <c r="V482" s="144"/>
      <c r="W482" s="144"/>
      <c r="X482" s="144"/>
      <c r="Y482" s="144" t="s">
        <v>1802</v>
      </c>
      <c r="Z482" s="145"/>
      <c r="AA482" s="145"/>
      <c r="AB482" s="144"/>
      <c r="AC482" s="144"/>
      <c r="AD482" s="145">
        <v>3026268</v>
      </c>
      <c r="AE482" s="144"/>
      <c r="AF482" s="146"/>
      <c r="AN482" s="70" t="s">
        <v>1807</v>
      </c>
    </row>
    <row r="483" spans="1:41">
      <c r="A483" s="132">
        <f t="shared" si="58"/>
        <v>475</v>
      </c>
      <c r="B483" s="133" t="s">
        <v>1780</v>
      </c>
      <c r="C483" s="133" t="s">
        <v>1925</v>
      </c>
      <c r="D483" s="132" t="s">
        <v>1715</v>
      </c>
      <c r="E483" s="147" t="s">
        <v>1442</v>
      </c>
      <c r="F483" s="135">
        <v>45807</v>
      </c>
      <c r="G483" s="45"/>
      <c r="H483" s="136"/>
      <c r="I483" s="136">
        <v>1005255</v>
      </c>
      <c r="J483" s="137" t="s">
        <v>1025</v>
      </c>
      <c r="K483" s="137"/>
      <c r="L483" s="148">
        <f t="shared" si="66"/>
        <v>1005255</v>
      </c>
      <c r="M483" s="122">
        <f t="shared" si="61"/>
        <v>0</v>
      </c>
      <c r="N483" s="137"/>
      <c r="O483" s="149" t="b">
        <f t="shared" si="62"/>
        <v>1</v>
      </c>
      <c r="P483" s="149">
        <f t="shared" si="63"/>
        <v>0</v>
      </c>
      <c r="Q483" s="149" t="b">
        <f t="shared" si="64"/>
        <v>1</v>
      </c>
      <c r="R483" s="149">
        <f t="shared" si="65"/>
        <v>0</v>
      </c>
      <c r="S483" s="144"/>
      <c r="T483" s="143">
        <v>45807</v>
      </c>
      <c r="U483" s="144" t="s">
        <v>1442</v>
      </c>
      <c r="V483" s="144"/>
      <c r="W483" s="144"/>
      <c r="X483" s="144"/>
      <c r="Y483" s="144" t="s">
        <v>1802</v>
      </c>
      <c r="Z483" s="145"/>
      <c r="AA483" s="145"/>
      <c r="AB483" s="144"/>
      <c r="AC483" s="144"/>
      <c r="AD483" s="145">
        <v>1005255</v>
      </c>
      <c r="AE483" s="144"/>
      <c r="AF483" s="146"/>
    </row>
    <row r="484" spans="1:41">
      <c r="A484" s="132">
        <f t="shared" si="58"/>
        <v>476</v>
      </c>
      <c r="B484" s="133" t="s">
        <v>1764</v>
      </c>
      <c r="C484" s="133" t="s">
        <v>1905</v>
      </c>
      <c r="D484" s="132" t="s">
        <v>1024</v>
      </c>
      <c r="E484" s="147">
        <v>202500122681</v>
      </c>
      <c r="F484" s="135">
        <v>45803</v>
      </c>
      <c r="G484" s="45"/>
      <c r="H484" s="136"/>
      <c r="I484" s="136">
        <v>34817</v>
      </c>
      <c r="J484" s="137" t="s">
        <v>1025</v>
      </c>
      <c r="K484" s="137"/>
      <c r="L484" s="148">
        <f t="shared" si="66"/>
        <v>34817</v>
      </c>
      <c r="M484" s="122">
        <f t="shared" si="61"/>
        <v>0</v>
      </c>
      <c r="N484" s="137"/>
      <c r="O484" s="149" t="b">
        <f t="shared" si="62"/>
        <v>1</v>
      </c>
      <c r="P484" s="149">
        <f t="shared" si="63"/>
        <v>0</v>
      </c>
      <c r="Q484" s="149" t="b">
        <f t="shared" si="64"/>
        <v>0</v>
      </c>
      <c r="R484" s="149">
        <f t="shared" si="65"/>
        <v>0</v>
      </c>
      <c r="S484" s="144" t="s">
        <v>1046</v>
      </c>
      <c r="T484" s="143">
        <v>45803</v>
      </c>
      <c r="U484" s="144">
        <v>202500122681</v>
      </c>
      <c r="V484" s="144"/>
      <c r="W484" s="144" t="s">
        <v>1071</v>
      </c>
      <c r="X484" s="144" t="s">
        <v>1801</v>
      </c>
      <c r="Y484" s="144" t="s">
        <v>1802</v>
      </c>
      <c r="Z484" s="145">
        <v>382991</v>
      </c>
      <c r="AA484" s="145">
        <v>348174</v>
      </c>
      <c r="AB484" s="144">
        <v>0</v>
      </c>
      <c r="AC484" s="144" t="s">
        <v>1022</v>
      </c>
      <c r="AD484" s="145">
        <v>34817</v>
      </c>
      <c r="AE484" s="144"/>
      <c r="AF484" s="146"/>
    </row>
    <row r="485" spans="1:41">
      <c r="A485" s="132">
        <f t="shared" si="58"/>
        <v>477</v>
      </c>
      <c r="B485" s="133" t="s">
        <v>1764</v>
      </c>
      <c r="C485" s="133" t="s">
        <v>1905</v>
      </c>
      <c r="D485" s="132" t="s">
        <v>1024</v>
      </c>
      <c r="E485" s="147">
        <v>202500101343</v>
      </c>
      <c r="F485" s="135">
        <v>45782</v>
      </c>
      <c r="G485" s="45"/>
      <c r="H485" s="136"/>
      <c r="I485" s="136">
        <v>418018</v>
      </c>
      <c r="J485" s="137" t="s">
        <v>1025</v>
      </c>
      <c r="K485" s="137"/>
      <c r="L485" s="148">
        <f t="shared" si="66"/>
        <v>418018</v>
      </c>
      <c r="M485" s="122">
        <f t="shared" si="61"/>
        <v>0</v>
      </c>
      <c r="N485" s="137"/>
      <c r="O485" s="149" t="b">
        <f t="shared" si="62"/>
        <v>1</v>
      </c>
      <c r="P485" s="149">
        <f t="shared" si="63"/>
        <v>0</v>
      </c>
      <c r="Q485" s="149" t="b">
        <f t="shared" si="64"/>
        <v>0</v>
      </c>
      <c r="R485" s="149">
        <f t="shared" si="65"/>
        <v>0</v>
      </c>
      <c r="S485" s="144"/>
      <c r="T485" s="143">
        <v>45782</v>
      </c>
      <c r="U485" s="144">
        <v>202500101343</v>
      </c>
      <c r="V485" s="144"/>
      <c r="W485" s="144" t="s">
        <v>1071</v>
      </c>
      <c r="X485" s="144" t="s">
        <v>1801</v>
      </c>
      <c r="Y485" s="144" t="s">
        <v>1802</v>
      </c>
      <c r="Z485" s="145">
        <v>4598194</v>
      </c>
      <c r="AA485" s="145">
        <v>4180176</v>
      </c>
      <c r="AB485" s="144">
        <v>0</v>
      </c>
      <c r="AC485" s="144" t="s">
        <v>1022</v>
      </c>
      <c r="AD485" s="145">
        <v>418018</v>
      </c>
      <c r="AE485" s="144"/>
      <c r="AF485" s="146"/>
    </row>
    <row r="486" spans="1:41">
      <c r="A486" s="132">
        <f t="shared" si="58"/>
        <v>478</v>
      </c>
      <c r="B486" s="133" t="s">
        <v>1770</v>
      </c>
      <c r="C486" s="133" t="s">
        <v>1906</v>
      </c>
      <c r="D486" s="132" t="s">
        <v>1036</v>
      </c>
      <c r="E486" s="147" t="s">
        <v>1443</v>
      </c>
      <c r="F486" s="135">
        <v>45778</v>
      </c>
      <c r="G486" s="45"/>
      <c r="H486" s="136"/>
      <c r="I486" s="136">
        <v>2521890</v>
      </c>
      <c r="J486" s="137" t="s">
        <v>1025</v>
      </c>
      <c r="K486" s="137"/>
      <c r="L486" s="148">
        <f t="shared" si="66"/>
        <v>2521890</v>
      </c>
      <c r="M486" s="122">
        <f t="shared" si="61"/>
        <v>0</v>
      </c>
      <c r="N486" s="137"/>
      <c r="O486" s="149" t="b">
        <f t="shared" si="62"/>
        <v>1</v>
      </c>
      <c r="P486" s="149">
        <f t="shared" si="63"/>
        <v>0</v>
      </c>
      <c r="Q486" s="149" t="b">
        <f t="shared" si="64"/>
        <v>0</v>
      </c>
      <c r="R486" s="149">
        <f t="shared" si="65"/>
        <v>0</v>
      </c>
      <c r="S486" s="144"/>
      <c r="T486" s="143">
        <v>45778</v>
      </c>
      <c r="U486" s="144" t="s">
        <v>1443</v>
      </c>
      <c r="V486" s="144"/>
      <c r="W486" s="144" t="s">
        <v>1071</v>
      </c>
      <c r="X486" s="144" t="s">
        <v>1801</v>
      </c>
      <c r="Y486" s="144" t="s">
        <v>1802</v>
      </c>
      <c r="Z486" s="145">
        <v>27740790</v>
      </c>
      <c r="AA486" s="145">
        <v>25218900</v>
      </c>
      <c r="AB486" s="144">
        <v>0</v>
      </c>
      <c r="AC486" s="144" t="s">
        <v>1022</v>
      </c>
      <c r="AD486" s="145">
        <v>2521890</v>
      </c>
      <c r="AE486" s="144">
        <v>0</v>
      </c>
      <c r="AF486" s="146">
        <v>0</v>
      </c>
      <c r="AG486" s="70">
        <v>0</v>
      </c>
      <c r="AH486" s="70">
        <v>0</v>
      </c>
      <c r="AI486" s="70">
        <v>0</v>
      </c>
      <c r="AJ486" s="70">
        <v>0</v>
      </c>
      <c r="AK486" s="70">
        <v>0</v>
      </c>
      <c r="AL486" s="70">
        <v>0.01</v>
      </c>
      <c r="AN486" s="70" t="s">
        <v>1882</v>
      </c>
    </row>
    <row r="487" spans="1:41">
      <c r="A487" s="132">
        <f t="shared" si="58"/>
        <v>479</v>
      </c>
      <c r="B487" s="133" t="s">
        <v>1765</v>
      </c>
      <c r="C487" s="133" t="s">
        <v>1904</v>
      </c>
      <c r="D487" s="132" t="s">
        <v>1698</v>
      </c>
      <c r="E487" s="147" t="s">
        <v>1444</v>
      </c>
      <c r="F487" s="135">
        <v>45782</v>
      </c>
      <c r="G487" s="45"/>
      <c r="H487" s="136"/>
      <c r="I487" s="136">
        <v>2890888</v>
      </c>
      <c r="J487" s="137" t="s">
        <v>1025</v>
      </c>
      <c r="K487" s="137"/>
      <c r="L487" s="148">
        <f t="shared" si="66"/>
        <v>2890888</v>
      </c>
      <c r="M487" s="122">
        <f t="shared" si="61"/>
        <v>0</v>
      </c>
      <c r="N487" s="137"/>
      <c r="O487" s="149" t="b">
        <f t="shared" si="62"/>
        <v>1</v>
      </c>
      <c r="P487" s="149">
        <f t="shared" si="63"/>
        <v>0</v>
      </c>
      <c r="Q487" s="149" t="b">
        <f t="shared" si="64"/>
        <v>1</v>
      </c>
      <c r="R487" s="149">
        <f t="shared" si="65"/>
        <v>0</v>
      </c>
      <c r="S487" s="144"/>
      <c r="T487" s="143">
        <v>45782</v>
      </c>
      <c r="U487" s="144" t="s">
        <v>1444</v>
      </c>
      <c r="V487" s="144"/>
      <c r="W487" s="144"/>
      <c r="X487" s="144"/>
      <c r="Y487" s="144" t="s">
        <v>1802</v>
      </c>
      <c r="Z487" s="145"/>
      <c r="AA487" s="145"/>
      <c r="AB487" s="144"/>
      <c r="AC487" s="144"/>
      <c r="AD487" s="145">
        <v>2890888</v>
      </c>
      <c r="AE487" s="144"/>
      <c r="AF487" s="146"/>
      <c r="AN487" s="70" t="s">
        <v>1807</v>
      </c>
    </row>
    <row r="488" spans="1:41">
      <c r="A488" s="132">
        <f t="shared" si="58"/>
        <v>480</v>
      </c>
      <c r="B488" s="133" t="s">
        <v>1765</v>
      </c>
      <c r="C488" s="133" t="s">
        <v>1904</v>
      </c>
      <c r="D488" s="132" t="s">
        <v>1698</v>
      </c>
      <c r="E488" s="147" t="s">
        <v>1445</v>
      </c>
      <c r="F488" s="135">
        <v>45779</v>
      </c>
      <c r="G488" s="45"/>
      <c r="H488" s="136"/>
      <c r="I488" s="136">
        <v>1084542</v>
      </c>
      <c r="J488" s="137" t="s">
        <v>1025</v>
      </c>
      <c r="K488" s="137"/>
      <c r="L488" s="148">
        <f t="shared" si="66"/>
        <v>1084542</v>
      </c>
      <c r="M488" s="122">
        <f t="shared" si="61"/>
        <v>0</v>
      </c>
      <c r="N488" s="137"/>
      <c r="O488" s="149" t="b">
        <f t="shared" si="62"/>
        <v>1</v>
      </c>
      <c r="P488" s="149">
        <f t="shared" si="63"/>
        <v>0</v>
      </c>
      <c r="Q488" s="149" t="b">
        <f t="shared" si="64"/>
        <v>1</v>
      </c>
      <c r="R488" s="149">
        <f t="shared" si="65"/>
        <v>0</v>
      </c>
      <c r="S488" s="144"/>
      <c r="T488" s="143">
        <v>45779</v>
      </c>
      <c r="U488" s="144" t="s">
        <v>1445</v>
      </c>
      <c r="V488" s="144"/>
      <c r="W488" s="144"/>
      <c r="X488" s="144"/>
      <c r="Y488" s="144" t="s">
        <v>1802</v>
      </c>
      <c r="Z488" s="145"/>
      <c r="AA488" s="145"/>
      <c r="AB488" s="144"/>
      <c r="AC488" s="144"/>
      <c r="AD488" s="145">
        <v>1084542</v>
      </c>
      <c r="AE488" s="144"/>
      <c r="AF488" s="146"/>
      <c r="AN488" s="70" t="s">
        <v>1807</v>
      </c>
    </row>
    <row r="489" spans="1:41">
      <c r="A489" s="132">
        <f t="shared" si="58"/>
        <v>481</v>
      </c>
      <c r="B489" s="133" t="s">
        <v>1765</v>
      </c>
      <c r="C489" s="133" t="s">
        <v>1904</v>
      </c>
      <c r="D489" s="132" t="s">
        <v>1698</v>
      </c>
      <c r="E489" s="147" t="s">
        <v>1446</v>
      </c>
      <c r="F489" s="135">
        <v>45779</v>
      </c>
      <c r="G489" s="45"/>
      <c r="H489" s="136"/>
      <c r="I489" s="136">
        <v>1084542</v>
      </c>
      <c r="J489" s="137" t="s">
        <v>1025</v>
      </c>
      <c r="K489" s="137"/>
      <c r="L489" s="148">
        <f t="shared" si="66"/>
        <v>1084542</v>
      </c>
      <c r="M489" s="122">
        <f t="shared" si="61"/>
        <v>0</v>
      </c>
      <c r="N489" s="137"/>
      <c r="O489" s="149" t="b">
        <f t="shared" si="62"/>
        <v>1</v>
      </c>
      <c r="P489" s="149">
        <f t="shared" si="63"/>
        <v>0</v>
      </c>
      <c r="Q489" s="149" t="b">
        <f t="shared" si="64"/>
        <v>1</v>
      </c>
      <c r="R489" s="149">
        <f t="shared" si="65"/>
        <v>0</v>
      </c>
      <c r="S489" s="144"/>
      <c r="T489" s="143">
        <v>45779</v>
      </c>
      <c r="U489" s="144" t="s">
        <v>1446</v>
      </c>
      <c r="V489" s="144"/>
      <c r="W489" s="144"/>
      <c r="X489" s="144"/>
      <c r="Y489" s="144" t="s">
        <v>1802</v>
      </c>
      <c r="Z489" s="145"/>
      <c r="AA489" s="145"/>
      <c r="AB489" s="144"/>
      <c r="AC489" s="144"/>
      <c r="AD489" s="145">
        <v>1084542</v>
      </c>
      <c r="AE489" s="144"/>
      <c r="AF489" s="146"/>
      <c r="AN489" s="70" t="s">
        <v>1807</v>
      </c>
    </row>
    <row r="490" spans="1:41">
      <c r="A490" s="132">
        <f t="shared" si="58"/>
        <v>482</v>
      </c>
      <c r="B490" s="133" t="s">
        <v>1765</v>
      </c>
      <c r="C490" s="133" t="s">
        <v>1904</v>
      </c>
      <c r="D490" s="132" t="s">
        <v>1698</v>
      </c>
      <c r="E490" s="147" t="s">
        <v>1447</v>
      </c>
      <c r="F490" s="135">
        <v>45779</v>
      </c>
      <c r="G490" s="45"/>
      <c r="H490" s="136"/>
      <c r="I490" s="136">
        <v>2145072</v>
      </c>
      <c r="J490" s="137" t="s">
        <v>1025</v>
      </c>
      <c r="K490" s="137"/>
      <c r="L490" s="148">
        <f t="shared" si="66"/>
        <v>2145072</v>
      </c>
      <c r="M490" s="122">
        <f t="shared" si="61"/>
        <v>0</v>
      </c>
      <c r="N490" s="137"/>
      <c r="O490" s="149" t="b">
        <f t="shared" si="62"/>
        <v>1</v>
      </c>
      <c r="P490" s="149">
        <f t="shared" si="63"/>
        <v>0</v>
      </c>
      <c r="Q490" s="149" t="b">
        <f t="shared" si="64"/>
        <v>1</v>
      </c>
      <c r="R490" s="149">
        <f t="shared" si="65"/>
        <v>0</v>
      </c>
      <c r="S490" s="144"/>
      <c r="T490" s="143">
        <v>45779</v>
      </c>
      <c r="U490" s="144" t="s">
        <v>1447</v>
      </c>
      <c r="V490" s="144"/>
      <c r="W490" s="144"/>
      <c r="X490" s="144"/>
      <c r="Y490" s="144" t="s">
        <v>1802</v>
      </c>
      <c r="Z490" s="145"/>
      <c r="AA490" s="145"/>
      <c r="AB490" s="144"/>
      <c r="AC490" s="144"/>
      <c r="AD490" s="145">
        <v>2145072</v>
      </c>
      <c r="AE490" s="144"/>
      <c r="AF490" s="146"/>
      <c r="AN490" s="70" t="s">
        <v>1807</v>
      </c>
    </row>
    <row r="491" spans="1:41">
      <c r="A491" s="132">
        <f t="shared" si="58"/>
        <v>483</v>
      </c>
      <c r="B491" s="133" t="s">
        <v>1780</v>
      </c>
      <c r="C491" s="133" t="s">
        <v>1925</v>
      </c>
      <c r="D491" s="132" t="s">
        <v>1715</v>
      </c>
      <c r="E491" s="147" t="s">
        <v>1448</v>
      </c>
      <c r="F491" s="135">
        <v>45792</v>
      </c>
      <c r="G491" s="45"/>
      <c r="H491" s="136"/>
      <c r="I491" s="136">
        <v>132066</v>
      </c>
      <c r="J491" s="137" t="s">
        <v>1025</v>
      </c>
      <c r="K491" s="137"/>
      <c r="L491" s="148">
        <f t="shared" si="66"/>
        <v>132066</v>
      </c>
      <c r="M491" s="122">
        <f t="shared" si="61"/>
        <v>0</v>
      </c>
      <c r="N491" s="137"/>
      <c r="O491" s="149" t="b">
        <f t="shared" si="62"/>
        <v>1</v>
      </c>
      <c r="P491" s="149">
        <f t="shared" si="63"/>
        <v>0</v>
      </c>
      <c r="Q491" s="149" t="b">
        <f t="shared" si="64"/>
        <v>1</v>
      </c>
      <c r="R491" s="149">
        <f t="shared" si="65"/>
        <v>0</v>
      </c>
      <c r="S491" s="144"/>
      <c r="T491" s="143">
        <v>45792</v>
      </c>
      <c r="U491" s="144" t="s">
        <v>1448</v>
      </c>
      <c r="V491" s="144"/>
      <c r="W491" s="144"/>
      <c r="X491" s="144"/>
      <c r="Y491" s="144" t="s">
        <v>1802</v>
      </c>
      <c r="Z491" s="145"/>
      <c r="AA491" s="145"/>
      <c r="AB491" s="144"/>
      <c r="AC491" s="144"/>
      <c r="AD491" s="145">
        <v>132066</v>
      </c>
      <c r="AE491" s="144"/>
      <c r="AF491" s="146"/>
    </row>
    <row r="492" spans="1:41">
      <c r="A492" s="132">
        <f t="shared" si="58"/>
        <v>484</v>
      </c>
      <c r="B492" s="133" t="s">
        <v>1785</v>
      </c>
      <c r="C492" s="133" t="s">
        <v>1930</v>
      </c>
      <c r="D492" s="132" t="s">
        <v>1718</v>
      </c>
      <c r="E492" s="147">
        <v>10044895</v>
      </c>
      <c r="F492" s="135">
        <v>45743</v>
      </c>
      <c r="G492" s="45"/>
      <c r="H492" s="136"/>
      <c r="I492" s="136">
        <v>124062</v>
      </c>
      <c r="J492" s="137" t="s">
        <v>1025</v>
      </c>
      <c r="K492" s="137"/>
      <c r="L492" s="148">
        <f>I492</f>
        <v>124062</v>
      </c>
      <c r="M492" s="122">
        <f t="shared" si="61"/>
        <v>0</v>
      </c>
      <c r="N492" s="137"/>
      <c r="O492" s="149" t="b">
        <f t="shared" si="62"/>
        <v>1</v>
      </c>
      <c r="P492" s="149">
        <f t="shared" si="63"/>
        <v>0</v>
      </c>
      <c r="Q492" s="149" t="b">
        <f t="shared" si="64"/>
        <v>0</v>
      </c>
      <c r="R492" s="149">
        <f t="shared" si="65"/>
        <v>0</v>
      </c>
      <c r="S492" s="144"/>
      <c r="T492" s="143">
        <v>45743</v>
      </c>
      <c r="U492" s="144">
        <v>10044895</v>
      </c>
      <c r="V492" s="144">
        <v>0</v>
      </c>
      <c r="W492" s="144" t="s">
        <v>1071</v>
      </c>
      <c r="X492" s="144" t="s">
        <v>1801</v>
      </c>
      <c r="Y492" s="144" t="s">
        <v>1802</v>
      </c>
      <c r="Z492" s="145">
        <v>1364682</v>
      </c>
      <c r="AA492" s="145">
        <v>1240620</v>
      </c>
      <c r="AB492" s="144">
        <v>0</v>
      </c>
      <c r="AC492" s="144" t="s">
        <v>1022</v>
      </c>
      <c r="AD492" s="145">
        <v>124062</v>
      </c>
      <c r="AE492" s="144">
        <v>0</v>
      </c>
      <c r="AF492" s="146">
        <v>0</v>
      </c>
      <c r="AG492" s="70">
        <v>0</v>
      </c>
      <c r="AH492" s="70">
        <v>0</v>
      </c>
      <c r="AI492" s="70">
        <v>0</v>
      </c>
      <c r="AJ492" s="70">
        <v>0</v>
      </c>
      <c r="AK492" s="70">
        <v>0</v>
      </c>
      <c r="AL492" s="70">
        <v>0.01</v>
      </c>
      <c r="AM492" s="70">
        <v>0</v>
      </c>
      <c r="AN492" s="70" t="s">
        <v>1883</v>
      </c>
      <c r="AO492" s="70" t="s">
        <v>1804</v>
      </c>
    </row>
    <row r="493" spans="1:41">
      <c r="A493" s="132">
        <f t="shared" si="58"/>
        <v>485</v>
      </c>
      <c r="B493" s="133" t="s">
        <v>1780</v>
      </c>
      <c r="C493" s="133" t="s">
        <v>1925</v>
      </c>
      <c r="D493" s="132" t="s">
        <v>1715</v>
      </c>
      <c r="E493" s="147" t="s">
        <v>1449</v>
      </c>
      <c r="F493" s="135">
        <v>45807</v>
      </c>
      <c r="G493" s="45"/>
      <c r="H493" s="136"/>
      <c r="I493" s="136">
        <v>164205</v>
      </c>
      <c r="J493" s="137" t="s">
        <v>1025</v>
      </c>
      <c r="K493" s="137"/>
      <c r="L493" s="148">
        <f t="shared" ref="L493:L496" si="67">I493</f>
        <v>164205</v>
      </c>
      <c r="M493" s="122">
        <f t="shared" si="61"/>
        <v>0</v>
      </c>
      <c r="N493" s="137"/>
      <c r="O493" s="149" t="b">
        <f t="shared" si="62"/>
        <v>1</v>
      </c>
      <c r="P493" s="149">
        <f t="shared" si="63"/>
        <v>0</v>
      </c>
      <c r="Q493" s="149" t="b">
        <f t="shared" si="64"/>
        <v>1</v>
      </c>
      <c r="R493" s="149">
        <f t="shared" si="65"/>
        <v>0</v>
      </c>
      <c r="S493" s="144"/>
      <c r="T493" s="143">
        <v>45807</v>
      </c>
      <c r="U493" s="144" t="s">
        <v>1449</v>
      </c>
      <c r="V493" s="144"/>
      <c r="W493" s="144"/>
      <c r="X493" s="144"/>
      <c r="Y493" s="144" t="s">
        <v>1802</v>
      </c>
      <c r="Z493" s="145"/>
      <c r="AA493" s="145"/>
      <c r="AB493" s="144"/>
      <c r="AC493" s="144"/>
      <c r="AD493" s="145">
        <v>164205</v>
      </c>
      <c r="AE493" s="144"/>
      <c r="AF493" s="146"/>
    </row>
    <row r="494" spans="1:41">
      <c r="A494" s="132">
        <f t="shared" si="58"/>
        <v>486</v>
      </c>
      <c r="B494" s="133" t="s">
        <v>1780</v>
      </c>
      <c r="C494" s="133" t="s">
        <v>1925</v>
      </c>
      <c r="D494" s="132" t="s">
        <v>1715</v>
      </c>
      <c r="E494" s="147" t="s">
        <v>1450</v>
      </c>
      <c r="F494" s="135">
        <v>45807</v>
      </c>
      <c r="G494" s="45"/>
      <c r="H494" s="136"/>
      <c r="I494" s="136">
        <v>164205</v>
      </c>
      <c r="J494" s="137" t="s">
        <v>1025</v>
      </c>
      <c r="K494" s="137"/>
      <c r="L494" s="148">
        <f t="shared" si="67"/>
        <v>164205</v>
      </c>
      <c r="M494" s="122">
        <f t="shared" si="61"/>
        <v>0</v>
      </c>
      <c r="N494" s="137"/>
      <c r="O494" s="149" t="b">
        <f t="shared" si="62"/>
        <v>1</v>
      </c>
      <c r="P494" s="149">
        <f t="shared" si="63"/>
        <v>0</v>
      </c>
      <c r="Q494" s="149" t="b">
        <f t="shared" si="64"/>
        <v>1</v>
      </c>
      <c r="R494" s="149">
        <f t="shared" si="65"/>
        <v>0</v>
      </c>
      <c r="S494" s="144"/>
      <c r="T494" s="143">
        <v>45807</v>
      </c>
      <c r="U494" s="144" t="s">
        <v>1450</v>
      </c>
      <c r="V494" s="144"/>
      <c r="W494" s="144"/>
      <c r="X494" s="144"/>
      <c r="Y494" s="144" t="s">
        <v>1802</v>
      </c>
      <c r="Z494" s="145"/>
      <c r="AA494" s="145"/>
      <c r="AB494" s="144"/>
      <c r="AC494" s="144"/>
      <c r="AD494" s="145">
        <v>164205</v>
      </c>
      <c r="AE494" s="144"/>
      <c r="AF494" s="146"/>
    </row>
    <row r="495" spans="1:41">
      <c r="A495" s="132">
        <f t="shared" si="58"/>
        <v>487</v>
      </c>
      <c r="B495" s="133" t="s">
        <v>1780</v>
      </c>
      <c r="C495" s="133" t="s">
        <v>1925</v>
      </c>
      <c r="D495" s="132" t="s">
        <v>1715</v>
      </c>
      <c r="E495" s="147" t="s">
        <v>1451</v>
      </c>
      <c r="F495" s="135">
        <v>45807</v>
      </c>
      <c r="G495" s="45"/>
      <c r="H495" s="136"/>
      <c r="I495" s="136">
        <v>164205</v>
      </c>
      <c r="J495" s="137" t="s">
        <v>1025</v>
      </c>
      <c r="K495" s="137"/>
      <c r="L495" s="148">
        <f t="shared" si="67"/>
        <v>164205</v>
      </c>
      <c r="M495" s="122">
        <f t="shared" si="61"/>
        <v>0</v>
      </c>
      <c r="N495" s="137"/>
      <c r="O495" s="149" t="b">
        <f t="shared" si="62"/>
        <v>1</v>
      </c>
      <c r="P495" s="149">
        <f t="shared" si="63"/>
        <v>0</v>
      </c>
      <c r="Q495" s="149" t="b">
        <f t="shared" si="64"/>
        <v>1</v>
      </c>
      <c r="R495" s="149">
        <f t="shared" si="65"/>
        <v>0</v>
      </c>
      <c r="S495" s="144"/>
      <c r="T495" s="143">
        <v>45807</v>
      </c>
      <c r="U495" s="144" t="s">
        <v>1451</v>
      </c>
      <c r="V495" s="144"/>
      <c r="W495" s="144"/>
      <c r="X495" s="144"/>
      <c r="Y495" s="144" t="s">
        <v>1802</v>
      </c>
      <c r="Z495" s="145"/>
      <c r="AA495" s="145"/>
      <c r="AB495" s="144"/>
      <c r="AC495" s="144"/>
      <c r="AD495" s="145">
        <v>164205</v>
      </c>
      <c r="AE495" s="144"/>
      <c r="AF495" s="146"/>
    </row>
    <row r="496" spans="1:41">
      <c r="A496" s="132">
        <f t="shared" si="58"/>
        <v>488</v>
      </c>
      <c r="B496" s="133" t="s">
        <v>1780</v>
      </c>
      <c r="C496" s="133" t="s">
        <v>1925</v>
      </c>
      <c r="D496" s="132" t="s">
        <v>1715</v>
      </c>
      <c r="E496" s="147" t="s">
        <v>1452</v>
      </c>
      <c r="F496" s="135">
        <v>45807</v>
      </c>
      <c r="G496" s="45"/>
      <c r="H496" s="136"/>
      <c r="I496" s="136">
        <v>132165</v>
      </c>
      <c r="J496" s="137" t="s">
        <v>1025</v>
      </c>
      <c r="K496" s="137"/>
      <c r="L496" s="148">
        <f t="shared" si="67"/>
        <v>132165</v>
      </c>
      <c r="M496" s="122">
        <f t="shared" si="61"/>
        <v>0</v>
      </c>
      <c r="N496" s="137"/>
      <c r="O496" s="149" t="b">
        <f t="shared" si="62"/>
        <v>1</v>
      </c>
      <c r="P496" s="149">
        <f t="shared" si="63"/>
        <v>0</v>
      </c>
      <c r="Q496" s="149" t="b">
        <f t="shared" si="64"/>
        <v>1</v>
      </c>
      <c r="R496" s="149">
        <f t="shared" si="65"/>
        <v>0</v>
      </c>
      <c r="S496" s="144"/>
      <c r="T496" s="143">
        <v>45807</v>
      </c>
      <c r="U496" s="144" t="s">
        <v>1452</v>
      </c>
      <c r="V496" s="144"/>
      <c r="W496" s="144"/>
      <c r="X496" s="144"/>
      <c r="Y496" s="144" t="s">
        <v>1802</v>
      </c>
      <c r="Z496" s="145"/>
      <c r="AA496" s="145"/>
      <c r="AB496" s="144"/>
      <c r="AC496" s="144"/>
      <c r="AD496" s="145">
        <v>132165</v>
      </c>
      <c r="AE496" s="144"/>
      <c r="AF496" s="146"/>
    </row>
    <row r="497" spans="1:41">
      <c r="A497" s="132">
        <f t="shared" si="58"/>
        <v>489</v>
      </c>
      <c r="B497" s="133" t="s">
        <v>1775</v>
      </c>
      <c r="C497" s="133" t="s">
        <v>1925</v>
      </c>
      <c r="D497" s="132" t="s">
        <v>1715</v>
      </c>
      <c r="E497" s="147" t="s">
        <v>1453</v>
      </c>
      <c r="F497" s="135">
        <v>45807</v>
      </c>
      <c r="G497" s="45"/>
      <c r="H497" s="136"/>
      <c r="I497" s="136">
        <v>420966</v>
      </c>
      <c r="J497" s="137" t="s">
        <v>1025</v>
      </c>
      <c r="K497" s="150">
        <f>L497</f>
        <v>420947</v>
      </c>
      <c r="L497" s="148">
        <f>AD497</f>
        <v>420947</v>
      </c>
      <c r="M497" s="122">
        <f t="shared" si="61"/>
        <v>19</v>
      </c>
      <c r="N497" s="137"/>
      <c r="O497" s="149" t="b">
        <f t="shared" si="62"/>
        <v>1</v>
      </c>
      <c r="P497" s="149">
        <f t="shared" si="63"/>
        <v>0</v>
      </c>
      <c r="Q497" s="149" t="b">
        <f t="shared" si="64"/>
        <v>1</v>
      </c>
      <c r="R497" s="149">
        <f t="shared" si="65"/>
        <v>19</v>
      </c>
      <c r="S497" s="144"/>
      <c r="T497" s="143">
        <v>45807</v>
      </c>
      <c r="U497" s="144" t="s">
        <v>1453</v>
      </c>
      <c r="V497" s="144"/>
      <c r="W497" s="144"/>
      <c r="X497" s="144"/>
      <c r="Y497" s="144" t="s">
        <v>1802</v>
      </c>
      <c r="Z497" s="145"/>
      <c r="AA497" s="145"/>
      <c r="AB497" s="144"/>
      <c r="AC497" s="144"/>
      <c r="AD497" s="145">
        <v>420947</v>
      </c>
      <c r="AE497" s="144"/>
      <c r="AF497" s="146"/>
    </row>
    <row r="498" spans="1:41">
      <c r="A498" s="132">
        <f t="shared" si="58"/>
        <v>490</v>
      </c>
      <c r="B498" s="133" t="s">
        <v>1780</v>
      </c>
      <c r="C498" s="133" t="s">
        <v>1925</v>
      </c>
      <c r="D498" s="132" t="s">
        <v>1715</v>
      </c>
      <c r="E498" s="147" t="s">
        <v>1454</v>
      </c>
      <c r="F498" s="135">
        <v>45807</v>
      </c>
      <c r="G498" s="45"/>
      <c r="H498" s="136"/>
      <c r="I498" s="136">
        <v>132165</v>
      </c>
      <c r="J498" s="137" t="s">
        <v>1025</v>
      </c>
      <c r="K498" s="137"/>
      <c r="L498" s="148">
        <f t="shared" ref="L498:L505" si="68">I498</f>
        <v>132165</v>
      </c>
      <c r="M498" s="122">
        <f t="shared" si="61"/>
        <v>0</v>
      </c>
      <c r="N498" s="137"/>
      <c r="O498" s="149" t="b">
        <f t="shared" si="62"/>
        <v>1</v>
      </c>
      <c r="P498" s="149">
        <f t="shared" si="63"/>
        <v>0</v>
      </c>
      <c r="Q498" s="149" t="b">
        <f t="shared" si="64"/>
        <v>1</v>
      </c>
      <c r="R498" s="149">
        <f t="shared" si="65"/>
        <v>0</v>
      </c>
      <c r="S498" s="144"/>
      <c r="T498" s="143">
        <v>45807</v>
      </c>
      <c r="U498" s="144" t="s">
        <v>1454</v>
      </c>
      <c r="V498" s="144"/>
      <c r="W498" s="144"/>
      <c r="X498" s="144"/>
      <c r="Y498" s="144" t="s">
        <v>1802</v>
      </c>
      <c r="Z498" s="145"/>
      <c r="AA498" s="145"/>
      <c r="AB498" s="144"/>
      <c r="AC498" s="144"/>
      <c r="AD498" s="145">
        <v>132165</v>
      </c>
      <c r="AE498" s="144"/>
      <c r="AF498" s="146"/>
    </row>
    <row r="499" spans="1:41">
      <c r="A499" s="132">
        <f t="shared" si="58"/>
        <v>491</v>
      </c>
      <c r="B499" s="133" t="s">
        <v>1780</v>
      </c>
      <c r="C499" s="133" t="s">
        <v>1925</v>
      </c>
      <c r="D499" s="132" t="s">
        <v>1715</v>
      </c>
      <c r="E499" s="147" t="s">
        <v>1455</v>
      </c>
      <c r="F499" s="135">
        <v>45807</v>
      </c>
      <c r="G499" s="45"/>
      <c r="H499" s="136"/>
      <c r="I499" s="136">
        <v>132165</v>
      </c>
      <c r="J499" s="137" t="s">
        <v>1025</v>
      </c>
      <c r="K499" s="137"/>
      <c r="L499" s="148">
        <f t="shared" si="68"/>
        <v>132165</v>
      </c>
      <c r="M499" s="122">
        <f t="shared" si="61"/>
        <v>0</v>
      </c>
      <c r="N499" s="137"/>
      <c r="O499" s="149" t="b">
        <f t="shared" si="62"/>
        <v>1</v>
      </c>
      <c r="P499" s="149">
        <f t="shared" si="63"/>
        <v>0</v>
      </c>
      <c r="Q499" s="149" t="b">
        <f t="shared" si="64"/>
        <v>1</v>
      </c>
      <c r="R499" s="149">
        <f t="shared" si="65"/>
        <v>0</v>
      </c>
      <c r="S499" s="144"/>
      <c r="T499" s="143">
        <v>45807</v>
      </c>
      <c r="U499" s="144" t="s">
        <v>1455</v>
      </c>
      <c r="V499" s="144"/>
      <c r="W499" s="144"/>
      <c r="X499" s="144"/>
      <c r="Y499" s="144" t="s">
        <v>1802</v>
      </c>
      <c r="Z499" s="145"/>
      <c r="AA499" s="145"/>
      <c r="AB499" s="144"/>
      <c r="AC499" s="144"/>
      <c r="AD499" s="145">
        <v>132165</v>
      </c>
      <c r="AE499" s="144"/>
      <c r="AF499" s="146"/>
    </row>
    <row r="500" spans="1:41">
      <c r="A500" s="132">
        <f t="shared" si="58"/>
        <v>492</v>
      </c>
      <c r="B500" s="133" t="s">
        <v>1780</v>
      </c>
      <c r="C500" s="133" t="s">
        <v>1925</v>
      </c>
      <c r="D500" s="132" t="s">
        <v>1715</v>
      </c>
      <c r="E500" s="147" t="s">
        <v>1456</v>
      </c>
      <c r="F500" s="135">
        <v>45807</v>
      </c>
      <c r="G500" s="45"/>
      <c r="H500" s="136"/>
      <c r="I500" s="136">
        <v>104130</v>
      </c>
      <c r="J500" s="137" t="s">
        <v>1025</v>
      </c>
      <c r="K500" s="137"/>
      <c r="L500" s="148">
        <f t="shared" si="68"/>
        <v>104130</v>
      </c>
      <c r="M500" s="122">
        <f t="shared" si="61"/>
        <v>0</v>
      </c>
      <c r="N500" s="137"/>
      <c r="O500" s="149" t="b">
        <f t="shared" si="62"/>
        <v>1</v>
      </c>
      <c r="P500" s="149">
        <f t="shared" si="63"/>
        <v>0</v>
      </c>
      <c r="Q500" s="149" t="b">
        <f t="shared" si="64"/>
        <v>1</v>
      </c>
      <c r="R500" s="149">
        <f t="shared" si="65"/>
        <v>0</v>
      </c>
      <c r="S500" s="144"/>
      <c r="T500" s="143">
        <v>45807</v>
      </c>
      <c r="U500" s="144" t="s">
        <v>1456</v>
      </c>
      <c r="V500" s="144"/>
      <c r="W500" s="144"/>
      <c r="X500" s="144"/>
      <c r="Y500" s="144" t="s">
        <v>1802</v>
      </c>
      <c r="Z500" s="145"/>
      <c r="AA500" s="145"/>
      <c r="AB500" s="144"/>
      <c r="AC500" s="144"/>
      <c r="AD500" s="145">
        <v>104130</v>
      </c>
      <c r="AE500" s="144"/>
      <c r="AF500" s="146"/>
    </row>
    <row r="501" spans="1:41">
      <c r="A501" s="132">
        <f t="shared" si="58"/>
        <v>493</v>
      </c>
      <c r="B501" s="133" t="s">
        <v>1780</v>
      </c>
      <c r="C501" s="133" t="s">
        <v>1925</v>
      </c>
      <c r="D501" s="132" t="s">
        <v>1715</v>
      </c>
      <c r="E501" s="147" t="s">
        <v>1457</v>
      </c>
      <c r="F501" s="135">
        <v>45807</v>
      </c>
      <c r="G501" s="45"/>
      <c r="H501" s="136"/>
      <c r="I501" s="136">
        <v>240300</v>
      </c>
      <c r="J501" s="137" t="s">
        <v>1025</v>
      </c>
      <c r="K501" s="150"/>
      <c r="L501" s="148">
        <f t="shared" si="68"/>
        <v>240300</v>
      </c>
      <c r="M501" s="122">
        <f t="shared" si="61"/>
        <v>0</v>
      </c>
      <c r="N501" s="137"/>
      <c r="O501" s="149" t="b">
        <f t="shared" si="62"/>
        <v>1</v>
      </c>
      <c r="P501" s="149">
        <f t="shared" si="63"/>
        <v>0</v>
      </c>
      <c r="Q501" s="149" t="b">
        <f t="shared" si="64"/>
        <v>1</v>
      </c>
      <c r="R501" s="149">
        <f t="shared" si="65"/>
        <v>0</v>
      </c>
      <c r="S501" s="144"/>
      <c r="T501" s="143">
        <v>45807</v>
      </c>
      <c r="U501" s="144" t="s">
        <v>1457</v>
      </c>
      <c r="V501" s="144"/>
      <c r="W501" s="144"/>
      <c r="X501" s="144"/>
      <c r="Y501" s="144" t="s">
        <v>1802</v>
      </c>
      <c r="Z501" s="145"/>
      <c r="AA501" s="145"/>
      <c r="AB501" s="144"/>
      <c r="AC501" s="144"/>
      <c r="AD501" s="145">
        <v>240300</v>
      </c>
      <c r="AE501" s="144"/>
      <c r="AF501" s="146"/>
    </row>
    <row r="502" spans="1:41">
      <c r="A502" s="132">
        <f t="shared" si="58"/>
        <v>494</v>
      </c>
      <c r="B502" s="133" t="s">
        <v>1780</v>
      </c>
      <c r="C502" s="133" t="s">
        <v>1925</v>
      </c>
      <c r="D502" s="132" t="s">
        <v>1715</v>
      </c>
      <c r="E502" s="147" t="s">
        <v>1458</v>
      </c>
      <c r="F502" s="135">
        <v>45807</v>
      </c>
      <c r="G502" s="45"/>
      <c r="H502" s="136"/>
      <c r="I502" s="136">
        <v>456570</v>
      </c>
      <c r="J502" s="137" t="s">
        <v>1025</v>
      </c>
      <c r="K502" s="150"/>
      <c r="L502" s="148">
        <f t="shared" si="68"/>
        <v>456570</v>
      </c>
      <c r="M502" s="122">
        <f t="shared" si="61"/>
        <v>0</v>
      </c>
      <c r="N502" s="137"/>
      <c r="O502" s="149" t="b">
        <f t="shared" si="62"/>
        <v>1</v>
      </c>
      <c r="P502" s="149">
        <f t="shared" si="63"/>
        <v>0</v>
      </c>
      <c r="Q502" s="149" t="b">
        <f t="shared" si="64"/>
        <v>1</v>
      </c>
      <c r="R502" s="149">
        <f t="shared" si="65"/>
        <v>0</v>
      </c>
      <c r="S502" s="144"/>
      <c r="T502" s="143">
        <v>45807</v>
      </c>
      <c r="U502" s="144" t="s">
        <v>1458</v>
      </c>
      <c r="V502" s="144"/>
      <c r="W502" s="144"/>
      <c r="X502" s="144"/>
      <c r="Y502" s="144" t="s">
        <v>1802</v>
      </c>
      <c r="Z502" s="145"/>
      <c r="AA502" s="145"/>
      <c r="AB502" s="144"/>
      <c r="AC502" s="144"/>
      <c r="AD502" s="145">
        <v>456570</v>
      </c>
      <c r="AE502" s="144"/>
      <c r="AF502" s="146"/>
    </row>
    <row r="503" spans="1:41">
      <c r="A503" s="132">
        <f t="shared" si="58"/>
        <v>495</v>
      </c>
      <c r="B503" s="133" t="s">
        <v>1765</v>
      </c>
      <c r="C503" s="133" t="s">
        <v>1904</v>
      </c>
      <c r="D503" s="132" t="s">
        <v>1698</v>
      </c>
      <c r="E503" s="147" t="s">
        <v>1459</v>
      </c>
      <c r="F503" s="135">
        <v>45782</v>
      </c>
      <c r="G503" s="45"/>
      <c r="H503" s="136"/>
      <c r="I503" s="136">
        <v>2406404</v>
      </c>
      <c r="J503" s="137" t="s">
        <v>1025</v>
      </c>
      <c r="K503" s="150"/>
      <c r="L503" s="148">
        <f t="shared" si="68"/>
        <v>2406404</v>
      </c>
      <c r="M503" s="122">
        <f t="shared" si="61"/>
        <v>0</v>
      </c>
      <c r="N503" s="137"/>
      <c r="O503" s="149" t="b">
        <f t="shared" si="62"/>
        <v>1</v>
      </c>
      <c r="P503" s="149">
        <f t="shared" si="63"/>
        <v>0</v>
      </c>
      <c r="Q503" s="149" t="b">
        <f t="shared" si="64"/>
        <v>1</v>
      </c>
      <c r="R503" s="149">
        <f t="shared" si="65"/>
        <v>0</v>
      </c>
      <c r="S503" s="144"/>
      <c r="T503" s="143">
        <v>45782</v>
      </c>
      <c r="U503" s="144" t="s">
        <v>1459</v>
      </c>
      <c r="V503" s="144"/>
      <c r="W503" s="144"/>
      <c r="X503" s="144"/>
      <c r="Y503" s="144" t="s">
        <v>1802</v>
      </c>
      <c r="Z503" s="145"/>
      <c r="AA503" s="145"/>
      <c r="AB503" s="144"/>
      <c r="AC503" s="144"/>
      <c r="AD503" s="145">
        <v>2406404</v>
      </c>
      <c r="AE503" s="144"/>
      <c r="AF503" s="146"/>
      <c r="AN503" s="70" t="s">
        <v>1807</v>
      </c>
    </row>
    <row r="504" spans="1:41">
      <c r="A504" s="132">
        <f t="shared" si="58"/>
        <v>496</v>
      </c>
      <c r="B504" s="133" t="s">
        <v>1770</v>
      </c>
      <c r="C504" s="133" t="s">
        <v>1906</v>
      </c>
      <c r="D504" s="132" t="s">
        <v>1036</v>
      </c>
      <c r="E504" s="147" t="s">
        <v>1460</v>
      </c>
      <c r="F504" s="135">
        <v>45778</v>
      </c>
      <c r="G504" s="45"/>
      <c r="H504" s="136"/>
      <c r="I504" s="136">
        <v>2105578</v>
      </c>
      <c r="J504" s="137" t="s">
        <v>1025</v>
      </c>
      <c r="K504" s="150"/>
      <c r="L504" s="148">
        <f t="shared" si="68"/>
        <v>2105578</v>
      </c>
      <c r="M504" s="122">
        <f t="shared" si="61"/>
        <v>0</v>
      </c>
      <c r="N504" s="137"/>
      <c r="O504" s="149" t="b">
        <f t="shared" si="62"/>
        <v>1</v>
      </c>
      <c r="P504" s="149">
        <f t="shared" si="63"/>
        <v>0</v>
      </c>
      <c r="Q504" s="149" t="b">
        <f t="shared" si="64"/>
        <v>0</v>
      </c>
      <c r="R504" s="149">
        <f t="shared" si="65"/>
        <v>0</v>
      </c>
      <c r="S504" s="144"/>
      <c r="T504" s="143">
        <v>45778</v>
      </c>
      <c r="U504" s="144" t="s">
        <v>1460</v>
      </c>
      <c r="V504" s="144"/>
      <c r="W504" s="144" t="s">
        <v>1071</v>
      </c>
      <c r="X504" s="144" t="s">
        <v>1801</v>
      </c>
      <c r="Y504" s="144" t="s">
        <v>1802</v>
      </c>
      <c r="Z504" s="145">
        <v>23161358</v>
      </c>
      <c r="AA504" s="145">
        <v>21055780</v>
      </c>
      <c r="AB504" s="144">
        <v>0</v>
      </c>
      <c r="AC504" s="144" t="s">
        <v>1022</v>
      </c>
      <c r="AD504" s="145">
        <v>2105578</v>
      </c>
      <c r="AE504" s="144">
        <v>0</v>
      </c>
      <c r="AF504" s="146">
        <v>0</v>
      </c>
      <c r="AG504" s="70">
        <v>0</v>
      </c>
      <c r="AH504" s="70">
        <v>0</v>
      </c>
      <c r="AI504" s="70">
        <v>0</v>
      </c>
      <c r="AJ504" s="70">
        <v>0</v>
      </c>
      <c r="AK504" s="70">
        <v>0</v>
      </c>
      <c r="AL504" s="70">
        <v>0.01</v>
      </c>
      <c r="AN504" s="70" t="s">
        <v>1884</v>
      </c>
    </row>
    <row r="505" spans="1:41">
      <c r="A505" s="132">
        <f t="shared" si="58"/>
        <v>497</v>
      </c>
      <c r="B505" s="133" t="s">
        <v>1786</v>
      </c>
      <c r="C505" s="133" t="s">
        <v>1931</v>
      </c>
      <c r="D505" s="132" t="s">
        <v>1719</v>
      </c>
      <c r="E505" s="147" t="s">
        <v>1461</v>
      </c>
      <c r="F505" s="135">
        <v>45596</v>
      </c>
      <c r="G505" s="45"/>
      <c r="H505" s="136"/>
      <c r="I505" s="136">
        <v>18698962</v>
      </c>
      <c r="J505" s="137" t="s">
        <v>1025</v>
      </c>
      <c r="K505" s="150"/>
      <c r="L505" s="148">
        <f t="shared" si="68"/>
        <v>18698962</v>
      </c>
      <c r="M505" s="122">
        <f t="shared" si="61"/>
        <v>0</v>
      </c>
      <c r="N505" s="137" t="s">
        <v>1901</v>
      </c>
      <c r="O505" s="149" t="b">
        <f t="shared" si="62"/>
        <v>1</v>
      </c>
      <c r="P505" s="149">
        <f t="shared" si="63"/>
        <v>0</v>
      </c>
      <c r="Q505" s="149" t="b">
        <f t="shared" si="64"/>
        <v>0</v>
      </c>
      <c r="R505" s="149">
        <f t="shared" si="65"/>
        <v>0</v>
      </c>
      <c r="S505" s="144"/>
      <c r="T505" s="143">
        <v>45596</v>
      </c>
      <c r="U505" s="144" t="s">
        <v>1461</v>
      </c>
      <c r="V505" s="144">
        <v>0</v>
      </c>
      <c r="W505" s="144" t="s">
        <v>1071</v>
      </c>
      <c r="X505" s="144" t="s">
        <v>1801</v>
      </c>
      <c r="Y505" s="144" t="s">
        <v>1802</v>
      </c>
      <c r="Z505" s="145">
        <v>205688583</v>
      </c>
      <c r="AA505" s="145">
        <v>186989621</v>
      </c>
      <c r="AB505" s="144">
        <v>0</v>
      </c>
      <c r="AC505" s="144" t="s">
        <v>1022</v>
      </c>
      <c r="AD505" s="145">
        <v>18698962</v>
      </c>
      <c r="AE505" s="144">
        <v>0</v>
      </c>
      <c r="AF505" s="146">
        <v>0</v>
      </c>
      <c r="AG505" s="70">
        <v>0</v>
      </c>
      <c r="AH505" s="70">
        <v>0</v>
      </c>
      <c r="AI505" s="70">
        <v>0</v>
      </c>
      <c r="AJ505" s="70">
        <v>0</v>
      </c>
      <c r="AK505" s="70">
        <v>0</v>
      </c>
      <c r="AL505" s="70">
        <v>0.01</v>
      </c>
      <c r="AM505" s="70">
        <v>0</v>
      </c>
      <c r="AN505" s="70" t="s">
        <v>1885</v>
      </c>
      <c r="AO505" s="70" t="s">
        <v>1804</v>
      </c>
    </row>
    <row r="506" spans="1:41">
      <c r="A506" s="132">
        <f t="shared" si="58"/>
        <v>498</v>
      </c>
      <c r="B506" s="133" t="s">
        <v>1765</v>
      </c>
      <c r="C506" s="133" t="s">
        <v>1904</v>
      </c>
      <c r="D506" s="132" t="s">
        <v>1698</v>
      </c>
      <c r="E506" s="147" t="s">
        <v>1462</v>
      </c>
      <c r="F506" s="135">
        <v>45803</v>
      </c>
      <c r="G506" s="45"/>
      <c r="H506" s="136"/>
      <c r="I506" s="136">
        <v>236118</v>
      </c>
      <c r="J506" s="137" t="s">
        <v>1025</v>
      </c>
      <c r="K506" s="150"/>
      <c r="L506" s="148">
        <f>I506</f>
        <v>236118</v>
      </c>
      <c r="M506" s="122">
        <f t="shared" si="61"/>
        <v>0</v>
      </c>
      <c r="N506" s="137"/>
      <c r="O506" s="149" t="b">
        <f t="shared" si="62"/>
        <v>1</v>
      </c>
      <c r="P506" s="149">
        <f t="shared" si="63"/>
        <v>0</v>
      </c>
      <c r="Q506" s="149" t="b">
        <f t="shared" si="64"/>
        <v>1</v>
      </c>
      <c r="R506" s="149">
        <f t="shared" si="65"/>
        <v>0</v>
      </c>
      <c r="S506" s="144"/>
      <c r="T506" s="143">
        <v>45803</v>
      </c>
      <c r="U506" s="144" t="s">
        <v>1462</v>
      </c>
      <c r="V506" s="144"/>
      <c r="W506" s="144"/>
      <c r="X506" s="144"/>
      <c r="Y506" s="144" t="s">
        <v>1802</v>
      </c>
      <c r="Z506" s="145"/>
      <c r="AA506" s="145"/>
      <c r="AB506" s="144"/>
      <c r="AC506" s="144"/>
      <c r="AD506" s="145">
        <v>236118</v>
      </c>
      <c r="AE506" s="144"/>
      <c r="AF506" s="146"/>
      <c r="AN506" s="70" t="s">
        <v>1807</v>
      </c>
    </row>
    <row r="507" spans="1:41">
      <c r="A507" s="132">
        <f t="shared" si="58"/>
        <v>499</v>
      </c>
      <c r="B507" s="133" t="s">
        <v>1764</v>
      </c>
      <c r="C507" s="133" t="s">
        <v>1905</v>
      </c>
      <c r="D507" s="132" t="s">
        <v>1024</v>
      </c>
      <c r="E507" s="147">
        <v>202500122674</v>
      </c>
      <c r="F507" s="135">
        <v>45803</v>
      </c>
      <c r="G507" s="45"/>
      <c r="H507" s="136"/>
      <c r="I507" s="136">
        <v>22811</v>
      </c>
      <c r="J507" s="137" t="s">
        <v>1025</v>
      </c>
      <c r="K507" s="150"/>
      <c r="L507" s="148">
        <f t="shared" ref="L507:L513" si="69">I507</f>
        <v>22811</v>
      </c>
      <c r="M507" s="122">
        <f t="shared" si="61"/>
        <v>0</v>
      </c>
      <c r="N507" s="137"/>
      <c r="O507" s="149" t="b">
        <f t="shared" si="62"/>
        <v>1</v>
      </c>
      <c r="P507" s="149">
        <f t="shared" si="63"/>
        <v>0</v>
      </c>
      <c r="Q507" s="149" t="b">
        <f t="shared" si="64"/>
        <v>0</v>
      </c>
      <c r="R507" s="149">
        <f t="shared" si="65"/>
        <v>0</v>
      </c>
      <c r="S507" s="144"/>
      <c r="T507" s="143">
        <v>45803</v>
      </c>
      <c r="U507" s="144">
        <v>202500122674</v>
      </c>
      <c r="V507" s="144"/>
      <c r="W507" s="144" t="s">
        <v>1071</v>
      </c>
      <c r="X507" s="144" t="s">
        <v>1801</v>
      </c>
      <c r="Y507" s="144" t="s">
        <v>1802</v>
      </c>
      <c r="Z507" s="145">
        <v>250925</v>
      </c>
      <c r="AA507" s="145">
        <v>228114</v>
      </c>
      <c r="AB507" s="144">
        <v>0</v>
      </c>
      <c r="AC507" s="144" t="s">
        <v>1022</v>
      </c>
      <c r="AD507" s="145">
        <v>22811</v>
      </c>
      <c r="AE507" s="144"/>
      <c r="AF507" s="146"/>
    </row>
    <row r="508" spans="1:41">
      <c r="A508" s="132">
        <f t="shared" si="58"/>
        <v>500</v>
      </c>
      <c r="B508" s="133" t="s">
        <v>1770</v>
      </c>
      <c r="C508" s="133" t="s">
        <v>1906</v>
      </c>
      <c r="D508" s="132" t="s">
        <v>1036</v>
      </c>
      <c r="E508" s="147" t="s">
        <v>1463</v>
      </c>
      <c r="F508" s="135">
        <v>45798</v>
      </c>
      <c r="G508" s="45"/>
      <c r="H508" s="136"/>
      <c r="I508" s="136">
        <v>144108</v>
      </c>
      <c r="J508" s="137" t="s">
        <v>1025</v>
      </c>
      <c r="K508" s="150"/>
      <c r="L508" s="148">
        <f t="shared" si="69"/>
        <v>144108</v>
      </c>
      <c r="M508" s="122">
        <f t="shared" si="61"/>
        <v>0</v>
      </c>
      <c r="N508" s="137"/>
      <c r="O508" s="149" t="b">
        <f t="shared" si="62"/>
        <v>1</v>
      </c>
      <c r="P508" s="149">
        <f t="shared" si="63"/>
        <v>0</v>
      </c>
      <c r="Q508" s="149" t="b">
        <f t="shared" si="64"/>
        <v>0</v>
      </c>
      <c r="R508" s="149">
        <f t="shared" si="65"/>
        <v>0</v>
      </c>
      <c r="S508" s="144"/>
      <c r="T508" s="143">
        <v>45798</v>
      </c>
      <c r="U508" s="144" t="s">
        <v>1463</v>
      </c>
      <c r="V508" s="144"/>
      <c r="W508" s="144" t="s">
        <v>1071</v>
      </c>
      <c r="X508" s="144" t="s">
        <v>1801</v>
      </c>
      <c r="Y508" s="144" t="s">
        <v>1802</v>
      </c>
      <c r="Z508" s="145">
        <v>1585188</v>
      </c>
      <c r="AA508" s="145">
        <v>1441080</v>
      </c>
      <c r="AB508" s="144">
        <v>0</v>
      </c>
      <c r="AC508" s="144" t="s">
        <v>1022</v>
      </c>
      <c r="AD508" s="145">
        <v>144108</v>
      </c>
      <c r="AE508" s="144">
        <v>0</v>
      </c>
      <c r="AF508" s="146">
        <v>0</v>
      </c>
      <c r="AG508" s="70">
        <v>0</v>
      </c>
      <c r="AH508" s="70">
        <v>0</v>
      </c>
      <c r="AI508" s="70">
        <v>0</v>
      </c>
      <c r="AJ508" s="70">
        <v>0</v>
      </c>
      <c r="AK508" s="70">
        <v>0</v>
      </c>
      <c r="AL508" s="70">
        <v>0.01</v>
      </c>
      <c r="AN508" s="70" t="s">
        <v>1886</v>
      </c>
    </row>
    <row r="509" spans="1:41">
      <c r="A509" s="132">
        <f t="shared" si="58"/>
        <v>501</v>
      </c>
      <c r="B509" s="133" t="s">
        <v>1765</v>
      </c>
      <c r="C509" s="133" t="s">
        <v>1904</v>
      </c>
      <c r="D509" s="132" t="s">
        <v>1698</v>
      </c>
      <c r="E509" s="147" t="s">
        <v>1464</v>
      </c>
      <c r="F509" s="135">
        <v>45803</v>
      </c>
      <c r="G509" s="45"/>
      <c r="H509" s="136"/>
      <c r="I509" s="136">
        <v>268134</v>
      </c>
      <c r="J509" s="137" t="s">
        <v>1025</v>
      </c>
      <c r="K509" s="150"/>
      <c r="L509" s="148">
        <f t="shared" si="69"/>
        <v>268134</v>
      </c>
      <c r="M509" s="122">
        <f t="shared" si="61"/>
        <v>0</v>
      </c>
      <c r="N509" s="137"/>
      <c r="O509" s="149" t="b">
        <f t="shared" si="62"/>
        <v>1</v>
      </c>
      <c r="P509" s="149">
        <f t="shared" si="63"/>
        <v>0</v>
      </c>
      <c r="Q509" s="149" t="b">
        <f t="shared" si="64"/>
        <v>1</v>
      </c>
      <c r="R509" s="149">
        <f t="shared" si="65"/>
        <v>0</v>
      </c>
      <c r="S509" s="144"/>
      <c r="T509" s="143">
        <v>45803</v>
      </c>
      <c r="U509" s="144" t="s">
        <v>1464</v>
      </c>
      <c r="V509" s="144"/>
      <c r="W509" s="144"/>
      <c r="X509" s="144"/>
      <c r="Y509" s="144" t="s">
        <v>1802</v>
      </c>
      <c r="Z509" s="145"/>
      <c r="AA509" s="145"/>
      <c r="AB509" s="144"/>
      <c r="AC509" s="144"/>
      <c r="AD509" s="145">
        <v>268134</v>
      </c>
      <c r="AE509" s="144"/>
      <c r="AF509" s="146"/>
      <c r="AN509" s="70" t="s">
        <v>1807</v>
      </c>
    </row>
    <row r="510" spans="1:41">
      <c r="A510" s="132">
        <f t="shared" si="58"/>
        <v>502</v>
      </c>
      <c r="B510" s="133" t="s">
        <v>1787</v>
      </c>
      <c r="C510" s="133" t="s">
        <v>1904</v>
      </c>
      <c r="D510" s="132" t="s">
        <v>1698</v>
      </c>
      <c r="E510" s="147" t="s">
        <v>1465</v>
      </c>
      <c r="F510" s="135">
        <v>45779</v>
      </c>
      <c r="G510" s="45"/>
      <c r="H510" s="136"/>
      <c r="I510" s="136">
        <v>129345</v>
      </c>
      <c r="J510" s="137" t="s">
        <v>1025</v>
      </c>
      <c r="K510" s="150"/>
      <c r="L510" s="148">
        <f t="shared" si="69"/>
        <v>129345</v>
      </c>
      <c r="M510" s="122">
        <f t="shared" si="61"/>
        <v>0</v>
      </c>
      <c r="N510" s="137"/>
      <c r="O510" s="149" t="b">
        <f t="shared" si="62"/>
        <v>1</v>
      </c>
      <c r="P510" s="149">
        <f t="shared" si="63"/>
        <v>0</v>
      </c>
      <c r="Q510" s="149" t="b">
        <f t="shared" si="64"/>
        <v>1</v>
      </c>
      <c r="R510" s="149">
        <f t="shared" si="65"/>
        <v>0</v>
      </c>
      <c r="S510" s="144"/>
      <c r="T510" s="143">
        <v>45779</v>
      </c>
      <c r="U510" s="144" t="s">
        <v>1465</v>
      </c>
      <c r="V510" s="144"/>
      <c r="W510" s="144"/>
      <c r="X510" s="144"/>
      <c r="Y510" s="144" t="s">
        <v>1802</v>
      </c>
      <c r="Z510" s="145"/>
      <c r="AA510" s="145"/>
      <c r="AB510" s="144"/>
      <c r="AC510" s="144"/>
      <c r="AD510" s="145">
        <v>129345</v>
      </c>
      <c r="AE510" s="144"/>
      <c r="AF510" s="146"/>
      <c r="AN510" s="70" t="s">
        <v>1807</v>
      </c>
    </row>
    <row r="511" spans="1:41">
      <c r="A511" s="132">
        <f t="shared" si="58"/>
        <v>503</v>
      </c>
      <c r="B511" s="133" t="s">
        <v>1764</v>
      </c>
      <c r="C511" s="133" t="s">
        <v>1905</v>
      </c>
      <c r="D511" s="132" t="s">
        <v>1024</v>
      </c>
      <c r="E511" s="147">
        <v>202500109280</v>
      </c>
      <c r="F511" s="135">
        <v>45789</v>
      </c>
      <c r="G511" s="45"/>
      <c r="H511" s="136"/>
      <c r="I511" s="136">
        <v>159720</v>
      </c>
      <c r="J511" s="137" t="s">
        <v>1025</v>
      </c>
      <c r="K511" s="150"/>
      <c r="L511" s="148">
        <f t="shared" si="69"/>
        <v>159720</v>
      </c>
      <c r="M511" s="122">
        <f t="shared" si="61"/>
        <v>0</v>
      </c>
      <c r="N511" s="137"/>
      <c r="O511" s="149" t="b">
        <f t="shared" si="62"/>
        <v>1</v>
      </c>
      <c r="P511" s="149">
        <f t="shared" si="63"/>
        <v>0</v>
      </c>
      <c r="Q511" s="149" t="b">
        <f t="shared" si="64"/>
        <v>0</v>
      </c>
      <c r="R511" s="149">
        <f t="shared" si="65"/>
        <v>0</v>
      </c>
      <c r="S511" s="144"/>
      <c r="T511" s="143">
        <v>45789</v>
      </c>
      <c r="U511" s="144">
        <v>202500109280</v>
      </c>
      <c r="V511" s="144"/>
      <c r="W511" s="144" t="s">
        <v>1071</v>
      </c>
      <c r="X511" s="144" t="s">
        <v>1801</v>
      </c>
      <c r="Y511" s="144" t="s">
        <v>1802</v>
      </c>
      <c r="Z511" s="145">
        <v>1756917</v>
      </c>
      <c r="AA511" s="145">
        <v>1597197</v>
      </c>
      <c r="AB511" s="144">
        <v>0</v>
      </c>
      <c r="AC511" s="144" t="s">
        <v>1022</v>
      </c>
      <c r="AD511" s="145">
        <v>159720</v>
      </c>
      <c r="AE511" s="144"/>
      <c r="AF511" s="146"/>
    </row>
    <row r="512" spans="1:41">
      <c r="A512" s="132">
        <f t="shared" si="58"/>
        <v>504</v>
      </c>
      <c r="B512" s="133" t="s">
        <v>1764</v>
      </c>
      <c r="C512" s="133" t="s">
        <v>1905</v>
      </c>
      <c r="D512" s="132" t="s">
        <v>1024</v>
      </c>
      <c r="E512" s="147">
        <v>202500101347</v>
      </c>
      <c r="F512" s="135">
        <v>45782</v>
      </c>
      <c r="G512" s="45"/>
      <c r="H512" s="136"/>
      <c r="I512" s="136">
        <v>348348</v>
      </c>
      <c r="J512" s="137" t="s">
        <v>1025</v>
      </c>
      <c r="K512" s="150"/>
      <c r="L512" s="148">
        <f t="shared" si="69"/>
        <v>348348</v>
      </c>
      <c r="M512" s="122">
        <f t="shared" si="61"/>
        <v>0</v>
      </c>
      <c r="N512" s="137"/>
      <c r="O512" s="149" t="b">
        <f t="shared" si="62"/>
        <v>1</v>
      </c>
      <c r="P512" s="149">
        <f t="shared" si="63"/>
        <v>0</v>
      </c>
      <c r="Q512" s="149" t="b">
        <f t="shared" si="64"/>
        <v>0</v>
      </c>
      <c r="R512" s="149">
        <f t="shared" si="65"/>
        <v>0</v>
      </c>
      <c r="S512" s="144"/>
      <c r="T512" s="143">
        <v>45782</v>
      </c>
      <c r="U512" s="144">
        <v>202500101347</v>
      </c>
      <c r="V512" s="144"/>
      <c r="W512" s="144" t="s">
        <v>1071</v>
      </c>
      <c r="X512" s="144" t="s">
        <v>1801</v>
      </c>
      <c r="Y512" s="144" t="s">
        <v>1802</v>
      </c>
      <c r="Z512" s="145">
        <v>3831828</v>
      </c>
      <c r="AA512" s="145">
        <v>3483480</v>
      </c>
      <c r="AB512" s="144">
        <v>0</v>
      </c>
      <c r="AC512" s="144" t="s">
        <v>1022</v>
      </c>
      <c r="AD512" s="145">
        <v>348348</v>
      </c>
      <c r="AE512" s="144"/>
      <c r="AF512" s="146"/>
    </row>
    <row r="513" spans="1:41">
      <c r="A513" s="132">
        <f t="shared" si="58"/>
        <v>505</v>
      </c>
      <c r="B513" s="133" t="s">
        <v>1770</v>
      </c>
      <c r="C513" s="133" t="s">
        <v>1906</v>
      </c>
      <c r="D513" s="132" t="s">
        <v>1036</v>
      </c>
      <c r="E513" s="147" t="s">
        <v>1466</v>
      </c>
      <c r="F513" s="135">
        <v>45785</v>
      </c>
      <c r="G513" s="45"/>
      <c r="H513" s="136"/>
      <c r="I513" s="136">
        <v>864864</v>
      </c>
      <c r="J513" s="137" t="s">
        <v>1025</v>
      </c>
      <c r="K513" s="150"/>
      <c r="L513" s="148">
        <f t="shared" si="69"/>
        <v>864864</v>
      </c>
      <c r="M513" s="122">
        <f t="shared" si="61"/>
        <v>0</v>
      </c>
      <c r="N513" s="137"/>
      <c r="O513" s="149" t="b">
        <f t="shared" si="62"/>
        <v>1</v>
      </c>
      <c r="P513" s="149">
        <f t="shared" si="63"/>
        <v>0</v>
      </c>
      <c r="Q513" s="149" t="b">
        <f t="shared" si="64"/>
        <v>0</v>
      </c>
      <c r="R513" s="149">
        <f t="shared" si="65"/>
        <v>0</v>
      </c>
      <c r="S513" s="144"/>
      <c r="T513" s="143">
        <v>45785</v>
      </c>
      <c r="U513" s="144" t="s">
        <v>1466</v>
      </c>
      <c r="V513" s="144"/>
      <c r="W513" s="144" t="s">
        <v>1071</v>
      </c>
      <c r="X513" s="144" t="s">
        <v>1801</v>
      </c>
      <c r="Y513" s="144" t="s">
        <v>1802</v>
      </c>
      <c r="Z513" s="145">
        <v>9513504</v>
      </c>
      <c r="AA513" s="145">
        <v>8648640</v>
      </c>
      <c r="AB513" s="144">
        <v>0</v>
      </c>
      <c r="AC513" s="144" t="s">
        <v>1022</v>
      </c>
      <c r="AD513" s="145">
        <v>864864</v>
      </c>
      <c r="AE513" s="144">
        <v>0</v>
      </c>
      <c r="AF513" s="146">
        <v>0</v>
      </c>
      <c r="AG513" s="70">
        <v>0</v>
      </c>
      <c r="AH513" s="70">
        <v>0</v>
      </c>
      <c r="AI513" s="70">
        <v>0</v>
      </c>
      <c r="AJ513" s="70">
        <v>0</v>
      </c>
      <c r="AK513" s="70">
        <v>0</v>
      </c>
      <c r="AL513" s="70">
        <v>0.01</v>
      </c>
      <c r="AN513" s="70" t="s">
        <v>1887</v>
      </c>
    </row>
    <row r="514" spans="1:41">
      <c r="A514" s="132">
        <f t="shared" si="58"/>
        <v>506</v>
      </c>
      <c r="B514" s="133" t="s">
        <v>1765</v>
      </c>
      <c r="C514" s="133" t="s">
        <v>1904</v>
      </c>
      <c r="D514" s="132" t="s">
        <v>1698</v>
      </c>
      <c r="E514" s="147" t="s">
        <v>1467</v>
      </c>
      <c r="F514" s="135">
        <v>45789</v>
      </c>
      <c r="G514" s="45"/>
      <c r="H514" s="136"/>
      <c r="I514" s="136">
        <v>1733299</v>
      </c>
      <c r="J514" s="137" t="s">
        <v>1025</v>
      </c>
      <c r="K514" s="150"/>
      <c r="L514" s="148">
        <f>I514</f>
        <v>1733299</v>
      </c>
      <c r="M514" s="122">
        <f t="shared" si="61"/>
        <v>0</v>
      </c>
      <c r="N514" s="137"/>
      <c r="O514" s="149" t="b">
        <f t="shared" si="62"/>
        <v>1</v>
      </c>
      <c r="P514" s="149">
        <f t="shared" si="63"/>
        <v>0</v>
      </c>
      <c r="Q514" s="149" t="b">
        <f t="shared" si="64"/>
        <v>1</v>
      </c>
      <c r="R514" s="149">
        <f t="shared" si="65"/>
        <v>0</v>
      </c>
      <c r="S514" s="144"/>
      <c r="T514" s="143">
        <v>45789</v>
      </c>
      <c r="U514" s="144" t="s">
        <v>1467</v>
      </c>
      <c r="V514" s="144"/>
      <c r="W514" s="144"/>
      <c r="X514" s="144"/>
      <c r="Y514" s="144" t="s">
        <v>1802</v>
      </c>
      <c r="Z514" s="145"/>
      <c r="AA514" s="145"/>
      <c r="AB514" s="144"/>
      <c r="AC514" s="144"/>
      <c r="AD514" s="145">
        <v>1733299</v>
      </c>
      <c r="AE514" s="144"/>
      <c r="AF514" s="146"/>
      <c r="AN514" s="70" t="s">
        <v>1807</v>
      </c>
    </row>
    <row r="515" spans="1:41">
      <c r="A515" s="132">
        <f t="shared" si="58"/>
        <v>507</v>
      </c>
      <c r="B515" s="133" t="s">
        <v>1764</v>
      </c>
      <c r="C515" s="133" t="s">
        <v>1905</v>
      </c>
      <c r="D515" s="132" t="s">
        <v>1024</v>
      </c>
      <c r="E515" s="147">
        <v>202500109284</v>
      </c>
      <c r="F515" s="135">
        <v>45789</v>
      </c>
      <c r="G515" s="45"/>
      <c r="H515" s="136"/>
      <c r="I515" s="136">
        <v>405904</v>
      </c>
      <c r="J515" s="137" t="s">
        <v>1025</v>
      </c>
      <c r="K515" s="150"/>
      <c r="L515" s="148">
        <f t="shared" ref="L515:L516" si="70">I515</f>
        <v>405904</v>
      </c>
      <c r="M515" s="122">
        <f t="shared" si="61"/>
        <v>0</v>
      </c>
      <c r="N515" s="137"/>
      <c r="O515" s="149" t="b">
        <f t="shared" si="62"/>
        <v>1</v>
      </c>
      <c r="P515" s="149">
        <f t="shared" si="63"/>
        <v>0</v>
      </c>
      <c r="Q515" s="149" t="b">
        <f t="shared" si="64"/>
        <v>0</v>
      </c>
      <c r="R515" s="149">
        <f t="shared" si="65"/>
        <v>0</v>
      </c>
      <c r="S515" s="144"/>
      <c r="T515" s="143">
        <v>45789</v>
      </c>
      <c r="U515" s="144">
        <v>202500109284</v>
      </c>
      <c r="V515" s="144"/>
      <c r="W515" s="144" t="s">
        <v>1071</v>
      </c>
      <c r="X515" s="144" t="s">
        <v>1801</v>
      </c>
      <c r="Y515" s="144" t="s">
        <v>1802</v>
      </c>
      <c r="Z515" s="145">
        <v>4464946</v>
      </c>
      <c r="AA515" s="145">
        <v>4059042</v>
      </c>
      <c r="AB515" s="144">
        <v>0</v>
      </c>
      <c r="AC515" s="144" t="s">
        <v>1022</v>
      </c>
      <c r="AD515" s="145">
        <v>405904</v>
      </c>
      <c r="AE515" s="144"/>
      <c r="AF515" s="146"/>
    </row>
    <row r="516" spans="1:41">
      <c r="A516" s="132">
        <f t="shared" si="58"/>
        <v>508</v>
      </c>
      <c r="B516" s="133" t="s">
        <v>1770</v>
      </c>
      <c r="C516" s="133" t="s">
        <v>1906</v>
      </c>
      <c r="D516" s="132" t="s">
        <v>1036</v>
      </c>
      <c r="E516" s="147" t="s">
        <v>1468</v>
      </c>
      <c r="F516" s="135">
        <v>45784</v>
      </c>
      <c r="G516" s="45"/>
      <c r="H516" s="136"/>
      <c r="I516" s="136">
        <v>2433824</v>
      </c>
      <c r="J516" s="137" t="s">
        <v>1025</v>
      </c>
      <c r="K516" s="150"/>
      <c r="L516" s="148">
        <f t="shared" si="70"/>
        <v>2433824</v>
      </c>
      <c r="M516" s="122">
        <f t="shared" si="61"/>
        <v>0</v>
      </c>
      <c r="N516" s="137"/>
      <c r="O516" s="149" t="b">
        <f t="shared" si="62"/>
        <v>1</v>
      </c>
      <c r="P516" s="149">
        <f t="shared" si="63"/>
        <v>0</v>
      </c>
      <c r="Q516" s="149" t="b">
        <f t="shared" si="64"/>
        <v>0</v>
      </c>
      <c r="R516" s="149">
        <f t="shared" si="65"/>
        <v>0</v>
      </c>
      <c r="S516" s="144"/>
      <c r="T516" s="143">
        <v>45784</v>
      </c>
      <c r="U516" s="144" t="s">
        <v>1468</v>
      </c>
      <c r="V516" s="144"/>
      <c r="W516" s="144" t="s">
        <v>1071</v>
      </c>
      <c r="X516" s="144" t="s">
        <v>1801</v>
      </c>
      <c r="Y516" s="144" t="s">
        <v>1802</v>
      </c>
      <c r="Z516" s="145">
        <v>26772064</v>
      </c>
      <c r="AA516" s="145">
        <v>24338240</v>
      </c>
      <c r="AB516" s="144">
        <v>0</v>
      </c>
      <c r="AC516" s="144" t="s">
        <v>1022</v>
      </c>
      <c r="AD516" s="145">
        <v>2433824</v>
      </c>
      <c r="AE516" s="144">
        <v>0</v>
      </c>
      <c r="AF516" s="146">
        <v>0</v>
      </c>
      <c r="AG516" s="70">
        <v>0</v>
      </c>
      <c r="AH516" s="70">
        <v>0</v>
      </c>
      <c r="AI516" s="70">
        <v>0</v>
      </c>
      <c r="AJ516" s="70">
        <v>0</v>
      </c>
      <c r="AK516" s="70">
        <v>0</v>
      </c>
      <c r="AL516" s="70">
        <v>0.01</v>
      </c>
      <c r="AN516" s="70" t="s">
        <v>1888</v>
      </c>
    </row>
    <row r="517" spans="1:41">
      <c r="A517" s="132">
        <f t="shared" si="58"/>
        <v>509</v>
      </c>
      <c r="B517" s="133" t="s">
        <v>1765</v>
      </c>
      <c r="C517" s="133" t="s">
        <v>1904</v>
      </c>
      <c r="D517" s="132" t="s">
        <v>1698</v>
      </c>
      <c r="E517" s="147" t="s">
        <v>1469</v>
      </c>
      <c r="F517" s="135">
        <v>45789</v>
      </c>
      <c r="G517" s="45"/>
      <c r="H517" s="136"/>
      <c r="I517" s="136">
        <v>2774079</v>
      </c>
      <c r="J517" s="137" t="s">
        <v>1025</v>
      </c>
      <c r="K517" s="150"/>
      <c r="L517" s="148">
        <f>I517</f>
        <v>2774079</v>
      </c>
      <c r="M517" s="122">
        <f t="shared" si="61"/>
        <v>0</v>
      </c>
      <c r="N517" s="137"/>
      <c r="O517" s="149" t="b">
        <f t="shared" si="62"/>
        <v>1</v>
      </c>
      <c r="P517" s="149">
        <f t="shared" si="63"/>
        <v>0</v>
      </c>
      <c r="Q517" s="149" t="b">
        <f t="shared" si="64"/>
        <v>1</v>
      </c>
      <c r="R517" s="149">
        <f t="shared" si="65"/>
        <v>0</v>
      </c>
      <c r="S517" s="144"/>
      <c r="T517" s="143">
        <v>45789</v>
      </c>
      <c r="U517" s="144" t="s">
        <v>1469</v>
      </c>
      <c r="V517" s="144"/>
      <c r="W517" s="144"/>
      <c r="X517" s="144"/>
      <c r="Y517" s="144" t="s">
        <v>1802</v>
      </c>
      <c r="Z517" s="145"/>
      <c r="AA517" s="145"/>
      <c r="AB517" s="144"/>
      <c r="AC517" s="144"/>
      <c r="AD517" s="145">
        <v>2774079</v>
      </c>
      <c r="AE517" s="144"/>
      <c r="AF517" s="146"/>
      <c r="AN517" s="70" t="s">
        <v>1807</v>
      </c>
    </row>
    <row r="518" spans="1:41">
      <c r="A518" s="132">
        <f t="shared" si="58"/>
        <v>510</v>
      </c>
      <c r="B518" s="133" t="s">
        <v>1788</v>
      </c>
      <c r="C518" s="133" t="s">
        <v>1931</v>
      </c>
      <c r="D518" s="132" t="s">
        <v>1719</v>
      </c>
      <c r="E518" s="147" t="s">
        <v>1470</v>
      </c>
      <c r="F518" s="135">
        <v>45626</v>
      </c>
      <c r="G518" s="45"/>
      <c r="H518" s="136"/>
      <c r="I518" s="136">
        <v>18537883</v>
      </c>
      <c r="J518" s="137" t="s">
        <v>1025</v>
      </c>
      <c r="K518" s="150"/>
      <c r="L518" s="148">
        <f t="shared" ref="L518:L519" si="71">I518</f>
        <v>18537883</v>
      </c>
      <c r="M518" s="122">
        <f t="shared" si="61"/>
        <v>0</v>
      </c>
      <c r="N518" s="137" t="s">
        <v>1901</v>
      </c>
      <c r="O518" s="149" t="b">
        <f t="shared" si="62"/>
        <v>1</v>
      </c>
      <c r="P518" s="149">
        <f t="shared" si="63"/>
        <v>0</v>
      </c>
      <c r="Q518" s="149" t="b">
        <f t="shared" si="64"/>
        <v>0</v>
      </c>
      <c r="R518" s="149">
        <f t="shared" si="65"/>
        <v>0</v>
      </c>
      <c r="S518" s="144"/>
      <c r="T518" s="143">
        <v>45626</v>
      </c>
      <c r="U518" s="144" t="s">
        <v>1470</v>
      </c>
      <c r="V518" s="144">
        <v>0</v>
      </c>
      <c r="W518" s="144" t="s">
        <v>1071</v>
      </c>
      <c r="X518" s="144" t="s">
        <v>1801</v>
      </c>
      <c r="Y518" s="144" t="s">
        <v>1802</v>
      </c>
      <c r="Z518" s="145">
        <v>203916714</v>
      </c>
      <c r="AA518" s="145">
        <v>185378831</v>
      </c>
      <c r="AB518" s="144">
        <v>0</v>
      </c>
      <c r="AC518" s="144" t="s">
        <v>1022</v>
      </c>
      <c r="AD518" s="145">
        <v>18537883</v>
      </c>
      <c r="AE518" s="144">
        <v>0</v>
      </c>
      <c r="AF518" s="146">
        <v>0</v>
      </c>
      <c r="AG518" s="70">
        <v>0</v>
      </c>
      <c r="AH518" s="70">
        <v>0</v>
      </c>
      <c r="AI518" s="70">
        <v>0</v>
      </c>
      <c r="AJ518" s="70">
        <v>0</v>
      </c>
      <c r="AK518" s="70">
        <v>0</v>
      </c>
      <c r="AL518" s="70">
        <v>0.01</v>
      </c>
      <c r="AM518" s="70">
        <v>0</v>
      </c>
      <c r="AN518" s="70" t="s">
        <v>1889</v>
      </c>
      <c r="AO518" s="70" t="s">
        <v>1804</v>
      </c>
    </row>
    <row r="519" spans="1:41">
      <c r="A519" s="132">
        <f t="shared" si="58"/>
        <v>511</v>
      </c>
      <c r="B519" s="133" t="s">
        <v>1789</v>
      </c>
      <c r="C519" s="133" t="s">
        <v>1931</v>
      </c>
      <c r="D519" s="132" t="s">
        <v>1719</v>
      </c>
      <c r="E519" s="147" t="s">
        <v>1471</v>
      </c>
      <c r="F519" s="135">
        <v>45657</v>
      </c>
      <c r="G519" s="45"/>
      <c r="H519" s="136"/>
      <c r="I519" s="136">
        <v>18524076</v>
      </c>
      <c r="J519" s="137" t="s">
        <v>1025</v>
      </c>
      <c r="K519" s="150"/>
      <c r="L519" s="148">
        <f t="shared" si="71"/>
        <v>18524076</v>
      </c>
      <c r="M519" s="122">
        <f t="shared" si="61"/>
        <v>0</v>
      </c>
      <c r="N519" s="137" t="s">
        <v>1901</v>
      </c>
      <c r="O519" s="149" t="b">
        <f t="shared" si="62"/>
        <v>1</v>
      </c>
      <c r="P519" s="149">
        <f t="shared" si="63"/>
        <v>0</v>
      </c>
      <c r="Q519" s="149" t="b">
        <f t="shared" si="64"/>
        <v>0</v>
      </c>
      <c r="R519" s="149">
        <f t="shared" si="65"/>
        <v>0</v>
      </c>
      <c r="S519" s="144"/>
      <c r="T519" s="143">
        <v>45657</v>
      </c>
      <c r="U519" s="144" t="s">
        <v>1471</v>
      </c>
      <c r="V519" s="144">
        <v>0</v>
      </c>
      <c r="W519" s="144" t="s">
        <v>1071</v>
      </c>
      <c r="X519" s="144" t="s">
        <v>1801</v>
      </c>
      <c r="Y519" s="144" t="s">
        <v>1802</v>
      </c>
      <c r="Z519" s="145">
        <v>203764840</v>
      </c>
      <c r="AA519" s="145">
        <v>185240764</v>
      </c>
      <c r="AB519" s="144">
        <v>0</v>
      </c>
      <c r="AC519" s="144" t="s">
        <v>1022</v>
      </c>
      <c r="AD519" s="145">
        <v>18524076</v>
      </c>
      <c r="AE519" s="144">
        <v>0</v>
      </c>
      <c r="AF519" s="146">
        <v>0</v>
      </c>
      <c r="AG519" s="70">
        <v>0</v>
      </c>
      <c r="AH519" s="70">
        <v>0</v>
      </c>
      <c r="AI519" s="70">
        <v>0</v>
      </c>
      <c r="AJ519" s="70">
        <v>0</v>
      </c>
      <c r="AK519" s="70">
        <v>0</v>
      </c>
      <c r="AL519" s="70">
        <v>0.01</v>
      </c>
      <c r="AM519" s="70">
        <v>0</v>
      </c>
      <c r="AN519" s="70" t="s">
        <v>1890</v>
      </c>
      <c r="AO519" s="70" t="s">
        <v>1804</v>
      </c>
    </row>
    <row r="520" spans="1:41">
      <c r="A520" s="132">
        <f t="shared" si="58"/>
        <v>512</v>
      </c>
      <c r="B520" s="133" t="s">
        <v>1790</v>
      </c>
      <c r="C520" s="133" t="s">
        <v>1931</v>
      </c>
      <c r="D520" s="132" t="s">
        <v>1719</v>
      </c>
      <c r="E520" s="147" t="s">
        <v>1472</v>
      </c>
      <c r="F520" s="135">
        <v>45688</v>
      </c>
      <c r="G520" s="45"/>
      <c r="H520" s="136"/>
      <c r="I520" s="136">
        <v>18519474</v>
      </c>
      <c r="J520" s="137" t="s">
        <v>1025</v>
      </c>
      <c r="K520" s="150"/>
      <c r="L520" s="148">
        <f>I520</f>
        <v>18519474</v>
      </c>
      <c r="M520" s="122">
        <f t="shared" si="61"/>
        <v>0</v>
      </c>
      <c r="N520" s="137" t="s">
        <v>1901</v>
      </c>
      <c r="O520" s="149" t="b">
        <f t="shared" si="62"/>
        <v>1</v>
      </c>
      <c r="P520" s="149">
        <f t="shared" si="63"/>
        <v>0</v>
      </c>
      <c r="Q520" s="149" t="b">
        <f t="shared" si="64"/>
        <v>0</v>
      </c>
      <c r="R520" s="149">
        <f t="shared" si="65"/>
        <v>0</v>
      </c>
      <c r="S520" s="144"/>
      <c r="T520" s="143">
        <v>45688</v>
      </c>
      <c r="U520" s="144" t="s">
        <v>1472</v>
      </c>
      <c r="V520" s="144">
        <v>0</v>
      </c>
      <c r="W520" s="144" t="s">
        <v>1071</v>
      </c>
      <c r="X520" s="144" t="s">
        <v>1801</v>
      </c>
      <c r="Y520" s="144" t="s">
        <v>1802</v>
      </c>
      <c r="Z520" s="145">
        <v>203714215</v>
      </c>
      <c r="AA520" s="145">
        <v>185194741</v>
      </c>
      <c r="AB520" s="144">
        <v>0</v>
      </c>
      <c r="AC520" s="144" t="s">
        <v>1022</v>
      </c>
      <c r="AD520" s="145">
        <v>18519474</v>
      </c>
      <c r="AE520" s="144">
        <v>0</v>
      </c>
      <c r="AF520" s="146">
        <v>0</v>
      </c>
      <c r="AG520" s="70">
        <v>0</v>
      </c>
      <c r="AH520" s="70">
        <v>0</v>
      </c>
      <c r="AI520" s="70">
        <v>0</v>
      </c>
      <c r="AJ520" s="70">
        <v>0</v>
      </c>
      <c r="AK520" s="70">
        <v>0</v>
      </c>
      <c r="AL520" s="70">
        <v>0.01</v>
      </c>
      <c r="AM520" s="70">
        <v>0</v>
      </c>
      <c r="AN520" s="70" t="s">
        <v>1891</v>
      </c>
      <c r="AO520" s="70" t="s">
        <v>1804</v>
      </c>
    </row>
    <row r="521" spans="1:41">
      <c r="A521" s="132">
        <f t="shared" si="58"/>
        <v>513</v>
      </c>
      <c r="B521" s="133" t="s">
        <v>1791</v>
      </c>
      <c r="C521" s="133" t="s">
        <v>1931</v>
      </c>
      <c r="D521" s="132" t="s">
        <v>1719</v>
      </c>
      <c r="E521" s="147" t="s">
        <v>1473</v>
      </c>
      <c r="F521" s="135">
        <v>45716</v>
      </c>
      <c r="G521" s="45"/>
      <c r="H521" s="136"/>
      <c r="I521" s="136">
        <v>18459645</v>
      </c>
      <c r="J521" s="137" t="s">
        <v>1025</v>
      </c>
      <c r="K521" s="150"/>
      <c r="L521" s="148">
        <f t="shared" ref="L521:L527" si="72">I521</f>
        <v>18459645</v>
      </c>
      <c r="M521" s="122">
        <f t="shared" si="61"/>
        <v>0</v>
      </c>
      <c r="N521" s="137" t="s">
        <v>1901</v>
      </c>
      <c r="O521" s="149" t="b">
        <f t="shared" si="62"/>
        <v>1</v>
      </c>
      <c r="P521" s="149">
        <f t="shared" si="63"/>
        <v>0</v>
      </c>
      <c r="Q521" s="149" t="b">
        <f t="shared" si="64"/>
        <v>0</v>
      </c>
      <c r="R521" s="149">
        <f t="shared" si="65"/>
        <v>0</v>
      </c>
      <c r="S521" s="144"/>
      <c r="T521" s="143">
        <v>45716</v>
      </c>
      <c r="U521" s="144" t="s">
        <v>1473</v>
      </c>
      <c r="V521" s="144">
        <v>0</v>
      </c>
      <c r="W521" s="144" t="s">
        <v>1071</v>
      </c>
      <c r="X521" s="144" t="s">
        <v>1801</v>
      </c>
      <c r="Y521" s="144" t="s">
        <v>1802</v>
      </c>
      <c r="Z521" s="145">
        <v>203056093</v>
      </c>
      <c r="AA521" s="145">
        <v>184596448</v>
      </c>
      <c r="AB521" s="144">
        <v>0</v>
      </c>
      <c r="AC521" s="144" t="s">
        <v>1022</v>
      </c>
      <c r="AD521" s="145">
        <v>18459645</v>
      </c>
      <c r="AE521" s="144">
        <v>0</v>
      </c>
      <c r="AF521" s="146">
        <v>0</v>
      </c>
      <c r="AG521" s="70">
        <v>0</v>
      </c>
      <c r="AH521" s="70">
        <v>0</v>
      </c>
      <c r="AI521" s="70">
        <v>0</v>
      </c>
      <c r="AJ521" s="70">
        <v>0</v>
      </c>
      <c r="AK521" s="70">
        <v>0</v>
      </c>
      <c r="AL521" s="70">
        <v>0.01</v>
      </c>
      <c r="AM521" s="70">
        <v>0</v>
      </c>
      <c r="AN521" s="70" t="s">
        <v>1892</v>
      </c>
      <c r="AO521" s="70" t="s">
        <v>1804</v>
      </c>
    </row>
    <row r="522" spans="1:41">
      <c r="A522" s="132">
        <f t="shared" si="58"/>
        <v>514</v>
      </c>
      <c r="B522" s="133" t="s">
        <v>1792</v>
      </c>
      <c r="C522" s="133" t="s">
        <v>1931</v>
      </c>
      <c r="D522" s="132" t="s">
        <v>1719</v>
      </c>
      <c r="E522" s="147" t="s">
        <v>1474</v>
      </c>
      <c r="F522" s="135">
        <v>45747</v>
      </c>
      <c r="G522" s="45"/>
      <c r="H522" s="136"/>
      <c r="I522" s="136">
        <v>18409020</v>
      </c>
      <c r="J522" s="137" t="s">
        <v>1025</v>
      </c>
      <c r="K522" s="150"/>
      <c r="L522" s="148">
        <f t="shared" si="72"/>
        <v>18409020</v>
      </c>
      <c r="M522" s="122">
        <f t="shared" si="61"/>
        <v>0</v>
      </c>
      <c r="N522" s="137" t="s">
        <v>1901</v>
      </c>
      <c r="O522" s="149" t="b">
        <f t="shared" si="62"/>
        <v>1</v>
      </c>
      <c r="P522" s="149">
        <f t="shared" si="63"/>
        <v>0</v>
      </c>
      <c r="Q522" s="149" t="b">
        <f t="shared" si="64"/>
        <v>0</v>
      </c>
      <c r="R522" s="149">
        <f t="shared" si="65"/>
        <v>0</v>
      </c>
      <c r="S522" s="144"/>
      <c r="T522" s="143">
        <v>45747</v>
      </c>
      <c r="U522" s="144" t="s">
        <v>1474</v>
      </c>
      <c r="V522" s="144">
        <v>0</v>
      </c>
      <c r="W522" s="144" t="s">
        <v>1071</v>
      </c>
      <c r="X522" s="144" t="s">
        <v>1801</v>
      </c>
      <c r="Y522" s="144" t="s">
        <v>1802</v>
      </c>
      <c r="Z522" s="145">
        <v>202499220</v>
      </c>
      <c r="AA522" s="145">
        <v>184090200</v>
      </c>
      <c r="AB522" s="144">
        <v>0</v>
      </c>
      <c r="AC522" s="144" t="s">
        <v>1022</v>
      </c>
      <c r="AD522" s="145">
        <v>18409020</v>
      </c>
      <c r="AE522" s="144">
        <v>0</v>
      </c>
      <c r="AF522" s="146">
        <v>0</v>
      </c>
      <c r="AG522" s="70">
        <v>0</v>
      </c>
      <c r="AH522" s="70">
        <v>0</v>
      </c>
      <c r="AI522" s="70">
        <v>0</v>
      </c>
      <c r="AJ522" s="70">
        <v>0</v>
      </c>
      <c r="AK522" s="70">
        <v>0</v>
      </c>
      <c r="AL522" s="70">
        <v>0.01</v>
      </c>
      <c r="AM522" s="70">
        <v>0</v>
      </c>
      <c r="AN522" s="70" t="s">
        <v>1893</v>
      </c>
      <c r="AO522" s="70" t="s">
        <v>1804</v>
      </c>
    </row>
    <row r="523" spans="1:41">
      <c r="A523" s="132">
        <f t="shared" ref="A523:A586" si="73">A522+1</f>
        <v>515</v>
      </c>
      <c r="B523" s="133" t="s">
        <v>1793</v>
      </c>
      <c r="C523" s="133" t="s">
        <v>1931</v>
      </c>
      <c r="D523" s="132" t="s">
        <v>1719</v>
      </c>
      <c r="E523" s="147" t="s">
        <v>1475</v>
      </c>
      <c r="F523" s="135">
        <v>45777</v>
      </c>
      <c r="G523" s="45"/>
      <c r="H523" s="136"/>
      <c r="I523" s="136">
        <v>18422827</v>
      </c>
      <c r="J523" s="137" t="s">
        <v>1025</v>
      </c>
      <c r="K523" s="150"/>
      <c r="L523" s="148">
        <f t="shared" si="72"/>
        <v>18422827</v>
      </c>
      <c r="M523" s="122">
        <f t="shared" si="61"/>
        <v>0</v>
      </c>
      <c r="N523" s="137" t="s">
        <v>1901</v>
      </c>
      <c r="O523" s="149" t="b">
        <f t="shared" si="62"/>
        <v>1</v>
      </c>
      <c r="P523" s="149">
        <f t="shared" si="63"/>
        <v>0</v>
      </c>
      <c r="Q523" s="149" t="b">
        <f t="shared" si="64"/>
        <v>0</v>
      </c>
      <c r="R523" s="149">
        <f t="shared" si="65"/>
        <v>0</v>
      </c>
      <c r="S523" s="144"/>
      <c r="T523" s="143">
        <v>45777</v>
      </c>
      <c r="U523" s="144" t="s">
        <v>1475</v>
      </c>
      <c r="V523" s="144">
        <v>0</v>
      </c>
      <c r="W523" s="144" t="s">
        <v>1071</v>
      </c>
      <c r="X523" s="144" t="s">
        <v>1801</v>
      </c>
      <c r="Y523" s="144" t="s">
        <v>1802</v>
      </c>
      <c r="Z523" s="145">
        <v>202651095</v>
      </c>
      <c r="AA523" s="145">
        <v>184228268</v>
      </c>
      <c r="AB523" s="144">
        <v>0</v>
      </c>
      <c r="AC523" s="144" t="s">
        <v>1022</v>
      </c>
      <c r="AD523" s="145">
        <v>18422827</v>
      </c>
      <c r="AE523" s="144">
        <v>0</v>
      </c>
      <c r="AF523" s="146">
        <v>0</v>
      </c>
      <c r="AG523" s="70">
        <v>0</v>
      </c>
      <c r="AH523" s="70">
        <v>0</v>
      </c>
      <c r="AI523" s="70">
        <v>0</v>
      </c>
      <c r="AJ523" s="70">
        <v>0</v>
      </c>
      <c r="AK523" s="70">
        <v>0</v>
      </c>
      <c r="AL523" s="70">
        <v>0.01</v>
      </c>
      <c r="AM523" s="70">
        <v>0</v>
      </c>
      <c r="AN523" s="70" t="s">
        <v>1894</v>
      </c>
      <c r="AO523" s="70" t="s">
        <v>1804</v>
      </c>
    </row>
    <row r="524" spans="1:41">
      <c r="A524" s="132">
        <f t="shared" si="73"/>
        <v>516</v>
      </c>
      <c r="B524" s="133" t="s">
        <v>1794</v>
      </c>
      <c r="C524" s="133" t="s">
        <v>1931</v>
      </c>
      <c r="D524" s="132" t="s">
        <v>1719</v>
      </c>
      <c r="E524" s="147" t="s">
        <v>1476</v>
      </c>
      <c r="F524" s="135">
        <v>45808</v>
      </c>
      <c r="G524" s="45"/>
      <c r="H524" s="136"/>
      <c r="I524" s="136">
        <v>18432031</v>
      </c>
      <c r="J524" s="137" t="s">
        <v>1025</v>
      </c>
      <c r="K524" s="150"/>
      <c r="L524" s="148">
        <f t="shared" si="72"/>
        <v>18432031</v>
      </c>
      <c r="M524" s="122">
        <f t="shared" si="61"/>
        <v>0</v>
      </c>
      <c r="N524" s="137" t="s">
        <v>1901</v>
      </c>
      <c r="O524" s="149" t="b">
        <f t="shared" si="62"/>
        <v>1</v>
      </c>
      <c r="P524" s="149">
        <f t="shared" si="63"/>
        <v>0</v>
      </c>
      <c r="Q524" s="149" t="b">
        <f t="shared" si="64"/>
        <v>0</v>
      </c>
      <c r="R524" s="149">
        <f t="shared" si="65"/>
        <v>0</v>
      </c>
      <c r="S524" s="144"/>
      <c r="T524" s="143">
        <v>45808</v>
      </c>
      <c r="U524" s="144" t="s">
        <v>1476</v>
      </c>
      <c r="V524" s="144">
        <v>0</v>
      </c>
      <c r="W524" s="144" t="s">
        <v>1071</v>
      </c>
      <c r="X524" s="144" t="s">
        <v>1801</v>
      </c>
      <c r="Y524" s="144" t="s">
        <v>1802</v>
      </c>
      <c r="Z524" s="145">
        <v>202752344</v>
      </c>
      <c r="AA524" s="145">
        <v>184320313</v>
      </c>
      <c r="AB524" s="144">
        <v>0</v>
      </c>
      <c r="AC524" s="144" t="s">
        <v>1022</v>
      </c>
      <c r="AD524" s="145">
        <v>18432031</v>
      </c>
      <c r="AE524" s="144">
        <v>0</v>
      </c>
      <c r="AF524" s="146">
        <v>0</v>
      </c>
      <c r="AG524" s="70">
        <v>0</v>
      </c>
      <c r="AH524" s="70">
        <v>0</v>
      </c>
      <c r="AI524" s="70">
        <v>0</v>
      </c>
      <c r="AJ524" s="70">
        <v>0</v>
      </c>
      <c r="AK524" s="70">
        <v>0</v>
      </c>
      <c r="AL524" s="70">
        <v>0.01</v>
      </c>
      <c r="AM524" s="70">
        <v>0</v>
      </c>
      <c r="AN524" s="70" t="s">
        <v>1895</v>
      </c>
      <c r="AO524" s="70" t="s">
        <v>1804</v>
      </c>
    </row>
    <row r="525" spans="1:41">
      <c r="A525" s="132">
        <f t="shared" si="73"/>
        <v>517</v>
      </c>
      <c r="B525" s="133" t="s">
        <v>1072</v>
      </c>
      <c r="C525" s="133" t="s">
        <v>1932</v>
      </c>
      <c r="D525" s="132" t="s">
        <v>1037</v>
      </c>
      <c r="E525" s="147" t="s">
        <v>1477</v>
      </c>
      <c r="F525" s="135">
        <v>45777</v>
      </c>
      <c r="G525" s="45"/>
      <c r="H525" s="136"/>
      <c r="I525" s="136">
        <v>502377</v>
      </c>
      <c r="J525" s="137" t="s">
        <v>1025</v>
      </c>
      <c r="K525" s="150"/>
      <c r="L525" s="148">
        <f t="shared" si="72"/>
        <v>502377</v>
      </c>
      <c r="M525" s="122">
        <f t="shared" si="61"/>
        <v>0</v>
      </c>
      <c r="N525" s="137"/>
      <c r="O525" s="149" t="b">
        <f t="shared" si="62"/>
        <v>1</v>
      </c>
      <c r="P525" s="149">
        <f t="shared" si="63"/>
        <v>0</v>
      </c>
      <c r="Q525" s="149" t="b">
        <f t="shared" si="64"/>
        <v>0</v>
      </c>
      <c r="R525" s="149">
        <f t="shared" si="65"/>
        <v>0</v>
      </c>
      <c r="S525" s="144"/>
      <c r="T525" s="143">
        <v>45777</v>
      </c>
      <c r="U525" s="144" t="s">
        <v>1477</v>
      </c>
      <c r="V525" s="144"/>
      <c r="W525" s="144" t="s">
        <v>1071</v>
      </c>
      <c r="X525" s="144" t="s">
        <v>1801</v>
      </c>
      <c r="Y525" s="144" t="s">
        <v>1802</v>
      </c>
      <c r="Z525" s="145">
        <v>5526142</v>
      </c>
      <c r="AA525" s="145">
        <v>5023765</v>
      </c>
      <c r="AB525" s="144">
        <v>0</v>
      </c>
      <c r="AC525" s="144" t="s">
        <v>1022</v>
      </c>
      <c r="AD525" s="145">
        <v>502377</v>
      </c>
      <c r="AE525" s="144">
        <v>0</v>
      </c>
      <c r="AF525" s="146">
        <v>0</v>
      </c>
      <c r="AG525" s="70">
        <v>0</v>
      </c>
      <c r="AH525" s="70">
        <v>0</v>
      </c>
      <c r="AI525" s="70">
        <v>0</v>
      </c>
      <c r="AJ525" s="70">
        <v>0</v>
      </c>
      <c r="AK525" s="70">
        <v>0</v>
      </c>
      <c r="AL525" s="70">
        <v>0.01</v>
      </c>
      <c r="AN525" s="70" t="s">
        <v>1896</v>
      </c>
    </row>
    <row r="526" spans="1:41">
      <c r="A526" s="132">
        <f t="shared" si="73"/>
        <v>518</v>
      </c>
      <c r="B526" s="133" t="s">
        <v>1764</v>
      </c>
      <c r="C526" s="133" t="s">
        <v>1905</v>
      </c>
      <c r="D526" s="132" t="s">
        <v>1024</v>
      </c>
      <c r="E526" s="147">
        <v>202500100313</v>
      </c>
      <c r="F526" s="135">
        <v>45780</v>
      </c>
      <c r="G526" s="45"/>
      <c r="H526" s="136"/>
      <c r="I526" s="136">
        <v>174087</v>
      </c>
      <c r="J526" s="137" t="s">
        <v>1025</v>
      </c>
      <c r="K526" s="150"/>
      <c r="L526" s="148">
        <f t="shared" si="72"/>
        <v>174087</v>
      </c>
      <c r="M526" s="122">
        <f t="shared" si="61"/>
        <v>0</v>
      </c>
      <c r="N526" s="137"/>
      <c r="O526" s="149" t="b">
        <f t="shared" si="62"/>
        <v>1</v>
      </c>
      <c r="P526" s="149">
        <f t="shared" si="63"/>
        <v>0</v>
      </c>
      <c r="Q526" s="149" t="b">
        <f t="shared" si="64"/>
        <v>0</v>
      </c>
      <c r="R526" s="149">
        <f t="shared" si="65"/>
        <v>0</v>
      </c>
      <c r="S526" s="144"/>
      <c r="T526" s="143">
        <v>45780</v>
      </c>
      <c r="U526" s="144">
        <v>202500100313</v>
      </c>
      <c r="V526" s="144"/>
      <c r="W526" s="144" t="s">
        <v>1071</v>
      </c>
      <c r="X526" s="144" t="s">
        <v>1801</v>
      </c>
      <c r="Y526" s="144" t="s">
        <v>1802</v>
      </c>
      <c r="Z526" s="145">
        <v>1914957</v>
      </c>
      <c r="AA526" s="145">
        <v>1740870</v>
      </c>
      <c r="AB526" s="144">
        <v>0</v>
      </c>
      <c r="AC526" s="144" t="s">
        <v>1022</v>
      </c>
      <c r="AD526" s="145">
        <v>174087</v>
      </c>
      <c r="AE526" s="144"/>
      <c r="AF526" s="146"/>
    </row>
    <row r="527" spans="1:41">
      <c r="A527" s="132">
        <f t="shared" si="73"/>
        <v>519</v>
      </c>
      <c r="B527" s="133" t="s">
        <v>1768</v>
      </c>
      <c r="C527" s="133" t="s">
        <v>1929</v>
      </c>
      <c r="D527" s="132" t="s">
        <v>1069</v>
      </c>
      <c r="E527" s="147" t="s">
        <v>1478</v>
      </c>
      <c r="F527" s="135">
        <v>45796</v>
      </c>
      <c r="G527" s="45"/>
      <c r="H527" s="136"/>
      <c r="I527" s="136">
        <v>252126</v>
      </c>
      <c r="J527" s="137" t="s">
        <v>1025</v>
      </c>
      <c r="K527" s="150"/>
      <c r="L527" s="148">
        <f t="shared" si="72"/>
        <v>252126</v>
      </c>
      <c r="M527" s="122">
        <f t="shared" si="61"/>
        <v>0</v>
      </c>
      <c r="N527" s="137"/>
      <c r="O527" s="149" t="b">
        <f t="shared" si="62"/>
        <v>1</v>
      </c>
      <c r="P527" s="149">
        <f t="shared" si="63"/>
        <v>0</v>
      </c>
      <c r="Q527" s="149" t="b">
        <f t="shared" si="64"/>
        <v>0</v>
      </c>
      <c r="R527" s="149">
        <f t="shared" si="65"/>
        <v>0</v>
      </c>
      <c r="S527" s="144"/>
      <c r="T527" s="143">
        <v>45796</v>
      </c>
      <c r="U527" s="144" t="s">
        <v>1478</v>
      </c>
      <c r="V527" s="144">
        <v>0</v>
      </c>
      <c r="W527" s="144" t="s">
        <v>1071</v>
      </c>
      <c r="X527" s="144" t="s">
        <v>1801</v>
      </c>
      <c r="Y527" s="144" t="s">
        <v>1802</v>
      </c>
      <c r="Z527" s="145">
        <v>2773386</v>
      </c>
      <c r="AA527" s="145">
        <v>2521260</v>
      </c>
      <c r="AB527" s="144">
        <v>0</v>
      </c>
      <c r="AC527" s="144" t="s">
        <v>1022</v>
      </c>
      <c r="AD527" s="145">
        <v>252126</v>
      </c>
      <c r="AE527" s="144">
        <v>0</v>
      </c>
      <c r="AF527" s="146">
        <v>0</v>
      </c>
      <c r="AG527" s="70">
        <v>0</v>
      </c>
      <c r="AH527" s="70">
        <v>0</v>
      </c>
      <c r="AI527" s="70">
        <v>0</v>
      </c>
      <c r="AJ527" s="70">
        <v>0</v>
      </c>
      <c r="AK527" s="70">
        <v>0</v>
      </c>
      <c r="AL527" s="70">
        <v>0.01</v>
      </c>
      <c r="AM527" s="70">
        <v>0</v>
      </c>
      <c r="AN527" s="70" t="s">
        <v>1877</v>
      </c>
    </row>
    <row r="528" spans="1:41">
      <c r="A528" s="132">
        <f t="shared" si="73"/>
        <v>520</v>
      </c>
      <c r="B528" s="133" t="s">
        <v>1769</v>
      </c>
      <c r="C528" s="133" t="s">
        <v>1904</v>
      </c>
      <c r="D528" s="132" t="s">
        <v>1698</v>
      </c>
      <c r="E528" s="147" t="s">
        <v>1479</v>
      </c>
      <c r="F528" s="135">
        <v>45806</v>
      </c>
      <c r="G528" s="45"/>
      <c r="H528" s="136"/>
      <c r="I528" s="136">
        <v>1830629</v>
      </c>
      <c r="J528" s="137" t="s">
        <v>1025</v>
      </c>
      <c r="K528" s="150"/>
      <c r="L528" s="148">
        <f>I528</f>
        <v>1830629</v>
      </c>
      <c r="M528" s="122">
        <f t="shared" si="61"/>
        <v>0</v>
      </c>
      <c r="N528" s="137"/>
      <c r="O528" s="149" t="b">
        <f t="shared" si="62"/>
        <v>1</v>
      </c>
      <c r="P528" s="149">
        <f t="shared" si="63"/>
        <v>0</v>
      </c>
      <c r="Q528" s="149" t="b">
        <f t="shared" si="64"/>
        <v>1</v>
      </c>
      <c r="R528" s="149">
        <f t="shared" si="65"/>
        <v>0</v>
      </c>
      <c r="S528" s="144"/>
      <c r="T528" s="143">
        <v>45806</v>
      </c>
      <c r="U528" s="144" t="s">
        <v>1479</v>
      </c>
      <c r="V528" s="144"/>
      <c r="W528" s="144"/>
      <c r="X528" s="144"/>
      <c r="Y528" s="144" t="s">
        <v>1802</v>
      </c>
      <c r="Z528" s="145"/>
      <c r="AA528" s="145"/>
      <c r="AB528" s="144"/>
      <c r="AC528" s="144"/>
      <c r="AD528" s="145">
        <v>1830629</v>
      </c>
      <c r="AE528" s="144"/>
      <c r="AF528" s="146"/>
      <c r="AN528" s="70" t="s">
        <v>1807</v>
      </c>
    </row>
    <row r="529" spans="1:40">
      <c r="A529" s="132">
        <f t="shared" si="73"/>
        <v>521</v>
      </c>
      <c r="B529" s="133" t="s">
        <v>1768</v>
      </c>
      <c r="C529" s="133" t="s">
        <v>1905</v>
      </c>
      <c r="D529" s="132" t="s">
        <v>1024</v>
      </c>
      <c r="E529" s="147">
        <v>202500105838</v>
      </c>
      <c r="F529" s="135">
        <v>45785</v>
      </c>
      <c r="G529" s="45"/>
      <c r="H529" s="136"/>
      <c r="I529" s="136">
        <v>15215</v>
      </c>
      <c r="J529" s="137" t="s">
        <v>1025</v>
      </c>
      <c r="K529" s="150"/>
      <c r="L529" s="148">
        <f>I529</f>
        <v>15215</v>
      </c>
      <c r="M529" s="122">
        <f t="shared" si="61"/>
        <v>0</v>
      </c>
      <c r="N529" s="137"/>
      <c r="O529" s="149" t="b">
        <f t="shared" si="62"/>
        <v>1</v>
      </c>
      <c r="P529" s="149">
        <f t="shared" si="63"/>
        <v>0</v>
      </c>
      <c r="Q529" s="149" t="b">
        <f t="shared" si="64"/>
        <v>0</v>
      </c>
      <c r="R529" s="149">
        <f t="shared" si="65"/>
        <v>0</v>
      </c>
      <c r="S529" s="144"/>
      <c r="T529" s="143">
        <v>45785</v>
      </c>
      <c r="U529" s="144">
        <v>202500105838</v>
      </c>
      <c r="V529" s="144"/>
      <c r="W529" s="144" t="s">
        <v>1071</v>
      </c>
      <c r="X529" s="144" t="s">
        <v>1801</v>
      </c>
      <c r="Y529" s="144" t="s">
        <v>1802</v>
      </c>
      <c r="Z529" s="145">
        <v>167367</v>
      </c>
      <c r="AA529" s="145">
        <v>152152</v>
      </c>
      <c r="AB529" s="144">
        <v>0</v>
      </c>
      <c r="AC529" s="144" t="s">
        <v>1022</v>
      </c>
      <c r="AD529" s="145">
        <v>15215</v>
      </c>
      <c r="AE529" s="144"/>
      <c r="AF529" s="146"/>
    </row>
    <row r="530" spans="1:40">
      <c r="A530" s="132">
        <f t="shared" si="73"/>
        <v>522</v>
      </c>
      <c r="B530" s="133" t="s">
        <v>1768</v>
      </c>
      <c r="C530" s="133" t="s">
        <v>1929</v>
      </c>
      <c r="D530" s="132" t="s">
        <v>1069</v>
      </c>
      <c r="E530" s="147" t="s">
        <v>1480</v>
      </c>
      <c r="F530" s="135">
        <v>45797</v>
      </c>
      <c r="G530" s="45"/>
      <c r="H530" s="136"/>
      <c r="I530" s="136">
        <v>28021</v>
      </c>
      <c r="J530" s="137" t="s">
        <v>1025</v>
      </c>
      <c r="K530" s="150">
        <f>L530</f>
        <v>28014</v>
      </c>
      <c r="L530" s="148">
        <f>AD530</f>
        <v>28014</v>
      </c>
      <c r="M530" s="122">
        <f t="shared" si="61"/>
        <v>7</v>
      </c>
      <c r="N530" s="137"/>
      <c r="O530" s="149" t="b">
        <f t="shared" si="62"/>
        <v>1</v>
      </c>
      <c r="P530" s="149">
        <f t="shared" si="63"/>
        <v>0</v>
      </c>
      <c r="Q530" s="149" t="b">
        <f t="shared" si="64"/>
        <v>0</v>
      </c>
      <c r="R530" s="149">
        <f t="shared" si="65"/>
        <v>7</v>
      </c>
      <c r="S530" s="144"/>
      <c r="T530" s="143">
        <v>45797</v>
      </c>
      <c r="U530" s="144" t="s">
        <v>1480</v>
      </c>
      <c r="V530" s="144">
        <v>0</v>
      </c>
      <c r="W530" s="144" t="s">
        <v>1071</v>
      </c>
      <c r="X530" s="144" t="s">
        <v>1801</v>
      </c>
      <c r="Y530" s="144" t="s">
        <v>1802</v>
      </c>
      <c r="Z530" s="145">
        <v>308154</v>
      </c>
      <c r="AA530" s="145">
        <v>280140</v>
      </c>
      <c r="AB530" s="144">
        <v>0</v>
      </c>
      <c r="AC530" s="144" t="s">
        <v>1022</v>
      </c>
      <c r="AD530" s="145">
        <v>28014</v>
      </c>
      <c r="AE530" s="144">
        <v>0</v>
      </c>
      <c r="AF530" s="146">
        <v>0</v>
      </c>
      <c r="AG530" s="70">
        <v>0</v>
      </c>
      <c r="AH530" s="70">
        <v>0</v>
      </c>
      <c r="AI530" s="70">
        <v>0</v>
      </c>
      <c r="AJ530" s="70">
        <v>0</v>
      </c>
      <c r="AK530" s="70">
        <v>0</v>
      </c>
      <c r="AL530" s="70">
        <v>0.01</v>
      </c>
      <c r="AM530" s="70">
        <v>0</v>
      </c>
      <c r="AN530" s="70" t="s">
        <v>1877</v>
      </c>
    </row>
    <row r="531" spans="1:40">
      <c r="A531" s="132">
        <f t="shared" si="73"/>
        <v>523</v>
      </c>
      <c r="B531" s="133" t="s">
        <v>1769</v>
      </c>
      <c r="C531" s="133" t="s">
        <v>1904</v>
      </c>
      <c r="D531" s="132" t="s">
        <v>1698</v>
      </c>
      <c r="E531" s="147" t="s">
        <v>1481</v>
      </c>
      <c r="F531" s="135">
        <v>45793</v>
      </c>
      <c r="G531" s="45"/>
      <c r="H531" s="136"/>
      <c r="I531" s="136">
        <v>203302</v>
      </c>
      <c r="J531" s="137" t="s">
        <v>1025</v>
      </c>
      <c r="K531" s="150"/>
      <c r="L531" s="148">
        <f>I531</f>
        <v>203302</v>
      </c>
      <c r="M531" s="122">
        <f t="shared" si="61"/>
        <v>0</v>
      </c>
      <c r="N531" s="137"/>
      <c r="O531" s="149" t="b">
        <f t="shared" si="62"/>
        <v>1</v>
      </c>
      <c r="P531" s="149">
        <f t="shared" si="63"/>
        <v>0</v>
      </c>
      <c r="Q531" s="149" t="b">
        <f t="shared" si="64"/>
        <v>1</v>
      </c>
      <c r="R531" s="149">
        <f t="shared" si="65"/>
        <v>0</v>
      </c>
      <c r="S531" s="144"/>
      <c r="T531" s="143">
        <v>45793</v>
      </c>
      <c r="U531" s="144" t="s">
        <v>1481</v>
      </c>
      <c r="V531" s="144"/>
      <c r="W531" s="144"/>
      <c r="X531" s="144"/>
      <c r="Y531" s="144" t="s">
        <v>1802</v>
      </c>
      <c r="Z531" s="145"/>
      <c r="AA531" s="145"/>
      <c r="AB531" s="144"/>
      <c r="AC531" s="144"/>
      <c r="AD531" s="145">
        <v>203302</v>
      </c>
      <c r="AE531" s="144"/>
      <c r="AF531" s="146"/>
      <c r="AN531" s="70" t="s">
        <v>1807</v>
      </c>
    </row>
    <row r="532" spans="1:40">
      <c r="A532" s="132">
        <f t="shared" si="73"/>
        <v>524</v>
      </c>
      <c r="B532" s="133" t="s">
        <v>1768</v>
      </c>
      <c r="C532" s="133" t="s">
        <v>1929</v>
      </c>
      <c r="D532" s="132" t="s">
        <v>1069</v>
      </c>
      <c r="E532" s="147" t="s">
        <v>1482</v>
      </c>
      <c r="F532" s="135">
        <v>45797</v>
      </c>
      <c r="G532" s="45"/>
      <c r="H532" s="136"/>
      <c r="I532" s="136">
        <v>56042</v>
      </c>
      <c r="J532" s="137" t="s">
        <v>1025</v>
      </c>
      <c r="K532" s="150">
        <f>L532</f>
        <v>56028</v>
      </c>
      <c r="L532" s="148">
        <f>AD532</f>
        <v>56028</v>
      </c>
      <c r="M532" s="122">
        <f t="shared" si="61"/>
        <v>14</v>
      </c>
      <c r="N532" s="137"/>
      <c r="O532" s="149" t="b">
        <f t="shared" si="62"/>
        <v>1</v>
      </c>
      <c r="P532" s="149">
        <f t="shared" si="63"/>
        <v>0</v>
      </c>
      <c r="Q532" s="149" t="b">
        <f t="shared" si="64"/>
        <v>0</v>
      </c>
      <c r="R532" s="149">
        <f t="shared" si="65"/>
        <v>14</v>
      </c>
      <c r="S532" s="144"/>
      <c r="T532" s="143">
        <v>45797</v>
      </c>
      <c r="U532" s="144" t="s">
        <v>1482</v>
      </c>
      <c r="V532" s="144">
        <v>0</v>
      </c>
      <c r="W532" s="144" t="s">
        <v>1071</v>
      </c>
      <c r="X532" s="144" t="s">
        <v>1801</v>
      </c>
      <c r="Y532" s="144" t="s">
        <v>1802</v>
      </c>
      <c r="Z532" s="145">
        <v>616308</v>
      </c>
      <c r="AA532" s="145">
        <v>560280</v>
      </c>
      <c r="AB532" s="144">
        <v>0</v>
      </c>
      <c r="AC532" s="144" t="s">
        <v>1022</v>
      </c>
      <c r="AD532" s="145">
        <v>56028</v>
      </c>
      <c r="AE532" s="144">
        <v>0</v>
      </c>
      <c r="AF532" s="146">
        <v>0</v>
      </c>
      <c r="AG532" s="70">
        <v>0</v>
      </c>
      <c r="AH532" s="70">
        <v>0</v>
      </c>
      <c r="AI532" s="70">
        <v>0</v>
      </c>
      <c r="AJ532" s="70">
        <v>0</v>
      </c>
      <c r="AK532" s="70">
        <v>0</v>
      </c>
      <c r="AL532" s="70">
        <v>0.01</v>
      </c>
      <c r="AM532" s="70">
        <v>0</v>
      </c>
      <c r="AN532" s="70" t="s">
        <v>1877</v>
      </c>
    </row>
    <row r="533" spans="1:40">
      <c r="A533" s="132">
        <f t="shared" si="73"/>
        <v>525</v>
      </c>
      <c r="B533" s="133" t="s">
        <v>1769</v>
      </c>
      <c r="C533" s="133" t="s">
        <v>1904</v>
      </c>
      <c r="D533" s="132" t="s">
        <v>1698</v>
      </c>
      <c r="E533" s="147" t="s">
        <v>1483</v>
      </c>
      <c r="F533" s="135">
        <v>45793</v>
      </c>
      <c r="G533" s="45"/>
      <c r="H533" s="136"/>
      <c r="I533" s="136">
        <v>406603</v>
      </c>
      <c r="J533" s="137" t="s">
        <v>1025</v>
      </c>
      <c r="K533" s="150"/>
      <c r="L533" s="148">
        <f>I533</f>
        <v>406603</v>
      </c>
      <c r="M533" s="122">
        <f t="shared" si="61"/>
        <v>0</v>
      </c>
      <c r="N533" s="137"/>
      <c r="O533" s="149" t="b">
        <f t="shared" si="62"/>
        <v>1</v>
      </c>
      <c r="P533" s="149">
        <f t="shared" si="63"/>
        <v>0</v>
      </c>
      <c r="Q533" s="149" t="b">
        <f t="shared" si="64"/>
        <v>1</v>
      </c>
      <c r="R533" s="149">
        <f t="shared" si="65"/>
        <v>0</v>
      </c>
      <c r="S533" s="144"/>
      <c r="T533" s="143">
        <v>45793</v>
      </c>
      <c r="U533" s="144" t="s">
        <v>1483</v>
      </c>
      <c r="V533" s="144"/>
      <c r="W533" s="144"/>
      <c r="X533" s="144"/>
      <c r="Y533" s="144" t="s">
        <v>1802</v>
      </c>
      <c r="Z533" s="145"/>
      <c r="AA533" s="145"/>
      <c r="AB533" s="144"/>
      <c r="AC533" s="144"/>
      <c r="AD533" s="145">
        <v>406603</v>
      </c>
      <c r="AE533" s="144"/>
      <c r="AF533" s="146"/>
      <c r="AN533" s="70" t="s">
        <v>1807</v>
      </c>
    </row>
    <row r="534" spans="1:40">
      <c r="A534" s="132">
        <f t="shared" si="73"/>
        <v>526</v>
      </c>
      <c r="B534" s="133" t="s">
        <v>1768</v>
      </c>
      <c r="C534" s="133" t="s">
        <v>1929</v>
      </c>
      <c r="D534" s="132" t="s">
        <v>1069</v>
      </c>
      <c r="E534" s="147" t="s">
        <v>1484</v>
      </c>
      <c r="F534" s="135">
        <v>45797</v>
      </c>
      <c r="G534" s="45"/>
      <c r="H534" s="136"/>
      <c r="I534" s="136">
        <v>56042</v>
      </c>
      <c r="J534" s="137" t="s">
        <v>1025</v>
      </c>
      <c r="K534" s="150">
        <f>L534</f>
        <v>56028</v>
      </c>
      <c r="L534" s="148">
        <f>AD534</f>
        <v>56028</v>
      </c>
      <c r="M534" s="122">
        <f t="shared" si="61"/>
        <v>14</v>
      </c>
      <c r="N534" s="137"/>
      <c r="O534" s="149" t="b">
        <f t="shared" si="62"/>
        <v>1</v>
      </c>
      <c r="P534" s="149">
        <f t="shared" si="63"/>
        <v>0</v>
      </c>
      <c r="Q534" s="149" t="b">
        <f t="shared" si="64"/>
        <v>0</v>
      </c>
      <c r="R534" s="149">
        <f t="shared" si="65"/>
        <v>14</v>
      </c>
      <c r="S534" s="144"/>
      <c r="T534" s="143">
        <v>45797</v>
      </c>
      <c r="U534" s="144" t="s">
        <v>1484</v>
      </c>
      <c r="V534" s="144">
        <v>0</v>
      </c>
      <c r="W534" s="144" t="s">
        <v>1071</v>
      </c>
      <c r="X534" s="144" t="s">
        <v>1801</v>
      </c>
      <c r="Y534" s="144" t="s">
        <v>1802</v>
      </c>
      <c r="Z534" s="145">
        <v>616308</v>
      </c>
      <c r="AA534" s="145">
        <v>560280</v>
      </c>
      <c r="AB534" s="144">
        <v>0</v>
      </c>
      <c r="AC534" s="144" t="s">
        <v>1022</v>
      </c>
      <c r="AD534" s="145">
        <v>56028</v>
      </c>
      <c r="AE534" s="144">
        <v>0</v>
      </c>
      <c r="AF534" s="146">
        <v>0</v>
      </c>
      <c r="AG534" s="70">
        <v>0</v>
      </c>
      <c r="AH534" s="70">
        <v>0</v>
      </c>
      <c r="AI534" s="70">
        <v>0</v>
      </c>
      <c r="AJ534" s="70">
        <v>0</v>
      </c>
      <c r="AK534" s="70">
        <v>0</v>
      </c>
      <c r="AL534" s="70">
        <v>0.01</v>
      </c>
      <c r="AM534" s="70">
        <v>0</v>
      </c>
      <c r="AN534" s="70" t="s">
        <v>1877</v>
      </c>
    </row>
    <row r="535" spans="1:40">
      <c r="A535" s="132">
        <f t="shared" si="73"/>
        <v>527</v>
      </c>
      <c r="B535" s="133" t="s">
        <v>1769</v>
      </c>
      <c r="C535" s="133" t="s">
        <v>1904</v>
      </c>
      <c r="D535" s="132" t="s">
        <v>1698</v>
      </c>
      <c r="E535" s="147" t="s">
        <v>1485</v>
      </c>
      <c r="F535" s="135">
        <v>45793</v>
      </c>
      <c r="G535" s="45"/>
      <c r="H535" s="136"/>
      <c r="I535" s="136">
        <v>406603</v>
      </c>
      <c r="J535" s="137" t="s">
        <v>1025</v>
      </c>
      <c r="K535" s="150"/>
      <c r="L535" s="148">
        <f>I535</f>
        <v>406603</v>
      </c>
      <c r="M535" s="122">
        <f t="shared" ref="M535:M598" si="74">I535-L535</f>
        <v>0</v>
      </c>
      <c r="N535" s="137"/>
      <c r="O535" s="149" t="b">
        <f t="shared" ref="O535:O598" si="75">U535=E535</f>
        <v>1</v>
      </c>
      <c r="P535" s="149">
        <f t="shared" ref="P535:P598" si="76">MONTH(F535)-MONTH(T535)</f>
        <v>0</v>
      </c>
      <c r="Q535" s="149" t="b">
        <f t="shared" ref="Q535:Q598" si="77">$B$5=X535</f>
        <v>1</v>
      </c>
      <c r="R535" s="149">
        <f t="shared" ref="R535:R598" si="78">I535-AD535</f>
        <v>0</v>
      </c>
      <c r="S535" s="144"/>
      <c r="T535" s="143">
        <v>45793</v>
      </c>
      <c r="U535" s="144" t="s">
        <v>1485</v>
      </c>
      <c r="V535" s="144"/>
      <c r="W535" s="144"/>
      <c r="X535" s="144"/>
      <c r="Y535" s="144" t="s">
        <v>1802</v>
      </c>
      <c r="Z535" s="145"/>
      <c r="AA535" s="145"/>
      <c r="AB535" s="144"/>
      <c r="AC535" s="144"/>
      <c r="AD535" s="145">
        <v>406603</v>
      </c>
      <c r="AE535" s="144"/>
      <c r="AF535" s="146"/>
      <c r="AN535" s="70" t="s">
        <v>1807</v>
      </c>
    </row>
    <row r="536" spans="1:40">
      <c r="A536" s="132">
        <f t="shared" si="73"/>
        <v>528</v>
      </c>
      <c r="B536" s="133" t="s">
        <v>1768</v>
      </c>
      <c r="C536" s="133" t="s">
        <v>1929</v>
      </c>
      <c r="D536" s="132" t="s">
        <v>1069</v>
      </c>
      <c r="E536" s="147" t="s">
        <v>1486</v>
      </c>
      <c r="F536" s="135">
        <v>45797</v>
      </c>
      <c r="G536" s="45"/>
      <c r="H536" s="136"/>
      <c r="I536" s="136">
        <v>56042</v>
      </c>
      <c r="J536" s="137" t="s">
        <v>1025</v>
      </c>
      <c r="K536" s="150">
        <f>L536</f>
        <v>56028</v>
      </c>
      <c r="L536" s="148">
        <f>AD536</f>
        <v>56028</v>
      </c>
      <c r="M536" s="122">
        <f t="shared" si="74"/>
        <v>14</v>
      </c>
      <c r="N536" s="137"/>
      <c r="O536" s="149" t="b">
        <f t="shared" si="75"/>
        <v>1</v>
      </c>
      <c r="P536" s="149">
        <f t="shared" si="76"/>
        <v>0</v>
      </c>
      <c r="Q536" s="149" t="b">
        <f t="shared" si="77"/>
        <v>0</v>
      </c>
      <c r="R536" s="149">
        <f t="shared" si="78"/>
        <v>14</v>
      </c>
      <c r="S536" s="144"/>
      <c r="T536" s="143">
        <v>45797</v>
      </c>
      <c r="U536" s="144" t="s">
        <v>1486</v>
      </c>
      <c r="V536" s="144">
        <v>0</v>
      </c>
      <c r="W536" s="144" t="s">
        <v>1071</v>
      </c>
      <c r="X536" s="144" t="s">
        <v>1801</v>
      </c>
      <c r="Y536" s="144" t="s">
        <v>1802</v>
      </c>
      <c r="Z536" s="145">
        <v>616308</v>
      </c>
      <c r="AA536" s="145">
        <v>560280</v>
      </c>
      <c r="AB536" s="144">
        <v>0</v>
      </c>
      <c r="AC536" s="144" t="s">
        <v>1022</v>
      </c>
      <c r="AD536" s="145">
        <v>56028</v>
      </c>
      <c r="AE536" s="144">
        <v>0</v>
      </c>
      <c r="AF536" s="146">
        <v>0</v>
      </c>
      <c r="AG536" s="70">
        <v>0</v>
      </c>
      <c r="AH536" s="70">
        <v>0</v>
      </c>
      <c r="AI536" s="70">
        <v>0</v>
      </c>
      <c r="AJ536" s="70">
        <v>0</v>
      </c>
      <c r="AK536" s="70">
        <v>0</v>
      </c>
      <c r="AL536" s="70">
        <v>0.01</v>
      </c>
      <c r="AM536" s="70">
        <v>0</v>
      </c>
      <c r="AN536" s="70" t="s">
        <v>1877</v>
      </c>
    </row>
    <row r="537" spans="1:40">
      <c r="A537" s="132">
        <f t="shared" si="73"/>
        <v>529</v>
      </c>
      <c r="B537" s="133" t="s">
        <v>1769</v>
      </c>
      <c r="C537" s="133" t="s">
        <v>1904</v>
      </c>
      <c r="D537" s="132" t="s">
        <v>1698</v>
      </c>
      <c r="E537" s="147" t="s">
        <v>1487</v>
      </c>
      <c r="F537" s="135">
        <v>45793</v>
      </c>
      <c r="G537" s="45"/>
      <c r="H537" s="136"/>
      <c r="I537" s="136">
        <v>406603</v>
      </c>
      <c r="J537" s="137" t="s">
        <v>1025</v>
      </c>
      <c r="K537" s="150"/>
      <c r="L537" s="148">
        <f>I537</f>
        <v>406603</v>
      </c>
      <c r="M537" s="122">
        <f t="shared" si="74"/>
        <v>0</v>
      </c>
      <c r="N537" s="137"/>
      <c r="O537" s="149" t="b">
        <f t="shared" si="75"/>
        <v>1</v>
      </c>
      <c r="P537" s="149">
        <f t="shared" si="76"/>
        <v>0</v>
      </c>
      <c r="Q537" s="149" t="b">
        <f t="shared" si="77"/>
        <v>1</v>
      </c>
      <c r="R537" s="149">
        <f t="shared" si="78"/>
        <v>0</v>
      </c>
      <c r="S537" s="144"/>
      <c r="T537" s="143">
        <v>45793</v>
      </c>
      <c r="U537" s="144" t="s">
        <v>1487</v>
      </c>
      <c r="V537" s="144"/>
      <c r="W537" s="144"/>
      <c r="X537" s="144"/>
      <c r="Y537" s="144" t="s">
        <v>1802</v>
      </c>
      <c r="Z537" s="145"/>
      <c r="AA537" s="145"/>
      <c r="AB537" s="144"/>
      <c r="AC537" s="144"/>
      <c r="AD537" s="145">
        <v>406603</v>
      </c>
      <c r="AE537" s="144"/>
      <c r="AF537" s="146"/>
      <c r="AN537" s="70" t="s">
        <v>1807</v>
      </c>
    </row>
    <row r="538" spans="1:40">
      <c r="A538" s="132">
        <f t="shared" si="73"/>
        <v>530</v>
      </c>
      <c r="B538" s="133" t="s">
        <v>1768</v>
      </c>
      <c r="C538" s="133" t="s">
        <v>1929</v>
      </c>
      <c r="D538" s="132" t="s">
        <v>1069</v>
      </c>
      <c r="E538" s="147" t="s">
        <v>1488</v>
      </c>
      <c r="F538" s="135">
        <v>45797</v>
      </c>
      <c r="G538" s="45"/>
      <c r="H538" s="136"/>
      <c r="I538" s="136">
        <v>28021</v>
      </c>
      <c r="J538" s="137" t="s">
        <v>1025</v>
      </c>
      <c r="K538" s="150">
        <f>L538</f>
        <v>28014</v>
      </c>
      <c r="L538" s="148">
        <f>AD538</f>
        <v>28014</v>
      </c>
      <c r="M538" s="122">
        <f t="shared" si="74"/>
        <v>7</v>
      </c>
      <c r="N538" s="137"/>
      <c r="O538" s="149" t="b">
        <f t="shared" si="75"/>
        <v>1</v>
      </c>
      <c r="P538" s="149">
        <f t="shared" si="76"/>
        <v>0</v>
      </c>
      <c r="Q538" s="149" t="b">
        <f t="shared" si="77"/>
        <v>0</v>
      </c>
      <c r="R538" s="149">
        <f t="shared" si="78"/>
        <v>7</v>
      </c>
      <c r="S538" s="144"/>
      <c r="T538" s="143">
        <v>45797</v>
      </c>
      <c r="U538" s="144" t="s">
        <v>1488</v>
      </c>
      <c r="V538" s="144">
        <v>0</v>
      </c>
      <c r="W538" s="144" t="s">
        <v>1071</v>
      </c>
      <c r="X538" s="144" t="s">
        <v>1801</v>
      </c>
      <c r="Y538" s="144" t="s">
        <v>1802</v>
      </c>
      <c r="Z538" s="145">
        <v>308154</v>
      </c>
      <c r="AA538" s="145">
        <v>280140</v>
      </c>
      <c r="AB538" s="144">
        <v>0</v>
      </c>
      <c r="AC538" s="144" t="s">
        <v>1022</v>
      </c>
      <c r="AD538" s="145">
        <v>28014</v>
      </c>
      <c r="AE538" s="144">
        <v>0</v>
      </c>
      <c r="AF538" s="146">
        <v>0</v>
      </c>
      <c r="AG538" s="70">
        <v>0</v>
      </c>
      <c r="AH538" s="70">
        <v>0</v>
      </c>
      <c r="AI538" s="70">
        <v>0</v>
      </c>
      <c r="AJ538" s="70">
        <v>0</v>
      </c>
      <c r="AK538" s="70">
        <v>0</v>
      </c>
      <c r="AL538" s="70">
        <v>0.01</v>
      </c>
      <c r="AM538" s="70">
        <v>0</v>
      </c>
      <c r="AN538" s="70" t="s">
        <v>1877</v>
      </c>
    </row>
    <row r="539" spans="1:40">
      <c r="A539" s="132">
        <f t="shared" si="73"/>
        <v>531</v>
      </c>
      <c r="B539" s="133" t="s">
        <v>1769</v>
      </c>
      <c r="C539" s="133" t="s">
        <v>1904</v>
      </c>
      <c r="D539" s="132" t="s">
        <v>1698</v>
      </c>
      <c r="E539" s="147" t="s">
        <v>1489</v>
      </c>
      <c r="F539" s="135">
        <v>45793</v>
      </c>
      <c r="G539" s="45"/>
      <c r="H539" s="136"/>
      <c r="I539" s="136">
        <v>203302</v>
      </c>
      <c r="J539" s="137" t="s">
        <v>1025</v>
      </c>
      <c r="K539" s="150"/>
      <c r="L539" s="148">
        <f>I539</f>
        <v>203302</v>
      </c>
      <c r="M539" s="122">
        <f t="shared" si="74"/>
        <v>0</v>
      </c>
      <c r="N539" s="137"/>
      <c r="O539" s="149" t="b">
        <f t="shared" si="75"/>
        <v>1</v>
      </c>
      <c r="P539" s="149">
        <f t="shared" si="76"/>
        <v>0</v>
      </c>
      <c r="Q539" s="149" t="b">
        <f t="shared" si="77"/>
        <v>1</v>
      </c>
      <c r="R539" s="149">
        <f t="shared" si="78"/>
        <v>0</v>
      </c>
      <c r="S539" s="144"/>
      <c r="T539" s="143">
        <v>45793</v>
      </c>
      <c r="U539" s="144" t="s">
        <v>1489</v>
      </c>
      <c r="V539" s="144"/>
      <c r="W539" s="144"/>
      <c r="X539" s="144"/>
      <c r="Y539" s="144" t="s">
        <v>1802</v>
      </c>
      <c r="Z539" s="145"/>
      <c r="AA539" s="145"/>
      <c r="AB539" s="144"/>
      <c r="AC539" s="144"/>
      <c r="AD539" s="145">
        <v>203302</v>
      </c>
      <c r="AE539" s="144"/>
      <c r="AF539" s="146"/>
      <c r="AN539" s="70" t="s">
        <v>1807</v>
      </c>
    </row>
    <row r="540" spans="1:40">
      <c r="A540" s="132">
        <f t="shared" si="73"/>
        <v>532</v>
      </c>
      <c r="B540" s="133" t="s">
        <v>1768</v>
      </c>
      <c r="C540" s="133" t="s">
        <v>1905</v>
      </c>
      <c r="D540" s="132" t="s">
        <v>1024</v>
      </c>
      <c r="E540" s="147">
        <v>202500108638</v>
      </c>
      <c r="F540" s="135">
        <v>45789</v>
      </c>
      <c r="G540" s="45"/>
      <c r="H540" s="136"/>
      <c r="I540" s="136">
        <v>6805</v>
      </c>
      <c r="J540" s="137" t="s">
        <v>1025</v>
      </c>
      <c r="K540" s="150"/>
      <c r="L540" s="148">
        <f>I540</f>
        <v>6805</v>
      </c>
      <c r="M540" s="122">
        <f t="shared" si="74"/>
        <v>0</v>
      </c>
      <c r="N540" s="137"/>
      <c r="O540" s="149" t="b">
        <f t="shared" si="75"/>
        <v>1</v>
      </c>
      <c r="P540" s="149">
        <f t="shared" si="76"/>
        <v>0</v>
      </c>
      <c r="Q540" s="149" t="b">
        <f t="shared" si="77"/>
        <v>0</v>
      </c>
      <c r="R540" s="149">
        <f t="shared" si="78"/>
        <v>0</v>
      </c>
      <c r="S540" s="144"/>
      <c r="T540" s="143">
        <v>45789</v>
      </c>
      <c r="U540" s="144">
        <v>202500108638</v>
      </c>
      <c r="V540" s="144"/>
      <c r="W540" s="144" t="s">
        <v>1071</v>
      </c>
      <c r="X540" s="144" t="s">
        <v>1801</v>
      </c>
      <c r="Y540" s="144" t="s">
        <v>1802</v>
      </c>
      <c r="Z540" s="145">
        <v>74856</v>
      </c>
      <c r="AA540" s="145">
        <v>68051</v>
      </c>
      <c r="AB540" s="144">
        <v>0</v>
      </c>
      <c r="AC540" s="144" t="s">
        <v>1022</v>
      </c>
      <c r="AD540" s="145">
        <v>6805</v>
      </c>
      <c r="AE540" s="144"/>
      <c r="AF540" s="146"/>
    </row>
    <row r="541" spans="1:40">
      <c r="A541" s="132">
        <f t="shared" si="73"/>
        <v>533</v>
      </c>
      <c r="B541" s="133" t="s">
        <v>1769</v>
      </c>
      <c r="C541" s="133" t="s">
        <v>1904</v>
      </c>
      <c r="D541" s="132" t="s">
        <v>1698</v>
      </c>
      <c r="E541" s="147" t="s">
        <v>1490</v>
      </c>
      <c r="F541" s="135">
        <v>45793</v>
      </c>
      <c r="G541" s="45"/>
      <c r="H541" s="136"/>
      <c r="I541" s="136">
        <v>255328</v>
      </c>
      <c r="J541" s="137" t="s">
        <v>1025</v>
      </c>
      <c r="K541" s="150"/>
      <c r="L541" s="148">
        <f t="shared" ref="L541:L542" si="79">I541</f>
        <v>255328</v>
      </c>
      <c r="M541" s="122">
        <f t="shared" si="74"/>
        <v>0</v>
      </c>
      <c r="N541" s="137"/>
      <c r="O541" s="149" t="b">
        <f t="shared" si="75"/>
        <v>1</v>
      </c>
      <c r="P541" s="149">
        <f t="shared" si="76"/>
        <v>0</v>
      </c>
      <c r="Q541" s="149" t="b">
        <f t="shared" si="77"/>
        <v>1</v>
      </c>
      <c r="R541" s="149">
        <f t="shared" si="78"/>
        <v>0</v>
      </c>
      <c r="S541" s="144"/>
      <c r="T541" s="143">
        <v>45793</v>
      </c>
      <c r="U541" s="144" t="s">
        <v>1490</v>
      </c>
      <c r="V541" s="144"/>
      <c r="W541" s="144"/>
      <c r="X541" s="144"/>
      <c r="Y541" s="144" t="s">
        <v>1802</v>
      </c>
      <c r="Z541" s="145"/>
      <c r="AA541" s="145"/>
      <c r="AB541" s="144"/>
      <c r="AC541" s="144"/>
      <c r="AD541" s="145">
        <v>255328</v>
      </c>
      <c r="AE541" s="144"/>
      <c r="AF541" s="146"/>
      <c r="AN541" s="70" t="s">
        <v>1807</v>
      </c>
    </row>
    <row r="542" spans="1:40">
      <c r="A542" s="132">
        <f t="shared" si="73"/>
        <v>534</v>
      </c>
      <c r="B542" s="133" t="s">
        <v>1769</v>
      </c>
      <c r="C542" s="133" t="s">
        <v>1904</v>
      </c>
      <c r="D542" s="132" t="s">
        <v>1698</v>
      </c>
      <c r="E542" s="147" t="s">
        <v>1491</v>
      </c>
      <c r="F542" s="135">
        <v>45793</v>
      </c>
      <c r="G542" s="45"/>
      <c r="H542" s="136"/>
      <c r="I542" s="136">
        <v>203302</v>
      </c>
      <c r="J542" s="137" t="s">
        <v>1025</v>
      </c>
      <c r="K542" s="150"/>
      <c r="L542" s="148">
        <f t="shared" si="79"/>
        <v>203302</v>
      </c>
      <c r="M542" s="122">
        <f t="shared" si="74"/>
        <v>0</v>
      </c>
      <c r="N542" s="137"/>
      <c r="O542" s="149" t="b">
        <f t="shared" si="75"/>
        <v>1</v>
      </c>
      <c r="P542" s="149">
        <f t="shared" si="76"/>
        <v>0</v>
      </c>
      <c r="Q542" s="149" t="b">
        <f t="shared" si="77"/>
        <v>1</v>
      </c>
      <c r="R542" s="149">
        <f t="shared" si="78"/>
        <v>0</v>
      </c>
      <c r="S542" s="144"/>
      <c r="T542" s="143">
        <v>45793</v>
      </c>
      <c r="U542" s="144" t="s">
        <v>1491</v>
      </c>
      <c r="V542" s="144"/>
      <c r="W542" s="144"/>
      <c r="X542" s="144"/>
      <c r="Y542" s="144" t="s">
        <v>1802</v>
      </c>
      <c r="Z542" s="145"/>
      <c r="AA542" s="145"/>
      <c r="AB542" s="144"/>
      <c r="AC542" s="144"/>
      <c r="AD542" s="145">
        <v>203302</v>
      </c>
      <c r="AE542" s="144"/>
      <c r="AF542" s="146"/>
      <c r="AN542" s="70" t="s">
        <v>1807</v>
      </c>
    </row>
    <row r="543" spans="1:40">
      <c r="A543" s="132">
        <f t="shared" si="73"/>
        <v>535</v>
      </c>
      <c r="B543" s="133" t="s">
        <v>1768</v>
      </c>
      <c r="C543" s="133" t="s">
        <v>1929</v>
      </c>
      <c r="D543" s="132" t="s">
        <v>1069</v>
      </c>
      <c r="E543" s="147" t="s">
        <v>1492</v>
      </c>
      <c r="F543" s="135">
        <v>45797</v>
      </c>
      <c r="G543" s="45"/>
      <c r="H543" s="136"/>
      <c r="I543" s="136">
        <v>28021</v>
      </c>
      <c r="J543" s="137" t="s">
        <v>1025</v>
      </c>
      <c r="K543" s="150">
        <f t="shared" ref="K543:K544" si="80">L543</f>
        <v>28014</v>
      </c>
      <c r="L543" s="148">
        <f t="shared" ref="L543:L544" si="81">AD543</f>
        <v>28014</v>
      </c>
      <c r="M543" s="122">
        <f t="shared" si="74"/>
        <v>7</v>
      </c>
      <c r="N543" s="137"/>
      <c r="O543" s="149" t="b">
        <f t="shared" si="75"/>
        <v>1</v>
      </c>
      <c r="P543" s="149">
        <f t="shared" si="76"/>
        <v>0</v>
      </c>
      <c r="Q543" s="149" t="b">
        <f t="shared" si="77"/>
        <v>0</v>
      </c>
      <c r="R543" s="149">
        <f t="shared" si="78"/>
        <v>7</v>
      </c>
      <c r="S543" s="144"/>
      <c r="T543" s="143">
        <v>45797</v>
      </c>
      <c r="U543" s="144" t="s">
        <v>1492</v>
      </c>
      <c r="V543" s="144">
        <v>0</v>
      </c>
      <c r="W543" s="144" t="s">
        <v>1071</v>
      </c>
      <c r="X543" s="144" t="s">
        <v>1801</v>
      </c>
      <c r="Y543" s="144" t="s">
        <v>1802</v>
      </c>
      <c r="Z543" s="145">
        <v>308154</v>
      </c>
      <c r="AA543" s="145">
        <v>280140</v>
      </c>
      <c r="AB543" s="144">
        <v>0</v>
      </c>
      <c r="AC543" s="144" t="s">
        <v>1022</v>
      </c>
      <c r="AD543" s="145">
        <v>28014</v>
      </c>
      <c r="AE543" s="144">
        <v>0</v>
      </c>
      <c r="AF543" s="146">
        <v>0</v>
      </c>
      <c r="AG543" s="70">
        <v>0</v>
      </c>
      <c r="AH543" s="70">
        <v>0</v>
      </c>
      <c r="AI543" s="70">
        <v>0</v>
      </c>
      <c r="AJ543" s="70">
        <v>0</v>
      </c>
      <c r="AK543" s="70">
        <v>0</v>
      </c>
      <c r="AL543" s="70">
        <v>0.01</v>
      </c>
      <c r="AM543" s="70">
        <v>0</v>
      </c>
      <c r="AN543" s="70" t="s">
        <v>1877</v>
      </c>
    </row>
    <row r="544" spans="1:40">
      <c r="A544" s="132">
        <f t="shared" si="73"/>
        <v>536</v>
      </c>
      <c r="B544" s="133" t="s">
        <v>1768</v>
      </c>
      <c r="C544" s="133" t="s">
        <v>1929</v>
      </c>
      <c r="D544" s="132" t="s">
        <v>1069</v>
      </c>
      <c r="E544" s="147" t="s">
        <v>1493</v>
      </c>
      <c r="F544" s="135">
        <v>45797</v>
      </c>
      <c r="G544" s="45"/>
      <c r="H544" s="136"/>
      <c r="I544" s="136">
        <v>18414</v>
      </c>
      <c r="J544" s="137" t="s">
        <v>1025</v>
      </c>
      <c r="K544" s="150">
        <f t="shared" si="80"/>
        <v>18409</v>
      </c>
      <c r="L544" s="148">
        <f t="shared" si="81"/>
        <v>18409</v>
      </c>
      <c r="M544" s="122">
        <f t="shared" si="74"/>
        <v>5</v>
      </c>
      <c r="N544" s="137"/>
      <c r="O544" s="149" t="b">
        <f t="shared" si="75"/>
        <v>1</v>
      </c>
      <c r="P544" s="149">
        <f t="shared" si="76"/>
        <v>0</v>
      </c>
      <c r="Q544" s="149" t="b">
        <f t="shared" si="77"/>
        <v>0</v>
      </c>
      <c r="R544" s="149">
        <f t="shared" si="78"/>
        <v>5</v>
      </c>
      <c r="S544" s="144"/>
      <c r="T544" s="143">
        <v>45797</v>
      </c>
      <c r="U544" s="144" t="s">
        <v>1493</v>
      </c>
      <c r="V544" s="144">
        <v>0</v>
      </c>
      <c r="W544" s="144" t="s">
        <v>1071</v>
      </c>
      <c r="X544" s="144" t="s">
        <v>1801</v>
      </c>
      <c r="Y544" s="144" t="s">
        <v>1802</v>
      </c>
      <c r="Z544" s="145">
        <v>202499</v>
      </c>
      <c r="AA544" s="145">
        <v>184090</v>
      </c>
      <c r="AB544" s="144">
        <v>0</v>
      </c>
      <c r="AC544" s="144" t="s">
        <v>1022</v>
      </c>
      <c r="AD544" s="145">
        <v>18409</v>
      </c>
      <c r="AE544" s="144">
        <v>0</v>
      </c>
      <c r="AF544" s="146">
        <v>0</v>
      </c>
      <c r="AG544" s="70">
        <v>0</v>
      </c>
      <c r="AH544" s="70">
        <v>0</v>
      </c>
      <c r="AI544" s="70">
        <v>0</v>
      </c>
      <c r="AJ544" s="70">
        <v>0</v>
      </c>
      <c r="AK544" s="70">
        <v>0</v>
      </c>
      <c r="AL544" s="70">
        <v>0.01</v>
      </c>
      <c r="AM544" s="70">
        <v>0</v>
      </c>
      <c r="AN544" s="70" t="s">
        <v>1877</v>
      </c>
    </row>
    <row r="545" spans="1:40">
      <c r="A545" s="132">
        <f t="shared" si="73"/>
        <v>537</v>
      </c>
      <c r="B545" s="133" t="s">
        <v>1769</v>
      </c>
      <c r="C545" s="133" t="s">
        <v>1904</v>
      </c>
      <c r="D545" s="132" t="s">
        <v>1698</v>
      </c>
      <c r="E545" s="147" t="s">
        <v>1494</v>
      </c>
      <c r="F545" s="135">
        <v>45793</v>
      </c>
      <c r="G545" s="45"/>
      <c r="H545" s="136"/>
      <c r="I545" s="136">
        <v>203302</v>
      </c>
      <c r="J545" s="137" t="s">
        <v>1025</v>
      </c>
      <c r="K545" s="150"/>
      <c r="L545" s="148">
        <f>I545</f>
        <v>203302</v>
      </c>
      <c r="M545" s="122">
        <f t="shared" si="74"/>
        <v>0</v>
      </c>
      <c r="N545" s="137"/>
      <c r="O545" s="149" t="b">
        <f t="shared" si="75"/>
        <v>1</v>
      </c>
      <c r="P545" s="149">
        <f t="shared" si="76"/>
        <v>0</v>
      </c>
      <c r="Q545" s="149" t="b">
        <f t="shared" si="77"/>
        <v>1</v>
      </c>
      <c r="R545" s="149">
        <f t="shared" si="78"/>
        <v>0</v>
      </c>
      <c r="S545" s="144"/>
      <c r="T545" s="143">
        <v>45793</v>
      </c>
      <c r="U545" s="144" t="s">
        <v>1494</v>
      </c>
      <c r="V545" s="144"/>
      <c r="W545" s="144"/>
      <c r="X545" s="144"/>
      <c r="Y545" s="144" t="s">
        <v>1802</v>
      </c>
      <c r="Z545" s="145"/>
      <c r="AA545" s="145"/>
      <c r="AB545" s="144"/>
      <c r="AC545" s="144"/>
      <c r="AD545" s="145">
        <v>203302</v>
      </c>
      <c r="AE545" s="144"/>
      <c r="AF545" s="146"/>
      <c r="AN545" s="70" t="s">
        <v>1807</v>
      </c>
    </row>
    <row r="546" spans="1:40">
      <c r="A546" s="132">
        <f t="shared" si="73"/>
        <v>538</v>
      </c>
      <c r="B546" s="133" t="s">
        <v>1768</v>
      </c>
      <c r="C546" s="133" t="s">
        <v>1929</v>
      </c>
      <c r="D546" s="132" t="s">
        <v>1069</v>
      </c>
      <c r="E546" s="147" t="s">
        <v>1495</v>
      </c>
      <c r="F546" s="135">
        <v>45797</v>
      </c>
      <c r="G546" s="45"/>
      <c r="H546" s="136"/>
      <c r="I546" s="136">
        <v>28021</v>
      </c>
      <c r="J546" s="137" t="s">
        <v>1025</v>
      </c>
      <c r="K546" s="150">
        <f>L546</f>
        <v>28014</v>
      </c>
      <c r="L546" s="148">
        <f>AD546</f>
        <v>28014</v>
      </c>
      <c r="M546" s="122">
        <f t="shared" si="74"/>
        <v>7</v>
      </c>
      <c r="N546" s="137"/>
      <c r="O546" s="149" t="b">
        <f t="shared" si="75"/>
        <v>1</v>
      </c>
      <c r="P546" s="149">
        <f t="shared" si="76"/>
        <v>0</v>
      </c>
      <c r="Q546" s="149" t="b">
        <f t="shared" si="77"/>
        <v>0</v>
      </c>
      <c r="R546" s="149">
        <f t="shared" si="78"/>
        <v>7</v>
      </c>
      <c r="S546" s="144"/>
      <c r="T546" s="143">
        <v>45797</v>
      </c>
      <c r="U546" s="144" t="s">
        <v>1495</v>
      </c>
      <c r="V546" s="144">
        <v>0</v>
      </c>
      <c r="W546" s="144" t="s">
        <v>1071</v>
      </c>
      <c r="X546" s="144" t="s">
        <v>1801</v>
      </c>
      <c r="Y546" s="144" t="s">
        <v>1802</v>
      </c>
      <c r="Z546" s="145">
        <v>308154</v>
      </c>
      <c r="AA546" s="145">
        <v>280140</v>
      </c>
      <c r="AB546" s="144">
        <v>0</v>
      </c>
      <c r="AC546" s="144" t="s">
        <v>1022</v>
      </c>
      <c r="AD546" s="145">
        <v>28014</v>
      </c>
      <c r="AE546" s="144">
        <v>0</v>
      </c>
      <c r="AF546" s="146">
        <v>0</v>
      </c>
      <c r="AG546" s="70">
        <v>0</v>
      </c>
      <c r="AH546" s="70">
        <v>0</v>
      </c>
      <c r="AI546" s="70">
        <v>0</v>
      </c>
      <c r="AJ546" s="70">
        <v>0</v>
      </c>
      <c r="AK546" s="70">
        <v>0</v>
      </c>
      <c r="AL546" s="70">
        <v>0.01</v>
      </c>
      <c r="AM546" s="70">
        <v>0</v>
      </c>
      <c r="AN546" s="70" t="s">
        <v>1877</v>
      </c>
    </row>
    <row r="547" spans="1:40">
      <c r="A547" s="132">
        <f t="shared" si="73"/>
        <v>539</v>
      </c>
      <c r="B547" s="133" t="s">
        <v>1769</v>
      </c>
      <c r="C547" s="133" t="s">
        <v>1904</v>
      </c>
      <c r="D547" s="132" t="s">
        <v>1698</v>
      </c>
      <c r="E547" s="147" t="s">
        <v>1496</v>
      </c>
      <c r="F547" s="135">
        <v>45793</v>
      </c>
      <c r="G547" s="45"/>
      <c r="H547" s="136"/>
      <c r="I547" s="136">
        <v>203302</v>
      </c>
      <c r="J547" s="137" t="s">
        <v>1025</v>
      </c>
      <c r="K547" s="150"/>
      <c r="L547" s="148">
        <f>I547</f>
        <v>203302</v>
      </c>
      <c r="M547" s="122">
        <f t="shared" si="74"/>
        <v>0</v>
      </c>
      <c r="N547" s="137"/>
      <c r="O547" s="149" t="b">
        <f t="shared" si="75"/>
        <v>1</v>
      </c>
      <c r="P547" s="149">
        <f t="shared" si="76"/>
        <v>0</v>
      </c>
      <c r="Q547" s="149" t="b">
        <f t="shared" si="77"/>
        <v>1</v>
      </c>
      <c r="R547" s="149">
        <f t="shared" si="78"/>
        <v>0</v>
      </c>
      <c r="S547" s="144"/>
      <c r="T547" s="143">
        <v>45793</v>
      </c>
      <c r="U547" s="144" t="s">
        <v>1496</v>
      </c>
      <c r="V547" s="144"/>
      <c r="W547" s="144"/>
      <c r="X547" s="144"/>
      <c r="Y547" s="144" t="s">
        <v>1802</v>
      </c>
      <c r="Z547" s="145"/>
      <c r="AA547" s="145"/>
      <c r="AB547" s="144"/>
      <c r="AC547" s="144"/>
      <c r="AD547" s="145">
        <v>203302</v>
      </c>
      <c r="AE547" s="144"/>
      <c r="AF547" s="146"/>
      <c r="AN547" s="70" t="s">
        <v>1807</v>
      </c>
    </row>
    <row r="548" spans="1:40">
      <c r="A548" s="132">
        <f t="shared" si="73"/>
        <v>540</v>
      </c>
      <c r="B548" s="133" t="s">
        <v>1768</v>
      </c>
      <c r="C548" s="133" t="s">
        <v>1929</v>
      </c>
      <c r="D548" s="132" t="s">
        <v>1069</v>
      </c>
      <c r="E548" s="147" t="s">
        <v>1497</v>
      </c>
      <c r="F548" s="135">
        <v>45797</v>
      </c>
      <c r="G548" s="45"/>
      <c r="H548" s="136"/>
      <c r="I548" s="136">
        <v>18414</v>
      </c>
      <c r="J548" s="137" t="s">
        <v>1025</v>
      </c>
      <c r="K548" s="150">
        <f>L548</f>
        <v>18409</v>
      </c>
      <c r="L548" s="148">
        <f>AD548</f>
        <v>18409</v>
      </c>
      <c r="M548" s="122">
        <f t="shared" si="74"/>
        <v>5</v>
      </c>
      <c r="N548" s="137"/>
      <c r="O548" s="149" t="b">
        <f t="shared" si="75"/>
        <v>1</v>
      </c>
      <c r="P548" s="149">
        <f t="shared" si="76"/>
        <v>0</v>
      </c>
      <c r="Q548" s="149" t="b">
        <f t="shared" si="77"/>
        <v>0</v>
      </c>
      <c r="R548" s="149">
        <f t="shared" si="78"/>
        <v>5</v>
      </c>
      <c r="S548" s="144"/>
      <c r="T548" s="143">
        <v>45797</v>
      </c>
      <c r="U548" s="144" t="s">
        <v>1497</v>
      </c>
      <c r="V548" s="144">
        <v>0</v>
      </c>
      <c r="W548" s="144" t="s">
        <v>1071</v>
      </c>
      <c r="X548" s="144" t="s">
        <v>1801</v>
      </c>
      <c r="Y548" s="144" t="s">
        <v>1802</v>
      </c>
      <c r="Z548" s="145">
        <v>202499</v>
      </c>
      <c r="AA548" s="145">
        <v>184090</v>
      </c>
      <c r="AB548" s="144">
        <v>0</v>
      </c>
      <c r="AC548" s="144" t="s">
        <v>1022</v>
      </c>
      <c r="AD548" s="145">
        <v>18409</v>
      </c>
      <c r="AE548" s="144">
        <v>0</v>
      </c>
      <c r="AF548" s="146">
        <v>0</v>
      </c>
      <c r="AG548" s="70">
        <v>0</v>
      </c>
      <c r="AH548" s="70">
        <v>0</v>
      </c>
      <c r="AI548" s="70">
        <v>0</v>
      </c>
      <c r="AJ548" s="70">
        <v>0</v>
      </c>
      <c r="AK548" s="70">
        <v>0</v>
      </c>
      <c r="AL548" s="70">
        <v>0.01</v>
      </c>
      <c r="AM548" s="70">
        <v>0</v>
      </c>
      <c r="AN548" s="70" t="s">
        <v>1877</v>
      </c>
    </row>
    <row r="549" spans="1:40">
      <c r="A549" s="132">
        <f t="shared" si="73"/>
        <v>541</v>
      </c>
      <c r="B549" s="133" t="s">
        <v>1769</v>
      </c>
      <c r="C549" s="133" t="s">
        <v>1904</v>
      </c>
      <c r="D549" s="132" t="s">
        <v>1698</v>
      </c>
      <c r="E549" s="147" t="s">
        <v>1498</v>
      </c>
      <c r="F549" s="135">
        <v>45793</v>
      </c>
      <c r="G549" s="45"/>
      <c r="H549" s="136"/>
      <c r="I549" s="136">
        <v>190895</v>
      </c>
      <c r="J549" s="137" t="s">
        <v>1025</v>
      </c>
      <c r="K549" s="150"/>
      <c r="L549" s="148">
        <f t="shared" ref="L549:L551" si="82">I549</f>
        <v>190895</v>
      </c>
      <c r="M549" s="122">
        <f t="shared" si="74"/>
        <v>0</v>
      </c>
      <c r="N549" s="137"/>
      <c r="O549" s="149" t="b">
        <f t="shared" si="75"/>
        <v>1</v>
      </c>
      <c r="P549" s="149">
        <f t="shared" si="76"/>
        <v>0</v>
      </c>
      <c r="Q549" s="149" t="b">
        <f t="shared" si="77"/>
        <v>1</v>
      </c>
      <c r="R549" s="149">
        <f t="shared" si="78"/>
        <v>0</v>
      </c>
      <c r="S549" s="144"/>
      <c r="T549" s="143">
        <v>45793</v>
      </c>
      <c r="U549" s="144" t="s">
        <v>1498</v>
      </c>
      <c r="V549" s="144"/>
      <c r="W549" s="144"/>
      <c r="X549" s="144"/>
      <c r="Y549" s="144" t="s">
        <v>1802</v>
      </c>
      <c r="Z549" s="145"/>
      <c r="AA549" s="145"/>
      <c r="AB549" s="144"/>
      <c r="AC549" s="144"/>
      <c r="AD549" s="145">
        <v>190895</v>
      </c>
      <c r="AE549" s="144"/>
      <c r="AF549" s="146"/>
      <c r="AN549" s="70" t="s">
        <v>1807</v>
      </c>
    </row>
    <row r="550" spans="1:40">
      <c r="A550" s="132">
        <f t="shared" si="73"/>
        <v>542</v>
      </c>
      <c r="B550" s="133" t="s">
        <v>1769</v>
      </c>
      <c r="C550" s="133" t="s">
        <v>1904</v>
      </c>
      <c r="D550" s="132" t="s">
        <v>1698</v>
      </c>
      <c r="E550" s="147" t="s">
        <v>1499</v>
      </c>
      <c r="F550" s="135">
        <v>45793</v>
      </c>
      <c r="G550" s="45"/>
      <c r="H550" s="136"/>
      <c r="I550" s="136">
        <v>190895</v>
      </c>
      <c r="J550" s="137" t="s">
        <v>1025</v>
      </c>
      <c r="K550" s="150"/>
      <c r="L550" s="148">
        <f t="shared" si="82"/>
        <v>190895</v>
      </c>
      <c r="M550" s="122">
        <f t="shared" si="74"/>
        <v>0</v>
      </c>
      <c r="N550" s="137"/>
      <c r="O550" s="149" t="b">
        <f t="shared" si="75"/>
        <v>1</v>
      </c>
      <c r="P550" s="149">
        <f t="shared" si="76"/>
        <v>0</v>
      </c>
      <c r="Q550" s="149" t="b">
        <f t="shared" si="77"/>
        <v>1</v>
      </c>
      <c r="R550" s="149">
        <f t="shared" si="78"/>
        <v>0</v>
      </c>
      <c r="S550" s="144"/>
      <c r="T550" s="143">
        <v>45793</v>
      </c>
      <c r="U550" s="144" t="s">
        <v>1499</v>
      </c>
      <c r="V550" s="144"/>
      <c r="W550" s="144"/>
      <c r="X550" s="144"/>
      <c r="Y550" s="144" t="s">
        <v>1802</v>
      </c>
      <c r="Z550" s="145"/>
      <c r="AA550" s="145"/>
      <c r="AB550" s="144"/>
      <c r="AC550" s="144"/>
      <c r="AD550" s="145">
        <v>190895</v>
      </c>
      <c r="AE550" s="144"/>
      <c r="AF550" s="146"/>
      <c r="AN550" s="70" t="s">
        <v>1807</v>
      </c>
    </row>
    <row r="551" spans="1:40">
      <c r="A551" s="132">
        <f t="shared" si="73"/>
        <v>543</v>
      </c>
      <c r="B551" s="133" t="s">
        <v>1769</v>
      </c>
      <c r="C551" s="133" t="s">
        <v>1904</v>
      </c>
      <c r="D551" s="132" t="s">
        <v>1698</v>
      </c>
      <c r="E551" s="147" t="s">
        <v>1500</v>
      </c>
      <c r="F551" s="135">
        <v>45793</v>
      </c>
      <c r="G551" s="45"/>
      <c r="H551" s="136"/>
      <c r="I551" s="136">
        <v>203302</v>
      </c>
      <c r="J551" s="137" t="s">
        <v>1025</v>
      </c>
      <c r="K551" s="150"/>
      <c r="L551" s="148">
        <f t="shared" si="82"/>
        <v>203302</v>
      </c>
      <c r="M551" s="122">
        <f t="shared" si="74"/>
        <v>0</v>
      </c>
      <c r="N551" s="137"/>
      <c r="O551" s="149" t="b">
        <f t="shared" si="75"/>
        <v>1</v>
      </c>
      <c r="P551" s="149">
        <f t="shared" si="76"/>
        <v>0</v>
      </c>
      <c r="Q551" s="149" t="b">
        <f t="shared" si="77"/>
        <v>1</v>
      </c>
      <c r="R551" s="149">
        <f t="shared" si="78"/>
        <v>0</v>
      </c>
      <c r="S551" s="144"/>
      <c r="T551" s="143">
        <v>45793</v>
      </c>
      <c r="U551" s="144" t="s">
        <v>1500</v>
      </c>
      <c r="V551" s="144"/>
      <c r="W551" s="144"/>
      <c r="X551" s="144"/>
      <c r="Y551" s="144" t="s">
        <v>1802</v>
      </c>
      <c r="Z551" s="145"/>
      <c r="AA551" s="145"/>
      <c r="AB551" s="144"/>
      <c r="AC551" s="144"/>
      <c r="AD551" s="145">
        <v>203302</v>
      </c>
      <c r="AE551" s="144"/>
      <c r="AF551" s="146"/>
      <c r="AN551" s="70" t="s">
        <v>1807</v>
      </c>
    </row>
    <row r="552" spans="1:40">
      <c r="A552" s="132">
        <f t="shared" si="73"/>
        <v>544</v>
      </c>
      <c r="B552" s="133" t="s">
        <v>1768</v>
      </c>
      <c r="C552" s="133" t="s">
        <v>1929</v>
      </c>
      <c r="D552" s="132" t="s">
        <v>1069</v>
      </c>
      <c r="E552" s="147" t="s">
        <v>1501</v>
      </c>
      <c r="F552" s="135">
        <v>45797</v>
      </c>
      <c r="G552" s="45"/>
      <c r="H552" s="136"/>
      <c r="I552" s="136">
        <v>46435</v>
      </c>
      <c r="J552" s="137" t="s">
        <v>1025</v>
      </c>
      <c r="K552" s="150">
        <f>L552</f>
        <v>46423</v>
      </c>
      <c r="L552" s="148">
        <f>AD552</f>
        <v>46423</v>
      </c>
      <c r="M552" s="122">
        <f t="shared" si="74"/>
        <v>12</v>
      </c>
      <c r="N552" s="137"/>
      <c r="O552" s="149" t="b">
        <f t="shared" si="75"/>
        <v>1</v>
      </c>
      <c r="P552" s="149">
        <f t="shared" si="76"/>
        <v>0</v>
      </c>
      <c r="Q552" s="149" t="b">
        <f t="shared" si="77"/>
        <v>0</v>
      </c>
      <c r="R552" s="149">
        <f t="shared" si="78"/>
        <v>12</v>
      </c>
      <c r="S552" s="144"/>
      <c r="T552" s="143">
        <v>45797</v>
      </c>
      <c r="U552" s="144" t="s">
        <v>1501</v>
      </c>
      <c r="V552" s="144">
        <v>0</v>
      </c>
      <c r="W552" s="144" t="s">
        <v>1071</v>
      </c>
      <c r="X552" s="144" t="s">
        <v>1801</v>
      </c>
      <c r="Y552" s="144" t="s">
        <v>1802</v>
      </c>
      <c r="Z552" s="145">
        <v>510653</v>
      </c>
      <c r="AA552" s="145">
        <v>464230</v>
      </c>
      <c r="AB552" s="144">
        <v>0</v>
      </c>
      <c r="AC552" s="144" t="s">
        <v>1022</v>
      </c>
      <c r="AD552" s="145">
        <v>46423</v>
      </c>
      <c r="AE552" s="144">
        <v>0</v>
      </c>
      <c r="AF552" s="146">
        <v>0</v>
      </c>
      <c r="AG552" s="70">
        <v>0</v>
      </c>
      <c r="AH552" s="70">
        <v>0</v>
      </c>
      <c r="AI552" s="70">
        <v>0</v>
      </c>
      <c r="AJ552" s="70">
        <v>0</v>
      </c>
      <c r="AK552" s="70">
        <v>0</v>
      </c>
      <c r="AL552" s="70">
        <v>0.01</v>
      </c>
      <c r="AM552" s="70">
        <v>0</v>
      </c>
      <c r="AN552" s="70" t="s">
        <v>1877</v>
      </c>
    </row>
    <row r="553" spans="1:40">
      <c r="A553" s="132">
        <f t="shared" si="73"/>
        <v>545</v>
      </c>
      <c r="B553" s="133" t="s">
        <v>1769</v>
      </c>
      <c r="C553" s="133" t="s">
        <v>1904</v>
      </c>
      <c r="D553" s="132" t="s">
        <v>1698</v>
      </c>
      <c r="E553" s="147" t="s">
        <v>1502</v>
      </c>
      <c r="F553" s="135">
        <v>45793</v>
      </c>
      <c r="G553" s="45"/>
      <c r="H553" s="136"/>
      <c r="I553" s="136">
        <v>394197</v>
      </c>
      <c r="J553" s="137" t="s">
        <v>1025</v>
      </c>
      <c r="K553" s="150"/>
      <c r="L553" s="148">
        <f>I553</f>
        <v>394197</v>
      </c>
      <c r="M553" s="122">
        <f t="shared" si="74"/>
        <v>0</v>
      </c>
      <c r="N553" s="137"/>
      <c r="O553" s="149" t="b">
        <f t="shared" si="75"/>
        <v>1</v>
      </c>
      <c r="P553" s="149">
        <f t="shared" si="76"/>
        <v>0</v>
      </c>
      <c r="Q553" s="149" t="b">
        <f t="shared" si="77"/>
        <v>1</v>
      </c>
      <c r="R553" s="149">
        <f t="shared" si="78"/>
        <v>0</v>
      </c>
      <c r="S553" s="144" t="s">
        <v>1046</v>
      </c>
      <c r="T553" s="143">
        <v>45793</v>
      </c>
      <c r="U553" s="144" t="s">
        <v>1502</v>
      </c>
      <c r="V553" s="158"/>
      <c r="W553" s="144"/>
      <c r="X553" s="144"/>
      <c r="Y553" s="144" t="s">
        <v>1802</v>
      </c>
      <c r="Z553" s="145"/>
      <c r="AA553" s="145"/>
      <c r="AB553" s="144"/>
      <c r="AC553" s="144"/>
      <c r="AD553" s="145">
        <v>394197</v>
      </c>
      <c r="AE553" s="144"/>
      <c r="AF553" s="146"/>
      <c r="AN553" s="70" t="s">
        <v>1807</v>
      </c>
    </row>
    <row r="554" spans="1:40">
      <c r="A554" s="132">
        <f t="shared" si="73"/>
        <v>546</v>
      </c>
      <c r="B554" s="133" t="s">
        <v>1768</v>
      </c>
      <c r="C554" s="133" t="s">
        <v>1929</v>
      </c>
      <c r="D554" s="132" t="s">
        <v>1069</v>
      </c>
      <c r="E554" s="147" t="s">
        <v>1503</v>
      </c>
      <c r="F554" s="135">
        <v>45797</v>
      </c>
      <c r="G554" s="45"/>
      <c r="H554" s="136"/>
      <c r="I554" s="136">
        <v>28021</v>
      </c>
      <c r="J554" s="137" t="s">
        <v>1025</v>
      </c>
      <c r="K554" s="150">
        <f>L554</f>
        <v>28014</v>
      </c>
      <c r="L554" s="148">
        <f>AD554</f>
        <v>28014</v>
      </c>
      <c r="M554" s="122">
        <f t="shared" si="74"/>
        <v>7</v>
      </c>
      <c r="N554" s="137"/>
      <c r="O554" s="149" t="b">
        <f t="shared" si="75"/>
        <v>1</v>
      </c>
      <c r="P554" s="149">
        <f t="shared" si="76"/>
        <v>0</v>
      </c>
      <c r="Q554" s="149" t="b">
        <f t="shared" si="77"/>
        <v>0</v>
      </c>
      <c r="R554" s="149">
        <f t="shared" si="78"/>
        <v>7</v>
      </c>
      <c r="S554" s="144"/>
      <c r="T554" s="143">
        <v>45797</v>
      </c>
      <c r="U554" s="144" t="s">
        <v>1503</v>
      </c>
      <c r="V554" s="144">
        <v>0</v>
      </c>
      <c r="W554" s="144" t="s">
        <v>1071</v>
      </c>
      <c r="X554" s="144" t="s">
        <v>1801</v>
      </c>
      <c r="Y554" s="144" t="s">
        <v>1802</v>
      </c>
      <c r="Z554" s="145">
        <v>308154</v>
      </c>
      <c r="AA554" s="145">
        <v>280140</v>
      </c>
      <c r="AB554" s="144">
        <v>0</v>
      </c>
      <c r="AC554" s="144" t="s">
        <v>1022</v>
      </c>
      <c r="AD554" s="145">
        <v>28014</v>
      </c>
      <c r="AE554" s="144">
        <v>0</v>
      </c>
      <c r="AF554" s="146">
        <v>0</v>
      </c>
      <c r="AG554" s="70">
        <v>0</v>
      </c>
      <c r="AH554" s="70">
        <v>0</v>
      </c>
      <c r="AI554" s="70">
        <v>0</v>
      </c>
      <c r="AJ554" s="70">
        <v>0</v>
      </c>
      <c r="AK554" s="70">
        <v>0</v>
      </c>
      <c r="AL554" s="70">
        <v>0.01</v>
      </c>
      <c r="AM554" s="70">
        <v>0</v>
      </c>
      <c r="AN554" s="70" t="s">
        <v>1877</v>
      </c>
    </row>
    <row r="555" spans="1:40">
      <c r="A555" s="132">
        <f t="shared" si="73"/>
        <v>547</v>
      </c>
      <c r="B555" s="133" t="s">
        <v>1769</v>
      </c>
      <c r="C555" s="133" t="s">
        <v>1904</v>
      </c>
      <c r="D555" s="132" t="s">
        <v>1698</v>
      </c>
      <c r="E555" s="147" t="s">
        <v>1504</v>
      </c>
      <c r="F555" s="135">
        <v>45793</v>
      </c>
      <c r="G555" s="45"/>
      <c r="H555" s="136"/>
      <c r="I555" s="136">
        <v>203302</v>
      </c>
      <c r="J555" s="137" t="s">
        <v>1025</v>
      </c>
      <c r="K555" s="150"/>
      <c r="L555" s="148">
        <f>I555</f>
        <v>203302</v>
      </c>
      <c r="M555" s="122">
        <f t="shared" si="74"/>
        <v>0</v>
      </c>
      <c r="N555" s="137"/>
      <c r="O555" s="149" t="b">
        <f t="shared" si="75"/>
        <v>1</v>
      </c>
      <c r="P555" s="149">
        <f t="shared" si="76"/>
        <v>0</v>
      </c>
      <c r="Q555" s="149" t="b">
        <f t="shared" si="77"/>
        <v>1</v>
      </c>
      <c r="R555" s="149">
        <f t="shared" si="78"/>
        <v>0</v>
      </c>
      <c r="S555" s="144"/>
      <c r="T555" s="143">
        <v>45793</v>
      </c>
      <c r="U555" s="144" t="s">
        <v>1504</v>
      </c>
      <c r="V555" s="144"/>
      <c r="W555" s="144"/>
      <c r="X555" s="144"/>
      <c r="Y555" s="144" t="s">
        <v>1802</v>
      </c>
      <c r="Z555" s="145"/>
      <c r="AA555" s="145"/>
      <c r="AB555" s="144"/>
      <c r="AC555" s="144"/>
      <c r="AD555" s="145">
        <v>203302</v>
      </c>
      <c r="AE555" s="144"/>
      <c r="AF555" s="146"/>
      <c r="AN555" s="70" t="s">
        <v>1807</v>
      </c>
    </row>
    <row r="556" spans="1:40">
      <c r="A556" s="132">
        <f t="shared" si="73"/>
        <v>548</v>
      </c>
      <c r="B556" s="133" t="s">
        <v>1768</v>
      </c>
      <c r="C556" s="133" t="s">
        <v>1929</v>
      </c>
      <c r="D556" s="132" t="s">
        <v>1069</v>
      </c>
      <c r="E556" s="147" t="s">
        <v>1505</v>
      </c>
      <c r="F556" s="135">
        <v>45797</v>
      </c>
      <c r="G556" s="45"/>
      <c r="H556" s="136"/>
      <c r="I556" s="136">
        <v>28021</v>
      </c>
      <c r="J556" s="137" t="s">
        <v>1025</v>
      </c>
      <c r="K556" s="150">
        <f>L556</f>
        <v>28014</v>
      </c>
      <c r="L556" s="148">
        <f>AD556</f>
        <v>28014</v>
      </c>
      <c r="M556" s="122">
        <f t="shared" si="74"/>
        <v>7</v>
      </c>
      <c r="N556" s="137"/>
      <c r="O556" s="149" t="b">
        <f t="shared" si="75"/>
        <v>1</v>
      </c>
      <c r="P556" s="149">
        <f t="shared" si="76"/>
        <v>0</v>
      </c>
      <c r="Q556" s="149" t="b">
        <f t="shared" si="77"/>
        <v>0</v>
      </c>
      <c r="R556" s="149">
        <f t="shared" si="78"/>
        <v>7</v>
      </c>
      <c r="S556" s="144"/>
      <c r="T556" s="143">
        <v>45797</v>
      </c>
      <c r="U556" s="144" t="s">
        <v>1505</v>
      </c>
      <c r="V556" s="144">
        <v>0</v>
      </c>
      <c r="W556" s="144" t="s">
        <v>1071</v>
      </c>
      <c r="X556" s="144" t="s">
        <v>1801</v>
      </c>
      <c r="Y556" s="144" t="s">
        <v>1802</v>
      </c>
      <c r="Z556" s="145">
        <v>308154</v>
      </c>
      <c r="AA556" s="145">
        <v>280140</v>
      </c>
      <c r="AB556" s="144">
        <v>0</v>
      </c>
      <c r="AC556" s="144" t="s">
        <v>1022</v>
      </c>
      <c r="AD556" s="145">
        <v>28014</v>
      </c>
      <c r="AE556" s="144">
        <v>0</v>
      </c>
      <c r="AF556" s="146">
        <v>0</v>
      </c>
      <c r="AG556" s="70">
        <v>0</v>
      </c>
      <c r="AH556" s="70">
        <v>0</v>
      </c>
      <c r="AI556" s="70">
        <v>0</v>
      </c>
      <c r="AJ556" s="70">
        <v>0</v>
      </c>
      <c r="AK556" s="70">
        <v>0</v>
      </c>
      <c r="AL556" s="70">
        <v>0.01</v>
      </c>
      <c r="AM556" s="70">
        <v>0</v>
      </c>
      <c r="AN556" s="70" t="s">
        <v>1877</v>
      </c>
    </row>
    <row r="557" spans="1:40">
      <c r="A557" s="132">
        <f t="shared" si="73"/>
        <v>549</v>
      </c>
      <c r="B557" s="133" t="s">
        <v>1768</v>
      </c>
      <c r="C557" s="133" t="s">
        <v>1905</v>
      </c>
      <c r="D557" s="132" t="s">
        <v>1024</v>
      </c>
      <c r="E557" s="147">
        <v>202500105844</v>
      </c>
      <c r="F557" s="135">
        <v>45785</v>
      </c>
      <c r="G557" s="45"/>
      <c r="H557" s="136"/>
      <c r="I557" s="136">
        <v>6807</v>
      </c>
      <c r="J557" s="137" t="s">
        <v>1025</v>
      </c>
      <c r="K557" s="150"/>
      <c r="L557" s="148">
        <f t="shared" ref="L557:L565" si="83">I557</f>
        <v>6807</v>
      </c>
      <c r="M557" s="122">
        <f t="shared" si="74"/>
        <v>0</v>
      </c>
      <c r="N557" s="137"/>
      <c r="O557" s="149" t="b">
        <f t="shared" si="75"/>
        <v>1</v>
      </c>
      <c r="P557" s="149">
        <f t="shared" si="76"/>
        <v>0</v>
      </c>
      <c r="Q557" s="149" t="b">
        <f t="shared" si="77"/>
        <v>0</v>
      </c>
      <c r="R557" s="149">
        <f t="shared" si="78"/>
        <v>0</v>
      </c>
      <c r="S557" s="144"/>
      <c r="T557" s="143">
        <v>45785</v>
      </c>
      <c r="U557" s="144">
        <v>202500105844</v>
      </c>
      <c r="V557" s="144"/>
      <c r="W557" s="144" t="s">
        <v>1071</v>
      </c>
      <c r="X557" s="144" t="s">
        <v>1801</v>
      </c>
      <c r="Y557" s="144" t="s">
        <v>1802</v>
      </c>
      <c r="Z557" s="145">
        <v>74875</v>
      </c>
      <c r="AA557" s="145">
        <v>68068</v>
      </c>
      <c r="AB557" s="144">
        <v>0</v>
      </c>
      <c r="AC557" s="144" t="s">
        <v>1022</v>
      </c>
      <c r="AD557" s="145">
        <v>6807</v>
      </c>
      <c r="AE557" s="144"/>
      <c r="AF557" s="146"/>
    </row>
    <row r="558" spans="1:40">
      <c r="A558" s="132">
        <f t="shared" si="73"/>
        <v>550</v>
      </c>
      <c r="B558" s="133" t="s">
        <v>1769</v>
      </c>
      <c r="C558" s="133" t="s">
        <v>1904</v>
      </c>
      <c r="D558" s="132" t="s">
        <v>1698</v>
      </c>
      <c r="E558" s="147" t="s">
        <v>1506</v>
      </c>
      <c r="F558" s="135">
        <v>45786</v>
      </c>
      <c r="G558" s="45"/>
      <c r="H558" s="136"/>
      <c r="I558" s="136">
        <v>398299</v>
      </c>
      <c r="J558" s="137" t="s">
        <v>1025</v>
      </c>
      <c r="K558" s="150"/>
      <c r="L558" s="148">
        <f t="shared" si="83"/>
        <v>398299</v>
      </c>
      <c r="M558" s="122">
        <f t="shared" si="74"/>
        <v>0</v>
      </c>
      <c r="N558" s="137"/>
      <c r="O558" s="149" t="b">
        <f t="shared" si="75"/>
        <v>1</v>
      </c>
      <c r="P558" s="149">
        <f t="shared" si="76"/>
        <v>0</v>
      </c>
      <c r="Q558" s="149" t="b">
        <f t="shared" si="77"/>
        <v>1</v>
      </c>
      <c r="R558" s="149">
        <f t="shared" si="78"/>
        <v>0</v>
      </c>
      <c r="S558" s="144"/>
      <c r="T558" s="143">
        <v>45786</v>
      </c>
      <c r="U558" s="144" t="s">
        <v>1506</v>
      </c>
      <c r="V558" s="144"/>
      <c r="W558" s="144"/>
      <c r="X558" s="144"/>
      <c r="Y558" s="144" t="s">
        <v>1802</v>
      </c>
      <c r="Z558" s="145"/>
      <c r="AA558" s="145"/>
      <c r="AB558" s="144"/>
      <c r="AC558" s="144"/>
      <c r="AD558" s="145">
        <v>398299</v>
      </c>
      <c r="AE558" s="144"/>
      <c r="AF558" s="146"/>
      <c r="AN558" s="70" t="s">
        <v>1807</v>
      </c>
    </row>
    <row r="559" spans="1:40">
      <c r="A559" s="132">
        <f t="shared" si="73"/>
        <v>551</v>
      </c>
      <c r="B559" s="133" t="s">
        <v>1769</v>
      </c>
      <c r="C559" s="133" t="s">
        <v>1933</v>
      </c>
      <c r="D559" s="132" t="s">
        <v>1720</v>
      </c>
      <c r="E559" s="147" t="s">
        <v>1507</v>
      </c>
      <c r="F559" s="135">
        <v>45805</v>
      </c>
      <c r="G559" s="45"/>
      <c r="H559" s="136"/>
      <c r="I559" s="136">
        <v>468585</v>
      </c>
      <c r="J559" s="137" t="s">
        <v>1025</v>
      </c>
      <c r="K559" s="150"/>
      <c r="L559" s="148">
        <f t="shared" si="83"/>
        <v>468585</v>
      </c>
      <c r="M559" s="122">
        <f t="shared" si="74"/>
        <v>0</v>
      </c>
      <c r="N559" s="137"/>
      <c r="O559" s="149" t="b">
        <f t="shared" si="75"/>
        <v>1</v>
      </c>
      <c r="P559" s="149">
        <f t="shared" si="76"/>
        <v>0</v>
      </c>
      <c r="Q559" s="149" t="b">
        <f t="shared" si="77"/>
        <v>1</v>
      </c>
      <c r="R559" s="149">
        <f t="shared" si="78"/>
        <v>0</v>
      </c>
      <c r="S559" s="144"/>
      <c r="T559" s="143">
        <v>45805</v>
      </c>
      <c r="U559" s="144" t="s">
        <v>1507</v>
      </c>
      <c r="V559" s="144"/>
      <c r="W559" s="144"/>
      <c r="X559" s="144"/>
      <c r="Y559" s="144" t="s">
        <v>1802</v>
      </c>
      <c r="Z559" s="145"/>
      <c r="AA559" s="145"/>
      <c r="AB559" s="144"/>
      <c r="AC559" s="144"/>
      <c r="AD559" s="145">
        <v>468585</v>
      </c>
      <c r="AE559" s="144"/>
      <c r="AF559" s="146"/>
    </row>
    <row r="560" spans="1:40">
      <c r="A560" s="132">
        <f t="shared" si="73"/>
        <v>552</v>
      </c>
      <c r="B560" s="133" t="s">
        <v>1768</v>
      </c>
      <c r="C560" s="133" t="s">
        <v>1929</v>
      </c>
      <c r="D560" s="132" t="s">
        <v>1069</v>
      </c>
      <c r="E560" s="147" t="s">
        <v>1508</v>
      </c>
      <c r="F560" s="135">
        <v>45805</v>
      </c>
      <c r="G560" s="45"/>
      <c r="H560" s="136"/>
      <c r="I560" s="136">
        <v>28021</v>
      </c>
      <c r="J560" s="137" t="s">
        <v>1025</v>
      </c>
      <c r="K560" s="150"/>
      <c r="L560" s="148">
        <f t="shared" si="83"/>
        <v>28021</v>
      </c>
      <c r="M560" s="122">
        <f t="shared" si="74"/>
        <v>0</v>
      </c>
      <c r="N560" s="137"/>
      <c r="O560" s="149" t="b">
        <f t="shared" si="75"/>
        <v>1</v>
      </c>
      <c r="P560" s="149">
        <f t="shared" si="76"/>
        <v>0</v>
      </c>
      <c r="Q560" s="149" t="b">
        <f t="shared" si="77"/>
        <v>0</v>
      </c>
      <c r="R560" s="149">
        <f t="shared" si="78"/>
        <v>0</v>
      </c>
      <c r="S560" s="144"/>
      <c r="T560" s="143">
        <v>45805</v>
      </c>
      <c r="U560" s="144" t="s">
        <v>1508</v>
      </c>
      <c r="V560" s="144">
        <v>0</v>
      </c>
      <c r="W560" s="144" t="s">
        <v>1071</v>
      </c>
      <c r="X560" s="144" t="s">
        <v>1801</v>
      </c>
      <c r="Y560" s="144" t="s">
        <v>1802</v>
      </c>
      <c r="Z560" s="145">
        <v>308231</v>
      </c>
      <c r="AA560" s="145">
        <v>280210</v>
      </c>
      <c r="AB560" s="144">
        <v>0</v>
      </c>
      <c r="AC560" s="144" t="s">
        <v>1022</v>
      </c>
      <c r="AD560" s="145">
        <v>28021</v>
      </c>
      <c r="AE560" s="144">
        <v>0</v>
      </c>
      <c r="AF560" s="146">
        <v>0</v>
      </c>
      <c r="AG560" s="70">
        <v>0</v>
      </c>
      <c r="AH560" s="70">
        <v>0</v>
      </c>
      <c r="AI560" s="70">
        <v>0</v>
      </c>
      <c r="AJ560" s="70">
        <v>0</v>
      </c>
      <c r="AK560" s="70">
        <v>0</v>
      </c>
      <c r="AL560" s="70">
        <v>0.01</v>
      </c>
      <c r="AM560" s="70">
        <v>0</v>
      </c>
      <c r="AN560" s="70" t="s">
        <v>1877</v>
      </c>
    </row>
    <row r="561" spans="1:41">
      <c r="A561" s="132">
        <f t="shared" si="73"/>
        <v>553</v>
      </c>
      <c r="B561" s="133" t="s">
        <v>1769</v>
      </c>
      <c r="C561" s="133" t="s">
        <v>1933</v>
      </c>
      <c r="D561" s="132" t="s">
        <v>1720</v>
      </c>
      <c r="E561" s="147" t="s">
        <v>1509</v>
      </c>
      <c r="F561" s="135">
        <v>45805</v>
      </c>
      <c r="G561" s="45"/>
      <c r="H561" s="136"/>
      <c r="I561" s="136">
        <v>176132</v>
      </c>
      <c r="J561" s="137" t="s">
        <v>1025</v>
      </c>
      <c r="K561" s="150"/>
      <c r="L561" s="148">
        <f t="shared" si="83"/>
        <v>176132</v>
      </c>
      <c r="M561" s="122">
        <f t="shared" si="74"/>
        <v>0</v>
      </c>
      <c r="N561" s="137"/>
      <c r="O561" s="149" t="b">
        <f t="shared" si="75"/>
        <v>1</v>
      </c>
      <c r="P561" s="149">
        <f t="shared" si="76"/>
        <v>0</v>
      </c>
      <c r="Q561" s="149" t="b">
        <f t="shared" si="77"/>
        <v>1</v>
      </c>
      <c r="R561" s="149">
        <f t="shared" si="78"/>
        <v>0</v>
      </c>
      <c r="S561" s="144"/>
      <c r="T561" s="143">
        <v>45805</v>
      </c>
      <c r="U561" s="144" t="s">
        <v>1509</v>
      </c>
      <c r="V561" s="144"/>
      <c r="W561" s="144"/>
      <c r="X561" s="144"/>
      <c r="Y561" s="144" t="s">
        <v>1802</v>
      </c>
      <c r="Z561" s="145"/>
      <c r="AA561" s="145"/>
      <c r="AB561" s="144"/>
      <c r="AC561" s="144"/>
      <c r="AD561" s="145">
        <v>176132</v>
      </c>
      <c r="AE561" s="144"/>
      <c r="AF561" s="146"/>
    </row>
    <row r="562" spans="1:41">
      <c r="A562" s="132">
        <f t="shared" si="73"/>
        <v>554</v>
      </c>
      <c r="B562" s="133" t="s">
        <v>1768</v>
      </c>
      <c r="C562" s="133" t="s">
        <v>1929</v>
      </c>
      <c r="D562" s="132" t="s">
        <v>1069</v>
      </c>
      <c r="E562" s="147" t="s">
        <v>1510</v>
      </c>
      <c r="F562" s="135">
        <v>45805</v>
      </c>
      <c r="G562" s="45"/>
      <c r="H562" s="136"/>
      <c r="I562" s="136">
        <v>28021</v>
      </c>
      <c r="J562" s="137" t="s">
        <v>1025</v>
      </c>
      <c r="K562" s="150"/>
      <c r="L562" s="148">
        <f t="shared" si="83"/>
        <v>28021</v>
      </c>
      <c r="M562" s="122">
        <f t="shared" si="74"/>
        <v>0</v>
      </c>
      <c r="N562" s="137"/>
      <c r="O562" s="149" t="b">
        <f t="shared" si="75"/>
        <v>1</v>
      </c>
      <c r="P562" s="149">
        <f t="shared" si="76"/>
        <v>0</v>
      </c>
      <c r="Q562" s="149" t="b">
        <f t="shared" si="77"/>
        <v>0</v>
      </c>
      <c r="R562" s="149">
        <f t="shared" si="78"/>
        <v>0</v>
      </c>
      <c r="S562" s="144"/>
      <c r="T562" s="143">
        <v>45805</v>
      </c>
      <c r="U562" s="144" t="s">
        <v>1510</v>
      </c>
      <c r="V562" s="144">
        <v>0</v>
      </c>
      <c r="W562" s="144" t="s">
        <v>1071</v>
      </c>
      <c r="X562" s="144" t="s">
        <v>1801</v>
      </c>
      <c r="Y562" s="144" t="s">
        <v>1802</v>
      </c>
      <c r="Z562" s="145">
        <v>308231</v>
      </c>
      <c r="AA562" s="145">
        <v>280210</v>
      </c>
      <c r="AB562" s="144">
        <v>0</v>
      </c>
      <c r="AC562" s="144" t="s">
        <v>1022</v>
      </c>
      <c r="AD562" s="145">
        <v>28021</v>
      </c>
      <c r="AE562" s="144">
        <v>0</v>
      </c>
      <c r="AF562" s="146">
        <v>0</v>
      </c>
      <c r="AG562" s="70">
        <v>0</v>
      </c>
      <c r="AH562" s="70">
        <v>0</v>
      </c>
      <c r="AI562" s="70">
        <v>0</v>
      </c>
      <c r="AJ562" s="70">
        <v>0</v>
      </c>
      <c r="AK562" s="70">
        <v>0</v>
      </c>
      <c r="AL562" s="70">
        <v>0.01</v>
      </c>
      <c r="AM562" s="70">
        <v>0</v>
      </c>
      <c r="AN562" s="70" t="s">
        <v>1877</v>
      </c>
    </row>
    <row r="563" spans="1:41">
      <c r="A563" s="132">
        <f t="shared" si="73"/>
        <v>555</v>
      </c>
      <c r="B563" s="133" t="s">
        <v>1769</v>
      </c>
      <c r="C563" s="133" t="s">
        <v>1933</v>
      </c>
      <c r="D563" s="132" t="s">
        <v>1720</v>
      </c>
      <c r="E563" s="147" t="s">
        <v>1511</v>
      </c>
      <c r="F563" s="135">
        <v>45805</v>
      </c>
      <c r="G563" s="45"/>
      <c r="H563" s="136"/>
      <c r="I563" s="136">
        <v>156117</v>
      </c>
      <c r="J563" s="137" t="s">
        <v>1025</v>
      </c>
      <c r="K563" s="150"/>
      <c r="L563" s="148">
        <f t="shared" si="83"/>
        <v>156117</v>
      </c>
      <c r="M563" s="122">
        <f t="shared" si="74"/>
        <v>0</v>
      </c>
      <c r="N563" s="137"/>
      <c r="O563" s="149" t="b">
        <f t="shared" si="75"/>
        <v>1</v>
      </c>
      <c r="P563" s="149">
        <f t="shared" si="76"/>
        <v>0</v>
      </c>
      <c r="Q563" s="149" t="b">
        <f t="shared" si="77"/>
        <v>1</v>
      </c>
      <c r="R563" s="149">
        <f t="shared" si="78"/>
        <v>0</v>
      </c>
      <c r="S563" s="144"/>
      <c r="T563" s="143">
        <v>45805</v>
      </c>
      <c r="U563" s="144" t="s">
        <v>1511</v>
      </c>
      <c r="V563" s="144"/>
      <c r="W563" s="144"/>
      <c r="X563" s="144"/>
      <c r="Y563" s="144" t="s">
        <v>1802</v>
      </c>
      <c r="Z563" s="145"/>
      <c r="AA563" s="145"/>
      <c r="AB563" s="144"/>
      <c r="AC563" s="144"/>
      <c r="AD563" s="145">
        <v>156117</v>
      </c>
      <c r="AE563" s="144"/>
      <c r="AF563" s="146"/>
    </row>
    <row r="564" spans="1:41">
      <c r="A564" s="132">
        <f t="shared" si="73"/>
        <v>556</v>
      </c>
      <c r="B564" s="133" t="s">
        <v>1784</v>
      </c>
      <c r="C564" s="133" t="s">
        <v>1929</v>
      </c>
      <c r="D564" s="132" t="s">
        <v>1069</v>
      </c>
      <c r="E564" s="147" t="s">
        <v>1512</v>
      </c>
      <c r="F564" s="135">
        <v>45807</v>
      </c>
      <c r="G564" s="45"/>
      <c r="H564" s="136"/>
      <c r="I564" s="136">
        <v>2403</v>
      </c>
      <c r="J564" s="137" t="s">
        <v>1025</v>
      </c>
      <c r="K564" s="150"/>
      <c r="L564" s="148">
        <f t="shared" si="83"/>
        <v>2403</v>
      </c>
      <c r="M564" s="122">
        <f t="shared" si="74"/>
        <v>0</v>
      </c>
      <c r="N564" s="137"/>
      <c r="O564" s="149" t="b">
        <f t="shared" si="75"/>
        <v>1</v>
      </c>
      <c r="P564" s="149">
        <f t="shared" si="76"/>
        <v>0</v>
      </c>
      <c r="Q564" s="149" t="b">
        <f t="shared" si="77"/>
        <v>0</v>
      </c>
      <c r="R564" s="149">
        <f t="shared" si="78"/>
        <v>0</v>
      </c>
      <c r="S564" s="144"/>
      <c r="T564" s="143">
        <v>45807</v>
      </c>
      <c r="U564" s="144" t="s">
        <v>1512</v>
      </c>
      <c r="V564" s="144">
        <v>0</v>
      </c>
      <c r="W564" s="144" t="s">
        <v>1071</v>
      </c>
      <c r="X564" s="144" t="s">
        <v>1801</v>
      </c>
      <c r="Y564" s="144" t="s">
        <v>1802</v>
      </c>
      <c r="Z564" s="145">
        <v>26433</v>
      </c>
      <c r="AA564" s="145">
        <v>24030</v>
      </c>
      <c r="AB564" s="144">
        <v>0</v>
      </c>
      <c r="AC564" s="144" t="s">
        <v>1022</v>
      </c>
      <c r="AD564" s="145">
        <v>2403</v>
      </c>
      <c r="AE564" s="144">
        <v>0</v>
      </c>
      <c r="AF564" s="146">
        <v>0</v>
      </c>
      <c r="AG564" s="70">
        <v>0</v>
      </c>
      <c r="AH564" s="70">
        <v>0</v>
      </c>
      <c r="AI564" s="70">
        <v>0</v>
      </c>
      <c r="AJ564" s="70">
        <v>0</v>
      </c>
      <c r="AK564" s="70">
        <v>0</v>
      </c>
      <c r="AL564" s="70">
        <v>0.01</v>
      </c>
      <c r="AM564" s="70">
        <v>0</v>
      </c>
      <c r="AN564" s="70" t="s">
        <v>1877</v>
      </c>
    </row>
    <row r="565" spans="1:41">
      <c r="A565" s="132">
        <f t="shared" si="73"/>
        <v>557</v>
      </c>
      <c r="B565" s="133" t="s">
        <v>1768</v>
      </c>
      <c r="C565" s="133" t="s">
        <v>1929</v>
      </c>
      <c r="D565" s="132" t="s">
        <v>1069</v>
      </c>
      <c r="E565" s="147" t="s">
        <v>1513</v>
      </c>
      <c r="F565" s="135">
        <v>45805</v>
      </c>
      <c r="G565" s="45"/>
      <c r="H565" s="136"/>
      <c r="I565" s="136">
        <v>28021</v>
      </c>
      <c r="J565" s="137" t="s">
        <v>1025</v>
      </c>
      <c r="K565" s="150"/>
      <c r="L565" s="148">
        <f t="shared" si="83"/>
        <v>28021</v>
      </c>
      <c r="M565" s="122">
        <f t="shared" si="74"/>
        <v>0</v>
      </c>
      <c r="N565" s="137"/>
      <c r="O565" s="149" t="b">
        <f t="shared" si="75"/>
        <v>1</v>
      </c>
      <c r="P565" s="149">
        <f t="shared" si="76"/>
        <v>0</v>
      </c>
      <c r="Q565" s="149" t="b">
        <f t="shared" si="77"/>
        <v>0</v>
      </c>
      <c r="R565" s="149">
        <f t="shared" si="78"/>
        <v>0</v>
      </c>
      <c r="S565" s="144"/>
      <c r="T565" s="143">
        <v>45805</v>
      </c>
      <c r="U565" s="144" t="s">
        <v>1513</v>
      </c>
      <c r="V565" s="144">
        <v>0</v>
      </c>
      <c r="W565" s="144" t="s">
        <v>1071</v>
      </c>
      <c r="X565" s="144" t="s">
        <v>1801</v>
      </c>
      <c r="Y565" s="144" t="s">
        <v>1802</v>
      </c>
      <c r="Z565" s="145">
        <v>308231</v>
      </c>
      <c r="AA565" s="145">
        <v>280210</v>
      </c>
      <c r="AB565" s="144">
        <v>0</v>
      </c>
      <c r="AC565" s="144" t="s">
        <v>1022</v>
      </c>
      <c r="AD565" s="145">
        <v>28021</v>
      </c>
      <c r="AE565" s="144">
        <v>0</v>
      </c>
      <c r="AF565" s="146">
        <v>0</v>
      </c>
      <c r="AG565" s="70">
        <v>0</v>
      </c>
      <c r="AH565" s="70">
        <v>0</v>
      </c>
      <c r="AI565" s="70">
        <v>0</v>
      </c>
      <c r="AJ565" s="70">
        <v>0</v>
      </c>
      <c r="AK565" s="70">
        <v>0</v>
      </c>
      <c r="AL565" s="70">
        <v>0.01</v>
      </c>
      <c r="AM565" s="70">
        <v>0</v>
      </c>
      <c r="AN565" s="70" t="s">
        <v>1877</v>
      </c>
    </row>
    <row r="566" spans="1:41">
      <c r="A566" s="132">
        <f t="shared" si="73"/>
        <v>558</v>
      </c>
      <c r="B566" s="133" t="s">
        <v>1769</v>
      </c>
      <c r="C566" s="133" t="s">
        <v>1933</v>
      </c>
      <c r="D566" s="132" t="s">
        <v>1720</v>
      </c>
      <c r="E566" s="147" t="s">
        <v>1514</v>
      </c>
      <c r="F566" s="135">
        <v>45805</v>
      </c>
      <c r="G566" s="45"/>
      <c r="H566" s="136"/>
      <c r="I566" s="136">
        <v>156117</v>
      </c>
      <c r="J566" s="137" t="s">
        <v>1025</v>
      </c>
      <c r="K566" s="150"/>
      <c r="L566" s="148">
        <f>I566</f>
        <v>156117</v>
      </c>
      <c r="M566" s="122">
        <f t="shared" si="74"/>
        <v>0</v>
      </c>
      <c r="N566" s="137"/>
      <c r="O566" s="149" t="b">
        <f t="shared" si="75"/>
        <v>1</v>
      </c>
      <c r="P566" s="149">
        <f t="shared" si="76"/>
        <v>0</v>
      </c>
      <c r="Q566" s="149" t="b">
        <f t="shared" si="77"/>
        <v>1</v>
      </c>
      <c r="R566" s="149">
        <f t="shared" si="78"/>
        <v>0</v>
      </c>
      <c r="S566" s="144"/>
      <c r="T566" s="143">
        <v>45805</v>
      </c>
      <c r="U566" s="144" t="s">
        <v>1514</v>
      </c>
      <c r="V566" s="144"/>
      <c r="W566" s="144"/>
      <c r="X566" s="144"/>
      <c r="Y566" s="144" t="s">
        <v>1802</v>
      </c>
      <c r="Z566" s="145"/>
      <c r="AA566" s="145"/>
      <c r="AB566" s="144"/>
      <c r="AC566" s="144"/>
      <c r="AD566" s="145">
        <v>156117</v>
      </c>
      <c r="AE566" s="144"/>
      <c r="AF566" s="146"/>
    </row>
    <row r="567" spans="1:41">
      <c r="A567" s="132">
        <f t="shared" si="73"/>
        <v>559</v>
      </c>
      <c r="B567" s="133" t="s">
        <v>1768</v>
      </c>
      <c r="C567" s="133" t="s">
        <v>1929</v>
      </c>
      <c r="D567" s="132" t="s">
        <v>1069</v>
      </c>
      <c r="E567" s="147" t="s">
        <v>1515</v>
      </c>
      <c r="F567" s="135">
        <v>45805</v>
      </c>
      <c r="G567" s="45"/>
      <c r="H567" s="136"/>
      <c r="I567" s="136">
        <v>84063</v>
      </c>
      <c r="J567" s="137" t="s">
        <v>1025</v>
      </c>
      <c r="K567" s="150"/>
      <c r="L567" s="148">
        <f>I567</f>
        <v>84063</v>
      </c>
      <c r="M567" s="122">
        <f t="shared" si="74"/>
        <v>0</v>
      </c>
      <c r="N567" s="137"/>
      <c r="O567" s="149" t="b">
        <f t="shared" si="75"/>
        <v>1</v>
      </c>
      <c r="P567" s="149">
        <f t="shared" si="76"/>
        <v>0</v>
      </c>
      <c r="Q567" s="149" t="b">
        <f t="shared" si="77"/>
        <v>0</v>
      </c>
      <c r="R567" s="149">
        <f t="shared" si="78"/>
        <v>0</v>
      </c>
      <c r="S567" s="144"/>
      <c r="T567" s="143">
        <v>45805</v>
      </c>
      <c r="U567" s="144" t="s">
        <v>1515</v>
      </c>
      <c r="V567" s="144">
        <v>0</v>
      </c>
      <c r="W567" s="144" t="s">
        <v>1071</v>
      </c>
      <c r="X567" s="144" t="s">
        <v>1801</v>
      </c>
      <c r="Y567" s="144" t="s">
        <v>1802</v>
      </c>
      <c r="Z567" s="145">
        <v>924693</v>
      </c>
      <c r="AA567" s="145">
        <v>840630</v>
      </c>
      <c r="AB567" s="144">
        <v>0</v>
      </c>
      <c r="AC567" s="144" t="s">
        <v>1022</v>
      </c>
      <c r="AD567" s="145">
        <v>84063</v>
      </c>
      <c r="AE567" s="144">
        <v>0</v>
      </c>
      <c r="AF567" s="146">
        <v>0</v>
      </c>
      <c r="AG567" s="70">
        <v>0</v>
      </c>
      <c r="AH567" s="70">
        <v>0</v>
      </c>
      <c r="AI567" s="70">
        <v>0</v>
      </c>
      <c r="AJ567" s="70">
        <v>0</v>
      </c>
      <c r="AK567" s="70">
        <v>0</v>
      </c>
      <c r="AL567" s="70">
        <v>0.01</v>
      </c>
      <c r="AM567" s="70">
        <v>0</v>
      </c>
      <c r="AN567" s="70" t="s">
        <v>1877</v>
      </c>
    </row>
    <row r="568" spans="1:41">
      <c r="A568" s="132">
        <f t="shared" si="73"/>
        <v>560</v>
      </c>
      <c r="B568" s="133" t="s">
        <v>1769</v>
      </c>
      <c r="C568" s="133" t="s">
        <v>1933</v>
      </c>
      <c r="D568" s="132" t="s">
        <v>1720</v>
      </c>
      <c r="E568" s="147" t="s">
        <v>1516</v>
      </c>
      <c r="F568" s="135">
        <v>45805</v>
      </c>
      <c r="G568" s="45"/>
      <c r="H568" s="136"/>
      <c r="I568" s="136">
        <v>490768</v>
      </c>
      <c r="J568" s="137" t="s">
        <v>1025</v>
      </c>
      <c r="K568" s="150"/>
      <c r="L568" s="148">
        <f>I568</f>
        <v>490768</v>
      </c>
      <c r="M568" s="122">
        <f t="shared" si="74"/>
        <v>0</v>
      </c>
      <c r="N568" s="137"/>
      <c r="O568" s="149" t="b">
        <f t="shared" si="75"/>
        <v>1</v>
      </c>
      <c r="P568" s="149">
        <f t="shared" si="76"/>
        <v>0</v>
      </c>
      <c r="Q568" s="149" t="b">
        <f t="shared" si="77"/>
        <v>1</v>
      </c>
      <c r="R568" s="149">
        <f t="shared" si="78"/>
        <v>0</v>
      </c>
      <c r="S568" s="144"/>
      <c r="T568" s="143">
        <v>45805</v>
      </c>
      <c r="U568" s="144" t="s">
        <v>1516</v>
      </c>
      <c r="V568" s="144"/>
      <c r="W568" s="144"/>
      <c r="X568" s="144"/>
      <c r="Y568" s="144" t="s">
        <v>1802</v>
      </c>
      <c r="Z568" s="145"/>
      <c r="AA568" s="145"/>
      <c r="AB568" s="144"/>
      <c r="AC568" s="144"/>
      <c r="AD568" s="145">
        <v>490768</v>
      </c>
      <c r="AE568" s="144"/>
      <c r="AF568" s="146"/>
    </row>
    <row r="569" spans="1:41">
      <c r="A569" s="132">
        <f t="shared" si="73"/>
        <v>561</v>
      </c>
      <c r="B569" s="133" t="s">
        <v>1768</v>
      </c>
      <c r="C569" s="133" t="s">
        <v>1929</v>
      </c>
      <c r="D569" s="132" t="s">
        <v>1069</v>
      </c>
      <c r="E569" s="147" t="s">
        <v>1517</v>
      </c>
      <c r="F569" s="135">
        <v>45805</v>
      </c>
      <c r="G569" s="45"/>
      <c r="H569" s="136"/>
      <c r="I569" s="136">
        <v>56042</v>
      </c>
      <c r="J569" s="137" t="s">
        <v>1025</v>
      </c>
      <c r="K569" s="150"/>
      <c r="L569" s="148">
        <f>I569</f>
        <v>56042</v>
      </c>
      <c r="M569" s="122">
        <f t="shared" si="74"/>
        <v>0</v>
      </c>
      <c r="N569" s="137"/>
      <c r="O569" s="149" t="b">
        <f t="shared" si="75"/>
        <v>1</v>
      </c>
      <c r="P569" s="149">
        <f t="shared" si="76"/>
        <v>0</v>
      </c>
      <c r="Q569" s="149" t="b">
        <f t="shared" si="77"/>
        <v>0</v>
      </c>
      <c r="R569" s="149">
        <f t="shared" si="78"/>
        <v>0</v>
      </c>
      <c r="S569" s="144"/>
      <c r="T569" s="143">
        <v>45805</v>
      </c>
      <c r="U569" s="144" t="s">
        <v>1517</v>
      </c>
      <c r="V569" s="144">
        <v>0</v>
      </c>
      <c r="W569" s="144" t="s">
        <v>1071</v>
      </c>
      <c r="X569" s="144" t="s">
        <v>1801</v>
      </c>
      <c r="Y569" s="144" t="s">
        <v>1802</v>
      </c>
      <c r="Z569" s="145">
        <v>616462</v>
      </c>
      <c r="AA569" s="145">
        <v>560420</v>
      </c>
      <c r="AB569" s="144">
        <v>0</v>
      </c>
      <c r="AC569" s="144" t="s">
        <v>1022</v>
      </c>
      <c r="AD569" s="145">
        <v>56042</v>
      </c>
      <c r="AE569" s="144">
        <v>0</v>
      </c>
      <c r="AF569" s="146">
        <v>0</v>
      </c>
      <c r="AG569" s="70">
        <v>0</v>
      </c>
      <c r="AH569" s="70">
        <v>0</v>
      </c>
      <c r="AI569" s="70">
        <v>0</v>
      </c>
      <c r="AJ569" s="70">
        <v>0</v>
      </c>
      <c r="AK569" s="70">
        <v>0</v>
      </c>
      <c r="AL569" s="70">
        <v>0.01</v>
      </c>
      <c r="AM569" s="70">
        <v>0</v>
      </c>
      <c r="AN569" s="70" t="s">
        <v>1877</v>
      </c>
    </row>
    <row r="570" spans="1:41">
      <c r="A570" s="132">
        <f t="shared" si="73"/>
        <v>562</v>
      </c>
      <c r="B570" s="133" t="s">
        <v>1769</v>
      </c>
      <c r="C570" s="133" t="s">
        <v>1933</v>
      </c>
      <c r="D570" s="132" t="s">
        <v>1720</v>
      </c>
      <c r="E570" s="147" t="s">
        <v>1518</v>
      </c>
      <c r="F570" s="135">
        <v>45805</v>
      </c>
      <c r="G570" s="45"/>
      <c r="H570" s="136"/>
      <c r="I570" s="136">
        <v>313835</v>
      </c>
      <c r="J570" s="137" t="s">
        <v>1025</v>
      </c>
      <c r="K570" s="150">
        <f>L570</f>
        <v>313834</v>
      </c>
      <c r="L570" s="148">
        <f>AD570</f>
        <v>313834</v>
      </c>
      <c r="M570" s="122">
        <f t="shared" si="74"/>
        <v>1</v>
      </c>
      <c r="N570" s="137"/>
      <c r="O570" s="149" t="b">
        <f t="shared" si="75"/>
        <v>1</v>
      </c>
      <c r="P570" s="149">
        <f t="shared" si="76"/>
        <v>0</v>
      </c>
      <c r="Q570" s="149" t="b">
        <f t="shared" si="77"/>
        <v>1</v>
      </c>
      <c r="R570" s="149">
        <f t="shared" si="78"/>
        <v>1</v>
      </c>
      <c r="S570" s="144"/>
      <c r="T570" s="143">
        <v>45805</v>
      </c>
      <c r="U570" s="144" t="s">
        <v>1518</v>
      </c>
      <c r="V570" s="144"/>
      <c r="W570" s="144"/>
      <c r="X570" s="144"/>
      <c r="Y570" s="144" t="s">
        <v>1802</v>
      </c>
      <c r="Z570" s="145"/>
      <c r="AA570" s="145"/>
      <c r="AB570" s="144"/>
      <c r="AC570" s="144"/>
      <c r="AD570" s="145">
        <v>313834</v>
      </c>
      <c r="AE570" s="144"/>
      <c r="AF570" s="146"/>
    </row>
    <row r="571" spans="1:41">
      <c r="A571" s="132">
        <f t="shared" si="73"/>
        <v>563</v>
      </c>
      <c r="B571" s="133" t="s">
        <v>1768</v>
      </c>
      <c r="C571" s="133" t="s">
        <v>1929</v>
      </c>
      <c r="D571" s="132" t="s">
        <v>1069</v>
      </c>
      <c r="E571" s="147" t="s">
        <v>1519</v>
      </c>
      <c r="F571" s="135">
        <v>45805</v>
      </c>
      <c r="G571" s="45"/>
      <c r="H571" s="136"/>
      <c r="I571" s="136">
        <v>28021</v>
      </c>
      <c r="J571" s="137" t="s">
        <v>1025</v>
      </c>
      <c r="K571" s="150"/>
      <c r="L571" s="148">
        <f>I571</f>
        <v>28021</v>
      </c>
      <c r="M571" s="122">
        <f t="shared" si="74"/>
        <v>0</v>
      </c>
      <c r="N571" s="137"/>
      <c r="O571" s="149" t="b">
        <f t="shared" si="75"/>
        <v>1</v>
      </c>
      <c r="P571" s="149">
        <f t="shared" si="76"/>
        <v>0</v>
      </c>
      <c r="Q571" s="149" t="b">
        <f t="shared" si="77"/>
        <v>0</v>
      </c>
      <c r="R571" s="149">
        <f t="shared" si="78"/>
        <v>0</v>
      </c>
      <c r="S571" s="144"/>
      <c r="T571" s="143">
        <v>45805</v>
      </c>
      <c r="U571" s="144" t="s">
        <v>1519</v>
      </c>
      <c r="V571" s="144">
        <v>0</v>
      </c>
      <c r="W571" s="144" t="s">
        <v>1071</v>
      </c>
      <c r="X571" s="144" t="s">
        <v>1801</v>
      </c>
      <c r="Y571" s="144" t="s">
        <v>1802</v>
      </c>
      <c r="Z571" s="145">
        <v>308231</v>
      </c>
      <c r="AA571" s="145">
        <v>280210</v>
      </c>
      <c r="AB571" s="144">
        <v>0</v>
      </c>
      <c r="AC571" s="144" t="s">
        <v>1022</v>
      </c>
      <c r="AD571" s="145">
        <v>28021</v>
      </c>
      <c r="AE571" s="144">
        <v>0</v>
      </c>
      <c r="AF571" s="146">
        <v>0</v>
      </c>
      <c r="AG571" s="70">
        <v>0</v>
      </c>
      <c r="AH571" s="70">
        <v>0</v>
      </c>
      <c r="AI571" s="70">
        <v>0</v>
      </c>
      <c r="AJ571" s="70">
        <v>0</v>
      </c>
      <c r="AK571" s="70">
        <v>0</v>
      </c>
      <c r="AL571" s="70">
        <v>0.01</v>
      </c>
      <c r="AM571" s="70">
        <v>0</v>
      </c>
      <c r="AN571" s="70" t="s">
        <v>1877</v>
      </c>
    </row>
    <row r="572" spans="1:41">
      <c r="A572" s="132">
        <f t="shared" si="73"/>
        <v>564</v>
      </c>
      <c r="B572" s="133" t="s">
        <v>1769</v>
      </c>
      <c r="C572" s="133" t="s">
        <v>1933</v>
      </c>
      <c r="D572" s="132" t="s">
        <v>1720</v>
      </c>
      <c r="E572" s="147" t="s">
        <v>1520</v>
      </c>
      <c r="F572" s="135">
        <v>45805</v>
      </c>
      <c r="G572" s="45"/>
      <c r="H572" s="136"/>
      <c r="I572" s="136">
        <v>470187</v>
      </c>
      <c r="J572" s="137" t="s">
        <v>1025</v>
      </c>
      <c r="K572" s="150"/>
      <c r="L572" s="148">
        <f t="shared" ref="L572:L577" si="84">I572</f>
        <v>470187</v>
      </c>
      <c r="M572" s="122">
        <f t="shared" si="74"/>
        <v>0</v>
      </c>
      <c r="N572" s="137"/>
      <c r="O572" s="149" t="b">
        <f t="shared" si="75"/>
        <v>1</v>
      </c>
      <c r="P572" s="149">
        <f t="shared" si="76"/>
        <v>0</v>
      </c>
      <c r="Q572" s="149" t="b">
        <f t="shared" si="77"/>
        <v>1</v>
      </c>
      <c r="R572" s="149">
        <f t="shared" si="78"/>
        <v>0</v>
      </c>
      <c r="S572" s="144"/>
      <c r="T572" s="143">
        <v>45805</v>
      </c>
      <c r="U572" s="144" t="s">
        <v>1520</v>
      </c>
      <c r="V572" s="144"/>
      <c r="W572" s="144"/>
      <c r="X572" s="144"/>
      <c r="Y572" s="144" t="s">
        <v>1802</v>
      </c>
      <c r="Z572" s="145"/>
      <c r="AA572" s="145"/>
      <c r="AB572" s="144"/>
      <c r="AC572" s="144"/>
      <c r="AD572" s="145">
        <v>470187</v>
      </c>
      <c r="AE572" s="144"/>
      <c r="AF572" s="146"/>
    </row>
    <row r="573" spans="1:41">
      <c r="A573" s="132">
        <f t="shared" si="73"/>
        <v>565</v>
      </c>
      <c r="B573" s="133" t="s">
        <v>1769</v>
      </c>
      <c r="C573" s="133" t="s">
        <v>1933</v>
      </c>
      <c r="D573" s="132" t="s">
        <v>1720</v>
      </c>
      <c r="E573" s="147" t="s">
        <v>1521</v>
      </c>
      <c r="F573" s="135">
        <v>45805</v>
      </c>
      <c r="G573" s="45"/>
      <c r="H573" s="136"/>
      <c r="I573" s="136">
        <v>959598</v>
      </c>
      <c r="J573" s="137" t="s">
        <v>1025</v>
      </c>
      <c r="K573" s="150"/>
      <c r="L573" s="148">
        <f t="shared" si="84"/>
        <v>959598</v>
      </c>
      <c r="M573" s="122">
        <f t="shared" si="74"/>
        <v>0</v>
      </c>
      <c r="N573" s="137"/>
      <c r="O573" s="149" t="b">
        <f t="shared" si="75"/>
        <v>1</v>
      </c>
      <c r="P573" s="149">
        <f t="shared" si="76"/>
        <v>0</v>
      </c>
      <c r="Q573" s="149" t="b">
        <f t="shared" si="77"/>
        <v>1</v>
      </c>
      <c r="R573" s="149">
        <f t="shared" si="78"/>
        <v>0</v>
      </c>
      <c r="S573" s="144"/>
      <c r="T573" s="143">
        <v>45805</v>
      </c>
      <c r="U573" s="144" t="s">
        <v>1521</v>
      </c>
      <c r="V573" s="144"/>
      <c r="W573" s="144"/>
      <c r="X573" s="144"/>
      <c r="Y573" s="144" t="s">
        <v>1802</v>
      </c>
      <c r="Z573" s="145"/>
      <c r="AA573" s="145"/>
      <c r="AB573" s="144"/>
      <c r="AC573" s="144"/>
      <c r="AD573" s="145">
        <v>959598</v>
      </c>
      <c r="AE573" s="144"/>
      <c r="AF573" s="146"/>
    </row>
    <row r="574" spans="1:41">
      <c r="A574" s="132">
        <f t="shared" si="73"/>
        <v>566</v>
      </c>
      <c r="B574" s="133" t="s">
        <v>1795</v>
      </c>
      <c r="C574" s="133" t="s">
        <v>1934</v>
      </c>
      <c r="D574" s="132" t="s">
        <v>1070</v>
      </c>
      <c r="E574" s="147" t="s">
        <v>1522</v>
      </c>
      <c r="F574" s="135">
        <v>45754</v>
      </c>
      <c r="G574" s="45"/>
      <c r="H574" s="136"/>
      <c r="I574" s="136">
        <v>672336</v>
      </c>
      <c r="J574" s="137" t="s">
        <v>1025</v>
      </c>
      <c r="K574" s="150"/>
      <c r="L574" s="148">
        <f t="shared" si="84"/>
        <v>672336</v>
      </c>
      <c r="M574" s="122">
        <f t="shared" si="74"/>
        <v>0</v>
      </c>
      <c r="N574" s="137"/>
      <c r="O574" s="149" t="b">
        <f t="shared" si="75"/>
        <v>1</v>
      </c>
      <c r="P574" s="149">
        <f t="shared" si="76"/>
        <v>0</v>
      </c>
      <c r="Q574" s="149" t="b">
        <f t="shared" si="77"/>
        <v>0</v>
      </c>
      <c r="R574" s="149">
        <f t="shared" si="78"/>
        <v>0</v>
      </c>
      <c r="S574" s="144"/>
      <c r="T574" s="143">
        <v>45754</v>
      </c>
      <c r="U574" s="144" t="s">
        <v>1522</v>
      </c>
      <c r="V574" s="144"/>
      <c r="W574" s="144" t="s">
        <v>1071</v>
      </c>
      <c r="X574" s="144" t="s">
        <v>1801</v>
      </c>
      <c r="Y574" s="144" t="s">
        <v>1802</v>
      </c>
      <c r="Z574" s="145">
        <v>7395696</v>
      </c>
      <c r="AA574" s="145">
        <v>6723360</v>
      </c>
      <c r="AB574" s="144">
        <v>0</v>
      </c>
      <c r="AC574" s="144" t="s">
        <v>1022</v>
      </c>
      <c r="AD574" s="145">
        <v>672336</v>
      </c>
      <c r="AE574" s="144">
        <v>0</v>
      </c>
      <c r="AF574" s="146">
        <v>0</v>
      </c>
      <c r="AG574" s="70">
        <v>0</v>
      </c>
      <c r="AH574" s="70">
        <v>0</v>
      </c>
      <c r="AI574" s="70">
        <v>0</v>
      </c>
      <c r="AJ574" s="70">
        <v>0</v>
      </c>
      <c r="AK574" s="70">
        <v>0</v>
      </c>
      <c r="AL574" s="70">
        <v>0.01</v>
      </c>
      <c r="AN574" s="70" t="s">
        <v>1897</v>
      </c>
    </row>
    <row r="575" spans="1:41">
      <c r="A575" s="132">
        <f t="shared" si="73"/>
        <v>567</v>
      </c>
      <c r="B575" s="133" t="s">
        <v>1796</v>
      </c>
      <c r="C575" s="133" t="s">
        <v>1935</v>
      </c>
      <c r="D575" s="132" t="s">
        <v>1068</v>
      </c>
      <c r="E575" s="147" t="s">
        <v>1523</v>
      </c>
      <c r="F575" s="135">
        <v>45755</v>
      </c>
      <c r="G575" s="45"/>
      <c r="H575" s="136"/>
      <c r="I575" s="136">
        <v>170085</v>
      </c>
      <c r="J575" s="137" t="s">
        <v>1025</v>
      </c>
      <c r="K575" s="150"/>
      <c r="L575" s="148">
        <f t="shared" si="84"/>
        <v>170085</v>
      </c>
      <c r="M575" s="122">
        <f t="shared" si="74"/>
        <v>0</v>
      </c>
      <c r="N575" s="137"/>
      <c r="O575" s="149" t="b">
        <f t="shared" si="75"/>
        <v>1</v>
      </c>
      <c r="P575" s="149">
        <f t="shared" si="76"/>
        <v>0</v>
      </c>
      <c r="Q575" s="149" t="b">
        <f t="shared" si="77"/>
        <v>0</v>
      </c>
      <c r="R575" s="149">
        <f t="shared" si="78"/>
        <v>0</v>
      </c>
      <c r="S575" s="144"/>
      <c r="T575" s="143">
        <v>45755</v>
      </c>
      <c r="U575" s="144" t="s">
        <v>1523</v>
      </c>
      <c r="V575" s="144">
        <v>0</v>
      </c>
      <c r="W575" s="144" t="s">
        <v>1071</v>
      </c>
      <c r="X575" s="144" t="s">
        <v>1801</v>
      </c>
      <c r="Y575" s="144" t="s">
        <v>1802</v>
      </c>
      <c r="Z575" s="145">
        <v>1870935</v>
      </c>
      <c r="AA575" s="145">
        <v>1700850</v>
      </c>
      <c r="AB575" s="144">
        <v>0</v>
      </c>
      <c r="AC575" s="144" t="s">
        <v>1022</v>
      </c>
      <c r="AD575" s="145">
        <v>170085</v>
      </c>
      <c r="AE575" s="144">
        <v>0</v>
      </c>
      <c r="AF575" s="146">
        <v>0</v>
      </c>
      <c r="AG575" s="70">
        <v>0</v>
      </c>
      <c r="AH575" s="70">
        <v>0</v>
      </c>
      <c r="AI575" s="70">
        <v>0</v>
      </c>
      <c r="AJ575" s="70">
        <v>0</v>
      </c>
      <c r="AK575" s="70">
        <v>0</v>
      </c>
      <c r="AL575" s="70">
        <v>0.01</v>
      </c>
      <c r="AM575" s="70">
        <v>0</v>
      </c>
      <c r="AN575" s="70" t="s">
        <v>1898</v>
      </c>
      <c r="AO575" s="70" t="s">
        <v>1804</v>
      </c>
    </row>
    <row r="576" spans="1:41">
      <c r="A576" s="132">
        <f t="shared" si="73"/>
        <v>568</v>
      </c>
      <c r="B576" s="133" t="s">
        <v>1769</v>
      </c>
      <c r="C576" s="133" t="s">
        <v>1933</v>
      </c>
      <c r="D576" s="132" t="s">
        <v>1720</v>
      </c>
      <c r="E576" s="147" t="s">
        <v>1524</v>
      </c>
      <c r="F576" s="135">
        <v>45805</v>
      </c>
      <c r="G576" s="45"/>
      <c r="H576" s="136"/>
      <c r="I576" s="136">
        <v>156195</v>
      </c>
      <c r="J576" s="137" t="s">
        <v>1025</v>
      </c>
      <c r="K576" s="150"/>
      <c r="L576" s="148">
        <f t="shared" si="84"/>
        <v>156195</v>
      </c>
      <c r="M576" s="122">
        <f t="shared" si="74"/>
        <v>0</v>
      </c>
      <c r="N576" s="137"/>
      <c r="O576" s="149" t="b">
        <f t="shared" si="75"/>
        <v>1</v>
      </c>
      <c r="P576" s="149">
        <f t="shared" si="76"/>
        <v>0</v>
      </c>
      <c r="Q576" s="149" t="b">
        <f t="shared" si="77"/>
        <v>1</v>
      </c>
      <c r="R576" s="149">
        <f t="shared" si="78"/>
        <v>0</v>
      </c>
      <c r="S576" s="144"/>
      <c r="T576" s="143">
        <v>45805</v>
      </c>
      <c r="U576" s="144" t="s">
        <v>1524</v>
      </c>
      <c r="V576" s="144"/>
      <c r="W576" s="144"/>
      <c r="X576" s="144"/>
      <c r="Y576" s="144" t="s">
        <v>1802</v>
      </c>
      <c r="Z576" s="145"/>
      <c r="AA576" s="145"/>
      <c r="AB576" s="144"/>
      <c r="AC576" s="144"/>
      <c r="AD576" s="145">
        <v>156195</v>
      </c>
      <c r="AE576" s="144"/>
      <c r="AF576" s="146"/>
    </row>
    <row r="577" spans="1:40">
      <c r="A577" s="132">
        <f t="shared" si="73"/>
        <v>569</v>
      </c>
      <c r="B577" s="133" t="s">
        <v>1769</v>
      </c>
      <c r="C577" s="133" t="s">
        <v>1933</v>
      </c>
      <c r="D577" s="132" t="s">
        <v>1720</v>
      </c>
      <c r="E577" s="147" t="s">
        <v>1525</v>
      </c>
      <c r="F577" s="135">
        <v>45805</v>
      </c>
      <c r="G577" s="45"/>
      <c r="H577" s="136"/>
      <c r="I577" s="136">
        <v>1584378</v>
      </c>
      <c r="J577" s="137" t="s">
        <v>1025</v>
      </c>
      <c r="K577" s="150"/>
      <c r="L577" s="148">
        <f t="shared" si="84"/>
        <v>1584378</v>
      </c>
      <c r="M577" s="122">
        <f t="shared" si="74"/>
        <v>0</v>
      </c>
      <c r="N577" s="137"/>
      <c r="O577" s="149" t="b">
        <f t="shared" si="75"/>
        <v>1</v>
      </c>
      <c r="P577" s="149">
        <f t="shared" si="76"/>
        <v>0</v>
      </c>
      <c r="Q577" s="149" t="b">
        <f t="shared" si="77"/>
        <v>1</v>
      </c>
      <c r="R577" s="149">
        <f t="shared" si="78"/>
        <v>0</v>
      </c>
      <c r="S577" s="144"/>
      <c r="T577" s="143">
        <v>45805</v>
      </c>
      <c r="U577" s="144" t="s">
        <v>1525</v>
      </c>
      <c r="V577" s="144"/>
      <c r="W577" s="144"/>
      <c r="X577" s="144"/>
      <c r="Y577" s="144" t="s">
        <v>1802</v>
      </c>
      <c r="Z577" s="145"/>
      <c r="AA577" s="145"/>
      <c r="AB577" s="144"/>
      <c r="AC577" s="144"/>
      <c r="AD577" s="145">
        <v>1584378</v>
      </c>
      <c r="AE577" s="144"/>
      <c r="AF577" s="146"/>
    </row>
    <row r="578" spans="1:40">
      <c r="A578" s="132">
        <f t="shared" si="73"/>
        <v>570</v>
      </c>
      <c r="B578" s="133" t="s">
        <v>1768</v>
      </c>
      <c r="C578" s="133" t="s">
        <v>1929</v>
      </c>
      <c r="D578" s="132" t="s">
        <v>1069</v>
      </c>
      <c r="E578" s="147" t="s">
        <v>1526</v>
      </c>
      <c r="F578" s="135">
        <v>45797</v>
      </c>
      <c r="G578" s="45"/>
      <c r="H578" s="136"/>
      <c r="I578" s="136">
        <v>28021</v>
      </c>
      <c r="J578" s="137" t="s">
        <v>1025</v>
      </c>
      <c r="K578" s="150">
        <f>L578</f>
        <v>28014</v>
      </c>
      <c r="L578" s="148">
        <f>AD578</f>
        <v>28014</v>
      </c>
      <c r="M578" s="122">
        <f t="shared" si="74"/>
        <v>7</v>
      </c>
      <c r="N578" s="137"/>
      <c r="O578" s="149" t="b">
        <f t="shared" si="75"/>
        <v>1</v>
      </c>
      <c r="P578" s="149">
        <f t="shared" si="76"/>
        <v>0</v>
      </c>
      <c r="Q578" s="149" t="b">
        <f t="shared" si="77"/>
        <v>0</v>
      </c>
      <c r="R578" s="149">
        <f t="shared" si="78"/>
        <v>7</v>
      </c>
      <c r="S578" s="144"/>
      <c r="T578" s="143">
        <v>45797</v>
      </c>
      <c r="U578" s="144" t="s">
        <v>1526</v>
      </c>
      <c r="V578" s="144">
        <v>0</v>
      </c>
      <c r="W578" s="144" t="s">
        <v>1071</v>
      </c>
      <c r="X578" s="144" t="s">
        <v>1801</v>
      </c>
      <c r="Y578" s="144" t="s">
        <v>1802</v>
      </c>
      <c r="Z578" s="145">
        <v>308154</v>
      </c>
      <c r="AA578" s="145">
        <v>280140</v>
      </c>
      <c r="AB578" s="144">
        <v>0</v>
      </c>
      <c r="AC578" s="144" t="s">
        <v>1022</v>
      </c>
      <c r="AD578" s="145">
        <v>28014</v>
      </c>
      <c r="AE578" s="144">
        <v>0</v>
      </c>
      <c r="AF578" s="146">
        <v>0</v>
      </c>
      <c r="AG578" s="70">
        <v>0</v>
      </c>
      <c r="AH578" s="70">
        <v>0</v>
      </c>
      <c r="AI578" s="70">
        <v>0</v>
      </c>
      <c r="AJ578" s="70">
        <v>0</v>
      </c>
      <c r="AK578" s="70">
        <v>0</v>
      </c>
      <c r="AL578" s="70">
        <v>0.01</v>
      </c>
      <c r="AM578" s="70">
        <v>0</v>
      </c>
      <c r="AN578" s="70" t="s">
        <v>1877</v>
      </c>
    </row>
    <row r="579" spans="1:40">
      <c r="A579" s="132">
        <f t="shared" si="73"/>
        <v>571</v>
      </c>
      <c r="B579" s="133" t="s">
        <v>1769</v>
      </c>
      <c r="C579" s="133" t="s">
        <v>1904</v>
      </c>
      <c r="D579" s="132" t="s">
        <v>1698</v>
      </c>
      <c r="E579" s="147" t="s">
        <v>1527</v>
      </c>
      <c r="F579" s="135">
        <v>45793</v>
      </c>
      <c r="G579" s="45"/>
      <c r="H579" s="136"/>
      <c r="I579" s="136">
        <v>203302</v>
      </c>
      <c r="J579" s="137" t="s">
        <v>1025</v>
      </c>
      <c r="K579" s="150"/>
      <c r="L579" s="148">
        <f>I579</f>
        <v>203302</v>
      </c>
      <c r="M579" s="122">
        <f t="shared" si="74"/>
        <v>0</v>
      </c>
      <c r="N579" s="137"/>
      <c r="O579" s="149" t="b">
        <f t="shared" si="75"/>
        <v>1</v>
      </c>
      <c r="P579" s="149">
        <f t="shared" si="76"/>
        <v>0</v>
      </c>
      <c r="Q579" s="149" t="b">
        <f t="shared" si="77"/>
        <v>1</v>
      </c>
      <c r="R579" s="149">
        <f t="shared" si="78"/>
        <v>0</v>
      </c>
      <c r="S579" s="144"/>
      <c r="T579" s="143">
        <v>45793</v>
      </c>
      <c r="U579" s="144" t="s">
        <v>1527</v>
      </c>
      <c r="V579" s="144"/>
      <c r="W579" s="144"/>
      <c r="X579" s="144"/>
      <c r="Y579" s="144" t="s">
        <v>1802</v>
      </c>
      <c r="Z579" s="145"/>
      <c r="AA579" s="145"/>
      <c r="AB579" s="144"/>
      <c r="AC579" s="144"/>
      <c r="AD579" s="145">
        <v>203302</v>
      </c>
      <c r="AE579" s="144"/>
      <c r="AF579" s="146"/>
      <c r="AN579" s="70" t="s">
        <v>1807</v>
      </c>
    </row>
    <row r="580" spans="1:40">
      <c r="A580" s="132">
        <f t="shared" si="73"/>
        <v>572</v>
      </c>
      <c r="B580" s="133" t="s">
        <v>1768</v>
      </c>
      <c r="C580" s="133" t="s">
        <v>1929</v>
      </c>
      <c r="D580" s="132" t="s">
        <v>1069</v>
      </c>
      <c r="E580" s="147" t="s">
        <v>1528</v>
      </c>
      <c r="F580" s="135">
        <v>45796</v>
      </c>
      <c r="G580" s="45"/>
      <c r="H580" s="136"/>
      <c r="I580" s="136">
        <v>56028</v>
      </c>
      <c r="J580" s="137" t="s">
        <v>1025</v>
      </c>
      <c r="K580" s="150"/>
      <c r="L580" s="148">
        <f t="shared" ref="L580:L610" si="85">I580</f>
        <v>56028</v>
      </c>
      <c r="M580" s="122">
        <f t="shared" si="74"/>
        <v>0</v>
      </c>
      <c r="N580" s="137"/>
      <c r="O580" s="149" t="b">
        <f t="shared" si="75"/>
        <v>1</v>
      </c>
      <c r="P580" s="149">
        <f t="shared" si="76"/>
        <v>0</v>
      </c>
      <c r="Q580" s="149" t="b">
        <f t="shared" si="77"/>
        <v>0</v>
      </c>
      <c r="R580" s="149">
        <f t="shared" si="78"/>
        <v>0</v>
      </c>
      <c r="S580" s="144"/>
      <c r="T580" s="143">
        <v>45796</v>
      </c>
      <c r="U580" s="144" t="s">
        <v>1528</v>
      </c>
      <c r="V580" s="144">
        <v>0</v>
      </c>
      <c r="W580" s="144" t="s">
        <v>1071</v>
      </c>
      <c r="X580" s="144" t="s">
        <v>1801</v>
      </c>
      <c r="Y580" s="144" t="s">
        <v>1802</v>
      </c>
      <c r="Z580" s="145">
        <v>616308</v>
      </c>
      <c r="AA580" s="145">
        <v>560280</v>
      </c>
      <c r="AB580" s="144">
        <v>0</v>
      </c>
      <c r="AC580" s="144" t="s">
        <v>1022</v>
      </c>
      <c r="AD580" s="145">
        <v>56028</v>
      </c>
      <c r="AE580" s="144">
        <v>0</v>
      </c>
      <c r="AF580" s="146">
        <v>0</v>
      </c>
      <c r="AG580" s="70">
        <v>0</v>
      </c>
      <c r="AH580" s="70">
        <v>0</v>
      </c>
      <c r="AI580" s="70">
        <v>0</v>
      </c>
      <c r="AJ580" s="70">
        <v>0</v>
      </c>
      <c r="AK580" s="70">
        <v>0</v>
      </c>
      <c r="AL580" s="70">
        <v>0.01</v>
      </c>
      <c r="AM580" s="70">
        <v>0</v>
      </c>
      <c r="AN580" s="70" t="s">
        <v>1877</v>
      </c>
    </row>
    <row r="581" spans="1:40">
      <c r="A581" s="132">
        <f t="shared" si="73"/>
        <v>573</v>
      </c>
      <c r="B581" s="133" t="s">
        <v>1768</v>
      </c>
      <c r="C581" s="133" t="s">
        <v>1929</v>
      </c>
      <c r="D581" s="132" t="s">
        <v>1069</v>
      </c>
      <c r="E581" s="147" t="s">
        <v>1529</v>
      </c>
      <c r="F581" s="135">
        <v>45803</v>
      </c>
      <c r="G581" s="45"/>
      <c r="H581" s="136"/>
      <c r="I581" s="136">
        <v>112056</v>
      </c>
      <c r="J581" s="137" t="s">
        <v>1025</v>
      </c>
      <c r="K581" s="150"/>
      <c r="L581" s="148">
        <f t="shared" si="85"/>
        <v>112056</v>
      </c>
      <c r="M581" s="122">
        <f t="shared" si="74"/>
        <v>0</v>
      </c>
      <c r="N581" s="137"/>
      <c r="O581" s="149" t="b">
        <f t="shared" si="75"/>
        <v>1</v>
      </c>
      <c r="P581" s="149">
        <f t="shared" si="76"/>
        <v>0</v>
      </c>
      <c r="Q581" s="149" t="b">
        <f t="shared" si="77"/>
        <v>0</v>
      </c>
      <c r="R581" s="149">
        <f t="shared" si="78"/>
        <v>0</v>
      </c>
      <c r="S581" s="144"/>
      <c r="T581" s="143">
        <v>45803</v>
      </c>
      <c r="U581" s="144" t="s">
        <v>1529</v>
      </c>
      <c r="V581" s="144">
        <v>0</v>
      </c>
      <c r="W581" s="144" t="s">
        <v>1071</v>
      </c>
      <c r="X581" s="144" t="s">
        <v>1801</v>
      </c>
      <c r="Y581" s="144" t="s">
        <v>1802</v>
      </c>
      <c r="Z581" s="145">
        <v>1232616</v>
      </c>
      <c r="AA581" s="145">
        <v>1120560</v>
      </c>
      <c r="AB581" s="144">
        <v>0</v>
      </c>
      <c r="AC581" s="144" t="s">
        <v>1022</v>
      </c>
      <c r="AD581" s="145">
        <v>112056</v>
      </c>
      <c r="AE581" s="144">
        <v>0</v>
      </c>
      <c r="AF581" s="146">
        <v>0</v>
      </c>
      <c r="AG581" s="70">
        <v>0</v>
      </c>
      <c r="AH581" s="70">
        <v>0</v>
      </c>
      <c r="AI581" s="70">
        <v>0</v>
      </c>
      <c r="AJ581" s="70">
        <v>0</v>
      </c>
      <c r="AK581" s="70">
        <v>0</v>
      </c>
      <c r="AL581" s="70">
        <v>0.01</v>
      </c>
      <c r="AM581" s="70">
        <v>0</v>
      </c>
      <c r="AN581" s="70" t="s">
        <v>1877</v>
      </c>
    </row>
    <row r="582" spans="1:40">
      <c r="A582" s="132">
        <f t="shared" si="73"/>
        <v>574</v>
      </c>
      <c r="B582" s="133" t="s">
        <v>1769</v>
      </c>
      <c r="C582" s="133" t="s">
        <v>1904</v>
      </c>
      <c r="D582" s="132" t="s">
        <v>1698</v>
      </c>
      <c r="E582" s="147" t="s">
        <v>1530</v>
      </c>
      <c r="F582" s="135">
        <v>45806</v>
      </c>
      <c r="G582" s="45"/>
      <c r="H582" s="136"/>
      <c r="I582" s="136">
        <v>203403</v>
      </c>
      <c r="J582" s="137" t="s">
        <v>1025</v>
      </c>
      <c r="K582" s="150"/>
      <c r="L582" s="148">
        <f t="shared" si="85"/>
        <v>203403</v>
      </c>
      <c r="M582" s="122">
        <f t="shared" si="74"/>
        <v>0</v>
      </c>
      <c r="N582" s="137"/>
      <c r="O582" s="149" t="b">
        <f t="shared" si="75"/>
        <v>1</v>
      </c>
      <c r="P582" s="149">
        <f t="shared" si="76"/>
        <v>0</v>
      </c>
      <c r="Q582" s="149" t="b">
        <f t="shared" si="77"/>
        <v>1</v>
      </c>
      <c r="R582" s="149">
        <f t="shared" si="78"/>
        <v>0</v>
      </c>
      <c r="S582" s="144"/>
      <c r="T582" s="143">
        <v>45806</v>
      </c>
      <c r="U582" s="144" t="s">
        <v>1530</v>
      </c>
      <c r="V582" s="144"/>
      <c r="W582" s="144"/>
      <c r="X582" s="144"/>
      <c r="Y582" s="144" t="s">
        <v>1802</v>
      </c>
      <c r="Z582" s="145"/>
      <c r="AA582" s="145"/>
      <c r="AB582" s="144"/>
      <c r="AC582" s="144"/>
      <c r="AD582" s="145">
        <v>203403</v>
      </c>
      <c r="AE582" s="144"/>
      <c r="AF582" s="146"/>
      <c r="AN582" s="70" t="s">
        <v>1807</v>
      </c>
    </row>
    <row r="583" spans="1:40">
      <c r="A583" s="132">
        <f t="shared" si="73"/>
        <v>575</v>
      </c>
      <c r="B583" s="133" t="s">
        <v>1769</v>
      </c>
      <c r="C583" s="133" t="s">
        <v>1904</v>
      </c>
      <c r="D583" s="132" t="s">
        <v>1698</v>
      </c>
      <c r="E583" s="147" t="s">
        <v>1531</v>
      </c>
      <c r="F583" s="135">
        <v>45807</v>
      </c>
      <c r="G583" s="45"/>
      <c r="H583" s="136"/>
      <c r="I583" s="136">
        <v>191039</v>
      </c>
      <c r="J583" s="137" t="s">
        <v>1025</v>
      </c>
      <c r="K583" s="150"/>
      <c r="L583" s="148">
        <f t="shared" si="85"/>
        <v>191039</v>
      </c>
      <c r="M583" s="122">
        <f t="shared" si="74"/>
        <v>0</v>
      </c>
      <c r="N583" s="137"/>
      <c r="O583" s="149" t="b">
        <f t="shared" si="75"/>
        <v>1</v>
      </c>
      <c r="P583" s="149">
        <f t="shared" si="76"/>
        <v>0</v>
      </c>
      <c r="Q583" s="149" t="b">
        <f t="shared" si="77"/>
        <v>1</v>
      </c>
      <c r="R583" s="149">
        <f t="shared" si="78"/>
        <v>0</v>
      </c>
      <c r="S583" s="144"/>
      <c r="T583" s="143">
        <v>45807</v>
      </c>
      <c r="U583" s="144" t="s">
        <v>1531</v>
      </c>
      <c r="V583" s="144"/>
      <c r="W583" s="144"/>
      <c r="X583" s="144"/>
      <c r="Y583" s="144" t="s">
        <v>1802</v>
      </c>
      <c r="Z583" s="145"/>
      <c r="AA583" s="145"/>
      <c r="AB583" s="144"/>
      <c r="AC583" s="144"/>
      <c r="AD583" s="145">
        <v>191039</v>
      </c>
      <c r="AE583" s="144"/>
      <c r="AF583" s="146"/>
      <c r="AN583" s="70" t="s">
        <v>1807</v>
      </c>
    </row>
    <row r="584" spans="1:40">
      <c r="A584" s="132">
        <f t="shared" si="73"/>
        <v>576</v>
      </c>
      <c r="B584" s="133" t="s">
        <v>1769</v>
      </c>
      <c r="C584" s="133" t="s">
        <v>1904</v>
      </c>
      <c r="D584" s="132" t="s">
        <v>1698</v>
      </c>
      <c r="E584" s="147" t="s">
        <v>1532</v>
      </c>
      <c r="F584" s="135">
        <v>45807</v>
      </c>
      <c r="G584" s="45"/>
      <c r="H584" s="136"/>
      <c r="I584" s="136">
        <v>191039</v>
      </c>
      <c r="J584" s="137" t="s">
        <v>1025</v>
      </c>
      <c r="K584" s="150"/>
      <c r="L584" s="148">
        <f t="shared" si="85"/>
        <v>191039</v>
      </c>
      <c r="M584" s="122">
        <f t="shared" si="74"/>
        <v>0</v>
      </c>
      <c r="N584" s="137"/>
      <c r="O584" s="149" t="b">
        <f t="shared" si="75"/>
        <v>1</v>
      </c>
      <c r="P584" s="149">
        <f t="shared" si="76"/>
        <v>0</v>
      </c>
      <c r="Q584" s="149" t="b">
        <f t="shared" si="77"/>
        <v>1</v>
      </c>
      <c r="R584" s="149">
        <f t="shared" si="78"/>
        <v>0</v>
      </c>
      <c r="S584" s="144"/>
      <c r="T584" s="143">
        <v>45807</v>
      </c>
      <c r="U584" s="144" t="s">
        <v>1532</v>
      </c>
      <c r="V584" s="144"/>
      <c r="W584" s="144"/>
      <c r="X584" s="144"/>
      <c r="Y584" s="144" t="s">
        <v>1802</v>
      </c>
      <c r="Z584" s="145"/>
      <c r="AA584" s="145"/>
      <c r="AB584" s="144"/>
      <c r="AC584" s="144"/>
      <c r="AD584" s="145">
        <v>191039</v>
      </c>
      <c r="AE584" s="144"/>
      <c r="AF584" s="146"/>
      <c r="AN584" s="70" t="s">
        <v>1807</v>
      </c>
    </row>
    <row r="585" spans="1:40">
      <c r="A585" s="132">
        <f t="shared" si="73"/>
        <v>577</v>
      </c>
      <c r="B585" s="133" t="s">
        <v>1769</v>
      </c>
      <c r="C585" s="133" t="s">
        <v>1904</v>
      </c>
      <c r="D585" s="132" t="s">
        <v>1698</v>
      </c>
      <c r="E585" s="147" t="s">
        <v>1533</v>
      </c>
      <c r="F585" s="135">
        <v>45806</v>
      </c>
      <c r="G585" s="45"/>
      <c r="H585" s="136"/>
      <c r="I585" s="136">
        <v>1220419</v>
      </c>
      <c r="J585" s="137" t="s">
        <v>1025</v>
      </c>
      <c r="K585" s="150"/>
      <c r="L585" s="148">
        <f t="shared" si="85"/>
        <v>1220419</v>
      </c>
      <c r="M585" s="122">
        <f t="shared" si="74"/>
        <v>0</v>
      </c>
      <c r="N585" s="137"/>
      <c r="O585" s="149" t="b">
        <f t="shared" si="75"/>
        <v>1</v>
      </c>
      <c r="P585" s="149">
        <f t="shared" si="76"/>
        <v>0</v>
      </c>
      <c r="Q585" s="149" t="b">
        <f t="shared" si="77"/>
        <v>1</v>
      </c>
      <c r="R585" s="149">
        <f t="shared" si="78"/>
        <v>0</v>
      </c>
      <c r="S585" s="144"/>
      <c r="T585" s="143">
        <v>45806</v>
      </c>
      <c r="U585" s="144" t="s">
        <v>1533</v>
      </c>
      <c r="V585" s="144"/>
      <c r="W585" s="144"/>
      <c r="X585" s="144"/>
      <c r="Y585" s="144" t="s">
        <v>1802</v>
      </c>
      <c r="Z585" s="145"/>
      <c r="AA585" s="145"/>
      <c r="AB585" s="144"/>
      <c r="AC585" s="144"/>
      <c r="AD585" s="145">
        <v>1220419</v>
      </c>
      <c r="AE585" s="144"/>
      <c r="AF585" s="146"/>
      <c r="AN585" s="70" t="s">
        <v>1807</v>
      </c>
    </row>
    <row r="586" spans="1:40">
      <c r="A586" s="132">
        <f t="shared" si="73"/>
        <v>578</v>
      </c>
      <c r="B586" s="133" t="s">
        <v>1768</v>
      </c>
      <c r="C586" s="133" t="s">
        <v>1905</v>
      </c>
      <c r="D586" s="132" t="s">
        <v>1024</v>
      </c>
      <c r="E586" s="147">
        <v>202500122913</v>
      </c>
      <c r="F586" s="135">
        <v>45804</v>
      </c>
      <c r="G586" s="45"/>
      <c r="H586" s="136"/>
      <c r="I586" s="136">
        <v>20415</v>
      </c>
      <c r="J586" s="137" t="s">
        <v>1025</v>
      </c>
      <c r="K586" s="150"/>
      <c r="L586" s="148">
        <f t="shared" si="85"/>
        <v>20415</v>
      </c>
      <c r="M586" s="122">
        <f t="shared" si="74"/>
        <v>0</v>
      </c>
      <c r="N586" s="137"/>
      <c r="O586" s="149" t="b">
        <f t="shared" si="75"/>
        <v>1</v>
      </c>
      <c r="P586" s="149">
        <f t="shared" si="76"/>
        <v>0</v>
      </c>
      <c r="Q586" s="149" t="b">
        <f t="shared" si="77"/>
        <v>0</v>
      </c>
      <c r="R586" s="149">
        <f t="shared" si="78"/>
        <v>0</v>
      </c>
      <c r="S586" s="144"/>
      <c r="T586" s="143">
        <v>45804</v>
      </c>
      <c r="U586" s="144">
        <v>202500122913</v>
      </c>
      <c r="V586" s="144"/>
      <c r="W586" s="144" t="s">
        <v>1071</v>
      </c>
      <c r="X586" s="144" t="s">
        <v>1801</v>
      </c>
      <c r="Y586" s="144" t="s">
        <v>1802</v>
      </c>
      <c r="Z586" s="145">
        <v>224568</v>
      </c>
      <c r="AA586" s="145">
        <v>204153</v>
      </c>
      <c r="AB586" s="144">
        <v>0</v>
      </c>
      <c r="AC586" s="144" t="s">
        <v>1022</v>
      </c>
      <c r="AD586" s="145">
        <v>20415</v>
      </c>
      <c r="AE586" s="144"/>
      <c r="AF586" s="146"/>
    </row>
    <row r="587" spans="1:40">
      <c r="A587" s="132">
        <f t="shared" ref="A587:A650" si="86">A586+1</f>
        <v>579</v>
      </c>
      <c r="B587" s="133" t="s">
        <v>1768</v>
      </c>
      <c r="C587" s="133" t="s">
        <v>1905</v>
      </c>
      <c r="D587" s="132" t="s">
        <v>1024</v>
      </c>
      <c r="E587" s="147">
        <v>202500122914</v>
      </c>
      <c r="F587" s="135">
        <v>45804</v>
      </c>
      <c r="G587" s="45"/>
      <c r="H587" s="136"/>
      <c r="I587" s="136">
        <v>20415</v>
      </c>
      <c r="J587" s="137" t="s">
        <v>1025</v>
      </c>
      <c r="K587" s="150"/>
      <c r="L587" s="148">
        <f t="shared" si="85"/>
        <v>20415</v>
      </c>
      <c r="M587" s="122">
        <f t="shared" si="74"/>
        <v>0</v>
      </c>
      <c r="N587" s="137"/>
      <c r="O587" s="149" t="b">
        <f t="shared" si="75"/>
        <v>1</v>
      </c>
      <c r="P587" s="149">
        <f t="shared" si="76"/>
        <v>0</v>
      </c>
      <c r="Q587" s="149" t="b">
        <f t="shared" si="77"/>
        <v>0</v>
      </c>
      <c r="R587" s="149">
        <f t="shared" si="78"/>
        <v>0</v>
      </c>
      <c r="S587" s="144"/>
      <c r="T587" s="143">
        <v>45804</v>
      </c>
      <c r="U587" s="144">
        <v>202500122914</v>
      </c>
      <c r="V587" s="144"/>
      <c r="W587" s="144" t="s">
        <v>1071</v>
      </c>
      <c r="X587" s="144" t="s">
        <v>1801</v>
      </c>
      <c r="Y587" s="144" t="s">
        <v>1802</v>
      </c>
      <c r="Z587" s="145">
        <v>224568</v>
      </c>
      <c r="AA587" s="145">
        <v>204153</v>
      </c>
      <c r="AB587" s="144">
        <v>0</v>
      </c>
      <c r="AC587" s="144" t="s">
        <v>1022</v>
      </c>
      <c r="AD587" s="145">
        <v>20415</v>
      </c>
      <c r="AE587" s="144"/>
      <c r="AF587" s="146"/>
    </row>
    <row r="588" spans="1:40">
      <c r="A588" s="132">
        <f t="shared" si="86"/>
        <v>580</v>
      </c>
      <c r="B588" s="133" t="s">
        <v>1768</v>
      </c>
      <c r="C588" s="133" t="s">
        <v>1905</v>
      </c>
      <c r="D588" s="132" t="s">
        <v>1024</v>
      </c>
      <c r="E588" s="147">
        <v>202500122917</v>
      </c>
      <c r="F588" s="135">
        <v>45804</v>
      </c>
      <c r="G588" s="45"/>
      <c r="H588" s="136"/>
      <c r="I588" s="136">
        <v>20415</v>
      </c>
      <c r="J588" s="137" t="s">
        <v>1025</v>
      </c>
      <c r="K588" s="150"/>
      <c r="L588" s="148">
        <f t="shared" si="85"/>
        <v>20415</v>
      </c>
      <c r="M588" s="122">
        <f t="shared" si="74"/>
        <v>0</v>
      </c>
      <c r="N588" s="137"/>
      <c r="O588" s="149" t="b">
        <f t="shared" si="75"/>
        <v>1</v>
      </c>
      <c r="P588" s="149">
        <f t="shared" si="76"/>
        <v>0</v>
      </c>
      <c r="Q588" s="149" t="b">
        <f t="shared" si="77"/>
        <v>0</v>
      </c>
      <c r="R588" s="149">
        <f t="shared" si="78"/>
        <v>0</v>
      </c>
      <c r="S588" s="144"/>
      <c r="T588" s="143">
        <v>45804</v>
      </c>
      <c r="U588" s="144">
        <v>202500122917</v>
      </c>
      <c r="V588" s="144"/>
      <c r="W588" s="144" t="s">
        <v>1071</v>
      </c>
      <c r="X588" s="144" t="s">
        <v>1801</v>
      </c>
      <c r="Y588" s="144" t="s">
        <v>1802</v>
      </c>
      <c r="Z588" s="145">
        <v>224568</v>
      </c>
      <c r="AA588" s="145">
        <v>204153</v>
      </c>
      <c r="AB588" s="144">
        <v>0</v>
      </c>
      <c r="AC588" s="144" t="s">
        <v>1022</v>
      </c>
      <c r="AD588" s="145">
        <v>20415</v>
      </c>
      <c r="AE588" s="144"/>
      <c r="AF588" s="146"/>
    </row>
    <row r="589" spans="1:40">
      <c r="A589" s="132">
        <f t="shared" si="86"/>
        <v>581</v>
      </c>
      <c r="B589" s="133" t="s">
        <v>1768</v>
      </c>
      <c r="C589" s="133" t="s">
        <v>1905</v>
      </c>
      <c r="D589" s="132" t="s">
        <v>1024</v>
      </c>
      <c r="E589" s="147">
        <v>202500122920</v>
      </c>
      <c r="F589" s="135">
        <v>45804</v>
      </c>
      <c r="G589" s="45"/>
      <c r="H589" s="136"/>
      <c r="I589" s="136">
        <v>20415</v>
      </c>
      <c r="J589" s="137" t="s">
        <v>1025</v>
      </c>
      <c r="K589" s="150"/>
      <c r="L589" s="148">
        <f t="shared" si="85"/>
        <v>20415</v>
      </c>
      <c r="M589" s="122">
        <f t="shared" si="74"/>
        <v>0</v>
      </c>
      <c r="N589" s="137"/>
      <c r="O589" s="149" t="b">
        <f t="shared" si="75"/>
        <v>1</v>
      </c>
      <c r="P589" s="149">
        <f t="shared" si="76"/>
        <v>0</v>
      </c>
      <c r="Q589" s="149" t="b">
        <f t="shared" si="77"/>
        <v>0</v>
      </c>
      <c r="R589" s="149">
        <f t="shared" si="78"/>
        <v>0</v>
      </c>
      <c r="S589" s="144"/>
      <c r="T589" s="143">
        <v>45804</v>
      </c>
      <c r="U589" s="144">
        <v>202500122920</v>
      </c>
      <c r="V589" s="144"/>
      <c r="W589" s="144" t="s">
        <v>1071</v>
      </c>
      <c r="X589" s="144" t="s">
        <v>1801</v>
      </c>
      <c r="Y589" s="144" t="s">
        <v>1802</v>
      </c>
      <c r="Z589" s="145">
        <v>224568</v>
      </c>
      <c r="AA589" s="145">
        <v>204153</v>
      </c>
      <c r="AB589" s="144">
        <v>0</v>
      </c>
      <c r="AC589" s="144" t="s">
        <v>1022</v>
      </c>
      <c r="AD589" s="145">
        <v>20415</v>
      </c>
      <c r="AE589" s="144"/>
      <c r="AF589" s="146"/>
    </row>
    <row r="590" spans="1:40">
      <c r="A590" s="132">
        <f t="shared" si="86"/>
        <v>582</v>
      </c>
      <c r="B590" s="133" t="s">
        <v>1768</v>
      </c>
      <c r="C590" s="133" t="s">
        <v>1905</v>
      </c>
      <c r="D590" s="132" t="s">
        <v>1024</v>
      </c>
      <c r="E590" s="147">
        <v>202500122924</v>
      </c>
      <c r="F590" s="135">
        <v>45804</v>
      </c>
      <c r="G590" s="45"/>
      <c r="H590" s="136"/>
      <c r="I590" s="136">
        <v>20415</v>
      </c>
      <c r="J590" s="137" t="s">
        <v>1025</v>
      </c>
      <c r="K590" s="150"/>
      <c r="L590" s="148">
        <f t="shared" si="85"/>
        <v>20415</v>
      </c>
      <c r="M590" s="122">
        <f t="shared" si="74"/>
        <v>0</v>
      </c>
      <c r="N590" s="137"/>
      <c r="O590" s="149" t="b">
        <f t="shared" si="75"/>
        <v>1</v>
      </c>
      <c r="P590" s="149">
        <f t="shared" si="76"/>
        <v>0</v>
      </c>
      <c r="Q590" s="149" t="b">
        <f t="shared" si="77"/>
        <v>0</v>
      </c>
      <c r="R590" s="149">
        <f t="shared" si="78"/>
        <v>0</v>
      </c>
      <c r="S590" s="144"/>
      <c r="T590" s="143">
        <v>45804</v>
      </c>
      <c r="U590" s="144">
        <v>202500122924</v>
      </c>
      <c r="V590" s="144"/>
      <c r="W590" s="144" t="s">
        <v>1071</v>
      </c>
      <c r="X590" s="144" t="s">
        <v>1801</v>
      </c>
      <c r="Y590" s="144" t="s">
        <v>1802</v>
      </c>
      <c r="Z590" s="145">
        <v>224568</v>
      </c>
      <c r="AA590" s="145">
        <v>204153</v>
      </c>
      <c r="AB590" s="144">
        <v>0</v>
      </c>
      <c r="AC590" s="144" t="s">
        <v>1022</v>
      </c>
      <c r="AD590" s="145">
        <v>20415</v>
      </c>
      <c r="AE590" s="144"/>
      <c r="AF590" s="146"/>
    </row>
    <row r="591" spans="1:40">
      <c r="A591" s="132">
        <f t="shared" si="86"/>
        <v>583</v>
      </c>
      <c r="B591" s="133" t="s">
        <v>1768</v>
      </c>
      <c r="C591" s="133" t="s">
        <v>1905</v>
      </c>
      <c r="D591" s="132" t="s">
        <v>1024</v>
      </c>
      <c r="E591" s="147">
        <v>202500122925</v>
      </c>
      <c r="F591" s="135">
        <v>45804</v>
      </c>
      <c r="G591" s="45"/>
      <c r="H591" s="136"/>
      <c r="I591" s="136">
        <v>6805</v>
      </c>
      <c r="J591" s="137" t="s">
        <v>1025</v>
      </c>
      <c r="K591" s="150"/>
      <c r="L591" s="148">
        <f t="shared" si="85"/>
        <v>6805</v>
      </c>
      <c r="M591" s="122">
        <f t="shared" si="74"/>
        <v>0</v>
      </c>
      <c r="N591" s="137"/>
      <c r="O591" s="149" t="b">
        <f t="shared" si="75"/>
        <v>1</v>
      </c>
      <c r="P591" s="149">
        <f t="shared" si="76"/>
        <v>0</v>
      </c>
      <c r="Q591" s="149" t="b">
        <f t="shared" si="77"/>
        <v>0</v>
      </c>
      <c r="R591" s="149">
        <f t="shared" si="78"/>
        <v>0</v>
      </c>
      <c r="S591" s="144"/>
      <c r="T591" s="143">
        <v>45804</v>
      </c>
      <c r="U591" s="144">
        <v>202500122925</v>
      </c>
      <c r="V591" s="144"/>
      <c r="W591" s="144" t="s">
        <v>1071</v>
      </c>
      <c r="X591" s="144" t="s">
        <v>1801</v>
      </c>
      <c r="Y591" s="144" t="s">
        <v>1802</v>
      </c>
      <c r="Z591" s="145">
        <v>74856</v>
      </c>
      <c r="AA591" s="145">
        <v>68051</v>
      </c>
      <c r="AB591" s="144">
        <v>0</v>
      </c>
      <c r="AC591" s="144" t="s">
        <v>1022</v>
      </c>
      <c r="AD591" s="145">
        <v>6805</v>
      </c>
      <c r="AE591" s="144"/>
      <c r="AF591" s="146"/>
    </row>
    <row r="592" spans="1:40">
      <c r="A592" s="132">
        <f t="shared" si="86"/>
        <v>584</v>
      </c>
      <c r="B592" s="133" t="s">
        <v>1768</v>
      </c>
      <c r="C592" s="133" t="s">
        <v>1905</v>
      </c>
      <c r="D592" s="132" t="s">
        <v>1024</v>
      </c>
      <c r="E592" s="147">
        <v>202500122929</v>
      </c>
      <c r="F592" s="135">
        <v>45804</v>
      </c>
      <c r="G592" s="45"/>
      <c r="H592" s="136"/>
      <c r="I592" s="136">
        <v>6805</v>
      </c>
      <c r="J592" s="137" t="s">
        <v>1025</v>
      </c>
      <c r="K592" s="150"/>
      <c r="L592" s="148">
        <f t="shared" si="85"/>
        <v>6805</v>
      </c>
      <c r="M592" s="122">
        <f t="shared" si="74"/>
        <v>0</v>
      </c>
      <c r="N592" s="137"/>
      <c r="O592" s="149" t="b">
        <f t="shared" si="75"/>
        <v>1</v>
      </c>
      <c r="P592" s="149">
        <f t="shared" si="76"/>
        <v>0</v>
      </c>
      <c r="Q592" s="149" t="b">
        <f t="shared" si="77"/>
        <v>0</v>
      </c>
      <c r="R592" s="149">
        <f t="shared" si="78"/>
        <v>0</v>
      </c>
      <c r="S592" s="144"/>
      <c r="T592" s="143">
        <v>45804</v>
      </c>
      <c r="U592" s="144">
        <v>202500122929</v>
      </c>
      <c r="V592" s="144"/>
      <c r="W592" s="144" t="s">
        <v>1071</v>
      </c>
      <c r="X592" s="144" t="s">
        <v>1801</v>
      </c>
      <c r="Y592" s="144" t="s">
        <v>1802</v>
      </c>
      <c r="Z592" s="145">
        <v>74856</v>
      </c>
      <c r="AA592" s="145">
        <v>68051</v>
      </c>
      <c r="AB592" s="144">
        <v>0</v>
      </c>
      <c r="AC592" s="144" t="s">
        <v>1022</v>
      </c>
      <c r="AD592" s="145">
        <v>6805</v>
      </c>
      <c r="AE592" s="144"/>
      <c r="AF592" s="146"/>
    </row>
    <row r="593" spans="1:40">
      <c r="A593" s="132">
        <f t="shared" si="86"/>
        <v>585</v>
      </c>
      <c r="B593" s="133" t="s">
        <v>1768</v>
      </c>
      <c r="C593" s="133" t="s">
        <v>1905</v>
      </c>
      <c r="D593" s="132" t="s">
        <v>1024</v>
      </c>
      <c r="E593" s="147">
        <v>202500122930</v>
      </c>
      <c r="F593" s="135">
        <v>45804</v>
      </c>
      <c r="G593" s="45"/>
      <c r="H593" s="136"/>
      <c r="I593" s="136">
        <v>6805</v>
      </c>
      <c r="J593" s="137" t="s">
        <v>1025</v>
      </c>
      <c r="K593" s="150"/>
      <c r="L593" s="148">
        <f t="shared" si="85"/>
        <v>6805</v>
      </c>
      <c r="M593" s="122">
        <f t="shared" si="74"/>
        <v>0</v>
      </c>
      <c r="N593" s="137"/>
      <c r="O593" s="149" t="b">
        <f t="shared" si="75"/>
        <v>1</v>
      </c>
      <c r="P593" s="149">
        <f t="shared" si="76"/>
        <v>0</v>
      </c>
      <c r="Q593" s="149" t="b">
        <f t="shared" si="77"/>
        <v>0</v>
      </c>
      <c r="R593" s="149">
        <f t="shared" si="78"/>
        <v>0</v>
      </c>
      <c r="S593" s="144"/>
      <c r="T593" s="143">
        <v>45804</v>
      </c>
      <c r="U593" s="144">
        <v>202500122930</v>
      </c>
      <c r="V593" s="144"/>
      <c r="W593" s="144" t="s">
        <v>1071</v>
      </c>
      <c r="X593" s="144" t="s">
        <v>1801</v>
      </c>
      <c r="Y593" s="144" t="s">
        <v>1802</v>
      </c>
      <c r="Z593" s="145">
        <v>74856</v>
      </c>
      <c r="AA593" s="145">
        <v>68051</v>
      </c>
      <c r="AB593" s="144">
        <v>0</v>
      </c>
      <c r="AC593" s="144" t="s">
        <v>1022</v>
      </c>
      <c r="AD593" s="145">
        <v>6805</v>
      </c>
      <c r="AE593" s="144"/>
      <c r="AF593" s="146"/>
    </row>
    <row r="594" spans="1:40">
      <c r="A594" s="132">
        <f t="shared" si="86"/>
        <v>586</v>
      </c>
      <c r="B594" s="133" t="s">
        <v>1769</v>
      </c>
      <c r="C594" s="133" t="s">
        <v>1904</v>
      </c>
      <c r="D594" s="132" t="s">
        <v>1698</v>
      </c>
      <c r="E594" s="147" t="s">
        <v>1534</v>
      </c>
      <c r="F594" s="135">
        <v>45806</v>
      </c>
      <c r="G594" s="45"/>
      <c r="H594" s="136"/>
      <c r="I594" s="136">
        <v>1533132</v>
      </c>
      <c r="J594" s="137" t="s">
        <v>1025</v>
      </c>
      <c r="K594" s="150"/>
      <c r="L594" s="148">
        <f t="shared" si="85"/>
        <v>1533132</v>
      </c>
      <c r="M594" s="122">
        <f t="shared" si="74"/>
        <v>0</v>
      </c>
      <c r="N594" s="137"/>
      <c r="O594" s="149" t="b">
        <f t="shared" si="75"/>
        <v>1</v>
      </c>
      <c r="P594" s="149">
        <f t="shared" si="76"/>
        <v>0</v>
      </c>
      <c r="Q594" s="149" t="b">
        <f t="shared" si="77"/>
        <v>1</v>
      </c>
      <c r="R594" s="149">
        <f t="shared" si="78"/>
        <v>0</v>
      </c>
      <c r="S594" s="144"/>
      <c r="T594" s="143">
        <v>45806</v>
      </c>
      <c r="U594" s="144" t="s">
        <v>1534</v>
      </c>
      <c r="V594" s="144"/>
      <c r="W594" s="144"/>
      <c r="X594" s="144"/>
      <c r="Y594" s="144" t="s">
        <v>1802</v>
      </c>
      <c r="Z594" s="145"/>
      <c r="AA594" s="145"/>
      <c r="AB594" s="144"/>
      <c r="AC594" s="144"/>
      <c r="AD594" s="145">
        <v>1533132</v>
      </c>
      <c r="AE594" s="144"/>
      <c r="AF594" s="146"/>
      <c r="AN594" s="70" t="s">
        <v>1807</v>
      </c>
    </row>
    <row r="595" spans="1:40">
      <c r="A595" s="132">
        <f t="shared" si="86"/>
        <v>587</v>
      </c>
      <c r="B595" s="133" t="s">
        <v>1797</v>
      </c>
      <c r="C595" s="133" t="s">
        <v>1904</v>
      </c>
      <c r="D595" s="132" t="s">
        <v>1698</v>
      </c>
      <c r="E595" s="147" t="s">
        <v>1535</v>
      </c>
      <c r="F595" s="135">
        <v>45800</v>
      </c>
      <c r="G595" s="45"/>
      <c r="H595" s="136"/>
      <c r="I595" s="136">
        <v>120090</v>
      </c>
      <c r="J595" s="137" t="s">
        <v>1025</v>
      </c>
      <c r="K595" s="150"/>
      <c r="L595" s="148">
        <f t="shared" si="85"/>
        <v>120090</v>
      </c>
      <c r="M595" s="122">
        <f t="shared" si="74"/>
        <v>0</v>
      </c>
      <c r="N595" s="137"/>
      <c r="O595" s="149" t="b">
        <f t="shared" si="75"/>
        <v>1</v>
      </c>
      <c r="P595" s="149">
        <f t="shared" si="76"/>
        <v>0</v>
      </c>
      <c r="Q595" s="149" t="b">
        <f t="shared" si="77"/>
        <v>1</v>
      </c>
      <c r="R595" s="149">
        <f t="shared" si="78"/>
        <v>0</v>
      </c>
      <c r="S595" s="144"/>
      <c r="T595" s="143">
        <v>45800</v>
      </c>
      <c r="U595" s="144" t="s">
        <v>1535</v>
      </c>
      <c r="V595" s="144"/>
      <c r="W595" s="144"/>
      <c r="X595" s="144"/>
      <c r="Y595" s="144" t="s">
        <v>1802</v>
      </c>
      <c r="Z595" s="145"/>
      <c r="AA595" s="145"/>
      <c r="AB595" s="144"/>
      <c r="AC595" s="144"/>
      <c r="AD595" s="145">
        <v>120090</v>
      </c>
      <c r="AE595" s="144"/>
      <c r="AF595" s="146"/>
      <c r="AN595" s="70" t="s">
        <v>1807</v>
      </c>
    </row>
    <row r="596" spans="1:40">
      <c r="A596" s="132">
        <f t="shared" si="86"/>
        <v>588</v>
      </c>
      <c r="B596" s="133" t="s">
        <v>1769</v>
      </c>
      <c r="C596" s="133" t="s">
        <v>1904</v>
      </c>
      <c r="D596" s="132" t="s">
        <v>1698</v>
      </c>
      <c r="E596" s="147" t="s">
        <v>1536</v>
      </c>
      <c r="F596" s="135">
        <v>45806</v>
      </c>
      <c r="G596" s="45"/>
      <c r="H596" s="136"/>
      <c r="I596" s="136">
        <v>213413</v>
      </c>
      <c r="J596" s="137" t="s">
        <v>1025</v>
      </c>
      <c r="K596" s="150"/>
      <c r="L596" s="148">
        <f t="shared" si="85"/>
        <v>213413</v>
      </c>
      <c r="M596" s="122">
        <f t="shared" si="74"/>
        <v>0</v>
      </c>
      <c r="N596" s="137"/>
      <c r="O596" s="149" t="b">
        <f t="shared" si="75"/>
        <v>1</v>
      </c>
      <c r="P596" s="149">
        <f t="shared" si="76"/>
        <v>0</v>
      </c>
      <c r="Q596" s="149" t="b">
        <f t="shared" si="77"/>
        <v>1</v>
      </c>
      <c r="R596" s="149">
        <f t="shared" si="78"/>
        <v>0</v>
      </c>
      <c r="S596" s="144"/>
      <c r="T596" s="143">
        <v>45806</v>
      </c>
      <c r="U596" s="144" t="s">
        <v>1536</v>
      </c>
      <c r="V596" s="144"/>
      <c r="W596" s="144"/>
      <c r="X596" s="144"/>
      <c r="Y596" s="144" t="s">
        <v>1802</v>
      </c>
      <c r="Z596" s="145"/>
      <c r="AA596" s="145"/>
      <c r="AB596" s="144"/>
      <c r="AC596" s="144"/>
      <c r="AD596" s="145">
        <v>213413</v>
      </c>
      <c r="AE596" s="144"/>
      <c r="AF596" s="146"/>
      <c r="AN596" s="70" t="s">
        <v>1807</v>
      </c>
    </row>
    <row r="597" spans="1:40">
      <c r="A597" s="132">
        <f t="shared" si="86"/>
        <v>589</v>
      </c>
      <c r="B597" s="133" t="s">
        <v>1769</v>
      </c>
      <c r="C597" s="133" t="s">
        <v>1904</v>
      </c>
      <c r="D597" s="132" t="s">
        <v>1698</v>
      </c>
      <c r="E597" s="147" t="s">
        <v>1537</v>
      </c>
      <c r="F597" s="135">
        <v>45806</v>
      </c>
      <c r="G597" s="45"/>
      <c r="H597" s="136"/>
      <c r="I597" s="136">
        <v>203403</v>
      </c>
      <c r="J597" s="137" t="s">
        <v>1025</v>
      </c>
      <c r="K597" s="150"/>
      <c r="L597" s="148">
        <f t="shared" si="85"/>
        <v>203403</v>
      </c>
      <c r="M597" s="122">
        <f t="shared" si="74"/>
        <v>0</v>
      </c>
      <c r="N597" s="137"/>
      <c r="O597" s="149" t="b">
        <f t="shared" si="75"/>
        <v>1</v>
      </c>
      <c r="P597" s="149">
        <f t="shared" si="76"/>
        <v>0</v>
      </c>
      <c r="Q597" s="149" t="b">
        <f t="shared" si="77"/>
        <v>1</v>
      </c>
      <c r="R597" s="149">
        <f t="shared" si="78"/>
        <v>0</v>
      </c>
      <c r="S597" s="144"/>
      <c r="T597" s="143">
        <v>45806</v>
      </c>
      <c r="U597" s="144" t="s">
        <v>1537</v>
      </c>
      <c r="V597" s="144"/>
      <c r="W597" s="144"/>
      <c r="X597" s="144"/>
      <c r="Y597" s="144" t="s">
        <v>1802</v>
      </c>
      <c r="Z597" s="145"/>
      <c r="AA597" s="145"/>
      <c r="AB597" s="144"/>
      <c r="AC597" s="144"/>
      <c r="AD597" s="145">
        <v>203403</v>
      </c>
      <c r="AE597" s="144"/>
      <c r="AF597" s="146"/>
      <c r="AN597" s="70" t="s">
        <v>1807</v>
      </c>
    </row>
    <row r="598" spans="1:40">
      <c r="A598" s="132">
        <f t="shared" si="86"/>
        <v>590</v>
      </c>
      <c r="B598" s="133" t="s">
        <v>1784</v>
      </c>
      <c r="C598" s="133" t="s">
        <v>1929</v>
      </c>
      <c r="D598" s="132" t="s">
        <v>1069</v>
      </c>
      <c r="E598" s="147" t="s">
        <v>1538</v>
      </c>
      <c r="F598" s="135">
        <v>45805</v>
      </c>
      <c r="G598" s="45"/>
      <c r="H598" s="136"/>
      <c r="I598" s="136">
        <v>9607</v>
      </c>
      <c r="J598" s="137" t="s">
        <v>1025</v>
      </c>
      <c r="K598" s="150"/>
      <c r="L598" s="148">
        <f t="shared" si="85"/>
        <v>9607</v>
      </c>
      <c r="M598" s="122">
        <f t="shared" si="74"/>
        <v>0</v>
      </c>
      <c r="N598" s="137"/>
      <c r="O598" s="149" t="b">
        <f t="shared" si="75"/>
        <v>1</v>
      </c>
      <c r="P598" s="149">
        <f t="shared" si="76"/>
        <v>0</v>
      </c>
      <c r="Q598" s="149" t="b">
        <f t="shared" si="77"/>
        <v>0</v>
      </c>
      <c r="R598" s="149">
        <f t="shared" si="78"/>
        <v>0</v>
      </c>
      <c r="S598" s="144"/>
      <c r="T598" s="143">
        <v>45805</v>
      </c>
      <c r="U598" s="144" t="s">
        <v>1538</v>
      </c>
      <c r="V598" s="144">
        <v>0</v>
      </c>
      <c r="W598" s="144" t="s">
        <v>1071</v>
      </c>
      <c r="X598" s="144" t="s">
        <v>1801</v>
      </c>
      <c r="Y598" s="144" t="s">
        <v>1802</v>
      </c>
      <c r="Z598" s="145">
        <v>105677</v>
      </c>
      <c r="AA598" s="145">
        <v>96070</v>
      </c>
      <c r="AB598" s="144">
        <v>0</v>
      </c>
      <c r="AC598" s="144" t="s">
        <v>1022</v>
      </c>
      <c r="AD598" s="145">
        <v>9607</v>
      </c>
      <c r="AE598" s="144">
        <v>0</v>
      </c>
      <c r="AF598" s="146">
        <v>0</v>
      </c>
      <c r="AG598" s="70">
        <v>0</v>
      </c>
      <c r="AH598" s="70">
        <v>0</v>
      </c>
      <c r="AI598" s="70">
        <v>0</v>
      </c>
      <c r="AJ598" s="70">
        <v>0</v>
      </c>
      <c r="AK598" s="70">
        <v>0</v>
      </c>
      <c r="AL598" s="70">
        <v>0.01</v>
      </c>
      <c r="AM598" s="70">
        <v>0</v>
      </c>
      <c r="AN598" s="70" t="s">
        <v>1877</v>
      </c>
    </row>
    <row r="599" spans="1:40">
      <c r="A599" s="132">
        <f t="shared" si="86"/>
        <v>591</v>
      </c>
      <c r="B599" s="133" t="s">
        <v>1798</v>
      </c>
      <c r="C599" s="133" t="s">
        <v>1929</v>
      </c>
      <c r="D599" s="132" t="s">
        <v>1069</v>
      </c>
      <c r="E599" s="147" t="s">
        <v>1539</v>
      </c>
      <c r="F599" s="135">
        <v>45805</v>
      </c>
      <c r="G599" s="45"/>
      <c r="H599" s="136"/>
      <c r="I599" s="136">
        <v>14411</v>
      </c>
      <c r="J599" s="137" t="s">
        <v>1025</v>
      </c>
      <c r="K599" s="150"/>
      <c r="L599" s="148">
        <f t="shared" si="85"/>
        <v>14411</v>
      </c>
      <c r="M599" s="122">
        <f t="shared" ref="M599:M662" si="87">I599-L599</f>
        <v>0</v>
      </c>
      <c r="N599" s="137"/>
      <c r="O599" s="149" t="b">
        <f t="shared" ref="O599:O662" si="88">U599=E599</f>
        <v>1</v>
      </c>
      <c r="P599" s="149">
        <f t="shared" ref="P599:P662" si="89">MONTH(F599)-MONTH(T599)</f>
        <v>0</v>
      </c>
      <c r="Q599" s="149" t="b">
        <f t="shared" ref="Q599:Q662" si="90">$B$5=X599</f>
        <v>0</v>
      </c>
      <c r="R599" s="149">
        <f t="shared" ref="R599:R662" si="91">I599-AD599</f>
        <v>0</v>
      </c>
      <c r="S599" s="144"/>
      <c r="T599" s="143">
        <v>45805</v>
      </c>
      <c r="U599" s="144" t="s">
        <v>1539</v>
      </c>
      <c r="V599" s="144">
        <v>0</v>
      </c>
      <c r="W599" s="144" t="s">
        <v>1071</v>
      </c>
      <c r="X599" s="144" t="s">
        <v>1801</v>
      </c>
      <c r="Y599" s="144" t="s">
        <v>1802</v>
      </c>
      <c r="Z599" s="145">
        <v>158521</v>
      </c>
      <c r="AA599" s="145">
        <v>144110</v>
      </c>
      <c r="AB599" s="144">
        <v>0</v>
      </c>
      <c r="AC599" s="144" t="s">
        <v>1022</v>
      </c>
      <c r="AD599" s="145">
        <v>14411</v>
      </c>
      <c r="AE599" s="144">
        <v>0</v>
      </c>
      <c r="AF599" s="146">
        <v>0</v>
      </c>
      <c r="AG599" s="70">
        <v>0</v>
      </c>
      <c r="AH599" s="70">
        <v>0</v>
      </c>
      <c r="AI599" s="70">
        <v>0</v>
      </c>
      <c r="AJ599" s="70">
        <v>0</v>
      </c>
      <c r="AK599" s="70">
        <v>0</v>
      </c>
      <c r="AL599" s="70">
        <v>0.01</v>
      </c>
      <c r="AM599" s="70">
        <v>0</v>
      </c>
      <c r="AN599" s="70" t="s">
        <v>1877</v>
      </c>
    </row>
    <row r="600" spans="1:40">
      <c r="A600" s="132">
        <f t="shared" si="86"/>
        <v>592</v>
      </c>
      <c r="B600" s="133" t="s">
        <v>1799</v>
      </c>
      <c r="C600" s="133" t="s">
        <v>1929</v>
      </c>
      <c r="D600" s="132" t="s">
        <v>1069</v>
      </c>
      <c r="E600" s="147" t="s">
        <v>1540</v>
      </c>
      <c r="F600" s="135">
        <v>45805</v>
      </c>
      <c r="G600" s="45"/>
      <c r="H600" s="136"/>
      <c r="I600" s="136">
        <v>1201</v>
      </c>
      <c r="J600" s="137" t="s">
        <v>1025</v>
      </c>
      <c r="K600" s="150"/>
      <c r="L600" s="148">
        <f t="shared" si="85"/>
        <v>1201</v>
      </c>
      <c r="M600" s="122">
        <f t="shared" si="87"/>
        <v>0</v>
      </c>
      <c r="N600" s="137"/>
      <c r="O600" s="149" t="b">
        <f t="shared" si="88"/>
        <v>1</v>
      </c>
      <c r="P600" s="149">
        <f t="shared" si="89"/>
        <v>0</v>
      </c>
      <c r="Q600" s="149" t="b">
        <f t="shared" si="90"/>
        <v>0</v>
      </c>
      <c r="R600" s="149">
        <f t="shared" si="91"/>
        <v>0</v>
      </c>
      <c r="S600" s="144"/>
      <c r="T600" s="143">
        <v>45805</v>
      </c>
      <c r="U600" s="144" t="s">
        <v>1540</v>
      </c>
      <c r="V600" s="144">
        <v>0</v>
      </c>
      <c r="W600" s="144" t="s">
        <v>1071</v>
      </c>
      <c r="X600" s="144" t="s">
        <v>1801</v>
      </c>
      <c r="Y600" s="144" t="s">
        <v>1802</v>
      </c>
      <c r="Z600" s="145">
        <v>13211</v>
      </c>
      <c r="AA600" s="145">
        <v>12010</v>
      </c>
      <c r="AB600" s="144">
        <v>0</v>
      </c>
      <c r="AC600" s="144" t="s">
        <v>1022</v>
      </c>
      <c r="AD600" s="145">
        <v>1201</v>
      </c>
      <c r="AE600" s="144">
        <v>0</v>
      </c>
      <c r="AF600" s="146">
        <v>0</v>
      </c>
      <c r="AG600" s="70">
        <v>0</v>
      </c>
      <c r="AH600" s="70">
        <v>0</v>
      </c>
      <c r="AI600" s="70">
        <v>0</v>
      </c>
      <c r="AJ600" s="70">
        <v>0</v>
      </c>
      <c r="AK600" s="70">
        <v>0</v>
      </c>
      <c r="AL600" s="70">
        <v>0.01</v>
      </c>
      <c r="AM600" s="70">
        <v>0</v>
      </c>
      <c r="AN600" s="70" t="s">
        <v>1877</v>
      </c>
    </row>
    <row r="601" spans="1:40">
      <c r="A601" s="132">
        <f t="shared" si="86"/>
        <v>593</v>
      </c>
      <c r="B601" s="133" t="s">
        <v>1784</v>
      </c>
      <c r="C601" s="133" t="s">
        <v>1929</v>
      </c>
      <c r="D601" s="132" t="s">
        <v>1069</v>
      </c>
      <c r="E601" s="147" t="s">
        <v>1541</v>
      </c>
      <c r="F601" s="135">
        <v>45805</v>
      </c>
      <c r="G601" s="45"/>
      <c r="H601" s="136"/>
      <c r="I601" s="136">
        <v>2402</v>
      </c>
      <c r="J601" s="137" t="s">
        <v>1025</v>
      </c>
      <c r="K601" s="150"/>
      <c r="L601" s="148">
        <f t="shared" si="85"/>
        <v>2402</v>
      </c>
      <c r="M601" s="122">
        <f t="shared" si="87"/>
        <v>0</v>
      </c>
      <c r="N601" s="137"/>
      <c r="O601" s="149" t="b">
        <f t="shared" si="88"/>
        <v>1</v>
      </c>
      <c r="P601" s="149">
        <f t="shared" si="89"/>
        <v>0</v>
      </c>
      <c r="Q601" s="149" t="b">
        <f t="shared" si="90"/>
        <v>0</v>
      </c>
      <c r="R601" s="149">
        <f t="shared" si="91"/>
        <v>0</v>
      </c>
      <c r="S601" s="144"/>
      <c r="T601" s="143">
        <v>45805</v>
      </c>
      <c r="U601" s="144" t="s">
        <v>1541</v>
      </c>
      <c r="V601" s="144">
        <v>0</v>
      </c>
      <c r="W601" s="144" t="s">
        <v>1071</v>
      </c>
      <c r="X601" s="144" t="s">
        <v>1801</v>
      </c>
      <c r="Y601" s="144" t="s">
        <v>1802</v>
      </c>
      <c r="Z601" s="145">
        <v>26422</v>
      </c>
      <c r="AA601" s="145">
        <v>24020</v>
      </c>
      <c r="AB601" s="144">
        <v>0</v>
      </c>
      <c r="AC601" s="144" t="s">
        <v>1022</v>
      </c>
      <c r="AD601" s="145">
        <v>2402</v>
      </c>
      <c r="AE601" s="144">
        <v>0</v>
      </c>
      <c r="AF601" s="146">
        <v>0</v>
      </c>
      <c r="AG601" s="70">
        <v>0</v>
      </c>
      <c r="AH601" s="70">
        <v>0</v>
      </c>
      <c r="AI601" s="70">
        <v>0</v>
      </c>
      <c r="AJ601" s="70">
        <v>0</v>
      </c>
      <c r="AK601" s="70">
        <v>0</v>
      </c>
      <c r="AL601" s="70">
        <v>0.01</v>
      </c>
      <c r="AM601" s="70">
        <v>0</v>
      </c>
      <c r="AN601" s="70" t="s">
        <v>1877</v>
      </c>
    </row>
    <row r="602" spans="1:40">
      <c r="A602" s="132">
        <f t="shared" si="86"/>
        <v>594</v>
      </c>
      <c r="B602" s="133" t="s">
        <v>1784</v>
      </c>
      <c r="C602" s="133" t="s">
        <v>1929</v>
      </c>
      <c r="D602" s="132" t="s">
        <v>1069</v>
      </c>
      <c r="E602" s="147" t="s">
        <v>1542</v>
      </c>
      <c r="F602" s="135">
        <v>45805</v>
      </c>
      <c r="G602" s="45"/>
      <c r="H602" s="136"/>
      <c r="I602" s="136">
        <v>2402</v>
      </c>
      <c r="J602" s="137" t="s">
        <v>1025</v>
      </c>
      <c r="K602" s="150"/>
      <c r="L602" s="148">
        <f t="shared" si="85"/>
        <v>2402</v>
      </c>
      <c r="M602" s="122">
        <f t="shared" si="87"/>
        <v>0</v>
      </c>
      <c r="N602" s="137"/>
      <c r="O602" s="149" t="b">
        <f t="shared" si="88"/>
        <v>1</v>
      </c>
      <c r="P602" s="149">
        <f t="shared" si="89"/>
        <v>0</v>
      </c>
      <c r="Q602" s="149" t="b">
        <f t="shared" si="90"/>
        <v>0</v>
      </c>
      <c r="R602" s="149">
        <f t="shared" si="91"/>
        <v>0</v>
      </c>
      <c r="S602" s="144"/>
      <c r="T602" s="143">
        <v>45805</v>
      </c>
      <c r="U602" s="144" t="s">
        <v>1542</v>
      </c>
      <c r="V602" s="144">
        <v>0</v>
      </c>
      <c r="W602" s="144" t="s">
        <v>1071</v>
      </c>
      <c r="X602" s="144" t="s">
        <v>1801</v>
      </c>
      <c r="Y602" s="144" t="s">
        <v>1802</v>
      </c>
      <c r="Z602" s="145">
        <v>26422</v>
      </c>
      <c r="AA602" s="145">
        <v>24020</v>
      </c>
      <c r="AB602" s="144">
        <v>0</v>
      </c>
      <c r="AC602" s="144" t="s">
        <v>1022</v>
      </c>
      <c r="AD602" s="145">
        <v>2402</v>
      </c>
      <c r="AE602" s="144">
        <v>0</v>
      </c>
      <c r="AF602" s="146">
        <v>0</v>
      </c>
      <c r="AG602" s="70">
        <v>0</v>
      </c>
      <c r="AH602" s="70">
        <v>0</v>
      </c>
      <c r="AI602" s="70">
        <v>0</v>
      </c>
      <c r="AJ602" s="70">
        <v>0</v>
      </c>
      <c r="AK602" s="70">
        <v>0</v>
      </c>
      <c r="AL602" s="70">
        <v>0.01</v>
      </c>
      <c r="AM602" s="70">
        <v>0</v>
      </c>
      <c r="AN602" s="70" t="s">
        <v>1877</v>
      </c>
    </row>
    <row r="603" spans="1:40">
      <c r="A603" s="132">
        <f t="shared" si="86"/>
        <v>595</v>
      </c>
      <c r="B603" s="133" t="s">
        <v>1784</v>
      </c>
      <c r="C603" s="133" t="s">
        <v>1929</v>
      </c>
      <c r="D603" s="132" t="s">
        <v>1069</v>
      </c>
      <c r="E603" s="147" t="s">
        <v>1543</v>
      </c>
      <c r="F603" s="135">
        <v>45805</v>
      </c>
      <c r="G603" s="45"/>
      <c r="H603" s="136"/>
      <c r="I603" s="136">
        <v>2402</v>
      </c>
      <c r="J603" s="137" t="s">
        <v>1025</v>
      </c>
      <c r="K603" s="150"/>
      <c r="L603" s="148">
        <f t="shared" si="85"/>
        <v>2402</v>
      </c>
      <c r="M603" s="122">
        <f t="shared" si="87"/>
        <v>0</v>
      </c>
      <c r="N603" s="137"/>
      <c r="O603" s="149" t="b">
        <f t="shared" si="88"/>
        <v>1</v>
      </c>
      <c r="P603" s="149">
        <f t="shared" si="89"/>
        <v>0</v>
      </c>
      <c r="Q603" s="149" t="b">
        <f t="shared" si="90"/>
        <v>0</v>
      </c>
      <c r="R603" s="149">
        <f t="shared" si="91"/>
        <v>0</v>
      </c>
      <c r="S603" s="144"/>
      <c r="T603" s="143">
        <v>45805</v>
      </c>
      <c r="U603" s="144" t="s">
        <v>1543</v>
      </c>
      <c r="V603" s="144">
        <v>0</v>
      </c>
      <c r="W603" s="144" t="s">
        <v>1071</v>
      </c>
      <c r="X603" s="144" t="s">
        <v>1801</v>
      </c>
      <c r="Y603" s="144" t="s">
        <v>1802</v>
      </c>
      <c r="Z603" s="145">
        <v>26422</v>
      </c>
      <c r="AA603" s="145">
        <v>24020</v>
      </c>
      <c r="AB603" s="144">
        <v>0</v>
      </c>
      <c r="AC603" s="144" t="s">
        <v>1022</v>
      </c>
      <c r="AD603" s="145">
        <v>2402</v>
      </c>
      <c r="AE603" s="144">
        <v>0</v>
      </c>
      <c r="AF603" s="146">
        <v>0</v>
      </c>
      <c r="AG603" s="70">
        <v>0</v>
      </c>
      <c r="AH603" s="70">
        <v>0</v>
      </c>
      <c r="AI603" s="70">
        <v>0</v>
      </c>
      <c r="AJ603" s="70">
        <v>0</v>
      </c>
      <c r="AK603" s="70">
        <v>0</v>
      </c>
      <c r="AL603" s="70">
        <v>0.01</v>
      </c>
      <c r="AM603" s="70">
        <v>0</v>
      </c>
      <c r="AN603" s="70" t="s">
        <v>1877</v>
      </c>
    </row>
    <row r="604" spans="1:40">
      <c r="A604" s="132">
        <f t="shared" si="86"/>
        <v>596</v>
      </c>
      <c r="B604" s="133" t="s">
        <v>1800</v>
      </c>
      <c r="C604" s="133" t="s">
        <v>1904</v>
      </c>
      <c r="D604" s="132" t="s">
        <v>1698</v>
      </c>
      <c r="E604" s="147" t="s">
        <v>1544</v>
      </c>
      <c r="F604" s="135">
        <v>45779</v>
      </c>
      <c r="G604" s="45"/>
      <c r="H604" s="136"/>
      <c r="I604" s="136">
        <v>1730865</v>
      </c>
      <c r="J604" s="137" t="s">
        <v>1025</v>
      </c>
      <c r="K604" s="150"/>
      <c r="L604" s="148">
        <f t="shared" si="85"/>
        <v>1730865</v>
      </c>
      <c r="M604" s="122">
        <f t="shared" si="87"/>
        <v>0</v>
      </c>
      <c r="N604" s="137"/>
      <c r="O604" s="149" t="b">
        <f t="shared" si="88"/>
        <v>1</v>
      </c>
      <c r="P604" s="149">
        <f t="shared" si="89"/>
        <v>0</v>
      </c>
      <c r="Q604" s="149" t="b">
        <f t="shared" si="90"/>
        <v>1</v>
      </c>
      <c r="R604" s="149">
        <f t="shared" si="91"/>
        <v>0</v>
      </c>
      <c r="S604" s="144"/>
      <c r="T604" s="143">
        <v>45779</v>
      </c>
      <c r="U604" s="144" t="s">
        <v>1544</v>
      </c>
      <c r="V604" s="144"/>
      <c r="W604" s="144"/>
      <c r="X604" s="144"/>
      <c r="Y604" s="144" t="s">
        <v>1802</v>
      </c>
      <c r="Z604" s="145"/>
      <c r="AA604" s="145"/>
      <c r="AB604" s="144"/>
      <c r="AC604" s="144"/>
      <c r="AD604" s="145">
        <v>1730865</v>
      </c>
      <c r="AE604" s="144"/>
      <c r="AF604" s="146"/>
      <c r="AN604" s="70" t="s">
        <v>1807</v>
      </c>
    </row>
    <row r="605" spans="1:40">
      <c r="A605" s="132">
        <f t="shared" si="86"/>
        <v>597</v>
      </c>
      <c r="B605" s="133" t="s">
        <v>1769</v>
      </c>
      <c r="C605" s="133" t="s">
        <v>1904</v>
      </c>
      <c r="D605" s="132" t="s">
        <v>1698</v>
      </c>
      <c r="E605" s="147" t="s">
        <v>1545</v>
      </c>
      <c r="F605" s="135">
        <v>45806</v>
      </c>
      <c r="G605" s="45"/>
      <c r="H605" s="136"/>
      <c r="I605" s="136">
        <v>203403</v>
      </c>
      <c r="J605" s="137" t="s">
        <v>1025</v>
      </c>
      <c r="K605" s="150"/>
      <c r="L605" s="148">
        <f t="shared" si="85"/>
        <v>203403</v>
      </c>
      <c r="M605" s="122">
        <f t="shared" si="87"/>
        <v>0</v>
      </c>
      <c r="N605" s="137"/>
      <c r="O605" s="149" t="b">
        <f t="shared" si="88"/>
        <v>1</v>
      </c>
      <c r="P605" s="149">
        <f t="shared" si="89"/>
        <v>0</v>
      </c>
      <c r="Q605" s="149" t="b">
        <f t="shared" si="90"/>
        <v>1</v>
      </c>
      <c r="R605" s="149">
        <f t="shared" si="91"/>
        <v>0</v>
      </c>
      <c r="S605" s="144"/>
      <c r="T605" s="143">
        <v>45806</v>
      </c>
      <c r="U605" s="144" t="s">
        <v>1545</v>
      </c>
      <c r="V605" s="144"/>
      <c r="W605" s="144"/>
      <c r="X605" s="144"/>
      <c r="Y605" s="144" t="s">
        <v>1802</v>
      </c>
      <c r="Z605" s="145"/>
      <c r="AA605" s="145"/>
      <c r="AB605" s="144"/>
      <c r="AC605" s="144"/>
      <c r="AD605" s="145">
        <v>203403</v>
      </c>
      <c r="AE605" s="144"/>
      <c r="AF605" s="146"/>
      <c r="AN605" s="70" t="s">
        <v>1807</v>
      </c>
    </row>
    <row r="606" spans="1:40">
      <c r="A606" s="132">
        <f t="shared" si="86"/>
        <v>598</v>
      </c>
      <c r="B606" s="133" t="s">
        <v>1769</v>
      </c>
      <c r="C606" s="133" t="s">
        <v>1904</v>
      </c>
      <c r="D606" s="132" t="s">
        <v>1698</v>
      </c>
      <c r="E606" s="147" t="s">
        <v>1546</v>
      </c>
      <c r="F606" s="135">
        <v>45807</v>
      </c>
      <c r="G606" s="45"/>
      <c r="H606" s="136"/>
      <c r="I606" s="136">
        <v>191039</v>
      </c>
      <c r="J606" s="137" t="s">
        <v>1025</v>
      </c>
      <c r="K606" s="150">
        <f>L606</f>
        <v>191039</v>
      </c>
      <c r="L606" s="148">
        <f t="shared" si="85"/>
        <v>191039</v>
      </c>
      <c r="M606" s="122">
        <f t="shared" si="87"/>
        <v>0</v>
      </c>
      <c r="N606" s="137"/>
      <c r="O606" s="149" t="b">
        <f t="shared" si="88"/>
        <v>1</v>
      </c>
      <c r="P606" s="149">
        <f t="shared" si="89"/>
        <v>0</v>
      </c>
      <c r="Q606" s="149" t="b">
        <f t="shared" si="90"/>
        <v>1</v>
      </c>
      <c r="R606" s="149">
        <f t="shared" si="91"/>
        <v>0</v>
      </c>
      <c r="S606" s="144"/>
      <c r="T606" s="143">
        <v>45807</v>
      </c>
      <c r="U606" s="144" t="s">
        <v>1546</v>
      </c>
      <c r="V606" s="144"/>
      <c r="W606" s="144"/>
      <c r="X606" s="144"/>
      <c r="Y606" s="144" t="s">
        <v>1802</v>
      </c>
      <c r="Z606" s="145"/>
      <c r="AA606" s="145"/>
      <c r="AB606" s="144"/>
      <c r="AC606" s="144"/>
      <c r="AD606" s="145">
        <v>191039</v>
      </c>
      <c r="AE606" s="144"/>
      <c r="AF606" s="146"/>
      <c r="AN606" s="70" t="s">
        <v>1807</v>
      </c>
    </row>
    <row r="607" spans="1:40">
      <c r="A607" s="132">
        <f t="shared" si="86"/>
        <v>599</v>
      </c>
      <c r="B607" s="133" t="s">
        <v>1769</v>
      </c>
      <c r="C607" s="133" t="s">
        <v>1904</v>
      </c>
      <c r="D607" s="132" t="s">
        <v>1698</v>
      </c>
      <c r="E607" s="147" t="s">
        <v>1547</v>
      </c>
      <c r="F607" s="135">
        <v>45806</v>
      </c>
      <c r="G607" s="45"/>
      <c r="H607" s="136"/>
      <c r="I607" s="136">
        <v>406806</v>
      </c>
      <c r="J607" s="137" t="s">
        <v>1025</v>
      </c>
      <c r="K607" s="150"/>
      <c r="L607" s="148">
        <f t="shared" si="85"/>
        <v>406806</v>
      </c>
      <c r="M607" s="122">
        <f t="shared" si="87"/>
        <v>0</v>
      </c>
      <c r="N607" s="137"/>
      <c r="O607" s="149" t="b">
        <f t="shared" si="88"/>
        <v>1</v>
      </c>
      <c r="P607" s="149">
        <f t="shared" si="89"/>
        <v>0</v>
      </c>
      <c r="Q607" s="149" t="b">
        <f t="shared" si="90"/>
        <v>1</v>
      </c>
      <c r="R607" s="149">
        <f t="shared" si="91"/>
        <v>0</v>
      </c>
      <c r="S607" s="144"/>
      <c r="T607" s="143">
        <v>45806</v>
      </c>
      <c r="U607" s="144" t="s">
        <v>1547</v>
      </c>
      <c r="V607" s="144"/>
      <c r="W607" s="144"/>
      <c r="X607" s="144"/>
      <c r="Y607" s="144" t="s">
        <v>1802</v>
      </c>
      <c r="Z607" s="145"/>
      <c r="AA607" s="145"/>
      <c r="AB607" s="144"/>
      <c r="AC607" s="144"/>
      <c r="AD607" s="145">
        <v>406806</v>
      </c>
      <c r="AE607" s="144"/>
      <c r="AF607" s="146"/>
      <c r="AN607" s="70" t="s">
        <v>1807</v>
      </c>
    </row>
    <row r="608" spans="1:40">
      <c r="A608" s="132">
        <f t="shared" si="86"/>
        <v>600</v>
      </c>
      <c r="B608" s="133" t="s">
        <v>1769</v>
      </c>
      <c r="C608" s="133" t="s">
        <v>1904</v>
      </c>
      <c r="D608" s="132" t="s">
        <v>1698</v>
      </c>
      <c r="E608" s="147" t="s">
        <v>1548</v>
      </c>
      <c r="F608" s="135">
        <v>45806</v>
      </c>
      <c r="G608" s="45"/>
      <c r="H608" s="136"/>
      <c r="I608" s="136">
        <v>406806</v>
      </c>
      <c r="J608" s="137" t="s">
        <v>1025</v>
      </c>
      <c r="K608" s="150">
        <f>L608</f>
        <v>406806</v>
      </c>
      <c r="L608" s="148">
        <f t="shared" si="85"/>
        <v>406806</v>
      </c>
      <c r="M608" s="122">
        <f t="shared" si="87"/>
        <v>0</v>
      </c>
      <c r="N608" s="137"/>
      <c r="O608" s="149" t="b">
        <f t="shared" si="88"/>
        <v>1</v>
      </c>
      <c r="P608" s="149">
        <f t="shared" si="89"/>
        <v>0</v>
      </c>
      <c r="Q608" s="149" t="b">
        <f t="shared" si="90"/>
        <v>1</v>
      </c>
      <c r="R608" s="149">
        <f t="shared" si="91"/>
        <v>0</v>
      </c>
      <c r="S608" s="144"/>
      <c r="T608" s="143">
        <v>45806</v>
      </c>
      <c r="U608" s="144" t="s">
        <v>1548</v>
      </c>
      <c r="V608" s="144"/>
      <c r="W608" s="144"/>
      <c r="X608" s="144"/>
      <c r="Y608" s="144" t="s">
        <v>1802</v>
      </c>
      <c r="Z608" s="145"/>
      <c r="AA608" s="145"/>
      <c r="AB608" s="144"/>
      <c r="AC608" s="144"/>
      <c r="AD608" s="145">
        <v>406806</v>
      </c>
      <c r="AE608" s="144"/>
      <c r="AF608" s="146"/>
      <c r="AN608" s="70" t="s">
        <v>1807</v>
      </c>
    </row>
    <row r="609" spans="1:40">
      <c r="A609" s="132">
        <f t="shared" si="86"/>
        <v>601</v>
      </c>
      <c r="B609" s="133" t="s">
        <v>1769</v>
      </c>
      <c r="C609" s="133" t="s">
        <v>1904</v>
      </c>
      <c r="D609" s="132" t="s">
        <v>1698</v>
      </c>
      <c r="E609" s="147" t="s">
        <v>1549</v>
      </c>
      <c r="F609" s="135">
        <v>45806</v>
      </c>
      <c r="G609" s="45"/>
      <c r="H609" s="136"/>
      <c r="I609" s="136">
        <v>203403</v>
      </c>
      <c r="J609" s="137" t="s">
        <v>1025</v>
      </c>
      <c r="K609" s="150"/>
      <c r="L609" s="148">
        <f t="shared" si="85"/>
        <v>203403</v>
      </c>
      <c r="M609" s="122">
        <f t="shared" si="87"/>
        <v>0</v>
      </c>
      <c r="N609" s="137"/>
      <c r="O609" s="149" t="b">
        <f t="shared" si="88"/>
        <v>1</v>
      </c>
      <c r="P609" s="149">
        <f t="shared" si="89"/>
        <v>0</v>
      </c>
      <c r="Q609" s="149" t="b">
        <f t="shared" si="90"/>
        <v>1</v>
      </c>
      <c r="R609" s="149">
        <f t="shared" si="91"/>
        <v>0</v>
      </c>
      <c r="S609" s="144"/>
      <c r="T609" s="143">
        <v>45806</v>
      </c>
      <c r="U609" s="144" t="s">
        <v>1549</v>
      </c>
      <c r="V609" s="144"/>
      <c r="W609" s="144"/>
      <c r="X609" s="144"/>
      <c r="Y609" s="144" t="s">
        <v>1802</v>
      </c>
      <c r="Z609" s="145"/>
      <c r="AA609" s="145"/>
      <c r="AB609" s="144"/>
      <c r="AC609" s="144"/>
      <c r="AD609" s="145">
        <v>203403</v>
      </c>
      <c r="AE609" s="144"/>
      <c r="AF609" s="146"/>
      <c r="AN609" s="70" t="s">
        <v>1807</v>
      </c>
    </row>
    <row r="610" spans="1:40">
      <c r="A610" s="132">
        <f t="shared" si="86"/>
        <v>602</v>
      </c>
      <c r="B610" s="133" t="s">
        <v>1769</v>
      </c>
      <c r="C610" s="133" t="s">
        <v>1904</v>
      </c>
      <c r="D610" s="132" t="s">
        <v>1698</v>
      </c>
      <c r="E610" s="147" t="s">
        <v>1550</v>
      </c>
      <c r="F610" s="135">
        <v>45800</v>
      </c>
      <c r="G610" s="45"/>
      <c r="H610" s="136"/>
      <c r="I610" s="136">
        <v>813410</v>
      </c>
      <c r="J610" s="137" t="s">
        <v>1025</v>
      </c>
      <c r="K610" s="150">
        <f>L610</f>
        <v>813410</v>
      </c>
      <c r="L610" s="148">
        <f t="shared" si="85"/>
        <v>813410</v>
      </c>
      <c r="M610" s="122">
        <f t="shared" si="87"/>
        <v>0</v>
      </c>
      <c r="N610" s="137"/>
      <c r="O610" s="149" t="b">
        <f t="shared" si="88"/>
        <v>1</v>
      </c>
      <c r="P610" s="149">
        <f t="shared" si="89"/>
        <v>0</v>
      </c>
      <c r="Q610" s="149" t="b">
        <f t="shared" si="90"/>
        <v>1</v>
      </c>
      <c r="R610" s="149">
        <f t="shared" si="91"/>
        <v>0</v>
      </c>
      <c r="S610" s="144"/>
      <c r="T610" s="143">
        <v>45800</v>
      </c>
      <c r="U610" s="144" t="s">
        <v>1550</v>
      </c>
      <c r="V610" s="144"/>
      <c r="W610" s="144"/>
      <c r="X610" s="144"/>
      <c r="Y610" s="144" t="s">
        <v>1802</v>
      </c>
      <c r="Z610" s="145"/>
      <c r="AA610" s="145"/>
      <c r="AB610" s="144"/>
      <c r="AC610" s="144"/>
      <c r="AD610" s="145">
        <v>813410</v>
      </c>
      <c r="AE610" s="144"/>
      <c r="AF610" s="146"/>
      <c r="AN610" s="70" t="s">
        <v>1807</v>
      </c>
    </row>
    <row r="611" spans="1:40">
      <c r="A611" s="132">
        <f t="shared" si="86"/>
        <v>603</v>
      </c>
      <c r="B611" s="133" t="s">
        <v>1768</v>
      </c>
      <c r="C611" s="133" t="s">
        <v>1929</v>
      </c>
      <c r="D611" s="132" t="s">
        <v>1069</v>
      </c>
      <c r="E611" s="147" t="s">
        <v>1551</v>
      </c>
      <c r="F611" s="135">
        <v>45797</v>
      </c>
      <c r="G611" s="45"/>
      <c r="H611" s="136"/>
      <c r="I611" s="136">
        <v>28021</v>
      </c>
      <c r="J611" s="137" t="s">
        <v>1025</v>
      </c>
      <c r="K611" s="150">
        <f t="shared" ref="K611:K612" si="92">L611</f>
        <v>28014</v>
      </c>
      <c r="L611" s="148">
        <f t="shared" ref="L611:L612" si="93">AD611</f>
        <v>28014</v>
      </c>
      <c r="M611" s="122">
        <f t="shared" si="87"/>
        <v>7</v>
      </c>
      <c r="N611" s="137"/>
      <c r="O611" s="149" t="b">
        <f t="shared" si="88"/>
        <v>1</v>
      </c>
      <c r="P611" s="149">
        <f t="shared" si="89"/>
        <v>0</v>
      </c>
      <c r="Q611" s="149" t="b">
        <f t="shared" si="90"/>
        <v>0</v>
      </c>
      <c r="R611" s="149">
        <f t="shared" si="91"/>
        <v>7</v>
      </c>
      <c r="S611" s="144"/>
      <c r="T611" s="143">
        <v>45797</v>
      </c>
      <c r="U611" s="144" t="s">
        <v>1551</v>
      </c>
      <c r="V611" s="144">
        <v>0</v>
      </c>
      <c r="W611" s="144" t="s">
        <v>1071</v>
      </c>
      <c r="X611" s="144" t="s">
        <v>1801</v>
      </c>
      <c r="Y611" s="144" t="s">
        <v>1802</v>
      </c>
      <c r="Z611" s="145">
        <v>308154</v>
      </c>
      <c r="AA611" s="145">
        <v>280140</v>
      </c>
      <c r="AB611" s="144">
        <v>0</v>
      </c>
      <c r="AC611" s="144" t="s">
        <v>1022</v>
      </c>
      <c r="AD611" s="145">
        <v>28014</v>
      </c>
      <c r="AE611" s="144">
        <v>0</v>
      </c>
      <c r="AF611" s="146">
        <v>0</v>
      </c>
      <c r="AG611" s="70">
        <v>0</v>
      </c>
      <c r="AH611" s="70">
        <v>0</v>
      </c>
      <c r="AI611" s="70">
        <v>0</v>
      </c>
      <c r="AJ611" s="70">
        <v>0</v>
      </c>
      <c r="AK611" s="70">
        <v>0</v>
      </c>
      <c r="AL611" s="70">
        <v>0.01</v>
      </c>
      <c r="AM611" s="70">
        <v>0</v>
      </c>
      <c r="AN611" s="70" t="s">
        <v>1877</v>
      </c>
    </row>
    <row r="612" spans="1:40">
      <c r="A612" s="132">
        <f t="shared" si="86"/>
        <v>604</v>
      </c>
      <c r="B612" s="133" t="s">
        <v>1768</v>
      </c>
      <c r="C612" s="133" t="s">
        <v>1929</v>
      </c>
      <c r="D612" s="132" t="s">
        <v>1069</v>
      </c>
      <c r="E612" s="147" t="s">
        <v>1552</v>
      </c>
      <c r="F612" s="135">
        <v>45797</v>
      </c>
      <c r="G612" s="45"/>
      <c r="H612" s="136"/>
      <c r="I612" s="136">
        <v>28021</v>
      </c>
      <c r="J612" s="137" t="s">
        <v>1025</v>
      </c>
      <c r="K612" s="150">
        <f t="shared" si="92"/>
        <v>28014</v>
      </c>
      <c r="L612" s="148">
        <f t="shared" si="93"/>
        <v>28014</v>
      </c>
      <c r="M612" s="122">
        <f t="shared" si="87"/>
        <v>7</v>
      </c>
      <c r="N612" s="137"/>
      <c r="O612" s="149" t="b">
        <f t="shared" si="88"/>
        <v>1</v>
      </c>
      <c r="P612" s="149">
        <f t="shared" si="89"/>
        <v>0</v>
      </c>
      <c r="Q612" s="149" t="b">
        <f t="shared" si="90"/>
        <v>0</v>
      </c>
      <c r="R612" s="149">
        <f t="shared" si="91"/>
        <v>7</v>
      </c>
      <c r="S612" s="144"/>
      <c r="T612" s="143">
        <v>45797</v>
      </c>
      <c r="U612" s="144" t="s">
        <v>1552</v>
      </c>
      <c r="V612" s="144">
        <v>0</v>
      </c>
      <c r="W612" s="144" t="s">
        <v>1071</v>
      </c>
      <c r="X612" s="144" t="s">
        <v>1801</v>
      </c>
      <c r="Y612" s="144" t="s">
        <v>1802</v>
      </c>
      <c r="Z612" s="145">
        <v>308154</v>
      </c>
      <c r="AA612" s="145">
        <v>280140</v>
      </c>
      <c r="AB612" s="144">
        <v>0</v>
      </c>
      <c r="AC612" s="144" t="s">
        <v>1022</v>
      </c>
      <c r="AD612" s="145">
        <v>28014</v>
      </c>
      <c r="AE612" s="144">
        <v>0</v>
      </c>
      <c r="AF612" s="146">
        <v>0</v>
      </c>
      <c r="AG612" s="70">
        <v>0</v>
      </c>
      <c r="AH612" s="70">
        <v>0</v>
      </c>
      <c r="AI612" s="70">
        <v>0</v>
      </c>
      <c r="AJ612" s="70">
        <v>0</v>
      </c>
      <c r="AK612" s="70">
        <v>0</v>
      </c>
      <c r="AL612" s="70">
        <v>0.01</v>
      </c>
      <c r="AM612" s="70">
        <v>0</v>
      </c>
      <c r="AN612" s="70" t="s">
        <v>1877</v>
      </c>
    </row>
    <row r="613" spans="1:40">
      <c r="A613" s="132">
        <f t="shared" si="86"/>
        <v>605</v>
      </c>
      <c r="B613" s="133" t="s">
        <v>1769</v>
      </c>
      <c r="C613" s="133" t="s">
        <v>1904</v>
      </c>
      <c r="D613" s="132" t="s">
        <v>1698</v>
      </c>
      <c r="E613" s="147" t="s">
        <v>1553</v>
      </c>
      <c r="F613" s="135">
        <v>45793</v>
      </c>
      <c r="G613" s="45"/>
      <c r="H613" s="136"/>
      <c r="I613" s="136">
        <v>203302</v>
      </c>
      <c r="J613" s="137" t="s">
        <v>1025</v>
      </c>
      <c r="K613" s="150"/>
      <c r="L613" s="148">
        <f>I613</f>
        <v>203302</v>
      </c>
      <c r="M613" s="122">
        <f t="shared" si="87"/>
        <v>0</v>
      </c>
      <c r="N613" s="137"/>
      <c r="O613" s="149" t="b">
        <f t="shared" si="88"/>
        <v>1</v>
      </c>
      <c r="P613" s="149">
        <f t="shared" si="89"/>
        <v>0</v>
      </c>
      <c r="Q613" s="149" t="b">
        <f t="shared" si="90"/>
        <v>1</v>
      </c>
      <c r="R613" s="149">
        <f t="shared" si="91"/>
        <v>0</v>
      </c>
      <c r="S613" s="144"/>
      <c r="T613" s="143">
        <v>45793</v>
      </c>
      <c r="U613" s="144" t="s">
        <v>1553</v>
      </c>
      <c r="V613" s="144"/>
      <c r="W613" s="144"/>
      <c r="X613" s="144"/>
      <c r="Y613" s="144" t="s">
        <v>1802</v>
      </c>
      <c r="Z613" s="145"/>
      <c r="AA613" s="145"/>
      <c r="AB613" s="144"/>
      <c r="AC613" s="144"/>
      <c r="AD613" s="145">
        <v>203302</v>
      </c>
      <c r="AE613" s="144"/>
      <c r="AF613" s="146"/>
      <c r="AN613" s="70" t="s">
        <v>1807</v>
      </c>
    </row>
    <row r="614" spans="1:40">
      <c r="A614" s="132">
        <f t="shared" si="86"/>
        <v>606</v>
      </c>
      <c r="B614" s="133" t="s">
        <v>1768</v>
      </c>
      <c r="C614" s="133" t="s">
        <v>1929</v>
      </c>
      <c r="D614" s="132" t="s">
        <v>1069</v>
      </c>
      <c r="E614" s="147" t="s">
        <v>1554</v>
      </c>
      <c r="F614" s="135">
        <v>45797</v>
      </c>
      <c r="G614" s="45"/>
      <c r="H614" s="136"/>
      <c r="I614" s="136">
        <v>28021</v>
      </c>
      <c r="J614" s="137" t="s">
        <v>1025</v>
      </c>
      <c r="K614" s="150">
        <f>L614</f>
        <v>28014</v>
      </c>
      <c r="L614" s="148">
        <f>AD614</f>
        <v>28014</v>
      </c>
      <c r="M614" s="122">
        <f t="shared" si="87"/>
        <v>7</v>
      </c>
      <c r="N614" s="137"/>
      <c r="O614" s="149" t="b">
        <f t="shared" si="88"/>
        <v>1</v>
      </c>
      <c r="P614" s="149">
        <f t="shared" si="89"/>
        <v>0</v>
      </c>
      <c r="Q614" s="149" t="b">
        <f t="shared" si="90"/>
        <v>0</v>
      </c>
      <c r="R614" s="149">
        <f t="shared" si="91"/>
        <v>7</v>
      </c>
      <c r="S614" s="144"/>
      <c r="T614" s="143">
        <v>45797</v>
      </c>
      <c r="U614" s="144" t="s">
        <v>1554</v>
      </c>
      <c r="V614" s="144">
        <v>0</v>
      </c>
      <c r="W614" s="144" t="s">
        <v>1071</v>
      </c>
      <c r="X614" s="144" t="s">
        <v>1801</v>
      </c>
      <c r="Y614" s="144" t="s">
        <v>1802</v>
      </c>
      <c r="Z614" s="145">
        <v>308154</v>
      </c>
      <c r="AA614" s="145">
        <v>280140</v>
      </c>
      <c r="AB614" s="144">
        <v>0</v>
      </c>
      <c r="AC614" s="144" t="s">
        <v>1022</v>
      </c>
      <c r="AD614" s="145">
        <v>28014</v>
      </c>
      <c r="AE614" s="144">
        <v>0</v>
      </c>
      <c r="AF614" s="146">
        <v>0</v>
      </c>
      <c r="AG614" s="70">
        <v>0</v>
      </c>
      <c r="AH614" s="70">
        <v>0</v>
      </c>
      <c r="AI614" s="70">
        <v>0</v>
      </c>
      <c r="AJ614" s="70">
        <v>0</v>
      </c>
      <c r="AK614" s="70">
        <v>0</v>
      </c>
      <c r="AL614" s="70">
        <v>0.01</v>
      </c>
      <c r="AM614" s="70">
        <v>0</v>
      </c>
      <c r="AN614" s="70" t="s">
        <v>1877</v>
      </c>
    </row>
    <row r="615" spans="1:40">
      <c r="A615" s="132">
        <f t="shared" si="86"/>
        <v>607</v>
      </c>
      <c r="B615" s="133" t="s">
        <v>1769</v>
      </c>
      <c r="C615" s="133" t="s">
        <v>1904</v>
      </c>
      <c r="D615" s="132" t="s">
        <v>1698</v>
      </c>
      <c r="E615" s="147" t="s">
        <v>1555</v>
      </c>
      <c r="F615" s="135">
        <v>45793</v>
      </c>
      <c r="G615" s="45"/>
      <c r="H615" s="136"/>
      <c r="I615" s="136">
        <v>203302</v>
      </c>
      <c r="J615" s="137" t="s">
        <v>1025</v>
      </c>
      <c r="K615" s="150"/>
      <c r="L615" s="148">
        <f>I615</f>
        <v>203302</v>
      </c>
      <c r="M615" s="122">
        <f t="shared" si="87"/>
        <v>0</v>
      </c>
      <c r="N615" s="137"/>
      <c r="O615" s="149" t="b">
        <f t="shared" si="88"/>
        <v>1</v>
      </c>
      <c r="P615" s="149">
        <f t="shared" si="89"/>
        <v>0</v>
      </c>
      <c r="Q615" s="149" t="b">
        <f t="shared" si="90"/>
        <v>1</v>
      </c>
      <c r="R615" s="149">
        <f t="shared" si="91"/>
        <v>0</v>
      </c>
      <c r="S615" s="144"/>
      <c r="T615" s="143">
        <v>45793</v>
      </c>
      <c r="U615" s="144" t="s">
        <v>1555</v>
      </c>
      <c r="V615" s="144"/>
      <c r="W615" s="144"/>
      <c r="X615" s="144"/>
      <c r="Y615" s="144" t="s">
        <v>1802</v>
      </c>
      <c r="Z615" s="145"/>
      <c r="AA615" s="145"/>
      <c r="AB615" s="144"/>
      <c r="AC615" s="144"/>
      <c r="AD615" s="145">
        <v>203302</v>
      </c>
      <c r="AE615" s="144"/>
      <c r="AF615" s="146"/>
      <c r="AN615" s="70" t="s">
        <v>1807</v>
      </c>
    </row>
    <row r="616" spans="1:40">
      <c r="A616" s="132">
        <f t="shared" si="86"/>
        <v>608</v>
      </c>
      <c r="B616" s="133" t="s">
        <v>1768</v>
      </c>
      <c r="C616" s="133" t="s">
        <v>1929</v>
      </c>
      <c r="D616" s="132" t="s">
        <v>1069</v>
      </c>
      <c r="E616" s="147" t="s">
        <v>1556</v>
      </c>
      <c r="F616" s="135">
        <v>45797</v>
      </c>
      <c r="G616" s="45"/>
      <c r="H616" s="136"/>
      <c r="I616" s="136">
        <v>28021</v>
      </c>
      <c r="J616" s="137" t="s">
        <v>1025</v>
      </c>
      <c r="K616" s="150">
        <f>L616</f>
        <v>28014</v>
      </c>
      <c r="L616" s="148">
        <f>AD616</f>
        <v>28014</v>
      </c>
      <c r="M616" s="122">
        <f t="shared" si="87"/>
        <v>7</v>
      </c>
      <c r="N616" s="137"/>
      <c r="O616" s="149" t="b">
        <f t="shared" si="88"/>
        <v>1</v>
      </c>
      <c r="P616" s="149">
        <f t="shared" si="89"/>
        <v>0</v>
      </c>
      <c r="Q616" s="149" t="b">
        <f t="shared" si="90"/>
        <v>0</v>
      </c>
      <c r="R616" s="149">
        <f t="shared" si="91"/>
        <v>7</v>
      </c>
      <c r="S616" s="144"/>
      <c r="T616" s="143">
        <v>45797</v>
      </c>
      <c r="U616" s="144" t="s">
        <v>1556</v>
      </c>
      <c r="V616" s="144">
        <v>0</v>
      </c>
      <c r="W616" s="144" t="s">
        <v>1071</v>
      </c>
      <c r="X616" s="144" t="s">
        <v>1801</v>
      </c>
      <c r="Y616" s="144" t="s">
        <v>1802</v>
      </c>
      <c r="Z616" s="145">
        <v>308154</v>
      </c>
      <c r="AA616" s="145">
        <v>280140</v>
      </c>
      <c r="AB616" s="144">
        <v>0</v>
      </c>
      <c r="AC616" s="144" t="s">
        <v>1022</v>
      </c>
      <c r="AD616" s="145">
        <v>28014</v>
      </c>
      <c r="AE616" s="144">
        <v>0</v>
      </c>
      <c r="AF616" s="146">
        <v>0</v>
      </c>
      <c r="AG616" s="70">
        <v>0</v>
      </c>
      <c r="AH616" s="70">
        <v>0</v>
      </c>
      <c r="AI616" s="70">
        <v>0</v>
      </c>
      <c r="AJ616" s="70">
        <v>0</v>
      </c>
      <c r="AK616" s="70">
        <v>0</v>
      </c>
      <c r="AL616" s="70">
        <v>0.01</v>
      </c>
      <c r="AM616" s="70">
        <v>0</v>
      </c>
      <c r="AN616" s="70" t="s">
        <v>1877</v>
      </c>
    </row>
    <row r="617" spans="1:40">
      <c r="A617" s="132">
        <f t="shared" si="86"/>
        <v>609</v>
      </c>
      <c r="B617" s="133" t="s">
        <v>1769</v>
      </c>
      <c r="C617" s="133" t="s">
        <v>1904</v>
      </c>
      <c r="D617" s="132" t="s">
        <v>1698</v>
      </c>
      <c r="E617" s="147" t="s">
        <v>1557</v>
      </c>
      <c r="F617" s="135">
        <v>45793</v>
      </c>
      <c r="G617" s="45"/>
      <c r="H617" s="136"/>
      <c r="I617" s="136">
        <v>203302</v>
      </c>
      <c r="J617" s="137" t="s">
        <v>1025</v>
      </c>
      <c r="K617" s="150"/>
      <c r="L617" s="148">
        <f>I617</f>
        <v>203302</v>
      </c>
      <c r="M617" s="122">
        <f t="shared" si="87"/>
        <v>0</v>
      </c>
      <c r="N617" s="137"/>
      <c r="O617" s="149" t="b">
        <f t="shared" si="88"/>
        <v>1</v>
      </c>
      <c r="P617" s="149">
        <f t="shared" si="89"/>
        <v>0</v>
      </c>
      <c r="Q617" s="149" t="b">
        <f t="shared" si="90"/>
        <v>1</v>
      </c>
      <c r="R617" s="149">
        <f t="shared" si="91"/>
        <v>0</v>
      </c>
      <c r="S617" s="144"/>
      <c r="T617" s="143">
        <v>45793</v>
      </c>
      <c r="U617" s="144" t="s">
        <v>1557</v>
      </c>
      <c r="V617" s="144"/>
      <c r="W617" s="144"/>
      <c r="X617" s="144"/>
      <c r="Y617" s="144" t="s">
        <v>1802</v>
      </c>
      <c r="Z617" s="145"/>
      <c r="AA617" s="145"/>
      <c r="AB617" s="144"/>
      <c r="AC617" s="144"/>
      <c r="AD617" s="145">
        <v>203302</v>
      </c>
      <c r="AE617" s="144"/>
      <c r="AF617" s="146"/>
      <c r="AN617" s="70" t="s">
        <v>1807</v>
      </c>
    </row>
    <row r="618" spans="1:40" ht="23.4" thickBot="1">
      <c r="A618" s="132">
        <f t="shared" si="86"/>
        <v>610</v>
      </c>
      <c r="B618" s="133" t="s">
        <v>1768</v>
      </c>
      <c r="C618" s="133" t="s">
        <v>1929</v>
      </c>
      <c r="D618" s="132" t="s">
        <v>1069</v>
      </c>
      <c r="E618" s="147" t="s">
        <v>1558</v>
      </c>
      <c r="F618" s="135">
        <v>45797</v>
      </c>
      <c r="G618" s="45"/>
      <c r="H618" s="136"/>
      <c r="I618" s="136">
        <v>28021</v>
      </c>
      <c r="J618" s="137" t="s">
        <v>1025</v>
      </c>
      <c r="K618" s="150">
        <f>L618</f>
        <v>28014</v>
      </c>
      <c r="L618" s="148">
        <f>AD618</f>
        <v>28014</v>
      </c>
      <c r="M618" s="122">
        <f t="shared" si="87"/>
        <v>7</v>
      </c>
      <c r="N618" s="137"/>
      <c r="O618" s="149" t="b">
        <f t="shared" si="88"/>
        <v>1</v>
      </c>
      <c r="P618" s="149">
        <f t="shared" si="89"/>
        <v>0</v>
      </c>
      <c r="Q618" s="149" t="b">
        <f t="shared" si="90"/>
        <v>0</v>
      </c>
      <c r="R618" s="149">
        <f t="shared" si="91"/>
        <v>7</v>
      </c>
      <c r="S618" s="144"/>
      <c r="T618" s="143">
        <v>45797</v>
      </c>
      <c r="U618" s="144" t="s">
        <v>1558</v>
      </c>
      <c r="V618" s="144">
        <v>0</v>
      </c>
      <c r="W618" s="144" t="s">
        <v>1071</v>
      </c>
      <c r="X618" s="144" t="s">
        <v>1801</v>
      </c>
      <c r="Y618" s="144" t="s">
        <v>1802</v>
      </c>
      <c r="Z618" s="145">
        <v>308154</v>
      </c>
      <c r="AA618" s="145">
        <v>280140</v>
      </c>
      <c r="AB618" s="144">
        <v>0</v>
      </c>
      <c r="AC618" s="144" t="s">
        <v>1022</v>
      </c>
      <c r="AD618" s="145">
        <v>28014</v>
      </c>
      <c r="AE618" s="144">
        <v>0</v>
      </c>
      <c r="AF618" s="146">
        <v>0</v>
      </c>
      <c r="AG618" s="70">
        <v>0</v>
      </c>
      <c r="AH618" s="70">
        <v>0</v>
      </c>
      <c r="AI618" s="70">
        <v>0</v>
      </c>
      <c r="AJ618" s="70">
        <v>0</v>
      </c>
      <c r="AK618" s="70">
        <v>0</v>
      </c>
      <c r="AL618" s="70">
        <v>0.01</v>
      </c>
      <c r="AM618" s="70">
        <v>0</v>
      </c>
      <c r="AN618" s="70" t="s">
        <v>1877</v>
      </c>
    </row>
    <row r="619" spans="1:40" ht="23.4" thickBot="1">
      <c r="A619" s="132">
        <f t="shared" si="86"/>
        <v>611</v>
      </c>
      <c r="B619" s="133" t="s">
        <v>1769</v>
      </c>
      <c r="C619" s="133" t="s">
        <v>1904</v>
      </c>
      <c r="D619" s="132" t="s">
        <v>1698</v>
      </c>
      <c r="E619" s="147" t="s">
        <v>1559</v>
      </c>
      <c r="F619" s="135">
        <v>45793</v>
      </c>
      <c r="G619" s="45"/>
      <c r="H619" s="136"/>
      <c r="I619" s="136">
        <v>203302</v>
      </c>
      <c r="J619" s="137" t="s">
        <v>1025</v>
      </c>
      <c r="K619" s="150"/>
      <c r="L619" s="148">
        <f>I619</f>
        <v>203302</v>
      </c>
      <c r="M619" s="122">
        <f t="shared" si="87"/>
        <v>0</v>
      </c>
      <c r="N619" s="137"/>
      <c r="O619" s="149" t="b">
        <f t="shared" si="88"/>
        <v>1</v>
      </c>
      <c r="P619" s="149">
        <f t="shared" si="89"/>
        <v>0</v>
      </c>
      <c r="Q619" s="149" t="b">
        <f t="shared" si="90"/>
        <v>1</v>
      </c>
      <c r="R619" s="149">
        <f t="shared" si="91"/>
        <v>0</v>
      </c>
      <c r="S619" s="144"/>
      <c r="T619" s="151">
        <v>45793</v>
      </c>
      <c r="U619" s="152" t="s">
        <v>1559</v>
      </c>
      <c r="V619" s="152"/>
      <c r="W619" s="152"/>
      <c r="X619" s="153"/>
      <c r="Y619" s="154" t="s">
        <v>1802</v>
      </c>
      <c r="Z619" s="155"/>
      <c r="AA619" s="155"/>
      <c r="AB619" s="155"/>
      <c r="AC619" s="156"/>
      <c r="AD619" s="155">
        <v>203302</v>
      </c>
      <c r="AE619" s="155"/>
      <c r="AF619" s="155"/>
      <c r="AG619" s="155"/>
      <c r="AH619" s="155"/>
      <c r="AI619" s="155"/>
      <c r="AJ619" s="155"/>
      <c r="AK619" s="155"/>
      <c r="AL619" s="157"/>
      <c r="AM619" s="156"/>
      <c r="AN619" s="154" t="s">
        <v>1807</v>
      </c>
    </row>
    <row r="620" spans="1:40" ht="23.4" thickBot="1">
      <c r="A620" s="132">
        <f t="shared" si="86"/>
        <v>612</v>
      </c>
      <c r="B620" s="133" t="s">
        <v>1768</v>
      </c>
      <c r="C620" s="133" t="s">
        <v>1929</v>
      </c>
      <c r="D620" s="132" t="s">
        <v>1069</v>
      </c>
      <c r="E620" s="147" t="s">
        <v>1560</v>
      </c>
      <c r="F620" s="135">
        <v>45797</v>
      </c>
      <c r="G620" s="45"/>
      <c r="H620" s="136"/>
      <c r="I620" s="136">
        <v>28021</v>
      </c>
      <c r="J620" s="137" t="s">
        <v>1025</v>
      </c>
      <c r="K620" s="150">
        <f>L620</f>
        <v>28014</v>
      </c>
      <c r="L620" s="148">
        <f>AD620</f>
        <v>28014</v>
      </c>
      <c r="M620" s="122">
        <f t="shared" si="87"/>
        <v>7</v>
      </c>
      <c r="N620" s="137"/>
      <c r="O620" s="149" t="b">
        <f t="shared" si="88"/>
        <v>1</v>
      </c>
      <c r="P620" s="149">
        <f t="shared" si="89"/>
        <v>0</v>
      </c>
      <c r="Q620" s="149" t="b">
        <f t="shared" si="90"/>
        <v>0</v>
      </c>
      <c r="R620" s="149">
        <f t="shared" si="91"/>
        <v>7</v>
      </c>
      <c r="S620" s="144"/>
      <c r="T620" s="143">
        <v>45797</v>
      </c>
      <c r="U620" s="144" t="s">
        <v>1560</v>
      </c>
      <c r="V620" s="144">
        <v>0</v>
      </c>
      <c r="W620" s="144" t="s">
        <v>1071</v>
      </c>
      <c r="X620" s="144" t="s">
        <v>1801</v>
      </c>
      <c r="Y620" s="144" t="s">
        <v>1802</v>
      </c>
      <c r="Z620" s="145">
        <v>308154</v>
      </c>
      <c r="AA620" s="145">
        <v>280140</v>
      </c>
      <c r="AB620" s="144">
        <v>0</v>
      </c>
      <c r="AC620" s="144" t="s">
        <v>1022</v>
      </c>
      <c r="AD620" s="145">
        <v>28014</v>
      </c>
      <c r="AE620" s="144">
        <v>0</v>
      </c>
      <c r="AF620" s="146">
        <v>0</v>
      </c>
      <c r="AG620" s="70">
        <v>0</v>
      </c>
      <c r="AH620" s="70">
        <v>0</v>
      </c>
      <c r="AI620" s="70">
        <v>0</v>
      </c>
      <c r="AJ620" s="70">
        <v>0</v>
      </c>
      <c r="AK620" s="70">
        <v>0</v>
      </c>
      <c r="AL620" s="70">
        <v>0.01</v>
      </c>
      <c r="AM620" s="70">
        <v>0</v>
      </c>
      <c r="AN620" s="70" t="s">
        <v>1877</v>
      </c>
    </row>
    <row r="621" spans="1:40" ht="23.4" thickBot="1">
      <c r="A621" s="132">
        <f t="shared" si="86"/>
        <v>613</v>
      </c>
      <c r="B621" s="133" t="s">
        <v>1769</v>
      </c>
      <c r="C621" s="133" t="s">
        <v>1904</v>
      </c>
      <c r="D621" s="132" t="s">
        <v>1698</v>
      </c>
      <c r="E621" s="147" t="s">
        <v>1561</v>
      </c>
      <c r="F621" s="135">
        <v>45793</v>
      </c>
      <c r="G621" s="45"/>
      <c r="H621" s="136"/>
      <c r="I621" s="136">
        <v>203302</v>
      </c>
      <c r="J621" s="137" t="s">
        <v>1025</v>
      </c>
      <c r="K621" s="150"/>
      <c r="L621" s="148">
        <f>I621</f>
        <v>203302</v>
      </c>
      <c r="M621" s="122">
        <f t="shared" si="87"/>
        <v>0</v>
      </c>
      <c r="N621" s="137"/>
      <c r="O621" s="149" t="b">
        <f t="shared" si="88"/>
        <v>1</v>
      </c>
      <c r="P621" s="149">
        <f t="shared" si="89"/>
        <v>0</v>
      </c>
      <c r="Q621" s="149" t="b">
        <f t="shared" si="90"/>
        <v>1</v>
      </c>
      <c r="R621" s="149">
        <f t="shared" si="91"/>
        <v>0</v>
      </c>
      <c r="S621" s="144"/>
      <c r="T621" s="151">
        <v>45793</v>
      </c>
      <c r="U621" s="152" t="s">
        <v>1561</v>
      </c>
      <c r="V621" s="152"/>
      <c r="W621" s="152"/>
      <c r="X621" s="153"/>
      <c r="Y621" s="154" t="s">
        <v>1802</v>
      </c>
      <c r="Z621" s="155"/>
      <c r="AA621" s="155"/>
      <c r="AB621" s="155"/>
      <c r="AC621" s="156"/>
      <c r="AD621" s="155">
        <v>203302</v>
      </c>
      <c r="AE621" s="155"/>
      <c r="AF621" s="155"/>
      <c r="AG621" s="155"/>
      <c r="AH621" s="155"/>
      <c r="AI621" s="155"/>
      <c r="AJ621" s="155"/>
      <c r="AK621" s="155"/>
      <c r="AL621" s="157"/>
      <c r="AM621" s="156"/>
      <c r="AN621" s="154" t="s">
        <v>1807</v>
      </c>
    </row>
    <row r="622" spans="1:40">
      <c r="A622" s="132">
        <f t="shared" si="86"/>
        <v>614</v>
      </c>
      <c r="B622" s="133" t="s">
        <v>1768</v>
      </c>
      <c r="C622" s="133" t="s">
        <v>1929</v>
      </c>
      <c r="D622" s="132" t="s">
        <v>1069</v>
      </c>
      <c r="E622" s="147" t="s">
        <v>1562</v>
      </c>
      <c r="F622" s="135">
        <v>45797</v>
      </c>
      <c r="G622" s="45"/>
      <c r="H622" s="136"/>
      <c r="I622" s="136">
        <v>28021</v>
      </c>
      <c r="J622" s="137" t="s">
        <v>1025</v>
      </c>
      <c r="K622" s="150">
        <f>L622</f>
        <v>28014</v>
      </c>
      <c r="L622" s="148">
        <f>AD622</f>
        <v>28014</v>
      </c>
      <c r="M622" s="122">
        <f t="shared" si="87"/>
        <v>7</v>
      </c>
      <c r="N622" s="137"/>
      <c r="O622" s="149" t="b">
        <f t="shared" si="88"/>
        <v>1</v>
      </c>
      <c r="P622" s="149">
        <f t="shared" si="89"/>
        <v>0</v>
      </c>
      <c r="Q622" s="149" t="b">
        <f t="shared" si="90"/>
        <v>0</v>
      </c>
      <c r="R622" s="149">
        <f t="shared" si="91"/>
        <v>7</v>
      </c>
      <c r="S622" s="144"/>
      <c r="T622" s="143">
        <v>45797</v>
      </c>
      <c r="U622" s="144" t="s">
        <v>1562</v>
      </c>
      <c r="V622" s="144">
        <v>0</v>
      </c>
      <c r="W622" s="144" t="s">
        <v>1071</v>
      </c>
      <c r="X622" s="144" t="s">
        <v>1801</v>
      </c>
      <c r="Y622" s="144" t="s">
        <v>1802</v>
      </c>
      <c r="Z622" s="145">
        <v>308154</v>
      </c>
      <c r="AA622" s="145">
        <v>280140</v>
      </c>
      <c r="AB622" s="144">
        <v>0</v>
      </c>
      <c r="AC622" s="144" t="s">
        <v>1022</v>
      </c>
      <c r="AD622" s="145">
        <v>28014</v>
      </c>
      <c r="AE622" s="144">
        <v>0</v>
      </c>
      <c r="AF622" s="146">
        <v>0</v>
      </c>
      <c r="AG622" s="70">
        <v>0</v>
      </c>
      <c r="AH622" s="70">
        <v>0</v>
      </c>
      <c r="AI622" s="70">
        <v>0</v>
      </c>
      <c r="AJ622" s="70">
        <v>0</v>
      </c>
      <c r="AK622" s="70">
        <v>0</v>
      </c>
      <c r="AL622" s="70">
        <v>0.01</v>
      </c>
      <c r="AM622" s="70">
        <v>0</v>
      </c>
      <c r="AN622" s="70" t="s">
        <v>1877</v>
      </c>
    </row>
    <row r="623" spans="1:40">
      <c r="A623" s="132">
        <f t="shared" si="86"/>
        <v>615</v>
      </c>
      <c r="B623" s="133" t="s">
        <v>1769</v>
      </c>
      <c r="C623" s="133" t="s">
        <v>1904</v>
      </c>
      <c r="D623" s="132" t="s">
        <v>1698</v>
      </c>
      <c r="E623" s="147" t="s">
        <v>1563</v>
      </c>
      <c r="F623" s="135">
        <v>45793</v>
      </c>
      <c r="G623" s="45"/>
      <c r="H623" s="136"/>
      <c r="I623" s="136">
        <v>203302</v>
      </c>
      <c r="J623" s="137" t="s">
        <v>1025</v>
      </c>
      <c r="K623" s="150"/>
      <c r="L623" s="148">
        <f t="shared" ref="L623:L624" si="94">I623</f>
        <v>203302</v>
      </c>
      <c r="M623" s="122">
        <f t="shared" si="87"/>
        <v>0</v>
      </c>
      <c r="N623" s="137"/>
      <c r="O623" s="149" t="b">
        <f t="shared" si="88"/>
        <v>1</v>
      </c>
      <c r="P623" s="149">
        <f t="shared" si="89"/>
        <v>0</v>
      </c>
      <c r="Q623" s="149" t="b">
        <f t="shared" si="90"/>
        <v>1</v>
      </c>
      <c r="R623" s="149">
        <f t="shared" si="91"/>
        <v>0</v>
      </c>
      <c r="S623" s="144"/>
      <c r="T623" s="143">
        <v>45793</v>
      </c>
      <c r="U623" s="144" t="s">
        <v>1563</v>
      </c>
      <c r="V623" s="144"/>
      <c r="W623" s="144"/>
      <c r="X623" s="144"/>
      <c r="Y623" s="144" t="s">
        <v>1802</v>
      </c>
      <c r="Z623" s="145"/>
      <c r="AA623" s="145"/>
      <c r="AB623" s="144"/>
      <c r="AC623" s="144"/>
      <c r="AD623" s="145">
        <v>203302</v>
      </c>
      <c r="AE623" s="144"/>
      <c r="AF623" s="146"/>
      <c r="AN623" s="70" t="s">
        <v>1807</v>
      </c>
    </row>
    <row r="624" spans="1:40">
      <c r="A624" s="132">
        <f t="shared" si="86"/>
        <v>616</v>
      </c>
      <c r="B624" s="133" t="s">
        <v>1769</v>
      </c>
      <c r="C624" s="133" t="s">
        <v>1904</v>
      </c>
      <c r="D624" s="132" t="s">
        <v>1698</v>
      </c>
      <c r="E624" s="147" t="s">
        <v>1564</v>
      </c>
      <c r="F624" s="135">
        <v>45793</v>
      </c>
      <c r="G624" s="45"/>
      <c r="H624" s="136"/>
      <c r="I624" s="136">
        <v>406603</v>
      </c>
      <c r="J624" s="137" t="s">
        <v>1025</v>
      </c>
      <c r="K624" s="150"/>
      <c r="L624" s="148">
        <f t="shared" si="94"/>
        <v>406603</v>
      </c>
      <c r="M624" s="122">
        <f t="shared" si="87"/>
        <v>0</v>
      </c>
      <c r="N624" s="137"/>
      <c r="O624" s="149" t="b">
        <f t="shared" si="88"/>
        <v>1</v>
      </c>
      <c r="P624" s="149">
        <f t="shared" si="89"/>
        <v>0</v>
      </c>
      <c r="Q624" s="149" t="b">
        <f t="shared" si="90"/>
        <v>1</v>
      </c>
      <c r="R624" s="149">
        <f t="shared" si="91"/>
        <v>0</v>
      </c>
      <c r="S624" s="144"/>
      <c r="T624" s="143">
        <v>45793</v>
      </c>
      <c r="U624" s="144" t="s">
        <v>1564</v>
      </c>
      <c r="V624" s="144"/>
      <c r="W624" s="144"/>
      <c r="X624" s="144"/>
      <c r="Y624" s="144" t="s">
        <v>1802</v>
      </c>
      <c r="Z624" s="145"/>
      <c r="AA624" s="145"/>
      <c r="AB624" s="144"/>
      <c r="AC624" s="144"/>
      <c r="AD624" s="145">
        <v>406603</v>
      </c>
      <c r="AE624" s="144"/>
      <c r="AF624" s="146"/>
      <c r="AN624" s="70" t="s">
        <v>1807</v>
      </c>
    </row>
    <row r="625" spans="1:40">
      <c r="A625" s="132">
        <f t="shared" si="86"/>
        <v>617</v>
      </c>
      <c r="B625" s="133" t="s">
        <v>1768</v>
      </c>
      <c r="C625" s="133" t="s">
        <v>1929</v>
      </c>
      <c r="D625" s="132" t="s">
        <v>1069</v>
      </c>
      <c r="E625" s="147" t="s">
        <v>1565</v>
      </c>
      <c r="F625" s="135">
        <v>45797</v>
      </c>
      <c r="G625" s="45"/>
      <c r="H625" s="136"/>
      <c r="I625" s="136">
        <v>56042</v>
      </c>
      <c r="J625" s="137" t="s">
        <v>1025</v>
      </c>
      <c r="K625" s="150">
        <f>L625</f>
        <v>56028</v>
      </c>
      <c r="L625" s="148">
        <f>AD625</f>
        <v>56028</v>
      </c>
      <c r="M625" s="122">
        <f t="shared" si="87"/>
        <v>14</v>
      </c>
      <c r="N625" s="137"/>
      <c r="O625" s="149" t="b">
        <f t="shared" si="88"/>
        <v>1</v>
      </c>
      <c r="P625" s="149">
        <f t="shared" si="89"/>
        <v>0</v>
      </c>
      <c r="Q625" s="149" t="b">
        <f t="shared" si="90"/>
        <v>0</v>
      </c>
      <c r="R625" s="149">
        <f t="shared" si="91"/>
        <v>14</v>
      </c>
      <c r="S625" s="144"/>
      <c r="T625" s="143">
        <v>45797</v>
      </c>
      <c r="U625" s="144" t="s">
        <v>1565</v>
      </c>
      <c r="V625" s="144">
        <v>0</v>
      </c>
      <c r="W625" s="144" t="s">
        <v>1071</v>
      </c>
      <c r="X625" s="144" t="s">
        <v>1801</v>
      </c>
      <c r="Y625" s="144" t="s">
        <v>1802</v>
      </c>
      <c r="Z625" s="145">
        <v>616308</v>
      </c>
      <c r="AA625" s="145">
        <v>560280</v>
      </c>
      <c r="AB625" s="144">
        <v>0</v>
      </c>
      <c r="AC625" s="144" t="s">
        <v>1022</v>
      </c>
      <c r="AD625" s="145">
        <v>56028</v>
      </c>
      <c r="AE625" s="144">
        <v>0</v>
      </c>
      <c r="AF625" s="146">
        <v>0</v>
      </c>
      <c r="AG625" s="70">
        <v>0</v>
      </c>
      <c r="AH625" s="70">
        <v>0</v>
      </c>
      <c r="AI625" s="70">
        <v>0</v>
      </c>
      <c r="AJ625" s="70">
        <v>0</v>
      </c>
      <c r="AK625" s="70">
        <v>0</v>
      </c>
      <c r="AL625" s="70">
        <v>0.01</v>
      </c>
      <c r="AM625" s="70">
        <v>0</v>
      </c>
      <c r="AN625" s="70" t="s">
        <v>1877</v>
      </c>
    </row>
    <row r="626" spans="1:40">
      <c r="A626" s="132">
        <f t="shared" si="86"/>
        <v>618</v>
      </c>
      <c r="B626" s="133" t="s">
        <v>1768</v>
      </c>
      <c r="C626" s="133" t="s">
        <v>1929</v>
      </c>
      <c r="D626" s="132" t="s">
        <v>1069</v>
      </c>
      <c r="E626" s="147" t="s">
        <v>1566</v>
      </c>
      <c r="F626" s="135">
        <v>45803</v>
      </c>
      <c r="G626" s="45"/>
      <c r="H626" s="136"/>
      <c r="I626" s="136">
        <v>56028</v>
      </c>
      <c r="J626" s="137" t="s">
        <v>1025</v>
      </c>
      <c r="K626" s="150"/>
      <c r="L626" s="148">
        <f t="shared" ref="L626:L634" si="95">I626</f>
        <v>56028</v>
      </c>
      <c r="M626" s="122">
        <f t="shared" si="87"/>
        <v>0</v>
      </c>
      <c r="N626" s="137"/>
      <c r="O626" s="149" t="b">
        <f t="shared" si="88"/>
        <v>1</v>
      </c>
      <c r="P626" s="149">
        <f t="shared" si="89"/>
        <v>0</v>
      </c>
      <c r="Q626" s="149" t="b">
        <f t="shared" si="90"/>
        <v>0</v>
      </c>
      <c r="R626" s="149">
        <f t="shared" si="91"/>
        <v>0</v>
      </c>
      <c r="S626" s="144"/>
      <c r="T626" s="143">
        <v>45803</v>
      </c>
      <c r="U626" s="144" t="s">
        <v>1566</v>
      </c>
      <c r="V626" s="144">
        <v>0</v>
      </c>
      <c r="W626" s="144" t="s">
        <v>1071</v>
      </c>
      <c r="X626" s="144" t="s">
        <v>1801</v>
      </c>
      <c r="Y626" s="144" t="s">
        <v>1802</v>
      </c>
      <c r="Z626" s="145">
        <v>616308</v>
      </c>
      <c r="AA626" s="145">
        <v>560280</v>
      </c>
      <c r="AB626" s="144">
        <v>0</v>
      </c>
      <c r="AC626" s="144" t="s">
        <v>1022</v>
      </c>
      <c r="AD626" s="145">
        <v>56028</v>
      </c>
      <c r="AE626" s="144">
        <v>0</v>
      </c>
      <c r="AF626" s="146">
        <v>0</v>
      </c>
      <c r="AG626" s="70">
        <v>0</v>
      </c>
      <c r="AH626" s="70">
        <v>0</v>
      </c>
      <c r="AI626" s="70">
        <v>0</v>
      </c>
      <c r="AJ626" s="70">
        <v>0</v>
      </c>
      <c r="AK626" s="70">
        <v>0</v>
      </c>
      <c r="AL626" s="70">
        <v>0.01</v>
      </c>
      <c r="AM626" s="70">
        <v>0</v>
      </c>
      <c r="AN626" s="70" t="s">
        <v>1877</v>
      </c>
    </row>
    <row r="627" spans="1:40">
      <c r="A627" s="132">
        <f t="shared" si="86"/>
        <v>619</v>
      </c>
      <c r="B627" s="133" t="s">
        <v>1769</v>
      </c>
      <c r="C627" s="133" t="s">
        <v>1904</v>
      </c>
      <c r="D627" s="132" t="s">
        <v>1698</v>
      </c>
      <c r="E627" s="147" t="s">
        <v>1567</v>
      </c>
      <c r="F627" s="135">
        <v>45800</v>
      </c>
      <c r="G627" s="45"/>
      <c r="H627" s="136"/>
      <c r="I627" s="136">
        <v>406705</v>
      </c>
      <c r="J627" s="137" t="s">
        <v>1025</v>
      </c>
      <c r="K627" s="150"/>
      <c r="L627" s="148">
        <f t="shared" si="95"/>
        <v>406705</v>
      </c>
      <c r="M627" s="122">
        <f t="shared" si="87"/>
        <v>0</v>
      </c>
      <c r="N627" s="137"/>
      <c r="O627" s="149" t="b">
        <f t="shared" si="88"/>
        <v>1</v>
      </c>
      <c r="P627" s="149">
        <f t="shared" si="89"/>
        <v>0</v>
      </c>
      <c r="Q627" s="149" t="b">
        <f t="shared" si="90"/>
        <v>1</v>
      </c>
      <c r="R627" s="149">
        <f t="shared" si="91"/>
        <v>0</v>
      </c>
      <c r="S627" s="144"/>
      <c r="T627" s="143">
        <v>45800</v>
      </c>
      <c r="U627" s="144" t="s">
        <v>1567</v>
      </c>
      <c r="V627" s="144"/>
      <c r="W627" s="144"/>
      <c r="X627" s="144"/>
      <c r="Y627" s="144" t="s">
        <v>1802</v>
      </c>
      <c r="Z627" s="145"/>
      <c r="AA627" s="145"/>
      <c r="AB627" s="144"/>
      <c r="AC627" s="144"/>
      <c r="AD627" s="145">
        <v>406705</v>
      </c>
      <c r="AE627" s="144"/>
      <c r="AF627" s="146"/>
      <c r="AN627" s="70" t="s">
        <v>1807</v>
      </c>
    </row>
    <row r="628" spans="1:40">
      <c r="A628" s="132">
        <f t="shared" si="86"/>
        <v>620</v>
      </c>
      <c r="B628" s="133" t="s">
        <v>1768</v>
      </c>
      <c r="C628" s="133" t="s">
        <v>1929</v>
      </c>
      <c r="D628" s="132" t="s">
        <v>1069</v>
      </c>
      <c r="E628" s="147" t="s">
        <v>1568</v>
      </c>
      <c r="F628" s="135">
        <v>45803</v>
      </c>
      <c r="G628" s="45"/>
      <c r="H628" s="136"/>
      <c r="I628" s="136">
        <v>56028</v>
      </c>
      <c r="J628" s="137" t="s">
        <v>1025</v>
      </c>
      <c r="K628" s="150"/>
      <c r="L628" s="148">
        <f t="shared" si="95"/>
        <v>56028</v>
      </c>
      <c r="M628" s="122">
        <f t="shared" si="87"/>
        <v>0</v>
      </c>
      <c r="N628" s="137"/>
      <c r="O628" s="149" t="b">
        <f t="shared" si="88"/>
        <v>1</v>
      </c>
      <c r="P628" s="149">
        <f t="shared" si="89"/>
        <v>0</v>
      </c>
      <c r="Q628" s="149" t="b">
        <f t="shared" si="90"/>
        <v>0</v>
      </c>
      <c r="R628" s="149">
        <f t="shared" si="91"/>
        <v>0</v>
      </c>
      <c r="S628" s="144"/>
      <c r="T628" s="143">
        <v>45803</v>
      </c>
      <c r="U628" s="144" t="s">
        <v>1568</v>
      </c>
      <c r="V628" s="144">
        <v>0</v>
      </c>
      <c r="W628" s="144" t="s">
        <v>1071</v>
      </c>
      <c r="X628" s="144" t="s">
        <v>1801</v>
      </c>
      <c r="Y628" s="144" t="s">
        <v>1802</v>
      </c>
      <c r="Z628" s="145">
        <v>616308</v>
      </c>
      <c r="AA628" s="145">
        <v>560280</v>
      </c>
      <c r="AB628" s="144">
        <v>0</v>
      </c>
      <c r="AC628" s="144" t="s">
        <v>1022</v>
      </c>
      <c r="AD628" s="145">
        <v>56028</v>
      </c>
      <c r="AE628" s="144">
        <v>0</v>
      </c>
      <c r="AF628" s="146">
        <v>0</v>
      </c>
      <c r="AG628" s="70">
        <v>0</v>
      </c>
      <c r="AH628" s="70">
        <v>0</v>
      </c>
      <c r="AI628" s="70">
        <v>0</v>
      </c>
      <c r="AJ628" s="70">
        <v>0</v>
      </c>
      <c r="AK628" s="70">
        <v>0</v>
      </c>
      <c r="AL628" s="70">
        <v>0.01</v>
      </c>
      <c r="AM628" s="70">
        <v>0</v>
      </c>
      <c r="AN628" s="70" t="s">
        <v>1877</v>
      </c>
    </row>
    <row r="629" spans="1:40">
      <c r="A629" s="132">
        <f t="shared" si="86"/>
        <v>621</v>
      </c>
      <c r="B629" s="133" t="s">
        <v>1769</v>
      </c>
      <c r="C629" s="133" t="s">
        <v>1904</v>
      </c>
      <c r="D629" s="132" t="s">
        <v>1698</v>
      </c>
      <c r="E629" s="147" t="s">
        <v>1569</v>
      </c>
      <c r="F629" s="135">
        <v>45800</v>
      </c>
      <c r="G629" s="45"/>
      <c r="H629" s="136"/>
      <c r="I629" s="136">
        <v>406705</v>
      </c>
      <c r="J629" s="137" t="s">
        <v>1025</v>
      </c>
      <c r="K629" s="150"/>
      <c r="L629" s="148">
        <f t="shared" si="95"/>
        <v>406705</v>
      </c>
      <c r="M629" s="122">
        <f t="shared" si="87"/>
        <v>0</v>
      </c>
      <c r="N629" s="137"/>
      <c r="O629" s="149" t="b">
        <f t="shared" si="88"/>
        <v>1</v>
      </c>
      <c r="P629" s="149">
        <f t="shared" si="89"/>
        <v>0</v>
      </c>
      <c r="Q629" s="149" t="b">
        <f t="shared" si="90"/>
        <v>1</v>
      </c>
      <c r="R629" s="149">
        <f t="shared" si="91"/>
        <v>0</v>
      </c>
      <c r="S629" s="144"/>
      <c r="T629" s="143">
        <v>45800</v>
      </c>
      <c r="U629" s="144" t="s">
        <v>1569</v>
      </c>
      <c r="V629" s="144"/>
      <c r="W629" s="144"/>
      <c r="X629" s="144"/>
      <c r="Y629" s="144" t="s">
        <v>1802</v>
      </c>
      <c r="Z629" s="145"/>
      <c r="AA629" s="145"/>
      <c r="AB629" s="144"/>
      <c r="AC629" s="144"/>
      <c r="AD629" s="145">
        <v>406705</v>
      </c>
      <c r="AE629" s="144"/>
      <c r="AF629" s="146"/>
      <c r="AN629" s="70" t="s">
        <v>1807</v>
      </c>
    </row>
    <row r="630" spans="1:40">
      <c r="A630" s="132">
        <f t="shared" si="86"/>
        <v>622</v>
      </c>
      <c r="B630" s="133" t="s">
        <v>1768</v>
      </c>
      <c r="C630" s="133" t="s">
        <v>1929</v>
      </c>
      <c r="D630" s="132" t="s">
        <v>1069</v>
      </c>
      <c r="E630" s="147" t="s">
        <v>1570</v>
      </c>
      <c r="F630" s="135">
        <v>45803</v>
      </c>
      <c r="G630" s="45"/>
      <c r="H630" s="136"/>
      <c r="I630" s="136">
        <v>56028</v>
      </c>
      <c r="J630" s="137" t="s">
        <v>1025</v>
      </c>
      <c r="K630" s="150"/>
      <c r="L630" s="148">
        <f t="shared" si="95"/>
        <v>56028</v>
      </c>
      <c r="M630" s="122">
        <f t="shared" si="87"/>
        <v>0</v>
      </c>
      <c r="N630" s="137"/>
      <c r="O630" s="149" t="b">
        <f t="shared" si="88"/>
        <v>1</v>
      </c>
      <c r="P630" s="149">
        <f t="shared" si="89"/>
        <v>0</v>
      </c>
      <c r="Q630" s="149" t="b">
        <f t="shared" si="90"/>
        <v>0</v>
      </c>
      <c r="R630" s="149">
        <f t="shared" si="91"/>
        <v>0</v>
      </c>
      <c r="S630" s="144"/>
      <c r="T630" s="143">
        <v>45803</v>
      </c>
      <c r="U630" s="144" t="s">
        <v>1570</v>
      </c>
      <c r="V630" s="144">
        <v>0</v>
      </c>
      <c r="W630" s="144" t="s">
        <v>1071</v>
      </c>
      <c r="X630" s="144" t="s">
        <v>1801</v>
      </c>
      <c r="Y630" s="144" t="s">
        <v>1802</v>
      </c>
      <c r="Z630" s="145">
        <v>616308</v>
      </c>
      <c r="AA630" s="145">
        <v>560280</v>
      </c>
      <c r="AB630" s="144">
        <v>0</v>
      </c>
      <c r="AC630" s="144" t="s">
        <v>1022</v>
      </c>
      <c r="AD630" s="145">
        <v>56028</v>
      </c>
      <c r="AE630" s="144">
        <v>0</v>
      </c>
      <c r="AF630" s="146">
        <v>0</v>
      </c>
      <c r="AG630" s="70">
        <v>0</v>
      </c>
      <c r="AH630" s="70">
        <v>0</v>
      </c>
      <c r="AI630" s="70">
        <v>0</v>
      </c>
      <c r="AJ630" s="70">
        <v>0</v>
      </c>
      <c r="AK630" s="70">
        <v>0</v>
      </c>
      <c r="AL630" s="70">
        <v>0.01</v>
      </c>
      <c r="AM630" s="70">
        <v>0</v>
      </c>
      <c r="AN630" s="70" t="s">
        <v>1877</v>
      </c>
    </row>
    <row r="631" spans="1:40">
      <c r="A631" s="132">
        <f t="shared" si="86"/>
        <v>623</v>
      </c>
      <c r="B631" s="133" t="s">
        <v>1769</v>
      </c>
      <c r="C631" s="133" t="s">
        <v>1904</v>
      </c>
      <c r="D631" s="132" t="s">
        <v>1698</v>
      </c>
      <c r="E631" s="147" t="s">
        <v>1571</v>
      </c>
      <c r="F631" s="135">
        <v>45800</v>
      </c>
      <c r="G631" s="45"/>
      <c r="H631" s="136"/>
      <c r="I631" s="136">
        <v>406705</v>
      </c>
      <c r="J631" s="137" t="s">
        <v>1025</v>
      </c>
      <c r="K631" s="150"/>
      <c r="L631" s="148">
        <f t="shared" si="95"/>
        <v>406705</v>
      </c>
      <c r="M631" s="122">
        <f t="shared" si="87"/>
        <v>0</v>
      </c>
      <c r="N631" s="137"/>
      <c r="O631" s="149" t="b">
        <f t="shared" si="88"/>
        <v>1</v>
      </c>
      <c r="P631" s="149">
        <f t="shared" si="89"/>
        <v>0</v>
      </c>
      <c r="Q631" s="149" t="b">
        <f t="shared" si="90"/>
        <v>1</v>
      </c>
      <c r="R631" s="149">
        <f t="shared" si="91"/>
        <v>0</v>
      </c>
      <c r="S631" s="144"/>
      <c r="T631" s="143">
        <v>45800</v>
      </c>
      <c r="U631" s="144" t="s">
        <v>1571</v>
      </c>
      <c r="V631" s="144"/>
      <c r="W631" s="144"/>
      <c r="X631" s="144"/>
      <c r="Y631" s="144" t="s">
        <v>1802</v>
      </c>
      <c r="Z631" s="145"/>
      <c r="AA631" s="145"/>
      <c r="AB631" s="144"/>
      <c r="AC631" s="144"/>
      <c r="AD631" s="145">
        <v>406705</v>
      </c>
      <c r="AE631" s="144"/>
      <c r="AF631" s="146"/>
      <c r="AN631" s="70" t="s">
        <v>1807</v>
      </c>
    </row>
    <row r="632" spans="1:40">
      <c r="A632" s="132">
        <f t="shared" si="86"/>
        <v>624</v>
      </c>
      <c r="B632" s="133" t="s">
        <v>1768</v>
      </c>
      <c r="C632" s="133" t="s">
        <v>1929</v>
      </c>
      <c r="D632" s="132" t="s">
        <v>1069</v>
      </c>
      <c r="E632" s="147" t="s">
        <v>1572</v>
      </c>
      <c r="F632" s="135">
        <v>45803</v>
      </c>
      <c r="G632" s="45"/>
      <c r="H632" s="136"/>
      <c r="I632" s="136">
        <v>28014</v>
      </c>
      <c r="J632" s="137" t="s">
        <v>1025</v>
      </c>
      <c r="K632" s="150"/>
      <c r="L632" s="148">
        <f t="shared" si="95"/>
        <v>28014</v>
      </c>
      <c r="M632" s="122">
        <f t="shared" si="87"/>
        <v>0</v>
      </c>
      <c r="N632" s="137"/>
      <c r="O632" s="149" t="b">
        <f t="shared" si="88"/>
        <v>1</v>
      </c>
      <c r="P632" s="149">
        <f t="shared" si="89"/>
        <v>0</v>
      </c>
      <c r="Q632" s="149" t="b">
        <f t="shared" si="90"/>
        <v>0</v>
      </c>
      <c r="R632" s="149">
        <f t="shared" si="91"/>
        <v>0</v>
      </c>
      <c r="S632" s="144"/>
      <c r="T632" s="143">
        <v>45803</v>
      </c>
      <c r="U632" s="144" t="s">
        <v>1572</v>
      </c>
      <c r="V632" s="144">
        <v>0</v>
      </c>
      <c r="W632" s="144" t="s">
        <v>1071</v>
      </c>
      <c r="X632" s="144" t="s">
        <v>1801</v>
      </c>
      <c r="Y632" s="144" t="s">
        <v>1802</v>
      </c>
      <c r="Z632" s="145">
        <v>308154</v>
      </c>
      <c r="AA632" s="145">
        <v>280140</v>
      </c>
      <c r="AB632" s="144">
        <v>0</v>
      </c>
      <c r="AC632" s="144" t="s">
        <v>1022</v>
      </c>
      <c r="AD632" s="145">
        <v>28014</v>
      </c>
      <c r="AE632" s="144">
        <v>0</v>
      </c>
      <c r="AF632" s="146">
        <v>0</v>
      </c>
      <c r="AG632" s="70">
        <v>0</v>
      </c>
      <c r="AH632" s="70">
        <v>0</v>
      </c>
      <c r="AI632" s="70">
        <v>0</v>
      </c>
      <c r="AJ632" s="70">
        <v>0</v>
      </c>
      <c r="AK632" s="70">
        <v>0</v>
      </c>
      <c r="AL632" s="70">
        <v>0.01</v>
      </c>
      <c r="AM632" s="70">
        <v>0</v>
      </c>
      <c r="AN632" s="70" t="s">
        <v>1877</v>
      </c>
    </row>
    <row r="633" spans="1:40">
      <c r="A633" s="132">
        <f t="shared" si="86"/>
        <v>625</v>
      </c>
      <c r="B633" s="133" t="s">
        <v>1769</v>
      </c>
      <c r="C633" s="133" t="s">
        <v>1904</v>
      </c>
      <c r="D633" s="132" t="s">
        <v>1698</v>
      </c>
      <c r="E633" s="147" t="s">
        <v>1573</v>
      </c>
      <c r="F633" s="135">
        <v>45800</v>
      </c>
      <c r="G633" s="45"/>
      <c r="H633" s="136"/>
      <c r="I633" s="136">
        <v>586039</v>
      </c>
      <c r="J633" s="137" t="s">
        <v>1025</v>
      </c>
      <c r="K633" s="150"/>
      <c r="L633" s="148">
        <f t="shared" si="95"/>
        <v>586039</v>
      </c>
      <c r="M633" s="122">
        <f t="shared" si="87"/>
        <v>0</v>
      </c>
      <c r="N633" s="137"/>
      <c r="O633" s="149" t="b">
        <f t="shared" si="88"/>
        <v>1</v>
      </c>
      <c r="P633" s="149">
        <f t="shared" si="89"/>
        <v>0</v>
      </c>
      <c r="Q633" s="149" t="b">
        <f t="shared" si="90"/>
        <v>1</v>
      </c>
      <c r="R633" s="149">
        <f t="shared" si="91"/>
        <v>0</v>
      </c>
      <c r="S633" s="144"/>
      <c r="T633" s="143">
        <v>45800</v>
      </c>
      <c r="U633" s="144" t="s">
        <v>1573</v>
      </c>
      <c r="V633" s="144"/>
      <c r="W633" s="144"/>
      <c r="X633" s="144"/>
      <c r="Y633" s="144" t="s">
        <v>1802</v>
      </c>
      <c r="Z633" s="145"/>
      <c r="AA633" s="145"/>
      <c r="AB633" s="144"/>
      <c r="AC633" s="144"/>
      <c r="AD633" s="145">
        <v>586039</v>
      </c>
      <c r="AE633" s="144"/>
      <c r="AF633" s="146"/>
      <c r="AN633" s="70" t="s">
        <v>1807</v>
      </c>
    </row>
    <row r="634" spans="1:40" ht="23.4" thickBot="1">
      <c r="A634" s="132">
        <f t="shared" si="86"/>
        <v>626</v>
      </c>
      <c r="B634" s="133" t="s">
        <v>1769</v>
      </c>
      <c r="C634" s="133" t="s">
        <v>1904</v>
      </c>
      <c r="D634" s="132" t="s">
        <v>1698</v>
      </c>
      <c r="E634" s="147" t="s">
        <v>1574</v>
      </c>
      <c r="F634" s="135">
        <v>45800</v>
      </c>
      <c r="G634" s="45"/>
      <c r="H634" s="136"/>
      <c r="I634" s="136">
        <v>203352</v>
      </c>
      <c r="J634" s="137" t="s">
        <v>1025</v>
      </c>
      <c r="K634" s="150"/>
      <c r="L634" s="148">
        <f t="shared" si="95"/>
        <v>203352</v>
      </c>
      <c r="M634" s="122">
        <f t="shared" si="87"/>
        <v>0</v>
      </c>
      <c r="N634" s="137"/>
      <c r="O634" s="149" t="b">
        <f t="shared" si="88"/>
        <v>1</v>
      </c>
      <c r="P634" s="149">
        <f t="shared" si="89"/>
        <v>0</v>
      </c>
      <c r="Q634" s="149" t="b">
        <f t="shared" si="90"/>
        <v>1</v>
      </c>
      <c r="R634" s="149">
        <f t="shared" si="91"/>
        <v>0</v>
      </c>
      <c r="S634" s="144"/>
      <c r="T634" s="143">
        <v>45800</v>
      </c>
      <c r="U634" s="144" t="s">
        <v>1574</v>
      </c>
      <c r="V634" s="144"/>
      <c r="W634" s="144"/>
      <c r="X634" s="144"/>
      <c r="Y634" s="144" t="s">
        <v>1802</v>
      </c>
      <c r="Z634" s="145"/>
      <c r="AA634" s="145"/>
      <c r="AB634" s="144"/>
      <c r="AC634" s="144"/>
      <c r="AD634" s="145">
        <v>203352</v>
      </c>
      <c r="AE634" s="144"/>
      <c r="AF634" s="146"/>
      <c r="AN634" s="70" t="s">
        <v>1807</v>
      </c>
    </row>
    <row r="635" spans="1:40" ht="23.4" thickBot="1">
      <c r="A635" s="132">
        <f t="shared" si="86"/>
        <v>627</v>
      </c>
      <c r="B635" s="133" t="s">
        <v>1768</v>
      </c>
      <c r="C635" s="133" t="s">
        <v>1929</v>
      </c>
      <c r="D635" s="132" t="s">
        <v>1069</v>
      </c>
      <c r="E635" s="147" t="s">
        <v>1575</v>
      </c>
      <c r="F635" s="135">
        <v>45803</v>
      </c>
      <c r="G635" s="45"/>
      <c r="H635" s="136"/>
      <c r="I635" s="136">
        <v>280140</v>
      </c>
      <c r="J635" s="137" t="s">
        <v>1025</v>
      </c>
      <c r="K635" s="150"/>
      <c r="L635" s="148">
        <f>I635</f>
        <v>280140</v>
      </c>
      <c r="M635" s="122">
        <f t="shared" si="87"/>
        <v>0</v>
      </c>
      <c r="N635" s="137"/>
      <c r="O635" s="149" t="b">
        <f t="shared" si="88"/>
        <v>1</v>
      </c>
      <c r="P635" s="149">
        <f t="shared" si="89"/>
        <v>0</v>
      </c>
      <c r="Q635" s="149" t="b">
        <f t="shared" si="90"/>
        <v>0</v>
      </c>
      <c r="R635" s="149">
        <f t="shared" si="91"/>
        <v>0</v>
      </c>
      <c r="S635" s="144"/>
      <c r="T635" s="151">
        <v>45803</v>
      </c>
      <c r="U635" s="152" t="s">
        <v>1575</v>
      </c>
      <c r="V635" s="152">
        <v>0</v>
      </c>
      <c r="W635" s="152" t="s">
        <v>1071</v>
      </c>
      <c r="X635" s="153" t="s">
        <v>1801</v>
      </c>
      <c r="Y635" s="154" t="s">
        <v>1802</v>
      </c>
      <c r="Z635" s="155">
        <v>3081540</v>
      </c>
      <c r="AA635" s="155">
        <v>2801400</v>
      </c>
      <c r="AB635" s="155">
        <v>0</v>
      </c>
      <c r="AC635" s="156" t="s">
        <v>1022</v>
      </c>
      <c r="AD635" s="155">
        <v>280140</v>
      </c>
      <c r="AE635" s="155">
        <v>0</v>
      </c>
      <c r="AF635" s="155">
        <v>0</v>
      </c>
      <c r="AG635" s="155">
        <v>0</v>
      </c>
      <c r="AH635" s="155">
        <v>0</v>
      </c>
      <c r="AI635" s="155">
        <v>0</v>
      </c>
      <c r="AJ635" s="155">
        <v>0</v>
      </c>
      <c r="AK635" s="155">
        <v>0</v>
      </c>
      <c r="AL635" s="157">
        <v>0.01</v>
      </c>
      <c r="AM635" s="156">
        <v>0</v>
      </c>
      <c r="AN635" s="154" t="s">
        <v>1877</v>
      </c>
    </row>
    <row r="636" spans="1:40">
      <c r="A636" s="132">
        <f t="shared" si="86"/>
        <v>628</v>
      </c>
      <c r="B636" s="133" t="s">
        <v>1769</v>
      </c>
      <c r="C636" s="133" t="s">
        <v>1904</v>
      </c>
      <c r="D636" s="132" t="s">
        <v>1698</v>
      </c>
      <c r="E636" s="147" t="s">
        <v>1576</v>
      </c>
      <c r="F636" s="135">
        <v>45800</v>
      </c>
      <c r="G636" s="45"/>
      <c r="H636" s="136"/>
      <c r="I636" s="136">
        <v>2093569</v>
      </c>
      <c r="J636" s="137" t="s">
        <v>1025</v>
      </c>
      <c r="K636" s="150"/>
      <c r="L636" s="148">
        <f>I636</f>
        <v>2093569</v>
      </c>
      <c r="M636" s="122">
        <f t="shared" si="87"/>
        <v>0</v>
      </c>
      <c r="N636" s="137"/>
      <c r="O636" s="149" t="b">
        <f t="shared" si="88"/>
        <v>1</v>
      </c>
      <c r="P636" s="149">
        <f t="shared" si="89"/>
        <v>0</v>
      </c>
      <c r="Q636" s="149" t="b">
        <f t="shared" si="90"/>
        <v>1</v>
      </c>
      <c r="R636" s="149">
        <f t="shared" si="91"/>
        <v>0</v>
      </c>
      <c r="S636" s="144"/>
      <c r="T636" s="143">
        <v>45800</v>
      </c>
      <c r="U636" s="144" t="s">
        <v>1576</v>
      </c>
      <c r="V636" s="144"/>
      <c r="W636" s="144"/>
      <c r="X636" s="144"/>
      <c r="Y636" s="144" t="s">
        <v>1802</v>
      </c>
      <c r="Z636" s="145"/>
      <c r="AA636" s="145"/>
      <c r="AB636" s="144"/>
      <c r="AC636" s="144"/>
      <c r="AD636" s="145">
        <v>2093569</v>
      </c>
      <c r="AE636" s="144"/>
      <c r="AF636" s="146"/>
      <c r="AN636" s="70" t="s">
        <v>1807</v>
      </c>
    </row>
    <row r="637" spans="1:40">
      <c r="A637" s="132">
        <f t="shared" si="86"/>
        <v>629</v>
      </c>
      <c r="B637" s="133" t="s">
        <v>1768</v>
      </c>
      <c r="C637" s="133" t="s">
        <v>1905</v>
      </c>
      <c r="D637" s="132" t="s">
        <v>1024</v>
      </c>
      <c r="E637" s="147">
        <v>202500120022</v>
      </c>
      <c r="F637" s="135">
        <v>45800</v>
      </c>
      <c r="G637" s="45"/>
      <c r="H637" s="136"/>
      <c r="I637" s="136">
        <v>20415</v>
      </c>
      <c r="J637" s="137" t="s">
        <v>1025</v>
      </c>
      <c r="K637" s="150"/>
      <c r="L637" s="148">
        <f t="shared" ref="L637:L638" si="96">I637</f>
        <v>20415</v>
      </c>
      <c r="M637" s="122">
        <f t="shared" si="87"/>
        <v>0</v>
      </c>
      <c r="N637" s="137"/>
      <c r="O637" s="149" t="b">
        <f t="shared" si="88"/>
        <v>1</v>
      </c>
      <c r="P637" s="149">
        <f t="shared" si="89"/>
        <v>0</v>
      </c>
      <c r="Q637" s="149" t="b">
        <f t="shared" si="90"/>
        <v>0</v>
      </c>
      <c r="R637" s="149">
        <f t="shared" si="91"/>
        <v>0</v>
      </c>
      <c r="S637" s="144"/>
      <c r="T637" s="143">
        <v>45800</v>
      </c>
      <c r="U637" s="144">
        <v>202500120022</v>
      </c>
      <c r="V637" s="144"/>
      <c r="W637" s="144" t="s">
        <v>1071</v>
      </c>
      <c r="X637" s="144" t="s">
        <v>1801</v>
      </c>
      <c r="Y637" s="144" t="s">
        <v>1802</v>
      </c>
      <c r="Z637" s="145">
        <v>224568</v>
      </c>
      <c r="AA637" s="145">
        <v>204153</v>
      </c>
      <c r="AB637" s="144">
        <v>0</v>
      </c>
      <c r="AC637" s="144" t="s">
        <v>1022</v>
      </c>
      <c r="AD637" s="145">
        <v>20415</v>
      </c>
      <c r="AE637" s="144"/>
      <c r="AF637" s="146"/>
    </row>
    <row r="638" spans="1:40" ht="23.4" thickBot="1">
      <c r="A638" s="132">
        <f t="shared" si="86"/>
        <v>630</v>
      </c>
      <c r="B638" s="133" t="s">
        <v>1768</v>
      </c>
      <c r="C638" s="133" t="s">
        <v>1905</v>
      </c>
      <c r="D638" s="132" t="s">
        <v>1024</v>
      </c>
      <c r="E638" s="147">
        <v>202500120026</v>
      </c>
      <c r="F638" s="135">
        <v>45800</v>
      </c>
      <c r="G638" s="45"/>
      <c r="H638" s="136"/>
      <c r="I638" s="136">
        <v>6805</v>
      </c>
      <c r="J638" s="137" t="s">
        <v>1025</v>
      </c>
      <c r="K638" s="150"/>
      <c r="L638" s="148">
        <f t="shared" si="96"/>
        <v>6805</v>
      </c>
      <c r="M638" s="122">
        <f t="shared" si="87"/>
        <v>0</v>
      </c>
      <c r="N638" s="137"/>
      <c r="O638" s="149" t="b">
        <f t="shared" si="88"/>
        <v>1</v>
      </c>
      <c r="P638" s="149">
        <f t="shared" si="89"/>
        <v>0</v>
      </c>
      <c r="Q638" s="149" t="b">
        <f t="shared" si="90"/>
        <v>0</v>
      </c>
      <c r="R638" s="149">
        <f t="shared" si="91"/>
        <v>0</v>
      </c>
      <c r="S638" s="144"/>
      <c r="T638" s="143">
        <v>45800</v>
      </c>
      <c r="U638" s="144">
        <v>202500120026</v>
      </c>
      <c r="V638" s="144"/>
      <c r="W638" s="144" t="s">
        <v>1071</v>
      </c>
      <c r="X638" s="144" t="s">
        <v>1801</v>
      </c>
      <c r="Y638" s="144" t="s">
        <v>1802</v>
      </c>
      <c r="Z638" s="145">
        <v>74856</v>
      </c>
      <c r="AA638" s="145">
        <v>68051</v>
      </c>
      <c r="AB638" s="144">
        <v>0</v>
      </c>
      <c r="AC638" s="144" t="s">
        <v>1022</v>
      </c>
      <c r="AD638" s="145">
        <v>6805</v>
      </c>
      <c r="AE638" s="144">
        <v>0</v>
      </c>
      <c r="AF638" s="146"/>
    </row>
    <row r="639" spans="1:40" ht="23.4" thickBot="1">
      <c r="A639" s="132">
        <f t="shared" si="86"/>
        <v>631</v>
      </c>
      <c r="B639" s="133" t="s">
        <v>1769</v>
      </c>
      <c r="C639" s="133" t="s">
        <v>1933</v>
      </c>
      <c r="D639" s="132" t="s">
        <v>1720</v>
      </c>
      <c r="E639" s="147" t="s">
        <v>1577</v>
      </c>
      <c r="F639" s="135">
        <v>45805</v>
      </c>
      <c r="G639" s="45"/>
      <c r="H639" s="136"/>
      <c r="I639" s="136">
        <v>156117</v>
      </c>
      <c r="J639" s="137" t="s">
        <v>1025</v>
      </c>
      <c r="K639" s="150"/>
      <c r="L639" s="148">
        <f>I639</f>
        <v>156117</v>
      </c>
      <c r="M639" s="122">
        <f t="shared" si="87"/>
        <v>0</v>
      </c>
      <c r="N639" s="137"/>
      <c r="O639" s="149" t="b">
        <f t="shared" si="88"/>
        <v>1</v>
      </c>
      <c r="P639" s="149">
        <f t="shared" si="89"/>
        <v>0</v>
      </c>
      <c r="Q639" s="149" t="b">
        <f t="shared" si="90"/>
        <v>1</v>
      </c>
      <c r="R639" s="149">
        <f t="shared" si="91"/>
        <v>0</v>
      </c>
      <c r="S639" s="144"/>
      <c r="T639" s="151">
        <v>45805</v>
      </c>
      <c r="U639" s="152" t="s">
        <v>1577</v>
      </c>
      <c r="V639" s="152"/>
      <c r="W639" s="152"/>
      <c r="X639" s="153"/>
      <c r="Y639" s="154" t="s">
        <v>1802</v>
      </c>
      <c r="Z639" s="155"/>
      <c r="AA639" s="155"/>
      <c r="AB639" s="155"/>
      <c r="AC639" s="156"/>
      <c r="AD639" s="155">
        <v>156117</v>
      </c>
      <c r="AE639" s="155"/>
      <c r="AF639" s="155"/>
      <c r="AG639" s="155"/>
      <c r="AH639" s="155"/>
      <c r="AI639" s="155"/>
      <c r="AJ639" s="155"/>
      <c r="AK639" s="155"/>
      <c r="AL639" s="157"/>
      <c r="AM639" s="156"/>
      <c r="AN639" s="154"/>
    </row>
    <row r="640" spans="1:40">
      <c r="A640" s="132">
        <f t="shared" si="86"/>
        <v>632</v>
      </c>
      <c r="B640" s="133" t="s">
        <v>1768</v>
      </c>
      <c r="C640" s="133" t="s">
        <v>1929</v>
      </c>
      <c r="D640" s="132" t="s">
        <v>1069</v>
      </c>
      <c r="E640" s="147" t="s">
        <v>1578</v>
      </c>
      <c r="F640" s="135">
        <v>45805</v>
      </c>
      <c r="G640" s="45"/>
      <c r="H640" s="136"/>
      <c r="I640" s="136">
        <v>28021</v>
      </c>
      <c r="J640" s="137" t="s">
        <v>1025</v>
      </c>
      <c r="K640" s="150"/>
      <c r="L640" s="148">
        <f>I640</f>
        <v>28021</v>
      </c>
      <c r="M640" s="122">
        <f t="shared" si="87"/>
        <v>0</v>
      </c>
      <c r="N640" s="137"/>
      <c r="O640" s="149" t="b">
        <f t="shared" si="88"/>
        <v>1</v>
      </c>
      <c r="P640" s="149">
        <f t="shared" si="89"/>
        <v>0</v>
      </c>
      <c r="Q640" s="149" t="b">
        <f t="shared" si="90"/>
        <v>0</v>
      </c>
      <c r="R640" s="149">
        <f t="shared" si="91"/>
        <v>0</v>
      </c>
      <c r="S640" s="144"/>
      <c r="T640" s="143">
        <v>45805</v>
      </c>
      <c r="U640" s="144" t="s">
        <v>1578</v>
      </c>
      <c r="V640" s="144">
        <v>0</v>
      </c>
      <c r="W640" s="144" t="s">
        <v>1071</v>
      </c>
      <c r="X640" s="144" t="s">
        <v>1801</v>
      </c>
      <c r="Y640" s="144" t="s">
        <v>1802</v>
      </c>
      <c r="Z640" s="145">
        <v>308231</v>
      </c>
      <c r="AA640" s="145">
        <v>280210</v>
      </c>
      <c r="AB640" s="144">
        <v>0</v>
      </c>
      <c r="AC640" s="144" t="s">
        <v>1022</v>
      </c>
      <c r="AD640" s="145">
        <v>28021</v>
      </c>
      <c r="AE640" s="144">
        <v>0</v>
      </c>
      <c r="AF640" s="146">
        <v>0</v>
      </c>
      <c r="AG640" s="70">
        <v>0</v>
      </c>
      <c r="AH640" s="70">
        <v>0</v>
      </c>
      <c r="AI640" s="70">
        <v>0</v>
      </c>
      <c r="AJ640" s="70">
        <v>0</v>
      </c>
      <c r="AK640" s="70">
        <v>0</v>
      </c>
      <c r="AL640" s="70">
        <v>0.01</v>
      </c>
      <c r="AM640" s="70">
        <v>0</v>
      </c>
      <c r="AN640" s="70" t="s">
        <v>1877</v>
      </c>
    </row>
    <row r="641" spans="1:40">
      <c r="A641" s="132">
        <f t="shared" si="86"/>
        <v>633</v>
      </c>
      <c r="B641" s="133" t="s">
        <v>1769</v>
      </c>
      <c r="C641" s="133" t="s">
        <v>1928</v>
      </c>
      <c r="D641" s="132" t="s">
        <v>1717</v>
      </c>
      <c r="E641" s="147" t="s">
        <v>1579</v>
      </c>
      <c r="F641" s="135">
        <v>45807</v>
      </c>
      <c r="G641" s="45"/>
      <c r="H641" s="136"/>
      <c r="I641" s="136">
        <v>839849</v>
      </c>
      <c r="J641" s="137" t="s">
        <v>1025</v>
      </c>
      <c r="K641" s="150"/>
      <c r="L641" s="148">
        <f t="shared" ref="L641:L645" si="97">I641</f>
        <v>839849</v>
      </c>
      <c r="M641" s="122">
        <f t="shared" si="87"/>
        <v>0</v>
      </c>
      <c r="N641" s="137"/>
      <c r="O641" s="149" t="b">
        <f t="shared" si="88"/>
        <v>1</v>
      </c>
      <c r="P641" s="149">
        <f t="shared" si="89"/>
        <v>0</v>
      </c>
      <c r="Q641" s="149" t="b">
        <f t="shared" si="90"/>
        <v>1</v>
      </c>
      <c r="R641" s="149">
        <f t="shared" si="91"/>
        <v>0</v>
      </c>
      <c r="S641" s="144"/>
      <c r="T641" s="143">
        <v>45807</v>
      </c>
      <c r="U641" s="144" t="s">
        <v>1579</v>
      </c>
      <c r="V641" s="144"/>
      <c r="W641" s="144"/>
      <c r="X641" s="144"/>
      <c r="Y641" s="144" t="s">
        <v>1802</v>
      </c>
      <c r="Z641" s="145"/>
      <c r="AA641" s="145"/>
      <c r="AB641" s="144"/>
      <c r="AC641" s="144"/>
      <c r="AD641" s="145">
        <v>839849</v>
      </c>
      <c r="AE641" s="144"/>
      <c r="AF641" s="146"/>
    </row>
    <row r="642" spans="1:40">
      <c r="A642" s="132">
        <f t="shared" si="86"/>
        <v>634</v>
      </c>
      <c r="B642" s="133" t="s">
        <v>1769</v>
      </c>
      <c r="C642" s="133" t="s">
        <v>1928</v>
      </c>
      <c r="D642" s="132" t="s">
        <v>1717</v>
      </c>
      <c r="E642" s="147" t="s">
        <v>1580</v>
      </c>
      <c r="F642" s="135">
        <v>45807</v>
      </c>
      <c r="G642" s="45"/>
      <c r="H642" s="136"/>
      <c r="I642" s="136">
        <v>169412</v>
      </c>
      <c r="J642" s="137" t="s">
        <v>1025</v>
      </c>
      <c r="K642" s="150"/>
      <c r="L642" s="148">
        <f t="shared" si="97"/>
        <v>169412</v>
      </c>
      <c r="M642" s="122">
        <f t="shared" si="87"/>
        <v>0</v>
      </c>
      <c r="N642" s="137"/>
      <c r="O642" s="149" t="b">
        <f t="shared" si="88"/>
        <v>1</v>
      </c>
      <c r="P642" s="149">
        <f t="shared" si="89"/>
        <v>0</v>
      </c>
      <c r="Q642" s="149" t="b">
        <f t="shared" si="90"/>
        <v>1</v>
      </c>
      <c r="R642" s="149">
        <f t="shared" si="91"/>
        <v>0</v>
      </c>
      <c r="S642" s="144"/>
      <c r="T642" s="143">
        <v>45807</v>
      </c>
      <c r="U642" s="144" t="s">
        <v>1580</v>
      </c>
      <c r="V642" s="144"/>
      <c r="W642" s="144"/>
      <c r="X642" s="144"/>
      <c r="Y642" s="144" t="s">
        <v>1802</v>
      </c>
      <c r="Z642" s="145"/>
      <c r="AA642" s="145"/>
      <c r="AB642" s="144"/>
      <c r="AC642" s="144"/>
      <c r="AD642" s="145">
        <v>169412</v>
      </c>
      <c r="AE642" s="144"/>
      <c r="AF642" s="146"/>
    </row>
    <row r="643" spans="1:40">
      <c r="A643" s="132">
        <f t="shared" si="86"/>
        <v>635</v>
      </c>
      <c r="B643" s="133" t="s">
        <v>1769</v>
      </c>
      <c r="C643" s="133" t="s">
        <v>1928</v>
      </c>
      <c r="D643" s="132" t="s">
        <v>1717</v>
      </c>
      <c r="E643" s="147" t="s">
        <v>1581</v>
      </c>
      <c r="F643" s="135">
        <v>45807</v>
      </c>
      <c r="G643" s="45"/>
      <c r="H643" s="136"/>
      <c r="I643" s="136">
        <v>673441</v>
      </c>
      <c r="J643" s="137" t="s">
        <v>1025</v>
      </c>
      <c r="K643" s="150"/>
      <c r="L643" s="148">
        <f t="shared" si="97"/>
        <v>673441</v>
      </c>
      <c r="M643" s="122">
        <f t="shared" si="87"/>
        <v>0</v>
      </c>
      <c r="N643" s="137"/>
      <c r="O643" s="149" t="b">
        <f t="shared" si="88"/>
        <v>1</v>
      </c>
      <c r="P643" s="149">
        <f t="shared" si="89"/>
        <v>0</v>
      </c>
      <c r="Q643" s="149" t="b">
        <f t="shared" si="90"/>
        <v>1</v>
      </c>
      <c r="R643" s="149">
        <f t="shared" si="91"/>
        <v>0</v>
      </c>
      <c r="S643" s="144"/>
      <c r="T643" s="143">
        <v>45807</v>
      </c>
      <c r="U643" s="144" t="s">
        <v>1581</v>
      </c>
      <c r="V643" s="144"/>
      <c r="W643" s="144"/>
      <c r="X643" s="144"/>
      <c r="Y643" s="144" t="s">
        <v>1802</v>
      </c>
      <c r="Z643" s="145"/>
      <c r="AA643" s="145"/>
      <c r="AB643" s="144"/>
      <c r="AC643" s="144"/>
      <c r="AD643" s="145">
        <v>673441</v>
      </c>
      <c r="AE643" s="144"/>
      <c r="AF643" s="146"/>
    </row>
    <row r="644" spans="1:40">
      <c r="A644" s="132">
        <f t="shared" si="86"/>
        <v>636</v>
      </c>
      <c r="B644" s="133" t="s">
        <v>1769</v>
      </c>
      <c r="C644" s="133" t="s">
        <v>1928</v>
      </c>
      <c r="D644" s="132" t="s">
        <v>1717</v>
      </c>
      <c r="E644" s="147" t="s">
        <v>1582</v>
      </c>
      <c r="F644" s="135">
        <v>45807</v>
      </c>
      <c r="G644" s="45"/>
      <c r="H644" s="136"/>
      <c r="I644" s="136">
        <v>678848</v>
      </c>
      <c r="J644" s="137" t="s">
        <v>1025</v>
      </c>
      <c r="K644" s="150"/>
      <c r="L644" s="148">
        <f t="shared" si="97"/>
        <v>678848</v>
      </c>
      <c r="M644" s="122">
        <f t="shared" si="87"/>
        <v>0</v>
      </c>
      <c r="N644" s="137"/>
      <c r="O644" s="149" t="b">
        <f t="shared" si="88"/>
        <v>1</v>
      </c>
      <c r="P644" s="149">
        <f t="shared" si="89"/>
        <v>0</v>
      </c>
      <c r="Q644" s="149" t="b">
        <f t="shared" si="90"/>
        <v>1</v>
      </c>
      <c r="R644" s="149">
        <f t="shared" si="91"/>
        <v>0</v>
      </c>
      <c r="S644" s="144"/>
      <c r="T644" s="143">
        <v>45807</v>
      </c>
      <c r="U644" s="144" t="s">
        <v>1582</v>
      </c>
      <c r="V644" s="144"/>
      <c r="W644" s="144"/>
      <c r="X644" s="144"/>
      <c r="Y644" s="144" t="s">
        <v>1802</v>
      </c>
      <c r="Z644" s="145"/>
      <c r="AA644" s="145"/>
      <c r="AB644" s="144"/>
      <c r="AC644" s="144"/>
      <c r="AD644" s="145">
        <v>678848</v>
      </c>
      <c r="AE644" s="144"/>
      <c r="AF644" s="146"/>
    </row>
    <row r="645" spans="1:40">
      <c r="A645" s="132">
        <f t="shared" si="86"/>
        <v>637</v>
      </c>
      <c r="B645" s="133" t="s">
        <v>1769</v>
      </c>
      <c r="C645" s="133" t="s">
        <v>1928</v>
      </c>
      <c r="D645" s="132" t="s">
        <v>1717</v>
      </c>
      <c r="E645" s="147" t="s">
        <v>1583</v>
      </c>
      <c r="F645" s="135">
        <v>45807</v>
      </c>
      <c r="G645" s="45"/>
      <c r="H645" s="136"/>
      <c r="I645" s="136">
        <v>210663</v>
      </c>
      <c r="J645" s="137" t="s">
        <v>1025</v>
      </c>
      <c r="K645" s="150"/>
      <c r="L645" s="148">
        <f t="shared" si="97"/>
        <v>210663</v>
      </c>
      <c r="M645" s="122">
        <f t="shared" si="87"/>
        <v>0</v>
      </c>
      <c r="N645" s="137"/>
      <c r="O645" s="149" t="b">
        <f t="shared" si="88"/>
        <v>1</v>
      </c>
      <c r="P645" s="149">
        <f t="shared" si="89"/>
        <v>0</v>
      </c>
      <c r="Q645" s="149" t="b">
        <f t="shared" si="90"/>
        <v>1</v>
      </c>
      <c r="R645" s="149">
        <f t="shared" si="91"/>
        <v>0</v>
      </c>
      <c r="S645" s="144"/>
      <c r="T645" s="143">
        <v>45807</v>
      </c>
      <c r="U645" s="144" t="s">
        <v>1583</v>
      </c>
      <c r="V645" s="144"/>
      <c r="W645" s="144"/>
      <c r="X645" s="144"/>
      <c r="Y645" s="144" t="s">
        <v>1802</v>
      </c>
      <c r="Z645" s="145"/>
      <c r="AA645" s="145"/>
      <c r="AB645" s="144"/>
      <c r="AC645" s="144"/>
      <c r="AD645" s="145">
        <v>210663</v>
      </c>
      <c r="AE645" s="144"/>
      <c r="AF645" s="146"/>
    </row>
    <row r="646" spans="1:40">
      <c r="A646" s="132">
        <f t="shared" si="86"/>
        <v>638</v>
      </c>
      <c r="B646" s="133" t="s">
        <v>1768</v>
      </c>
      <c r="C646" s="133" t="s">
        <v>1929</v>
      </c>
      <c r="D646" s="132" t="s">
        <v>1069</v>
      </c>
      <c r="E646" s="147" t="s">
        <v>1584</v>
      </c>
      <c r="F646" s="135">
        <v>45803</v>
      </c>
      <c r="G646" s="45"/>
      <c r="H646" s="136"/>
      <c r="I646" s="136">
        <v>18409</v>
      </c>
      <c r="J646" s="137" t="s">
        <v>1025</v>
      </c>
      <c r="K646" s="150"/>
      <c r="L646" s="148">
        <f>I646</f>
        <v>18409</v>
      </c>
      <c r="M646" s="122">
        <f t="shared" si="87"/>
        <v>0</v>
      </c>
      <c r="N646" s="137"/>
      <c r="O646" s="149" t="b">
        <f t="shared" si="88"/>
        <v>1</v>
      </c>
      <c r="P646" s="149">
        <f t="shared" si="89"/>
        <v>0</v>
      </c>
      <c r="Q646" s="149" t="b">
        <f t="shared" si="90"/>
        <v>0</v>
      </c>
      <c r="R646" s="149">
        <f t="shared" si="91"/>
        <v>0</v>
      </c>
      <c r="S646" s="144"/>
      <c r="T646" s="143">
        <v>45803</v>
      </c>
      <c r="U646" s="144" t="s">
        <v>1584</v>
      </c>
      <c r="V646" s="144">
        <v>0</v>
      </c>
      <c r="W646" s="144" t="s">
        <v>1071</v>
      </c>
      <c r="X646" s="144" t="s">
        <v>1801</v>
      </c>
      <c r="Y646" s="144" t="s">
        <v>1802</v>
      </c>
      <c r="Z646" s="145">
        <v>202499</v>
      </c>
      <c r="AA646" s="145">
        <v>184090</v>
      </c>
      <c r="AB646" s="144">
        <v>0</v>
      </c>
      <c r="AC646" s="144" t="s">
        <v>1022</v>
      </c>
      <c r="AD646" s="145">
        <v>18409</v>
      </c>
      <c r="AE646" s="144">
        <v>0</v>
      </c>
      <c r="AF646" s="146">
        <v>0</v>
      </c>
      <c r="AG646" s="70">
        <v>0</v>
      </c>
      <c r="AH646" s="70">
        <v>0</v>
      </c>
      <c r="AI646" s="70">
        <v>0</v>
      </c>
      <c r="AJ646" s="70">
        <v>0</v>
      </c>
      <c r="AK646" s="70">
        <v>0</v>
      </c>
      <c r="AL646" s="70">
        <v>0.01</v>
      </c>
      <c r="AM646" s="70">
        <v>0</v>
      </c>
      <c r="AN646" s="70" t="s">
        <v>1877</v>
      </c>
    </row>
    <row r="647" spans="1:40">
      <c r="A647" s="132">
        <f t="shared" si="86"/>
        <v>639</v>
      </c>
      <c r="B647" s="133" t="s">
        <v>1769</v>
      </c>
      <c r="C647" s="133" t="s">
        <v>1928</v>
      </c>
      <c r="D647" s="132" t="s">
        <v>1717</v>
      </c>
      <c r="E647" s="147" t="s">
        <v>1585</v>
      </c>
      <c r="F647" s="135">
        <v>45807</v>
      </c>
      <c r="G647" s="45"/>
      <c r="H647" s="136"/>
      <c r="I647" s="136">
        <v>161402</v>
      </c>
      <c r="J647" s="137" t="s">
        <v>1025</v>
      </c>
      <c r="K647" s="150"/>
      <c r="L647" s="148">
        <f>I647</f>
        <v>161402</v>
      </c>
      <c r="M647" s="122">
        <f t="shared" si="87"/>
        <v>0</v>
      </c>
      <c r="N647" s="137"/>
      <c r="O647" s="149" t="b">
        <f t="shared" si="88"/>
        <v>1</v>
      </c>
      <c r="P647" s="149">
        <f t="shared" si="89"/>
        <v>0</v>
      </c>
      <c r="Q647" s="149" t="b">
        <f t="shared" si="90"/>
        <v>1</v>
      </c>
      <c r="R647" s="149">
        <f t="shared" si="91"/>
        <v>0</v>
      </c>
      <c r="S647" s="144"/>
      <c r="T647" s="143">
        <v>45807</v>
      </c>
      <c r="U647" s="144" t="s">
        <v>1585</v>
      </c>
      <c r="V647" s="144"/>
      <c r="W647" s="144"/>
      <c r="X647" s="144"/>
      <c r="Y647" s="144" t="s">
        <v>1802</v>
      </c>
      <c r="Z647" s="145"/>
      <c r="AA647" s="145"/>
      <c r="AB647" s="144"/>
      <c r="AC647" s="144"/>
      <c r="AD647" s="145">
        <v>161402</v>
      </c>
      <c r="AE647" s="144"/>
      <c r="AF647" s="146"/>
    </row>
    <row r="648" spans="1:40">
      <c r="A648" s="132">
        <f t="shared" si="86"/>
        <v>640</v>
      </c>
      <c r="B648" s="133" t="s">
        <v>1768</v>
      </c>
      <c r="C648" s="133" t="s">
        <v>1929</v>
      </c>
      <c r="D648" s="132" t="s">
        <v>1069</v>
      </c>
      <c r="E648" s="147" t="s">
        <v>1586</v>
      </c>
      <c r="F648" s="135">
        <v>45803</v>
      </c>
      <c r="G648" s="45"/>
      <c r="H648" s="136"/>
      <c r="I648" s="136">
        <v>28014</v>
      </c>
      <c r="J648" s="137" t="s">
        <v>1025</v>
      </c>
      <c r="K648" s="150"/>
      <c r="L648" s="148">
        <f>I648</f>
        <v>28014</v>
      </c>
      <c r="M648" s="122">
        <f t="shared" si="87"/>
        <v>0</v>
      </c>
      <c r="N648" s="137"/>
      <c r="O648" s="149" t="b">
        <f t="shared" si="88"/>
        <v>1</v>
      </c>
      <c r="P648" s="149">
        <f t="shared" si="89"/>
        <v>0</v>
      </c>
      <c r="Q648" s="149" t="b">
        <f t="shared" si="90"/>
        <v>0</v>
      </c>
      <c r="R648" s="149">
        <f t="shared" si="91"/>
        <v>0</v>
      </c>
      <c r="S648" s="144"/>
      <c r="T648" s="143">
        <v>45803</v>
      </c>
      <c r="U648" s="144" t="s">
        <v>1586</v>
      </c>
      <c r="V648" s="144">
        <v>0</v>
      </c>
      <c r="W648" s="144" t="s">
        <v>1071</v>
      </c>
      <c r="X648" s="144" t="s">
        <v>1801</v>
      </c>
      <c r="Y648" s="144" t="s">
        <v>1802</v>
      </c>
      <c r="Z648" s="145">
        <v>308154</v>
      </c>
      <c r="AA648" s="145">
        <v>280140</v>
      </c>
      <c r="AB648" s="144">
        <v>0</v>
      </c>
      <c r="AC648" s="144" t="s">
        <v>1022</v>
      </c>
      <c r="AD648" s="145">
        <v>28014</v>
      </c>
      <c r="AE648" s="144">
        <v>0</v>
      </c>
      <c r="AF648" s="146">
        <v>0</v>
      </c>
      <c r="AG648" s="70">
        <v>0</v>
      </c>
      <c r="AH648" s="70">
        <v>0</v>
      </c>
      <c r="AI648" s="70">
        <v>0</v>
      </c>
      <c r="AJ648" s="70">
        <v>0</v>
      </c>
      <c r="AK648" s="70">
        <v>0</v>
      </c>
      <c r="AL648" s="70">
        <v>0.01</v>
      </c>
      <c r="AM648" s="70">
        <v>0</v>
      </c>
      <c r="AN648" s="70" t="s">
        <v>1877</v>
      </c>
    </row>
    <row r="649" spans="1:40">
      <c r="A649" s="132">
        <f t="shared" si="86"/>
        <v>641</v>
      </c>
      <c r="B649" s="133" t="s">
        <v>1769</v>
      </c>
      <c r="C649" s="133" t="s">
        <v>1928</v>
      </c>
      <c r="D649" s="132" t="s">
        <v>1717</v>
      </c>
      <c r="E649" s="147" t="s">
        <v>1587</v>
      </c>
      <c r="F649" s="135">
        <v>45807</v>
      </c>
      <c r="G649" s="45"/>
      <c r="H649" s="136"/>
      <c r="I649" s="136">
        <v>169412</v>
      </c>
      <c r="J649" s="137" t="s">
        <v>1025</v>
      </c>
      <c r="K649" s="150"/>
      <c r="L649" s="148">
        <f>I649</f>
        <v>169412</v>
      </c>
      <c r="M649" s="122">
        <f t="shared" si="87"/>
        <v>0</v>
      </c>
      <c r="N649" s="137"/>
      <c r="O649" s="149" t="b">
        <f t="shared" si="88"/>
        <v>1</v>
      </c>
      <c r="P649" s="149">
        <f t="shared" si="89"/>
        <v>0</v>
      </c>
      <c r="Q649" s="149" t="b">
        <f t="shared" si="90"/>
        <v>1</v>
      </c>
      <c r="R649" s="149">
        <f t="shared" si="91"/>
        <v>0</v>
      </c>
      <c r="S649" s="144"/>
      <c r="T649" s="143">
        <v>45807</v>
      </c>
      <c r="U649" s="144" t="s">
        <v>1587</v>
      </c>
      <c r="V649" s="144"/>
      <c r="W649" s="144"/>
      <c r="X649" s="144"/>
      <c r="Y649" s="144" t="s">
        <v>1802</v>
      </c>
      <c r="Z649" s="145"/>
      <c r="AA649" s="145"/>
      <c r="AB649" s="144"/>
      <c r="AC649" s="144"/>
      <c r="AD649" s="145">
        <v>169412</v>
      </c>
      <c r="AE649" s="144"/>
      <c r="AF649" s="146"/>
    </row>
    <row r="650" spans="1:40">
      <c r="A650" s="132">
        <f t="shared" si="86"/>
        <v>642</v>
      </c>
      <c r="B650" s="133" t="s">
        <v>1768</v>
      </c>
      <c r="C650" s="133" t="s">
        <v>1929</v>
      </c>
      <c r="D650" s="132" t="s">
        <v>1069</v>
      </c>
      <c r="E650" s="147" t="s">
        <v>1588</v>
      </c>
      <c r="F650" s="135">
        <v>45803</v>
      </c>
      <c r="G650" s="45"/>
      <c r="H650" s="136"/>
      <c r="I650" s="136">
        <v>28014</v>
      </c>
      <c r="J650" s="137" t="s">
        <v>1025</v>
      </c>
      <c r="K650" s="150"/>
      <c r="L650" s="148">
        <f>I650</f>
        <v>28014</v>
      </c>
      <c r="M650" s="122">
        <f t="shared" si="87"/>
        <v>0</v>
      </c>
      <c r="N650" s="137"/>
      <c r="O650" s="149" t="b">
        <f t="shared" si="88"/>
        <v>1</v>
      </c>
      <c r="P650" s="149">
        <f t="shared" si="89"/>
        <v>0</v>
      </c>
      <c r="Q650" s="149" t="b">
        <f t="shared" si="90"/>
        <v>0</v>
      </c>
      <c r="R650" s="149">
        <f t="shared" si="91"/>
        <v>0</v>
      </c>
      <c r="S650" s="144"/>
      <c r="T650" s="143">
        <v>45803</v>
      </c>
      <c r="U650" s="144" t="s">
        <v>1588</v>
      </c>
      <c r="V650" s="144">
        <v>0</v>
      </c>
      <c r="W650" s="144" t="s">
        <v>1071</v>
      </c>
      <c r="X650" s="144" t="s">
        <v>1801</v>
      </c>
      <c r="Y650" s="144" t="s">
        <v>1802</v>
      </c>
      <c r="Z650" s="145">
        <v>308154</v>
      </c>
      <c r="AA650" s="145">
        <v>280140</v>
      </c>
      <c r="AB650" s="144">
        <v>0</v>
      </c>
      <c r="AC650" s="144" t="s">
        <v>1022</v>
      </c>
      <c r="AD650" s="145">
        <v>28014</v>
      </c>
      <c r="AE650" s="144">
        <v>0</v>
      </c>
      <c r="AF650" s="146">
        <v>0</v>
      </c>
      <c r="AG650" s="70">
        <v>0</v>
      </c>
      <c r="AH650" s="70">
        <v>0</v>
      </c>
      <c r="AI650" s="70">
        <v>0</v>
      </c>
      <c r="AJ650" s="70">
        <v>0</v>
      </c>
      <c r="AK650" s="70">
        <v>0</v>
      </c>
      <c r="AL650" s="70">
        <v>0.01</v>
      </c>
      <c r="AM650" s="70">
        <v>0</v>
      </c>
      <c r="AN650" s="70" t="s">
        <v>1877</v>
      </c>
    </row>
    <row r="651" spans="1:40">
      <c r="A651" s="132">
        <f t="shared" ref="A651:A714" si="98">A650+1</f>
        <v>643</v>
      </c>
      <c r="B651" s="133" t="s">
        <v>1769</v>
      </c>
      <c r="C651" s="133" t="s">
        <v>1928</v>
      </c>
      <c r="D651" s="132" t="s">
        <v>1717</v>
      </c>
      <c r="E651" s="147" t="s">
        <v>1589</v>
      </c>
      <c r="F651" s="135">
        <v>45807</v>
      </c>
      <c r="G651" s="45"/>
      <c r="H651" s="136"/>
      <c r="I651" s="136">
        <v>169412</v>
      </c>
      <c r="J651" s="137" t="s">
        <v>1025</v>
      </c>
      <c r="K651" s="150"/>
      <c r="L651" s="148">
        <f t="shared" ref="L651:L654" si="99">I651</f>
        <v>169412</v>
      </c>
      <c r="M651" s="122">
        <f t="shared" si="87"/>
        <v>0</v>
      </c>
      <c r="N651" s="137"/>
      <c r="O651" s="149" t="b">
        <f t="shared" si="88"/>
        <v>1</v>
      </c>
      <c r="P651" s="149">
        <f t="shared" si="89"/>
        <v>0</v>
      </c>
      <c r="Q651" s="149" t="b">
        <f t="shared" si="90"/>
        <v>1</v>
      </c>
      <c r="R651" s="149">
        <f t="shared" si="91"/>
        <v>0</v>
      </c>
      <c r="S651" s="144"/>
      <c r="T651" s="143">
        <v>45807</v>
      </c>
      <c r="U651" s="144" t="s">
        <v>1589</v>
      </c>
      <c r="V651" s="144"/>
      <c r="W651" s="144"/>
      <c r="X651" s="144"/>
      <c r="Y651" s="144" t="s">
        <v>1802</v>
      </c>
      <c r="Z651" s="145"/>
      <c r="AA651" s="145"/>
      <c r="AB651" s="144"/>
      <c r="AC651" s="144"/>
      <c r="AD651" s="145">
        <v>169412</v>
      </c>
      <c r="AE651" s="144"/>
      <c r="AF651" s="146"/>
    </row>
    <row r="652" spans="1:40">
      <c r="A652" s="132">
        <f t="shared" si="98"/>
        <v>644</v>
      </c>
      <c r="B652" s="133" t="s">
        <v>1769</v>
      </c>
      <c r="C652" s="133" t="s">
        <v>1933</v>
      </c>
      <c r="D652" s="132" t="s">
        <v>1720</v>
      </c>
      <c r="E652" s="147" t="s">
        <v>1590</v>
      </c>
      <c r="F652" s="135">
        <v>45800</v>
      </c>
      <c r="G652" s="45"/>
      <c r="H652" s="136"/>
      <c r="I652" s="136">
        <v>782987</v>
      </c>
      <c r="J652" s="137" t="s">
        <v>1025</v>
      </c>
      <c r="K652" s="150"/>
      <c r="L652" s="148">
        <f t="shared" si="99"/>
        <v>782987</v>
      </c>
      <c r="M652" s="122">
        <f t="shared" si="87"/>
        <v>0</v>
      </c>
      <c r="N652" s="137"/>
      <c r="O652" s="149" t="b">
        <f t="shared" si="88"/>
        <v>1</v>
      </c>
      <c r="P652" s="149">
        <f t="shared" si="89"/>
        <v>0</v>
      </c>
      <c r="Q652" s="149" t="b">
        <f t="shared" si="90"/>
        <v>1</v>
      </c>
      <c r="R652" s="149">
        <f t="shared" si="91"/>
        <v>0</v>
      </c>
      <c r="S652" s="144"/>
      <c r="T652" s="143">
        <v>45800</v>
      </c>
      <c r="U652" s="144" t="s">
        <v>1590</v>
      </c>
      <c r="V652" s="144"/>
      <c r="W652" s="144"/>
      <c r="X652" s="144"/>
      <c r="Y652" s="144" t="s">
        <v>1802</v>
      </c>
      <c r="Z652" s="145"/>
      <c r="AA652" s="145"/>
      <c r="AB652" s="144"/>
      <c r="AC652" s="144"/>
      <c r="AD652" s="145">
        <v>782987</v>
      </c>
      <c r="AE652" s="144"/>
      <c r="AF652" s="146"/>
    </row>
    <row r="653" spans="1:40">
      <c r="A653" s="132">
        <f t="shared" si="98"/>
        <v>645</v>
      </c>
      <c r="B653" s="133" t="s">
        <v>1768</v>
      </c>
      <c r="C653" s="133" t="s">
        <v>1929</v>
      </c>
      <c r="D653" s="132" t="s">
        <v>1069</v>
      </c>
      <c r="E653" s="147" t="s">
        <v>1591</v>
      </c>
      <c r="F653" s="135">
        <v>45798</v>
      </c>
      <c r="G653" s="45"/>
      <c r="H653" s="136"/>
      <c r="I653" s="136">
        <v>140105</v>
      </c>
      <c r="J653" s="137" t="s">
        <v>1025</v>
      </c>
      <c r="K653" s="150"/>
      <c r="L653" s="148">
        <f t="shared" si="99"/>
        <v>140105</v>
      </c>
      <c r="M653" s="122">
        <f t="shared" si="87"/>
        <v>0</v>
      </c>
      <c r="N653" s="137"/>
      <c r="O653" s="149" t="b">
        <f t="shared" si="88"/>
        <v>1</v>
      </c>
      <c r="P653" s="149">
        <f t="shared" si="89"/>
        <v>0</v>
      </c>
      <c r="Q653" s="149" t="b">
        <f t="shared" si="90"/>
        <v>0</v>
      </c>
      <c r="R653" s="149">
        <f t="shared" si="91"/>
        <v>0</v>
      </c>
      <c r="S653" s="144"/>
      <c r="T653" s="143">
        <v>45798</v>
      </c>
      <c r="U653" s="144" t="s">
        <v>1591</v>
      </c>
      <c r="V653" s="144">
        <v>0</v>
      </c>
      <c r="W653" s="144" t="s">
        <v>1071</v>
      </c>
      <c r="X653" s="144" t="s">
        <v>1801</v>
      </c>
      <c r="Y653" s="144" t="s">
        <v>1802</v>
      </c>
      <c r="Z653" s="145">
        <v>1541155</v>
      </c>
      <c r="AA653" s="145">
        <v>1401050</v>
      </c>
      <c r="AB653" s="144">
        <v>0</v>
      </c>
      <c r="AC653" s="144" t="s">
        <v>1022</v>
      </c>
      <c r="AD653" s="145">
        <v>140105</v>
      </c>
      <c r="AE653" s="144">
        <v>0</v>
      </c>
      <c r="AF653" s="146">
        <v>0</v>
      </c>
      <c r="AG653" s="70">
        <v>0</v>
      </c>
      <c r="AH653" s="70">
        <v>0</v>
      </c>
      <c r="AI653" s="70">
        <v>0</v>
      </c>
      <c r="AJ653" s="70">
        <v>0</v>
      </c>
      <c r="AK653" s="70">
        <v>0</v>
      </c>
      <c r="AL653" s="70">
        <v>0.01</v>
      </c>
      <c r="AM653" s="70">
        <v>0</v>
      </c>
      <c r="AN653" s="70" t="s">
        <v>1877</v>
      </c>
    </row>
    <row r="654" spans="1:40">
      <c r="A654" s="132">
        <f t="shared" si="98"/>
        <v>646</v>
      </c>
      <c r="B654" s="133" t="s">
        <v>1768</v>
      </c>
      <c r="C654" s="133" t="s">
        <v>1929</v>
      </c>
      <c r="D654" s="132" t="s">
        <v>1069</v>
      </c>
      <c r="E654" s="147" t="s">
        <v>1592</v>
      </c>
      <c r="F654" s="135">
        <v>45798</v>
      </c>
      <c r="G654" s="45"/>
      <c r="H654" s="136"/>
      <c r="I654" s="136">
        <v>56042</v>
      </c>
      <c r="J654" s="137" t="s">
        <v>1025</v>
      </c>
      <c r="K654" s="150"/>
      <c r="L654" s="148">
        <f t="shared" si="99"/>
        <v>56042</v>
      </c>
      <c r="M654" s="122">
        <f t="shared" si="87"/>
        <v>0</v>
      </c>
      <c r="N654" s="137"/>
      <c r="O654" s="149" t="b">
        <f t="shared" si="88"/>
        <v>1</v>
      </c>
      <c r="P654" s="149">
        <f t="shared" si="89"/>
        <v>0</v>
      </c>
      <c r="Q654" s="149" t="b">
        <f t="shared" si="90"/>
        <v>0</v>
      </c>
      <c r="R654" s="149">
        <f t="shared" si="91"/>
        <v>0</v>
      </c>
      <c r="S654" s="144"/>
      <c r="T654" s="143">
        <v>45798</v>
      </c>
      <c r="U654" s="144" t="s">
        <v>1592</v>
      </c>
      <c r="V654" s="144">
        <v>0</v>
      </c>
      <c r="W654" s="144" t="s">
        <v>1071</v>
      </c>
      <c r="X654" s="144" t="s">
        <v>1801</v>
      </c>
      <c r="Y654" s="144" t="s">
        <v>1802</v>
      </c>
      <c r="Z654" s="145">
        <v>616462</v>
      </c>
      <c r="AA654" s="145">
        <v>560420</v>
      </c>
      <c r="AB654" s="144">
        <v>0</v>
      </c>
      <c r="AC654" s="144" t="s">
        <v>1022</v>
      </c>
      <c r="AD654" s="145">
        <v>56042</v>
      </c>
      <c r="AE654" s="144">
        <v>0</v>
      </c>
      <c r="AF654" s="146">
        <v>0</v>
      </c>
      <c r="AG654" s="70">
        <v>0</v>
      </c>
      <c r="AH654" s="70">
        <v>0</v>
      </c>
      <c r="AI654" s="70">
        <v>0</v>
      </c>
      <c r="AJ654" s="70">
        <v>0</v>
      </c>
      <c r="AK654" s="70">
        <v>0</v>
      </c>
      <c r="AL654" s="70">
        <v>0.01</v>
      </c>
      <c r="AM654" s="70">
        <v>0</v>
      </c>
      <c r="AN654" s="70" t="s">
        <v>1877</v>
      </c>
    </row>
    <row r="655" spans="1:40">
      <c r="A655" s="132">
        <f t="shared" si="98"/>
        <v>647</v>
      </c>
      <c r="B655" s="133" t="s">
        <v>1769</v>
      </c>
      <c r="C655" s="133" t="s">
        <v>1933</v>
      </c>
      <c r="D655" s="132" t="s">
        <v>1720</v>
      </c>
      <c r="E655" s="147" t="s">
        <v>1593</v>
      </c>
      <c r="F655" s="135">
        <v>45800</v>
      </c>
      <c r="G655" s="45"/>
      <c r="H655" s="136"/>
      <c r="I655" s="136">
        <v>314636</v>
      </c>
      <c r="J655" s="137" t="s">
        <v>1025</v>
      </c>
      <c r="K655" s="150"/>
      <c r="L655" s="148">
        <f>I655</f>
        <v>314636</v>
      </c>
      <c r="M655" s="122">
        <f t="shared" si="87"/>
        <v>0</v>
      </c>
      <c r="N655" s="137"/>
      <c r="O655" s="149" t="b">
        <f t="shared" si="88"/>
        <v>1</v>
      </c>
      <c r="P655" s="149">
        <f t="shared" si="89"/>
        <v>0</v>
      </c>
      <c r="Q655" s="149" t="b">
        <f t="shared" si="90"/>
        <v>1</v>
      </c>
      <c r="R655" s="149">
        <f t="shared" si="91"/>
        <v>0</v>
      </c>
      <c r="S655" s="144"/>
      <c r="T655" s="143">
        <v>45800</v>
      </c>
      <c r="U655" s="144" t="s">
        <v>1593</v>
      </c>
      <c r="V655" s="144"/>
      <c r="W655" s="144"/>
      <c r="X655" s="144"/>
      <c r="Y655" s="144" t="s">
        <v>1802</v>
      </c>
      <c r="Z655" s="145"/>
      <c r="AA655" s="145"/>
      <c r="AB655" s="144"/>
      <c r="AC655" s="144"/>
      <c r="AD655" s="145">
        <v>314636</v>
      </c>
      <c r="AE655" s="144"/>
      <c r="AF655" s="146"/>
    </row>
    <row r="656" spans="1:40">
      <c r="A656" s="132">
        <f t="shared" si="98"/>
        <v>648</v>
      </c>
      <c r="B656" s="133" t="s">
        <v>1784</v>
      </c>
      <c r="C656" s="133" t="s">
        <v>1929</v>
      </c>
      <c r="D656" s="132" t="s">
        <v>1069</v>
      </c>
      <c r="E656" s="147" t="s">
        <v>1594</v>
      </c>
      <c r="F656" s="135">
        <v>45807</v>
      </c>
      <c r="G656" s="45"/>
      <c r="H656" s="136"/>
      <c r="I656" s="136">
        <v>9612</v>
      </c>
      <c r="J656" s="137" t="s">
        <v>1025</v>
      </c>
      <c r="K656" s="150"/>
      <c r="L656" s="148">
        <f t="shared" ref="L656:L657" si="100">I656</f>
        <v>9612</v>
      </c>
      <c r="M656" s="122">
        <f t="shared" si="87"/>
        <v>0</v>
      </c>
      <c r="N656" s="137"/>
      <c r="O656" s="149" t="b">
        <f t="shared" si="88"/>
        <v>1</v>
      </c>
      <c r="P656" s="149">
        <f t="shared" si="89"/>
        <v>0</v>
      </c>
      <c r="Q656" s="149" t="b">
        <f t="shared" si="90"/>
        <v>0</v>
      </c>
      <c r="R656" s="149">
        <f t="shared" si="91"/>
        <v>0</v>
      </c>
      <c r="S656" s="144"/>
      <c r="T656" s="143">
        <v>45807</v>
      </c>
      <c r="U656" s="144" t="s">
        <v>1594</v>
      </c>
      <c r="V656" s="144">
        <v>0</v>
      </c>
      <c r="W656" s="144" t="s">
        <v>1071</v>
      </c>
      <c r="X656" s="144" t="s">
        <v>1801</v>
      </c>
      <c r="Y656" s="144" t="s">
        <v>1802</v>
      </c>
      <c r="Z656" s="145">
        <v>105732</v>
      </c>
      <c r="AA656" s="145">
        <v>96120</v>
      </c>
      <c r="AB656" s="144">
        <v>0</v>
      </c>
      <c r="AC656" s="144" t="s">
        <v>1022</v>
      </c>
      <c r="AD656" s="145">
        <v>9612</v>
      </c>
      <c r="AE656" s="144">
        <v>0</v>
      </c>
      <c r="AF656" s="146">
        <v>0</v>
      </c>
      <c r="AG656" s="70">
        <v>0</v>
      </c>
      <c r="AH656" s="70">
        <v>0</v>
      </c>
      <c r="AI656" s="70">
        <v>0</v>
      </c>
      <c r="AJ656" s="70">
        <v>0</v>
      </c>
      <c r="AK656" s="70">
        <v>0</v>
      </c>
      <c r="AL656" s="70">
        <v>0.01</v>
      </c>
      <c r="AM656" s="70">
        <v>0</v>
      </c>
      <c r="AN656" s="70" t="s">
        <v>1877</v>
      </c>
    </row>
    <row r="657" spans="1:40">
      <c r="A657" s="132">
        <f t="shared" si="98"/>
        <v>649</v>
      </c>
      <c r="B657" s="133" t="s">
        <v>1768</v>
      </c>
      <c r="C657" s="133" t="s">
        <v>1929</v>
      </c>
      <c r="D657" s="132" t="s">
        <v>1069</v>
      </c>
      <c r="E657" s="147" t="s">
        <v>1595</v>
      </c>
      <c r="F657" s="135">
        <v>45798</v>
      </c>
      <c r="G657" s="45"/>
      <c r="H657" s="136"/>
      <c r="I657" s="136">
        <v>112084</v>
      </c>
      <c r="J657" s="137" t="s">
        <v>1025</v>
      </c>
      <c r="K657" s="150"/>
      <c r="L657" s="148">
        <f t="shared" si="100"/>
        <v>112084</v>
      </c>
      <c r="M657" s="122">
        <f t="shared" si="87"/>
        <v>0</v>
      </c>
      <c r="N657" s="137"/>
      <c r="O657" s="149" t="b">
        <f t="shared" si="88"/>
        <v>1</v>
      </c>
      <c r="P657" s="149">
        <f t="shared" si="89"/>
        <v>0</v>
      </c>
      <c r="Q657" s="149" t="b">
        <f t="shared" si="90"/>
        <v>0</v>
      </c>
      <c r="R657" s="149">
        <f t="shared" si="91"/>
        <v>0</v>
      </c>
      <c r="S657" s="144"/>
      <c r="T657" s="143">
        <v>45798</v>
      </c>
      <c r="U657" s="144" t="s">
        <v>1595</v>
      </c>
      <c r="V657" s="144">
        <v>0</v>
      </c>
      <c r="W657" s="144" t="s">
        <v>1071</v>
      </c>
      <c r="X657" s="144" t="s">
        <v>1801</v>
      </c>
      <c r="Y657" s="144" t="s">
        <v>1802</v>
      </c>
      <c r="Z657" s="145">
        <v>1232924</v>
      </c>
      <c r="AA657" s="145">
        <v>1120840</v>
      </c>
      <c r="AB657" s="144">
        <v>0</v>
      </c>
      <c r="AC657" s="144" t="s">
        <v>1022</v>
      </c>
      <c r="AD657" s="145">
        <v>112084</v>
      </c>
      <c r="AE657" s="144">
        <v>0</v>
      </c>
      <c r="AF657" s="146">
        <v>0</v>
      </c>
      <c r="AG657" s="70">
        <v>0</v>
      </c>
      <c r="AH657" s="70">
        <v>0</v>
      </c>
      <c r="AI657" s="70">
        <v>0</v>
      </c>
      <c r="AJ657" s="70">
        <v>0</v>
      </c>
      <c r="AK657" s="70">
        <v>0</v>
      </c>
      <c r="AL657" s="70">
        <v>0.01</v>
      </c>
      <c r="AM657" s="70">
        <v>0</v>
      </c>
      <c r="AN657" s="70" t="s">
        <v>1877</v>
      </c>
    </row>
    <row r="658" spans="1:40">
      <c r="A658" s="132">
        <f t="shared" si="98"/>
        <v>650</v>
      </c>
      <c r="B658" s="133" t="s">
        <v>1769</v>
      </c>
      <c r="C658" s="133" t="s">
        <v>1933</v>
      </c>
      <c r="D658" s="132" t="s">
        <v>1720</v>
      </c>
      <c r="E658" s="147" t="s">
        <v>1596</v>
      </c>
      <c r="F658" s="135">
        <v>45800</v>
      </c>
      <c r="G658" s="45"/>
      <c r="H658" s="136"/>
      <c r="I658" s="136">
        <v>629272</v>
      </c>
      <c r="J658" s="137" t="s">
        <v>1025</v>
      </c>
      <c r="K658" s="150"/>
      <c r="L658" s="148">
        <f>I658</f>
        <v>629272</v>
      </c>
      <c r="M658" s="122">
        <f t="shared" si="87"/>
        <v>0</v>
      </c>
      <c r="N658" s="137"/>
      <c r="O658" s="149" t="b">
        <f t="shared" si="88"/>
        <v>1</v>
      </c>
      <c r="P658" s="149">
        <f t="shared" si="89"/>
        <v>0</v>
      </c>
      <c r="Q658" s="149" t="b">
        <f t="shared" si="90"/>
        <v>1</v>
      </c>
      <c r="R658" s="149">
        <f t="shared" si="91"/>
        <v>0</v>
      </c>
      <c r="S658" s="144"/>
      <c r="T658" s="143">
        <v>45800</v>
      </c>
      <c r="U658" s="144" t="s">
        <v>1596</v>
      </c>
      <c r="V658" s="144"/>
      <c r="W658" s="144"/>
      <c r="X658" s="144"/>
      <c r="Y658" s="144" t="s">
        <v>1802</v>
      </c>
      <c r="Z658" s="145"/>
      <c r="AA658" s="145"/>
      <c r="AB658" s="144"/>
      <c r="AC658" s="144"/>
      <c r="AD658" s="145">
        <v>629272</v>
      </c>
      <c r="AE658" s="144"/>
      <c r="AF658" s="146"/>
    </row>
    <row r="659" spans="1:40">
      <c r="A659" s="132">
        <f t="shared" si="98"/>
        <v>651</v>
      </c>
      <c r="B659" s="133" t="s">
        <v>1768</v>
      </c>
      <c r="C659" s="133" t="s">
        <v>1929</v>
      </c>
      <c r="D659" s="132" t="s">
        <v>1069</v>
      </c>
      <c r="E659" s="147" t="s">
        <v>1597</v>
      </c>
      <c r="F659" s="135">
        <v>45798</v>
      </c>
      <c r="G659" s="45"/>
      <c r="H659" s="136"/>
      <c r="I659" s="136">
        <v>28021</v>
      </c>
      <c r="J659" s="137" t="s">
        <v>1025</v>
      </c>
      <c r="K659" s="150"/>
      <c r="L659" s="148">
        <f>I659</f>
        <v>28021</v>
      </c>
      <c r="M659" s="122">
        <f t="shared" si="87"/>
        <v>0</v>
      </c>
      <c r="N659" s="137"/>
      <c r="O659" s="149" t="b">
        <f t="shared" si="88"/>
        <v>1</v>
      </c>
      <c r="P659" s="149">
        <f t="shared" si="89"/>
        <v>0</v>
      </c>
      <c r="Q659" s="149" t="b">
        <f t="shared" si="90"/>
        <v>0</v>
      </c>
      <c r="R659" s="149">
        <f t="shared" si="91"/>
        <v>0</v>
      </c>
      <c r="S659" s="144"/>
      <c r="T659" s="143">
        <v>45798</v>
      </c>
      <c r="U659" s="144" t="s">
        <v>1597</v>
      </c>
      <c r="V659" s="144">
        <v>0</v>
      </c>
      <c r="W659" s="144" t="s">
        <v>1071</v>
      </c>
      <c r="X659" s="144" t="s">
        <v>1801</v>
      </c>
      <c r="Y659" s="144" t="s">
        <v>1802</v>
      </c>
      <c r="Z659" s="145">
        <v>308231</v>
      </c>
      <c r="AA659" s="145">
        <v>280210</v>
      </c>
      <c r="AB659" s="144">
        <v>0</v>
      </c>
      <c r="AC659" s="144" t="s">
        <v>1022</v>
      </c>
      <c r="AD659" s="145">
        <v>28021</v>
      </c>
      <c r="AE659" s="144">
        <v>0</v>
      </c>
      <c r="AF659" s="146">
        <v>0</v>
      </c>
      <c r="AG659" s="70">
        <v>0</v>
      </c>
      <c r="AH659" s="70">
        <v>0</v>
      </c>
      <c r="AI659" s="70">
        <v>0</v>
      </c>
      <c r="AJ659" s="70">
        <v>0</v>
      </c>
      <c r="AK659" s="70">
        <v>0</v>
      </c>
      <c r="AL659" s="70">
        <v>0.01</v>
      </c>
      <c r="AM659" s="70">
        <v>0</v>
      </c>
      <c r="AN659" s="70" t="s">
        <v>1877</v>
      </c>
    </row>
    <row r="660" spans="1:40">
      <c r="A660" s="132">
        <f t="shared" si="98"/>
        <v>652</v>
      </c>
      <c r="B660" s="133" t="s">
        <v>1769</v>
      </c>
      <c r="C660" s="133" t="s">
        <v>1933</v>
      </c>
      <c r="D660" s="132" t="s">
        <v>1720</v>
      </c>
      <c r="E660" s="147" t="s">
        <v>1598</v>
      </c>
      <c r="F660" s="135">
        <v>45800</v>
      </c>
      <c r="G660" s="45"/>
      <c r="H660" s="136"/>
      <c r="I660" s="136">
        <v>157318</v>
      </c>
      <c r="J660" s="137" t="s">
        <v>1025</v>
      </c>
      <c r="K660" s="150"/>
      <c r="L660" s="148">
        <f t="shared" ref="L660:L661" si="101">I660</f>
        <v>157318</v>
      </c>
      <c r="M660" s="122">
        <f t="shared" si="87"/>
        <v>0</v>
      </c>
      <c r="N660" s="137"/>
      <c r="O660" s="149" t="b">
        <f t="shared" si="88"/>
        <v>1</v>
      </c>
      <c r="P660" s="149">
        <f t="shared" si="89"/>
        <v>0</v>
      </c>
      <c r="Q660" s="149" t="b">
        <f t="shared" si="90"/>
        <v>1</v>
      </c>
      <c r="R660" s="149">
        <f t="shared" si="91"/>
        <v>0</v>
      </c>
      <c r="S660" s="144"/>
      <c r="T660" s="143">
        <v>45800</v>
      </c>
      <c r="U660" s="144" t="s">
        <v>1598</v>
      </c>
      <c r="V660" s="144"/>
      <c r="W660" s="144"/>
      <c r="X660" s="144"/>
      <c r="Y660" s="144" t="s">
        <v>1802</v>
      </c>
      <c r="Z660" s="145"/>
      <c r="AA660" s="145"/>
      <c r="AB660" s="144"/>
      <c r="AC660" s="144"/>
      <c r="AD660" s="145">
        <v>157318</v>
      </c>
      <c r="AE660" s="144"/>
      <c r="AF660" s="146"/>
    </row>
    <row r="661" spans="1:40">
      <c r="A661" s="132">
        <f t="shared" si="98"/>
        <v>653</v>
      </c>
      <c r="B661" s="133" t="s">
        <v>1769</v>
      </c>
      <c r="C661" s="133" t="s">
        <v>1933</v>
      </c>
      <c r="D661" s="132" t="s">
        <v>1720</v>
      </c>
      <c r="E661" s="147" t="s">
        <v>1599</v>
      </c>
      <c r="F661" s="135">
        <v>45800</v>
      </c>
      <c r="G661" s="45"/>
      <c r="H661" s="136"/>
      <c r="I661" s="136">
        <v>312234</v>
      </c>
      <c r="J661" s="137" t="s">
        <v>1025</v>
      </c>
      <c r="K661" s="150"/>
      <c r="L661" s="148">
        <f t="shared" si="101"/>
        <v>312234</v>
      </c>
      <c r="M661" s="122">
        <f t="shared" si="87"/>
        <v>0</v>
      </c>
      <c r="N661" s="137"/>
      <c r="O661" s="149" t="b">
        <f t="shared" si="88"/>
        <v>1</v>
      </c>
      <c r="P661" s="149">
        <f t="shared" si="89"/>
        <v>0</v>
      </c>
      <c r="Q661" s="149" t="b">
        <f t="shared" si="90"/>
        <v>1</v>
      </c>
      <c r="R661" s="149">
        <f t="shared" si="91"/>
        <v>0</v>
      </c>
      <c r="S661" s="144"/>
      <c r="T661" s="143">
        <v>45800</v>
      </c>
      <c r="U661" s="144" t="s">
        <v>1599</v>
      </c>
      <c r="V661" s="144"/>
      <c r="W661" s="144"/>
      <c r="X661" s="144"/>
      <c r="Y661" s="144" t="s">
        <v>1802</v>
      </c>
      <c r="Z661" s="145"/>
      <c r="AA661" s="145"/>
      <c r="AB661" s="144"/>
      <c r="AC661" s="144"/>
      <c r="AD661" s="145">
        <v>312234</v>
      </c>
      <c r="AE661" s="144"/>
      <c r="AF661" s="146"/>
    </row>
    <row r="662" spans="1:40">
      <c r="A662" s="132">
        <f t="shared" si="98"/>
        <v>654</v>
      </c>
      <c r="B662" s="133" t="s">
        <v>1768</v>
      </c>
      <c r="C662" s="133" t="s">
        <v>1929</v>
      </c>
      <c r="D662" s="132" t="s">
        <v>1069</v>
      </c>
      <c r="E662" s="147" t="s">
        <v>1600</v>
      </c>
      <c r="F662" s="135">
        <v>45798</v>
      </c>
      <c r="G662" s="45"/>
      <c r="H662" s="136"/>
      <c r="I662" s="136">
        <v>18414</v>
      </c>
      <c r="J662" s="137" t="s">
        <v>1025</v>
      </c>
      <c r="K662" s="150"/>
      <c r="L662" s="148">
        <f>I662</f>
        <v>18414</v>
      </c>
      <c r="M662" s="122">
        <f t="shared" si="87"/>
        <v>0</v>
      </c>
      <c r="N662" s="137"/>
      <c r="O662" s="149" t="b">
        <f t="shared" si="88"/>
        <v>1</v>
      </c>
      <c r="P662" s="149">
        <f t="shared" si="89"/>
        <v>0</v>
      </c>
      <c r="Q662" s="149" t="b">
        <f t="shared" si="90"/>
        <v>0</v>
      </c>
      <c r="R662" s="149">
        <f t="shared" si="91"/>
        <v>0</v>
      </c>
      <c r="S662" s="144"/>
      <c r="T662" s="143">
        <v>45798</v>
      </c>
      <c r="U662" s="144" t="s">
        <v>1600</v>
      </c>
      <c r="V662" s="144">
        <v>0</v>
      </c>
      <c r="W662" s="144" t="s">
        <v>1071</v>
      </c>
      <c r="X662" s="144" t="s">
        <v>1801</v>
      </c>
      <c r="Y662" s="144" t="s">
        <v>1802</v>
      </c>
      <c r="Z662" s="145">
        <v>202554</v>
      </c>
      <c r="AA662" s="145">
        <v>184140</v>
      </c>
      <c r="AB662" s="144">
        <v>0</v>
      </c>
      <c r="AC662" s="144" t="s">
        <v>1022</v>
      </c>
      <c r="AD662" s="145">
        <v>18414</v>
      </c>
      <c r="AE662" s="144">
        <v>0</v>
      </c>
      <c r="AF662" s="146">
        <v>0</v>
      </c>
      <c r="AG662" s="70">
        <v>0</v>
      </c>
      <c r="AH662" s="70">
        <v>0</v>
      </c>
      <c r="AI662" s="70">
        <v>0</v>
      </c>
      <c r="AJ662" s="70">
        <v>0</v>
      </c>
      <c r="AK662" s="70">
        <v>0</v>
      </c>
      <c r="AL662" s="70">
        <v>0.01</v>
      </c>
      <c r="AM662" s="70">
        <v>0</v>
      </c>
      <c r="AN662" s="70" t="s">
        <v>1877</v>
      </c>
    </row>
    <row r="663" spans="1:40">
      <c r="A663" s="132">
        <f t="shared" si="98"/>
        <v>655</v>
      </c>
      <c r="B663" s="133" t="s">
        <v>1769</v>
      </c>
      <c r="C663" s="133" t="s">
        <v>1933</v>
      </c>
      <c r="D663" s="132" t="s">
        <v>1720</v>
      </c>
      <c r="E663" s="147" t="s">
        <v>1601</v>
      </c>
      <c r="F663" s="135">
        <v>45800</v>
      </c>
      <c r="G663" s="45"/>
      <c r="H663" s="136"/>
      <c r="I663" s="136">
        <v>148912</v>
      </c>
      <c r="J663" s="137" t="s">
        <v>1025</v>
      </c>
      <c r="K663" s="150"/>
      <c r="L663" s="148">
        <f>I663</f>
        <v>148912</v>
      </c>
      <c r="M663" s="122">
        <f t="shared" ref="M663:M726" si="102">I663-L663</f>
        <v>0</v>
      </c>
      <c r="N663" s="137"/>
      <c r="O663" s="149" t="b">
        <f t="shared" ref="O663:O726" si="103">U663=E663</f>
        <v>1</v>
      </c>
      <c r="P663" s="149">
        <f t="shared" ref="P663:P726" si="104">MONTH(F663)-MONTH(T663)</f>
        <v>0</v>
      </c>
      <c r="Q663" s="149" t="b">
        <f t="shared" ref="Q663:Q726" si="105">$B$5=X663</f>
        <v>1</v>
      </c>
      <c r="R663" s="149">
        <f t="shared" ref="R663:R726" si="106">I663-AD663</f>
        <v>0</v>
      </c>
      <c r="S663" s="144"/>
      <c r="T663" s="143">
        <v>45800</v>
      </c>
      <c r="U663" s="144" t="s">
        <v>1601</v>
      </c>
      <c r="V663" s="144"/>
      <c r="W663" s="144"/>
      <c r="X663" s="144"/>
      <c r="Y663" s="144" t="s">
        <v>1802</v>
      </c>
      <c r="Z663" s="145"/>
      <c r="AA663" s="145"/>
      <c r="AB663" s="144"/>
      <c r="AC663" s="144"/>
      <c r="AD663" s="145">
        <v>148912</v>
      </c>
      <c r="AE663" s="144"/>
      <c r="AF663" s="146"/>
    </row>
    <row r="664" spans="1:40">
      <c r="A664" s="132">
        <f t="shared" si="98"/>
        <v>656</v>
      </c>
      <c r="B664" s="133" t="s">
        <v>1768</v>
      </c>
      <c r="C664" s="133" t="s">
        <v>1929</v>
      </c>
      <c r="D664" s="132" t="s">
        <v>1069</v>
      </c>
      <c r="E664" s="147" t="s">
        <v>1602</v>
      </c>
      <c r="F664" s="135">
        <v>45798</v>
      </c>
      <c r="G664" s="45"/>
      <c r="H664" s="136"/>
      <c r="I664" s="136">
        <v>196147</v>
      </c>
      <c r="J664" s="137" t="s">
        <v>1025</v>
      </c>
      <c r="K664" s="150"/>
      <c r="L664" s="148">
        <f>I664</f>
        <v>196147</v>
      </c>
      <c r="M664" s="122">
        <f t="shared" si="102"/>
        <v>0</v>
      </c>
      <c r="N664" s="137"/>
      <c r="O664" s="149" t="b">
        <f t="shared" si="103"/>
        <v>1</v>
      </c>
      <c r="P664" s="149">
        <f t="shared" si="104"/>
        <v>0</v>
      </c>
      <c r="Q664" s="149" t="b">
        <f t="shared" si="105"/>
        <v>0</v>
      </c>
      <c r="R664" s="149">
        <f t="shared" si="106"/>
        <v>0</v>
      </c>
      <c r="S664" s="144"/>
      <c r="T664" s="143">
        <v>45798</v>
      </c>
      <c r="U664" s="144" t="s">
        <v>1602</v>
      </c>
      <c r="V664" s="144">
        <v>0</v>
      </c>
      <c r="W664" s="144" t="s">
        <v>1071</v>
      </c>
      <c r="X664" s="144" t="s">
        <v>1801</v>
      </c>
      <c r="Y664" s="144" t="s">
        <v>1802</v>
      </c>
      <c r="Z664" s="145">
        <v>2157617</v>
      </c>
      <c r="AA664" s="145">
        <v>1961470</v>
      </c>
      <c r="AB664" s="144">
        <v>0</v>
      </c>
      <c r="AC664" s="144" t="s">
        <v>1022</v>
      </c>
      <c r="AD664" s="145">
        <v>196147</v>
      </c>
      <c r="AE664" s="144">
        <v>0</v>
      </c>
      <c r="AF664" s="146">
        <v>0</v>
      </c>
      <c r="AG664" s="70">
        <v>0</v>
      </c>
      <c r="AH664" s="70">
        <v>0</v>
      </c>
      <c r="AI664" s="70">
        <v>0</v>
      </c>
      <c r="AJ664" s="70">
        <v>0</v>
      </c>
      <c r="AK664" s="70">
        <v>0</v>
      </c>
      <c r="AL664" s="70">
        <v>0.01</v>
      </c>
      <c r="AM664" s="70">
        <v>0</v>
      </c>
      <c r="AN664" s="70" t="s">
        <v>1877</v>
      </c>
    </row>
    <row r="665" spans="1:40">
      <c r="A665" s="132">
        <f t="shared" si="98"/>
        <v>657</v>
      </c>
      <c r="B665" s="133" t="s">
        <v>1769</v>
      </c>
      <c r="C665" s="133" t="s">
        <v>1933</v>
      </c>
      <c r="D665" s="132" t="s">
        <v>1720</v>
      </c>
      <c r="E665" s="147" t="s">
        <v>1603</v>
      </c>
      <c r="F665" s="135">
        <v>45800</v>
      </c>
      <c r="G665" s="45"/>
      <c r="H665" s="136"/>
      <c r="I665" s="136">
        <v>1095221</v>
      </c>
      <c r="J665" s="137" t="s">
        <v>1025</v>
      </c>
      <c r="K665" s="150"/>
      <c r="L665" s="148">
        <f>I665</f>
        <v>1095221</v>
      </c>
      <c r="M665" s="122">
        <f t="shared" si="102"/>
        <v>0</v>
      </c>
      <c r="N665" s="137"/>
      <c r="O665" s="149" t="b">
        <f t="shared" si="103"/>
        <v>1</v>
      </c>
      <c r="P665" s="149">
        <f t="shared" si="104"/>
        <v>0</v>
      </c>
      <c r="Q665" s="149" t="b">
        <f t="shared" si="105"/>
        <v>1</v>
      </c>
      <c r="R665" s="149">
        <f t="shared" si="106"/>
        <v>0</v>
      </c>
      <c r="S665" s="144"/>
      <c r="T665" s="143">
        <v>45800</v>
      </c>
      <c r="U665" s="144" t="s">
        <v>1603</v>
      </c>
      <c r="V665" s="144"/>
      <c r="W665" s="144"/>
      <c r="X665" s="144"/>
      <c r="Y665" s="144" t="s">
        <v>1802</v>
      </c>
      <c r="Z665" s="145"/>
      <c r="AA665" s="145"/>
      <c r="AB665" s="144"/>
      <c r="AC665" s="144"/>
      <c r="AD665" s="145">
        <v>1095221</v>
      </c>
      <c r="AE665" s="144"/>
      <c r="AF665" s="146"/>
    </row>
    <row r="666" spans="1:40">
      <c r="A666" s="132">
        <f t="shared" si="98"/>
        <v>658</v>
      </c>
      <c r="B666" s="133" t="s">
        <v>1768</v>
      </c>
      <c r="C666" s="133" t="s">
        <v>1929</v>
      </c>
      <c r="D666" s="132" t="s">
        <v>1069</v>
      </c>
      <c r="E666" s="147" t="s">
        <v>1604</v>
      </c>
      <c r="F666" s="135">
        <v>45798</v>
      </c>
      <c r="G666" s="45"/>
      <c r="H666" s="136"/>
      <c r="I666" s="136">
        <v>56042</v>
      </c>
      <c r="J666" s="137" t="s">
        <v>1025</v>
      </c>
      <c r="K666" s="150"/>
      <c r="L666" s="148">
        <f t="shared" ref="L666:L684" si="107">I666</f>
        <v>56042</v>
      </c>
      <c r="M666" s="122">
        <f t="shared" si="102"/>
        <v>0</v>
      </c>
      <c r="N666" s="137"/>
      <c r="O666" s="149" t="b">
        <f t="shared" si="103"/>
        <v>1</v>
      </c>
      <c r="P666" s="149">
        <f t="shared" si="104"/>
        <v>0</v>
      </c>
      <c r="Q666" s="149" t="b">
        <f t="shared" si="105"/>
        <v>0</v>
      </c>
      <c r="R666" s="149">
        <f t="shared" si="106"/>
        <v>0</v>
      </c>
      <c r="S666" s="144"/>
      <c r="T666" s="143">
        <v>45798</v>
      </c>
      <c r="U666" s="144" t="s">
        <v>1604</v>
      </c>
      <c r="V666" s="144">
        <v>0</v>
      </c>
      <c r="W666" s="144" t="s">
        <v>1071</v>
      </c>
      <c r="X666" s="144" t="s">
        <v>1801</v>
      </c>
      <c r="Y666" s="144" t="s">
        <v>1802</v>
      </c>
      <c r="Z666" s="145">
        <v>616462</v>
      </c>
      <c r="AA666" s="145">
        <v>560420</v>
      </c>
      <c r="AB666" s="144">
        <v>0</v>
      </c>
      <c r="AC666" s="144" t="s">
        <v>1022</v>
      </c>
      <c r="AD666" s="145">
        <v>56042</v>
      </c>
      <c r="AE666" s="144">
        <v>0</v>
      </c>
      <c r="AF666" s="146">
        <v>0</v>
      </c>
      <c r="AG666" s="70">
        <v>0</v>
      </c>
      <c r="AH666" s="70">
        <v>0</v>
      </c>
      <c r="AI666" s="70">
        <v>0</v>
      </c>
      <c r="AJ666" s="70">
        <v>0</v>
      </c>
      <c r="AK666" s="70">
        <v>0</v>
      </c>
      <c r="AL666" s="70">
        <v>0.01</v>
      </c>
      <c r="AM666" s="70">
        <v>0</v>
      </c>
      <c r="AN666" s="70" t="s">
        <v>1877</v>
      </c>
    </row>
    <row r="667" spans="1:40">
      <c r="A667" s="132">
        <f t="shared" si="98"/>
        <v>659</v>
      </c>
      <c r="B667" s="133" t="s">
        <v>1768</v>
      </c>
      <c r="C667" s="133" t="s">
        <v>1929</v>
      </c>
      <c r="D667" s="132" t="s">
        <v>1069</v>
      </c>
      <c r="E667" s="147" t="s">
        <v>1605</v>
      </c>
      <c r="F667" s="135">
        <v>45803</v>
      </c>
      <c r="G667" s="45"/>
      <c r="H667" s="136"/>
      <c r="I667" s="136">
        <v>56028</v>
      </c>
      <c r="J667" s="137" t="s">
        <v>1025</v>
      </c>
      <c r="K667" s="150"/>
      <c r="L667" s="148">
        <f t="shared" si="107"/>
        <v>56028</v>
      </c>
      <c r="M667" s="122">
        <f t="shared" si="102"/>
        <v>0</v>
      </c>
      <c r="N667" s="137"/>
      <c r="O667" s="149" t="b">
        <f t="shared" si="103"/>
        <v>1</v>
      </c>
      <c r="P667" s="149">
        <f t="shared" si="104"/>
        <v>0</v>
      </c>
      <c r="Q667" s="149" t="b">
        <f t="shared" si="105"/>
        <v>0</v>
      </c>
      <c r="R667" s="149">
        <f t="shared" si="106"/>
        <v>0</v>
      </c>
      <c r="S667" s="144"/>
      <c r="T667" s="143">
        <v>45803</v>
      </c>
      <c r="U667" s="144" t="s">
        <v>1605</v>
      </c>
      <c r="V667" s="144">
        <v>0</v>
      </c>
      <c r="W667" s="144" t="s">
        <v>1071</v>
      </c>
      <c r="X667" s="144" t="s">
        <v>1801</v>
      </c>
      <c r="Y667" s="144" t="s">
        <v>1802</v>
      </c>
      <c r="Z667" s="145">
        <v>616308</v>
      </c>
      <c r="AA667" s="145">
        <v>560280</v>
      </c>
      <c r="AB667" s="144">
        <v>0</v>
      </c>
      <c r="AC667" s="144" t="s">
        <v>1022</v>
      </c>
      <c r="AD667" s="145">
        <v>56028</v>
      </c>
      <c r="AE667" s="144">
        <v>0</v>
      </c>
      <c r="AF667" s="146">
        <v>0</v>
      </c>
      <c r="AG667" s="70">
        <v>0</v>
      </c>
      <c r="AH667" s="70">
        <v>0</v>
      </c>
      <c r="AI667" s="70">
        <v>0</v>
      </c>
      <c r="AJ667" s="70">
        <v>0</v>
      </c>
      <c r="AK667" s="70">
        <v>0</v>
      </c>
      <c r="AL667" s="70">
        <v>0.01</v>
      </c>
      <c r="AM667" s="70">
        <v>0</v>
      </c>
      <c r="AN667" s="70" t="s">
        <v>1877</v>
      </c>
    </row>
    <row r="668" spans="1:40">
      <c r="A668" s="132">
        <f t="shared" si="98"/>
        <v>660</v>
      </c>
      <c r="B668" s="133" t="s">
        <v>1769</v>
      </c>
      <c r="C668" s="133" t="s">
        <v>1928</v>
      </c>
      <c r="D668" s="132" t="s">
        <v>1717</v>
      </c>
      <c r="E668" s="147" t="s">
        <v>1606</v>
      </c>
      <c r="F668" s="135">
        <v>45807</v>
      </c>
      <c r="G668" s="45"/>
      <c r="H668" s="136"/>
      <c r="I668" s="136">
        <v>340025</v>
      </c>
      <c r="J668" s="137" t="s">
        <v>1025</v>
      </c>
      <c r="K668" s="150"/>
      <c r="L668" s="148">
        <f t="shared" si="107"/>
        <v>340025</v>
      </c>
      <c r="M668" s="122">
        <f t="shared" si="102"/>
        <v>0</v>
      </c>
      <c r="N668" s="137"/>
      <c r="O668" s="149" t="b">
        <f t="shared" si="103"/>
        <v>1</v>
      </c>
      <c r="P668" s="149">
        <f t="shared" si="104"/>
        <v>0</v>
      </c>
      <c r="Q668" s="149" t="b">
        <f t="shared" si="105"/>
        <v>1</v>
      </c>
      <c r="R668" s="149">
        <f t="shared" si="106"/>
        <v>0</v>
      </c>
      <c r="S668" s="144"/>
      <c r="T668" s="143">
        <v>45807</v>
      </c>
      <c r="U668" s="144" t="s">
        <v>1606</v>
      </c>
      <c r="V668" s="144"/>
      <c r="W668" s="144"/>
      <c r="X668" s="144"/>
      <c r="Y668" s="144" t="s">
        <v>1802</v>
      </c>
      <c r="Z668" s="145"/>
      <c r="AA668" s="145"/>
      <c r="AB668" s="144"/>
      <c r="AC668" s="144"/>
      <c r="AD668" s="145">
        <v>340025</v>
      </c>
      <c r="AE668" s="144"/>
      <c r="AF668" s="146"/>
    </row>
    <row r="669" spans="1:40">
      <c r="A669" s="132">
        <f t="shared" si="98"/>
        <v>661</v>
      </c>
      <c r="B669" s="133" t="s">
        <v>1768</v>
      </c>
      <c r="C669" s="133" t="s">
        <v>1929</v>
      </c>
      <c r="D669" s="132" t="s">
        <v>1069</v>
      </c>
      <c r="E669" s="147" t="s">
        <v>1607</v>
      </c>
      <c r="F669" s="135">
        <v>45803</v>
      </c>
      <c r="G669" s="45"/>
      <c r="H669" s="136"/>
      <c r="I669" s="136">
        <v>28014</v>
      </c>
      <c r="J669" s="137" t="s">
        <v>1025</v>
      </c>
      <c r="K669" s="150"/>
      <c r="L669" s="148">
        <f t="shared" si="107"/>
        <v>28014</v>
      </c>
      <c r="M669" s="122">
        <f t="shared" si="102"/>
        <v>0</v>
      </c>
      <c r="N669" s="137"/>
      <c r="O669" s="149" t="b">
        <f t="shared" si="103"/>
        <v>1</v>
      </c>
      <c r="P669" s="149">
        <f t="shared" si="104"/>
        <v>0</v>
      </c>
      <c r="Q669" s="149" t="b">
        <f t="shared" si="105"/>
        <v>0</v>
      </c>
      <c r="R669" s="149">
        <f t="shared" si="106"/>
        <v>0</v>
      </c>
      <c r="S669" s="144"/>
      <c r="T669" s="143">
        <v>45803</v>
      </c>
      <c r="U669" s="144" t="s">
        <v>1607</v>
      </c>
      <c r="V669" s="144">
        <v>0</v>
      </c>
      <c r="W669" s="144" t="s">
        <v>1071</v>
      </c>
      <c r="X669" s="144" t="s">
        <v>1801</v>
      </c>
      <c r="Y669" s="144" t="s">
        <v>1802</v>
      </c>
      <c r="Z669" s="145">
        <v>308154</v>
      </c>
      <c r="AA669" s="145">
        <v>280140</v>
      </c>
      <c r="AB669" s="144">
        <v>0</v>
      </c>
      <c r="AC669" s="144" t="s">
        <v>1022</v>
      </c>
      <c r="AD669" s="145">
        <v>28014</v>
      </c>
      <c r="AE669" s="144">
        <v>0</v>
      </c>
      <c r="AF669" s="146">
        <v>0</v>
      </c>
      <c r="AG669" s="70">
        <v>0</v>
      </c>
      <c r="AH669" s="70">
        <v>0</v>
      </c>
      <c r="AI669" s="70">
        <v>0</v>
      </c>
      <c r="AJ669" s="70">
        <v>0</v>
      </c>
      <c r="AK669" s="70">
        <v>0</v>
      </c>
      <c r="AL669" s="70">
        <v>0.01</v>
      </c>
      <c r="AM669" s="70">
        <v>0</v>
      </c>
      <c r="AN669" s="70" t="s">
        <v>1877</v>
      </c>
    </row>
    <row r="670" spans="1:40">
      <c r="A670" s="132">
        <f t="shared" si="98"/>
        <v>662</v>
      </c>
      <c r="B670" s="133" t="s">
        <v>1769</v>
      </c>
      <c r="C670" s="133" t="s">
        <v>1928</v>
      </c>
      <c r="D670" s="132" t="s">
        <v>1717</v>
      </c>
      <c r="E670" s="147" t="s">
        <v>1608</v>
      </c>
      <c r="F670" s="135">
        <v>45786</v>
      </c>
      <c r="G670" s="45"/>
      <c r="H670" s="136"/>
      <c r="I670" s="136">
        <v>170528</v>
      </c>
      <c r="J670" s="137" t="s">
        <v>1025</v>
      </c>
      <c r="K670" s="150"/>
      <c r="L670" s="148">
        <f t="shared" si="107"/>
        <v>170528</v>
      </c>
      <c r="M670" s="122">
        <f t="shared" si="102"/>
        <v>0</v>
      </c>
      <c r="N670" s="137"/>
      <c r="O670" s="149" t="b">
        <f t="shared" si="103"/>
        <v>1</v>
      </c>
      <c r="P670" s="149">
        <f t="shared" si="104"/>
        <v>0</v>
      </c>
      <c r="Q670" s="149" t="b">
        <f t="shared" si="105"/>
        <v>1</v>
      </c>
      <c r="R670" s="149">
        <f t="shared" si="106"/>
        <v>0</v>
      </c>
      <c r="S670" s="144"/>
      <c r="T670" s="143">
        <v>45786</v>
      </c>
      <c r="U670" s="144" t="s">
        <v>1608</v>
      </c>
      <c r="V670" s="144"/>
      <c r="W670" s="144"/>
      <c r="X670" s="144"/>
      <c r="Y670" s="144" t="s">
        <v>1802</v>
      </c>
      <c r="Z670" s="145"/>
      <c r="AA670" s="145"/>
      <c r="AB670" s="144"/>
      <c r="AC670" s="144"/>
      <c r="AD670" s="145">
        <v>170528</v>
      </c>
      <c r="AE670" s="144"/>
      <c r="AF670" s="146"/>
    </row>
    <row r="671" spans="1:40">
      <c r="A671" s="132">
        <f t="shared" si="98"/>
        <v>663</v>
      </c>
      <c r="B671" s="133" t="s">
        <v>1768</v>
      </c>
      <c r="C671" s="133" t="s">
        <v>1929</v>
      </c>
      <c r="D671" s="132" t="s">
        <v>1069</v>
      </c>
      <c r="E671" s="147" t="s">
        <v>1609</v>
      </c>
      <c r="F671" s="135">
        <v>45796</v>
      </c>
      <c r="G671" s="45"/>
      <c r="H671" s="136"/>
      <c r="I671" s="136">
        <v>28014</v>
      </c>
      <c r="J671" s="137" t="s">
        <v>1025</v>
      </c>
      <c r="K671" s="150"/>
      <c r="L671" s="148">
        <f t="shared" si="107"/>
        <v>28014</v>
      </c>
      <c r="M671" s="122">
        <f t="shared" si="102"/>
        <v>0</v>
      </c>
      <c r="N671" s="137"/>
      <c r="O671" s="149" t="b">
        <f t="shared" si="103"/>
        <v>1</v>
      </c>
      <c r="P671" s="149">
        <f t="shared" si="104"/>
        <v>0</v>
      </c>
      <c r="Q671" s="149" t="b">
        <f t="shared" si="105"/>
        <v>0</v>
      </c>
      <c r="R671" s="149">
        <f t="shared" si="106"/>
        <v>0</v>
      </c>
      <c r="S671" s="144"/>
      <c r="T671" s="143">
        <v>45796</v>
      </c>
      <c r="U671" s="144" t="s">
        <v>1609</v>
      </c>
      <c r="V671" s="144">
        <v>0</v>
      </c>
      <c r="W671" s="144" t="s">
        <v>1071</v>
      </c>
      <c r="X671" s="144" t="s">
        <v>1801</v>
      </c>
      <c r="Y671" s="144" t="s">
        <v>1802</v>
      </c>
      <c r="Z671" s="145">
        <v>308154</v>
      </c>
      <c r="AA671" s="145">
        <v>280140</v>
      </c>
      <c r="AB671" s="144">
        <v>0</v>
      </c>
      <c r="AC671" s="144" t="s">
        <v>1022</v>
      </c>
      <c r="AD671" s="145">
        <v>28014</v>
      </c>
      <c r="AE671" s="144">
        <v>0</v>
      </c>
      <c r="AF671" s="146">
        <v>0</v>
      </c>
      <c r="AG671" s="70">
        <v>0</v>
      </c>
      <c r="AH671" s="70">
        <v>0</v>
      </c>
      <c r="AI671" s="70">
        <v>0</v>
      </c>
      <c r="AJ671" s="70">
        <v>0</v>
      </c>
      <c r="AK671" s="70">
        <v>0</v>
      </c>
      <c r="AL671" s="70">
        <v>0.01</v>
      </c>
      <c r="AM671" s="70">
        <v>0</v>
      </c>
      <c r="AN671" s="70" t="s">
        <v>1877</v>
      </c>
    </row>
    <row r="672" spans="1:40">
      <c r="A672" s="132">
        <f t="shared" si="98"/>
        <v>664</v>
      </c>
      <c r="B672" s="133" t="s">
        <v>1769</v>
      </c>
      <c r="C672" s="133" t="s">
        <v>1928</v>
      </c>
      <c r="D672" s="132" t="s">
        <v>1717</v>
      </c>
      <c r="E672" s="147" t="s">
        <v>1610</v>
      </c>
      <c r="F672" s="135">
        <v>45786</v>
      </c>
      <c r="G672" s="45"/>
      <c r="H672" s="136"/>
      <c r="I672" s="136">
        <v>170528</v>
      </c>
      <c r="J672" s="137" t="s">
        <v>1025</v>
      </c>
      <c r="K672" s="150"/>
      <c r="L672" s="148">
        <f t="shared" si="107"/>
        <v>170528</v>
      </c>
      <c r="M672" s="122">
        <f t="shared" si="102"/>
        <v>0</v>
      </c>
      <c r="N672" s="137"/>
      <c r="O672" s="149" t="b">
        <f t="shared" si="103"/>
        <v>1</v>
      </c>
      <c r="P672" s="149">
        <f t="shared" si="104"/>
        <v>0</v>
      </c>
      <c r="Q672" s="149" t="b">
        <f t="shared" si="105"/>
        <v>1</v>
      </c>
      <c r="R672" s="149">
        <f t="shared" si="106"/>
        <v>0</v>
      </c>
      <c r="S672" s="144"/>
      <c r="T672" s="143">
        <v>45786</v>
      </c>
      <c r="U672" s="144" t="s">
        <v>1610</v>
      </c>
      <c r="V672" s="144"/>
      <c r="W672" s="144"/>
      <c r="X672" s="144"/>
      <c r="Y672" s="144" t="s">
        <v>1802</v>
      </c>
      <c r="Z672" s="145"/>
      <c r="AA672" s="145"/>
      <c r="AB672" s="144"/>
      <c r="AC672" s="144"/>
      <c r="AD672" s="145">
        <v>170528</v>
      </c>
      <c r="AE672" s="144"/>
      <c r="AF672" s="146"/>
    </row>
    <row r="673" spans="1:40">
      <c r="A673" s="132">
        <f t="shared" si="98"/>
        <v>665</v>
      </c>
      <c r="B673" s="133" t="s">
        <v>1768</v>
      </c>
      <c r="C673" s="133" t="s">
        <v>1929</v>
      </c>
      <c r="D673" s="132" t="s">
        <v>1069</v>
      </c>
      <c r="E673" s="147" t="s">
        <v>1611</v>
      </c>
      <c r="F673" s="135">
        <v>45796</v>
      </c>
      <c r="G673" s="45"/>
      <c r="H673" s="136"/>
      <c r="I673" s="136">
        <v>28014</v>
      </c>
      <c r="J673" s="137" t="s">
        <v>1025</v>
      </c>
      <c r="K673" s="150"/>
      <c r="L673" s="148">
        <f t="shared" si="107"/>
        <v>28014</v>
      </c>
      <c r="M673" s="122">
        <f t="shared" si="102"/>
        <v>0</v>
      </c>
      <c r="N673" s="137"/>
      <c r="O673" s="149" t="b">
        <f t="shared" si="103"/>
        <v>1</v>
      </c>
      <c r="P673" s="149">
        <f t="shared" si="104"/>
        <v>0</v>
      </c>
      <c r="Q673" s="149" t="b">
        <f t="shared" si="105"/>
        <v>0</v>
      </c>
      <c r="R673" s="149">
        <f t="shared" si="106"/>
        <v>0</v>
      </c>
      <c r="S673" s="144"/>
      <c r="T673" s="143">
        <v>45796</v>
      </c>
      <c r="U673" s="144" t="s">
        <v>1611</v>
      </c>
      <c r="V673" s="144">
        <v>0</v>
      </c>
      <c r="W673" s="144" t="s">
        <v>1071</v>
      </c>
      <c r="X673" s="144" t="s">
        <v>1801</v>
      </c>
      <c r="Y673" s="144" t="s">
        <v>1802</v>
      </c>
      <c r="Z673" s="145">
        <v>308154</v>
      </c>
      <c r="AA673" s="145">
        <v>280140</v>
      </c>
      <c r="AB673" s="144">
        <v>0</v>
      </c>
      <c r="AC673" s="144" t="s">
        <v>1022</v>
      </c>
      <c r="AD673" s="145">
        <v>28014</v>
      </c>
      <c r="AE673" s="144">
        <v>0</v>
      </c>
      <c r="AF673" s="146">
        <v>0</v>
      </c>
      <c r="AG673" s="70">
        <v>0</v>
      </c>
      <c r="AH673" s="70">
        <v>0</v>
      </c>
      <c r="AI673" s="70">
        <v>0</v>
      </c>
      <c r="AJ673" s="70">
        <v>0</v>
      </c>
      <c r="AK673" s="70">
        <v>0</v>
      </c>
      <c r="AL673" s="70">
        <v>0.01</v>
      </c>
      <c r="AM673" s="70">
        <v>0</v>
      </c>
      <c r="AN673" s="70" t="s">
        <v>1877</v>
      </c>
    </row>
    <row r="674" spans="1:40">
      <c r="A674" s="132">
        <f t="shared" si="98"/>
        <v>666</v>
      </c>
      <c r="B674" s="133" t="s">
        <v>1769</v>
      </c>
      <c r="C674" s="133" t="s">
        <v>1928</v>
      </c>
      <c r="D674" s="132" t="s">
        <v>1717</v>
      </c>
      <c r="E674" s="147" t="s">
        <v>1612</v>
      </c>
      <c r="F674" s="135">
        <v>45786</v>
      </c>
      <c r="G674" s="45"/>
      <c r="H674" s="136"/>
      <c r="I674" s="136">
        <v>170528</v>
      </c>
      <c r="J674" s="137" t="s">
        <v>1025</v>
      </c>
      <c r="K674" s="150"/>
      <c r="L674" s="148">
        <f t="shared" si="107"/>
        <v>170528</v>
      </c>
      <c r="M674" s="122">
        <f t="shared" si="102"/>
        <v>0</v>
      </c>
      <c r="N674" s="137"/>
      <c r="O674" s="149" t="b">
        <f t="shared" si="103"/>
        <v>1</v>
      </c>
      <c r="P674" s="149">
        <f t="shared" si="104"/>
        <v>0</v>
      </c>
      <c r="Q674" s="149" t="b">
        <f t="shared" si="105"/>
        <v>1</v>
      </c>
      <c r="R674" s="149">
        <f t="shared" si="106"/>
        <v>0</v>
      </c>
      <c r="S674" s="144"/>
      <c r="T674" s="143">
        <v>45786</v>
      </c>
      <c r="U674" s="144" t="s">
        <v>1612</v>
      </c>
      <c r="V674" s="144"/>
      <c r="W674" s="144"/>
      <c r="X674" s="144"/>
      <c r="Y674" s="144" t="s">
        <v>1802</v>
      </c>
      <c r="Z674" s="145"/>
      <c r="AA674" s="145"/>
      <c r="AB674" s="144"/>
      <c r="AC674" s="144"/>
      <c r="AD674" s="145">
        <v>170528</v>
      </c>
      <c r="AE674" s="144"/>
      <c r="AF674" s="146"/>
    </row>
    <row r="675" spans="1:40">
      <c r="A675" s="132">
        <f t="shared" si="98"/>
        <v>667</v>
      </c>
      <c r="B675" s="133" t="s">
        <v>1768</v>
      </c>
      <c r="C675" s="133" t="s">
        <v>1929</v>
      </c>
      <c r="D675" s="132" t="s">
        <v>1069</v>
      </c>
      <c r="E675" s="147" t="s">
        <v>1613</v>
      </c>
      <c r="F675" s="135">
        <v>45796</v>
      </c>
      <c r="G675" s="45"/>
      <c r="H675" s="136"/>
      <c r="I675" s="136">
        <v>112056</v>
      </c>
      <c r="J675" s="137" t="s">
        <v>1025</v>
      </c>
      <c r="K675" s="150"/>
      <c r="L675" s="148">
        <f t="shared" si="107"/>
        <v>112056</v>
      </c>
      <c r="M675" s="122">
        <f t="shared" si="102"/>
        <v>0</v>
      </c>
      <c r="N675" s="137"/>
      <c r="O675" s="149" t="b">
        <f t="shared" si="103"/>
        <v>1</v>
      </c>
      <c r="P675" s="149">
        <f t="shared" si="104"/>
        <v>0</v>
      </c>
      <c r="Q675" s="149" t="b">
        <f t="shared" si="105"/>
        <v>0</v>
      </c>
      <c r="R675" s="149">
        <f t="shared" si="106"/>
        <v>0</v>
      </c>
      <c r="S675" s="144"/>
      <c r="T675" s="143">
        <v>45796</v>
      </c>
      <c r="U675" s="144" t="s">
        <v>1613</v>
      </c>
      <c r="V675" s="144">
        <v>0</v>
      </c>
      <c r="W675" s="144" t="s">
        <v>1071</v>
      </c>
      <c r="X675" s="144" t="s">
        <v>1801</v>
      </c>
      <c r="Y675" s="144" t="s">
        <v>1802</v>
      </c>
      <c r="Z675" s="145">
        <v>1232616</v>
      </c>
      <c r="AA675" s="145">
        <v>1120560</v>
      </c>
      <c r="AB675" s="144">
        <v>0</v>
      </c>
      <c r="AC675" s="144" t="s">
        <v>1022</v>
      </c>
      <c r="AD675" s="145">
        <v>112056</v>
      </c>
      <c r="AE675" s="144">
        <v>0</v>
      </c>
      <c r="AF675" s="146">
        <v>0</v>
      </c>
      <c r="AG675" s="70">
        <v>0</v>
      </c>
      <c r="AH675" s="70">
        <v>0</v>
      </c>
      <c r="AI675" s="70">
        <v>0</v>
      </c>
      <c r="AJ675" s="70">
        <v>0</v>
      </c>
      <c r="AK675" s="70">
        <v>0</v>
      </c>
      <c r="AL675" s="70">
        <v>0.01</v>
      </c>
      <c r="AM675" s="70">
        <v>0</v>
      </c>
      <c r="AN675" s="70" t="s">
        <v>1877</v>
      </c>
    </row>
    <row r="676" spans="1:40">
      <c r="A676" s="132">
        <f t="shared" si="98"/>
        <v>668</v>
      </c>
      <c r="B676" s="133" t="s">
        <v>1769</v>
      </c>
      <c r="C676" s="133" t="s">
        <v>1928</v>
      </c>
      <c r="D676" s="132" t="s">
        <v>1717</v>
      </c>
      <c r="E676" s="147" t="s">
        <v>1614</v>
      </c>
      <c r="F676" s="135">
        <v>45786</v>
      </c>
      <c r="G676" s="45"/>
      <c r="H676" s="136"/>
      <c r="I676" s="136">
        <v>677308</v>
      </c>
      <c r="J676" s="137" t="s">
        <v>1025</v>
      </c>
      <c r="K676" s="150"/>
      <c r="L676" s="148">
        <f t="shared" si="107"/>
        <v>677308</v>
      </c>
      <c r="M676" s="122">
        <f t="shared" si="102"/>
        <v>0</v>
      </c>
      <c r="N676" s="137"/>
      <c r="O676" s="149" t="b">
        <f t="shared" si="103"/>
        <v>1</v>
      </c>
      <c r="P676" s="149">
        <f t="shared" si="104"/>
        <v>0</v>
      </c>
      <c r="Q676" s="149" t="b">
        <f t="shared" si="105"/>
        <v>1</v>
      </c>
      <c r="R676" s="149">
        <f t="shared" si="106"/>
        <v>0</v>
      </c>
      <c r="S676" s="144"/>
      <c r="T676" s="143">
        <v>45786</v>
      </c>
      <c r="U676" s="144" t="s">
        <v>1614</v>
      </c>
      <c r="V676" s="144"/>
      <c r="W676" s="144"/>
      <c r="X676" s="144"/>
      <c r="Y676" s="144" t="s">
        <v>1802</v>
      </c>
      <c r="Z676" s="145"/>
      <c r="AA676" s="145"/>
      <c r="AB676" s="144"/>
      <c r="AC676" s="144"/>
      <c r="AD676" s="145">
        <v>677308</v>
      </c>
      <c r="AE676" s="144"/>
      <c r="AF676" s="146"/>
    </row>
    <row r="677" spans="1:40">
      <c r="A677" s="132">
        <f t="shared" si="98"/>
        <v>669</v>
      </c>
      <c r="B677" s="133" t="s">
        <v>1768</v>
      </c>
      <c r="C677" s="133" t="s">
        <v>1929</v>
      </c>
      <c r="D677" s="132" t="s">
        <v>1069</v>
      </c>
      <c r="E677" s="147" t="s">
        <v>1615</v>
      </c>
      <c r="F677" s="135">
        <v>45796</v>
      </c>
      <c r="G677" s="45"/>
      <c r="H677" s="136"/>
      <c r="I677" s="136">
        <v>28014</v>
      </c>
      <c r="J677" s="137" t="s">
        <v>1025</v>
      </c>
      <c r="K677" s="150"/>
      <c r="L677" s="148">
        <f t="shared" si="107"/>
        <v>28014</v>
      </c>
      <c r="M677" s="122">
        <f t="shared" si="102"/>
        <v>0</v>
      </c>
      <c r="N677" s="137"/>
      <c r="O677" s="149" t="b">
        <f t="shared" si="103"/>
        <v>1</v>
      </c>
      <c r="P677" s="149">
        <f t="shared" si="104"/>
        <v>0</v>
      </c>
      <c r="Q677" s="149" t="b">
        <f t="shared" si="105"/>
        <v>0</v>
      </c>
      <c r="R677" s="149">
        <f t="shared" si="106"/>
        <v>0</v>
      </c>
      <c r="S677" s="144"/>
      <c r="T677" s="143">
        <v>45796</v>
      </c>
      <c r="U677" s="144" t="s">
        <v>1615</v>
      </c>
      <c r="V677" s="144">
        <v>0</v>
      </c>
      <c r="W677" s="144" t="s">
        <v>1071</v>
      </c>
      <c r="X677" s="144" t="s">
        <v>1801</v>
      </c>
      <c r="Y677" s="144" t="s">
        <v>1802</v>
      </c>
      <c r="Z677" s="145">
        <v>308154</v>
      </c>
      <c r="AA677" s="145">
        <v>280140</v>
      </c>
      <c r="AB677" s="144">
        <v>0</v>
      </c>
      <c r="AC677" s="144" t="s">
        <v>1022</v>
      </c>
      <c r="AD677" s="145">
        <v>28014</v>
      </c>
      <c r="AE677" s="144">
        <v>0</v>
      </c>
      <c r="AF677" s="146">
        <v>0</v>
      </c>
      <c r="AG677" s="70">
        <v>0</v>
      </c>
      <c r="AH677" s="70">
        <v>0</v>
      </c>
      <c r="AI677" s="70">
        <v>0</v>
      </c>
      <c r="AJ677" s="70">
        <v>0</v>
      </c>
      <c r="AK677" s="70">
        <v>0</v>
      </c>
      <c r="AL677" s="70">
        <v>0.01</v>
      </c>
      <c r="AM677" s="70">
        <v>0</v>
      </c>
      <c r="AN677" s="70" t="s">
        <v>1877</v>
      </c>
    </row>
    <row r="678" spans="1:40">
      <c r="A678" s="132">
        <f t="shared" si="98"/>
        <v>670</v>
      </c>
      <c r="B678" s="133" t="s">
        <v>1769</v>
      </c>
      <c r="C678" s="133" t="s">
        <v>1928</v>
      </c>
      <c r="D678" s="132" t="s">
        <v>1717</v>
      </c>
      <c r="E678" s="147" t="s">
        <v>1616</v>
      </c>
      <c r="F678" s="135">
        <v>45786</v>
      </c>
      <c r="G678" s="45"/>
      <c r="H678" s="136"/>
      <c r="I678" s="136">
        <v>170528</v>
      </c>
      <c r="J678" s="137" t="s">
        <v>1025</v>
      </c>
      <c r="K678" s="150"/>
      <c r="L678" s="148">
        <f t="shared" si="107"/>
        <v>170528</v>
      </c>
      <c r="M678" s="122">
        <f t="shared" si="102"/>
        <v>0</v>
      </c>
      <c r="N678" s="137"/>
      <c r="O678" s="149" t="b">
        <f t="shared" si="103"/>
        <v>1</v>
      </c>
      <c r="P678" s="149">
        <f t="shared" si="104"/>
        <v>0</v>
      </c>
      <c r="Q678" s="149" t="b">
        <f t="shared" si="105"/>
        <v>1</v>
      </c>
      <c r="R678" s="149">
        <f t="shared" si="106"/>
        <v>0</v>
      </c>
      <c r="S678" s="144"/>
      <c r="T678" s="143">
        <v>45786</v>
      </c>
      <c r="U678" s="144" t="s">
        <v>1616</v>
      </c>
      <c r="V678" s="144"/>
      <c r="W678" s="144"/>
      <c r="X678" s="144"/>
      <c r="Y678" s="144" t="s">
        <v>1802</v>
      </c>
      <c r="Z678" s="145"/>
      <c r="AA678" s="145"/>
      <c r="AB678" s="144"/>
      <c r="AC678" s="144"/>
      <c r="AD678" s="145">
        <v>170528</v>
      </c>
      <c r="AE678" s="144"/>
      <c r="AF678" s="146"/>
    </row>
    <row r="679" spans="1:40">
      <c r="A679" s="132">
        <f t="shared" si="98"/>
        <v>671</v>
      </c>
      <c r="B679" s="133" t="s">
        <v>1768</v>
      </c>
      <c r="C679" s="133" t="s">
        <v>1929</v>
      </c>
      <c r="D679" s="132" t="s">
        <v>1069</v>
      </c>
      <c r="E679" s="147" t="s">
        <v>1617</v>
      </c>
      <c r="F679" s="135">
        <v>45796</v>
      </c>
      <c r="G679" s="45"/>
      <c r="H679" s="136"/>
      <c r="I679" s="136">
        <v>28014</v>
      </c>
      <c r="J679" s="137" t="s">
        <v>1025</v>
      </c>
      <c r="K679" s="150"/>
      <c r="L679" s="148">
        <f t="shared" si="107"/>
        <v>28014</v>
      </c>
      <c r="M679" s="122">
        <f t="shared" si="102"/>
        <v>0</v>
      </c>
      <c r="N679" s="137"/>
      <c r="O679" s="149" t="b">
        <f t="shared" si="103"/>
        <v>1</v>
      </c>
      <c r="P679" s="149">
        <f t="shared" si="104"/>
        <v>0</v>
      </c>
      <c r="Q679" s="149" t="b">
        <f t="shared" si="105"/>
        <v>0</v>
      </c>
      <c r="R679" s="149">
        <f t="shared" si="106"/>
        <v>0</v>
      </c>
      <c r="S679" s="144"/>
      <c r="T679" s="143">
        <v>45796</v>
      </c>
      <c r="U679" s="144" t="s">
        <v>1617</v>
      </c>
      <c r="V679" s="144">
        <v>0</v>
      </c>
      <c r="W679" s="144" t="s">
        <v>1071</v>
      </c>
      <c r="X679" s="144" t="s">
        <v>1801</v>
      </c>
      <c r="Y679" s="144" t="s">
        <v>1802</v>
      </c>
      <c r="Z679" s="145">
        <v>308154</v>
      </c>
      <c r="AA679" s="145">
        <v>280140</v>
      </c>
      <c r="AB679" s="144">
        <v>0</v>
      </c>
      <c r="AC679" s="144" t="s">
        <v>1022</v>
      </c>
      <c r="AD679" s="145">
        <v>28014</v>
      </c>
      <c r="AE679" s="144">
        <v>0</v>
      </c>
      <c r="AF679" s="146">
        <v>0</v>
      </c>
      <c r="AG679" s="70">
        <v>0</v>
      </c>
      <c r="AH679" s="70">
        <v>0</v>
      </c>
      <c r="AI679" s="70">
        <v>0</v>
      </c>
      <c r="AJ679" s="70">
        <v>0</v>
      </c>
      <c r="AK679" s="70">
        <v>0</v>
      </c>
      <c r="AL679" s="70">
        <v>0.01</v>
      </c>
      <c r="AM679" s="70">
        <v>0</v>
      </c>
      <c r="AN679" s="70" t="s">
        <v>1877</v>
      </c>
    </row>
    <row r="680" spans="1:40">
      <c r="A680" s="132">
        <f t="shared" si="98"/>
        <v>672</v>
      </c>
      <c r="B680" s="133" t="s">
        <v>1769</v>
      </c>
      <c r="C680" s="133" t="s">
        <v>1928</v>
      </c>
      <c r="D680" s="132" t="s">
        <v>1717</v>
      </c>
      <c r="E680" s="147" t="s">
        <v>1618</v>
      </c>
      <c r="F680" s="135">
        <v>45786</v>
      </c>
      <c r="G680" s="45"/>
      <c r="H680" s="136"/>
      <c r="I680" s="136">
        <v>170528</v>
      </c>
      <c r="J680" s="137" t="s">
        <v>1025</v>
      </c>
      <c r="K680" s="150"/>
      <c r="L680" s="148">
        <f t="shared" si="107"/>
        <v>170528</v>
      </c>
      <c r="M680" s="122">
        <f t="shared" si="102"/>
        <v>0</v>
      </c>
      <c r="N680" s="137"/>
      <c r="O680" s="149" t="b">
        <f t="shared" si="103"/>
        <v>1</v>
      </c>
      <c r="P680" s="149">
        <f t="shared" si="104"/>
        <v>0</v>
      </c>
      <c r="Q680" s="149" t="b">
        <f t="shared" si="105"/>
        <v>1</v>
      </c>
      <c r="R680" s="149">
        <f t="shared" si="106"/>
        <v>0</v>
      </c>
      <c r="S680" s="144"/>
      <c r="T680" s="143">
        <v>45786</v>
      </c>
      <c r="U680" s="144" t="s">
        <v>1618</v>
      </c>
      <c r="V680" s="144"/>
      <c r="W680" s="144"/>
      <c r="X680" s="144"/>
      <c r="Y680" s="144" t="s">
        <v>1802</v>
      </c>
      <c r="Z680" s="145"/>
      <c r="AA680" s="145"/>
      <c r="AB680" s="144"/>
      <c r="AC680" s="144"/>
      <c r="AD680" s="145">
        <v>170528</v>
      </c>
      <c r="AE680" s="144"/>
      <c r="AF680" s="146"/>
    </row>
    <row r="681" spans="1:40">
      <c r="A681" s="132">
        <f t="shared" si="98"/>
        <v>673</v>
      </c>
      <c r="B681" s="133" t="s">
        <v>1768</v>
      </c>
      <c r="C681" s="133" t="s">
        <v>1929</v>
      </c>
      <c r="D681" s="132" t="s">
        <v>1069</v>
      </c>
      <c r="E681" s="147" t="s">
        <v>1619</v>
      </c>
      <c r="F681" s="135">
        <v>45796</v>
      </c>
      <c r="G681" s="45"/>
      <c r="H681" s="136"/>
      <c r="I681" s="136">
        <v>56028</v>
      </c>
      <c r="J681" s="137" t="s">
        <v>1025</v>
      </c>
      <c r="K681" s="150"/>
      <c r="L681" s="148">
        <f t="shared" si="107"/>
        <v>56028</v>
      </c>
      <c r="M681" s="122">
        <f t="shared" si="102"/>
        <v>0</v>
      </c>
      <c r="N681" s="137"/>
      <c r="O681" s="149" t="b">
        <f t="shared" si="103"/>
        <v>1</v>
      </c>
      <c r="P681" s="149">
        <f t="shared" si="104"/>
        <v>0</v>
      </c>
      <c r="Q681" s="149" t="b">
        <f t="shared" si="105"/>
        <v>0</v>
      </c>
      <c r="R681" s="149">
        <f t="shared" si="106"/>
        <v>0</v>
      </c>
      <c r="S681" s="144"/>
      <c r="T681" s="143">
        <v>45796</v>
      </c>
      <c r="U681" s="144" t="s">
        <v>1619</v>
      </c>
      <c r="V681" s="144">
        <v>0</v>
      </c>
      <c r="W681" s="144" t="s">
        <v>1071</v>
      </c>
      <c r="X681" s="144" t="s">
        <v>1801</v>
      </c>
      <c r="Y681" s="144" t="s">
        <v>1802</v>
      </c>
      <c r="Z681" s="145">
        <v>616308</v>
      </c>
      <c r="AA681" s="145">
        <v>560280</v>
      </c>
      <c r="AB681" s="144">
        <v>0</v>
      </c>
      <c r="AC681" s="144" t="s">
        <v>1022</v>
      </c>
      <c r="AD681" s="145">
        <v>56028</v>
      </c>
      <c r="AE681" s="144">
        <v>0</v>
      </c>
      <c r="AF681" s="146">
        <v>0</v>
      </c>
      <c r="AG681" s="70">
        <v>0</v>
      </c>
      <c r="AH681" s="70">
        <v>0</v>
      </c>
      <c r="AI681" s="70">
        <v>0</v>
      </c>
      <c r="AJ681" s="70">
        <v>0</v>
      </c>
      <c r="AK681" s="70">
        <v>0</v>
      </c>
      <c r="AL681" s="70">
        <v>0.01</v>
      </c>
      <c r="AM681" s="70">
        <v>0</v>
      </c>
      <c r="AN681" s="70" t="s">
        <v>1877</v>
      </c>
    </row>
    <row r="682" spans="1:40">
      <c r="A682" s="132">
        <f t="shared" si="98"/>
        <v>674</v>
      </c>
      <c r="B682" s="133" t="s">
        <v>1769</v>
      </c>
      <c r="C682" s="133" t="s">
        <v>1928</v>
      </c>
      <c r="D682" s="132" t="s">
        <v>1717</v>
      </c>
      <c r="E682" s="147" t="s">
        <v>1620</v>
      </c>
      <c r="F682" s="135">
        <v>45786</v>
      </c>
      <c r="G682" s="45"/>
      <c r="H682" s="136"/>
      <c r="I682" s="136">
        <v>341056</v>
      </c>
      <c r="J682" s="137" t="s">
        <v>1025</v>
      </c>
      <c r="K682" s="150"/>
      <c r="L682" s="148">
        <f t="shared" si="107"/>
        <v>341056</v>
      </c>
      <c r="M682" s="122">
        <f t="shared" si="102"/>
        <v>0</v>
      </c>
      <c r="N682" s="137"/>
      <c r="O682" s="149" t="b">
        <f t="shared" si="103"/>
        <v>1</v>
      </c>
      <c r="P682" s="149">
        <f t="shared" si="104"/>
        <v>0</v>
      </c>
      <c r="Q682" s="149" t="b">
        <f t="shared" si="105"/>
        <v>1</v>
      </c>
      <c r="R682" s="149">
        <f t="shared" si="106"/>
        <v>0</v>
      </c>
      <c r="S682" s="144"/>
      <c r="T682" s="143">
        <v>45786</v>
      </c>
      <c r="U682" s="144" t="s">
        <v>1620</v>
      </c>
      <c r="V682" s="144"/>
      <c r="W682" s="144"/>
      <c r="X682" s="144"/>
      <c r="Y682" s="144" t="s">
        <v>1802</v>
      </c>
      <c r="Z682" s="145"/>
      <c r="AA682" s="145"/>
      <c r="AB682" s="144"/>
      <c r="AC682" s="144"/>
      <c r="AD682" s="145">
        <v>341056</v>
      </c>
      <c r="AE682" s="144"/>
      <c r="AF682" s="146"/>
    </row>
    <row r="683" spans="1:40">
      <c r="A683" s="132">
        <f t="shared" si="98"/>
        <v>675</v>
      </c>
      <c r="B683" s="133" t="s">
        <v>1768</v>
      </c>
      <c r="C683" s="133" t="s">
        <v>1929</v>
      </c>
      <c r="D683" s="132" t="s">
        <v>1069</v>
      </c>
      <c r="E683" s="147" t="s">
        <v>1621</v>
      </c>
      <c r="F683" s="135">
        <v>45796</v>
      </c>
      <c r="G683" s="45"/>
      <c r="H683" s="136"/>
      <c r="I683" s="136">
        <v>28014</v>
      </c>
      <c r="J683" s="137" t="s">
        <v>1025</v>
      </c>
      <c r="K683" s="150"/>
      <c r="L683" s="148">
        <f t="shared" si="107"/>
        <v>28014</v>
      </c>
      <c r="M683" s="122">
        <f t="shared" si="102"/>
        <v>0</v>
      </c>
      <c r="N683" s="137"/>
      <c r="O683" s="149" t="b">
        <f t="shared" si="103"/>
        <v>1</v>
      </c>
      <c r="P683" s="149">
        <f t="shared" si="104"/>
        <v>0</v>
      </c>
      <c r="Q683" s="149" t="b">
        <f t="shared" si="105"/>
        <v>0</v>
      </c>
      <c r="R683" s="149">
        <f t="shared" si="106"/>
        <v>0</v>
      </c>
      <c r="S683" s="144"/>
      <c r="T683" s="143">
        <v>45796</v>
      </c>
      <c r="U683" s="144" t="s">
        <v>1621</v>
      </c>
      <c r="V683" s="144">
        <v>0</v>
      </c>
      <c r="W683" s="144" t="s">
        <v>1071</v>
      </c>
      <c r="X683" s="144" t="s">
        <v>1801</v>
      </c>
      <c r="Y683" s="144" t="s">
        <v>1802</v>
      </c>
      <c r="Z683" s="145">
        <v>308154</v>
      </c>
      <c r="AA683" s="145">
        <v>280140</v>
      </c>
      <c r="AB683" s="144">
        <v>0</v>
      </c>
      <c r="AC683" s="144" t="s">
        <v>1022</v>
      </c>
      <c r="AD683" s="145">
        <v>28014</v>
      </c>
      <c r="AE683" s="144">
        <v>0</v>
      </c>
      <c r="AF683" s="146">
        <v>0</v>
      </c>
      <c r="AG683" s="70">
        <v>0</v>
      </c>
      <c r="AH683" s="70">
        <v>0</v>
      </c>
      <c r="AI683" s="70">
        <v>0</v>
      </c>
      <c r="AJ683" s="70">
        <v>0</v>
      </c>
      <c r="AK683" s="70">
        <v>0</v>
      </c>
      <c r="AL683" s="70">
        <v>0.01</v>
      </c>
      <c r="AM683" s="70">
        <v>0</v>
      </c>
      <c r="AN683" s="70" t="s">
        <v>1877</v>
      </c>
    </row>
    <row r="684" spans="1:40">
      <c r="A684" s="132">
        <f t="shared" si="98"/>
        <v>676</v>
      </c>
      <c r="B684" s="133" t="s">
        <v>1769</v>
      </c>
      <c r="C684" s="133" t="s">
        <v>1928</v>
      </c>
      <c r="D684" s="132" t="s">
        <v>1717</v>
      </c>
      <c r="E684" s="147" t="s">
        <v>1622</v>
      </c>
      <c r="F684" s="135">
        <v>45786</v>
      </c>
      <c r="G684" s="45"/>
      <c r="H684" s="136"/>
      <c r="I684" s="136">
        <v>170528</v>
      </c>
      <c r="J684" s="137" t="s">
        <v>1025</v>
      </c>
      <c r="K684" s="150"/>
      <c r="L684" s="148">
        <f t="shared" si="107"/>
        <v>170528</v>
      </c>
      <c r="M684" s="122">
        <f t="shared" si="102"/>
        <v>0</v>
      </c>
      <c r="N684" s="137"/>
      <c r="O684" s="149" t="b">
        <f t="shared" si="103"/>
        <v>1</v>
      </c>
      <c r="P684" s="149">
        <f t="shared" si="104"/>
        <v>0</v>
      </c>
      <c r="Q684" s="149" t="b">
        <f t="shared" si="105"/>
        <v>1</v>
      </c>
      <c r="R684" s="149">
        <f t="shared" si="106"/>
        <v>0</v>
      </c>
      <c r="S684" s="144"/>
      <c r="T684" s="143">
        <v>45786</v>
      </c>
      <c r="U684" s="144" t="s">
        <v>1622</v>
      </c>
      <c r="V684" s="144"/>
      <c r="W684" s="144"/>
      <c r="X684" s="144"/>
      <c r="Y684" s="144" t="s">
        <v>1802</v>
      </c>
      <c r="Z684" s="145"/>
      <c r="AA684" s="145"/>
      <c r="AB684" s="144"/>
      <c r="AC684" s="144"/>
      <c r="AD684" s="145">
        <v>170528</v>
      </c>
      <c r="AE684" s="144"/>
      <c r="AF684" s="146"/>
    </row>
    <row r="685" spans="1:40">
      <c r="A685" s="132">
        <f t="shared" si="98"/>
        <v>677</v>
      </c>
      <c r="B685" s="133" t="s">
        <v>1768</v>
      </c>
      <c r="C685" s="133" t="s">
        <v>1929</v>
      </c>
      <c r="D685" s="132" t="s">
        <v>1069</v>
      </c>
      <c r="E685" s="147" t="s">
        <v>1623</v>
      </c>
      <c r="F685" s="135">
        <v>45796</v>
      </c>
      <c r="G685" s="45"/>
      <c r="H685" s="136"/>
      <c r="I685" s="136">
        <v>56028</v>
      </c>
      <c r="J685" s="137" t="s">
        <v>1025</v>
      </c>
      <c r="K685" s="150"/>
      <c r="L685" s="148">
        <f>I685</f>
        <v>56028</v>
      </c>
      <c r="M685" s="122">
        <f t="shared" si="102"/>
        <v>0</v>
      </c>
      <c r="N685" s="137"/>
      <c r="O685" s="149" t="b">
        <f t="shared" si="103"/>
        <v>1</v>
      </c>
      <c r="P685" s="149">
        <f t="shared" si="104"/>
        <v>0</v>
      </c>
      <c r="Q685" s="149" t="b">
        <f t="shared" si="105"/>
        <v>0</v>
      </c>
      <c r="R685" s="149">
        <f t="shared" si="106"/>
        <v>0</v>
      </c>
      <c r="S685" s="144"/>
      <c r="T685" s="143">
        <v>45796</v>
      </c>
      <c r="U685" s="144" t="s">
        <v>1623</v>
      </c>
      <c r="V685" s="144">
        <v>0</v>
      </c>
      <c r="W685" s="144" t="s">
        <v>1071</v>
      </c>
      <c r="X685" s="144" t="s">
        <v>1801</v>
      </c>
      <c r="Y685" s="144" t="s">
        <v>1802</v>
      </c>
      <c r="Z685" s="145">
        <v>616308</v>
      </c>
      <c r="AA685" s="145">
        <v>560280</v>
      </c>
      <c r="AB685" s="144">
        <v>0</v>
      </c>
      <c r="AC685" s="144" t="s">
        <v>1022</v>
      </c>
      <c r="AD685" s="145">
        <v>56028</v>
      </c>
      <c r="AE685" s="144">
        <v>0</v>
      </c>
      <c r="AF685" s="146">
        <v>0</v>
      </c>
      <c r="AG685" s="70">
        <v>0</v>
      </c>
      <c r="AH685" s="70">
        <v>0</v>
      </c>
      <c r="AI685" s="70">
        <v>0</v>
      </c>
      <c r="AJ685" s="70">
        <v>0</v>
      </c>
      <c r="AK685" s="70">
        <v>0</v>
      </c>
      <c r="AL685" s="70">
        <v>0.01</v>
      </c>
      <c r="AM685" s="70">
        <v>0</v>
      </c>
      <c r="AN685" s="70" t="s">
        <v>1877</v>
      </c>
    </row>
    <row r="686" spans="1:40">
      <c r="A686" s="132">
        <f t="shared" si="98"/>
        <v>678</v>
      </c>
      <c r="B686" s="133" t="s">
        <v>1769</v>
      </c>
      <c r="C686" s="133" t="s">
        <v>1928</v>
      </c>
      <c r="D686" s="132" t="s">
        <v>1717</v>
      </c>
      <c r="E686" s="147" t="s">
        <v>1624</v>
      </c>
      <c r="F686" s="135">
        <v>45807</v>
      </c>
      <c r="G686" s="45"/>
      <c r="H686" s="136"/>
      <c r="I686" s="136">
        <v>171014</v>
      </c>
      <c r="J686" s="137" t="s">
        <v>1025</v>
      </c>
      <c r="K686" s="150"/>
      <c r="L686" s="148">
        <f>I686</f>
        <v>171014</v>
      </c>
      <c r="M686" s="122">
        <f t="shared" si="102"/>
        <v>0</v>
      </c>
      <c r="N686" s="137"/>
      <c r="O686" s="149" t="b">
        <f t="shared" si="103"/>
        <v>1</v>
      </c>
      <c r="P686" s="149">
        <f t="shared" si="104"/>
        <v>0</v>
      </c>
      <c r="Q686" s="149" t="b">
        <f t="shared" si="105"/>
        <v>1</v>
      </c>
      <c r="R686" s="149">
        <f t="shared" si="106"/>
        <v>0</v>
      </c>
      <c r="S686" s="144"/>
      <c r="T686" s="143">
        <v>45807</v>
      </c>
      <c r="U686" s="144" t="s">
        <v>1624</v>
      </c>
      <c r="V686" s="144"/>
      <c r="W686" s="144"/>
      <c r="X686" s="144"/>
      <c r="Y686" s="144" t="s">
        <v>1802</v>
      </c>
      <c r="Z686" s="145"/>
      <c r="AA686" s="145"/>
      <c r="AB686" s="144"/>
      <c r="AC686" s="144"/>
      <c r="AD686" s="145">
        <v>171014</v>
      </c>
      <c r="AE686" s="144"/>
      <c r="AF686" s="146"/>
    </row>
    <row r="687" spans="1:40">
      <c r="A687" s="132">
        <f t="shared" si="98"/>
        <v>679</v>
      </c>
      <c r="B687" s="133" t="s">
        <v>1768</v>
      </c>
      <c r="C687" s="133" t="s">
        <v>1929</v>
      </c>
      <c r="D687" s="132" t="s">
        <v>1069</v>
      </c>
      <c r="E687" s="147" t="s">
        <v>1625</v>
      </c>
      <c r="F687" s="135">
        <v>45803</v>
      </c>
      <c r="G687" s="45"/>
      <c r="H687" s="136"/>
      <c r="I687" s="136">
        <v>224112</v>
      </c>
      <c r="J687" s="137" t="s">
        <v>1025</v>
      </c>
      <c r="K687" s="150"/>
      <c r="L687" s="148">
        <f>I687</f>
        <v>224112</v>
      </c>
      <c r="M687" s="122">
        <f t="shared" si="102"/>
        <v>0</v>
      </c>
      <c r="N687" s="137"/>
      <c r="O687" s="149" t="b">
        <f t="shared" si="103"/>
        <v>1</v>
      </c>
      <c r="P687" s="149">
        <f t="shared" si="104"/>
        <v>0</v>
      </c>
      <c r="Q687" s="149" t="b">
        <f t="shared" si="105"/>
        <v>0</v>
      </c>
      <c r="R687" s="149">
        <f t="shared" si="106"/>
        <v>0</v>
      </c>
      <c r="S687" s="144"/>
      <c r="T687" s="143">
        <v>45803</v>
      </c>
      <c r="U687" s="144" t="s">
        <v>1625</v>
      </c>
      <c r="V687" s="144">
        <v>0</v>
      </c>
      <c r="W687" s="144" t="s">
        <v>1071</v>
      </c>
      <c r="X687" s="144" t="s">
        <v>1801</v>
      </c>
      <c r="Y687" s="144" t="s">
        <v>1802</v>
      </c>
      <c r="Z687" s="145">
        <v>2465232</v>
      </c>
      <c r="AA687" s="145">
        <v>2241120</v>
      </c>
      <c r="AB687" s="144">
        <v>0</v>
      </c>
      <c r="AC687" s="144" t="s">
        <v>1022</v>
      </c>
      <c r="AD687" s="145">
        <v>224112</v>
      </c>
      <c r="AE687" s="144">
        <v>0</v>
      </c>
      <c r="AF687" s="146">
        <v>0</v>
      </c>
      <c r="AG687" s="70">
        <v>0</v>
      </c>
      <c r="AH687" s="70">
        <v>0</v>
      </c>
      <c r="AI687" s="70">
        <v>0</v>
      </c>
      <c r="AJ687" s="70">
        <v>0</v>
      </c>
      <c r="AK687" s="70">
        <v>0</v>
      </c>
      <c r="AL687" s="70">
        <v>0.01</v>
      </c>
      <c r="AM687" s="70">
        <v>0</v>
      </c>
      <c r="AN687" s="70" t="s">
        <v>1877</v>
      </c>
    </row>
    <row r="688" spans="1:40">
      <c r="A688" s="132">
        <f t="shared" si="98"/>
        <v>680</v>
      </c>
      <c r="B688" s="133" t="s">
        <v>1769</v>
      </c>
      <c r="C688" s="133" t="s">
        <v>1928</v>
      </c>
      <c r="D688" s="132" t="s">
        <v>1717</v>
      </c>
      <c r="E688" s="147" t="s">
        <v>1626</v>
      </c>
      <c r="F688" s="135">
        <v>45807</v>
      </c>
      <c r="G688" s="45"/>
      <c r="H688" s="136"/>
      <c r="I688" s="136">
        <v>1404954</v>
      </c>
      <c r="J688" s="137" t="s">
        <v>1025</v>
      </c>
      <c r="K688" s="150"/>
      <c r="L688" s="148">
        <f>I688</f>
        <v>1404954</v>
      </c>
      <c r="M688" s="122">
        <f t="shared" si="102"/>
        <v>0</v>
      </c>
      <c r="N688" s="137"/>
      <c r="O688" s="149" t="b">
        <f t="shared" si="103"/>
        <v>1</v>
      </c>
      <c r="P688" s="149">
        <f t="shared" si="104"/>
        <v>0</v>
      </c>
      <c r="Q688" s="149" t="b">
        <f t="shared" si="105"/>
        <v>1</v>
      </c>
      <c r="R688" s="149">
        <f t="shared" si="106"/>
        <v>0</v>
      </c>
      <c r="S688" s="144"/>
      <c r="T688" s="143">
        <v>45807</v>
      </c>
      <c r="U688" s="144" t="s">
        <v>1626</v>
      </c>
      <c r="V688" s="144"/>
      <c r="W688" s="144"/>
      <c r="X688" s="144"/>
      <c r="Y688" s="144" t="s">
        <v>1802</v>
      </c>
      <c r="Z688" s="145"/>
      <c r="AA688" s="145"/>
      <c r="AB688" s="144"/>
      <c r="AC688" s="144"/>
      <c r="AD688" s="145">
        <v>1404954</v>
      </c>
      <c r="AE688" s="144"/>
      <c r="AF688" s="146"/>
    </row>
    <row r="689" spans="1:40">
      <c r="A689" s="132">
        <f t="shared" si="98"/>
        <v>681</v>
      </c>
      <c r="B689" s="133" t="s">
        <v>1768</v>
      </c>
      <c r="C689" s="133" t="s">
        <v>1929</v>
      </c>
      <c r="D689" s="132" t="s">
        <v>1069</v>
      </c>
      <c r="E689" s="147" t="s">
        <v>1627</v>
      </c>
      <c r="F689" s="135">
        <v>45796</v>
      </c>
      <c r="G689" s="45"/>
      <c r="H689" s="136"/>
      <c r="I689" s="136">
        <v>28014</v>
      </c>
      <c r="J689" s="137" t="s">
        <v>1025</v>
      </c>
      <c r="K689" s="150"/>
      <c r="L689" s="148">
        <f>I689</f>
        <v>28014</v>
      </c>
      <c r="M689" s="122">
        <f t="shared" si="102"/>
        <v>0</v>
      </c>
      <c r="N689" s="137"/>
      <c r="O689" s="149" t="b">
        <f t="shared" si="103"/>
        <v>1</v>
      </c>
      <c r="P689" s="149">
        <f t="shared" si="104"/>
        <v>0</v>
      </c>
      <c r="Q689" s="149" t="b">
        <f t="shared" si="105"/>
        <v>0</v>
      </c>
      <c r="R689" s="149">
        <f t="shared" si="106"/>
        <v>0</v>
      </c>
      <c r="S689" s="144"/>
      <c r="T689" s="143">
        <v>45796</v>
      </c>
      <c r="U689" s="144" t="s">
        <v>1627</v>
      </c>
      <c r="V689" s="144">
        <v>0</v>
      </c>
      <c r="W689" s="144" t="s">
        <v>1071</v>
      </c>
      <c r="X689" s="144" t="s">
        <v>1801</v>
      </c>
      <c r="Y689" s="144" t="s">
        <v>1802</v>
      </c>
      <c r="Z689" s="145">
        <v>308154</v>
      </c>
      <c r="AA689" s="145">
        <v>280140</v>
      </c>
      <c r="AB689" s="144">
        <v>0</v>
      </c>
      <c r="AC689" s="144" t="s">
        <v>1022</v>
      </c>
      <c r="AD689" s="145">
        <v>28014</v>
      </c>
      <c r="AE689" s="144">
        <v>0</v>
      </c>
      <c r="AF689" s="146">
        <v>0</v>
      </c>
      <c r="AG689" s="70">
        <v>0</v>
      </c>
      <c r="AH689" s="70">
        <v>0</v>
      </c>
      <c r="AI689" s="70">
        <v>0</v>
      </c>
      <c r="AJ689" s="70">
        <v>0</v>
      </c>
      <c r="AK689" s="70">
        <v>0</v>
      </c>
      <c r="AL689" s="70">
        <v>0.01</v>
      </c>
      <c r="AM689" s="70">
        <v>0</v>
      </c>
      <c r="AN689" s="70" t="s">
        <v>1877</v>
      </c>
    </row>
    <row r="690" spans="1:40">
      <c r="A690" s="132">
        <f t="shared" si="98"/>
        <v>682</v>
      </c>
      <c r="B690" s="133" t="s">
        <v>1769</v>
      </c>
      <c r="C690" s="133" t="s">
        <v>1928</v>
      </c>
      <c r="D690" s="132" t="s">
        <v>1717</v>
      </c>
      <c r="E690" s="147" t="s">
        <v>1628</v>
      </c>
      <c r="F690" s="135">
        <v>45786</v>
      </c>
      <c r="G690" s="45"/>
      <c r="H690" s="136"/>
      <c r="I690" s="136">
        <v>170528</v>
      </c>
      <c r="J690" s="137" t="s">
        <v>1025</v>
      </c>
      <c r="K690" s="150"/>
      <c r="L690" s="148">
        <f t="shared" ref="L690:L691" si="108">I690</f>
        <v>170528</v>
      </c>
      <c r="M690" s="122">
        <f t="shared" si="102"/>
        <v>0</v>
      </c>
      <c r="N690" s="137"/>
      <c r="O690" s="149" t="b">
        <f t="shared" si="103"/>
        <v>1</v>
      </c>
      <c r="P690" s="149">
        <f t="shared" si="104"/>
        <v>0</v>
      </c>
      <c r="Q690" s="149" t="b">
        <f t="shared" si="105"/>
        <v>1</v>
      </c>
      <c r="R690" s="149">
        <f t="shared" si="106"/>
        <v>0</v>
      </c>
      <c r="S690" s="144"/>
      <c r="T690" s="143">
        <v>45786</v>
      </c>
      <c r="U690" s="144" t="s">
        <v>1628</v>
      </c>
      <c r="V690" s="144"/>
      <c r="W690" s="144"/>
      <c r="X690" s="144"/>
      <c r="Y690" s="144" t="s">
        <v>1802</v>
      </c>
      <c r="Z690" s="145"/>
      <c r="AA690" s="145"/>
      <c r="AB690" s="144"/>
      <c r="AC690" s="144"/>
      <c r="AD690" s="145">
        <v>170528</v>
      </c>
      <c r="AE690" s="144"/>
      <c r="AF690" s="146"/>
    </row>
    <row r="691" spans="1:40">
      <c r="A691" s="132">
        <f t="shared" si="98"/>
        <v>683</v>
      </c>
      <c r="B691" s="133" t="s">
        <v>1769</v>
      </c>
      <c r="C691" s="133" t="s">
        <v>1928</v>
      </c>
      <c r="D691" s="132" t="s">
        <v>1717</v>
      </c>
      <c r="E691" s="147" t="s">
        <v>1629</v>
      </c>
      <c r="F691" s="135">
        <v>45786</v>
      </c>
      <c r="G691" s="45"/>
      <c r="H691" s="136"/>
      <c r="I691" s="136">
        <v>341056</v>
      </c>
      <c r="J691" s="137" t="s">
        <v>1025</v>
      </c>
      <c r="K691" s="150"/>
      <c r="L691" s="148">
        <f t="shared" si="108"/>
        <v>341056</v>
      </c>
      <c r="M691" s="122">
        <f t="shared" si="102"/>
        <v>0</v>
      </c>
      <c r="N691" s="137"/>
      <c r="O691" s="149" t="b">
        <f t="shared" si="103"/>
        <v>1</v>
      </c>
      <c r="P691" s="149">
        <f t="shared" si="104"/>
        <v>0</v>
      </c>
      <c r="Q691" s="149" t="b">
        <f t="shared" si="105"/>
        <v>1</v>
      </c>
      <c r="R691" s="149">
        <f t="shared" si="106"/>
        <v>0</v>
      </c>
      <c r="S691" s="144"/>
      <c r="T691" s="143">
        <v>45786</v>
      </c>
      <c r="U691" s="144" t="s">
        <v>1629</v>
      </c>
      <c r="V691" s="144"/>
      <c r="W691" s="144"/>
      <c r="X691" s="144"/>
      <c r="Y691" s="144" t="s">
        <v>1802</v>
      </c>
      <c r="Z691" s="145"/>
      <c r="AA691" s="145"/>
      <c r="AB691" s="144"/>
      <c r="AC691" s="144"/>
      <c r="AD691" s="145">
        <v>341056</v>
      </c>
      <c r="AE691" s="144"/>
      <c r="AF691" s="146"/>
    </row>
    <row r="692" spans="1:40">
      <c r="A692" s="132">
        <f t="shared" si="98"/>
        <v>684</v>
      </c>
      <c r="B692" s="133" t="s">
        <v>1768</v>
      </c>
      <c r="C692" s="133" t="s">
        <v>1929</v>
      </c>
      <c r="D692" s="132" t="s">
        <v>1069</v>
      </c>
      <c r="E692" s="147" t="s">
        <v>1630</v>
      </c>
      <c r="F692" s="135">
        <v>45796</v>
      </c>
      <c r="G692" s="45"/>
      <c r="H692" s="136"/>
      <c r="I692" s="136">
        <v>46423</v>
      </c>
      <c r="J692" s="137" t="s">
        <v>1025</v>
      </c>
      <c r="K692" s="150">
        <f>L692</f>
        <v>46423</v>
      </c>
      <c r="L692" s="148">
        <f>I692</f>
        <v>46423</v>
      </c>
      <c r="M692" s="122">
        <f t="shared" si="102"/>
        <v>0</v>
      </c>
      <c r="N692" s="137"/>
      <c r="O692" s="149" t="b">
        <f t="shared" si="103"/>
        <v>1</v>
      </c>
      <c r="P692" s="149">
        <f t="shared" si="104"/>
        <v>0</v>
      </c>
      <c r="Q692" s="149" t="b">
        <f t="shared" si="105"/>
        <v>0</v>
      </c>
      <c r="R692" s="149">
        <f t="shared" si="106"/>
        <v>0</v>
      </c>
      <c r="S692" s="144"/>
      <c r="T692" s="143">
        <v>45796</v>
      </c>
      <c r="U692" s="144" t="s">
        <v>1630</v>
      </c>
      <c r="V692" s="144">
        <v>0</v>
      </c>
      <c r="W692" s="144" t="s">
        <v>1071</v>
      </c>
      <c r="X692" s="144" t="s">
        <v>1801</v>
      </c>
      <c r="Y692" s="144" t="s">
        <v>1802</v>
      </c>
      <c r="Z692" s="145">
        <v>510653</v>
      </c>
      <c r="AA692" s="145">
        <v>464230</v>
      </c>
      <c r="AB692" s="144">
        <v>0</v>
      </c>
      <c r="AC692" s="144" t="s">
        <v>1022</v>
      </c>
      <c r="AD692" s="145">
        <v>46423</v>
      </c>
      <c r="AE692" s="144">
        <v>0</v>
      </c>
      <c r="AF692" s="146">
        <v>0</v>
      </c>
      <c r="AG692" s="70">
        <v>0</v>
      </c>
      <c r="AH692" s="70">
        <v>0</v>
      </c>
      <c r="AI692" s="70">
        <v>0</v>
      </c>
      <c r="AJ692" s="70">
        <v>0</v>
      </c>
      <c r="AK692" s="70">
        <v>0</v>
      </c>
      <c r="AL692" s="70">
        <v>0.01</v>
      </c>
      <c r="AM692" s="70">
        <v>0</v>
      </c>
      <c r="AN692" s="70" t="s">
        <v>1877</v>
      </c>
    </row>
    <row r="693" spans="1:40">
      <c r="A693" s="132">
        <f t="shared" si="98"/>
        <v>685</v>
      </c>
      <c r="B693" s="133" t="s">
        <v>1769</v>
      </c>
      <c r="C693" s="133" t="s">
        <v>1928</v>
      </c>
      <c r="D693" s="132" t="s">
        <v>1717</v>
      </c>
      <c r="E693" s="147" t="s">
        <v>1631</v>
      </c>
      <c r="F693" s="135">
        <v>45786</v>
      </c>
      <c r="G693" s="45"/>
      <c r="H693" s="136"/>
      <c r="I693" s="136">
        <v>332649</v>
      </c>
      <c r="J693" s="137" t="s">
        <v>1025</v>
      </c>
      <c r="K693" s="150"/>
      <c r="L693" s="148">
        <f>I693</f>
        <v>332649</v>
      </c>
      <c r="M693" s="122">
        <f t="shared" si="102"/>
        <v>0</v>
      </c>
      <c r="N693" s="137"/>
      <c r="O693" s="149" t="b">
        <f t="shared" si="103"/>
        <v>1</v>
      </c>
      <c r="P693" s="149">
        <f t="shared" si="104"/>
        <v>0</v>
      </c>
      <c r="Q693" s="149" t="b">
        <f t="shared" si="105"/>
        <v>1</v>
      </c>
      <c r="R693" s="149">
        <f t="shared" si="106"/>
        <v>0</v>
      </c>
      <c r="S693" s="144"/>
      <c r="T693" s="143">
        <v>45786</v>
      </c>
      <c r="U693" s="144" t="s">
        <v>1631</v>
      </c>
      <c r="V693" s="144"/>
      <c r="W693" s="144"/>
      <c r="X693" s="144"/>
      <c r="Y693" s="144" t="s">
        <v>1802</v>
      </c>
      <c r="Z693" s="145"/>
      <c r="AA693" s="145"/>
      <c r="AB693" s="144"/>
      <c r="AC693" s="144"/>
      <c r="AD693" s="145">
        <v>332649</v>
      </c>
      <c r="AE693" s="144"/>
      <c r="AF693" s="146"/>
    </row>
    <row r="694" spans="1:40">
      <c r="A694" s="132">
        <f t="shared" si="98"/>
        <v>686</v>
      </c>
      <c r="B694" s="133" t="s">
        <v>1768</v>
      </c>
      <c r="C694" s="133" t="s">
        <v>1929</v>
      </c>
      <c r="D694" s="132" t="s">
        <v>1069</v>
      </c>
      <c r="E694" s="147" t="s">
        <v>1632</v>
      </c>
      <c r="F694" s="135">
        <v>45796</v>
      </c>
      <c r="G694" s="45"/>
      <c r="H694" s="136"/>
      <c r="I694" s="136">
        <v>56028</v>
      </c>
      <c r="J694" s="137" t="s">
        <v>1025</v>
      </c>
      <c r="K694" s="150"/>
      <c r="L694" s="148">
        <f t="shared" ref="L694:L751" si="109">I694</f>
        <v>56028</v>
      </c>
      <c r="M694" s="122">
        <f t="shared" si="102"/>
        <v>0</v>
      </c>
      <c r="N694" s="137"/>
      <c r="O694" s="149" t="b">
        <f t="shared" si="103"/>
        <v>1</v>
      </c>
      <c r="P694" s="149">
        <f t="shared" si="104"/>
        <v>0</v>
      </c>
      <c r="Q694" s="149" t="b">
        <f t="shared" si="105"/>
        <v>0</v>
      </c>
      <c r="R694" s="149">
        <f t="shared" si="106"/>
        <v>0</v>
      </c>
      <c r="S694" s="144"/>
      <c r="T694" s="143">
        <v>45796</v>
      </c>
      <c r="U694" s="144" t="s">
        <v>1632</v>
      </c>
      <c r="V694" s="144">
        <v>0</v>
      </c>
      <c r="W694" s="144" t="s">
        <v>1071</v>
      </c>
      <c r="X694" s="144" t="s">
        <v>1801</v>
      </c>
      <c r="Y694" s="144" t="s">
        <v>1802</v>
      </c>
      <c r="Z694" s="145">
        <v>616308</v>
      </c>
      <c r="AA694" s="145">
        <v>560280</v>
      </c>
      <c r="AB694" s="144">
        <v>0</v>
      </c>
      <c r="AC694" s="144" t="s">
        <v>1022</v>
      </c>
      <c r="AD694" s="145">
        <v>56028</v>
      </c>
      <c r="AE694" s="144">
        <v>0</v>
      </c>
      <c r="AF694" s="146">
        <v>0</v>
      </c>
      <c r="AG694" s="70">
        <v>0</v>
      </c>
      <c r="AH694" s="70">
        <v>0</v>
      </c>
      <c r="AI694" s="70">
        <v>0</v>
      </c>
      <c r="AJ694" s="70">
        <v>0</v>
      </c>
      <c r="AK694" s="70">
        <v>0</v>
      </c>
      <c r="AL694" s="70">
        <v>0.01</v>
      </c>
      <c r="AM694" s="70">
        <v>0</v>
      </c>
      <c r="AN694" s="70" t="s">
        <v>1877</v>
      </c>
    </row>
    <row r="695" spans="1:40">
      <c r="A695" s="132">
        <f t="shared" si="98"/>
        <v>687</v>
      </c>
      <c r="B695" s="133" t="s">
        <v>1769</v>
      </c>
      <c r="C695" s="133" t="s">
        <v>1928</v>
      </c>
      <c r="D695" s="132" t="s">
        <v>1717</v>
      </c>
      <c r="E695" s="147" t="s">
        <v>1633</v>
      </c>
      <c r="F695" s="135">
        <v>45786</v>
      </c>
      <c r="G695" s="45"/>
      <c r="H695" s="136"/>
      <c r="I695" s="136">
        <v>341056</v>
      </c>
      <c r="J695" s="137" t="s">
        <v>1025</v>
      </c>
      <c r="K695" s="150"/>
      <c r="L695" s="148">
        <f t="shared" si="109"/>
        <v>341056</v>
      </c>
      <c r="M695" s="122">
        <f t="shared" si="102"/>
        <v>0</v>
      </c>
      <c r="N695" s="137"/>
      <c r="O695" s="149" t="b">
        <f t="shared" si="103"/>
        <v>1</v>
      </c>
      <c r="P695" s="149">
        <f t="shared" si="104"/>
        <v>0</v>
      </c>
      <c r="Q695" s="149" t="b">
        <f t="shared" si="105"/>
        <v>1</v>
      </c>
      <c r="R695" s="149">
        <f t="shared" si="106"/>
        <v>0</v>
      </c>
      <c r="S695" s="144"/>
      <c r="T695" s="143">
        <v>45786</v>
      </c>
      <c r="U695" s="144" t="s">
        <v>1633</v>
      </c>
      <c r="V695" s="144"/>
      <c r="W695" s="144"/>
      <c r="X695" s="144"/>
      <c r="Y695" s="144" t="s">
        <v>1802</v>
      </c>
      <c r="Z695" s="145"/>
      <c r="AA695" s="145"/>
      <c r="AB695" s="144"/>
      <c r="AC695" s="144"/>
      <c r="AD695" s="145">
        <v>341056</v>
      </c>
      <c r="AE695" s="144"/>
      <c r="AF695" s="146"/>
    </row>
    <row r="696" spans="1:40">
      <c r="A696" s="132">
        <f t="shared" si="98"/>
        <v>688</v>
      </c>
      <c r="B696" s="133" t="s">
        <v>1768</v>
      </c>
      <c r="C696" s="133" t="s">
        <v>1929</v>
      </c>
      <c r="D696" s="132" t="s">
        <v>1069</v>
      </c>
      <c r="E696" s="147" t="s">
        <v>1634</v>
      </c>
      <c r="F696" s="135">
        <v>45796</v>
      </c>
      <c r="G696" s="45"/>
      <c r="H696" s="136"/>
      <c r="I696" s="136">
        <v>28014</v>
      </c>
      <c r="J696" s="137" t="s">
        <v>1025</v>
      </c>
      <c r="K696" s="150"/>
      <c r="L696" s="148">
        <f t="shared" si="109"/>
        <v>28014</v>
      </c>
      <c r="M696" s="122">
        <f t="shared" si="102"/>
        <v>0</v>
      </c>
      <c r="N696" s="137"/>
      <c r="O696" s="149" t="b">
        <f t="shared" si="103"/>
        <v>1</v>
      </c>
      <c r="P696" s="149">
        <f t="shared" si="104"/>
        <v>0</v>
      </c>
      <c r="Q696" s="149" t="b">
        <f t="shared" si="105"/>
        <v>0</v>
      </c>
      <c r="R696" s="149">
        <f t="shared" si="106"/>
        <v>0</v>
      </c>
      <c r="S696" s="144"/>
      <c r="T696" s="143">
        <v>45796</v>
      </c>
      <c r="U696" s="144" t="s">
        <v>1634</v>
      </c>
      <c r="V696" s="144">
        <v>0</v>
      </c>
      <c r="W696" s="144" t="s">
        <v>1071</v>
      </c>
      <c r="X696" s="144" t="s">
        <v>1801</v>
      </c>
      <c r="Y696" s="144" t="s">
        <v>1802</v>
      </c>
      <c r="Z696" s="145">
        <v>308154</v>
      </c>
      <c r="AA696" s="145">
        <v>280140</v>
      </c>
      <c r="AB696" s="144">
        <v>0</v>
      </c>
      <c r="AC696" s="144" t="s">
        <v>1022</v>
      </c>
      <c r="AD696" s="145">
        <v>28014</v>
      </c>
      <c r="AE696" s="144">
        <v>0</v>
      </c>
      <c r="AF696" s="146">
        <v>0</v>
      </c>
      <c r="AG696" s="70">
        <v>0</v>
      </c>
      <c r="AH696" s="70">
        <v>0</v>
      </c>
      <c r="AI696" s="70">
        <v>0</v>
      </c>
      <c r="AJ696" s="70">
        <v>0</v>
      </c>
      <c r="AK696" s="70">
        <v>0</v>
      </c>
      <c r="AL696" s="70">
        <v>0.01</v>
      </c>
      <c r="AM696" s="70">
        <v>0</v>
      </c>
      <c r="AN696" s="70" t="s">
        <v>1877</v>
      </c>
    </row>
    <row r="697" spans="1:40">
      <c r="A697" s="132">
        <f t="shared" si="98"/>
        <v>689</v>
      </c>
      <c r="B697" s="133" t="s">
        <v>1769</v>
      </c>
      <c r="C697" s="133" t="s">
        <v>1933</v>
      </c>
      <c r="D697" s="132" t="s">
        <v>1720</v>
      </c>
      <c r="E697" s="147" t="s">
        <v>1635</v>
      </c>
      <c r="F697" s="135">
        <v>45800</v>
      </c>
      <c r="G697" s="45"/>
      <c r="H697" s="136"/>
      <c r="I697" s="136">
        <v>306230</v>
      </c>
      <c r="J697" s="137" t="s">
        <v>1025</v>
      </c>
      <c r="K697" s="150"/>
      <c r="L697" s="148">
        <f t="shared" si="109"/>
        <v>306230</v>
      </c>
      <c r="M697" s="122">
        <f t="shared" si="102"/>
        <v>0</v>
      </c>
      <c r="N697" s="137"/>
      <c r="O697" s="149" t="b">
        <f t="shared" si="103"/>
        <v>1</v>
      </c>
      <c r="P697" s="149">
        <f t="shared" si="104"/>
        <v>0</v>
      </c>
      <c r="Q697" s="149" t="b">
        <f t="shared" si="105"/>
        <v>1</v>
      </c>
      <c r="R697" s="149">
        <f t="shared" si="106"/>
        <v>0</v>
      </c>
      <c r="S697" s="144"/>
      <c r="T697" s="143">
        <v>45800</v>
      </c>
      <c r="U697" s="144" t="s">
        <v>1635</v>
      </c>
      <c r="V697" s="144"/>
      <c r="W697" s="144"/>
      <c r="X697" s="144"/>
      <c r="Y697" s="144" t="s">
        <v>1802</v>
      </c>
      <c r="Z697" s="145"/>
      <c r="AA697" s="145"/>
      <c r="AB697" s="144"/>
      <c r="AC697" s="144"/>
      <c r="AD697" s="145">
        <v>306230</v>
      </c>
      <c r="AE697" s="144"/>
      <c r="AF697" s="146"/>
    </row>
    <row r="698" spans="1:40">
      <c r="A698" s="132">
        <f t="shared" si="98"/>
        <v>690</v>
      </c>
      <c r="B698" s="133" t="s">
        <v>1768</v>
      </c>
      <c r="C698" s="133" t="s">
        <v>1929</v>
      </c>
      <c r="D698" s="132" t="s">
        <v>1069</v>
      </c>
      <c r="E698" s="147" t="s">
        <v>1636</v>
      </c>
      <c r="F698" s="135">
        <v>45798</v>
      </c>
      <c r="G698" s="45"/>
      <c r="H698" s="136"/>
      <c r="I698" s="136">
        <v>46435</v>
      </c>
      <c r="J698" s="137" t="s">
        <v>1025</v>
      </c>
      <c r="K698" s="150"/>
      <c r="L698" s="148">
        <f t="shared" si="109"/>
        <v>46435</v>
      </c>
      <c r="M698" s="122">
        <f t="shared" si="102"/>
        <v>0</v>
      </c>
      <c r="N698" s="137"/>
      <c r="O698" s="149" t="b">
        <f t="shared" si="103"/>
        <v>1</v>
      </c>
      <c r="P698" s="149">
        <f t="shared" si="104"/>
        <v>0</v>
      </c>
      <c r="Q698" s="149" t="b">
        <f t="shared" si="105"/>
        <v>0</v>
      </c>
      <c r="R698" s="149">
        <f t="shared" si="106"/>
        <v>0</v>
      </c>
      <c r="S698" s="144"/>
      <c r="T698" s="143">
        <v>45798</v>
      </c>
      <c r="U698" s="144" t="s">
        <v>1636</v>
      </c>
      <c r="V698" s="144">
        <v>0</v>
      </c>
      <c r="W698" s="144" t="s">
        <v>1071</v>
      </c>
      <c r="X698" s="144" t="s">
        <v>1801</v>
      </c>
      <c r="Y698" s="144" t="s">
        <v>1802</v>
      </c>
      <c r="Z698" s="145">
        <v>510785</v>
      </c>
      <c r="AA698" s="145">
        <v>464350</v>
      </c>
      <c r="AB698" s="144">
        <v>0</v>
      </c>
      <c r="AC698" s="144" t="s">
        <v>1022</v>
      </c>
      <c r="AD698" s="145">
        <v>46435</v>
      </c>
      <c r="AE698" s="144">
        <v>0</v>
      </c>
      <c r="AF698" s="146">
        <v>0</v>
      </c>
      <c r="AG698" s="70">
        <v>0</v>
      </c>
      <c r="AH698" s="70">
        <v>0</v>
      </c>
      <c r="AI698" s="70">
        <v>0</v>
      </c>
      <c r="AJ698" s="70">
        <v>0</v>
      </c>
      <c r="AK698" s="70">
        <v>0</v>
      </c>
      <c r="AL698" s="70">
        <v>0.01</v>
      </c>
      <c r="AM698" s="70">
        <v>0</v>
      </c>
      <c r="AN698" s="70" t="s">
        <v>1877</v>
      </c>
    </row>
    <row r="699" spans="1:40">
      <c r="A699" s="132">
        <f t="shared" si="98"/>
        <v>691</v>
      </c>
      <c r="B699" s="133" t="s">
        <v>1769</v>
      </c>
      <c r="C699" s="133" t="s">
        <v>1933</v>
      </c>
      <c r="D699" s="132" t="s">
        <v>1720</v>
      </c>
      <c r="E699" s="147" t="s">
        <v>1637</v>
      </c>
      <c r="F699" s="135">
        <v>45800</v>
      </c>
      <c r="G699" s="45"/>
      <c r="H699" s="136"/>
      <c r="I699" s="136">
        <v>157318</v>
      </c>
      <c r="J699" s="137" t="s">
        <v>1025</v>
      </c>
      <c r="K699" s="150"/>
      <c r="L699" s="148">
        <f t="shared" si="109"/>
        <v>157318</v>
      </c>
      <c r="M699" s="122">
        <f t="shared" si="102"/>
        <v>0</v>
      </c>
      <c r="N699" s="137"/>
      <c r="O699" s="149" t="b">
        <f t="shared" si="103"/>
        <v>1</v>
      </c>
      <c r="P699" s="149">
        <f t="shared" si="104"/>
        <v>0</v>
      </c>
      <c r="Q699" s="149" t="b">
        <f t="shared" si="105"/>
        <v>1</v>
      </c>
      <c r="R699" s="149">
        <f t="shared" si="106"/>
        <v>0</v>
      </c>
      <c r="S699" s="144"/>
      <c r="T699" s="143">
        <v>45800</v>
      </c>
      <c r="U699" s="144" t="s">
        <v>1637</v>
      </c>
      <c r="V699" s="144"/>
      <c r="W699" s="144"/>
      <c r="X699" s="144"/>
      <c r="Y699" s="144" t="s">
        <v>1802</v>
      </c>
      <c r="Z699" s="145"/>
      <c r="AA699" s="145"/>
      <c r="AB699" s="144"/>
      <c r="AC699" s="144"/>
      <c r="AD699" s="145">
        <v>157318</v>
      </c>
      <c r="AE699" s="144"/>
      <c r="AF699" s="146"/>
    </row>
    <row r="700" spans="1:40">
      <c r="A700" s="132">
        <f t="shared" si="98"/>
        <v>692</v>
      </c>
      <c r="B700" s="133" t="s">
        <v>1768</v>
      </c>
      <c r="C700" s="133" t="s">
        <v>1929</v>
      </c>
      <c r="D700" s="132" t="s">
        <v>1069</v>
      </c>
      <c r="E700" s="147" t="s">
        <v>1638</v>
      </c>
      <c r="F700" s="135">
        <v>45805</v>
      </c>
      <c r="G700" s="45"/>
      <c r="H700" s="136"/>
      <c r="I700" s="136">
        <v>56042</v>
      </c>
      <c r="J700" s="137" t="s">
        <v>1025</v>
      </c>
      <c r="K700" s="150"/>
      <c r="L700" s="148">
        <f t="shared" si="109"/>
        <v>56042</v>
      </c>
      <c r="M700" s="122">
        <f t="shared" si="102"/>
        <v>0</v>
      </c>
      <c r="N700" s="137"/>
      <c r="O700" s="149" t="b">
        <f t="shared" si="103"/>
        <v>1</v>
      </c>
      <c r="P700" s="149">
        <f t="shared" si="104"/>
        <v>0</v>
      </c>
      <c r="Q700" s="149" t="b">
        <f t="shared" si="105"/>
        <v>0</v>
      </c>
      <c r="R700" s="149">
        <f t="shared" si="106"/>
        <v>0</v>
      </c>
      <c r="S700" s="144"/>
      <c r="T700" s="143">
        <v>45805</v>
      </c>
      <c r="U700" s="144" t="s">
        <v>1638</v>
      </c>
      <c r="V700" s="144">
        <v>0</v>
      </c>
      <c r="W700" s="144" t="s">
        <v>1071</v>
      </c>
      <c r="X700" s="144" t="s">
        <v>1801</v>
      </c>
      <c r="Y700" s="144" t="s">
        <v>1802</v>
      </c>
      <c r="Z700" s="145">
        <v>616462</v>
      </c>
      <c r="AA700" s="145">
        <v>560420</v>
      </c>
      <c r="AB700" s="144">
        <v>0</v>
      </c>
      <c r="AC700" s="144" t="s">
        <v>1022</v>
      </c>
      <c r="AD700" s="145">
        <v>56042</v>
      </c>
      <c r="AE700" s="144">
        <v>0</v>
      </c>
      <c r="AF700" s="146">
        <v>0</v>
      </c>
      <c r="AG700" s="70">
        <v>0</v>
      </c>
      <c r="AH700" s="70">
        <v>0</v>
      </c>
      <c r="AI700" s="70">
        <v>0</v>
      </c>
      <c r="AJ700" s="70">
        <v>0</v>
      </c>
      <c r="AK700" s="70">
        <v>0</v>
      </c>
      <c r="AL700" s="70">
        <v>0.01</v>
      </c>
      <c r="AM700" s="70">
        <v>0</v>
      </c>
      <c r="AN700" s="70" t="s">
        <v>1877</v>
      </c>
    </row>
    <row r="701" spans="1:40">
      <c r="A701" s="132">
        <f t="shared" si="98"/>
        <v>693</v>
      </c>
      <c r="B701" s="133" t="s">
        <v>1769</v>
      </c>
      <c r="C701" s="133" t="s">
        <v>1933</v>
      </c>
      <c r="D701" s="132" t="s">
        <v>1720</v>
      </c>
      <c r="E701" s="147" t="s">
        <v>1639</v>
      </c>
      <c r="F701" s="135">
        <v>45805</v>
      </c>
      <c r="G701" s="45"/>
      <c r="H701" s="136"/>
      <c r="I701" s="136">
        <v>314636</v>
      </c>
      <c r="J701" s="137" t="s">
        <v>1025</v>
      </c>
      <c r="K701" s="150"/>
      <c r="L701" s="148">
        <f t="shared" si="109"/>
        <v>314636</v>
      </c>
      <c r="M701" s="122">
        <f t="shared" si="102"/>
        <v>0</v>
      </c>
      <c r="N701" s="137"/>
      <c r="O701" s="149" t="b">
        <f t="shared" si="103"/>
        <v>1</v>
      </c>
      <c r="P701" s="149">
        <f t="shared" si="104"/>
        <v>0</v>
      </c>
      <c r="Q701" s="149" t="b">
        <f t="shared" si="105"/>
        <v>1</v>
      </c>
      <c r="R701" s="149">
        <f t="shared" si="106"/>
        <v>0</v>
      </c>
      <c r="S701" s="144"/>
      <c r="T701" s="143">
        <v>45805</v>
      </c>
      <c r="U701" s="144" t="s">
        <v>1639</v>
      </c>
      <c r="V701" s="144"/>
      <c r="W701" s="144"/>
      <c r="X701" s="144"/>
      <c r="Y701" s="144" t="s">
        <v>1802</v>
      </c>
      <c r="Z701" s="145"/>
      <c r="AA701" s="145"/>
      <c r="AB701" s="144"/>
      <c r="AC701" s="144"/>
      <c r="AD701" s="145">
        <v>314636</v>
      </c>
      <c r="AE701" s="144"/>
      <c r="AF701" s="146"/>
    </row>
    <row r="702" spans="1:40">
      <c r="A702" s="132">
        <f t="shared" si="98"/>
        <v>694</v>
      </c>
      <c r="B702" s="133" t="s">
        <v>1768</v>
      </c>
      <c r="C702" s="133" t="s">
        <v>1929</v>
      </c>
      <c r="D702" s="132" t="s">
        <v>1069</v>
      </c>
      <c r="E702" s="147" t="s">
        <v>1640</v>
      </c>
      <c r="F702" s="135">
        <v>45805</v>
      </c>
      <c r="G702" s="45"/>
      <c r="H702" s="136"/>
      <c r="I702" s="136">
        <v>28021</v>
      </c>
      <c r="J702" s="137" t="s">
        <v>1025</v>
      </c>
      <c r="K702" s="150"/>
      <c r="L702" s="148">
        <f t="shared" si="109"/>
        <v>28021</v>
      </c>
      <c r="M702" s="122">
        <f t="shared" si="102"/>
        <v>0</v>
      </c>
      <c r="N702" s="137"/>
      <c r="O702" s="149" t="b">
        <f t="shared" si="103"/>
        <v>1</v>
      </c>
      <c r="P702" s="149">
        <f t="shared" si="104"/>
        <v>0</v>
      </c>
      <c r="Q702" s="149" t="b">
        <f t="shared" si="105"/>
        <v>0</v>
      </c>
      <c r="R702" s="149">
        <f t="shared" si="106"/>
        <v>0</v>
      </c>
      <c r="S702" s="144"/>
      <c r="T702" s="143">
        <v>45805</v>
      </c>
      <c r="U702" s="144" t="s">
        <v>1640</v>
      </c>
      <c r="V702" s="144">
        <v>0</v>
      </c>
      <c r="W702" s="144" t="s">
        <v>1071</v>
      </c>
      <c r="X702" s="144" t="s">
        <v>1801</v>
      </c>
      <c r="Y702" s="144" t="s">
        <v>1802</v>
      </c>
      <c r="Z702" s="145">
        <v>308231</v>
      </c>
      <c r="AA702" s="145">
        <v>280210</v>
      </c>
      <c r="AB702" s="144">
        <v>0</v>
      </c>
      <c r="AC702" s="144" t="s">
        <v>1022</v>
      </c>
      <c r="AD702" s="145">
        <v>28021</v>
      </c>
      <c r="AE702" s="144">
        <v>0</v>
      </c>
      <c r="AF702" s="146">
        <v>0</v>
      </c>
      <c r="AG702" s="70">
        <v>0</v>
      </c>
      <c r="AH702" s="70">
        <v>0</v>
      </c>
      <c r="AI702" s="70">
        <v>0</v>
      </c>
      <c r="AJ702" s="70">
        <v>0</v>
      </c>
      <c r="AK702" s="70">
        <v>0</v>
      </c>
      <c r="AL702" s="70">
        <v>0.01</v>
      </c>
      <c r="AM702" s="70">
        <v>0</v>
      </c>
      <c r="AN702" s="70" t="s">
        <v>1877</v>
      </c>
    </row>
    <row r="703" spans="1:40">
      <c r="A703" s="132">
        <f t="shared" si="98"/>
        <v>695</v>
      </c>
      <c r="B703" s="133" t="s">
        <v>1769</v>
      </c>
      <c r="C703" s="133" t="s">
        <v>1933</v>
      </c>
      <c r="D703" s="132" t="s">
        <v>1720</v>
      </c>
      <c r="E703" s="147" t="s">
        <v>1641</v>
      </c>
      <c r="F703" s="135">
        <v>45805</v>
      </c>
      <c r="G703" s="45"/>
      <c r="H703" s="136"/>
      <c r="I703" s="136">
        <v>157318</v>
      </c>
      <c r="J703" s="137" t="s">
        <v>1025</v>
      </c>
      <c r="K703" s="150"/>
      <c r="L703" s="148">
        <f t="shared" si="109"/>
        <v>157318</v>
      </c>
      <c r="M703" s="122">
        <f t="shared" si="102"/>
        <v>0</v>
      </c>
      <c r="N703" s="137"/>
      <c r="O703" s="149" t="b">
        <f t="shared" si="103"/>
        <v>1</v>
      </c>
      <c r="P703" s="149">
        <f t="shared" si="104"/>
        <v>0</v>
      </c>
      <c r="Q703" s="149" t="b">
        <f t="shared" si="105"/>
        <v>1</v>
      </c>
      <c r="R703" s="149">
        <f t="shared" si="106"/>
        <v>0</v>
      </c>
      <c r="S703" s="144"/>
      <c r="T703" s="143">
        <v>45805</v>
      </c>
      <c r="U703" s="144" t="s">
        <v>1641</v>
      </c>
      <c r="V703" s="144"/>
      <c r="W703" s="144"/>
      <c r="X703" s="144"/>
      <c r="Y703" s="144" t="s">
        <v>1802</v>
      </c>
      <c r="Z703" s="145"/>
      <c r="AA703" s="145"/>
      <c r="AB703" s="144"/>
      <c r="AC703" s="144"/>
      <c r="AD703" s="145">
        <v>157318</v>
      </c>
      <c r="AE703" s="144"/>
      <c r="AF703" s="146"/>
    </row>
    <row r="704" spans="1:40">
      <c r="A704" s="132">
        <f t="shared" si="98"/>
        <v>696</v>
      </c>
      <c r="B704" s="133" t="s">
        <v>1768</v>
      </c>
      <c r="C704" s="133" t="s">
        <v>1929</v>
      </c>
      <c r="D704" s="132" t="s">
        <v>1069</v>
      </c>
      <c r="E704" s="147" t="s">
        <v>1642</v>
      </c>
      <c r="F704" s="135">
        <v>45805</v>
      </c>
      <c r="G704" s="45"/>
      <c r="H704" s="136"/>
      <c r="I704" s="136">
        <v>28021</v>
      </c>
      <c r="J704" s="137" t="s">
        <v>1025</v>
      </c>
      <c r="K704" s="150"/>
      <c r="L704" s="148">
        <f t="shared" si="109"/>
        <v>28021</v>
      </c>
      <c r="M704" s="122">
        <f t="shared" si="102"/>
        <v>0</v>
      </c>
      <c r="N704" s="137"/>
      <c r="O704" s="149" t="b">
        <f t="shared" si="103"/>
        <v>1</v>
      </c>
      <c r="P704" s="149">
        <f t="shared" si="104"/>
        <v>0</v>
      </c>
      <c r="Q704" s="149" t="b">
        <f t="shared" si="105"/>
        <v>0</v>
      </c>
      <c r="R704" s="149">
        <f t="shared" si="106"/>
        <v>0</v>
      </c>
      <c r="S704" s="144"/>
      <c r="T704" s="143">
        <v>45805</v>
      </c>
      <c r="U704" s="144" t="s">
        <v>1642</v>
      </c>
      <c r="V704" s="144">
        <v>0</v>
      </c>
      <c r="W704" s="144" t="s">
        <v>1071</v>
      </c>
      <c r="X704" s="144" t="s">
        <v>1801</v>
      </c>
      <c r="Y704" s="144" t="s">
        <v>1802</v>
      </c>
      <c r="Z704" s="145">
        <v>308231</v>
      </c>
      <c r="AA704" s="145">
        <v>280210</v>
      </c>
      <c r="AB704" s="144">
        <v>0</v>
      </c>
      <c r="AC704" s="144" t="s">
        <v>1022</v>
      </c>
      <c r="AD704" s="145">
        <v>28021</v>
      </c>
      <c r="AE704" s="144">
        <v>0</v>
      </c>
      <c r="AF704" s="146">
        <v>0</v>
      </c>
      <c r="AG704" s="70">
        <v>0</v>
      </c>
      <c r="AH704" s="70">
        <v>0</v>
      </c>
      <c r="AI704" s="70">
        <v>0</v>
      </c>
      <c r="AJ704" s="70">
        <v>0</v>
      </c>
      <c r="AK704" s="70">
        <v>0</v>
      </c>
      <c r="AL704" s="70">
        <v>0.01</v>
      </c>
      <c r="AM704" s="70">
        <v>0</v>
      </c>
      <c r="AN704" s="70" t="s">
        <v>1877</v>
      </c>
    </row>
    <row r="705" spans="1:40">
      <c r="A705" s="132">
        <f t="shared" si="98"/>
        <v>697</v>
      </c>
      <c r="B705" s="133" t="s">
        <v>1769</v>
      </c>
      <c r="C705" s="133" t="s">
        <v>1933</v>
      </c>
      <c r="D705" s="132" t="s">
        <v>1720</v>
      </c>
      <c r="E705" s="147" t="s">
        <v>1643</v>
      </c>
      <c r="F705" s="135">
        <v>45805</v>
      </c>
      <c r="G705" s="45"/>
      <c r="H705" s="136"/>
      <c r="I705" s="136">
        <v>157318</v>
      </c>
      <c r="J705" s="137" t="s">
        <v>1025</v>
      </c>
      <c r="K705" s="150"/>
      <c r="L705" s="148">
        <f t="shared" si="109"/>
        <v>157318</v>
      </c>
      <c r="M705" s="122">
        <f t="shared" si="102"/>
        <v>0</v>
      </c>
      <c r="N705" s="137"/>
      <c r="O705" s="149" t="b">
        <f t="shared" si="103"/>
        <v>1</v>
      </c>
      <c r="P705" s="149">
        <f t="shared" si="104"/>
        <v>0</v>
      </c>
      <c r="Q705" s="149" t="b">
        <f t="shared" si="105"/>
        <v>1</v>
      </c>
      <c r="R705" s="149">
        <f t="shared" si="106"/>
        <v>0</v>
      </c>
      <c r="S705" s="144"/>
      <c r="T705" s="143">
        <v>45805</v>
      </c>
      <c r="U705" s="144" t="s">
        <v>1643</v>
      </c>
      <c r="V705" s="144"/>
      <c r="W705" s="144"/>
      <c r="X705" s="144"/>
      <c r="Y705" s="144" t="s">
        <v>1802</v>
      </c>
      <c r="Z705" s="145"/>
      <c r="AA705" s="145"/>
      <c r="AB705" s="144"/>
      <c r="AC705" s="144"/>
      <c r="AD705" s="145">
        <v>157318</v>
      </c>
      <c r="AE705" s="144"/>
      <c r="AF705" s="146"/>
    </row>
    <row r="706" spans="1:40">
      <c r="A706" s="132">
        <f t="shared" si="98"/>
        <v>698</v>
      </c>
      <c r="B706" s="133" t="s">
        <v>1768</v>
      </c>
      <c r="C706" s="133" t="s">
        <v>1929</v>
      </c>
      <c r="D706" s="132" t="s">
        <v>1069</v>
      </c>
      <c r="E706" s="147" t="s">
        <v>1644</v>
      </c>
      <c r="F706" s="135">
        <v>45798</v>
      </c>
      <c r="G706" s="45"/>
      <c r="H706" s="136"/>
      <c r="I706" s="136">
        <v>168126</v>
      </c>
      <c r="J706" s="137" t="s">
        <v>1025</v>
      </c>
      <c r="K706" s="150"/>
      <c r="L706" s="148">
        <f t="shared" si="109"/>
        <v>168126</v>
      </c>
      <c r="M706" s="122">
        <f t="shared" si="102"/>
        <v>0</v>
      </c>
      <c r="N706" s="137"/>
      <c r="O706" s="149" t="b">
        <f t="shared" si="103"/>
        <v>1</v>
      </c>
      <c r="P706" s="149">
        <f t="shared" si="104"/>
        <v>0</v>
      </c>
      <c r="Q706" s="149" t="b">
        <f t="shared" si="105"/>
        <v>0</v>
      </c>
      <c r="R706" s="149">
        <f t="shared" si="106"/>
        <v>0</v>
      </c>
      <c r="S706" s="144"/>
      <c r="T706" s="143">
        <v>45798</v>
      </c>
      <c r="U706" s="144" t="s">
        <v>1644</v>
      </c>
      <c r="V706" s="144">
        <v>0</v>
      </c>
      <c r="W706" s="144" t="s">
        <v>1071</v>
      </c>
      <c r="X706" s="144" t="s">
        <v>1801</v>
      </c>
      <c r="Y706" s="144" t="s">
        <v>1802</v>
      </c>
      <c r="Z706" s="145">
        <v>1849386</v>
      </c>
      <c r="AA706" s="145">
        <v>1681260</v>
      </c>
      <c r="AB706" s="144">
        <v>0</v>
      </c>
      <c r="AC706" s="144" t="s">
        <v>1022</v>
      </c>
      <c r="AD706" s="145">
        <v>168126</v>
      </c>
      <c r="AE706" s="144">
        <v>0</v>
      </c>
      <c r="AF706" s="146">
        <v>0</v>
      </c>
      <c r="AG706" s="70">
        <v>0</v>
      </c>
      <c r="AH706" s="70">
        <v>0</v>
      </c>
      <c r="AI706" s="70">
        <v>0</v>
      </c>
      <c r="AJ706" s="70">
        <v>0</v>
      </c>
      <c r="AK706" s="70">
        <v>0</v>
      </c>
      <c r="AL706" s="70">
        <v>0.01</v>
      </c>
      <c r="AM706" s="70">
        <v>0</v>
      </c>
      <c r="AN706" s="70" t="s">
        <v>1877</v>
      </c>
    </row>
    <row r="707" spans="1:40">
      <c r="A707" s="132">
        <f t="shared" si="98"/>
        <v>699</v>
      </c>
      <c r="B707" s="133" t="s">
        <v>1769</v>
      </c>
      <c r="C707" s="133" t="s">
        <v>1933</v>
      </c>
      <c r="D707" s="132" t="s">
        <v>1720</v>
      </c>
      <c r="E707" s="147" t="s">
        <v>1645</v>
      </c>
      <c r="F707" s="135">
        <v>45800</v>
      </c>
      <c r="G707" s="45"/>
      <c r="H707" s="136"/>
      <c r="I707" s="136">
        <v>963922</v>
      </c>
      <c r="J707" s="137" t="s">
        <v>1025</v>
      </c>
      <c r="K707" s="150"/>
      <c r="L707" s="148">
        <f t="shared" si="109"/>
        <v>963922</v>
      </c>
      <c r="M707" s="122">
        <f t="shared" si="102"/>
        <v>0</v>
      </c>
      <c r="N707" s="137"/>
      <c r="O707" s="149" t="b">
        <f t="shared" si="103"/>
        <v>1</v>
      </c>
      <c r="P707" s="149">
        <f t="shared" si="104"/>
        <v>0</v>
      </c>
      <c r="Q707" s="149" t="b">
        <f t="shared" si="105"/>
        <v>1</v>
      </c>
      <c r="R707" s="149">
        <f t="shared" si="106"/>
        <v>0</v>
      </c>
      <c r="S707" s="144"/>
      <c r="T707" s="143">
        <v>45800</v>
      </c>
      <c r="U707" s="144" t="s">
        <v>1645</v>
      </c>
      <c r="V707" s="144"/>
      <c r="W707" s="144"/>
      <c r="X707" s="144"/>
      <c r="Y707" s="144" t="s">
        <v>1802</v>
      </c>
      <c r="Z707" s="145"/>
      <c r="AA707" s="145"/>
      <c r="AB707" s="144"/>
      <c r="AC707" s="144"/>
      <c r="AD707" s="145">
        <v>963922</v>
      </c>
      <c r="AE707" s="144"/>
      <c r="AF707" s="146"/>
    </row>
    <row r="708" spans="1:40">
      <c r="A708" s="132">
        <f t="shared" si="98"/>
        <v>700</v>
      </c>
      <c r="B708" s="133" t="s">
        <v>1768</v>
      </c>
      <c r="C708" s="133" t="s">
        <v>1929</v>
      </c>
      <c r="D708" s="132" t="s">
        <v>1069</v>
      </c>
      <c r="E708" s="147" t="s">
        <v>1646</v>
      </c>
      <c r="F708" s="135">
        <v>45798</v>
      </c>
      <c r="G708" s="45"/>
      <c r="H708" s="136"/>
      <c r="I708" s="136">
        <v>112084</v>
      </c>
      <c r="J708" s="137" t="s">
        <v>1025</v>
      </c>
      <c r="K708" s="150"/>
      <c r="L708" s="148">
        <f t="shared" si="109"/>
        <v>112084</v>
      </c>
      <c r="M708" s="122">
        <f t="shared" si="102"/>
        <v>0</v>
      </c>
      <c r="N708" s="137"/>
      <c r="O708" s="149" t="b">
        <f t="shared" si="103"/>
        <v>1</v>
      </c>
      <c r="P708" s="149">
        <f t="shared" si="104"/>
        <v>0</v>
      </c>
      <c r="Q708" s="149" t="b">
        <f t="shared" si="105"/>
        <v>0</v>
      </c>
      <c r="R708" s="149">
        <f t="shared" si="106"/>
        <v>0</v>
      </c>
      <c r="S708" s="144"/>
      <c r="T708" s="143">
        <v>45798</v>
      </c>
      <c r="U708" s="144" t="s">
        <v>1646</v>
      </c>
      <c r="V708" s="144">
        <v>0</v>
      </c>
      <c r="W708" s="144" t="s">
        <v>1071</v>
      </c>
      <c r="X708" s="144" t="s">
        <v>1801</v>
      </c>
      <c r="Y708" s="144" t="s">
        <v>1802</v>
      </c>
      <c r="Z708" s="145">
        <v>1232924</v>
      </c>
      <c r="AA708" s="145">
        <v>1120840</v>
      </c>
      <c r="AB708" s="144">
        <v>0</v>
      </c>
      <c r="AC708" s="144" t="s">
        <v>1022</v>
      </c>
      <c r="AD708" s="145">
        <v>112084</v>
      </c>
      <c r="AE708" s="144">
        <v>0</v>
      </c>
      <c r="AF708" s="146">
        <v>0</v>
      </c>
      <c r="AG708" s="70">
        <v>0</v>
      </c>
      <c r="AH708" s="70">
        <v>0</v>
      </c>
      <c r="AI708" s="70">
        <v>0</v>
      </c>
      <c r="AJ708" s="70">
        <v>0</v>
      </c>
      <c r="AK708" s="70">
        <v>0</v>
      </c>
      <c r="AL708" s="70">
        <v>0.01</v>
      </c>
      <c r="AM708" s="70">
        <v>0</v>
      </c>
      <c r="AN708" s="70" t="s">
        <v>1877</v>
      </c>
    </row>
    <row r="709" spans="1:40">
      <c r="A709" s="132">
        <f t="shared" si="98"/>
        <v>701</v>
      </c>
      <c r="B709" s="133" t="s">
        <v>1769</v>
      </c>
      <c r="C709" s="133" t="s">
        <v>1933</v>
      </c>
      <c r="D709" s="132" t="s">
        <v>1720</v>
      </c>
      <c r="E709" s="147" t="s">
        <v>1647</v>
      </c>
      <c r="F709" s="135">
        <v>45800</v>
      </c>
      <c r="G709" s="45"/>
      <c r="H709" s="136"/>
      <c r="I709" s="136">
        <v>649287</v>
      </c>
      <c r="J709" s="137" t="s">
        <v>1025</v>
      </c>
      <c r="K709" s="150"/>
      <c r="L709" s="148">
        <f t="shared" si="109"/>
        <v>649287</v>
      </c>
      <c r="M709" s="122">
        <f t="shared" si="102"/>
        <v>0</v>
      </c>
      <c r="N709" s="137"/>
      <c r="O709" s="149" t="b">
        <f t="shared" si="103"/>
        <v>1</v>
      </c>
      <c r="P709" s="149">
        <f t="shared" si="104"/>
        <v>0</v>
      </c>
      <c r="Q709" s="149" t="b">
        <f t="shared" si="105"/>
        <v>1</v>
      </c>
      <c r="R709" s="149">
        <f t="shared" si="106"/>
        <v>0</v>
      </c>
      <c r="S709" s="144"/>
      <c r="T709" s="143">
        <v>45800</v>
      </c>
      <c r="U709" s="144" t="s">
        <v>1647</v>
      </c>
      <c r="V709" s="144"/>
      <c r="W709" s="144"/>
      <c r="X709" s="144"/>
      <c r="Y709" s="144" t="s">
        <v>1802</v>
      </c>
      <c r="Z709" s="145"/>
      <c r="AA709" s="145"/>
      <c r="AB709" s="144"/>
      <c r="AC709" s="144"/>
      <c r="AD709" s="145">
        <v>649287</v>
      </c>
      <c r="AE709" s="144"/>
      <c r="AF709" s="146"/>
    </row>
    <row r="710" spans="1:40">
      <c r="A710" s="132">
        <f t="shared" si="98"/>
        <v>702</v>
      </c>
      <c r="B710" s="133" t="s">
        <v>1768</v>
      </c>
      <c r="C710" s="133" t="s">
        <v>1929</v>
      </c>
      <c r="D710" s="132" t="s">
        <v>1069</v>
      </c>
      <c r="E710" s="147" t="s">
        <v>1648</v>
      </c>
      <c r="F710" s="135">
        <v>45798</v>
      </c>
      <c r="G710" s="45"/>
      <c r="H710" s="136"/>
      <c r="I710" s="136">
        <v>28021</v>
      </c>
      <c r="J710" s="137" t="s">
        <v>1025</v>
      </c>
      <c r="K710" s="150"/>
      <c r="L710" s="148">
        <f t="shared" si="109"/>
        <v>28021</v>
      </c>
      <c r="M710" s="122">
        <f t="shared" si="102"/>
        <v>0</v>
      </c>
      <c r="N710" s="137"/>
      <c r="O710" s="149" t="b">
        <f t="shared" si="103"/>
        <v>1</v>
      </c>
      <c r="P710" s="149">
        <f t="shared" si="104"/>
        <v>0</v>
      </c>
      <c r="Q710" s="149" t="b">
        <f t="shared" si="105"/>
        <v>0</v>
      </c>
      <c r="R710" s="149">
        <f t="shared" si="106"/>
        <v>0</v>
      </c>
      <c r="S710" s="144"/>
      <c r="T710" s="143">
        <v>45798</v>
      </c>
      <c r="U710" s="144" t="s">
        <v>1648</v>
      </c>
      <c r="V710" s="144">
        <v>0</v>
      </c>
      <c r="W710" s="144" t="s">
        <v>1071</v>
      </c>
      <c r="X710" s="144" t="s">
        <v>1801</v>
      </c>
      <c r="Y710" s="144" t="s">
        <v>1802</v>
      </c>
      <c r="Z710" s="145">
        <v>308231</v>
      </c>
      <c r="AA710" s="145">
        <v>280210</v>
      </c>
      <c r="AB710" s="144">
        <v>0</v>
      </c>
      <c r="AC710" s="144" t="s">
        <v>1022</v>
      </c>
      <c r="AD710" s="145">
        <v>28021</v>
      </c>
      <c r="AE710" s="144">
        <v>0</v>
      </c>
      <c r="AF710" s="146">
        <v>0</v>
      </c>
      <c r="AG710" s="70">
        <v>0</v>
      </c>
      <c r="AH710" s="70">
        <v>0</v>
      </c>
      <c r="AI710" s="70">
        <v>0</v>
      </c>
      <c r="AJ710" s="70">
        <v>0</v>
      </c>
      <c r="AK710" s="70">
        <v>0</v>
      </c>
      <c r="AL710" s="70">
        <v>0.01</v>
      </c>
      <c r="AM710" s="70">
        <v>0</v>
      </c>
      <c r="AN710" s="70" t="s">
        <v>1877</v>
      </c>
    </row>
    <row r="711" spans="1:40">
      <c r="A711" s="132">
        <f t="shared" si="98"/>
        <v>703</v>
      </c>
      <c r="B711" s="133" t="s">
        <v>1769</v>
      </c>
      <c r="C711" s="133" t="s">
        <v>1933</v>
      </c>
      <c r="D711" s="132" t="s">
        <v>1720</v>
      </c>
      <c r="E711" s="147" t="s">
        <v>1649</v>
      </c>
      <c r="F711" s="135">
        <v>45800</v>
      </c>
      <c r="G711" s="45"/>
      <c r="H711" s="136"/>
      <c r="I711" s="136">
        <v>157318</v>
      </c>
      <c r="J711" s="137" t="s">
        <v>1025</v>
      </c>
      <c r="K711" s="150"/>
      <c r="L711" s="148">
        <f t="shared" si="109"/>
        <v>157318</v>
      </c>
      <c r="M711" s="122">
        <f t="shared" si="102"/>
        <v>0</v>
      </c>
      <c r="N711" s="137"/>
      <c r="O711" s="149" t="b">
        <f t="shared" si="103"/>
        <v>1</v>
      </c>
      <c r="P711" s="149">
        <f t="shared" si="104"/>
        <v>0</v>
      </c>
      <c r="Q711" s="149" t="b">
        <f t="shared" si="105"/>
        <v>1</v>
      </c>
      <c r="R711" s="149">
        <f t="shared" si="106"/>
        <v>0</v>
      </c>
      <c r="S711" s="144"/>
      <c r="T711" s="143">
        <v>45800</v>
      </c>
      <c r="U711" s="144" t="s">
        <v>1649</v>
      </c>
      <c r="V711" s="144"/>
      <c r="W711" s="144"/>
      <c r="X711" s="144"/>
      <c r="Y711" s="144" t="s">
        <v>1802</v>
      </c>
      <c r="Z711" s="145"/>
      <c r="AA711" s="145"/>
      <c r="AB711" s="144"/>
      <c r="AC711" s="144"/>
      <c r="AD711" s="145">
        <v>157318</v>
      </c>
      <c r="AE711" s="144"/>
      <c r="AF711" s="146"/>
    </row>
    <row r="712" spans="1:40">
      <c r="A712" s="132">
        <f t="shared" si="98"/>
        <v>704</v>
      </c>
      <c r="B712" s="133" t="s">
        <v>1768</v>
      </c>
      <c r="C712" s="133" t="s">
        <v>1929</v>
      </c>
      <c r="D712" s="132" t="s">
        <v>1069</v>
      </c>
      <c r="E712" s="147" t="s">
        <v>1650</v>
      </c>
      <c r="F712" s="135">
        <v>45798</v>
      </c>
      <c r="G712" s="45"/>
      <c r="H712" s="136"/>
      <c r="I712" s="136">
        <v>28021</v>
      </c>
      <c r="J712" s="137" t="s">
        <v>1025</v>
      </c>
      <c r="K712" s="150"/>
      <c r="L712" s="148">
        <f t="shared" si="109"/>
        <v>28021</v>
      </c>
      <c r="M712" s="122">
        <f t="shared" si="102"/>
        <v>0</v>
      </c>
      <c r="N712" s="137"/>
      <c r="O712" s="149" t="b">
        <f t="shared" si="103"/>
        <v>1</v>
      </c>
      <c r="P712" s="149">
        <f t="shared" si="104"/>
        <v>0</v>
      </c>
      <c r="Q712" s="149" t="b">
        <f t="shared" si="105"/>
        <v>0</v>
      </c>
      <c r="R712" s="149">
        <f t="shared" si="106"/>
        <v>0</v>
      </c>
      <c r="S712" s="144"/>
      <c r="T712" s="143">
        <v>45798</v>
      </c>
      <c r="U712" s="144" t="s">
        <v>1650</v>
      </c>
      <c r="V712" s="144">
        <v>0</v>
      </c>
      <c r="W712" s="144" t="s">
        <v>1071</v>
      </c>
      <c r="X712" s="144" t="s">
        <v>1801</v>
      </c>
      <c r="Y712" s="144" t="s">
        <v>1802</v>
      </c>
      <c r="Z712" s="145">
        <v>308231</v>
      </c>
      <c r="AA712" s="145">
        <v>280210</v>
      </c>
      <c r="AB712" s="144">
        <v>0</v>
      </c>
      <c r="AC712" s="144" t="s">
        <v>1022</v>
      </c>
      <c r="AD712" s="145">
        <v>28021</v>
      </c>
      <c r="AE712" s="144">
        <v>0</v>
      </c>
      <c r="AF712" s="146">
        <v>0</v>
      </c>
      <c r="AG712" s="70">
        <v>0</v>
      </c>
      <c r="AH712" s="70">
        <v>0</v>
      </c>
      <c r="AI712" s="70">
        <v>0</v>
      </c>
      <c r="AJ712" s="70">
        <v>0</v>
      </c>
      <c r="AK712" s="70">
        <v>0</v>
      </c>
      <c r="AL712" s="70">
        <v>0.01</v>
      </c>
      <c r="AM712" s="70">
        <v>0</v>
      </c>
      <c r="AN712" s="70" t="s">
        <v>1877</v>
      </c>
    </row>
    <row r="713" spans="1:40">
      <c r="A713" s="132">
        <f t="shared" si="98"/>
        <v>705</v>
      </c>
      <c r="B713" s="133" t="s">
        <v>1769</v>
      </c>
      <c r="C713" s="133" t="s">
        <v>1933</v>
      </c>
      <c r="D713" s="132" t="s">
        <v>1720</v>
      </c>
      <c r="E713" s="147" t="s">
        <v>1651</v>
      </c>
      <c r="F713" s="135">
        <v>45805</v>
      </c>
      <c r="G713" s="45"/>
      <c r="H713" s="136"/>
      <c r="I713" s="136">
        <v>157318</v>
      </c>
      <c r="J713" s="137" t="s">
        <v>1025</v>
      </c>
      <c r="K713" s="150"/>
      <c r="L713" s="148">
        <f t="shared" si="109"/>
        <v>157318</v>
      </c>
      <c r="M713" s="122">
        <f t="shared" si="102"/>
        <v>0</v>
      </c>
      <c r="N713" s="137"/>
      <c r="O713" s="149" t="b">
        <f t="shared" si="103"/>
        <v>1</v>
      </c>
      <c r="P713" s="149">
        <f t="shared" si="104"/>
        <v>0</v>
      </c>
      <c r="Q713" s="149" t="b">
        <f t="shared" si="105"/>
        <v>1</v>
      </c>
      <c r="R713" s="149">
        <f t="shared" si="106"/>
        <v>0</v>
      </c>
      <c r="S713" s="144"/>
      <c r="T713" s="143">
        <v>45805</v>
      </c>
      <c r="U713" s="144" t="s">
        <v>1651</v>
      </c>
      <c r="V713" s="144"/>
      <c r="W713" s="144"/>
      <c r="X713" s="144"/>
      <c r="Y713" s="144" t="s">
        <v>1802</v>
      </c>
      <c r="Z713" s="145"/>
      <c r="AA713" s="145"/>
      <c r="AB713" s="144"/>
      <c r="AC713" s="144"/>
      <c r="AD713" s="145">
        <v>157318</v>
      </c>
      <c r="AE713" s="144"/>
      <c r="AF713" s="146"/>
    </row>
    <row r="714" spans="1:40">
      <c r="A714" s="132">
        <f t="shared" si="98"/>
        <v>706</v>
      </c>
      <c r="B714" s="133" t="s">
        <v>1768</v>
      </c>
      <c r="C714" s="133" t="s">
        <v>1929</v>
      </c>
      <c r="D714" s="132" t="s">
        <v>1069</v>
      </c>
      <c r="E714" s="147" t="s">
        <v>1652</v>
      </c>
      <c r="F714" s="135">
        <v>45805</v>
      </c>
      <c r="G714" s="45"/>
      <c r="H714" s="136"/>
      <c r="I714" s="136">
        <v>28021</v>
      </c>
      <c r="J714" s="137" t="s">
        <v>1025</v>
      </c>
      <c r="K714" s="150"/>
      <c r="L714" s="148">
        <f t="shared" si="109"/>
        <v>28021</v>
      </c>
      <c r="M714" s="122">
        <f t="shared" si="102"/>
        <v>0</v>
      </c>
      <c r="N714" s="137"/>
      <c r="O714" s="149" t="b">
        <f t="shared" si="103"/>
        <v>1</v>
      </c>
      <c r="P714" s="149">
        <f t="shared" si="104"/>
        <v>0</v>
      </c>
      <c r="Q714" s="149" t="b">
        <f t="shared" si="105"/>
        <v>0</v>
      </c>
      <c r="R714" s="149">
        <f t="shared" si="106"/>
        <v>0</v>
      </c>
      <c r="S714" s="144"/>
      <c r="T714" s="143">
        <v>45805</v>
      </c>
      <c r="U714" s="144" t="s">
        <v>1652</v>
      </c>
      <c r="V714" s="144">
        <v>0</v>
      </c>
      <c r="W714" s="144" t="s">
        <v>1071</v>
      </c>
      <c r="X714" s="144" t="s">
        <v>1801</v>
      </c>
      <c r="Y714" s="144" t="s">
        <v>1802</v>
      </c>
      <c r="Z714" s="145">
        <v>308231</v>
      </c>
      <c r="AA714" s="145">
        <v>280210</v>
      </c>
      <c r="AB714" s="144">
        <v>0</v>
      </c>
      <c r="AC714" s="144" t="s">
        <v>1022</v>
      </c>
      <c r="AD714" s="145">
        <v>28021</v>
      </c>
      <c r="AE714" s="144">
        <v>0</v>
      </c>
      <c r="AF714" s="146">
        <v>0</v>
      </c>
      <c r="AG714" s="70">
        <v>0</v>
      </c>
      <c r="AH714" s="70">
        <v>0</v>
      </c>
      <c r="AI714" s="70">
        <v>0</v>
      </c>
      <c r="AJ714" s="70">
        <v>0</v>
      </c>
      <c r="AK714" s="70">
        <v>0</v>
      </c>
      <c r="AL714" s="70">
        <v>0.01</v>
      </c>
      <c r="AM714" s="70">
        <v>0</v>
      </c>
      <c r="AN714" s="70" t="s">
        <v>1877</v>
      </c>
    </row>
    <row r="715" spans="1:40">
      <c r="A715" s="132">
        <f t="shared" ref="A715:A757" si="110">A714+1</f>
        <v>707</v>
      </c>
      <c r="B715" s="133" t="s">
        <v>1769</v>
      </c>
      <c r="C715" s="133" t="s">
        <v>1933</v>
      </c>
      <c r="D715" s="132" t="s">
        <v>1720</v>
      </c>
      <c r="E715" s="147" t="s">
        <v>1653</v>
      </c>
      <c r="F715" s="135">
        <v>45805</v>
      </c>
      <c r="G715" s="45"/>
      <c r="H715" s="136"/>
      <c r="I715" s="136">
        <v>156117</v>
      </c>
      <c r="J715" s="137" t="s">
        <v>1025</v>
      </c>
      <c r="K715" s="150"/>
      <c r="L715" s="148">
        <f t="shared" si="109"/>
        <v>156117</v>
      </c>
      <c r="M715" s="122">
        <f t="shared" si="102"/>
        <v>0</v>
      </c>
      <c r="N715" s="137"/>
      <c r="O715" s="149" t="b">
        <f t="shared" si="103"/>
        <v>1</v>
      </c>
      <c r="P715" s="149">
        <f t="shared" si="104"/>
        <v>0</v>
      </c>
      <c r="Q715" s="149" t="b">
        <f t="shared" si="105"/>
        <v>1</v>
      </c>
      <c r="R715" s="149">
        <f t="shared" si="106"/>
        <v>0</v>
      </c>
      <c r="S715" s="144"/>
      <c r="T715" s="143">
        <v>45805</v>
      </c>
      <c r="U715" s="144" t="s">
        <v>1653</v>
      </c>
      <c r="V715" s="144"/>
      <c r="W715" s="144"/>
      <c r="X715" s="144"/>
      <c r="Y715" s="144" t="s">
        <v>1802</v>
      </c>
      <c r="Z715" s="145"/>
      <c r="AA715" s="145"/>
      <c r="AB715" s="144"/>
      <c r="AC715" s="144"/>
      <c r="AD715" s="145">
        <v>156117</v>
      </c>
      <c r="AE715" s="144"/>
      <c r="AF715" s="146"/>
    </row>
    <row r="716" spans="1:40">
      <c r="A716" s="132">
        <f t="shared" si="110"/>
        <v>708</v>
      </c>
      <c r="B716" s="133" t="s">
        <v>1768</v>
      </c>
      <c r="C716" s="133" t="s">
        <v>1929</v>
      </c>
      <c r="D716" s="132" t="s">
        <v>1069</v>
      </c>
      <c r="E716" s="147" t="s">
        <v>1654</v>
      </c>
      <c r="F716" s="135">
        <v>45805</v>
      </c>
      <c r="G716" s="45"/>
      <c r="H716" s="136"/>
      <c r="I716" s="136">
        <v>56042</v>
      </c>
      <c r="J716" s="137" t="s">
        <v>1025</v>
      </c>
      <c r="K716" s="150"/>
      <c r="L716" s="148">
        <f t="shared" si="109"/>
        <v>56042</v>
      </c>
      <c r="M716" s="122">
        <f t="shared" si="102"/>
        <v>0</v>
      </c>
      <c r="N716" s="137"/>
      <c r="O716" s="149" t="b">
        <f t="shared" si="103"/>
        <v>1</v>
      </c>
      <c r="P716" s="149">
        <f t="shared" si="104"/>
        <v>0</v>
      </c>
      <c r="Q716" s="149" t="b">
        <f t="shared" si="105"/>
        <v>0</v>
      </c>
      <c r="R716" s="149">
        <f t="shared" si="106"/>
        <v>0</v>
      </c>
      <c r="S716" s="144"/>
      <c r="T716" s="143">
        <v>45805</v>
      </c>
      <c r="U716" s="144" t="s">
        <v>1654</v>
      </c>
      <c r="V716" s="144">
        <v>0</v>
      </c>
      <c r="W716" s="144" t="s">
        <v>1071</v>
      </c>
      <c r="X716" s="144" t="s">
        <v>1801</v>
      </c>
      <c r="Y716" s="144" t="s">
        <v>1802</v>
      </c>
      <c r="Z716" s="145">
        <v>616462</v>
      </c>
      <c r="AA716" s="145">
        <v>560420</v>
      </c>
      <c r="AB716" s="144">
        <v>0</v>
      </c>
      <c r="AC716" s="144" t="s">
        <v>1022</v>
      </c>
      <c r="AD716" s="145">
        <v>56042</v>
      </c>
      <c r="AE716" s="144">
        <v>0</v>
      </c>
      <c r="AF716" s="146">
        <v>0</v>
      </c>
      <c r="AG716" s="70">
        <v>0</v>
      </c>
      <c r="AH716" s="70">
        <v>0</v>
      </c>
      <c r="AI716" s="70">
        <v>0</v>
      </c>
      <c r="AJ716" s="70">
        <v>0</v>
      </c>
      <c r="AK716" s="70">
        <v>0</v>
      </c>
      <c r="AL716" s="70">
        <v>0.01</v>
      </c>
      <c r="AM716" s="70">
        <v>0</v>
      </c>
      <c r="AN716" s="70" t="s">
        <v>1877</v>
      </c>
    </row>
    <row r="717" spans="1:40">
      <c r="A717" s="132">
        <f t="shared" si="110"/>
        <v>709</v>
      </c>
      <c r="B717" s="133" t="s">
        <v>1769</v>
      </c>
      <c r="C717" s="133" t="s">
        <v>1933</v>
      </c>
      <c r="D717" s="132" t="s">
        <v>1720</v>
      </c>
      <c r="E717" s="147" t="s">
        <v>1655</v>
      </c>
      <c r="F717" s="135">
        <v>45805</v>
      </c>
      <c r="G717" s="45"/>
      <c r="H717" s="136"/>
      <c r="I717" s="136">
        <v>314636</v>
      </c>
      <c r="J717" s="137" t="s">
        <v>1025</v>
      </c>
      <c r="K717" s="150"/>
      <c r="L717" s="148">
        <f t="shared" si="109"/>
        <v>314636</v>
      </c>
      <c r="M717" s="122">
        <f t="shared" si="102"/>
        <v>0</v>
      </c>
      <c r="N717" s="137"/>
      <c r="O717" s="149" t="b">
        <f t="shared" si="103"/>
        <v>1</v>
      </c>
      <c r="P717" s="149">
        <f t="shared" si="104"/>
        <v>0</v>
      </c>
      <c r="Q717" s="149" t="b">
        <f t="shared" si="105"/>
        <v>1</v>
      </c>
      <c r="R717" s="149">
        <f t="shared" si="106"/>
        <v>0</v>
      </c>
      <c r="S717" s="144"/>
      <c r="T717" s="143">
        <v>45805</v>
      </c>
      <c r="U717" s="144" t="s">
        <v>1655</v>
      </c>
      <c r="V717" s="144"/>
      <c r="W717" s="144"/>
      <c r="X717" s="144"/>
      <c r="Y717" s="144" t="s">
        <v>1802</v>
      </c>
      <c r="Z717" s="145"/>
      <c r="AA717" s="145"/>
      <c r="AB717" s="144"/>
      <c r="AC717" s="144"/>
      <c r="AD717" s="145">
        <v>314636</v>
      </c>
      <c r="AE717" s="144"/>
      <c r="AF717" s="146"/>
    </row>
    <row r="718" spans="1:40">
      <c r="A718" s="132">
        <f t="shared" si="110"/>
        <v>710</v>
      </c>
      <c r="B718" s="133" t="s">
        <v>1768</v>
      </c>
      <c r="C718" s="133" t="s">
        <v>1929</v>
      </c>
      <c r="D718" s="132" t="s">
        <v>1069</v>
      </c>
      <c r="E718" s="147" t="s">
        <v>1656</v>
      </c>
      <c r="F718" s="135">
        <v>45805</v>
      </c>
      <c r="G718" s="45"/>
      <c r="H718" s="136"/>
      <c r="I718" s="136">
        <v>56042</v>
      </c>
      <c r="J718" s="137" t="s">
        <v>1025</v>
      </c>
      <c r="K718" s="150"/>
      <c r="L718" s="148">
        <f t="shared" si="109"/>
        <v>56042</v>
      </c>
      <c r="M718" s="122">
        <f t="shared" si="102"/>
        <v>0</v>
      </c>
      <c r="N718" s="137"/>
      <c r="O718" s="149" t="b">
        <f t="shared" si="103"/>
        <v>1</v>
      </c>
      <c r="P718" s="149">
        <f t="shared" si="104"/>
        <v>0</v>
      </c>
      <c r="Q718" s="149" t="b">
        <f t="shared" si="105"/>
        <v>0</v>
      </c>
      <c r="R718" s="149">
        <f t="shared" si="106"/>
        <v>0</v>
      </c>
      <c r="S718" s="144"/>
      <c r="T718" s="143">
        <v>45805</v>
      </c>
      <c r="U718" s="144" t="s">
        <v>1656</v>
      </c>
      <c r="V718" s="144">
        <v>0</v>
      </c>
      <c r="W718" s="144" t="s">
        <v>1071</v>
      </c>
      <c r="X718" s="144" t="s">
        <v>1801</v>
      </c>
      <c r="Y718" s="144" t="s">
        <v>1802</v>
      </c>
      <c r="Z718" s="145">
        <v>616462</v>
      </c>
      <c r="AA718" s="145">
        <v>560420</v>
      </c>
      <c r="AB718" s="144">
        <v>0</v>
      </c>
      <c r="AC718" s="144" t="s">
        <v>1022</v>
      </c>
      <c r="AD718" s="145">
        <v>56042</v>
      </c>
      <c r="AE718" s="144">
        <v>0</v>
      </c>
      <c r="AF718" s="146">
        <v>0</v>
      </c>
      <c r="AG718" s="70">
        <v>0</v>
      </c>
      <c r="AH718" s="70">
        <v>0</v>
      </c>
      <c r="AI718" s="70">
        <v>0</v>
      </c>
      <c r="AJ718" s="70">
        <v>0</v>
      </c>
      <c r="AK718" s="70">
        <v>0</v>
      </c>
      <c r="AL718" s="70">
        <v>0.01</v>
      </c>
      <c r="AM718" s="70">
        <v>0</v>
      </c>
      <c r="AN718" s="70" t="s">
        <v>1877</v>
      </c>
    </row>
    <row r="719" spans="1:40">
      <c r="A719" s="132">
        <f t="shared" si="110"/>
        <v>711</v>
      </c>
      <c r="B719" s="133" t="s">
        <v>1769</v>
      </c>
      <c r="C719" s="133" t="s">
        <v>1933</v>
      </c>
      <c r="D719" s="132" t="s">
        <v>1720</v>
      </c>
      <c r="E719" s="147" t="s">
        <v>1657</v>
      </c>
      <c r="F719" s="135">
        <v>45805</v>
      </c>
      <c r="G719" s="45"/>
      <c r="H719" s="136"/>
      <c r="I719" s="136">
        <v>314636</v>
      </c>
      <c r="J719" s="137" t="s">
        <v>1025</v>
      </c>
      <c r="K719" s="150"/>
      <c r="L719" s="148">
        <f t="shared" si="109"/>
        <v>314636</v>
      </c>
      <c r="M719" s="122">
        <f t="shared" si="102"/>
        <v>0</v>
      </c>
      <c r="N719" s="137"/>
      <c r="O719" s="149" t="b">
        <f t="shared" si="103"/>
        <v>1</v>
      </c>
      <c r="P719" s="149">
        <f t="shared" si="104"/>
        <v>0</v>
      </c>
      <c r="Q719" s="149" t="b">
        <f t="shared" si="105"/>
        <v>1</v>
      </c>
      <c r="R719" s="149">
        <f t="shared" si="106"/>
        <v>0</v>
      </c>
      <c r="S719" s="144"/>
      <c r="T719" s="143">
        <v>45805</v>
      </c>
      <c r="U719" s="144" t="s">
        <v>1657</v>
      </c>
      <c r="V719" s="144"/>
      <c r="W719" s="144"/>
      <c r="X719" s="144"/>
      <c r="Y719" s="144" t="s">
        <v>1802</v>
      </c>
      <c r="Z719" s="145"/>
      <c r="AA719" s="145"/>
      <c r="AB719" s="144"/>
      <c r="AC719" s="144"/>
      <c r="AD719" s="145">
        <v>314636</v>
      </c>
      <c r="AE719" s="144"/>
      <c r="AF719" s="146"/>
    </row>
    <row r="720" spans="1:40">
      <c r="A720" s="132">
        <f t="shared" si="110"/>
        <v>712</v>
      </c>
      <c r="B720" s="133" t="s">
        <v>1768</v>
      </c>
      <c r="C720" s="133" t="s">
        <v>1929</v>
      </c>
      <c r="D720" s="132" t="s">
        <v>1069</v>
      </c>
      <c r="E720" s="147" t="s">
        <v>1658</v>
      </c>
      <c r="F720" s="135">
        <v>45805</v>
      </c>
      <c r="G720" s="45"/>
      <c r="H720" s="136"/>
      <c r="I720" s="136">
        <v>28021</v>
      </c>
      <c r="J720" s="137" t="s">
        <v>1025</v>
      </c>
      <c r="K720" s="150"/>
      <c r="L720" s="148">
        <f t="shared" si="109"/>
        <v>28021</v>
      </c>
      <c r="M720" s="122">
        <f t="shared" si="102"/>
        <v>0</v>
      </c>
      <c r="N720" s="137"/>
      <c r="O720" s="149" t="b">
        <f t="shared" si="103"/>
        <v>1</v>
      </c>
      <c r="P720" s="149">
        <f t="shared" si="104"/>
        <v>0</v>
      </c>
      <c r="Q720" s="149" t="b">
        <f t="shared" si="105"/>
        <v>0</v>
      </c>
      <c r="R720" s="149">
        <f t="shared" si="106"/>
        <v>0</v>
      </c>
      <c r="S720" s="144"/>
      <c r="T720" s="143">
        <v>45805</v>
      </c>
      <c r="U720" s="144" t="s">
        <v>1658</v>
      </c>
      <c r="V720" s="144">
        <v>0</v>
      </c>
      <c r="W720" s="144" t="s">
        <v>1071</v>
      </c>
      <c r="X720" s="144" t="s">
        <v>1801</v>
      </c>
      <c r="Y720" s="144" t="s">
        <v>1802</v>
      </c>
      <c r="Z720" s="145">
        <v>308231</v>
      </c>
      <c r="AA720" s="145">
        <v>280210</v>
      </c>
      <c r="AB720" s="144">
        <v>0</v>
      </c>
      <c r="AC720" s="144" t="s">
        <v>1022</v>
      </c>
      <c r="AD720" s="145">
        <v>28021</v>
      </c>
      <c r="AE720" s="144">
        <v>0</v>
      </c>
      <c r="AF720" s="146">
        <v>0</v>
      </c>
      <c r="AG720" s="70">
        <v>0</v>
      </c>
      <c r="AH720" s="70">
        <v>0</v>
      </c>
      <c r="AI720" s="70">
        <v>0</v>
      </c>
      <c r="AJ720" s="70">
        <v>0</v>
      </c>
      <c r="AK720" s="70">
        <v>0</v>
      </c>
      <c r="AL720" s="70">
        <v>0.01</v>
      </c>
      <c r="AM720" s="70">
        <v>0</v>
      </c>
      <c r="AN720" s="70" t="s">
        <v>1877</v>
      </c>
    </row>
    <row r="721" spans="1:40">
      <c r="A721" s="132">
        <f t="shared" si="110"/>
        <v>713</v>
      </c>
      <c r="B721" s="133" t="s">
        <v>1769</v>
      </c>
      <c r="C721" s="133" t="s">
        <v>1933</v>
      </c>
      <c r="D721" s="132" t="s">
        <v>1720</v>
      </c>
      <c r="E721" s="147" t="s">
        <v>1659</v>
      </c>
      <c r="F721" s="135">
        <v>45805</v>
      </c>
      <c r="G721" s="45"/>
      <c r="H721" s="136"/>
      <c r="I721" s="136">
        <v>157318</v>
      </c>
      <c r="J721" s="137" t="s">
        <v>1025</v>
      </c>
      <c r="K721" s="150"/>
      <c r="L721" s="148">
        <f t="shared" si="109"/>
        <v>157318</v>
      </c>
      <c r="M721" s="122">
        <f t="shared" si="102"/>
        <v>0</v>
      </c>
      <c r="N721" s="137"/>
      <c r="O721" s="149" t="b">
        <f t="shared" si="103"/>
        <v>1</v>
      </c>
      <c r="P721" s="149">
        <f t="shared" si="104"/>
        <v>0</v>
      </c>
      <c r="Q721" s="149" t="b">
        <f t="shared" si="105"/>
        <v>1</v>
      </c>
      <c r="R721" s="149">
        <f t="shared" si="106"/>
        <v>0</v>
      </c>
      <c r="S721" s="144"/>
      <c r="T721" s="143">
        <v>45805</v>
      </c>
      <c r="U721" s="144" t="s">
        <v>1659</v>
      </c>
      <c r="V721" s="144"/>
      <c r="W721" s="144"/>
      <c r="X721" s="144"/>
      <c r="Y721" s="144" t="s">
        <v>1802</v>
      </c>
      <c r="Z721" s="145"/>
      <c r="AA721" s="145"/>
      <c r="AB721" s="144"/>
      <c r="AC721" s="144"/>
      <c r="AD721" s="145">
        <v>157318</v>
      </c>
      <c r="AE721" s="144"/>
      <c r="AF721" s="146"/>
    </row>
    <row r="722" spans="1:40">
      <c r="A722" s="132">
        <f t="shared" si="110"/>
        <v>714</v>
      </c>
      <c r="B722" s="133" t="s">
        <v>1769</v>
      </c>
      <c r="C722" s="133" t="s">
        <v>1933</v>
      </c>
      <c r="D722" s="132" t="s">
        <v>1720</v>
      </c>
      <c r="E722" s="147" t="s">
        <v>1660</v>
      </c>
      <c r="F722" s="135">
        <v>45805</v>
      </c>
      <c r="G722" s="45"/>
      <c r="H722" s="136"/>
      <c r="I722" s="136">
        <v>157318</v>
      </c>
      <c r="J722" s="137" t="s">
        <v>1025</v>
      </c>
      <c r="K722" s="150"/>
      <c r="L722" s="148">
        <f t="shared" si="109"/>
        <v>157318</v>
      </c>
      <c r="M722" s="122">
        <f t="shared" si="102"/>
        <v>0</v>
      </c>
      <c r="N722" s="137"/>
      <c r="O722" s="149" t="b">
        <f t="shared" si="103"/>
        <v>1</v>
      </c>
      <c r="P722" s="149">
        <f t="shared" si="104"/>
        <v>0</v>
      </c>
      <c r="Q722" s="149" t="b">
        <f t="shared" si="105"/>
        <v>1</v>
      </c>
      <c r="R722" s="149">
        <f t="shared" si="106"/>
        <v>0</v>
      </c>
      <c r="S722" s="144"/>
      <c r="T722" s="143">
        <v>45805</v>
      </c>
      <c r="U722" s="144" t="s">
        <v>1660</v>
      </c>
      <c r="V722" s="144"/>
      <c r="W722" s="144"/>
      <c r="X722" s="144"/>
      <c r="Y722" s="144" t="s">
        <v>1802</v>
      </c>
      <c r="Z722" s="145"/>
      <c r="AA722" s="145"/>
      <c r="AB722" s="144"/>
      <c r="AC722" s="144"/>
      <c r="AD722" s="145">
        <v>157318</v>
      </c>
      <c r="AE722" s="144"/>
      <c r="AF722" s="146"/>
    </row>
    <row r="723" spans="1:40">
      <c r="A723" s="132">
        <f t="shared" si="110"/>
        <v>715</v>
      </c>
      <c r="B723" s="133" t="s">
        <v>1768</v>
      </c>
      <c r="C723" s="133" t="s">
        <v>1929</v>
      </c>
      <c r="D723" s="132" t="s">
        <v>1069</v>
      </c>
      <c r="E723" s="147" t="s">
        <v>1661</v>
      </c>
      <c r="F723" s="135">
        <v>45805</v>
      </c>
      <c r="G723" s="45"/>
      <c r="H723" s="136"/>
      <c r="I723" s="136">
        <v>56042</v>
      </c>
      <c r="J723" s="137" t="s">
        <v>1025</v>
      </c>
      <c r="K723" s="150"/>
      <c r="L723" s="148">
        <f t="shared" si="109"/>
        <v>56042</v>
      </c>
      <c r="M723" s="122">
        <f t="shared" si="102"/>
        <v>0</v>
      </c>
      <c r="N723" s="137"/>
      <c r="O723" s="149" t="b">
        <f t="shared" si="103"/>
        <v>1</v>
      </c>
      <c r="P723" s="149">
        <f t="shared" si="104"/>
        <v>0</v>
      </c>
      <c r="Q723" s="149" t="b">
        <f t="shared" si="105"/>
        <v>0</v>
      </c>
      <c r="R723" s="149">
        <f t="shared" si="106"/>
        <v>0</v>
      </c>
      <c r="S723" s="144"/>
      <c r="T723" s="143">
        <v>45805</v>
      </c>
      <c r="U723" s="144" t="s">
        <v>1661</v>
      </c>
      <c r="V723" s="144">
        <v>0</v>
      </c>
      <c r="W723" s="144" t="s">
        <v>1071</v>
      </c>
      <c r="X723" s="144" t="s">
        <v>1801</v>
      </c>
      <c r="Y723" s="144" t="s">
        <v>1802</v>
      </c>
      <c r="Z723" s="145">
        <v>616462</v>
      </c>
      <c r="AA723" s="145">
        <v>560420</v>
      </c>
      <c r="AB723" s="144">
        <v>0</v>
      </c>
      <c r="AC723" s="144" t="s">
        <v>1022</v>
      </c>
      <c r="AD723" s="145">
        <v>56042</v>
      </c>
      <c r="AE723" s="144">
        <v>0</v>
      </c>
      <c r="AF723" s="146">
        <v>0</v>
      </c>
      <c r="AG723" s="70">
        <v>0</v>
      </c>
      <c r="AH723" s="70">
        <v>0</v>
      </c>
      <c r="AI723" s="70">
        <v>0</v>
      </c>
      <c r="AJ723" s="70">
        <v>0</v>
      </c>
      <c r="AK723" s="70">
        <v>0</v>
      </c>
      <c r="AL723" s="70">
        <v>0.01</v>
      </c>
      <c r="AM723" s="70">
        <v>0</v>
      </c>
      <c r="AN723" s="70" t="s">
        <v>1877</v>
      </c>
    </row>
    <row r="724" spans="1:40">
      <c r="A724" s="132">
        <f t="shared" si="110"/>
        <v>716</v>
      </c>
      <c r="B724" s="133" t="s">
        <v>1769</v>
      </c>
      <c r="C724" s="133" t="s">
        <v>1933</v>
      </c>
      <c r="D724" s="132" t="s">
        <v>1720</v>
      </c>
      <c r="E724" s="147" t="s">
        <v>1662</v>
      </c>
      <c r="F724" s="135">
        <v>45805</v>
      </c>
      <c r="G724" s="45"/>
      <c r="H724" s="136"/>
      <c r="I724" s="136">
        <v>314636</v>
      </c>
      <c r="J724" s="137" t="s">
        <v>1025</v>
      </c>
      <c r="K724" s="150"/>
      <c r="L724" s="148">
        <f t="shared" si="109"/>
        <v>314636</v>
      </c>
      <c r="M724" s="122">
        <f t="shared" si="102"/>
        <v>0</v>
      </c>
      <c r="N724" s="137"/>
      <c r="O724" s="149" t="b">
        <f t="shared" si="103"/>
        <v>1</v>
      </c>
      <c r="P724" s="149">
        <f t="shared" si="104"/>
        <v>0</v>
      </c>
      <c r="Q724" s="149" t="b">
        <f t="shared" si="105"/>
        <v>1</v>
      </c>
      <c r="R724" s="149">
        <f t="shared" si="106"/>
        <v>0</v>
      </c>
      <c r="S724" s="144"/>
      <c r="T724" s="143">
        <v>45805</v>
      </c>
      <c r="U724" s="144" t="s">
        <v>1662</v>
      </c>
      <c r="V724" s="144"/>
      <c r="W724" s="144"/>
      <c r="X724" s="144"/>
      <c r="Y724" s="144" t="s">
        <v>1802</v>
      </c>
      <c r="Z724" s="145"/>
      <c r="AA724" s="145"/>
      <c r="AB724" s="144"/>
      <c r="AC724" s="144"/>
      <c r="AD724" s="145">
        <v>314636</v>
      </c>
      <c r="AE724" s="144"/>
      <c r="AF724" s="146"/>
    </row>
    <row r="725" spans="1:40">
      <c r="A725" s="132">
        <f t="shared" si="110"/>
        <v>717</v>
      </c>
      <c r="B725" s="133" t="s">
        <v>1768</v>
      </c>
      <c r="C725" s="133" t="s">
        <v>1929</v>
      </c>
      <c r="D725" s="132" t="s">
        <v>1069</v>
      </c>
      <c r="E725" s="147" t="s">
        <v>1663</v>
      </c>
      <c r="F725" s="135">
        <v>45805</v>
      </c>
      <c r="G725" s="45"/>
      <c r="H725" s="136"/>
      <c r="I725" s="136">
        <v>28021</v>
      </c>
      <c r="J725" s="137" t="s">
        <v>1025</v>
      </c>
      <c r="K725" s="150"/>
      <c r="L725" s="148">
        <f t="shared" si="109"/>
        <v>28021</v>
      </c>
      <c r="M725" s="122">
        <f t="shared" si="102"/>
        <v>0</v>
      </c>
      <c r="N725" s="137"/>
      <c r="O725" s="149" t="b">
        <f t="shared" si="103"/>
        <v>1</v>
      </c>
      <c r="P725" s="149">
        <f t="shared" si="104"/>
        <v>0</v>
      </c>
      <c r="Q725" s="149" t="b">
        <f t="shared" si="105"/>
        <v>0</v>
      </c>
      <c r="R725" s="149">
        <f t="shared" si="106"/>
        <v>0</v>
      </c>
      <c r="S725" s="144"/>
      <c r="T725" s="143">
        <v>45805</v>
      </c>
      <c r="U725" s="144" t="s">
        <v>1663</v>
      </c>
      <c r="V725" s="144">
        <v>0</v>
      </c>
      <c r="W725" s="144" t="s">
        <v>1071</v>
      </c>
      <c r="X725" s="144" t="s">
        <v>1801</v>
      </c>
      <c r="Y725" s="144" t="s">
        <v>1802</v>
      </c>
      <c r="Z725" s="145">
        <v>308231</v>
      </c>
      <c r="AA725" s="145">
        <v>280210</v>
      </c>
      <c r="AB725" s="144">
        <v>0</v>
      </c>
      <c r="AC725" s="144" t="s">
        <v>1022</v>
      </c>
      <c r="AD725" s="145">
        <v>28021</v>
      </c>
      <c r="AE725" s="144">
        <v>0</v>
      </c>
      <c r="AF725" s="146">
        <v>0</v>
      </c>
      <c r="AG725" s="70">
        <v>0</v>
      </c>
      <c r="AH725" s="70">
        <v>0</v>
      </c>
      <c r="AI725" s="70">
        <v>0</v>
      </c>
      <c r="AJ725" s="70">
        <v>0</v>
      </c>
      <c r="AK725" s="70">
        <v>0</v>
      </c>
      <c r="AL725" s="70">
        <v>0.01</v>
      </c>
      <c r="AM725" s="70">
        <v>0</v>
      </c>
      <c r="AN725" s="70" t="s">
        <v>1877</v>
      </c>
    </row>
    <row r="726" spans="1:40">
      <c r="A726" s="132">
        <f t="shared" si="110"/>
        <v>718</v>
      </c>
      <c r="B726" s="133" t="s">
        <v>1769</v>
      </c>
      <c r="C726" s="133" t="s">
        <v>1933</v>
      </c>
      <c r="D726" s="132" t="s">
        <v>1720</v>
      </c>
      <c r="E726" s="147" t="s">
        <v>1664</v>
      </c>
      <c r="F726" s="135">
        <v>45805</v>
      </c>
      <c r="G726" s="45"/>
      <c r="H726" s="136"/>
      <c r="I726" s="136">
        <v>157318</v>
      </c>
      <c r="J726" s="137" t="s">
        <v>1025</v>
      </c>
      <c r="K726" s="150"/>
      <c r="L726" s="148">
        <f t="shared" si="109"/>
        <v>157318</v>
      </c>
      <c r="M726" s="122">
        <f t="shared" si="102"/>
        <v>0</v>
      </c>
      <c r="N726" s="137"/>
      <c r="O726" s="149" t="b">
        <f t="shared" si="103"/>
        <v>1</v>
      </c>
      <c r="P726" s="149">
        <f t="shared" si="104"/>
        <v>0</v>
      </c>
      <c r="Q726" s="149" t="b">
        <f t="shared" si="105"/>
        <v>1</v>
      </c>
      <c r="R726" s="149">
        <f t="shared" si="106"/>
        <v>0</v>
      </c>
      <c r="S726" s="144"/>
      <c r="T726" s="143">
        <v>45805</v>
      </c>
      <c r="U726" s="144" t="s">
        <v>1664</v>
      </c>
      <c r="V726" s="144"/>
      <c r="W726" s="144"/>
      <c r="X726" s="144"/>
      <c r="Y726" s="144" t="s">
        <v>1802</v>
      </c>
      <c r="Z726" s="145"/>
      <c r="AA726" s="145"/>
      <c r="AB726" s="144"/>
      <c r="AC726" s="144"/>
      <c r="AD726" s="145">
        <v>157318</v>
      </c>
      <c r="AE726" s="144"/>
      <c r="AF726" s="146"/>
    </row>
    <row r="727" spans="1:40">
      <c r="A727" s="132">
        <f t="shared" si="110"/>
        <v>719</v>
      </c>
      <c r="B727" s="133" t="s">
        <v>1768</v>
      </c>
      <c r="C727" s="133" t="s">
        <v>1929</v>
      </c>
      <c r="D727" s="132" t="s">
        <v>1069</v>
      </c>
      <c r="E727" s="147" t="s">
        <v>1665</v>
      </c>
      <c r="F727" s="135">
        <v>45805</v>
      </c>
      <c r="G727" s="45"/>
      <c r="H727" s="136"/>
      <c r="I727" s="136">
        <v>28021</v>
      </c>
      <c r="J727" s="137" t="s">
        <v>1025</v>
      </c>
      <c r="K727" s="150"/>
      <c r="L727" s="148">
        <f t="shared" si="109"/>
        <v>28021</v>
      </c>
      <c r="M727" s="122">
        <f t="shared" ref="M727:M757" si="111">I727-L727</f>
        <v>0</v>
      </c>
      <c r="N727" s="137"/>
      <c r="O727" s="149" t="b">
        <f t="shared" ref="O727:O757" si="112">U727=E727</f>
        <v>1</v>
      </c>
      <c r="P727" s="149">
        <f t="shared" ref="P727:P757" si="113">MONTH(F727)-MONTH(T727)</f>
        <v>0</v>
      </c>
      <c r="Q727" s="149" t="b">
        <f t="shared" ref="Q727:Q757" si="114">$B$5=X727</f>
        <v>0</v>
      </c>
      <c r="R727" s="149">
        <f t="shared" ref="R727:R757" si="115">I727-AD727</f>
        <v>0</v>
      </c>
      <c r="S727" s="144"/>
      <c r="T727" s="143">
        <v>45805</v>
      </c>
      <c r="U727" s="144" t="s">
        <v>1665</v>
      </c>
      <c r="V727" s="144">
        <v>0</v>
      </c>
      <c r="W727" s="144" t="s">
        <v>1071</v>
      </c>
      <c r="X727" s="144" t="s">
        <v>1801</v>
      </c>
      <c r="Y727" s="144" t="s">
        <v>1802</v>
      </c>
      <c r="Z727" s="145">
        <v>308231</v>
      </c>
      <c r="AA727" s="145">
        <v>280210</v>
      </c>
      <c r="AB727" s="144">
        <v>0</v>
      </c>
      <c r="AC727" s="144" t="s">
        <v>1022</v>
      </c>
      <c r="AD727" s="145">
        <v>28021</v>
      </c>
      <c r="AE727" s="144">
        <v>0</v>
      </c>
      <c r="AF727" s="146">
        <v>0</v>
      </c>
      <c r="AG727" s="70">
        <v>0</v>
      </c>
      <c r="AH727" s="70">
        <v>0</v>
      </c>
      <c r="AI727" s="70">
        <v>0</v>
      </c>
      <c r="AJ727" s="70">
        <v>0</v>
      </c>
      <c r="AK727" s="70">
        <v>0</v>
      </c>
      <c r="AL727" s="70">
        <v>0.01</v>
      </c>
      <c r="AM727" s="70">
        <v>0</v>
      </c>
      <c r="AN727" s="70" t="s">
        <v>1877</v>
      </c>
    </row>
    <row r="728" spans="1:40">
      <c r="A728" s="132">
        <f t="shared" si="110"/>
        <v>720</v>
      </c>
      <c r="B728" s="133" t="s">
        <v>1769</v>
      </c>
      <c r="C728" s="133" t="s">
        <v>1933</v>
      </c>
      <c r="D728" s="132" t="s">
        <v>1720</v>
      </c>
      <c r="E728" s="147" t="s">
        <v>1666</v>
      </c>
      <c r="F728" s="135">
        <v>45800</v>
      </c>
      <c r="G728" s="45"/>
      <c r="H728" s="136"/>
      <c r="I728" s="136">
        <v>157318</v>
      </c>
      <c r="J728" s="137" t="s">
        <v>1025</v>
      </c>
      <c r="K728" s="150"/>
      <c r="L728" s="148">
        <f t="shared" si="109"/>
        <v>157318</v>
      </c>
      <c r="M728" s="122">
        <f t="shared" si="111"/>
        <v>0</v>
      </c>
      <c r="N728" s="137"/>
      <c r="O728" s="149" t="b">
        <f t="shared" si="112"/>
        <v>1</v>
      </c>
      <c r="P728" s="149">
        <f t="shared" si="113"/>
        <v>0</v>
      </c>
      <c r="Q728" s="149" t="b">
        <f t="shared" si="114"/>
        <v>1</v>
      </c>
      <c r="R728" s="149">
        <f t="shared" si="115"/>
        <v>0</v>
      </c>
      <c r="S728" s="144"/>
      <c r="T728" s="143">
        <v>45800</v>
      </c>
      <c r="U728" s="144" t="s">
        <v>1666</v>
      </c>
      <c r="V728" s="144"/>
      <c r="W728" s="144"/>
      <c r="X728" s="144"/>
      <c r="Y728" s="144" t="s">
        <v>1802</v>
      </c>
      <c r="Z728" s="145"/>
      <c r="AA728" s="145"/>
      <c r="AB728" s="144"/>
      <c r="AC728" s="144"/>
      <c r="AD728" s="145">
        <v>157318</v>
      </c>
      <c r="AE728" s="144"/>
      <c r="AF728" s="146"/>
    </row>
    <row r="729" spans="1:40">
      <c r="A729" s="132">
        <f t="shared" si="110"/>
        <v>721</v>
      </c>
      <c r="B729" s="133" t="s">
        <v>1768</v>
      </c>
      <c r="C729" s="133" t="s">
        <v>1929</v>
      </c>
      <c r="D729" s="132" t="s">
        <v>1069</v>
      </c>
      <c r="E729" s="147" t="s">
        <v>1667</v>
      </c>
      <c r="F729" s="135">
        <v>45798</v>
      </c>
      <c r="G729" s="45"/>
      <c r="H729" s="136"/>
      <c r="I729" s="136">
        <v>252189</v>
      </c>
      <c r="J729" s="137" t="s">
        <v>1025</v>
      </c>
      <c r="K729" s="150"/>
      <c r="L729" s="148">
        <f t="shared" si="109"/>
        <v>252189</v>
      </c>
      <c r="M729" s="122">
        <f t="shared" si="111"/>
        <v>0</v>
      </c>
      <c r="N729" s="137"/>
      <c r="O729" s="149" t="b">
        <f t="shared" si="112"/>
        <v>1</v>
      </c>
      <c r="P729" s="149">
        <f t="shared" si="113"/>
        <v>0</v>
      </c>
      <c r="Q729" s="149" t="b">
        <f t="shared" si="114"/>
        <v>0</v>
      </c>
      <c r="R729" s="149">
        <f t="shared" si="115"/>
        <v>0</v>
      </c>
      <c r="S729" s="144"/>
      <c r="T729" s="143">
        <v>45798</v>
      </c>
      <c r="U729" s="144" t="s">
        <v>1667</v>
      </c>
      <c r="V729" s="144">
        <v>0</v>
      </c>
      <c r="W729" s="144" t="s">
        <v>1071</v>
      </c>
      <c r="X729" s="144" t="s">
        <v>1801</v>
      </c>
      <c r="Y729" s="144" t="s">
        <v>1802</v>
      </c>
      <c r="Z729" s="145">
        <v>2774079</v>
      </c>
      <c r="AA729" s="145">
        <v>2521890</v>
      </c>
      <c r="AB729" s="144">
        <v>0</v>
      </c>
      <c r="AC729" s="144" t="s">
        <v>1022</v>
      </c>
      <c r="AD729" s="145">
        <v>252189</v>
      </c>
      <c r="AE729" s="144">
        <v>0</v>
      </c>
      <c r="AF729" s="146">
        <v>0</v>
      </c>
      <c r="AG729" s="70">
        <v>0</v>
      </c>
      <c r="AH729" s="70">
        <v>0</v>
      </c>
      <c r="AI729" s="70">
        <v>0</v>
      </c>
      <c r="AJ729" s="70">
        <v>0</v>
      </c>
      <c r="AK729" s="70">
        <v>0</v>
      </c>
      <c r="AL729" s="70">
        <v>0.01</v>
      </c>
      <c r="AM729" s="70">
        <v>0</v>
      </c>
      <c r="AN729" s="70" t="s">
        <v>1877</v>
      </c>
    </row>
    <row r="730" spans="1:40">
      <c r="A730" s="132">
        <f t="shared" si="110"/>
        <v>722</v>
      </c>
      <c r="B730" s="133" t="s">
        <v>1769</v>
      </c>
      <c r="C730" s="133" t="s">
        <v>1933</v>
      </c>
      <c r="D730" s="132" t="s">
        <v>1720</v>
      </c>
      <c r="E730" s="147" t="s">
        <v>1668</v>
      </c>
      <c r="F730" s="135">
        <v>45800</v>
      </c>
      <c r="G730" s="45"/>
      <c r="H730" s="136"/>
      <c r="I730" s="136">
        <v>156117</v>
      </c>
      <c r="J730" s="137" t="s">
        <v>1025</v>
      </c>
      <c r="K730" s="150"/>
      <c r="L730" s="148">
        <f t="shared" si="109"/>
        <v>156117</v>
      </c>
      <c r="M730" s="122">
        <f t="shared" si="111"/>
        <v>0</v>
      </c>
      <c r="N730" s="137"/>
      <c r="O730" s="149" t="b">
        <f t="shared" si="112"/>
        <v>1</v>
      </c>
      <c r="P730" s="149">
        <f t="shared" si="113"/>
        <v>0</v>
      </c>
      <c r="Q730" s="149" t="b">
        <f t="shared" si="114"/>
        <v>1</v>
      </c>
      <c r="R730" s="149">
        <f t="shared" si="115"/>
        <v>0</v>
      </c>
      <c r="S730" s="144"/>
      <c r="T730" s="143">
        <v>45800</v>
      </c>
      <c r="U730" s="144" t="s">
        <v>1668</v>
      </c>
      <c r="V730" s="144"/>
      <c r="W730" s="144"/>
      <c r="X730" s="144"/>
      <c r="Y730" s="144" t="s">
        <v>1802</v>
      </c>
      <c r="Z730" s="145"/>
      <c r="AA730" s="145"/>
      <c r="AB730" s="144"/>
      <c r="AC730" s="144"/>
      <c r="AD730" s="145">
        <v>156117</v>
      </c>
      <c r="AE730" s="144"/>
      <c r="AF730" s="146"/>
    </row>
    <row r="731" spans="1:40">
      <c r="A731" s="132">
        <f t="shared" si="110"/>
        <v>723</v>
      </c>
      <c r="B731" s="133" t="s">
        <v>1768</v>
      </c>
      <c r="C731" s="133" t="s">
        <v>1929</v>
      </c>
      <c r="D731" s="132" t="s">
        <v>1069</v>
      </c>
      <c r="E731" s="147" t="s">
        <v>1669</v>
      </c>
      <c r="F731" s="135">
        <v>45798</v>
      </c>
      <c r="G731" s="45"/>
      <c r="H731" s="136"/>
      <c r="I731" s="136">
        <v>28021</v>
      </c>
      <c r="J731" s="137" t="s">
        <v>1025</v>
      </c>
      <c r="K731" s="150"/>
      <c r="L731" s="148">
        <f t="shared" si="109"/>
        <v>28021</v>
      </c>
      <c r="M731" s="122">
        <f t="shared" si="111"/>
        <v>0</v>
      </c>
      <c r="N731" s="137"/>
      <c r="O731" s="149" t="b">
        <f t="shared" si="112"/>
        <v>1</v>
      </c>
      <c r="P731" s="149">
        <f t="shared" si="113"/>
        <v>0</v>
      </c>
      <c r="Q731" s="149" t="b">
        <f t="shared" si="114"/>
        <v>0</v>
      </c>
      <c r="R731" s="149">
        <f t="shared" si="115"/>
        <v>0</v>
      </c>
      <c r="S731" s="144"/>
      <c r="T731" s="143">
        <v>45798</v>
      </c>
      <c r="U731" s="144" t="s">
        <v>1669</v>
      </c>
      <c r="V731" s="144">
        <v>0</v>
      </c>
      <c r="W731" s="144" t="s">
        <v>1071</v>
      </c>
      <c r="X731" s="144" t="s">
        <v>1801</v>
      </c>
      <c r="Y731" s="144" t="s">
        <v>1802</v>
      </c>
      <c r="Z731" s="145">
        <v>308231</v>
      </c>
      <c r="AA731" s="145">
        <v>280210</v>
      </c>
      <c r="AB731" s="144">
        <v>0</v>
      </c>
      <c r="AC731" s="144" t="s">
        <v>1022</v>
      </c>
      <c r="AD731" s="145">
        <v>28021</v>
      </c>
      <c r="AE731" s="144">
        <v>0</v>
      </c>
      <c r="AF731" s="146">
        <v>0</v>
      </c>
      <c r="AG731" s="70">
        <v>0</v>
      </c>
      <c r="AH731" s="70">
        <v>0</v>
      </c>
      <c r="AI731" s="70">
        <v>0</v>
      </c>
      <c r="AJ731" s="70">
        <v>0</v>
      </c>
      <c r="AK731" s="70">
        <v>0</v>
      </c>
      <c r="AL731" s="70">
        <v>0.01</v>
      </c>
      <c r="AM731" s="70">
        <v>0</v>
      </c>
      <c r="AN731" s="70" t="s">
        <v>1877</v>
      </c>
    </row>
    <row r="732" spans="1:40">
      <c r="A732" s="132">
        <f t="shared" si="110"/>
        <v>724</v>
      </c>
      <c r="B732" s="133" t="s">
        <v>1769</v>
      </c>
      <c r="C732" s="133" t="s">
        <v>1933</v>
      </c>
      <c r="D732" s="132" t="s">
        <v>1720</v>
      </c>
      <c r="E732" s="147" t="s">
        <v>1670</v>
      </c>
      <c r="F732" s="135">
        <v>45800</v>
      </c>
      <c r="G732" s="45"/>
      <c r="H732" s="136"/>
      <c r="I732" s="136">
        <v>157318</v>
      </c>
      <c r="J732" s="137" t="s">
        <v>1025</v>
      </c>
      <c r="K732" s="150"/>
      <c r="L732" s="148">
        <f t="shared" si="109"/>
        <v>157318</v>
      </c>
      <c r="M732" s="122">
        <f t="shared" si="111"/>
        <v>0</v>
      </c>
      <c r="N732" s="137"/>
      <c r="O732" s="149" t="b">
        <f t="shared" si="112"/>
        <v>1</v>
      </c>
      <c r="P732" s="149">
        <f t="shared" si="113"/>
        <v>0</v>
      </c>
      <c r="Q732" s="149" t="b">
        <f t="shared" si="114"/>
        <v>1</v>
      </c>
      <c r="R732" s="149">
        <f t="shared" si="115"/>
        <v>0</v>
      </c>
      <c r="S732" s="144"/>
      <c r="T732" s="143">
        <v>45800</v>
      </c>
      <c r="U732" s="144" t="s">
        <v>1670</v>
      </c>
      <c r="V732" s="144"/>
      <c r="W732" s="144"/>
      <c r="X732" s="144"/>
      <c r="Y732" s="144" t="s">
        <v>1802</v>
      </c>
      <c r="Z732" s="145"/>
      <c r="AA732" s="145"/>
      <c r="AB732" s="144"/>
      <c r="AC732" s="144"/>
      <c r="AD732" s="145">
        <v>157318</v>
      </c>
      <c r="AE732" s="144"/>
      <c r="AF732" s="146"/>
    </row>
    <row r="733" spans="1:40">
      <c r="A733" s="132">
        <f t="shared" si="110"/>
        <v>725</v>
      </c>
      <c r="B733" s="133" t="s">
        <v>1768</v>
      </c>
      <c r="C733" s="133" t="s">
        <v>1929</v>
      </c>
      <c r="D733" s="132" t="s">
        <v>1069</v>
      </c>
      <c r="E733" s="147" t="s">
        <v>1671</v>
      </c>
      <c r="F733" s="135">
        <v>45798</v>
      </c>
      <c r="G733" s="45"/>
      <c r="H733" s="136"/>
      <c r="I733" s="136">
        <v>28021</v>
      </c>
      <c r="J733" s="137" t="s">
        <v>1025</v>
      </c>
      <c r="K733" s="150"/>
      <c r="L733" s="148">
        <f t="shared" si="109"/>
        <v>28021</v>
      </c>
      <c r="M733" s="122">
        <f t="shared" si="111"/>
        <v>0</v>
      </c>
      <c r="N733" s="137"/>
      <c r="O733" s="149" t="b">
        <f t="shared" si="112"/>
        <v>1</v>
      </c>
      <c r="P733" s="149">
        <f t="shared" si="113"/>
        <v>0</v>
      </c>
      <c r="Q733" s="149" t="b">
        <f t="shared" si="114"/>
        <v>0</v>
      </c>
      <c r="R733" s="149">
        <f t="shared" si="115"/>
        <v>0</v>
      </c>
      <c r="S733" s="144"/>
      <c r="T733" s="143">
        <v>45798</v>
      </c>
      <c r="U733" s="144" t="s">
        <v>1671</v>
      </c>
      <c r="V733" s="144">
        <v>0</v>
      </c>
      <c r="W733" s="144" t="s">
        <v>1071</v>
      </c>
      <c r="X733" s="144" t="s">
        <v>1801</v>
      </c>
      <c r="Y733" s="144" t="s">
        <v>1802</v>
      </c>
      <c r="Z733" s="145">
        <v>308231</v>
      </c>
      <c r="AA733" s="145">
        <v>280210</v>
      </c>
      <c r="AB733" s="144">
        <v>0</v>
      </c>
      <c r="AC733" s="144" t="s">
        <v>1022</v>
      </c>
      <c r="AD733" s="145">
        <v>28021</v>
      </c>
      <c r="AE733" s="144">
        <v>0</v>
      </c>
      <c r="AF733" s="146">
        <v>0</v>
      </c>
      <c r="AG733" s="70">
        <v>0</v>
      </c>
      <c r="AH733" s="70">
        <v>0</v>
      </c>
      <c r="AI733" s="70">
        <v>0</v>
      </c>
      <c r="AJ733" s="70">
        <v>0</v>
      </c>
      <c r="AK733" s="70">
        <v>0</v>
      </c>
      <c r="AL733" s="70">
        <v>0.01</v>
      </c>
      <c r="AM733" s="70">
        <v>0</v>
      </c>
      <c r="AN733" s="70" t="s">
        <v>1877</v>
      </c>
    </row>
    <row r="734" spans="1:40">
      <c r="A734" s="132">
        <f t="shared" si="110"/>
        <v>726</v>
      </c>
      <c r="B734" s="133" t="s">
        <v>1769</v>
      </c>
      <c r="C734" s="133" t="s">
        <v>1933</v>
      </c>
      <c r="D734" s="132" t="s">
        <v>1720</v>
      </c>
      <c r="E734" s="147" t="s">
        <v>1672</v>
      </c>
      <c r="F734" s="135">
        <v>45800</v>
      </c>
      <c r="G734" s="45"/>
      <c r="H734" s="136"/>
      <c r="I734" s="136">
        <v>157318</v>
      </c>
      <c r="J734" s="137" t="s">
        <v>1025</v>
      </c>
      <c r="K734" s="150"/>
      <c r="L734" s="148">
        <f t="shared" si="109"/>
        <v>157318</v>
      </c>
      <c r="M734" s="122">
        <f t="shared" si="111"/>
        <v>0</v>
      </c>
      <c r="N734" s="137"/>
      <c r="O734" s="149" t="b">
        <f t="shared" si="112"/>
        <v>1</v>
      </c>
      <c r="P734" s="149">
        <f t="shared" si="113"/>
        <v>0</v>
      </c>
      <c r="Q734" s="149" t="b">
        <f t="shared" si="114"/>
        <v>1</v>
      </c>
      <c r="R734" s="149">
        <f t="shared" si="115"/>
        <v>0</v>
      </c>
      <c r="S734" s="144"/>
      <c r="T734" s="143">
        <v>45800</v>
      </c>
      <c r="U734" s="144" t="s">
        <v>1672</v>
      </c>
      <c r="V734" s="144"/>
      <c r="W734" s="144"/>
      <c r="X734" s="144"/>
      <c r="Y734" s="144" t="s">
        <v>1802</v>
      </c>
      <c r="Z734" s="145"/>
      <c r="AA734" s="145"/>
      <c r="AB734" s="144"/>
      <c r="AC734" s="144"/>
      <c r="AD734" s="145">
        <v>157318</v>
      </c>
      <c r="AE734" s="144"/>
      <c r="AF734" s="146"/>
    </row>
    <row r="735" spans="1:40">
      <c r="A735" s="132">
        <f t="shared" si="110"/>
        <v>727</v>
      </c>
      <c r="B735" s="133" t="s">
        <v>1768</v>
      </c>
      <c r="C735" s="133" t="s">
        <v>1929</v>
      </c>
      <c r="D735" s="132" t="s">
        <v>1069</v>
      </c>
      <c r="E735" s="147" t="s">
        <v>1673</v>
      </c>
      <c r="F735" s="135">
        <v>45798</v>
      </c>
      <c r="G735" s="45"/>
      <c r="H735" s="136"/>
      <c r="I735" s="136">
        <v>28021</v>
      </c>
      <c r="J735" s="137" t="s">
        <v>1025</v>
      </c>
      <c r="K735" s="150"/>
      <c r="L735" s="148">
        <f t="shared" si="109"/>
        <v>28021</v>
      </c>
      <c r="M735" s="122">
        <f t="shared" si="111"/>
        <v>0</v>
      </c>
      <c r="N735" s="137"/>
      <c r="O735" s="149" t="b">
        <f t="shared" si="112"/>
        <v>1</v>
      </c>
      <c r="P735" s="149">
        <f t="shared" si="113"/>
        <v>0</v>
      </c>
      <c r="Q735" s="149" t="b">
        <f t="shared" si="114"/>
        <v>0</v>
      </c>
      <c r="R735" s="149">
        <f t="shared" si="115"/>
        <v>0</v>
      </c>
      <c r="S735" s="144"/>
      <c r="T735" s="143">
        <v>45798</v>
      </c>
      <c r="U735" s="144" t="s">
        <v>1673</v>
      </c>
      <c r="V735" s="144">
        <v>0</v>
      </c>
      <c r="W735" s="144" t="s">
        <v>1071</v>
      </c>
      <c r="X735" s="144" t="s">
        <v>1801</v>
      </c>
      <c r="Y735" s="144" t="s">
        <v>1802</v>
      </c>
      <c r="Z735" s="145">
        <v>308231</v>
      </c>
      <c r="AA735" s="145">
        <v>280210</v>
      </c>
      <c r="AB735" s="144">
        <v>0</v>
      </c>
      <c r="AC735" s="144" t="s">
        <v>1022</v>
      </c>
      <c r="AD735" s="145">
        <v>28021</v>
      </c>
      <c r="AE735" s="144">
        <v>0</v>
      </c>
      <c r="AF735" s="146">
        <v>0</v>
      </c>
      <c r="AG735" s="70">
        <v>0</v>
      </c>
      <c r="AH735" s="70">
        <v>0</v>
      </c>
      <c r="AI735" s="70">
        <v>0</v>
      </c>
      <c r="AJ735" s="70">
        <v>0</v>
      </c>
      <c r="AK735" s="70">
        <v>0</v>
      </c>
      <c r="AL735" s="70">
        <v>0.01</v>
      </c>
      <c r="AM735" s="70">
        <v>0</v>
      </c>
      <c r="AN735" s="70" t="s">
        <v>1877</v>
      </c>
    </row>
    <row r="736" spans="1:40">
      <c r="A736" s="132">
        <f t="shared" si="110"/>
        <v>728</v>
      </c>
      <c r="B736" s="133" t="s">
        <v>1769</v>
      </c>
      <c r="C736" s="133" t="s">
        <v>1933</v>
      </c>
      <c r="D736" s="132" t="s">
        <v>1720</v>
      </c>
      <c r="E736" s="147" t="s">
        <v>1674</v>
      </c>
      <c r="F736" s="135">
        <v>45800</v>
      </c>
      <c r="G736" s="45"/>
      <c r="H736" s="136"/>
      <c r="I736" s="136">
        <v>156117</v>
      </c>
      <c r="J736" s="137" t="s">
        <v>1025</v>
      </c>
      <c r="K736" s="150"/>
      <c r="L736" s="148">
        <f t="shared" si="109"/>
        <v>156117</v>
      </c>
      <c r="M736" s="122">
        <f t="shared" si="111"/>
        <v>0</v>
      </c>
      <c r="N736" s="137"/>
      <c r="O736" s="149" t="b">
        <f t="shared" si="112"/>
        <v>1</v>
      </c>
      <c r="P736" s="149">
        <f t="shared" si="113"/>
        <v>0</v>
      </c>
      <c r="Q736" s="149" t="b">
        <f t="shared" si="114"/>
        <v>1</v>
      </c>
      <c r="R736" s="149">
        <f t="shared" si="115"/>
        <v>0</v>
      </c>
      <c r="S736" s="144"/>
      <c r="T736" s="143">
        <v>45800</v>
      </c>
      <c r="U736" s="144" t="s">
        <v>1674</v>
      </c>
      <c r="V736" s="144"/>
      <c r="W736" s="144"/>
      <c r="X736" s="144"/>
      <c r="Y736" s="144" t="s">
        <v>1802</v>
      </c>
      <c r="Z736" s="145"/>
      <c r="AA736" s="145"/>
      <c r="AB736" s="144"/>
      <c r="AC736" s="144"/>
      <c r="AD736" s="145">
        <v>156117</v>
      </c>
      <c r="AE736" s="144"/>
      <c r="AF736" s="146"/>
    </row>
    <row r="737" spans="1:40">
      <c r="A737" s="132">
        <f t="shared" si="110"/>
        <v>729</v>
      </c>
      <c r="B737" s="133" t="s">
        <v>1768</v>
      </c>
      <c r="C737" s="133" t="s">
        <v>1929</v>
      </c>
      <c r="D737" s="132" t="s">
        <v>1069</v>
      </c>
      <c r="E737" s="147" t="s">
        <v>1675</v>
      </c>
      <c r="F737" s="135">
        <v>45798</v>
      </c>
      <c r="G737" s="45"/>
      <c r="H737" s="136"/>
      <c r="I737" s="136">
        <v>28021</v>
      </c>
      <c r="J737" s="137" t="s">
        <v>1025</v>
      </c>
      <c r="K737" s="150"/>
      <c r="L737" s="148">
        <f t="shared" si="109"/>
        <v>28021</v>
      </c>
      <c r="M737" s="122">
        <f t="shared" si="111"/>
        <v>0</v>
      </c>
      <c r="N737" s="137"/>
      <c r="O737" s="149" t="b">
        <f t="shared" si="112"/>
        <v>1</v>
      </c>
      <c r="P737" s="149">
        <f t="shared" si="113"/>
        <v>0</v>
      </c>
      <c r="Q737" s="149" t="b">
        <f t="shared" si="114"/>
        <v>0</v>
      </c>
      <c r="R737" s="149">
        <f t="shared" si="115"/>
        <v>0</v>
      </c>
      <c r="S737" s="144"/>
      <c r="T737" s="143">
        <v>45798</v>
      </c>
      <c r="U737" s="144" t="s">
        <v>1675</v>
      </c>
      <c r="V737" s="144">
        <v>0</v>
      </c>
      <c r="W737" s="144" t="s">
        <v>1071</v>
      </c>
      <c r="X737" s="144" t="s">
        <v>1801</v>
      </c>
      <c r="Y737" s="144" t="s">
        <v>1802</v>
      </c>
      <c r="Z737" s="145">
        <v>308231</v>
      </c>
      <c r="AA737" s="145">
        <v>280210</v>
      </c>
      <c r="AB737" s="144">
        <v>0</v>
      </c>
      <c r="AC737" s="144" t="s">
        <v>1022</v>
      </c>
      <c r="AD737" s="145">
        <v>28021</v>
      </c>
      <c r="AE737" s="144">
        <v>0</v>
      </c>
      <c r="AF737" s="146">
        <v>0</v>
      </c>
      <c r="AG737" s="70">
        <v>0</v>
      </c>
      <c r="AH737" s="70">
        <v>0</v>
      </c>
      <c r="AI737" s="70">
        <v>0</v>
      </c>
      <c r="AJ737" s="70">
        <v>0</v>
      </c>
      <c r="AK737" s="70">
        <v>0</v>
      </c>
      <c r="AL737" s="70">
        <v>0.01</v>
      </c>
      <c r="AM737" s="70">
        <v>0</v>
      </c>
      <c r="AN737" s="70" t="s">
        <v>1877</v>
      </c>
    </row>
    <row r="738" spans="1:40">
      <c r="A738" s="132">
        <f t="shared" si="110"/>
        <v>730</v>
      </c>
      <c r="B738" s="133" t="s">
        <v>1768</v>
      </c>
      <c r="C738" s="133" t="s">
        <v>1929</v>
      </c>
      <c r="D738" s="132" t="s">
        <v>1069</v>
      </c>
      <c r="E738" s="147" t="s">
        <v>1676</v>
      </c>
      <c r="F738" s="135">
        <v>45798</v>
      </c>
      <c r="G738" s="45"/>
      <c r="H738" s="136"/>
      <c r="I738" s="136">
        <v>28021</v>
      </c>
      <c r="J738" s="137" t="s">
        <v>1025</v>
      </c>
      <c r="K738" s="150"/>
      <c r="L738" s="148">
        <f t="shared" si="109"/>
        <v>28021</v>
      </c>
      <c r="M738" s="122">
        <f t="shared" si="111"/>
        <v>0</v>
      </c>
      <c r="N738" s="137"/>
      <c r="O738" s="149" t="b">
        <f t="shared" si="112"/>
        <v>1</v>
      </c>
      <c r="P738" s="149">
        <f t="shared" si="113"/>
        <v>0</v>
      </c>
      <c r="Q738" s="149" t="b">
        <f t="shared" si="114"/>
        <v>0</v>
      </c>
      <c r="R738" s="149">
        <f t="shared" si="115"/>
        <v>0</v>
      </c>
      <c r="S738" s="144"/>
      <c r="T738" s="143">
        <v>45798</v>
      </c>
      <c r="U738" s="144" t="s">
        <v>1676</v>
      </c>
      <c r="V738" s="144">
        <v>0</v>
      </c>
      <c r="W738" s="144" t="s">
        <v>1071</v>
      </c>
      <c r="X738" s="144" t="s">
        <v>1801</v>
      </c>
      <c r="Y738" s="144" t="s">
        <v>1802</v>
      </c>
      <c r="Z738" s="145">
        <v>308231</v>
      </c>
      <c r="AA738" s="145">
        <v>280210</v>
      </c>
      <c r="AB738" s="144">
        <v>0</v>
      </c>
      <c r="AC738" s="144" t="s">
        <v>1022</v>
      </c>
      <c r="AD738" s="145">
        <v>28021</v>
      </c>
      <c r="AE738" s="144">
        <v>0</v>
      </c>
      <c r="AF738" s="146">
        <v>0</v>
      </c>
      <c r="AG738" s="70">
        <v>0</v>
      </c>
      <c r="AH738" s="70">
        <v>0</v>
      </c>
      <c r="AI738" s="70">
        <v>0</v>
      </c>
      <c r="AJ738" s="70">
        <v>0</v>
      </c>
      <c r="AK738" s="70">
        <v>0</v>
      </c>
      <c r="AL738" s="70">
        <v>0.01</v>
      </c>
      <c r="AM738" s="70">
        <v>0</v>
      </c>
      <c r="AN738" s="70" t="s">
        <v>1877</v>
      </c>
    </row>
    <row r="739" spans="1:40">
      <c r="A739" s="132">
        <f t="shared" si="110"/>
        <v>731</v>
      </c>
      <c r="B739" s="133" t="s">
        <v>1769</v>
      </c>
      <c r="C739" s="133" t="s">
        <v>1933</v>
      </c>
      <c r="D739" s="132" t="s">
        <v>1720</v>
      </c>
      <c r="E739" s="147" t="s">
        <v>1677</v>
      </c>
      <c r="F739" s="135">
        <v>45800</v>
      </c>
      <c r="G739" s="45"/>
      <c r="H739" s="136"/>
      <c r="I739" s="136">
        <v>156117</v>
      </c>
      <c r="J739" s="137" t="s">
        <v>1025</v>
      </c>
      <c r="K739" s="150"/>
      <c r="L739" s="148">
        <f t="shared" si="109"/>
        <v>156117</v>
      </c>
      <c r="M739" s="122">
        <f t="shared" si="111"/>
        <v>0</v>
      </c>
      <c r="N739" s="137"/>
      <c r="O739" s="149" t="b">
        <f t="shared" si="112"/>
        <v>1</v>
      </c>
      <c r="P739" s="149">
        <f t="shared" si="113"/>
        <v>0</v>
      </c>
      <c r="Q739" s="149" t="b">
        <f t="shared" si="114"/>
        <v>1</v>
      </c>
      <c r="R739" s="149">
        <f t="shared" si="115"/>
        <v>0</v>
      </c>
      <c r="S739" s="144"/>
      <c r="T739" s="143">
        <v>45800</v>
      </c>
      <c r="U739" s="144" t="s">
        <v>1677</v>
      </c>
      <c r="V739" s="144"/>
      <c r="W739" s="144"/>
      <c r="X739" s="144"/>
      <c r="Y739" s="144" t="s">
        <v>1802</v>
      </c>
      <c r="Z739" s="145"/>
      <c r="AA739" s="145"/>
      <c r="AB739" s="144"/>
      <c r="AC739" s="144"/>
      <c r="AD739" s="145">
        <v>156117</v>
      </c>
      <c r="AE739" s="144"/>
      <c r="AF739" s="146"/>
    </row>
    <row r="740" spans="1:40">
      <c r="A740" s="132">
        <f t="shared" si="110"/>
        <v>732</v>
      </c>
      <c r="B740" s="133" t="s">
        <v>1768</v>
      </c>
      <c r="C740" s="133" t="s">
        <v>1929</v>
      </c>
      <c r="D740" s="132" t="s">
        <v>1069</v>
      </c>
      <c r="E740" s="147" t="s">
        <v>1678</v>
      </c>
      <c r="F740" s="135">
        <v>45798</v>
      </c>
      <c r="G740" s="45"/>
      <c r="H740" s="136"/>
      <c r="I740" s="136">
        <v>280210</v>
      </c>
      <c r="J740" s="137" t="s">
        <v>1025</v>
      </c>
      <c r="K740" s="150"/>
      <c r="L740" s="148">
        <f t="shared" si="109"/>
        <v>280210</v>
      </c>
      <c r="M740" s="122">
        <f t="shared" si="111"/>
        <v>0</v>
      </c>
      <c r="N740" s="137"/>
      <c r="O740" s="149" t="b">
        <f t="shared" si="112"/>
        <v>1</v>
      </c>
      <c r="P740" s="149">
        <f t="shared" si="113"/>
        <v>0</v>
      </c>
      <c r="Q740" s="149" t="b">
        <f t="shared" si="114"/>
        <v>0</v>
      </c>
      <c r="R740" s="149">
        <f t="shared" si="115"/>
        <v>0</v>
      </c>
      <c r="S740" s="144"/>
      <c r="T740" s="143">
        <v>45798</v>
      </c>
      <c r="U740" s="144" t="s">
        <v>1678</v>
      </c>
      <c r="V740" s="144">
        <v>0</v>
      </c>
      <c r="W740" s="144" t="s">
        <v>1071</v>
      </c>
      <c r="X740" s="144" t="s">
        <v>1801</v>
      </c>
      <c r="Y740" s="144" t="s">
        <v>1802</v>
      </c>
      <c r="Z740" s="145">
        <v>3082310</v>
      </c>
      <c r="AA740" s="145">
        <v>2802100</v>
      </c>
      <c r="AB740" s="144">
        <v>0</v>
      </c>
      <c r="AC740" s="144" t="s">
        <v>1022</v>
      </c>
      <c r="AD740" s="145">
        <v>280210</v>
      </c>
      <c r="AE740" s="144">
        <v>0</v>
      </c>
      <c r="AF740" s="146">
        <v>0</v>
      </c>
      <c r="AG740" s="70">
        <v>0</v>
      </c>
      <c r="AH740" s="70">
        <v>0</v>
      </c>
      <c r="AI740" s="70">
        <v>0</v>
      </c>
      <c r="AJ740" s="70">
        <v>0</v>
      </c>
      <c r="AK740" s="70">
        <v>0</v>
      </c>
      <c r="AL740" s="70">
        <v>0.01</v>
      </c>
      <c r="AM740" s="70">
        <v>0</v>
      </c>
      <c r="AN740" s="70" t="s">
        <v>1877</v>
      </c>
    </row>
    <row r="741" spans="1:40">
      <c r="A741" s="132">
        <f t="shared" si="110"/>
        <v>733</v>
      </c>
      <c r="B741" s="133" t="s">
        <v>1769</v>
      </c>
      <c r="C741" s="133" t="s">
        <v>1933</v>
      </c>
      <c r="D741" s="132" t="s">
        <v>1720</v>
      </c>
      <c r="E741" s="147" t="s">
        <v>1679</v>
      </c>
      <c r="F741" s="135">
        <v>45800</v>
      </c>
      <c r="G741" s="45"/>
      <c r="H741" s="136"/>
      <c r="I741" s="136">
        <v>1565974</v>
      </c>
      <c r="J741" s="137" t="s">
        <v>1025</v>
      </c>
      <c r="K741" s="150"/>
      <c r="L741" s="148">
        <f t="shared" si="109"/>
        <v>1565974</v>
      </c>
      <c r="M741" s="122">
        <f t="shared" si="111"/>
        <v>0</v>
      </c>
      <c r="N741" s="137"/>
      <c r="O741" s="149" t="b">
        <f t="shared" si="112"/>
        <v>1</v>
      </c>
      <c r="P741" s="149">
        <f t="shared" si="113"/>
        <v>0</v>
      </c>
      <c r="Q741" s="149" t="b">
        <f t="shared" si="114"/>
        <v>1</v>
      </c>
      <c r="R741" s="149">
        <f t="shared" si="115"/>
        <v>0</v>
      </c>
      <c r="S741" s="144"/>
      <c r="T741" s="143">
        <v>45800</v>
      </c>
      <c r="U741" s="144" t="s">
        <v>1679</v>
      </c>
      <c r="V741" s="144"/>
      <c r="W741" s="144"/>
      <c r="X741" s="144"/>
      <c r="Y741" s="144" t="s">
        <v>1802</v>
      </c>
      <c r="Z741" s="145"/>
      <c r="AA741" s="145"/>
      <c r="AB741" s="144"/>
      <c r="AC741" s="144"/>
      <c r="AD741" s="145">
        <v>1565974</v>
      </c>
      <c r="AE741" s="144"/>
      <c r="AF741" s="146"/>
    </row>
    <row r="742" spans="1:40">
      <c r="A742" s="132">
        <f t="shared" si="110"/>
        <v>734</v>
      </c>
      <c r="B742" s="133" t="s">
        <v>1768</v>
      </c>
      <c r="C742" s="133" t="s">
        <v>1929</v>
      </c>
      <c r="D742" s="132" t="s">
        <v>1069</v>
      </c>
      <c r="E742" s="147" t="s">
        <v>1680</v>
      </c>
      <c r="F742" s="135">
        <v>45798</v>
      </c>
      <c r="G742" s="45"/>
      <c r="H742" s="136"/>
      <c r="I742" s="136">
        <v>28021</v>
      </c>
      <c r="J742" s="137" t="s">
        <v>1025</v>
      </c>
      <c r="K742" s="150"/>
      <c r="L742" s="148">
        <f t="shared" si="109"/>
        <v>28021</v>
      </c>
      <c r="M742" s="122">
        <f t="shared" si="111"/>
        <v>0</v>
      </c>
      <c r="N742" s="137"/>
      <c r="O742" s="149" t="b">
        <f t="shared" si="112"/>
        <v>1</v>
      </c>
      <c r="P742" s="149">
        <f t="shared" si="113"/>
        <v>0</v>
      </c>
      <c r="Q742" s="149" t="b">
        <f t="shared" si="114"/>
        <v>0</v>
      </c>
      <c r="R742" s="149">
        <f t="shared" si="115"/>
        <v>0</v>
      </c>
      <c r="S742" s="144"/>
      <c r="T742" s="143">
        <v>45798</v>
      </c>
      <c r="U742" s="144" t="s">
        <v>1680</v>
      </c>
      <c r="V742" s="144">
        <v>0</v>
      </c>
      <c r="W742" s="144" t="s">
        <v>1071</v>
      </c>
      <c r="X742" s="144" t="s">
        <v>1801</v>
      </c>
      <c r="Y742" s="144" t="s">
        <v>1802</v>
      </c>
      <c r="Z742" s="145">
        <v>308231</v>
      </c>
      <c r="AA742" s="145">
        <v>280210</v>
      </c>
      <c r="AB742" s="144">
        <v>0</v>
      </c>
      <c r="AC742" s="144" t="s">
        <v>1022</v>
      </c>
      <c r="AD742" s="145">
        <v>28021</v>
      </c>
      <c r="AE742" s="144">
        <v>0</v>
      </c>
      <c r="AF742" s="146">
        <v>0</v>
      </c>
      <c r="AG742" s="70">
        <v>0</v>
      </c>
      <c r="AH742" s="70">
        <v>0</v>
      </c>
      <c r="AI742" s="70">
        <v>0</v>
      </c>
      <c r="AJ742" s="70">
        <v>0</v>
      </c>
      <c r="AK742" s="70">
        <v>0</v>
      </c>
      <c r="AL742" s="70">
        <v>0.01</v>
      </c>
      <c r="AM742" s="70">
        <v>0</v>
      </c>
      <c r="AN742" s="70" t="s">
        <v>1877</v>
      </c>
    </row>
    <row r="743" spans="1:40">
      <c r="A743" s="132">
        <f t="shared" si="110"/>
        <v>735</v>
      </c>
      <c r="B743" s="133" t="s">
        <v>1769</v>
      </c>
      <c r="C743" s="133" t="s">
        <v>1933</v>
      </c>
      <c r="D743" s="132" t="s">
        <v>1720</v>
      </c>
      <c r="E743" s="147" t="s">
        <v>1681</v>
      </c>
      <c r="F743" s="135">
        <v>45800</v>
      </c>
      <c r="G743" s="45"/>
      <c r="H743" s="136"/>
      <c r="I743" s="136">
        <v>157318</v>
      </c>
      <c r="J743" s="137" t="s">
        <v>1025</v>
      </c>
      <c r="K743" s="150"/>
      <c r="L743" s="148">
        <f t="shared" si="109"/>
        <v>157318</v>
      </c>
      <c r="M743" s="122">
        <f t="shared" si="111"/>
        <v>0</v>
      </c>
      <c r="N743" s="137"/>
      <c r="O743" s="149" t="b">
        <f t="shared" si="112"/>
        <v>1</v>
      </c>
      <c r="P743" s="149">
        <f t="shared" si="113"/>
        <v>0</v>
      </c>
      <c r="Q743" s="149" t="b">
        <f t="shared" si="114"/>
        <v>1</v>
      </c>
      <c r="R743" s="149">
        <f t="shared" si="115"/>
        <v>0</v>
      </c>
      <c r="S743" s="144"/>
      <c r="T743" s="143">
        <v>45800</v>
      </c>
      <c r="U743" s="144" t="s">
        <v>1681</v>
      </c>
      <c r="V743" s="144"/>
      <c r="W743" s="144"/>
      <c r="X743" s="144"/>
      <c r="Y743" s="144" t="s">
        <v>1802</v>
      </c>
      <c r="Z743" s="145"/>
      <c r="AA743" s="145"/>
      <c r="AB743" s="144"/>
      <c r="AC743" s="144"/>
      <c r="AD743" s="145">
        <v>157318</v>
      </c>
      <c r="AE743" s="144"/>
      <c r="AF743" s="146"/>
    </row>
    <row r="744" spans="1:40">
      <c r="A744" s="132">
        <f t="shared" si="110"/>
        <v>736</v>
      </c>
      <c r="B744" s="133" t="s">
        <v>1768</v>
      </c>
      <c r="C744" s="133" t="s">
        <v>1929</v>
      </c>
      <c r="D744" s="132" t="s">
        <v>1069</v>
      </c>
      <c r="E744" s="147" t="s">
        <v>1682</v>
      </c>
      <c r="F744" s="135">
        <v>45798</v>
      </c>
      <c r="G744" s="45"/>
      <c r="H744" s="136"/>
      <c r="I744" s="136">
        <v>56042</v>
      </c>
      <c r="J744" s="137" t="s">
        <v>1025</v>
      </c>
      <c r="K744" s="150"/>
      <c r="L744" s="148">
        <f t="shared" si="109"/>
        <v>56042</v>
      </c>
      <c r="M744" s="122">
        <f t="shared" si="111"/>
        <v>0</v>
      </c>
      <c r="N744" s="137"/>
      <c r="O744" s="149" t="b">
        <f t="shared" si="112"/>
        <v>1</v>
      </c>
      <c r="P744" s="149">
        <f t="shared" si="113"/>
        <v>0</v>
      </c>
      <c r="Q744" s="149" t="b">
        <f t="shared" si="114"/>
        <v>0</v>
      </c>
      <c r="R744" s="149">
        <f t="shared" si="115"/>
        <v>0</v>
      </c>
      <c r="S744" s="144"/>
      <c r="T744" s="143">
        <v>45798</v>
      </c>
      <c r="U744" s="144" t="s">
        <v>1682</v>
      </c>
      <c r="V744" s="144">
        <v>0</v>
      </c>
      <c r="W744" s="144" t="s">
        <v>1071</v>
      </c>
      <c r="X744" s="144" t="s">
        <v>1801</v>
      </c>
      <c r="Y744" s="144" t="s">
        <v>1802</v>
      </c>
      <c r="Z744" s="145">
        <v>616462</v>
      </c>
      <c r="AA744" s="145">
        <v>560420</v>
      </c>
      <c r="AB744" s="144">
        <v>0</v>
      </c>
      <c r="AC744" s="144" t="s">
        <v>1022</v>
      </c>
      <c r="AD744" s="145">
        <v>56042</v>
      </c>
      <c r="AE744" s="144">
        <v>0</v>
      </c>
      <c r="AF744" s="146">
        <v>0</v>
      </c>
      <c r="AG744" s="70">
        <v>0</v>
      </c>
      <c r="AH744" s="70">
        <v>0</v>
      </c>
      <c r="AI744" s="70">
        <v>0</v>
      </c>
      <c r="AJ744" s="70">
        <v>0</v>
      </c>
      <c r="AK744" s="70">
        <v>0</v>
      </c>
      <c r="AL744" s="70">
        <v>0.01</v>
      </c>
      <c r="AM744" s="70">
        <v>0</v>
      </c>
      <c r="AN744" s="70" t="s">
        <v>1877</v>
      </c>
    </row>
    <row r="745" spans="1:40">
      <c r="A745" s="132">
        <f t="shared" si="110"/>
        <v>737</v>
      </c>
      <c r="B745" s="133" t="s">
        <v>1769</v>
      </c>
      <c r="C745" s="133" t="s">
        <v>1933</v>
      </c>
      <c r="D745" s="132" t="s">
        <v>1720</v>
      </c>
      <c r="E745" s="147" t="s">
        <v>1683</v>
      </c>
      <c r="F745" s="135">
        <v>45800</v>
      </c>
      <c r="G745" s="45"/>
      <c r="H745" s="136"/>
      <c r="I745" s="136">
        <v>1415861</v>
      </c>
      <c r="J745" s="137" t="s">
        <v>1025</v>
      </c>
      <c r="K745" s="150"/>
      <c r="L745" s="148">
        <f t="shared" si="109"/>
        <v>1415861</v>
      </c>
      <c r="M745" s="122">
        <f t="shared" si="111"/>
        <v>0</v>
      </c>
      <c r="N745" s="137"/>
      <c r="O745" s="149" t="b">
        <f t="shared" si="112"/>
        <v>1</v>
      </c>
      <c r="P745" s="149">
        <f t="shared" si="113"/>
        <v>0</v>
      </c>
      <c r="Q745" s="149" t="b">
        <f t="shared" si="114"/>
        <v>1</v>
      </c>
      <c r="R745" s="149">
        <f t="shared" si="115"/>
        <v>0</v>
      </c>
      <c r="S745" s="144"/>
      <c r="T745" s="143">
        <v>45800</v>
      </c>
      <c r="U745" s="144" t="s">
        <v>1683</v>
      </c>
      <c r="V745" s="144"/>
      <c r="W745" s="144"/>
      <c r="X745" s="144"/>
      <c r="Y745" s="144" t="s">
        <v>1802</v>
      </c>
      <c r="Z745" s="145"/>
      <c r="AA745" s="145"/>
      <c r="AB745" s="144"/>
      <c r="AC745" s="144"/>
      <c r="AD745" s="145">
        <v>1415861</v>
      </c>
      <c r="AE745" s="144"/>
      <c r="AF745" s="146"/>
    </row>
    <row r="746" spans="1:40">
      <c r="A746" s="132">
        <f t="shared" si="110"/>
        <v>738</v>
      </c>
      <c r="B746" s="133" t="s">
        <v>1768</v>
      </c>
      <c r="C746" s="133" t="s">
        <v>1929</v>
      </c>
      <c r="D746" s="132" t="s">
        <v>1069</v>
      </c>
      <c r="E746" s="147" t="s">
        <v>1684</v>
      </c>
      <c r="F746" s="135">
        <v>45798</v>
      </c>
      <c r="G746" s="45"/>
      <c r="H746" s="136"/>
      <c r="I746" s="136">
        <v>56042</v>
      </c>
      <c r="J746" s="137" t="s">
        <v>1025</v>
      </c>
      <c r="K746" s="150"/>
      <c r="L746" s="148">
        <f t="shared" si="109"/>
        <v>56042</v>
      </c>
      <c r="M746" s="122">
        <f t="shared" si="111"/>
        <v>0</v>
      </c>
      <c r="N746" s="137"/>
      <c r="O746" s="149" t="b">
        <f t="shared" si="112"/>
        <v>1</v>
      </c>
      <c r="P746" s="149">
        <f t="shared" si="113"/>
        <v>0</v>
      </c>
      <c r="Q746" s="149" t="b">
        <f t="shared" si="114"/>
        <v>0</v>
      </c>
      <c r="R746" s="149">
        <f t="shared" si="115"/>
        <v>0</v>
      </c>
      <c r="S746" s="144"/>
      <c r="T746" s="143">
        <v>45798</v>
      </c>
      <c r="U746" s="144" t="s">
        <v>1684</v>
      </c>
      <c r="V746" s="144">
        <v>0</v>
      </c>
      <c r="W746" s="144" t="s">
        <v>1071</v>
      </c>
      <c r="X746" s="144" t="s">
        <v>1801</v>
      </c>
      <c r="Y746" s="144" t="s">
        <v>1802</v>
      </c>
      <c r="Z746" s="145">
        <v>616462</v>
      </c>
      <c r="AA746" s="145">
        <v>560420</v>
      </c>
      <c r="AB746" s="144">
        <v>0</v>
      </c>
      <c r="AC746" s="144" t="s">
        <v>1022</v>
      </c>
      <c r="AD746" s="145">
        <v>56042</v>
      </c>
      <c r="AE746" s="144">
        <v>0</v>
      </c>
      <c r="AF746" s="146">
        <v>0</v>
      </c>
      <c r="AG746" s="70">
        <v>0</v>
      </c>
      <c r="AH746" s="70">
        <v>0</v>
      </c>
      <c r="AI746" s="70">
        <v>0</v>
      </c>
      <c r="AJ746" s="70">
        <v>0</v>
      </c>
      <c r="AK746" s="70">
        <v>0</v>
      </c>
      <c r="AL746" s="70">
        <v>0.01</v>
      </c>
      <c r="AM746" s="70">
        <v>0</v>
      </c>
      <c r="AN746" s="70" t="s">
        <v>1877</v>
      </c>
    </row>
    <row r="747" spans="1:40">
      <c r="A747" s="132">
        <f t="shared" si="110"/>
        <v>739</v>
      </c>
      <c r="B747" s="133" t="s">
        <v>1769</v>
      </c>
      <c r="C747" s="133" t="s">
        <v>1933</v>
      </c>
      <c r="D747" s="132" t="s">
        <v>1720</v>
      </c>
      <c r="E747" s="147" t="s">
        <v>1685</v>
      </c>
      <c r="F747" s="135">
        <v>45800</v>
      </c>
      <c r="G747" s="45"/>
      <c r="H747" s="136"/>
      <c r="I747" s="136">
        <v>332249</v>
      </c>
      <c r="J747" s="137" t="s">
        <v>1025</v>
      </c>
      <c r="K747" s="150"/>
      <c r="L747" s="148">
        <f t="shared" si="109"/>
        <v>332249</v>
      </c>
      <c r="M747" s="122">
        <f t="shared" si="111"/>
        <v>0</v>
      </c>
      <c r="N747" s="137"/>
      <c r="O747" s="149" t="b">
        <f t="shared" si="112"/>
        <v>1</v>
      </c>
      <c r="P747" s="149">
        <f t="shared" si="113"/>
        <v>0</v>
      </c>
      <c r="Q747" s="149" t="b">
        <f t="shared" si="114"/>
        <v>1</v>
      </c>
      <c r="R747" s="149">
        <f t="shared" si="115"/>
        <v>0</v>
      </c>
      <c r="S747" s="144"/>
      <c r="T747" s="143">
        <v>45800</v>
      </c>
      <c r="U747" s="144" t="s">
        <v>1685</v>
      </c>
      <c r="V747" s="144"/>
      <c r="W747" s="144"/>
      <c r="X747" s="144"/>
      <c r="Y747" s="144" t="s">
        <v>1802</v>
      </c>
      <c r="Z747" s="145"/>
      <c r="AA747" s="145"/>
      <c r="AB747" s="144"/>
      <c r="AC747" s="144"/>
      <c r="AD747" s="145">
        <v>332249</v>
      </c>
      <c r="AE747" s="144"/>
      <c r="AF747" s="146"/>
    </row>
    <row r="748" spans="1:40">
      <c r="A748" s="132">
        <f t="shared" si="110"/>
        <v>740</v>
      </c>
      <c r="B748" s="133" t="s">
        <v>1798</v>
      </c>
      <c r="C748" s="133" t="s">
        <v>1929</v>
      </c>
      <c r="D748" s="132" t="s">
        <v>1069</v>
      </c>
      <c r="E748" s="147" t="s">
        <v>1686</v>
      </c>
      <c r="F748" s="135">
        <v>45807</v>
      </c>
      <c r="G748" s="45"/>
      <c r="H748" s="136"/>
      <c r="I748" s="136">
        <v>6008</v>
      </c>
      <c r="J748" s="137" t="s">
        <v>1025</v>
      </c>
      <c r="K748" s="150"/>
      <c r="L748" s="148">
        <f t="shared" si="109"/>
        <v>6008</v>
      </c>
      <c r="M748" s="122">
        <f t="shared" si="111"/>
        <v>0</v>
      </c>
      <c r="N748" s="137"/>
      <c r="O748" s="149" t="b">
        <f t="shared" si="112"/>
        <v>1</v>
      </c>
      <c r="P748" s="149">
        <f t="shared" si="113"/>
        <v>0</v>
      </c>
      <c r="Q748" s="149" t="b">
        <f t="shared" si="114"/>
        <v>0</v>
      </c>
      <c r="R748" s="149">
        <f t="shared" si="115"/>
        <v>0</v>
      </c>
      <c r="S748" s="144"/>
      <c r="T748" s="143">
        <v>45807</v>
      </c>
      <c r="U748" s="144" t="s">
        <v>1686</v>
      </c>
      <c r="V748" s="144">
        <v>0</v>
      </c>
      <c r="W748" s="144" t="s">
        <v>1071</v>
      </c>
      <c r="X748" s="144" t="s">
        <v>1801</v>
      </c>
      <c r="Y748" s="144" t="s">
        <v>1802</v>
      </c>
      <c r="Z748" s="145">
        <v>66088</v>
      </c>
      <c r="AA748" s="145">
        <v>60080</v>
      </c>
      <c r="AB748" s="144">
        <v>0</v>
      </c>
      <c r="AC748" s="144" t="s">
        <v>1022</v>
      </c>
      <c r="AD748" s="145">
        <v>6008</v>
      </c>
      <c r="AE748" s="144">
        <v>0</v>
      </c>
      <c r="AF748" s="146">
        <v>0</v>
      </c>
      <c r="AG748" s="70">
        <v>0</v>
      </c>
      <c r="AH748" s="70">
        <v>0</v>
      </c>
      <c r="AI748" s="70">
        <v>0</v>
      </c>
      <c r="AJ748" s="70">
        <v>0</v>
      </c>
      <c r="AK748" s="70">
        <v>0</v>
      </c>
      <c r="AL748" s="70">
        <v>0.01</v>
      </c>
      <c r="AM748" s="70">
        <v>0</v>
      </c>
      <c r="AN748" s="70" t="s">
        <v>1877</v>
      </c>
    </row>
    <row r="749" spans="1:40">
      <c r="A749" s="132">
        <f t="shared" si="110"/>
        <v>741</v>
      </c>
      <c r="B749" s="133" t="s">
        <v>1768</v>
      </c>
      <c r="C749" s="133" t="s">
        <v>1929</v>
      </c>
      <c r="D749" s="132" t="s">
        <v>1069</v>
      </c>
      <c r="E749" s="147" t="s">
        <v>1687</v>
      </c>
      <c r="F749" s="135">
        <v>45798</v>
      </c>
      <c r="G749" s="45"/>
      <c r="H749" s="136"/>
      <c r="I749" s="136">
        <v>74456</v>
      </c>
      <c r="J749" s="137" t="s">
        <v>1025</v>
      </c>
      <c r="K749" s="150"/>
      <c r="L749" s="148">
        <f t="shared" si="109"/>
        <v>74456</v>
      </c>
      <c r="M749" s="122">
        <f t="shared" si="111"/>
        <v>0</v>
      </c>
      <c r="N749" s="137"/>
      <c r="O749" s="149" t="b">
        <f t="shared" si="112"/>
        <v>1</v>
      </c>
      <c r="P749" s="149">
        <f t="shared" si="113"/>
        <v>0</v>
      </c>
      <c r="Q749" s="149" t="b">
        <f t="shared" si="114"/>
        <v>0</v>
      </c>
      <c r="R749" s="149">
        <f t="shared" si="115"/>
        <v>0</v>
      </c>
      <c r="S749" s="144"/>
      <c r="T749" s="143">
        <v>45798</v>
      </c>
      <c r="U749" s="144" t="s">
        <v>1687</v>
      </c>
      <c r="V749" s="144">
        <v>0</v>
      </c>
      <c r="W749" s="144" t="s">
        <v>1071</v>
      </c>
      <c r="X749" s="144" t="s">
        <v>1801</v>
      </c>
      <c r="Y749" s="144" t="s">
        <v>1802</v>
      </c>
      <c r="Z749" s="145">
        <v>819016</v>
      </c>
      <c r="AA749" s="145">
        <v>744560</v>
      </c>
      <c r="AB749" s="144">
        <v>0</v>
      </c>
      <c r="AC749" s="144" t="s">
        <v>1022</v>
      </c>
      <c r="AD749" s="145">
        <v>74456</v>
      </c>
      <c r="AE749" s="144">
        <v>0</v>
      </c>
      <c r="AF749" s="146">
        <v>0</v>
      </c>
      <c r="AG749" s="70">
        <v>0</v>
      </c>
      <c r="AH749" s="70">
        <v>0</v>
      </c>
      <c r="AI749" s="70">
        <v>0</v>
      </c>
      <c r="AJ749" s="70">
        <v>0</v>
      </c>
      <c r="AK749" s="70">
        <v>0</v>
      </c>
      <c r="AL749" s="70">
        <v>0.01</v>
      </c>
      <c r="AM749" s="70">
        <v>0</v>
      </c>
      <c r="AN749" s="70" t="s">
        <v>1877</v>
      </c>
    </row>
    <row r="750" spans="1:40">
      <c r="A750" s="132">
        <f t="shared" si="110"/>
        <v>742</v>
      </c>
      <c r="B750" s="133" t="s">
        <v>1769</v>
      </c>
      <c r="C750" s="133" t="s">
        <v>1933</v>
      </c>
      <c r="D750" s="132" t="s">
        <v>1720</v>
      </c>
      <c r="E750" s="147" t="s">
        <v>1688</v>
      </c>
      <c r="F750" s="135">
        <v>45800</v>
      </c>
      <c r="G750" s="45"/>
      <c r="H750" s="136"/>
      <c r="I750" s="136">
        <v>463547</v>
      </c>
      <c r="J750" s="137" t="s">
        <v>1025</v>
      </c>
      <c r="K750" s="150"/>
      <c r="L750" s="148">
        <f t="shared" si="109"/>
        <v>463547</v>
      </c>
      <c r="M750" s="122">
        <f t="shared" si="111"/>
        <v>0</v>
      </c>
      <c r="N750" s="137"/>
      <c r="O750" s="149" t="b">
        <f t="shared" si="112"/>
        <v>1</v>
      </c>
      <c r="P750" s="149">
        <f t="shared" si="113"/>
        <v>0</v>
      </c>
      <c r="Q750" s="149" t="b">
        <f t="shared" si="114"/>
        <v>1</v>
      </c>
      <c r="R750" s="149">
        <f t="shared" si="115"/>
        <v>0</v>
      </c>
      <c r="S750" s="144"/>
      <c r="T750" s="143">
        <v>45800</v>
      </c>
      <c r="U750" s="144" t="s">
        <v>1688</v>
      </c>
      <c r="V750" s="144"/>
      <c r="W750" s="144"/>
      <c r="X750" s="144"/>
      <c r="Y750" s="144" t="s">
        <v>1802</v>
      </c>
      <c r="Z750" s="145"/>
      <c r="AA750" s="145"/>
      <c r="AB750" s="144"/>
      <c r="AC750" s="144"/>
      <c r="AD750" s="145">
        <v>463547</v>
      </c>
      <c r="AE750" s="144"/>
      <c r="AF750" s="146"/>
    </row>
    <row r="751" spans="1:40">
      <c r="A751" s="132">
        <f t="shared" si="110"/>
        <v>743</v>
      </c>
      <c r="B751" s="133" t="s">
        <v>1769</v>
      </c>
      <c r="C751" s="133" t="s">
        <v>1933</v>
      </c>
      <c r="D751" s="132" t="s">
        <v>1720</v>
      </c>
      <c r="E751" s="147" t="s">
        <v>1689</v>
      </c>
      <c r="F751" s="135">
        <v>45800</v>
      </c>
      <c r="G751" s="45"/>
      <c r="H751" s="136"/>
      <c r="I751" s="136">
        <v>312234</v>
      </c>
      <c r="J751" s="137" t="s">
        <v>1025</v>
      </c>
      <c r="K751" s="150"/>
      <c r="L751" s="148">
        <f t="shared" si="109"/>
        <v>312234</v>
      </c>
      <c r="M751" s="122">
        <f t="shared" si="111"/>
        <v>0</v>
      </c>
      <c r="N751" s="137"/>
      <c r="O751" s="149" t="b">
        <f t="shared" si="112"/>
        <v>1</v>
      </c>
      <c r="P751" s="149">
        <f t="shared" si="113"/>
        <v>0</v>
      </c>
      <c r="Q751" s="149" t="b">
        <f t="shared" si="114"/>
        <v>1</v>
      </c>
      <c r="R751" s="149">
        <f t="shared" si="115"/>
        <v>0</v>
      </c>
      <c r="S751" s="144"/>
      <c r="T751" s="143">
        <v>45800</v>
      </c>
      <c r="U751" s="144" t="s">
        <v>1689</v>
      </c>
      <c r="V751" s="144"/>
      <c r="W751" s="144"/>
      <c r="X751" s="144"/>
      <c r="Y751" s="144" t="s">
        <v>1802</v>
      </c>
      <c r="Z751" s="145"/>
      <c r="AA751" s="145"/>
      <c r="AB751" s="144"/>
      <c r="AC751" s="144"/>
      <c r="AD751" s="145">
        <v>312234</v>
      </c>
      <c r="AE751" s="144"/>
      <c r="AF751" s="146"/>
    </row>
    <row r="752" spans="1:40">
      <c r="A752" s="132">
        <f t="shared" si="110"/>
        <v>744</v>
      </c>
      <c r="B752" s="133" t="s">
        <v>1768</v>
      </c>
      <c r="C752" s="133" t="s">
        <v>1929</v>
      </c>
      <c r="D752" s="132" t="s">
        <v>1069</v>
      </c>
      <c r="E752" s="147" t="s">
        <v>1690</v>
      </c>
      <c r="F752" s="135">
        <v>45798</v>
      </c>
      <c r="G752" s="45"/>
      <c r="H752" s="136"/>
      <c r="I752" s="136">
        <v>112084</v>
      </c>
      <c r="J752" s="137" t="s">
        <v>1025</v>
      </c>
      <c r="K752" s="150"/>
      <c r="L752" s="148">
        <f>I752</f>
        <v>112084</v>
      </c>
      <c r="M752" s="122">
        <f t="shared" si="111"/>
        <v>0</v>
      </c>
      <c r="N752" s="137"/>
      <c r="O752" s="149" t="b">
        <f t="shared" si="112"/>
        <v>1</v>
      </c>
      <c r="P752" s="149">
        <f t="shared" si="113"/>
        <v>0</v>
      </c>
      <c r="Q752" s="149" t="b">
        <f t="shared" si="114"/>
        <v>0</v>
      </c>
      <c r="R752" s="149">
        <f t="shared" si="115"/>
        <v>0</v>
      </c>
      <c r="S752" s="144"/>
      <c r="T752" s="143">
        <v>45798</v>
      </c>
      <c r="U752" s="144" t="s">
        <v>1690</v>
      </c>
      <c r="V752" s="144">
        <v>0</v>
      </c>
      <c r="W752" s="144" t="s">
        <v>1071</v>
      </c>
      <c r="X752" s="144" t="s">
        <v>1801</v>
      </c>
      <c r="Y752" s="144" t="s">
        <v>1802</v>
      </c>
      <c r="Z752" s="145">
        <v>1232924</v>
      </c>
      <c r="AA752" s="145">
        <v>1120840</v>
      </c>
      <c r="AB752" s="144">
        <v>0</v>
      </c>
      <c r="AC752" s="144" t="s">
        <v>1022</v>
      </c>
      <c r="AD752" s="145">
        <v>112084</v>
      </c>
      <c r="AE752" s="144">
        <v>0</v>
      </c>
      <c r="AF752" s="146">
        <v>0</v>
      </c>
      <c r="AG752" s="70">
        <v>0</v>
      </c>
      <c r="AH752" s="70">
        <v>0</v>
      </c>
      <c r="AI752" s="70">
        <v>0</v>
      </c>
      <c r="AJ752" s="70">
        <v>0</v>
      </c>
      <c r="AK752" s="70">
        <v>0</v>
      </c>
      <c r="AL752" s="70">
        <v>0.01</v>
      </c>
      <c r="AM752" s="70">
        <v>0</v>
      </c>
      <c r="AN752" s="70" t="s">
        <v>1877</v>
      </c>
    </row>
    <row r="753" spans="1:41">
      <c r="A753" s="132">
        <f t="shared" si="110"/>
        <v>745</v>
      </c>
      <c r="B753" s="133" t="s">
        <v>1769</v>
      </c>
      <c r="C753" s="133" t="s">
        <v>1933</v>
      </c>
      <c r="D753" s="132" t="s">
        <v>1720</v>
      </c>
      <c r="E753" s="147" t="s">
        <v>1691</v>
      </c>
      <c r="F753" s="135">
        <v>45800</v>
      </c>
      <c r="G753" s="45"/>
      <c r="H753" s="136"/>
      <c r="I753" s="136">
        <v>624468</v>
      </c>
      <c r="J753" s="137" t="s">
        <v>1025</v>
      </c>
      <c r="K753" s="150"/>
      <c r="L753" s="148">
        <f>I753</f>
        <v>624468</v>
      </c>
      <c r="M753" s="122">
        <f t="shared" si="111"/>
        <v>0</v>
      </c>
      <c r="N753" s="137"/>
      <c r="O753" s="149" t="b">
        <f t="shared" si="112"/>
        <v>1</v>
      </c>
      <c r="P753" s="149">
        <f t="shared" si="113"/>
        <v>0</v>
      </c>
      <c r="Q753" s="149" t="b">
        <f t="shared" si="114"/>
        <v>1</v>
      </c>
      <c r="R753" s="149">
        <f t="shared" si="115"/>
        <v>0</v>
      </c>
      <c r="S753" s="144"/>
      <c r="T753" s="143">
        <v>45800</v>
      </c>
      <c r="U753" s="144" t="s">
        <v>1691</v>
      </c>
      <c r="V753" s="144"/>
      <c r="W753" s="144"/>
      <c r="X753" s="144"/>
      <c r="Y753" s="144" t="s">
        <v>1802</v>
      </c>
      <c r="Z753" s="145"/>
      <c r="AA753" s="145"/>
      <c r="AB753" s="144"/>
      <c r="AC753" s="144"/>
      <c r="AD753" s="145">
        <v>624468</v>
      </c>
      <c r="AE753" s="144"/>
      <c r="AF753" s="146"/>
    </row>
    <row r="754" spans="1:41">
      <c r="A754" s="132">
        <f t="shared" si="110"/>
        <v>746</v>
      </c>
      <c r="B754" s="133" t="s">
        <v>1768</v>
      </c>
      <c r="C754" s="133" t="s">
        <v>1929</v>
      </c>
      <c r="D754" s="132" t="s">
        <v>1069</v>
      </c>
      <c r="E754" s="147" t="s">
        <v>1692</v>
      </c>
      <c r="F754" s="135">
        <v>45798</v>
      </c>
      <c r="G754" s="45"/>
      <c r="H754" s="136"/>
      <c r="I754" s="136">
        <v>28021</v>
      </c>
      <c r="J754" s="137" t="s">
        <v>1025</v>
      </c>
      <c r="K754" s="150"/>
      <c r="L754" s="148">
        <f>I754</f>
        <v>28021</v>
      </c>
      <c r="M754" s="122">
        <f t="shared" si="111"/>
        <v>0</v>
      </c>
      <c r="N754" s="137"/>
      <c r="O754" s="149" t="b">
        <f t="shared" si="112"/>
        <v>1</v>
      </c>
      <c r="P754" s="149">
        <f t="shared" si="113"/>
        <v>0</v>
      </c>
      <c r="Q754" s="149" t="b">
        <f t="shared" si="114"/>
        <v>0</v>
      </c>
      <c r="R754" s="149">
        <f t="shared" si="115"/>
        <v>0</v>
      </c>
      <c r="S754" s="144"/>
      <c r="T754" s="143">
        <v>45798</v>
      </c>
      <c r="U754" s="144" t="s">
        <v>1692</v>
      </c>
      <c r="V754" s="144">
        <v>0</v>
      </c>
      <c r="W754" s="144" t="s">
        <v>1071</v>
      </c>
      <c r="X754" s="144" t="s">
        <v>1801</v>
      </c>
      <c r="Y754" s="144" t="s">
        <v>1802</v>
      </c>
      <c r="Z754" s="145">
        <v>308231</v>
      </c>
      <c r="AA754" s="145">
        <v>280210</v>
      </c>
      <c r="AB754" s="144">
        <v>0</v>
      </c>
      <c r="AC754" s="144" t="s">
        <v>1022</v>
      </c>
      <c r="AD754" s="145">
        <v>28021</v>
      </c>
      <c r="AE754" s="144">
        <v>0</v>
      </c>
      <c r="AF754" s="146">
        <v>0</v>
      </c>
      <c r="AG754" s="70">
        <v>0</v>
      </c>
      <c r="AH754" s="70">
        <v>0</v>
      </c>
      <c r="AI754" s="70">
        <v>0</v>
      </c>
      <c r="AJ754" s="70">
        <v>0</v>
      </c>
      <c r="AK754" s="70">
        <v>0</v>
      </c>
      <c r="AL754" s="70">
        <v>0.01</v>
      </c>
      <c r="AM754" s="70">
        <v>0</v>
      </c>
      <c r="AN754" s="70" t="s">
        <v>1877</v>
      </c>
    </row>
    <row r="755" spans="1:41">
      <c r="A755" s="132">
        <f t="shared" si="110"/>
        <v>747</v>
      </c>
      <c r="B755" s="133" t="s">
        <v>1769</v>
      </c>
      <c r="C755" s="133" t="s">
        <v>1933</v>
      </c>
      <c r="D755" s="132" t="s">
        <v>1720</v>
      </c>
      <c r="E755" s="147" t="s">
        <v>1693</v>
      </c>
      <c r="F755" s="135">
        <v>45800</v>
      </c>
      <c r="G755" s="45"/>
      <c r="H755" s="136"/>
      <c r="I755" s="136">
        <v>157318</v>
      </c>
      <c r="J755" s="137" t="s">
        <v>1025</v>
      </c>
      <c r="K755" s="150"/>
      <c r="L755" s="148">
        <f>I755</f>
        <v>157318</v>
      </c>
      <c r="M755" s="122">
        <f t="shared" si="111"/>
        <v>0</v>
      </c>
      <c r="N755" s="137"/>
      <c r="O755" s="149" t="b">
        <f t="shared" si="112"/>
        <v>1</v>
      </c>
      <c r="P755" s="149">
        <f t="shared" si="113"/>
        <v>0</v>
      </c>
      <c r="Q755" s="149" t="b">
        <f t="shared" si="114"/>
        <v>1</v>
      </c>
      <c r="R755" s="149">
        <f t="shared" si="115"/>
        <v>0</v>
      </c>
      <c r="S755" s="144"/>
      <c r="T755" s="143">
        <v>45800</v>
      </c>
      <c r="U755" s="144" t="s">
        <v>1693</v>
      </c>
      <c r="V755" s="144"/>
      <c r="W755" s="144"/>
      <c r="X755" s="144"/>
      <c r="Y755" s="144" t="s">
        <v>1802</v>
      </c>
      <c r="Z755" s="145"/>
      <c r="AA755" s="145"/>
      <c r="AB755" s="144"/>
      <c r="AC755" s="144"/>
      <c r="AD755" s="145">
        <v>157318</v>
      </c>
      <c r="AE755" s="144"/>
      <c r="AF755" s="146"/>
    </row>
    <row r="756" spans="1:41">
      <c r="A756" s="132">
        <f t="shared" si="110"/>
        <v>748</v>
      </c>
      <c r="B756" s="133" t="s">
        <v>1768</v>
      </c>
      <c r="C756" s="133" t="s">
        <v>1929</v>
      </c>
      <c r="D756" s="132" t="s">
        <v>1069</v>
      </c>
      <c r="E756" s="147" t="s">
        <v>1694</v>
      </c>
      <c r="F756" s="135">
        <v>45798</v>
      </c>
      <c r="G756" s="45"/>
      <c r="H756" s="136"/>
      <c r="I756" s="136">
        <v>28021</v>
      </c>
      <c r="J756" s="137" t="s">
        <v>1025</v>
      </c>
      <c r="K756" s="150"/>
      <c r="L756" s="148">
        <f t="shared" ref="L756" si="116">I756</f>
        <v>28021</v>
      </c>
      <c r="M756" s="122">
        <f t="shared" si="111"/>
        <v>0</v>
      </c>
      <c r="N756" s="137"/>
      <c r="O756" s="149" t="b">
        <f t="shared" si="112"/>
        <v>1</v>
      </c>
      <c r="P756" s="149">
        <f>MONTH(F756)-MONTH(T756)+YEAR(F756)-YEAR(T756)</f>
        <v>1</v>
      </c>
      <c r="Q756" s="149" t="b">
        <f t="shared" si="114"/>
        <v>0</v>
      </c>
      <c r="R756" s="149">
        <f t="shared" si="115"/>
        <v>0</v>
      </c>
      <c r="S756" s="144"/>
      <c r="T756" s="143">
        <v>45433</v>
      </c>
      <c r="U756" s="144" t="s">
        <v>1694</v>
      </c>
      <c r="V756" s="144">
        <v>0</v>
      </c>
      <c r="W756" s="144" t="s">
        <v>1071</v>
      </c>
      <c r="X756" s="144" t="s">
        <v>1801</v>
      </c>
      <c r="Y756" s="144" t="s">
        <v>1802</v>
      </c>
      <c r="Z756" s="145">
        <v>308231</v>
      </c>
      <c r="AA756" s="145">
        <v>280210</v>
      </c>
      <c r="AB756" s="144">
        <v>0</v>
      </c>
      <c r="AC756" s="144" t="s">
        <v>1022</v>
      </c>
      <c r="AD756" s="145">
        <v>28021</v>
      </c>
      <c r="AE756" s="144">
        <v>0</v>
      </c>
      <c r="AF756" s="146">
        <v>0</v>
      </c>
      <c r="AG756" s="70">
        <v>0</v>
      </c>
      <c r="AH756" s="70">
        <v>0</v>
      </c>
      <c r="AI756" s="70">
        <v>0</v>
      </c>
      <c r="AJ756" s="70">
        <v>0</v>
      </c>
      <c r="AK756" s="70">
        <v>0</v>
      </c>
      <c r="AL756" s="70">
        <v>0.01</v>
      </c>
      <c r="AM756" s="70">
        <v>0</v>
      </c>
      <c r="AN756" s="70" t="s">
        <v>1877</v>
      </c>
    </row>
    <row r="757" spans="1:41">
      <c r="A757" s="132">
        <f t="shared" si="110"/>
        <v>749</v>
      </c>
      <c r="B757" s="133" t="s">
        <v>1796</v>
      </c>
      <c r="C757" s="133" t="s">
        <v>1935</v>
      </c>
      <c r="D757" s="132" t="s">
        <v>1068</v>
      </c>
      <c r="E757" s="147" t="s">
        <v>1695</v>
      </c>
      <c r="F757" s="135">
        <v>45755</v>
      </c>
      <c r="G757" s="45"/>
      <c r="H757" s="136"/>
      <c r="I757" s="136">
        <v>144072</v>
      </c>
      <c r="J757" s="137" t="s">
        <v>1025</v>
      </c>
      <c r="K757" s="150"/>
      <c r="L757" s="148">
        <f>I757</f>
        <v>144072</v>
      </c>
      <c r="M757" s="122">
        <f t="shared" si="111"/>
        <v>0</v>
      </c>
      <c r="N757" s="137"/>
      <c r="O757" s="149" t="b">
        <f t="shared" si="112"/>
        <v>1</v>
      </c>
      <c r="P757" s="149">
        <f t="shared" si="113"/>
        <v>0</v>
      </c>
      <c r="Q757" s="149" t="b">
        <f t="shared" si="114"/>
        <v>0</v>
      </c>
      <c r="R757" s="149">
        <f t="shared" si="115"/>
        <v>0</v>
      </c>
      <c r="S757" s="144"/>
      <c r="T757" s="143">
        <v>45755</v>
      </c>
      <c r="U757" s="144" t="s">
        <v>1695</v>
      </c>
      <c r="V757" s="144">
        <v>0</v>
      </c>
      <c r="W757" s="144" t="s">
        <v>1071</v>
      </c>
      <c r="X757" s="144" t="s">
        <v>1801</v>
      </c>
      <c r="Y757" s="144" t="s">
        <v>1802</v>
      </c>
      <c r="Z757" s="145">
        <v>1584792</v>
      </c>
      <c r="AA757" s="145">
        <v>1440720</v>
      </c>
      <c r="AB757" s="144">
        <v>0</v>
      </c>
      <c r="AC757" s="144" t="s">
        <v>1022</v>
      </c>
      <c r="AD757" s="145">
        <v>144072</v>
      </c>
      <c r="AE757" s="144">
        <v>0</v>
      </c>
      <c r="AF757" s="146">
        <v>0</v>
      </c>
      <c r="AG757" s="70">
        <v>0</v>
      </c>
      <c r="AH757" s="70">
        <v>0</v>
      </c>
      <c r="AI757" s="70">
        <v>0</v>
      </c>
      <c r="AJ757" s="70">
        <v>0</v>
      </c>
      <c r="AK757" s="70">
        <v>0</v>
      </c>
      <c r="AL757" s="70">
        <v>0.01</v>
      </c>
      <c r="AM757" s="70">
        <v>0</v>
      </c>
      <c r="AN757" s="70" t="s">
        <v>1898</v>
      </c>
      <c r="AO757" s="70" t="s">
        <v>1804</v>
      </c>
    </row>
    <row r="758" spans="1:41" ht="25.2" customHeight="1">
      <c r="A758" s="132"/>
      <c r="B758" s="133"/>
      <c r="C758" s="133"/>
      <c r="D758" s="132"/>
      <c r="E758" s="159"/>
      <c r="F758" s="160"/>
      <c r="G758" s="45"/>
      <c r="H758" s="136"/>
      <c r="I758" s="161"/>
      <c r="J758" s="146"/>
      <c r="K758" s="162"/>
      <c r="L758" s="148"/>
    </row>
    <row r="759" spans="1:41" ht="25.2" customHeight="1">
      <c r="A759" s="163" t="s">
        <v>983</v>
      </c>
      <c r="B759" s="163"/>
      <c r="C759" s="163"/>
      <c r="D759" s="163"/>
      <c r="E759" s="163"/>
      <c r="F759" s="163"/>
      <c r="G759" s="163"/>
      <c r="H759" s="163"/>
      <c r="I759" s="164">
        <f>SUM(I9:I757)</f>
        <v>898147786.08999991</v>
      </c>
      <c r="J759" s="137"/>
      <c r="K759" s="148"/>
      <c r="L759" s="164">
        <f>SUM(L9:L757)</f>
        <v>762659371.08999991</v>
      </c>
      <c r="M759" s="164">
        <f>SUM(M9:M757)</f>
        <v>13246508</v>
      </c>
      <c r="N759" s="165"/>
    </row>
    <row r="761" spans="1:41" s="172" customFormat="1">
      <c r="A761" s="166" t="s">
        <v>2045</v>
      </c>
      <c r="B761" s="70"/>
      <c r="C761" s="70"/>
      <c r="D761" s="70"/>
      <c r="E761" s="70"/>
      <c r="F761" s="70"/>
      <c r="G761" s="70"/>
      <c r="H761" s="70"/>
      <c r="I761" s="70"/>
      <c r="J761" s="167"/>
      <c r="K761" s="167"/>
      <c r="L761" s="168"/>
      <c r="M761" s="169"/>
      <c r="N761" s="169"/>
      <c r="O761" s="170"/>
      <c r="P761" s="170"/>
      <c r="Q761" s="170"/>
      <c r="R761" s="170"/>
      <c r="S761" s="171"/>
      <c r="T761" s="169"/>
      <c r="U761" s="169"/>
      <c r="V761" s="169"/>
      <c r="W761" s="169"/>
      <c r="X761" s="169"/>
      <c r="Y761" s="169"/>
      <c r="Z761" s="169"/>
      <c r="AA761" s="169"/>
      <c r="AB761" s="169"/>
      <c r="AC761" s="169"/>
      <c r="AD761" s="169"/>
      <c r="AE761" s="169"/>
      <c r="AF761" s="170"/>
      <c r="AG761" s="170"/>
      <c r="AI761" s="170"/>
      <c r="AJ761" s="170"/>
    </row>
    <row r="762" spans="1:41" s="172" customFormat="1" ht="24.6">
      <c r="A762" s="163" t="s">
        <v>1007</v>
      </c>
      <c r="B762" s="163" t="s">
        <v>760</v>
      </c>
      <c r="C762" s="54" t="s">
        <v>984</v>
      </c>
      <c r="D762" s="173" t="s">
        <v>1034</v>
      </c>
      <c r="E762" s="173" t="s">
        <v>15</v>
      </c>
      <c r="K762" s="174"/>
      <c r="L762" s="168"/>
      <c r="M762" s="169"/>
      <c r="N762" s="169"/>
      <c r="O762" s="170"/>
      <c r="P762" s="170"/>
      <c r="Q762" s="170"/>
      <c r="R762" s="170"/>
      <c r="S762" s="171"/>
      <c r="T762" s="169"/>
      <c r="U762" s="169"/>
      <c r="V762" s="169"/>
      <c r="W762" s="169"/>
      <c r="X762" s="169"/>
      <c r="Y762" s="169"/>
      <c r="Z762" s="169"/>
      <c r="AA762" s="169"/>
      <c r="AB762" s="169"/>
      <c r="AC762" s="169"/>
      <c r="AD762" s="169"/>
      <c r="AE762" s="169"/>
      <c r="AF762" s="170"/>
      <c r="AG762" s="175"/>
      <c r="AI762" s="170"/>
      <c r="AJ762" s="170"/>
    </row>
    <row r="763" spans="1:41" s="172" customFormat="1">
      <c r="A763" s="381"/>
      <c r="B763" s="137" t="s">
        <v>1028</v>
      </c>
      <c r="C763" s="176" t="e">
        <f>'Annex II-IM Non-State Charge'!#REF!</f>
        <v>#REF!</v>
      </c>
      <c r="D763" s="177"/>
      <c r="E763" s="177"/>
      <c r="K763" s="121"/>
      <c r="L763" s="168"/>
      <c r="M763" s="169"/>
      <c r="N763" s="169"/>
      <c r="O763" s="170"/>
      <c r="P763" s="170"/>
      <c r="Q763" s="170"/>
      <c r="R763" s="170"/>
      <c r="S763" s="171"/>
      <c r="T763" s="169"/>
      <c r="U763" s="169"/>
      <c r="V763" s="169"/>
      <c r="W763" s="169"/>
      <c r="X763" s="169"/>
      <c r="Y763" s="169"/>
      <c r="Z763" s="169"/>
      <c r="AA763" s="169"/>
      <c r="AB763" s="169"/>
      <c r="AC763" s="169"/>
      <c r="AD763" s="169"/>
      <c r="AE763" s="169"/>
      <c r="AF763" s="170"/>
      <c r="AG763" s="175"/>
      <c r="AI763" s="170"/>
      <c r="AJ763" s="170"/>
    </row>
    <row r="764" spans="1:41" s="172" customFormat="1">
      <c r="A764" s="382"/>
      <c r="B764" s="137" t="s">
        <v>985</v>
      </c>
      <c r="C764" s="176">
        <f>I759</f>
        <v>898147786.08999991</v>
      </c>
      <c r="D764" s="177"/>
      <c r="E764" s="177"/>
      <c r="F764" s="178"/>
      <c r="G764" s="70"/>
      <c r="H764" s="55"/>
      <c r="I764" s="121"/>
      <c r="J764" s="167"/>
      <c r="K764" s="167"/>
      <c r="L764" s="168"/>
      <c r="M764" s="169"/>
      <c r="N764" s="169"/>
      <c r="O764" s="170"/>
      <c r="P764" s="170"/>
      <c r="Q764" s="170"/>
      <c r="R764" s="170"/>
      <c r="S764" s="171"/>
      <c r="T764" s="169"/>
      <c r="U764" s="169"/>
      <c r="V764" s="169"/>
      <c r="W764" s="169"/>
      <c r="X764" s="169"/>
      <c r="Y764" s="169"/>
      <c r="Z764" s="169"/>
      <c r="AA764" s="169"/>
      <c r="AB764" s="169"/>
      <c r="AC764" s="169"/>
      <c r="AD764" s="169"/>
      <c r="AE764" s="169"/>
      <c r="AF764" s="170"/>
      <c r="AG764" s="175"/>
      <c r="AI764" s="170"/>
      <c r="AJ764" s="170"/>
    </row>
    <row r="765" spans="1:41" s="172" customFormat="1">
      <c r="A765" s="382"/>
      <c r="B765" s="137" t="s">
        <v>986</v>
      </c>
      <c r="C765" s="176" t="e">
        <f>C763+C764</f>
        <v>#REF!</v>
      </c>
      <c r="D765" s="173"/>
      <c r="E765" s="177"/>
      <c r="F765" s="178"/>
      <c r="G765" s="70"/>
      <c r="H765" s="55"/>
      <c r="I765" s="179"/>
      <c r="J765" s="167"/>
      <c r="K765" s="167"/>
      <c r="L765" s="168"/>
      <c r="M765" s="169"/>
      <c r="N765" s="169"/>
      <c r="O765" s="170"/>
      <c r="P765" s="170"/>
      <c r="Q765" s="170"/>
      <c r="R765" s="170"/>
      <c r="S765" s="171"/>
      <c r="T765" s="169"/>
      <c r="U765" s="169"/>
      <c r="V765" s="169"/>
      <c r="W765" s="169"/>
      <c r="X765" s="169"/>
      <c r="Y765" s="169"/>
      <c r="Z765" s="169"/>
      <c r="AA765" s="169"/>
      <c r="AB765" s="169"/>
      <c r="AC765" s="169"/>
      <c r="AD765" s="169"/>
      <c r="AE765" s="169"/>
      <c r="AF765" s="170"/>
      <c r="AG765" s="170"/>
      <c r="AI765" s="170"/>
      <c r="AJ765" s="170"/>
    </row>
    <row r="766" spans="1:41" s="172" customFormat="1">
      <c r="A766" s="382"/>
      <c r="B766" s="137" t="s">
        <v>1008</v>
      </c>
      <c r="C766" s="176" t="e">
        <f>'Annex V-Local Sale'!#REF!</f>
        <v>#REF!</v>
      </c>
      <c r="D766" s="173"/>
      <c r="E766" s="177"/>
      <c r="F766" s="178"/>
      <c r="G766" s="70"/>
      <c r="H766" s="55"/>
      <c r="I766" s="179"/>
      <c r="J766" s="167"/>
      <c r="K766" s="167"/>
      <c r="L766" s="168"/>
      <c r="M766" s="169"/>
      <c r="N766" s="169"/>
      <c r="O766" s="180"/>
      <c r="P766" s="180"/>
      <c r="Q766" s="180"/>
      <c r="R766" s="180"/>
      <c r="S766" s="171"/>
      <c r="T766" s="169"/>
      <c r="U766" s="169"/>
      <c r="V766" s="169"/>
      <c r="W766" s="169"/>
      <c r="X766" s="169"/>
      <c r="Y766" s="169"/>
      <c r="Z766" s="169"/>
      <c r="AA766" s="169"/>
      <c r="AB766" s="169"/>
      <c r="AC766" s="169"/>
      <c r="AD766" s="169"/>
      <c r="AE766" s="169"/>
      <c r="AF766" s="170"/>
      <c r="AG766" s="170"/>
      <c r="AI766" s="170"/>
      <c r="AJ766" s="170"/>
    </row>
    <row r="767" spans="1:41" s="172" customFormat="1">
      <c r="A767" s="382"/>
      <c r="B767" s="137" t="s">
        <v>1009</v>
      </c>
      <c r="C767" s="176" t="e">
        <f>C766</f>
        <v>#REF!</v>
      </c>
      <c r="D767" s="173"/>
      <c r="E767" s="177"/>
      <c r="F767" s="178"/>
      <c r="G767" s="70"/>
      <c r="H767" s="55"/>
      <c r="I767" s="179"/>
      <c r="J767" s="167"/>
      <c r="K767" s="167"/>
      <c r="L767" s="168"/>
      <c r="M767" s="169"/>
      <c r="N767" s="169"/>
      <c r="O767" s="180"/>
      <c r="P767" s="180"/>
      <c r="Q767" s="180"/>
      <c r="R767" s="180"/>
      <c r="S767" s="171"/>
      <c r="T767" s="169"/>
      <c r="U767" s="169"/>
      <c r="V767" s="169"/>
      <c r="W767" s="169"/>
      <c r="X767" s="169"/>
      <c r="Y767" s="169"/>
      <c r="Z767" s="169"/>
      <c r="AA767" s="169"/>
      <c r="AB767" s="169"/>
      <c r="AC767" s="169"/>
      <c r="AD767" s="169"/>
      <c r="AE767" s="169"/>
      <c r="AF767" s="170"/>
      <c r="AG767" s="170"/>
      <c r="AI767" s="170"/>
      <c r="AJ767" s="170"/>
    </row>
    <row r="768" spans="1:41" s="172" customFormat="1">
      <c r="A768" s="382"/>
      <c r="B768" s="163" t="s">
        <v>1010</v>
      </c>
      <c r="C768" s="164" t="e">
        <f>C765-C767</f>
        <v>#REF!</v>
      </c>
      <c r="D768" s="173"/>
      <c r="E768" s="181"/>
      <c r="F768" s="178"/>
      <c r="G768" s="70"/>
      <c r="H768" s="55"/>
      <c r="I768" s="179"/>
      <c r="J768" s="167"/>
      <c r="K768" s="167"/>
      <c r="L768" s="168"/>
      <c r="M768" s="169"/>
      <c r="N768" s="169" t="s">
        <v>1802</v>
      </c>
      <c r="O768" s="180"/>
      <c r="P768" s="180"/>
      <c r="Q768" s="180"/>
      <c r="R768" s="180"/>
      <c r="S768" s="171"/>
      <c r="T768" s="169"/>
      <c r="U768" s="169"/>
      <c r="V768" s="169"/>
      <c r="W768" s="169"/>
      <c r="X768" s="169"/>
      <c r="Y768" s="169"/>
      <c r="Z768" s="169"/>
      <c r="AA768" s="169"/>
      <c r="AB768" s="169"/>
      <c r="AC768" s="169"/>
      <c r="AD768" s="169"/>
      <c r="AE768" s="169"/>
      <c r="AF768" s="170"/>
      <c r="AG768" s="170"/>
      <c r="AI768" s="170"/>
      <c r="AJ768" s="170"/>
    </row>
    <row r="769" spans="1:36" s="172" customFormat="1">
      <c r="A769" s="383"/>
      <c r="B769" s="163" t="s">
        <v>998</v>
      </c>
      <c r="C769" s="164">
        <f>'Company information'!H9</f>
        <v>0</v>
      </c>
      <c r="D769" s="173" t="s">
        <v>988</v>
      </c>
      <c r="E769" s="137"/>
      <c r="F769" s="179"/>
      <c r="G769" s="70"/>
      <c r="H769" s="55"/>
      <c r="I769" s="179"/>
      <c r="J769" s="167"/>
      <c r="K769" s="167"/>
      <c r="L769" s="168"/>
      <c r="M769" s="169"/>
      <c r="N769" s="182"/>
      <c r="O769" s="170"/>
      <c r="P769" s="170"/>
      <c r="Q769" s="170"/>
      <c r="R769" s="170"/>
      <c r="S769" s="171"/>
      <c r="T769" s="169"/>
      <c r="U769" s="169"/>
      <c r="V769" s="169"/>
      <c r="W769" s="169"/>
      <c r="X769" s="169"/>
      <c r="Y769" s="169"/>
      <c r="Z769" s="169"/>
      <c r="AA769" s="169"/>
      <c r="AB769" s="169"/>
      <c r="AC769" s="169"/>
      <c r="AD769" s="169"/>
      <c r="AE769" s="169"/>
      <c r="AF769" s="170"/>
      <c r="AG769" s="170"/>
      <c r="AH769" s="175"/>
      <c r="AI769" s="170"/>
      <c r="AJ769" s="170"/>
    </row>
    <row r="770" spans="1:36" s="172" customFormat="1" ht="40.200000000000003" customHeight="1">
      <c r="A770" s="132">
        <f>COUNTIF($J$9:$J$757,"អនុញ្ញាត (បានប្រកាស)")</f>
        <v>740</v>
      </c>
      <c r="B770" s="137" t="s">
        <v>989</v>
      </c>
      <c r="C770" s="176">
        <f>SUMIF($J$9:$J$757,"អនុញ្ញាត (បានប្រកាស)",$L$9:$L$757)</f>
        <v>762659371.08999991</v>
      </c>
      <c r="D770" s="173" t="s">
        <v>990</v>
      </c>
      <c r="E770" s="137" t="s">
        <v>991</v>
      </c>
      <c r="K770" s="167"/>
      <c r="L770" s="168"/>
      <c r="M770" s="169"/>
      <c r="N770" s="182"/>
      <c r="O770" s="170"/>
      <c r="P770" s="170"/>
      <c r="Q770" s="170"/>
      <c r="R770" s="170"/>
      <c r="S770" s="171"/>
      <c r="T770" s="169"/>
      <c r="U770" s="169"/>
      <c r="V770" s="169"/>
      <c r="W770" s="169"/>
      <c r="X770" s="169"/>
      <c r="Y770" s="169"/>
      <c r="Z770" s="169"/>
      <c r="AA770" s="169"/>
      <c r="AB770" s="169"/>
      <c r="AC770" s="169"/>
      <c r="AD770" s="169"/>
      <c r="AE770" s="169"/>
      <c r="AF770" s="170"/>
      <c r="AG770" s="175"/>
      <c r="AH770" s="183"/>
      <c r="AI770" s="170"/>
      <c r="AJ770" s="170"/>
    </row>
    <row r="771" spans="1:36" s="172" customFormat="1" ht="40.200000000000003" customHeight="1">
      <c r="A771" s="132"/>
      <c r="B771" s="137" t="s">
        <v>1941</v>
      </c>
      <c r="C771" s="176"/>
      <c r="D771" s="173"/>
      <c r="E771" s="137" t="s">
        <v>1940</v>
      </c>
      <c r="K771" s="167"/>
      <c r="L771" s="168"/>
      <c r="M771" s="169"/>
      <c r="N771" s="182"/>
      <c r="O771" s="170"/>
      <c r="P771" s="170"/>
      <c r="Q771" s="170"/>
      <c r="R771" s="170"/>
      <c r="S771" s="171"/>
      <c r="T771" s="169"/>
      <c r="U771" s="169"/>
      <c r="V771" s="169"/>
      <c r="W771" s="169"/>
      <c r="X771" s="169"/>
      <c r="Y771" s="169"/>
      <c r="Z771" s="169"/>
      <c r="AA771" s="169"/>
      <c r="AB771" s="169"/>
      <c r="AC771" s="169"/>
      <c r="AD771" s="169"/>
      <c r="AE771" s="169"/>
      <c r="AF771" s="170"/>
      <c r="AG771" s="175"/>
      <c r="AH771" s="183"/>
      <c r="AI771" s="170"/>
      <c r="AJ771" s="170"/>
    </row>
    <row r="772" spans="1:36" s="172" customFormat="1" ht="40.200000000000003" customHeight="1">
      <c r="A772" s="132"/>
      <c r="B772" s="137" t="s">
        <v>1939</v>
      </c>
      <c r="C772" s="176"/>
      <c r="D772" s="173"/>
      <c r="E772" s="137" t="s">
        <v>1940</v>
      </c>
      <c r="K772" s="167"/>
      <c r="L772" s="168"/>
      <c r="M772" s="169"/>
      <c r="N772" s="182"/>
      <c r="O772" s="170"/>
      <c r="P772" s="170"/>
      <c r="Q772" s="170"/>
      <c r="R772" s="170"/>
      <c r="S772" s="171"/>
      <c r="T772" s="169"/>
      <c r="U772" s="169"/>
      <c r="V772" s="169"/>
      <c r="W772" s="169"/>
      <c r="X772" s="169"/>
      <c r="Y772" s="169"/>
      <c r="Z772" s="169"/>
      <c r="AA772" s="169"/>
      <c r="AB772" s="169"/>
      <c r="AC772" s="169"/>
      <c r="AD772" s="169"/>
      <c r="AE772" s="169"/>
      <c r="AF772" s="170"/>
      <c r="AG772" s="175"/>
      <c r="AH772" s="183"/>
      <c r="AI772" s="170"/>
      <c r="AJ772" s="170"/>
    </row>
    <row r="773" spans="1:36" s="172" customFormat="1">
      <c r="A773" s="132" t="e">
        <f>COUNTIF('Annex II-IM Non-State Charge'!#REF!,"អាចប្រើប្រាស់ជាឥណទានបាន")</f>
        <v>#REF!</v>
      </c>
      <c r="B773" s="137" t="s">
        <v>1026</v>
      </c>
      <c r="C773" s="176" t="e">
        <f>SUMIF('Annex II-IM Non-State Charge'!#REF!,"អាចប្រើប្រាស់ជាឥណទានបាន",'Annex II-IM Non-State Charge'!#REF!)</f>
        <v>#REF!</v>
      </c>
      <c r="D773" s="173" t="s">
        <v>993</v>
      </c>
      <c r="E773" s="137" t="s">
        <v>991</v>
      </c>
      <c r="F773" s="184"/>
      <c r="G773" s="121"/>
      <c r="H773" s="121"/>
      <c r="I773" s="121"/>
      <c r="J773" s="167"/>
      <c r="K773" s="167"/>
      <c r="L773" s="168"/>
      <c r="M773" s="169"/>
      <c r="N773" s="169"/>
      <c r="O773" s="170"/>
      <c r="P773" s="170"/>
      <c r="Q773" s="170"/>
      <c r="R773" s="170"/>
      <c r="S773" s="171"/>
      <c r="T773" s="169"/>
      <c r="U773" s="169"/>
      <c r="V773" s="169"/>
      <c r="W773" s="169"/>
      <c r="X773" s="169"/>
      <c r="Y773" s="169"/>
      <c r="Z773" s="169"/>
      <c r="AA773" s="169"/>
      <c r="AB773" s="169"/>
      <c r="AC773" s="169"/>
      <c r="AD773" s="169"/>
      <c r="AE773" s="169"/>
      <c r="AF773" s="170"/>
      <c r="AG773" s="175"/>
      <c r="AH773" s="183"/>
      <c r="AI773" s="170"/>
      <c r="AJ773" s="170"/>
    </row>
    <row r="774" spans="1:36" s="172" customFormat="1">
      <c r="A774" s="132" t="e">
        <f>'Annex II-IM Non-State Charge'!#REF!</f>
        <v>#REF!</v>
      </c>
      <c r="B774" s="137" t="s">
        <v>1027</v>
      </c>
      <c r="C774" s="176" t="e">
        <f>C763</f>
        <v>#REF!</v>
      </c>
      <c r="D774" s="173" t="s">
        <v>993</v>
      </c>
      <c r="E774" s="137" t="s">
        <v>987</v>
      </c>
      <c r="F774" s="184"/>
      <c r="G774" s="121"/>
      <c r="H774" s="121"/>
      <c r="I774" s="121"/>
      <c r="J774" s="167"/>
      <c r="K774" s="167"/>
      <c r="L774" s="168"/>
      <c r="M774" s="169"/>
      <c r="N774" s="169"/>
      <c r="O774" s="170"/>
      <c r="P774" s="170"/>
      <c r="Q774" s="170"/>
      <c r="R774" s="170"/>
      <c r="S774" s="171"/>
      <c r="T774" s="169"/>
      <c r="U774" s="169"/>
      <c r="V774" s="169"/>
      <c r="W774" s="169"/>
      <c r="X774" s="169"/>
      <c r="Y774" s="169"/>
      <c r="Z774" s="169"/>
      <c r="AA774" s="169"/>
      <c r="AB774" s="169"/>
      <c r="AC774" s="169"/>
      <c r="AD774" s="169"/>
      <c r="AE774" s="169"/>
      <c r="AF774" s="170"/>
      <c r="AG774" s="175"/>
      <c r="AH774" s="183"/>
      <c r="AI774" s="170"/>
      <c r="AJ774" s="170"/>
    </row>
    <row r="775" spans="1:36" s="172" customFormat="1">
      <c r="A775" s="132">
        <f>COUNTIF($J$9:$J$757,"ព្យួរទុក (មិនបានប្រកាស)")</f>
        <v>0</v>
      </c>
      <c r="B775" s="137" t="s">
        <v>992</v>
      </c>
      <c r="C775" s="176">
        <f>SUMIF($J$9:$J$757,"ព្យួរទុក (មិនបានប្រកាស)",$M$9:$M$757)+SUMIF($J$9:$J$757,"អនុញ្ញាត (បានប្រកាស)",$M$9:$M$757)</f>
        <v>380</v>
      </c>
      <c r="D775" s="173" t="s">
        <v>993</v>
      </c>
      <c r="E775" s="137" t="s">
        <v>987</v>
      </c>
      <c r="L775" s="168"/>
      <c r="M775" s="169"/>
      <c r="N775" s="169"/>
      <c r="O775" s="170"/>
      <c r="P775" s="170"/>
      <c r="Q775" s="170"/>
      <c r="R775" s="170"/>
      <c r="S775" s="171"/>
      <c r="T775" s="169"/>
      <c r="U775" s="169"/>
      <c r="V775" s="169"/>
      <c r="W775" s="169"/>
      <c r="X775" s="169"/>
      <c r="Y775" s="169"/>
      <c r="Z775" s="169"/>
      <c r="AA775" s="169"/>
      <c r="AB775" s="169"/>
      <c r="AC775" s="169"/>
      <c r="AD775" s="169"/>
      <c r="AE775" s="169"/>
      <c r="AF775" s="170"/>
      <c r="AG775" s="170"/>
      <c r="AH775" s="183"/>
      <c r="AI775" s="170"/>
      <c r="AJ775" s="170"/>
    </row>
    <row r="776" spans="1:36" s="172" customFormat="1">
      <c r="A776" s="132">
        <f>COUNTIF($J$9:$J$757,"ព្យួរទុក (មិនមានទិន្នន័យ)")</f>
        <v>9</v>
      </c>
      <c r="B776" s="137" t="s">
        <v>994</v>
      </c>
      <c r="C776" s="176">
        <f>SUMIF($J$9:$J$757,"ព្យួរទុក (មិនមានទិន្នន័យ)",$M$9:$M$757)</f>
        <v>13246128</v>
      </c>
      <c r="D776" s="173" t="s">
        <v>995</v>
      </c>
      <c r="E776" s="137" t="s">
        <v>987</v>
      </c>
      <c r="L776" s="168"/>
      <c r="M776" s="169"/>
      <c r="N776" s="169"/>
      <c r="O776" s="185"/>
      <c r="P776" s="185"/>
      <c r="Q776" s="185"/>
      <c r="R776" s="185"/>
      <c r="S776" s="171"/>
      <c r="T776" s="169"/>
      <c r="U776" s="169"/>
      <c r="V776" s="169"/>
      <c r="W776" s="169"/>
      <c r="X776" s="169"/>
      <c r="Y776" s="169"/>
      <c r="Z776" s="169"/>
      <c r="AA776" s="169"/>
      <c r="AB776" s="169"/>
      <c r="AC776" s="169"/>
      <c r="AD776" s="169"/>
      <c r="AE776" s="169"/>
      <c r="AF776" s="170"/>
      <c r="AG776" s="170"/>
      <c r="AH776" s="183"/>
      <c r="AI776" s="170"/>
      <c r="AJ776" s="170"/>
    </row>
    <row r="777" spans="1:36" s="172" customFormat="1">
      <c r="A777" s="132">
        <f>COUNTIF($J$9:$J$757,"ព្យួរទុក (ប្រកាសខុស)")</f>
        <v>0</v>
      </c>
      <c r="B777" s="137" t="s">
        <v>1016</v>
      </c>
      <c r="C777" s="176">
        <f>SUMIF($J$9:$J$757,"ព្យួរទុក (ប្រកាសខុស)",$M$9:$M$757)</f>
        <v>0</v>
      </c>
      <c r="D777" s="173" t="s">
        <v>1029</v>
      </c>
      <c r="E777" s="137" t="s">
        <v>987</v>
      </c>
      <c r="L777" s="168"/>
      <c r="M777" s="169"/>
      <c r="N777" s="169"/>
      <c r="O777" s="170"/>
      <c r="P777" s="170"/>
      <c r="Q777" s="170"/>
      <c r="R777" s="170"/>
      <c r="S777" s="171"/>
      <c r="T777" s="169"/>
      <c r="U777" s="169"/>
      <c r="V777" s="169"/>
      <c r="W777" s="169"/>
      <c r="X777" s="169"/>
      <c r="Y777" s="169"/>
      <c r="Z777" s="169"/>
      <c r="AA777" s="169"/>
      <c r="AB777" s="169"/>
      <c r="AC777" s="169"/>
      <c r="AD777" s="169"/>
      <c r="AE777" s="169"/>
      <c r="AF777" s="170"/>
      <c r="AG777" s="170"/>
      <c r="AH777" s="183"/>
      <c r="AI777" s="170"/>
      <c r="AJ777" s="170"/>
    </row>
    <row r="778" spans="1:36" s="172" customFormat="1" ht="23.25" customHeight="1">
      <c r="A778" s="132">
        <f>COUNTIF($J$9:$J$757,"ព្យួរទុក (មិនអនុញ្ញាតជាឥណទាន)")</f>
        <v>0</v>
      </c>
      <c r="B778" s="137" t="s">
        <v>1011</v>
      </c>
      <c r="C778" s="176">
        <f>SUMIF($J$9:$J$757,"ព្យួរទុក (មិនអនុញ្ញាតជាឥណទាន)",$M$9:$M$757)</f>
        <v>0</v>
      </c>
      <c r="D778" s="173" t="s">
        <v>1019</v>
      </c>
      <c r="E778" s="137" t="s">
        <v>987</v>
      </c>
      <c r="L778" s="168"/>
      <c r="M778" s="169"/>
      <c r="N778" s="169"/>
      <c r="O778" s="170"/>
      <c r="P778" s="170"/>
      <c r="Q778" s="170"/>
      <c r="R778" s="170"/>
      <c r="S778" s="171"/>
      <c r="T778" s="169"/>
      <c r="U778" s="169"/>
      <c r="V778" s="169"/>
      <c r="W778" s="169"/>
      <c r="X778" s="169"/>
      <c r="Y778" s="169"/>
      <c r="Z778" s="169"/>
      <c r="AA778" s="169"/>
      <c r="AB778" s="169"/>
      <c r="AC778" s="169"/>
      <c r="AD778" s="169"/>
      <c r="AE778" s="169"/>
      <c r="AF778" s="170"/>
      <c r="AG778" s="170"/>
      <c r="AH778" s="183"/>
      <c r="AI778" s="170"/>
      <c r="AJ778" s="170"/>
    </row>
    <row r="779" spans="1:36" s="172" customFormat="1" ht="23.25" customHeight="1">
      <c r="A779" s="132"/>
      <c r="B779" s="137" t="s">
        <v>1938</v>
      </c>
      <c r="C779" s="176"/>
      <c r="D779" s="173"/>
      <c r="E779" s="137"/>
      <c r="L779" s="168"/>
      <c r="M779" s="169"/>
      <c r="N779" s="169"/>
      <c r="O779" s="170"/>
      <c r="P779" s="170"/>
      <c r="Q779" s="170"/>
      <c r="R779" s="170"/>
      <c r="S779" s="171"/>
      <c r="T779" s="169"/>
      <c r="U779" s="169"/>
      <c r="V779" s="169"/>
      <c r="W779" s="169"/>
      <c r="X779" s="169"/>
      <c r="Y779" s="169"/>
      <c r="Z779" s="169"/>
      <c r="AA779" s="169"/>
      <c r="AB779" s="169"/>
      <c r="AC779" s="169"/>
      <c r="AD779" s="169"/>
      <c r="AE779" s="169"/>
      <c r="AF779" s="170"/>
      <c r="AG779" s="170"/>
      <c r="AH779" s="183"/>
      <c r="AI779" s="170"/>
      <c r="AJ779" s="170"/>
    </row>
    <row r="780" spans="1:36" s="172" customFormat="1">
      <c r="A780" s="132"/>
      <c r="B780" s="137" t="s">
        <v>999</v>
      </c>
      <c r="C780" s="176" t="e">
        <f>C769-C768</f>
        <v>#REF!</v>
      </c>
      <c r="D780" s="173" t="s">
        <v>1020</v>
      </c>
      <c r="E780" s="137" t="s">
        <v>987</v>
      </c>
      <c r="L780" s="168"/>
      <c r="M780" s="169"/>
      <c r="N780" s="169"/>
      <c r="O780" s="170"/>
      <c r="P780" s="170"/>
      <c r="Q780" s="170"/>
      <c r="R780" s="170"/>
      <c r="S780" s="171"/>
      <c r="T780" s="169"/>
      <c r="U780" s="169"/>
      <c r="V780" s="169"/>
      <c r="W780" s="169"/>
      <c r="X780" s="169"/>
      <c r="Y780" s="169"/>
      <c r="Z780" s="169"/>
      <c r="AA780" s="169"/>
      <c r="AB780" s="169"/>
      <c r="AC780" s="169"/>
      <c r="AD780" s="169"/>
      <c r="AE780" s="169"/>
      <c r="AF780" s="170"/>
      <c r="AG780" s="170"/>
      <c r="AH780" s="183"/>
      <c r="AI780" s="170"/>
      <c r="AJ780" s="170"/>
    </row>
    <row r="781" spans="1:36" s="172" customFormat="1">
      <c r="A781" s="137"/>
      <c r="B781" s="137" t="s">
        <v>1021</v>
      </c>
      <c r="C781" s="164">
        <f>C769-C775-C776</f>
        <v>-13246508</v>
      </c>
      <c r="D781" s="186" t="s">
        <v>1900</v>
      </c>
      <c r="E781" s="187"/>
      <c r="L781" s="168"/>
      <c r="M781" s="169"/>
      <c r="N781" s="169"/>
      <c r="O781" s="185"/>
      <c r="P781" s="185"/>
      <c r="Q781" s="185"/>
      <c r="R781" s="185"/>
      <c r="S781" s="171"/>
      <c r="T781" s="169"/>
      <c r="U781" s="169"/>
      <c r="V781" s="169"/>
      <c r="W781" s="169"/>
      <c r="X781" s="169"/>
      <c r="Y781" s="169"/>
      <c r="Z781" s="169"/>
      <c r="AA781" s="169"/>
      <c r="AB781" s="169"/>
      <c r="AC781" s="169"/>
      <c r="AD781" s="169"/>
      <c r="AE781" s="169"/>
      <c r="AF781" s="170"/>
      <c r="AG781" s="170"/>
      <c r="AH781" s="183"/>
      <c r="AI781" s="170"/>
      <c r="AJ781" s="170"/>
    </row>
    <row r="782" spans="1:36" ht="23.25" customHeight="1">
      <c r="A782" s="384" t="s">
        <v>1031</v>
      </c>
      <c r="B782" s="384"/>
      <c r="C782" s="384"/>
      <c r="D782" s="384"/>
      <c r="E782" s="384"/>
    </row>
    <row r="783" spans="1:36">
      <c r="A783" s="384"/>
      <c r="B783" s="384"/>
      <c r="C783" s="384"/>
      <c r="D783" s="384"/>
      <c r="E783" s="384"/>
    </row>
    <row r="784" spans="1:36">
      <c r="A784" s="384"/>
      <c r="B784" s="384"/>
      <c r="C784" s="384"/>
      <c r="D784" s="384"/>
      <c r="E784" s="384"/>
    </row>
    <row r="785" spans="1:12" ht="24.6">
      <c r="A785" s="385" t="s">
        <v>1030</v>
      </c>
      <c r="B785" s="385"/>
      <c r="C785" s="385"/>
      <c r="D785" s="385"/>
      <c r="E785" s="385"/>
    </row>
    <row r="786" spans="1:12">
      <c r="A786" s="379" t="s">
        <v>746</v>
      </c>
      <c r="B786" s="379"/>
      <c r="C786" s="379"/>
      <c r="D786" s="379"/>
      <c r="E786" s="379"/>
      <c r="F786" s="379" t="s">
        <v>1032</v>
      </c>
      <c r="G786" s="379"/>
      <c r="H786" s="379"/>
      <c r="I786" s="379"/>
      <c r="J786" s="379"/>
      <c r="K786" s="379"/>
      <c r="L786" s="189"/>
    </row>
    <row r="787" spans="1:12">
      <c r="A787" s="70"/>
      <c r="D787" s="70"/>
      <c r="E787" s="70"/>
      <c r="F787" s="386" t="s">
        <v>1030</v>
      </c>
      <c r="G787" s="386"/>
      <c r="H787" s="386"/>
      <c r="I787" s="386"/>
      <c r="J787" s="386"/>
      <c r="K787" s="386"/>
    </row>
    <row r="788" spans="1:12">
      <c r="F788" s="379" t="s">
        <v>1033</v>
      </c>
      <c r="G788" s="379"/>
      <c r="H788" s="379"/>
      <c r="I788" s="379"/>
      <c r="J788" s="379"/>
      <c r="K788" s="379"/>
    </row>
    <row r="789" spans="1:12" ht="27" customHeight="1">
      <c r="A789" s="379">
        <f>'Company information'!C9</f>
        <v>0</v>
      </c>
      <c r="B789" s="379"/>
      <c r="C789" s="380">
        <f>'Company information'!D9</f>
        <v>0</v>
      </c>
      <c r="D789" s="380"/>
      <c r="E789" s="380"/>
    </row>
    <row r="790" spans="1:12">
      <c r="D790" s="190"/>
    </row>
  </sheetData>
  <mergeCells count="40">
    <mergeCell ref="T5:AJ6"/>
    <mergeCell ref="J6:K6"/>
    <mergeCell ref="A1:L1"/>
    <mergeCell ref="A2:L2"/>
    <mergeCell ref="A3:L3"/>
    <mergeCell ref="L5:Q6"/>
    <mergeCell ref="R5:S6"/>
    <mergeCell ref="Q7:Q8"/>
    <mergeCell ref="A7:A8"/>
    <mergeCell ref="B7:B8"/>
    <mergeCell ref="C7:C8"/>
    <mergeCell ref="D7:D8"/>
    <mergeCell ref="E7:F7"/>
    <mergeCell ref="G7:I7"/>
    <mergeCell ref="J7:J8"/>
    <mergeCell ref="K7:K8"/>
    <mergeCell ref="L7:L8"/>
    <mergeCell ref="O7:O8"/>
    <mergeCell ref="P7:P8"/>
    <mergeCell ref="AG7:AG8"/>
    <mergeCell ref="R7:R8"/>
    <mergeCell ref="S7:S8"/>
    <mergeCell ref="T7:T8"/>
    <mergeCell ref="U7:U8"/>
    <mergeCell ref="V7:V8"/>
    <mergeCell ref="W7:Y7"/>
    <mergeCell ref="Z7:Z8"/>
    <mergeCell ref="AA7:AB7"/>
    <mergeCell ref="AC7:AC8"/>
    <mergeCell ref="AD7:AE7"/>
    <mergeCell ref="AF7:AF8"/>
    <mergeCell ref="F788:K788"/>
    <mergeCell ref="A789:B789"/>
    <mergeCell ref="C789:E789"/>
    <mergeCell ref="A763:A769"/>
    <mergeCell ref="A782:E784"/>
    <mergeCell ref="A785:E785"/>
    <mergeCell ref="A786:E786"/>
    <mergeCell ref="F786:K786"/>
    <mergeCell ref="F787:K787"/>
  </mergeCells>
  <conditionalFormatting sqref="B762:B764">
    <cfRule type="duplicateValues" dxfId="8" priority="5"/>
  </conditionalFormatting>
  <conditionalFormatting sqref="B765:B768">
    <cfRule type="duplicateValues" dxfId="7" priority="6"/>
  </conditionalFormatting>
  <conditionalFormatting sqref="B769:B774">
    <cfRule type="duplicateValues" dxfId="6" priority="9"/>
  </conditionalFormatting>
  <conditionalFormatting sqref="B775">
    <cfRule type="duplicateValues" dxfId="5" priority="4"/>
  </conditionalFormatting>
  <conditionalFormatting sqref="B776">
    <cfRule type="duplicateValues" dxfId="4" priority="7"/>
  </conditionalFormatting>
  <conditionalFormatting sqref="B777">
    <cfRule type="duplicateValues" dxfId="3" priority="2"/>
  </conditionalFormatting>
  <conditionalFormatting sqref="B778:B779">
    <cfRule type="duplicateValues" dxfId="2" priority="3"/>
  </conditionalFormatting>
  <conditionalFormatting sqref="B780">
    <cfRule type="duplicateValues" dxfId="1" priority="1"/>
  </conditionalFormatting>
  <conditionalFormatting sqref="E758">
    <cfRule type="duplicateValues" dxfId="0" priority="8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topLeftCell="A4" zoomScale="55" zoomScaleNormal="55" zoomScaleSheetLayoutView="70" workbookViewId="0">
      <selection activeCell="A6" sqref="A6"/>
    </sheetView>
  </sheetViews>
  <sheetFormatPr defaultColWidth="9.109375" defaultRowHeight="30" customHeight="1"/>
  <cols>
    <col min="1" max="1" width="12.33203125" style="63" customWidth="1"/>
    <col min="2" max="2" width="41.44140625" style="63" customWidth="1"/>
    <col min="3" max="4" width="18.77734375" style="63" customWidth="1"/>
    <col min="5" max="5" width="28.6640625" style="63" customWidth="1"/>
    <col min="6" max="8" width="9.109375" style="62"/>
    <col min="9" max="9" width="17" style="62" bestFit="1" customWidth="1"/>
    <col min="10" max="16384" width="9.109375" style="62"/>
  </cols>
  <sheetData>
    <row r="1" spans="1:5" s="73" customFormat="1" ht="30" customHeight="1">
      <c r="A1" s="339" t="s">
        <v>1003</v>
      </c>
      <c r="B1" s="339"/>
      <c r="C1" s="339"/>
      <c r="D1" s="339"/>
      <c r="E1" s="339"/>
    </row>
    <row r="2" spans="1:5" s="73" customFormat="1" ht="30" customHeight="1">
      <c r="A2" s="339" t="s">
        <v>1042</v>
      </c>
      <c r="B2" s="339"/>
      <c r="C2" s="339"/>
      <c r="D2" s="339"/>
      <c r="E2" s="339"/>
    </row>
    <row r="3" spans="1:5" s="73" customFormat="1" ht="30" customHeight="1">
      <c r="A3" s="339" t="s">
        <v>1043</v>
      </c>
      <c r="B3" s="339"/>
      <c r="C3" s="339"/>
      <c r="D3" s="339"/>
      <c r="E3" s="339"/>
    </row>
    <row r="4" spans="1:5" s="73" customFormat="1" ht="30" customHeight="1">
      <c r="A4" s="76" t="s">
        <v>969</v>
      </c>
      <c r="B4" s="69">
        <f>'Company information'!D2</f>
        <v>0</v>
      </c>
      <c r="C4" s="71"/>
      <c r="D4" s="191" t="s">
        <v>967</v>
      </c>
      <c r="E4" s="75">
        <f>'Company information'!D8</f>
        <v>0</v>
      </c>
    </row>
    <row r="5" spans="1:5" s="73" customFormat="1" ht="30" customHeight="1">
      <c r="A5" s="76" t="s">
        <v>970</v>
      </c>
      <c r="B5" s="69">
        <f>'Company information'!D4</f>
        <v>0</v>
      </c>
      <c r="C5" s="71"/>
      <c r="D5" s="71"/>
      <c r="E5" s="75">
        <f>'Company information'!E8</f>
        <v>0</v>
      </c>
    </row>
    <row r="6" spans="1:5" s="73" customFormat="1" ht="30" customHeight="1">
      <c r="A6" s="77">
        <f>'Company information'!E8</f>
        <v>0</v>
      </c>
      <c r="B6" s="69"/>
      <c r="D6" s="51" t="s">
        <v>968</v>
      </c>
      <c r="E6" s="79">
        <f>'Company information'!H9</f>
        <v>0</v>
      </c>
    </row>
    <row r="7" spans="1:5" ht="30" customHeight="1">
      <c r="A7" s="340" t="s">
        <v>2</v>
      </c>
      <c r="B7" s="340" t="s">
        <v>760</v>
      </c>
      <c r="C7" s="340" t="s">
        <v>1015</v>
      </c>
      <c r="D7" s="340"/>
      <c r="E7" s="340" t="s">
        <v>965</v>
      </c>
    </row>
    <row r="8" spans="1:5" ht="30" customHeight="1">
      <c r="A8" s="340"/>
      <c r="B8" s="340"/>
      <c r="C8" s="80" t="s">
        <v>6</v>
      </c>
      <c r="D8" s="80" t="s">
        <v>7</v>
      </c>
      <c r="E8" s="340"/>
    </row>
    <row r="9" spans="1:5" s="67" customFormat="1" ht="30" customHeight="1">
      <c r="A9" s="81"/>
      <c r="B9" s="50"/>
      <c r="C9" s="84"/>
      <c r="D9" s="82"/>
      <c r="E9" s="51"/>
    </row>
    <row r="10" spans="1:5" s="67" customFormat="1" ht="30" customHeight="1">
      <c r="A10" s="81"/>
      <c r="B10" s="46"/>
      <c r="C10" s="84"/>
      <c r="D10" s="82"/>
      <c r="E10" s="51"/>
    </row>
    <row r="11" spans="1:5" s="67" customFormat="1" ht="30" customHeight="1">
      <c r="A11" s="81"/>
      <c r="B11" s="46"/>
      <c r="C11" s="84"/>
      <c r="D11" s="82"/>
      <c r="E11" s="51"/>
    </row>
    <row r="12" spans="1:5" s="67" customFormat="1" ht="30" customHeight="1">
      <c r="A12" s="81"/>
      <c r="B12" s="46"/>
      <c r="C12" s="84"/>
      <c r="D12" s="82"/>
      <c r="E12" s="51"/>
    </row>
    <row r="13" spans="1:5" s="67" customFormat="1" ht="30" customHeight="1">
      <c r="A13" s="81"/>
      <c r="B13" s="46"/>
      <c r="C13" s="84"/>
      <c r="D13" s="82"/>
      <c r="E13" s="51"/>
    </row>
    <row r="14" spans="1:5" s="67" customFormat="1" ht="30" customHeight="1">
      <c r="A14" s="81"/>
      <c r="B14" s="46"/>
      <c r="C14" s="84"/>
      <c r="D14" s="82"/>
      <c r="E14" s="51"/>
    </row>
    <row r="15" spans="1:5" s="67" customFormat="1" ht="30" customHeight="1">
      <c r="A15" s="81"/>
      <c r="B15" s="46"/>
      <c r="C15" s="84"/>
      <c r="D15" s="82" t="s">
        <v>2026</v>
      </c>
      <c r="E15" s="51"/>
    </row>
    <row r="16" spans="1:5" s="67" customFormat="1" ht="30" customHeight="1">
      <c r="A16" s="81"/>
      <c r="B16" s="46"/>
      <c r="C16" s="84"/>
      <c r="D16" s="82"/>
      <c r="E16" s="51"/>
    </row>
    <row r="17" spans="1:5" s="67" customFormat="1" ht="30" customHeight="1">
      <c r="A17" s="81"/>
      <c r="B17" s="46"/>
      <c r="C17" s="84"/>
      <c r="D17" s="82"/>
      <c r="E17" s="51"/>
    </row>
    <row r="18" spans="1:5" s="67" customFormat="1" ht="30" customHeight="1">
      <c r="A18" s="81"/>
      <c r="B18" s="46"/>
      <c r="C18" s="84"/>
      <c r="D18" s="82"/>
      <c r="E18" s="51"/>
    </row>
    <row r="19" spans="1:5" s="67" customFormat="1" ht="30" customHeight="1">
      <c r="A19" s="81"/>
      <c r="B19" s="46"/>
      <c r="C19" s="84"/>
      <c r="D19" s="82"/>
      <c r="E19" s="51"/>
    </row>
    <row r="20" spans="1:5" s="67" customFormat="1" ht="30" customHeight="1">
      <c r="A20" s="81"/>
      <c r="B20" s="46"/>
      <c r="C20" s="84"/>
      <c r="D20" s="82"/>
      <c r="E20" s="51"/>
    </row>
    <row r="21" spans="1:5" s="67" customFormat="1" ht="30" customHeight="1">
      <c r="A21" s="81"/>
      <c r="B21" s="46"/>
      <c r="C21" s="84"/>
      <c r="D21" s="82"/>
      <c r="E21" s="51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55" zoomScaleNormal="55" zoomScaleSheetLayoutView="55" workbookViewId="0">
      <selection activeCell="A6" sqref="A6"/>
    </sheetView>
  </sheetViews>
  <sheetFormatPr defaultColWidth="9.109375" defaultRowHeight="30" customHeight="1"/>
  <cols>
    <col min="1" max="1" width="13.44140625" style="196" customWidth="1"/>
    <col min="2" max="2" width="39.33203125" style="197" customWidth="1"/>
    <col min="3" max="4" width="18.77734375" style="93" customWidth="1"/>
    <col min="5" max="5" width="19.6640625" style="93" hidden="1" customWidth="1"/>
    <col min="6" max="6" width="18.6640625" style="93" hidden="1" customWidth="1"/>
    <col min="7" max="7" width="27.5546875" style="93" customWidth="1"/>
    <col min="8" max="8" width="22.109375" style="93" customWidth="1"/>
    <col min="9" max="12" width="9.109375" style="94"/>
    <col min="13" max="13" width="29.88671875" style="94" customWidth="1"/>
    <col min="14" max="16384" width="9.109375" style="94"/>
  </cols>
  <sheetData>
    <row r="1" spans="1:14" s="126" customFormat="1" ht="30" customHeight="1">
      <c r="A1" s="411" t="s">
        <v>1002</v>
      </c>
      <c r="B1" s="411"/>
      <c r="C1" s="411"/>
      <c r="D1" s="411"/>
      <c r="E1" s="411"/>
      <c r="F1" s="411"/>
      <c r="G1" s="411"/>
      <c r="H1" s="411"/>
      <c r="I1" s="192"/>
      <c r="J1" s="192"/>
    </row>
    <row r="2" spans="1:14" s="126" customFormat="1" ht="30" customHeight="1">
      <c r="A2" s="411" t="s">
        <v>1006</v>
      </c>
      <c r="B2" s="411"/>
      <c r="C2" s="411"/>
      <c r="D2" s="411"/>
      <c r="E2" s="411"/>
      <c r="F2" s="411"/>
      <c r="G2" s="411"/>
      <c r="H2" s="411"/>
      <c r="I2" s="192"/>
      <c r="J2" s="192"/>
    </row>
    <row r="3" spans="1:14" s="126" customFormat="1" ht="30" customHeight="1">
      <c r="A3" s="411" t="s">
        <v>1001</v>
      </c>
      <c r="B3" s="411"/>
      <c r="C3" s="411"/>
      <c r="D3" s="411"/>
      <c r="E3" s="411"/>
      <c r="F3" s="411"/>
      <c r="G3" s="411"/>
      <c r="H3" s="411"/>
      <c r="I3" s="192"/>
      <c r="J3" s="192"/>
    </row>
    <row r="4" spans="1:14" s="126" customFormat="1" ht="30" customHeight="1">
      <c r="A4" s="56" t="s">
        <v>969</v>
      </c>
      <c r="B4" s="57">
        <f>'Company information'!D2</f>
        <v>0</v>
      </c>
      <c r="C4" s="58"/>
      <c r="D4" s="58"/>
      <c r="E4" s="53"/>
      <c r="G4" s="193" t="s">
        <v>967</v>
      </c>
      <c r="H4" s="60">
        <f>'Company information'!D8</f>
        <v>0</v>
      </c>
    </row>
    <row r="5" spans="1:14" s="126" customFormat="1" ht="30" customHeight="1">
      <c r="A5" s="56" t="s">
        <v>970</v>
      </c>
      <c r="B5" s="57">
        <f>'Company information'!D4</f>
        <v>0</v>
      </c>
      <c r="C5" s="58"/>
      <c r="D5" s="58"/>
      <c r="E5" s="53"/>
      <c r="F5" s="58"/>
      <c r="G5" s="59"/>
      <c r="H5" s="60">
        <f>'Company information'!E8</f>
        <v>0</v>
      </c>
    </row>
    <row r="6" spans="1:14" s="126" customFormat="1" ht="30" customHeight="1">
      <c r="A6" s="128">
        <f>'Company information'!E8</f>
        <v>0</v>
      </c>
      <c r="B6" s="57"/>
      <c r="D6" s="58"/>
      <c r="E6" s="53"/>
      <c r="F6" s="194" t="s">
        <v>968</v>
      </c>
      <c r="H6" s="195">
        <f>'Company information'!H9</f>
        <v>0</v>
      </c>
      <c r="J6" s="106"/>
    </row>
    <row r="7" spans="1:14" s="62" customFormat="1" ht="30" customHeight="1">
      <c r="A7" s="351" t="s">
        <v>2</v>
      </c>
      <c r="B7" s="351" t="s">
        <v>760</v>
      </c>
      <c r="C7" s="353" t="s">
        <v>734</v>
      </c>
      <c r="D7" s="354"/>
      <c r="E7" s="355" t="s">
        <v>963</v>
      </c>
      <c r="F7" s="355" t="s">
        <v>961</v>
      </c>
      <c r="G7" s="355" t="s">
        <v>964</v>
      </c>
      <c r="H7" s="351" t="s">
        <v>15</v>
      </c>
    </row>
    <row r="8" spans="1:14" s="62" customFormat="1" ht="30" customHeight="1">
      <c r="A8" s="351"/>
      <c r="B8" s="351"/>
      <c r="C8" s="52" t="s">
        <v>6</v>
      </c>
      <c r="D8" s="52" t="s">
        <v>958</v>
      </c>
      <c r="E8" s="356"/>
      <c r="F8" s="356"/>
      <c r="G8" s="356"/>
      <c r="H8" s="351"/>
    </row>
    <row r="9" spans="1:14" ht="30" customHeight="1">
      <c r="L9" s="198"/>
      <c r="M9" s="199"/>
      <c r="N9" s="198"/>
    </row>
    <row r="10" spans="1:14" ht="30" customHeight="1">
      <c r="L10" s="198"/>
      <c r="M10" s="199"/>
      <c r="N10" s="198"/>
    </row>
    <row r="11" spans="1:14" ht="30" customHeight="1">
      <c r="L11" s="198"/>
      <c r="M11" s="199"/>
      <c r="N11" s="198"/>
    </row>
    <row r="12" spans="1:14" ht="30" customHeight="1">
      <c r="L12" s="198"/>
      <c r="M12" s="198"/>
      <c r="N12" s="198"/>
    </row>
    <row r="13" spans="1:14" ht="30" customHeight="1">
      <c r="L13" s="198"/>
      <c r="M13" s="198"/>
      <c r="N13" s="198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40" zoomScaleNormal="40" workbookViewId="0">
      <selection activeCell="R18" sqref="R18"/>
    </sheetView>
  </sheetViews>
  <sheetFormatPr defaultColWidth="8.88671875" defaultRowHeight="30" customHeight="1"/>
  <cols>
    <col min="1" max="2" width="8.88671875" style="202"/>
    <col min="3" max="3" width="48.33203125" style="203" bestFit="1" customWidth="1"/>
    <col min="4" max="4" width="22.109375" style="203" customWidth="1"/>
    <col min="5" max="10" width="11" style="203" bestFit="1" customWidth="1"/>
    <col min="11" max="11" width="12.44140625" style="203" bestFit="1" customWidth="1"/>
    <col min="12" max="12" width="10.6640625" style="203" bestFit="1" customWidth="1"/>
    <col min="13" max="13" width="10.44140625" style="203" bestFit="1" customWidth="1"/>
    <col min="14" max="15" width="10.88671875" style="203" bestFit="1" customWidth="1"/>
    <col min="16" max="16" width="11" style="203" bestFit="1" customWidth="1"/>
    <col min="17" max="17" width="10.6640625" style="203" bestFit="1" customWidth="1"/>
    <col min="18" max="18" width="11.88671875" style="203" bestFit="1" customWidth="1"/>
    <col min="19" max="20" width="10.88671875" style="203" bestFit="1" customWidth="1"/>
    <col min="21" max="24" width="10.6640625" style="203" bestFit="1" customWidth="1"/>
    <col min="25" max="25" width="10.88671875" style="203" bestFit="1" customWidth="1"/>
    <col min="26" max="26" width="10.44140625" style="203" bestFit="1" customWidth="1"/>
    <col min="27" max="27" width="13.5546875" style="202" bestFit="1" customWidth="1"/>
    <col min="28" max="28" width="10.5546875" style="202" bestFit="1" customWidth="1"/>
    <col min="29" max="29" width="10.88671875" style="202" bestFit="1" customWidth="1"/>
    <col min="30" max="31" width="10.6640625" style="202" bestFit="1" customWidth="1"/>
    <col min="32" max="32" width="11" style="202" bestFit="1" customWidth="1"/>
    <col min="33" max="33" width="10.5546875" style="202" bestFit="1" customWidth="1"/>
    <col min="34" max="34" width="10.6640625" style="202" bestFit="1" customWidth="1"/>
    <col min="35" max="35" width="11" style="202" bestFit="1" customWidth="1"/>
    <col min="36" max="36" width="10.6640625" style="202" bestFit="1" customWidth="1"/>
    <col min="37" max="37" width="11.88671875" style="202" bestFit="1" customWidth="1"/>
    <col min="38" max="38" width="10.6640625" style="202" bestFit="1" customWidth="1"/>
    <col min="39" max="39" width="10.5546875" style="202" bestFit="1" customWidth="1"/>
    <col min="40" max="40" width="10.6640625" style="202" bestFit="1" customWidth="1"/>
    <col min="41" max="41" width="11" style="202" bestFit="1" customWidth="1"/>
    <col min="42" max="42" width="10.6640625" style="202" bestFit="1" customWidth="1"/>
    <col min="43" max="43" width="10.88671875" style="202" bestFit="1" customWidth="1"/>
    <col min="44" max="44" width="9" style="202" bestFit="1" customWidth="1"/>
    <col min="45" max="64" width="8.88671875" style="202"/>
    <col min="65" max="65" width="10.88671875" style="202" bestFit="1" customWidth="1"/>
    <col min="66" max="16384" width="8.88671875" style="202"/>
  </cols>
  <sheetData>
    <row r="1" spans="1:4" s="202" customFormat="1" ht="30" customHeight="1">
      <c r="A1" s="200"/>
      <c r="B1" s="200"/>
      <c r="C1" s="201"/>
    </row>
    <row r="2" spans="1:4" s="202" customFormat="1" ht="30" customHeight="1">
      <c r="C2" s="203"/>
    </row>
    <row r="3" spans="1:4" s="202" customFormat="1" ht="30" customHeight="1">
      <c r="C3" s="203"/>
    </row>
    <row r="4" spans="1:4" s="202" customFormat="1" ht="30" customHeight="1">
      <c r="B4" s="204"/>
      <c r="C4" s="203">
        <f>'Company information'!D7</f>
        <v>0</v>
      </c>
    </row>
    <row r="5" spans="1:4" s="205" customFormat="1" ht="30" customHeight="1">
      <c r="B5" s="206" t="s">
        <v>2</v>
      </c>
      <c r="C5" s="205" t="s">
        <v>1012</v>
      </c>
      <c r="D5" s="205" t="s">
        <v>2028</v>
      </c>
    </row>
    <row r="6" spans="1:4" s="202" customFormat="1" ht="30" customHeight="1">
      <c r="B6" s="206"/>
      <c r="C6" s="203"/>
    </row>
    <row r="7" spans="1:4" s="202" customFormat="1" ht="30" customHeight="1">
      <c r="B7" s="206"/>
      <c r="C7" s="203"/>
    </row>
    <row r="8" spans="1:4" s="202" customFormat="1" ht="30" customHeight="1">
      <c r="B8" s="206"/>
      <c r="C8" s="203"/>
    </row>
    <row r="9" spans="1:4" s="202" customFormat="1" ht="30" customHeight="1">
      <c r="B9" s="206"/>
      <c r="C9" s="203"/>
    </row>
    <row r="10" spans="1:4" s="202" customFormat="1" ht="30" customHeight="1">
      <c r="B10" s="206"/>
      <c r="C10" s="203"/>
    </row>
    <row r="11" spans="1:4" s="202" customFormat="1" ht="30" customHeight="1">
      <c r="B11" s="206"/>
      <c r="C11" s="203"/>
    </row>
    <row r="12" spans="1:4" s="202" customFormat="1" ht="30" customHeight="1">
      <c r="B12" s="206"/>
      <c r="C12" s="203"/>
    </row>
    <row r="13" spans="1:4" s="202" customFormat="1" ht="30" customHeight="1">
      <c r="B13" s="206"/>
      <c r="C13" s="203"/>
    </row>
    <row r="14" spans="1:4" s="202" customFormat="1" ht="30" customHeight="1">
      <c r="B14" s="206"/>
      <c r="C14" s="203"/>
    </row>
    <row r="15" spans="1:4" s="202" customFormat="1" ht="30" customHeight="1">
      <c r="B15" s="206"/>
      <c r="C15" s="203"/>
    </row>
    <row r="16" spans="1:4" s="202" customFormat="1" ht="30" customHeight="1">
      <c r="B16" s="206"/>
      <c r="C16" s="203"/>
    </row>
    <row r="17" spans="2:41" ht="30" customHeight="1">
      <c r="B17" s="206"/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spans="2:41" ht="30" customHeight="1">
      <c r="B18" s="206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spans="2:41" ht="30" customHeight="1">
      <c r="B19" s="206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spans="2:41" ht="30" customHeight="1">
      <c r="B20" s="206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spans="2:41" ht="30" customHeight="1"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spans="2:41" ht="30" customHeight="1">
      <c r="E22" s="200"/>
      <c r="F22" s="200"/>
      <c r="G22" s="200"/>
      <c r="H22" s="200"/>
      <c r="I22" s="200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0"/>
      <c r="AB22" s="200"/>
      <c r="AO22" s="200"/>
    </row>
    <row r="23" spans="2:41" ht="30" customHeight="1">
      <c r="E23" s="200"/>
      <c r="F23" s="200"/>
      <c r="G23" s="200"/>
      <c r="H23" s="200"/>
      <c r="I23" s="200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0"/>
      <c r="AB23" s="200"/>
      <c r="AO23" s="200"/>
    </row>
    <row r="24" spans="2:41" ht="30" customHeight="1">
      <c r="E24" s="200"/>
      <c r="F24" s="200"/>
      <c r="G24" s="200"/>
      <c r="H24" s="200"/>
      <c r="I24" s="200"/>
      <c r="J24" s="201"/>
      <c r="K24" s="201"/>
      <c r="L24" s="201"/>
      <c r="M24" s="201"/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  <c r="AA24" s="200"/>
      <c r="AB24" s="200"/>
      <c r="AO24" s="200"/>
    </row>
    <row r="25" spans="2:41" ht="30" customHeight="1">
      <c r="E25" s="200"/>
      <c r="J25" s="200"/>
      <c r="K25" s="201"/>
      <c r="O25" s="201"/>
      <c r="Q25" s="201"/>
      <c r="AA25" s="200"/>
      <c r="AB25" s="200"/>
      <c r="AO25" s="200"/>
    </row>
    <row r="26" spans="2:41" ht="30" customHeight="1">
      <c r="K26" s="201"/>
      <c r="Q26" s="201"/>
      <c r="AB26" s="200"/>
    </row>
    <row r="27" spans="2:41" ht="30" customHeight="1">
      <c r="Q27" s="201"/>
      <c r="AA27" s="200"/>
      <c r="AB27" s="200"/>
    </row>
    <row r="28" spans="2:41" ht="30" customHeight="1">
      <c r="Q28" s="201"/>
      <c r="AB28" s="200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7" customWidth="1"/>
    <col min="2" max="2" width="15.6640625" style="67" customWidth="1"/>
    <col min="3" max="3" width="11.6640625" style="67" bestFit="1" customWidth="1"/>
    <col min="4" max="4" width="11.33203125" style="67" bestFit="1" customWidth="1"/>
    <col min="5" max="5" width="33.109375" style="67" customWidth="1"/>
    <col min="6" max="6" width="10.5546875" style="67" bestFit="1" customWidth="1"/>
    <col min="7" max="7" width="15.44140625" style="67" customWidth="1"/>
    <col min="8" max="8" width="11.6640625" style="67" bestFit="1" customWidth="1"/>
    <col min="9" max="9" width="16.109375" style="67" bestFit="1" customWidth="1"/>
    <col min="10" max="10" width="14.44140625" style="67" customWidth="1"/>
    <col min="11" max="16384" width="9.109375" style="67"/>
  </cols>
  <sheetData>
    <row r="1" spans="1:10" ht="27.75" customHeight="1">
      <c r="A1" s="415" t="s">
        <v>10</v>
      </c>
      <c r="B1" s="415"/>
      <c r="C1" s="415"/>
      <c r="D1" s="415"/>
      <c r="E1" s="415"/>
      <c r="F1" s="415"/>
      <c r="G1" s="415"/>
      <c r="H1" s="415"/>
      <c r="I1" s="415"/>
      <c r="J1" s="415"/>
    </row>
    <row r="2" spans="1:10" ht="32.25" customHeight="1">
      <c r="A2" s="415" t="s">
        <v>16</v>
      </c>
      <c r="B2" s="415"/>
      <c r="C2" s="415"/>
      <c r="D2" s="415"/>
      <c r="E2" s="415"/>
      <c r="F2" s="415"/>
      <c r="G2" s="415"/>
      <c r="H2" s="415"/>
      <c r="I2" s="415"/>
      <c r="J2" s="415"/>
    </row>
    <row r="3" spans="1:10" ht="22.5" customHeight="1">
      <c r="A3" s="416" t="e">
        <f>'Annex I-IM State Charge'!#REF!</f>
        <v>#REF!</v>
      </c>
      <c r="B3" s="416"/>
      <c r="C3" s="416"/>
      <c r="D3" s="416"/>
      <c r="E3" s="416"/>
      <c r="F3" s="207"/>
      <c r="G3" s="207"/>
      <c r="H3" s="207"/>
      <c r="I3" s="207"/>
      <c r="J3" s="207"/>
    </row>
    <row r="4" spans="1:10" ht="21" customHeight="1">
      <c r="A4" s="417" t="e">
        <f>'Annex I-IM State Charge'!#REF!</f>
        <v>#REF!</v>
      </c>
      <c r="B4" s="417"/>
      <c r="C4" s="417"/>
      <c r="D4" s="417"/>
      <c r="E4" s="207"/>
      <c r="F4" s="207"/>
      <c r="G4" s="207"/>
      <c r="H4" s="207"/>
      <c r="I4" s="207"/>
      <c r="J4" s="207"/>
    </row>
    <row r="5" spans="1:10" ht="24" customHeight="1">
      <c r="A5" s="418" t="s">
        <v>2</v>
      </c>
      <c r="B5" s="421" t="s">
        <v>11</v>
      </c>
      <c r="C5" s="422"/>
      <c r="D5" s="423"/>
      <c r="E5" s="424" t="s">
        <v>5</v>
      </c>
      <c r="F5" s="425"/>
      <c r="G5" s="425"/>
      <c r="H5" s="425"/>
      <c r="I5" s="425"/>
      <c r="J5" s="426" t="s">
        <v>15</v>
      </c>
    </row>
    <row r="6" spans="1:10" ht="24" customHeight="1">
      <c r="A6" s="419"/>
      <c r="B6" s="429" t="s">
        <v>734</v>
      </c>
      <c r="C6" s="430"/>
      <c r="D6" s="431"/>
      <c r="E6" s="413" t="s">
        <v>4</v>
      </c>
      <c r="F6" s="414" t="s">
        <v>14</v>
      </c>
      <c r="G6" s="429" t="s">
        <v>734</v>
      </c>
      <c r="H6" s="430"/>
      <c r="I6" s="431"/>
      <c r="J6" s="427"/>
    </row>
    <row r="7" spans="1:10" ht="21" customHeight="1">
      <c r="A7" s="420"/>
      <c r="B7" s="208" t="s">
        <v>6</v>
      </c>
      <c r="C7" s="208" t="s">
        <v>13</v>
      </c>
      <c r="D7" s="208" t="s">
        <v>3</v>
      </c>
      <c r="E7" s="414"/>
      <c r="F7" s="414"/>
      <c r="G7" s="208" t="s">
        <v>6</v>
      </c>
      <c r="H7" s="208" t="s">
        <v>13</v>
      </c>
      <c r="I7" s="208" t="s">
        <v>3</v>
      </c>
      <c r="J7" s="428"/>
    </row>
    <row r="8" spans="1:10" ht="24" customHeight="1">
      <c r="A8" s="209">
        <v>1</v>
      </c>
      <c r="B8" s="210" t="s">
        <v>54</v>
      </c>
      <c r="C8" s="211">
        <v>41246</v>
      </c>
      <c r="D8" s="212">
        <v>58.25</v>
      </c>
      <c r="E8" s="213" t="s">
        <v>50</v>
      </c>
      <c r="F8" s="210" t="s">
        <v>52</v>
      </c>
      <c r="G8" s="210" t="s">
        <v>54</v>
      </c>
      <c r="H8" s="211">
        <v>41246</v>
      </c>
      <c r="I8" s="212">
        <v>58.25</v>
      </c>
      <c r="J8" s="214" t="s">
        <v>735</v>
      </c>
    </row>
    <row r="9" spans="1:10" ht="24" customHeight="1">
      <c r="A9" s="209">
        <v>2</v>
      </c>
      <c r="B9" s="210" t="s">
        <v>57</v>
      </c>
      <c r="C9" s="211">
        <v>41248</v>
      </c>
      <c r="D9" s="212">
        <v>4</v>
      </c>
      <c r="E9" s="213" t="s">
        <v>50</v>
      </c>
      <c r="F9" s="210" t="s">
        <v>52</v>
      </c>
      <c r="G9" s="210" t="s">
        <v>57</v>
      </c>
      <c r="H9" s="211">
        <v>41248</v>
      </c>
      <c r="I9" s="212">
        <v>4</v>
      </c>
      <c r="J9" s="214" t="s">
        <v>735</v>
      </c>
    </row>
    <row r="10" spans="1:10" ht="24" customHeight="1">
      <c r="A10" s="209">
        <v>3</v>
      </c>
      <c r="B10" s="210" t="s">
        <v>58</v>
      </c>
      <c r="C10" s="211">
        <v>41254</v>
      </c>
      <c r="D10" s="212">
        <v>49.75</v>
      </c>
      <c r="E10" s="213" t="s">
        <v>50</v>
      </c>
      <c r="F10" s="210" t="s">
        <v>52</v>
      </c>
      <c r="G10" s="210" t="s">
        <v>58</v>
      </c>
      <c r="H10" s="211">
        <v>41254</v>
      </c>
      <c r="I10" s="212">
        <v>49.75</v>
      </c>
      <c r="J10" s="214" t="s">
        <v>735</v>
      </c>
    </row>
    <row r="11" spans="1:10" ht="18" customHeight="1">
      <c r="A11" s="209">
        <v>4</v>
      </c>
      <c r="B11" s="210" t="s">
        <v>59</v>
      </c>
      <c r="C11" s="211">
        <v>41254</v>
      </c>
      <c r="D11" s="212">
        <v>181.79</v>
      </c>
      <c r="E11" s="213" t="s">
        <v>50</v>
      </c>
      <c r="F11" s="210" t="s">
        <v>52</v>
      </c>
      <c r="G11" s="210" t="s">
        <v>59</v>
      </c>
      <c r="H11" s="211">
        <v>41254</v>
      </c>
      <c r="I11" s="212">
        <v>181.79</v>
      </c>
      <c r="J11" s="214" t="s">
        <v>735</v>
      </c>
    </row>
    <row r="12" spans="1:10" ht="18" customHeight="1">
      <c r="A12" s="209">
        <v>5</v>
      </c>
      <c r="B12" s="210" t="s">
        <v>65</v>
      </c>
      <c r="C12" s="211">
        <v>41260</v>
      </c>
      <c r="D12" s="212">
        <v>46.69</v>
      </c>
      <c r="E12" s="213" t="s">
        <v>50</v>
      </c>
      <c r="F12" s="210" t="s">
        <v>52</v>
      </c>
      <c r="G12" s="210" t="s">
        <v>65</v>
      </c>
      <c r="H12" s="211">
        <v>41260</v>
      </c>
      <c r="I12" s="212">
        <v>46.69</v>
      </c>
      <c r="J12" s="214" t="s">
        <v>735</v>
      </c>
    </row>
    <row r="13" spans="1:10" ht="18" customHeight="1">
      <c r="A13" s="209">
        <v>6</v>
      </c>
      <c r="B13" s="210" t="s">
        <v>66</v>
      </c>
      <c r="C13" s="211">
        <v>41260</v>
      </c>
      <c r="D13" s="212">
        <v>236.64</v>
      </c>
      <c r="E13" s="213" t="s">
        <v>50</v>
      </c>
      <c r="F13" s="210" t="s">
        <v>52</v>
      </c>
      <c r="G13" s="210" t="s">
        <v>66</v>
      </c>
      <c r="H13" s="211">
        <v>41260</v>
      </c>
      <c r="I13" s="212">
        <v>236.64</v>
      </c>
      <c r="J13" s="214" t="s">
        <v>735</v>
      </c>
    </row>
    <row r="14" spans="1:10" ht="18" customHeight="1">
      <c r="A14" s="209">
        <v>7</v>
      </c>
      <c r="B14" s="210" t="s">
        <v>67</v>
      </c>
      <c r="C14" s="211">
        <v>41261</v>
      </c>
      <c r="D14" s="212">
        <v>4</v>
      </c>
      <c r="E14" s="213" t="s">
        <v>50</v>
      </c>
      <c r="F14" s="210" t="s">
        <v>52</v>
      </c>
      <c r="G14" s="210" t="s">
        <v>67</v>
      </c>
      <c r="H14" s="211">
        <v>41261</v>
      </c>
      <c r="I14" s="212">
        <v>4</v>
      </c>
      <c r="J14" s="214" t="s">
        <v>735</v>
      </c>
    </row>
    <row r="15" spans="1:10" ht="18" customHeight="1">
      <c r="A15" s="209">
        <v>8</v>
      </c>
      <c r="B15" s="210" t="s">
        <v>68</v>
      </c>
      <c r="C15" s="211">
        <v>41261</v>
      </c>
      <c r="D15" s="212">
        <v>10</v>
      </c>
      <c r="E15" s="213" t="s">
        <v>50</v>
      </c>
      <c r="F15" s="210" t="s">
        <v>52</v>
      </c>
      <c r="G15" s="210" t="s">
        <v>68</v>
      </c>
      <c r="H15" s="211">
        <v>41261</v>
      </c>
      <c r="I15" s="212">
        <v>10</v>
      </c>
      <c r="J15" s="214" t="s">
        <v>735</v>
      </c>
    </row>
    <row r="16" spans="1:10" ht="18" customHeight="1">
      <c r="A16" s="209">
        <v>9</v>
      </c>
      <c r="B16" s="210" t="s">
        <v>72</v>
      </c>
      <c r="C16" s="211">
        <v>41274</v>
      </c>
      <c r="D16" s="212">
        <v>87.52</v>
      </c>
      <c r="E16" s="213" t="s">
        <v>50</v>
      </c>
      <c r="F16" s="210" t="s">
        <v>52</v>
      </c>
      <c r="G16" s="210" t="s">
        <v>72</v>
      </c>
      <c r="H16" s="211">
        <v>41274</v>
      </c>
      <c r="I16" s="212">
        <v>87.52</v>
      </c>
      <c r="J16" s="214" t="s">
        <v>735</v>
      </c>
    </row>
    <row r="17" spans="1:10" ht="18" customHeight="1">
      <c r="A17" s="209">
        <v>10</v>
      </c>
      <c r="B17" s="210" t="s">
        <v>73</v>
      </c>
      <c r="C17" s="211">
        <v>41274</v>
      </c>
      <c r="D17" s="212">
        <v>39.29</v>
      </c>
      <c r="E17" s="213" t="s">
        <v>50</v>
      </c>
      <c r="F17" s="210" t="s">
        <v>52</v>
      </c>
      <c r="G17" s="210" t="s">
        <v>73</v>
      </c>
      <c r="H17" s="211">
        <v>41274</v>
      </c>
      <c r="I17" s="212">
        <v>39.29</v>
      </c>
      <c r="J17" s="214" t="s">
        <v>735</v>
      </c>
    </row>
    <row r="18" spans="1:10" ht="18" customHeight="1">
      <c r="A18" s="412" t="s">
        <v>32</v>
      </c>
      <c r="B18" s="412"/>
      <c r="C18" s="412"/>
      <c r="D18" s="212">
        <f>SUM(D8:D17)</f>
        <v>717.92999999999984</v>
      </c>
      <c r="E18" s="213"/>
      <c r="F18" s="210"/>
      <c r="G18" s="210"/>
      <c r="H18" s="215" t="s">
        <v>0</v>
      </c>
      <c r="I18" s="212">
        <f>SUM(I8:I17)</f>
        <v>717.92999999999984</v>
      </c>
      <c r="J18" s="216"/>
    </row>
    <row r="19" spans="1:10" ht="21.9" customHeight="1">
      <c r="A19" s="412" t="s">
        <v>32</v>
      </c>
      <c r="B19" s="412"/>
      <c r="C19" s="412"/>
      <c r="D19" s="212"/>
      <c r="E19" s="213"/>
      <c r="F19" s="210"/>
      <c r="G19" s="217">
        <v>3995</v>
      </c>
      <c r="H19" s="215" t="s">
        <v>1</v>
      </c>
      <c r="I19" s="2">
        <f>I18*G19</f>
        <v>2868130.3499999992</v>
      </c>
      <c r="J19" s="216"/>
    </row>
    <row r="20" spans="1:10" ht="18" customHeight="1">
      <c r="A20" s="218">
        <v>1</v>
      </c>
      <c r="B20" s="210" t="s">
        <v>76</v>
      </c>
      <c r="C20" s="211">
        <v>41218</v>
      </c>
      <c r="D20" s="212">
        <v>77</v>
      </c>
      <c r="E20" s="213" t="s">
        <v>50</v>
      </c>
      <c r="F20" s="210" t="s">
        <v>52</v>
      </c>
      <c r="G20" s="210" t="s">
        <v>76</v>
      </c>
      <c r="H20" s="211">
        <v>41218</v>
      </c>
      <c r="I20" s="212">
        <v>77</v>
      </c>
      <c r="J20" s="214" t="s">
        <v>735</v>
      </c>
    </row>
    <row r="21" spans="1:10" ht="18" customHeight="1">
      <c r="A21" s="218">
        <v>2</v>
      </c>
      <c r="B21" s="210" t="s">
        <v>77</v>
      </c>
      <c r="C21" s="211">
        <v>41225</v>
      </c>
      <c r="D21" s="212">
        <v>115.89</v>
      </c>
      <c r="E21" s="213" t="s">
        <v>50</v>
      </c>
      <c r="F21" s="210" t="s">
        <v>52</v>
      </c>
      <c r="G21" s="210" t="s">
        <v>77</v>
      </c>
      <c r="H21" s="211">
        <v>41225</v>
      </c>
      <c r="I21" s="212">
        <v>115.89</v>
      </c>
      <c r="J21" s="214" t="s">
        <v>735</v>
      </c>
    </row>
    <row r="22" spans="1:10" ht="18" customHeight="1">
      <c r="A22" s="218">
        <v>3</v>
      </c>
      <c r="B22" s="210" t="s">
        <v>78</v>
      </c>
      <c r="C22" s="211">
        <v>41225</v>
      </c>
      <c r="D22" s="212">
        <v>82.91</v>
      </c>
      <c r="E22" s="213" t="s">
        <v>50</v>
      </c>
      <c r="F22" s="210" t="s">
        <v>52</v>
      </c>
      <c r="G22" s="210" t="s">
        <v>78</v>
      </c>
      <c r="H22" s="211">
        <v>41225</v>
      </c>
      <c r="I22" s="212">
        <v>82.91</v>
      </c>
      <c r="J22" s="214" t="s">
        <v>735</v>
      </c>
    </row>
    <row r="23" spans="1:10" ht="18" customHeight="1">
      <c r="A23" s="218">
        <v>4</v>
      </c>
      <c r="B23" s="210" t="s">
        <v>80</v>
      </c>
      <c r="C23" s="211">
        <v>41232</v>
      </c>
      <c r="D23" s="212">
        <v>55.32</v>
      </c>
      <c r="E23" s="213" t="s">
        <v>50</v>
      </c>
      <c r="F23" s="210" t="s">
        <v>52</v>
      </c>
      <c r="G23" s="210" t="s">
        <v>80</v>
      </c>
      <c r="H23" s="211">
        <v>41232</v>
      </c>
      <c r="I23" s="212">
        <v>55.32</v>
      </c>
      <c r="J23" s="214" t="s">
        <v>735</v>
      </c>
    </row>
    <row r="24" spans="1:10" ht="18" customHeight="1">
      <c r="A24" s="218">
        <v>5</v>
      </c>
      <c r="B24" s="210" t="s">
        <v>81</v>
      </c>
      <c r="C24" s="211">
        <v>41232</v>
      </c>
      <c r="D24" s="212">
        <v>32.03</v>
      </c>
      <c r="E24" s="213" t="s">
        <v>50</v>
      </c>
      <c r="F24" s="210" t="s">
        <v>52</v>
      </c>
      <c r="G24" s="210" t="s">
        <v>81</v>
      </c>
      <c r="H24" s="211">
        <v>41232</v>
      </c>
      <c r="I24" s="212">
        <v>32.03</v>
      </c>
      <c r="J24" s="214" t="s">
        <v>735</v>
      </c>
    </row>
    <row r="25" spans="1:10" ht="18" customHeight="1">
      <c r="A25" s="412" t="s">
        <v>27</v>
      </c>
      <c r="B25" s="412"/>
      <c r="C25" s="412"/>
      <c r="D25" s="212">
        <f>SUM(D20:D24)</f>
        <v>363.15</v>
      </c>
      <c r="E25" s="213"/>
      <c r="F25" s="210"/>
      <c r="G25" s="210"/>
      <c r="H25" s="215" t="s">
        <v>0</v>
      </c>
      <c r="I25" s="212">
        <f>SUM(I20:I24)</f>
        <v>363.15</v>
      </c>
      <c r="J25" s="216"/>
    </row>
    <row r="26" spans="1:10" ht="21.9" customHeight="1">
      <c r="A26" s="412" t="s">
        <v>27</v>
      </c>
      <c r="B26" s="412"/>
      <c r="C26" s="412"/>
      <c r="D26" s="212"/>
      <c r="E26" s="213"/>
      <c r="F26" s="210"/>
      <c r="G26" s="217">
        <v>3999</v>
      </c>
      <c r="H26" s="215" t="s">
        <v>1</v>
      </c>
      <c r="I26" s="2">
        <f>I25*G26</f>
        <v>1452236.8499999999</v>
      </c>
      <c r="J26" s="216"/>
    </row>
    <row r="27" spans="1:10" ht="18" customHeight="1">
      <c r="A27" s="218">
        <v>1</v>
      </c>
      <c r="B27" s="210" t="s">
        <v>83</v>
      </c>
      <c r="C27" s="211">
        <v>41183</v>
      </c>
      <c r="D27" s="212">
        <v>89.93</v>
      </c>
      <c r="E27" s="213" t="s">
        <v>50</v>
      </c>
      <c r="F27" s="210" t="s">
        <v>52</v>
      </c>
      <c r="G27" s="210" t="s">
        <v>83</v>
      </c>
      <c r="H27" s="211">
        <v>41183</v>
      </c>
      <c r="I27" s="212">
        <v>89.93</v>
      </c>
      <c r="J27" s="214" t="s">
        <v>735</v>
      </c>
    </row>
    <row r="28" spans="1:10" ht="18" customHeight="1">
      <c r="A28" s="218">
        <v>2</v>
      </c>
      <c r="B28" s="210" t="s">
        <v>84</v>
      </c>
      <c r="C28" s="211">
        <v>41190</v>
      </c>
      <c r="D28" s="212">
        <v>49.63</v>
      </c>
      <c r="E28" s="213" t="s">
        <v>50</v>
      </c>
      <c r="F28" s="210" t="s">
        <v>52</v>
      </c>
      <c r="G28" s="210" t="s">
        <v>84</v>
      </c>
      <c r="H28" s="211">
        <v>41190</v>
      </c>
      <c r="I28" s="212">
        <v>49.63</v>
      </c>
      <c r="J28" s="214" t="s">
        <v>735</v>
      </c>
    </row>
    <row r="29" spans="1:10" ht="18" customHeight="1">
      <c r="A29" s="218">
        <v>3</v>
      </c>
      <c r="B29" s="210" t="s">
        <v>89</v>
      </c>
      <c r="C29" s="211">
        <v>41197</v>
      </c>
      <c r="D29" s="212">
        <v>115.81</v>
      </c>
      <c r="E29" s="213" t="s">
        <v>50</v>
      </c>
      <c r="F29" s="210" t="s">
        <v>52</v>
      </c>
      <c r="G29" s="210" t="s">
        <v>89</v>
      </c>
      <c r="H29" s="211">
        <v>41197</v>
      </c>
      <c r="I29" s="212">
        <v>115.81</v>
      </c>
      <c r="J29" s="214" t="s">
        <v>735</v>
      </c>
    </row>
    <row r="30" spans="1:10" ht="18" customHeight="1">
      <c r="A30" s="218">
        <v>4</v>
      </c>
      <c r="B30" s="210" t="s">
        <v>91</v>
      </c>
      <c r="C30" s="211">
        <v>41204</v>
      </c>
      <c r="D30" s="212">
        <v>101.98</v>
      </c>
      <c r="E30" s="213" t="s">
        <v>50</v>
      </c>
      <c r="F30" s="210" t="s">
        <v>52</v>
      </c>
      <c r="G30" s="210" t="s">
        <v>91</v>
      </c>
      <c r="H30" s="211">
        <v>41204</v>
      </c>
      <c r="I30" s="212">
        <v>101.98</v>
      </c>
      <c r="J30" s="214" t="s">
        <v>735</v>
      </c>
    </row>
    <row r="31" spans="1:10" ht="18" customHeight="1">
      <c r="A31" s="218">
        <v>5</v>
      </c>
      <c r="B31" s="210" t="s">
        <v>93</v>
      </c>
      <c r="C31" s="211">
        <v>41211</v>
      </c>
      <c r="D31" s="212">
        <v>67.28</v>
      </c>
      <c r="E31" s="213" t="s">
        <v>50</v>
      </c>
      <c r="F31" s="210" t="s">
        <v>52</v>
      </c>
      <c r="G31" s="210" t="s">
        <v>93</v>
      </c>
      <c r="H31" s="211">
        <v>41211</v>
      </c>
      <c r="I31" s="212">
        <v>67.28</v>
      </c>
      <c r="J31" s="214" t="s">
        <v>735</v>
      </c>
    </row>
    <row r="32" spans="1:10" ht="18" customHeight="1">
      <c r="A32" s="412" t="s">
        <v>31</v>
      </c>
      <c r="B32" s="412"/>
      <c r="C32" s="412"/>
      <c r="D32" s="212">
        <f>SUM(D27:D31)</f>
        <v>424.63</v>
      </c>
      <c r="E32" s="213"/>
      <c r="F32" s="210"/>
      <c r="G32" s="210"/>
      <c r="H32" s="215" t="s">
        <v>0</v>
      </c>
      <c r="I32" s="212">
        <f>SUM(I27:I31)</f>
        <v>424.63</v>
      </c>
      <c r="J32" s="216"/>
    </row>
    <row r="33" spans="1:10" ht="21.9" customHeight="1">
      <c r="A33" s="412" t="s">
        <v>31</v>
      </c>
      <c r="B33" s="412"/>
      <c r="C33" s="412"/>
      <c r="D33" s="212"/>
      <c r="E33" s="213"/>
      <c r="F33" s="210"/>
      <c r="G33" s="217">
        <v>4028</v>
      </c>
      <c r="H33" s="215" t="s">
        <v>1</v>
      </c>
      <c r="I33" s="2">
        <f>I32*G33</f>
        <v>1710409.64</v>
      </c>
      <c r="J33" s="216"/>
    </row>
    <row r="34" spans="1:10" ht="18" customHeight="1">
      <c r="A34" s="218">
        <v>1</v>
      </c>
      <c r="B34" s="210" t="s">
        <v>97</v>
      </c>
      <c r="C34" s="211">
        <v>41162</v>
      </c>
      <c r="D34" s="212">
        <v>206.96</v>
      </c>
      <c r="E34" s="213" t="s">
        <v>50</v>
      </c>
      <c r="F34" s="210" t="s">
        <v>52</v>
      </c>
      <c r="G34" s="210" t="s">
        <v>97</v>
      </c>
      <c r="H34" s="211">
        <v>41162</v>
      </c>
      <c r="I34" s="212">
        <v>206.96</v>
      </c>
      <c r="J34" s="214" t="s">
        <v>735</v>
      </c>
    </row>
    <row r="35" spans="1:10" ht="18" customHeight="1">
      <c r="A35" s="218">
        <v>2</v>
      </c>
      <c r="B35" s="210" t="s">
        <v>100</v>
      </c>
      <c r="C35" s="211">
        <v>41169</v>
      </c>
      <c r="D35" s="212">
        <v>69.7</v>
      </c>
      <c r="E35" s="213" t="s">
        <v>50</v>
      </c>
      <c r="F35" s="210" t="s">
        <v>52</v>
      </c>
      <c r="G35" s="210" t="s">
        <v>100</v>
      </c>
      <c r="H35" s="211">
        <v>41169</v>
      </c>
      <c r="I35" s="212">
        <v>69.7</v>
      </c>
      <c r="J35" s="214" t="s">
        <v>735</v>
      </c>
    </row>
    <row r="36" spans="1:10" ht="18" customHeight="1">
      <c r="A36" s="218">
        <v>3</v>
      </c>
      <c r="B36" s="210" t="s">
        <v>103</v>
      </c>
      <c r="C36" s="211">
        <v>41176</v>
      </c>
      <c r="D36" s="212">
        <v>46.66</v>
      </c>
      <c r="E36" s="213" t="s">
        <v>50</v>
      </c>
      <c r="F36" s="210" t="s">
        <v>52</v>
      </c>
      <c r="G36" s="210" t="s">
        <v>103</v>
      </c>
      <c r="H36" s="211">
        <v>41176</v>
      </c>
      <c r="I36" s="212">
        <v>46.66</v>
      </c>
      <c r="J36" s="214" t="s">
        <v>735</v>
      </c>
    </row>
    <row r="37" spans="1:10" ht="18" customHeight="1">
      <c r="A37" s="412" t="s">
        <v>30</v>
      </c>
      <c r="B37" s="412"/>
      <c r="C37" s="412"/>
      <c r="D37" s="212">
        <f>SUM(D34:D36)</f>
        <v>323.32000000000005</v>
      </c>
      <c r="E37" s="213"/>
      <c r="F37" s="210"/>
      <c r="G37" s="210"/>
      <c r="H37" s="215" t="s">
        <v>0</v>
      </c>
      <c r="I37" s="212">
        <f>SUM(I34:I36)</f>
        <v>323.32000000000005</v>
      </c>
      <c r="J37" s="216"/>
    </row>
    <row r="38" spans="1:10" ht="21.9" customHeight="1">
      <c r="A38" s="412" t="s">
        <v>30</v>
      </c>
      <c r="B38" s="412"/>
      <c r="C38" s="412"/>
      <c r="D38" s="212"/>
      <c r="E38" s="213"/>
      <c r="F38" s="210"/>
      <c r="G38" s="217">
        <v>4044</v>
      </c>
      <c r="H38" s="215" t="s">
        <v>1</v>
      </c>
      <c r="I38" s="2">
        <f>I37*G38</f>
        <v>1307506.0800000003</v>
      </c>
      <c r="J38" s="216"/>
    </row>
    <row r="39" spans="1:10" ht="18" customHeight="1">
      <c r="A39" s="219">
        <v>1</v>
      </c>
      <c r="B39" s="210" t="s">
        <v>109</v>
      </c>
      <c r="C39" s="211">
        <v>41127</v>
      </c>
      <c r="D39" s="212">
        <v>37.840000000000003</v>
      </c>
      <c r="E39" s="213" t="s">
        <v>50</v>
      </c>
      <c r="F39" s="210" t="s">
        <v>52</v>
      </c>
      <c r="G39" s="210" t="s">
        <v>109</v>
      </c>
      <c r="H39" s="211">
        <v>41127</v>
      </c>
      <c r="I39" s="212">
        <v>37.840000000000003</v>
      </c>
      <c r="J39" s="214" t="s">
        <v>735</v>
      </c>
    </row>
    <row r="40" spans="1:10" ht="18" customHeight="1">
      <c r="A40" s="218">
        <v>2</v>
      </c>
      <c r="B40" s="210" t="s">
        <v>111</v>
      </c>
      <c r="C40" s="211">
        <v>41134</v>
      </c>
      <c r="D40" s="212">
        <v>95.46</v>
      </c>
      <c r="E40" s="213" t="s">
        <v>50</v>
      </c>
      <c r="F40" s="210" t="s">
        <v>52</v>
      </c>
      <c r="G40" s="210" t="s">
        <v>111</v>
      </c>
      <c r="H40" s="211">
        <v>41134</v>
      </c>
      <c r="I40" s="212">
        <v>95.46</v>
      </c>
      <c r="J40" s="214" t="s">
        <v>735</v>
      </c>
    </row>
    <row r="41" spans="1:10" ht="18" customHeight="1">
      <c r="A41" s="218">
        <v>3</v>
      </c>
      <c r="B41" s="210" t="s">
        <v>113</v>
      </c>
      <c r="C41" s="211">
        <v>41141</v>
      </c>
      <c r="D41" s="212">
        <v>106.66</v>
      </c>
      <c r="E41" s="213" t="s">
        <v>50</v>
      </c>
      <c r="F41" s="210" t="s">
        <v>52</v>
      </c>
      <c r="G41" s="210" t="s">
        <v>113</v>
      </c>
      <c r="H41" s="211">
        <v>41141</v>
      </c>
      <c r="I41" s="212">
        <v>106.66</v>
      </c>
      <c r="J41" s="214" t="s">
        <v>735</v>
      </c>
    </row>
    <row r="42" spans="1:10" ht="18" customHeight="1">
      <c r="A42" s="218">
        <v>4</v>
      </c>
      <c r="B42" s="210" t="s">
        <v>115</v>
      </c>
      <c r="C42" s="211">
        <v>41148</v>
      </c>
      <c r="D42" s="212">
        <v>32.799999999999997</v>
      </c>
      <c r="E42" s="213" t="s">
        <v>50</v>
      </c>
      <c r="F42" s="210" t="s">
        <v>52</v>
      </c>
      <c r="G42" s="210" t="s">
        <v>115</v>
      </c>
      <c r="H42" s="211">
        <v>41148</v>
      </c>
      <c r="I42" s="212">
        <v>32.799999999999997</v>
      </c>
      <c r="J42" s="214" t="s">
        <v>735</v>
      </c>
    </row>
    <row r="43" spans="1:10" ht="18" customHeight="1">
      <c r="A43" s="412" t="s">
        <v>29</v>
      </c>
      <c r="B43" s="412"/>
      <c r="C43" s="412"/>
      <c r="D43" s="212">
        <f>SUM(D39:D42)</f>
        <v>272.76</v>
      </c>
      <c r="E43" s="213"/>
      <c r="F43" s="210"/>
      <c r="G43" s="210"/>
      <c r="H43" s="215" t="s">
        <v>0</v>
      </c>
      <c r="I43" s="212">
        <f>SUM(I39:I42)</f>
        <v>272.76</v>
      </c>
      <c r="J43" s="216"/>
    </row>
    <row r="44" spans="1:10" ht="21.9" customHeight="1">
      <c r="A44" s="412" t="s">
        <v>29</v>
      </c>
      <c r="B44" s="412"/>
      <c r="C44" s="412"/>
      <c r="D44" s="212"/>
      <c r="E44" s="213"/>
      <c r="F44" s="210"/>
      <c r="G44" s="217">
        <v>4053</v>
      </c>
      <c r="H44" s="215" t="s">
        <v>1</v>
      </c>
      <c r="I44" s="2">
        <f>I43*G44</f>
        <v>1105496.28</v>
      </c>
      <c r="J44" s="216"/>
    </row>
    <row r="45" spans="1:10" ht="18" customHeight="1">
      <c r="A45" s="219">
        <v>1</v>
      </c>
      <c r="B45" s="210" t="s">
        <v>116</v>
      </c>
      <c r="C45" s="211">
        <v>41092</v>
      </c>
      <c r="D45" s="212">
        <v>29.26</v>
      </c>
      <c r="E45" s="213" t="s">
        <v>50</v>
      </c>
      <c r="F45" s="210" t="s">
        <v>52</v>
      </c>
      <c r="G45" s="210" t="s">
        <v>116</v>
      </c>
      <c r="H45" s="211">
        <v>41092</v>
      </c>
      <c r="I45" s="212">
        <v>29.26</v>
      </c>
      <c r="J45" s="214" t="s">
        <v>735</v>
      </c>
    </row>
    <row r="46" spans="1:10" ht="18" customHeight="1">
      <c r="A46" s="219">
        <v>2</v>
      </c>
      <c r="B46" s="210" t="s">
        <v>117</v>
      </c>
      <c r="C46" s="211">
        <v>41099</v>
      </c>
      <c r="D46" s="212">
        <v>24.66</v>
      </c>
      <c r="E46" s="213" t="s">
        <v>50</v>
      </c>
      <c r="F46" s="210" t="s">
        <v>52</v>
      </c>
      <c r="G46" s="210" t="s">
        <v>117</v>
      </c>
      <c r="H46" s="211">
        <v>41099</v>
      </c>
      <c r="I46" s="212">
        <v>24.66</v>
      </c>
      <c r="J46" s="214" t="s">
        <v>735</v>
      </c>
    </row>
    <row r="47" spans="1:10" ht="18" customHeight="1">
      <c r="A47" s="219">
        <v>3</v>
      </c>
      <c r="B47" s="210" t="s">
        <v>120</v>
      </c>
      <c r="C47" s="211">
        <v>41106</v>
      </c>
      <c r="D47" s="212">
        <v>31.02</v>
      </c>
      <c r="E47" s="213" t="s">
        <v>50</v>
      </c>
      <c r="F47" s="210" t="s">
        <v>52</v>
      </c>
      <c r="G47" s="210" t="s">
        <v>120</v>
      </c>
      <c r="H47" s="211">
        <v>41106</v>
      </c>
      <c r="I47" s="212">
        <v>31.02</v>
      </c>
      <c r="J47" s="214" t="s">
        <v>735</v>
      </c>
    </row>
    <row r="48" spans="1:10" ht="18" customHeight="1">
      <c r="A48" s="219">
        <v>4</v>
      </c>
      <c r="B48" s="210" t="s">
        <v>122</v>
      </c>
      <c r="C48" s="211">
        <v>41113</v>
      </c>
      <c r="D48" s="212">
        <v>209.58</v>
      </c>
      <c r="E48" s="213" t="s">
        <v>50</v>
      </c>
      <c r="F48" s="210" t="s">
        <v>52</v>
      </c>
      <c r="G48" s="210" t="s">
        <v>122</v>
      </c>
      <c r="H48" s="211">
        <v>41113</v>
      </c>
      <c r="I48" s="212">
        <v>209.58</v>
      </c>
      <c r="J48" s="214" t="s">
        <v>735</v>
      </c>
    </row>
    <row r="49" spans="1:10" ht="18" customHeight="1">
      <c r="A49" s="219">
        <v>5</v>
      </c>
      <c r="B49" s="210" t="s">
        <v>125</v>
      </c>
      <c r="C49" s="211">
        <v>41115</v>
      </c>
      <c r="D49" s="212">
        <v>66.92</v>
      </c>
      <c r="E49" s="213" t="s">
        <v>50</v>
      </c>
      <c r="F49" s="210" t="s">
        <v>52</v>
      </c>
      <c r="G49" s="210" t="s">
        <v>125</v>
      </c>
      <c r="H49" s="211">
        <v>41115</v>
      </c>
      <c r="I49" s="212">
        <v>66.92</v>
      </c>
      <c r="J49" s="214" t="s">
        <v>735</v>
      </c>
    </row>
    <row r="50" spans="1:10" ht="18" customHeight="1">
      <c r="A50" s="219">
        <v>6</v>
      </c>
      <c r="B50" s="210" t="s">
        <v>126</v>
      </c>
      <c r="C50" s="211">
        <v>41120</v>
      </c>
      <c r="D50" s="212">
        <v>73.23</v>
      </c>
      <c r="E50" s="213" t="s">
        <v>50</v>
      </c>
      <c r="F50" s="210" t="s">
        <v>52</v>
      </c>
      <c r="G50" s="210" t="s">
        <v>126</v>
      </c>
      <c r="H50" s="211">
        <v>41120</v>
      </c>
      <c r="I50" s="212">
        <v>73.23</v>
      </c>
      <c r="J50" s="214" t="s">
        <v>735</v>
      </c>
    </row>
    <row r="51" spans="1:10" ht="18" customHeight="1">
      <c r="A51" s="219">
        <v>7</v>
      </c>
      <c r="B51" s="210" t="s">
        <v>127</v>
      </c>
      <c r="C51" s="211">
        <v>41120</v>
      </c>
      <c r="D51" s="212">
        <v>27.84</v>
      </c>
      <c r="E51" s="213" t="s">
        <v>50</v>
      </c>
      <c r="F51" s="210" t="s">
        <v>52</v>
      </c>
      <c r="G51" s="210" t="s">
        <v>127</v>
      </c>
      <c r="H51" s="211">
        <v>41120</v>
      </c>
      <c r="I51" s="212">
        <v>27.84</v>
      </c>
      <c r="J51" s="214" t="s">
        <v>735</v>
      </c>
    </row>
    <row r="52" spans="1:10" ht="18" customHeight="1">
      <c r="A52" s="412" t="s">
        <v>28</v>
      </c>
      <c r="B52" s="412"/>
      <c r="C52" s="412"/>
      <c r="D52" s="212">
        <f>SUM(D45:D51)</f>
        <v>462.51</v>
      </c>
      <c r="E52" s="213"/>
      <c r="F52" s="210"/>
      <c r="G52" s="210"/>
      <c r="H52" s="215" t="s">
        <v>0</v>
      </c>
      <c r="I52" s="212">
        <f>SUM(I45:I51)</f>
        <v>462.51</v>
      </c>
      <c r="J52" s="216"/>
    </row>
    <row r="53" spans="1:10" ht="21.9" customHeight="1">
      <c r="A53" s="412" t="s">
        <v>28</v>
      </c>
      <c r="B53" s="412"/>
      <c r="C53" s="412"/>
      <c r="D53" s="212"/>
      <c r="E53" s="213"/>
      <c r="F53" s="210"/>
      <c r="G53" s="217">
        <v>4073</v>
      </c>
      <c r="H53" s="215" t="s">
        <v>1</v>
      </c>
      <c r="I53" s="2">
        <f>I52*G53</f>
        <v>1883803.23</v>
      </c>
      <c r="J53" s="216"/>
    </row>
    <row r="54" spans="1:10" ht="18" customHeight="1">
      <c r="A54" s="219">
        <v>1</v>
      </c>
      <c r="B54" s="220" t="s">
        <v>129</v>
      </c>
      <c r="C54" s="221">
        <v>41267</v>
      </c>
      <c r="D54" s="1">
        <v>53.34</v>
      </c>
      <c r="E54" s="213" t="s">
        <v>50</v>
      </c>
      <c r="F54" s="220" t="s">
        <v>52</v>
      </c>
      <c r="G54" s="220" t="s">
        <v>129</v>
      </c>
      <c r="H54" s="222">
        <v>41267</v>
      </c>
      <c r="I54" s="1">
        <v>53.34</v>
      </c>
      <c r="J54" s="214" t="s">
        <v>735</v>
      </c>
    </row>
    <row r="55" spans="1:10" ht="18" customHeight="1">
      <c r="A55" s="219">
        <v>2</v>
      </c>
      <c r="B55" s="220" t="s">
        <v>130</v>
      </c>
      <c r="C55" s="221">
        <v>41267</v>
      </c>
      <c r="D55" s="1">
        <v>63.05</v>
      </c>
      <c r="E55" s="213" t="s">
        <v>50</v>
      </c>
      <c r="F55" s="220" t="s">
        <v>52</v>
      </c>
      <c r="G55" s="220" t="s">
        <v>130</v>
      </c>
      <c r="H55" s="222">
        <v>41267</v>
      </c>
      <c r="I55" s="1">
        <v>63.05</v>
      </c>
      <c r="J55" s="214" t="s">
        <v>735</v>
      </c>
    </row>
    <row r="56" spans="1:10" ht="18" customHeight="1">
      <c r="A56" s="219">
        <v>3</v>
      </c>
      <c r="B56" s="220" t="s">
        <v>134</v>
      </c>
      <c r="C56" s="221">
        <v>41281</v>
      </c>
      <c r="D56" s="1">
        <v>81</v>
      </c>
      <c r="E56" s="213" t="s">
        <v>50</v>
      </c>
      <c r="F56" s="220" t="s">
        <v>52</v>
      </c>
      <c r="G56" s="220" t="s">
        <v>134</v>
      </c>
      <c r="H56" s="222">
        <v>41281</v>
      </c>
      <c r="I56" s="1">
        <v>81</v>
      </c>
      <c r="J56" s="214" t="s">
        <v>735</v>
      </c>
    </row>
    <row r="57" spans="1:10" ht="18" customHeight="1">
      <c r="A57" s="219">
        <v>4</v>
      </c>
      <c r="B57" s="220" t="s">
        <v>135</v>
      </c>
      <c r="C57" s="221">
        <v>41281</v>
      </c>
      <c r="D57" s="1">
        <v>335.98</v>
      </c>
      <c r="E57" s="213" t="s">
        <v>50</v>
      </c>
      <c r="F57" s="210" t="s">
        <v>52</v>
      </c>
      <c r="G57" s="220" t="s">
        <v>135</v>
      </c>
      <c r="H57" s="222">
        <v>41281</v>
      </c>
      <c r="I57" s="1">
        <v>335.98</v>
      </c>
      <c r="J57" s="214" t="s">
        <v>735</v>
      </c>
    </row>
    <row r="58" spans="1:10" ht="18" customHeight="1">
      <c r="A58" s="219">
        <v>5</v>
      </c>
      <c r="B58" s="220" t="s">
        <v>138</v>
      </c>
      <c r="C58" s="222">
        <v>41282</v>
      </c>
      <c r="D58" s="1">
        <v>10</v>
      </c>
      <c r="E58" s="213" t="s">
        <v>50</v>
      </c>
      <c r="F58" s="220" t="s">
        <v>52</v>
      </c>
      <c r="G58" s="220" t="s">
        <v>138</v>
      </c>
      <c r="H58" s="222">
        <v>41282</v>
      </c>
      <c r="I58" s="1">
        <v>10</v>
      </c>
      <c r="J58" s="214" t="s">
        <v>735</v>
      </c>
    </row>
    <row r="59" spans="1:10" ht="18" customHeight="1">
      <c r="A59" s="219">
        <v>6</v>
      </c>
      <c r="B59" s="220" t="s">
        <v>139</v>
      </c>
      <c r="C59" s="222">
        <v>41285</v>
      </c>
      <c r="D59" s="1">
        <v>7.2</v>
      </c>
      <c r="E59" s="213" t="s">
        <v>50</v>
      </c>
      <c r="F59" s="220" t="s">
        <v>52</v>
      </c>
      <c r="G59" s="220" t="s">
        <v>139</v>
      </c>
      <c r="H59" s="222">
        <v>41285</v>
      </c>
      <c r="I59" s="1">
        <v>7.2</v>
      </c>
      <c r="J59" s="214" t="s">
        <v>735</v>
      </c>
    </row>
    <row r="60" spans="1:10" ht="18" customHeight="1">
      <c r="A60" s="219">
        <v>7</v>
      </c>
      <c r="B60" s="220" t="s">
        <v>140</v>
      </c>
      <c r="C60" s="222">
        <v>41286</v>
      </c>
      <c r="D60" s="1">
        <v>217.03</v>
      </c>
      <c r="E60" s="213" t="s">
        <v>50</v>
      </c>
      <c r="F60" s="210" t="s">
        <v>52</v>
      </c>
      <c r="G60" s="220" t="s">
        <v>140</v>
      </c>
      <c r="H60" s="222">
        <v>41288</v>
      </c>
      <c r="I60" s="1">
        <v>217.03</v>
      </c>
      <c r="J60" s="214" t="s">
        <v>735</v>
      </c>
    </row>
    <row r="61" spans="1:10" ht="18" customHeight="1">
      <c r="A61" s="219">
        <v>8</v>
      </c>
      <c r="B61" s="220" t="s">
        <v>141</v>
      </c>
      <c r="C61" s="222">
        <v>41289</v>
      </c>
      <c r="D61" s="1">
        <v>10</v>
      </c>
      <c r="E61" s="213" t="s">
        <v>50</v>
      </c>
      <c r="F61" s="220" t="s">
        <v>52</v>
      </c>
      <c r="G61" s="220" t="s">
        <v>141</v>
      </c>
      <c r="H61" s="222">
        <v>41289</v>
      </c>
      <c r="I61" s="1">
        <v>10</v>
      </c>
      <c r="J61" s="214" t="s">
        <v>735</v>
      </c>
    </row>
    <row r="62" spans="1:10" ht="18" customHeight="1">
      <c r="A62" s="219">
        <v>9</v>
      </c>
      <c r="B62" s="220" t="s">
        <v>147</v>
      </c>
      <c r="C62" s="222">
        <v>41296</v>
      </c>
      <c r="D62" s="1">
        <v>25.25</v>
      </c>
      <c r="E62" s="213" t="s">
        <v>50</v>
      </c>
      <c r="F62" s="220" t="s">
        <v>52</v>
      </c>
      <c r="G62" s="220" t="s">
        <v>147</v>
      </c>
      <c r="H62" s="222">
        <v>41296</v>
      </c>
      <c r="I62" s="1">
        <v>25.25</v>
      </c>
      <c r="J62" s="214" t="s">
        <v>735</v>
      </c>
    </row>
    <row r="63" spans="1:10" ht="18" customHeight="1">
      <c r="A63" s="219">
        <v>10</v>
      </c>
      <c r="B63" s="220" t="s">
        <v>148</v>
      </c>
      <c r="C63" s="222">
        <v>41302</v>
      </c>
      <c r="D63" s="1">
        <v>357.23</v>
      </c>
      <c r="E63" s="213" t="s">
        <v>50</v>
      </c>
      <c r="F63" s="210" t="s">
        <v>52</v>
      </c>
      <c r="G63" s="220" t="s">
        <v>148</v>
      </c>
      <c r="H63" s="222">
        <v>41302</v>
      </c>
      <c r="I63" s="1">
        <v>357.23</v>
      </c>
      <c r="J63" s="214" t="s">
        <v>735</v>
      </c>
    </row>
    <row r="64" spans="1:10" ht="18" customHeight="1">
      <c r="A64" s="412" t="s">
        <v>33</v>
      </c>
      <c r="B64" s="412"/>
      <c r="C64" s="412"/>
      <c r="D64" s="1">
        <f>SUM(D54:D63)</f>
        <v>1160.08</v>
      </c>
      <c r="E64" s="213"/>
      <c r="F64" s="210"/>
      <c r="G64" s="223"/>
      <c r="H64" s="215" t="s">
        <v>0</v>
      </c>
      <c r="I64" s="1">
        <f>SUM(I54:I63)</f>
        <v>1160.08</v>
      </c>
      <c r="J64" s="216"/>
    </row>
    <row r="65" spans="1:10" ht="21.9" customHeight="1">
      <c r="A65" s="412" t="s">
        <v>33</v>
      </c>
      <c r="B65" s="412"/>
      <c r="C65" s="412"/>
      <c r="D65" s="1"/>
      <c r="E65" s="213"/>
      <c r="F65" s="210"/>
      <c r="G65" s="217">
        <v>3995</v>
      </c>
      <c r="H65" s="215" t="s">
        <v>1</v>
      </c>
      <c r="I65" s="2">
        <f>I64*G65</f>
        <v>4634519.5999999996</v>
      </c>
      <c r="J65" s="216"/>
    </row>
    <row r="66" spans="1:10" ht="18" customHeight="1">
      <c r="A66" s="219">
        <v>1</v>
      </c>
      <c r="B66" s="220" t="s">
        <v>157</v>
      </c>
      <c r="C66" s="222">
        <v>41310</v>
      </c>
      <c r="D66" s="1">
        <v>28.52</v>
      </c>
      <c r="E66" s="213" t="s">
        <v>50</v>
      </c>
      <c r="F66" s="220" t="s">
        <v>52</v>
      </c>
      <c r="G66" s="220" t="s">
        <v>157</v>
      </c>
      <c r="H66" s="222">
        <v>41310</v>
      </c>
      <c r="I66" s="1">
        <v>28.52</v>
      </c>
      <c r="J66" s="214" t="s">
        <v>735</v>
      </c>
    </row>
    <row r="67" spans="1:10" ht="18" customHeight="1">
      <c r="A67" s="218">
        <v>2</v>
      </c>
      <c r="B67" s="220" t="s">
        <v>158</v>
      </c>
      <c r="C67" s="222">
        <v>41310</v>
      </c>
      <c r="D67" s="1">
        <v>374.87</v>
      </c>
      <c r="E67" s="213" t="s">
        <v>50</v>
      </c>
      <c r="F67" s="210" t="s">
        <v>52</v>
      </c>
      <c r="G67" s="220" t="s">
        <v>158</v>
      </c>
      <c r="H67" s="222">
        <v>41310</v>
      </c>
      <c r="I67" s="1">
        <v>374.87</v>
      </c>
      <c r="J67" s="214" t="s">
        <v>735</v>
      </c>
    </row>
    <row r="68" spans="1:10" ht="18" customHeight="1">
      <c r="A68" s="219">
        <v>3</v>
      </c>
      <c r="B68" s="220" t="s">
        <v>162</v>
      </c>
      <c r="C68" s="222">
        <v>41312</v>
      </c>
      <c r="D68" s="1">
        <v>10</v>
      </c>
      <c r="E68" s="213" t="s">
        <v>50</v>
      </c>
      <c r="F68" s="220" t="s">
        <v>52</v>
      </c>
      <c r="G68" s="220" t="s">
        <v>162</v>
      </c>
      <c r="H68" s="222">
        <v>41312</v>
      </c>
      <c r="I68" s="1">
        <v>10</v>
      </c>
      <c r="J68" s="214" t="s">
        <v>735</v>
      </c>
    </row>
    <row r="69" spans="1:10" ht="18" customHeight="1">
      <c r="A69" s="218">
        <v>4</v>
      </c>
      <c r="B69" s="220" t="s">
        <v>163</v>
      </c>
      <c r="C69" s="222">
        <v>41316</v>
      </c>
      <c r="D69" s="1">
        <v>115</v>
      </c>
      <c r="E69" s="213" t="s">
        <v>50</v>
      </c>
      <c r="F69" s="210" t="s">
        <v>52</v>
      </c>
      <c r="G69" s="220" t="s">
        <v>163</v>
      </c>
      <c r="H69" s="222">
        <v>41316</v>
      </c>
      <c r="I69" s="1">
        <v>115</v>
      </c>
      <c r="J69" s="214" t="s">
        <v>735</v>
      </c>
    </row>
    <row r="70" spans="1:10" ht="18" customHeight="1">
      <c r="A70" s="219">
        <v>5</v>
      </c>
      <c r="B70" s="220" t="s">
        <v>164</v>
      </c>
      <c r="C70" s="222">
        <v>41317</v>
      </c>
      <c r="D70" s="1">
        <v>4</v>
      </c>
      <c r="E70" s="213" t="s">
        <v>50</v>
      </c>
      <c r="F70" s="220" t="s">
        <v>52</v>
      </c>
      <c r="G70" s="220" t="s">
        <v>164</v>
      </c>
      <c r="H70" s="222">
        <v>41317</v>
      </c>
      <c r="I70" s="1">
        <v>4</v>
      </c>
      <c r="J70" s="214" t="s">
        <v>735</v>
      </c>
    </row>
    <row r="71" spans="1:10" ht="18" customHeight="1">
      <c r="A71" s="218">
        <v>6</v>
      </c>
      <c r="B71" s="220" t="s">
        <v>166</v>
      </c>
      <c r="C71" s="222">
        <v>41323</v>
      </c>
      <c r="D71" s="1">
        <v>266.83</v>
      </c>
      <c r="E71" s="213" t="s">
        <v>50</v>
      </c>
      <c r="F71" s="210" t="s">
        <v>52</v>
      </c>
      <c r="G71" s="220" t="s">
        <v>166</v>
      </c>
      <c r="H71" s="222">
        <v>41323</v>
      </c>
      <c r="I71" s="1">
        <v>266.83</v>
      </c>
      <c r="J71" s="214" t="s">
        <v>735</v>
      </c>
    </row>
    <row r="72" spans="1:10" ht="18" customHeight="1">
      <c r="A72" s="219">
        <v>7</v>
      </c>
      <c r="B72" s="220" t="s">
        <v>171</v>
      </c>
      <c r="C72" s="222">
        <v>41326</v>
      </c>
      <c r="D72" s="1">
        <v>20</v>
      </c>
      <c r="E72" s="213" t="s">
        <v>50</v>
      </c>
      <c r="F72" s="220" t="s">
        <v>52</v>
      </c>
      <c r="G72" s="220" t="s">
        <v>171</v>
      </c>
      <c r="H72" s="222">
        <v>41326</v>
      </c>
      <c r="I72" s="1">
        <v>20</v>
      </c>
      <c r="J72" s="214" t="s">
        <v>735</v>
      </c>
    </row>
    <row r="73" spans="1:10" ht="18" customHeight="1">
      <c r="A73" s="218">
        <v>8</v>
      </c>
      <c r="B73" s="220" t="s">
        <v>175</v>
      </c>
      <c r="C73" s="222">
        <v>41331</v>
      </c>
      <c r="D73" s="1">
        <v>142.19</v>
      </c>
      <c r="E73" s="213" t="s">
        <v>50</v>
      </c>
      <c r="F73" s="210" t="s">
        <v>52</v>
      </c>
      <c r="G73" s="220" t="s">
        <v>175</v>
      </c>
      <c r="H73" s="222">
        <v>41331</v>
      </c>
      <c r="I73" s="1">
        <v>142.19</v>
      </c>
      <c r="J73" s="214" t="s">
        <v>735</v>
      </c>
    </row>
    <row r="74" spans="1:10" ht="18" customHeight="1">
      <c r="A74" s="412" t="s">
        <v>34</v>
      </c>
      <c r="B74" s="412"/>
      <c r="C74" s="412"/>
      <c r="D74" s="1">
        <f>SUM(D66:D73)</f>
        <v>961.41000000000008</v>
      </c>
      <c r="E74" s="213"/>
      <c r="F74" s="210"/>
      <c r="G74" s="223"/>
      <c r="H74" s="215" t="s">
        <v>0</v>
      </c>
      <c r="I74" s="1">
        <f>SUM(I66:I73)</f>
        <v>961.41000000000008</v>
      </c>
      <c r="J74" s="216"/>
    </row>
    <row r="75" spans="1:10" ht="21.9" customHeight="1">
      <c r="A75" s="412" t="s">
        <v>34</v>
      </c>
      <c r="B75" s="412"/>
      <c r="C75" s="412"/>
      <c r="D75" s="1"/>
      <c r="E75" s="213"/>
      <c r="F75" s="210"/>
      <c r="G75" s="224">
        <v>3995</v>
      </c>
      <c r="H75" s="215" t="s">
        <v>1</v>
      </c>
      <c r="I75" s="2">
        <f>I74*G75</f>
        <v>3840832.95</v>
      </c>
      <c r="J75" s="216"/>
    </row>
    <row r="76" spans="1:10" ht="18" customHeight="1">
      <c r="A76" s="218">
        <v>1</v>
      </c>
      <c r="B76" s="220" t="s">
        <v>178</v>
      </c>
      <c r="C76" s="222">
        <v>41337</v>
      </c>
      <c r="D76" s="1">
        <v>115.18</v>
      </c>
      <c r="E76" s="213" t="s">
        <v>50</v>
      </c>
      <c r="F76" s="210" t="s">
        <v>52</v>
      </c>
      <c r="G76" s="220" t="s">
        <v>178</v>
      </c>
      <c r="H76" s="222">
        <v>41337</v>
      </c>
      <c r="I76" s="1">
        <v>115.18</v>
      </c>
      <c r="J76" s="214" t="s">
        <v>735</v>
      </c>
    </row>
    <row r="77" spans="1:10" ht="18" customHeight="1">
      <c r="A77" s="218">
        <v>2</v>
      </c>
      <c r="B77" s="220" t="s">
        <v>179</v>
      </c>
      <c r="C77" s="222">
        <v>41337</v>
      </c>
      <c r="D77" s="1">
        <v>107.71</v>
      </c>
      <c r="E77" s="213" t="s">
        <v>50</v>
      </c>
      <c r="F77" s="210" t="s">
        <v>52</v>
      </c>
      <c r="G77" s="220" t="s">
        <v>179</v>
      </c>
      <c r="H77" s="222">
        <v>41337</v>
      </c>
      <c r="I77" s="1">
        <v>107.71</v>
      </c>
      <c r="J77" s="214" t="s">
        <v>735</v>
      </c>
    </row>
    <row r="78" spans="1:10" ht="18" customHeight="1">
      <c r="A78" s="218">
        <v>3</v>
      </c>
      <c r="B78" s="220" t="s">
        <v>181</v>
      </c>
      <c r="C78" s="222">
        <v>41344</v>
      </c>
      <c r="D78" s="1">
        <v>109.81</v>
      </c>
      <c r="E78" s="213" t="s">
        <v>50</v>
      </c>
      <c r="F78" s="210" t="s">
        <v>52</v>
      </c>
      <c r="G78" s="220" t="s">
        <v>181</v>
      </c>
      <c r="H78" s="222">
        <v>41344</v>
      </c>
      <c r="I78" s="1">
        <v>109.81</v>
      </c>
      <c r="J78" s="214" t="s">
        <v>735</v>
      </c>
    </row>
    <row r="79" spans="1:10" ht="18" customHeight="1">
      <c r="A79" s="218">
        <v>4</v>
      </c>
      <c r="B79" s="220" t="s">
        <v>725</v>
      </c>
      <c r="C79" s="222">
        <v>41351</v>
      </c>
      <c r="D79" s="1">
        <v>307.83999999999997</v>
      </c>
      <c r="E79" s="213" t="s">
        <v>50</v>
      </c>
      <c r="F79" s="210" t="s">
        <v>52</v>
      </c>
      <c r="G79" s="220" t="s">
        <v>725</v>
      </c>
      <c r="H79" s="222">
        <v>41351</v>
      </c>
      <c r="I79" s="1">
        <v>307.83999999999997</v>
      </c>
      <c r="J79" s="214" t="s">
        <v>735</v>
      </c>
    </row>
    <row r="80" spans="1:10" ht="18" customHeight="1">
      <c r="A80" s="218">
        <v>5</v>
      </c>
      <c r="B80" s="220" t="s">
        <v>189</v>
      </c>
      <c r="C80" s="222">
        <v>41354</v>
      </c>
      <c r="D80" s="1">
        <v>8</v>
      </c>
      <c r="E80" s="213" t="s">
        <v>177</v>
      </c>
      <c r="F80" s="220" t="s">
        <v>52</v>
      </c>
      <c r="G80" s="220" t="s">
        <v>189</v>
      </c>
      <c r="H80" s="222">
        <v>41354</v>
      </c>
      <c r="I80" s="1">
        <v>8</v>
      </c>
      <c r="J80" s="214" t="s">
        <v>735</v>
      </c>
    </row>
    <row r="81" spans="1:10" ht="18" customHeight="1">
      <c r="A81" s="218">
        <v>6</v>
      </c>
      <c r="B81" s="220" t="s">
        <v>190</v>
      </c>
      <c r="C81" s="222">
        <v>41354</v>
      </c>
      <c r="D81" s="1">
        <v>10</v>
      </c>
      <c r="E81" s="213" t="s">
        <v>177</v>
      </c>
      <c r="F81" s="220" t="s">
        <v>52</v>
      </c>
      <c r="G81" s="220" t="s">
        <v>190</v>
      </c>
      <c r="H81" s="222">
        <v>41354</v>
      </c>
      <c r="I81" s="1">
        <v>10</v>
      </c>
      <c r="J81" s="214" t="s">
        <v>735</v>
      </c>
    </row>
    <row r="82" spans="1:10" ht="18" customHeight="1">
      <c r="A82" s="218">
        <v>7</v>
      </c>
      <c r="B82" s="220" t="s">
        <v>194</v>
      </c>
      <c r="C82" s="222">
        <v>41358</v>
      </c>
      <c r="D82" s="1">
        <v>190.8</v>
      </c>
      <c r="E82" s="213" t="s">
        <v>50</v>
      </c>
      <c r="F82" s="210" t="s">
        <v>52</v>
      </c>
      <c r="G82" s="220" t="s">
        <v>194</v>
      </c>
      <c r="H82" s="222">
        <v>41358</v>
      </c>
      <c r="I82" s="1">
        <v>190.8</v>
      </c>
      <c r="J82" s="214" t="s">
        <v>735</v>
      </c>
    </row>
    <row r="83" spans="1:10" ht="18" customHeight="1">
      <c r="A83" s="218">
        <v>8</v>
      </c>
      <c r="B83" s="220" t="s">
        <v>726</v>
      </c>
      <c r="C83" s="222">
        <v>41360</v>
      </c>
      <c r="D83" s="1">
        <v>8</v>
      </c>
      <c r="E83" s="213" t="s">
        <v>177</v>
      </c>
      <c r="F83" s="220" t="s">
        <v>52</v>
      </c>
      <c r="G83" s="220" t="s">
        <v>726</v>
      </c>
      <c r="H83" s="222">
        <v>41360</v>
      </c>
      <c r="I83" s="1">
        <v>8</v>
      </c>
      <c r="J83" s="214" t="s">
        <v>735</v>
      </c>
    </row>
    <row r="84" spans="1:10" ht="18" customHeight="1">
      <c r="A84" s="218">
        <v>9</v>
      </c>
      <c r="B84" s="220" t="s">
        <v>727</v>
      </c>
      <c r="C84" s="222">
        <v>41360</v>
      </c>
      <c r="D84" s="1">
        <v>10</v>
      </c>
      <c r="E84" s="213" t="s">
        <v>177</v>
      </c>
      <c r="F84" s="220" t="s">
        <v>52</v>
      </c>
      <c r="G84" s="220" t="s">
        <v>727</v>
      </c>
      <c r="H84" s="222">
        <v>41360</v>
      </c>
      <c r="I84" s="1">
        <v>10</v>
      </c>
      <c r="J84" s="214" t="s">
        <v>735</v>
      </c>
    </row>
    <row r="85" spans="1:10" ht="18" customHeight="1">
      <c r="A85" s="412" t="s">
        <v>35</v>
      </c>
      <c r="B85" s="412"/>
      <c r="C85" s="412"/>
      <c r="D85" s="1">
        <f>SUM(D76:D84)</f>
        <v>867.33999999999992</v>
      </c>
      <c r="E85" s="213"/>
      <c r="F85" s="210"/>
      <c r="G85" s="223"/>
      <c r="H85" s="215" t="s">
        <v>0</v>
      </c>
      <c r="I85" s="1">
        <f>SUM(I76:I84)</f>
        <v>867.33999999999992</v>
      </c>
      <c r="J85" s="216"/>
    </row>
    <row r="86" spans="1:10" ht="21.9" customHeight="1">
      <c r="A86" s="412" t="s">
        <v>35</v>
      </c>
      <c r="B86" s="412"/>
      <c r="C86" s="412"/>
      <c r="D86" s="1"/>
      <c r="E86" s="213"/>
      <c r="F86" s="210"/>
      <c r="G86" s="217">
        <v>3995</v>
      </c>
      <c r="H86" s="215" t="s">
        <v>1</v>
      </c>
      <c r="I86" s="2">
        <f>I85*G86</f>
        <v>3465023.3</v>
      </c>
      <c r="J86" s="216"/>
    </row>
    <row r="87" spans="1:10" ht="18" customHeight="1">
      <c r="A87" s="219">
        <v>1</v>
      </c>
      <c r="B87" s="220" t="s">
        <v>200</v>
      </c>
      <c r="C87" s="222">
        <v>41365</v>
      </c>
      <c r="D87" s="1">
        <v>40.32</v>
      </c>
      <c r="E87" s="213" t="s">
        <v>177</v>
      </c>
      <c r="F87" s="220" t="s">
        <v>176</v>
      </c>
      <c r="G87" s="220" t="s">
        <v>200</v>
      </c>
      <c r="H87" s="222">
        <v>41365</v>
      </c>
      <c r="I87" s="1">
        <v>40.32</v>
      </c>
      <c r="J87" s="214" t="s">
        <v>735</v>
      </c>
    </row>
    <row r="88" spans="1:10" ht="18" customHeight="1">
      <c r="A88" s="218">
        <v>2</v>
      </c>
      <c r="B88" s="220" t="s">
        <v>201</v>
      </c>
      <c r="C88" s="222">
        <v>41366</v>
      </c>
      <c r="D88" s="1">
        <v>168.98</v>
      </c>
      <c r="E88" s="213" t="s">
        <v>50</v>
      </c>
      <c r="F88" s="210" t="s">
        <v>52</v>
      </c>
      <c r="G88" s="220" t="s">
        <v>201</v>
      </c>
      <c r="H88" s="222">
        <v>41366</v>
      </c>
      <c r="I88" s="1">
        <v>168.98</v>
      </c>
      <c r="J88" s="214" t="s">
        <v>735</v>
      </c>
    </row>
    <row r="89" spans="1:10" ht="18" customHeight="1">
      <c r="A89" s="219">
        <v>3</v>
      </c>
      <c r="B89" s="220" t="s">
        <v>203</v>
      </c>
      <c r="C89" s="222">
        <v>41372</v>
      </c>
      <c r="D89" s="1">
        <v>104.23</v>
      </c>
      <c r="E89" s="213" t="s">
        <v>50</v>
      </c>
      <c r="F89" s="210" t="s">
        <v>52</v>
      </c>
      <c r="G89" s="220" t="s">
        <v>203</v>
      </c>
      <c r="H89" s="222">
        <v>41372</v>
      </c>
      <c r="I89" s="1">
        <v>104.23</v>
      </c>
      <c r="J89" s="214" t="s">
        <v>735</v>
      </c>
    </row>
    <row r="90" spans="1:10" ht="18" customHeight="1">
      <c r="A90" s="218">
        <v>4</v>
      </c>
      <c r="B90" s="220" t="s">
        <v>204</v>
      </c>
      <c r="C90" s="222">
        <v>41372</v>
      </c>
      <c r="D90" s="1">
        <v>222.39</v>
      </c>
      <c r="E90" s="213" t="s">
        <v>50</v>
      </c>
      <c r="F90" s="210" t="s">
        <v>52</v>
      </c>
      <c r="G90" s="220" t="s">
        <v>204</v>
      </c>
      <c r="H90" s="222">
        <v>41372</v>
      </c>
      <c r="I90" s="1">
        <v>222.39</v>
      </c>
      <c r="J90" s="214" t="s">
        <v>735</v>
      </c>
    </row>
    <row r="91" spans="1:10" ht="18" customHeight="1">
      <c r="A91" s="219">
        <v>5</v>
      </c>
      <c r="B91" s="220" t="s">
        <v>208</v>
      </c>
      <c r="C91" s="222">
        <v>41374</v>
      </c>
      <c r="D91" s="1">
        <v>10</v>
      </c>
      <c r="E91" s="213" t="s">
        <v>177</v>
      </c>
      <c r="F91" s="220" t="s">
        <v>176</v>
      </c>
      <c r="G91" s="220" t="s">
        <v>208</v>
      </c>
      <c r="H91" s="222">
        <v>41374</v>
      </c>
      <c r="I91" s="1">
        <v>10</v>
      </c>
      <c r="J91" s="214" t="s">
        <v>735</v>
      </c>
    </row>
    <row r="92" spans="1:10" ht="18" customHeight="1">
      <c r="A92" s="218">
        <v>6</v>
      </c>
      <c r="B92" s="220" t="s">
        <v>728</v>
      </c>
      <c r="C92" s="222">
        <v>41382</v>
      </c>
      <c r="D92" s="1">
        <v>149.76</v>
      </c>
      <c r="E92" s="213" t="s">
        <v>50</v>
      </c>
      <c r="F92" s="210" t="s">
        <v>52</v>
      </c>
      <c r="G92" s="220" t="s">
        <v>728</v>
      </c>
      <c r="H92" s="222">
        <v>41382</v>
      </c>
      <c r="I92" s="1">
        <v>149.76</v>
      </c>
      <c r="J92" s="214" t="s">
        <v>735</v>
      </c>
    </row>
    <row r="93" spans="1:10" ht="18" customHeight="1">
      <c r="A93" s="219">
        <v>7</v>
      </c>
      <c r="B93" s="220" t="s">
        <v>736</v>
      </c>
      <c r="C93" s="222">
        <v>41386</v>
      </c>
      <c r="D93" s="1">
        <v>144.43</v>
      </c>
      <c r="E93" s="213" t="s">
        <v>50</v>
      </c>
      <c r="F93" s="210" t="s">
        <v>52</v>
      </c>
      <c r="G93" s="220" t="s">
        <v>736</v>
      </c>
      <c r="H93" s="222">
        <v>41386</v>
      </c>
      <c r="I93" s="1">
        <v>144.43</v>
      </c>
      <c r="J93" s="214" t="s">
        <v>735</v>
      </c>
    </row>
    <row r="94" spans="1:10" ht="18" customHeight="1">
      <c r="A94" s="218">
        <v>8</v>
      </c>
      <c r="B94" s="220" t="s">
        <v>729</v>
      </c>
      <c r="C94" s="222">
        <v>41387</v>
      </c>
      <c r="D94" s="1">
        <v>8</v>
      </c>
      <c r="E94" s="213" t="s">
        <v>177</v>
      </c>
      <c r="F94" s="220" t="s">
        <v>176</v>
      </c>
      <c r="G94" s="220" t="s">
        <v>729</v>
      </c>
      <c r="H94" s="222">
        <v>41387</v>
      </c>
      <c r="I94" s="1">
        <v>8</v>
      </c>
      <c r="J94" s="214" t="s">
        <v>735</v>
      </c>
    </row>
    <row r="95" spans="1:10" ht="18" customHeight="1">
      <c r="A95" s="219">
        <v>9</v>
      </c>
      <c r="B95" s="220" t="s">
        <v>217</v>
      </c>
      <c r="C95" s="222">
        <v>41394</v>
      </c>
      <c r="D95" s="1">
        <v>134.76</v>
      </c>
      <c r="E95" s="213" t="s">
        <v>50</v>
      </c>
      <c r="F95" s="210" t="s">
        <v>52</v>
      </c>
      <c r="G95" s="220" t="s">
        <v>217</v>
      </c>
      <c r="H95" s="222">
        <v>41394</v>
      </c>
      <c r="I95" s="1">
        <v>134.76</v>
      </c>
      <c r="J95" s="214" t="s">
        <v>735</v>
      </c>
    </row>
    <row r="96" spans="1:10" ht="18" customHeight="1">
      <c r="A96" s="218">
        <v>10</v>
      </c>
      <c r="B96" s="220" t="s">
        <v>730</v>
      </c>
      <c r="C96" s="222">
        <v>41394</v>
      </c>
      <c r="D96" s="1">
        <v>155.38</v>
      </c>
      <c r="E96" s="213" t="s">
        <v>50</v>
      </c>
      <c r="F96" s="210" t="s">
        <v>52</v>
      </c>
      <c r="G96" s="220" t="s">
        <v>730</v>
      </c>
      <c r="H96" s="222">
        <v>41394</v>
      </c>
      <c r="I96" s="1">
        <v>155.38</v>
      </c>
      <c r="J96" s="214" t="s">
        <v>735</v>
      </c>
    </row>
    <row r="97" spans="1:10" ht="18" customHeight="1">
      <c r="A97" s="412" t="s">
        <v>20</v>
      </c>
      <c r="B97" s="412"/>
      <c r="C97" s="412"/>
      <c r="D97" s="1">
        <f>SUM(D87:D96)</f>
        <v>1138.25</v>
      </c>
      <c r="E97" s="213"/>
      <c r="F97" s="210"/>
      <c r="G97" s="223"/>
      <c r="H97" s="215" t="s">
        <v>0</v>
      </c>
      <c r="I97" s="1">
        <f>SUM(I87:I96)</f>
        <v>1138.25</v>
      </c>
      <c r="J97" s="216"/>
    </row>
    <row r="98" spans="1:10" ht="21.9" customHeight="1">
      <c r="A98" s="412" t="s">
        <v>20</v>
      </c>
      <c r="B98" s="412"/>
      <c r="C98" s="412"/>
      <c r="D98" s="1"/>
      <c r="E98" s="213"/>
      <c r="F98" s="210"/>
      <c r="G98" s="217">
        <v>4000</v>
      </c>
      <c r="H98" s="215" t="s">
        <v>1</v>
      </c>
      <c r="I98" s="2">
        <f>I97*G98</f>
        <v>4553000</v>
      </c>
      <c r="J98" s="216"/>
    </row>
    <row r="99" spans="1:10" ht="18" customHeight="1">
      <c r="A99" s="219">
        <v>1</v>
      </c>
      <c r="B99" s="220" t="s">
        <v>733</v>
      </c>
      <c r="C99" s="222">
        <v>41397</v>
      </c>
      <c r="D99" s="1">
        <v>20</v>
      </c>
      <c r="E99" s="213" t="s">
        <v>177</v>
      </c>
      <c r="F99" s="220" t="s">
        <v>176</v>
      </c>
      <c r="G99" s="220" t="s">
        <v>733</v>
      </c>
      <c r="H99" s="222">
        <v>41397</v>
      </c>
      <c r="I99" s="1">
        <v>20</v>
      </c>
      <c r="J99" s="214" t="s">
        <v>735</v>
      </c>
    </row>
    <row r="100" spans="1:10" ht="18" customHeight="1">
      <c r="A100" s="219">
        <v>2</v>
      </c>
      <c r="B100" s="220" t="s">
        <v>220</v>
      </c>
      <c r="C100" s="222">
        <v>41400</v>
      </c>
      <c r="D100" s="1">
        <v>25</v>
      </c>
      <c r="E100" s="213" t="s">
        <v>177</v>
      </c>
      <c r="F100" s="220" t="s">
        <v>176</v>
      </c>
      <c r="G100" s="220" t="s">
        <v>220</v>
      </c>
      <c r="H100" s="222">
        <v>41400</v>
      </c>
      <c r="I100" s="1">
        <v>25</v>
      </c>
      <c r="J100" s="214" t="s">
        <v>735</v>
      </c>
    </row>
    <row r="101" spans="1:10" ht="18" customHeight="1">
      <c r="A101" s="219">
        <v>3</v>
      </c>
      <c r="B101" s="220" t="s">
        <v>221</v>
      </c>
      <c r="C101" s="222">
        <v>41400</v>
      </c>
      <c r="D101" s="1">
        <v>157.30000000000001</v>
      </c>
      <c r="E101" s="213" t="s">
        <v>50</v>
      </c>
      <c r="F101" s="210" t="s">
        <v>52</v>
      </c>
      <c r="G101" s="220" t="s">
        <v>221</v>
      </c>
      <c r="H101" s="222">
        <v>41400</v>
      </c>
      <c r="I101" s="1">
        <v>157.30000000000001</v>
      </c>
      <c r="J101" s="214" t="s">
        <v>735</v>
      </c>
    </row>
    <row r="102" spans="1:10" ht="18" customHeight="1">
      <c r="A102" s="219">
        <v>4</v>
      </c>
      <c r="B102" s="220" t="s">
        <v>731</v>
      </c>
      <c r="C102" s="222">
        <v>41410</v>
      </c>
      <c r="D102" s="1">
        <v>140.63</v>
      </c>
      <c r="E102" s="213" t="s">
        <v>50</v>
      </c>
      <c r="F102" s="210" t="s">
        <v>52</v>
      </c>
      <c r="G102" s="220" t="s">
        <v>731</v>
      </c>
      <c r="H102" s="222">
        <v>41410</v>
      </c>
      <c r="I102" s="1">
        <v>140.63</v>
      </c>
      <c r="J102" s="214" t="s">
        <v>735</v>
      </c>
    </row>
    <row r="103" spans="1:10" ht="18" customHeight="1">
      <c r="A103" s="219">
        <v>5</v>
      </c>
      <c r="B103" s="220" t="s">
        <v>732</v>
      </c>
      <c r="C103" s="222">
        <v>41414</v>
      </c>
      <c r="D103" s="1">
        <v>82.47</v>
      </c>
      <c r="E103" s="213" t="s">
        <v>50</v>
      </c>
      <c r="F103" s="210" t="s">
        <v>52</v>
      </c>
      <c r="G103" s="220" t="s">
        <v>732</v>
      </c>
      <c r="H103" s="222">
        <v>41414</v>
      </c>
      <c r="I103" s="1">
        <v>82.47</v>
      </c>
      <c r="J103" s="214" t="s">
        <v>735</v>
      </c>
    </row>
    <row r="104" spans="1:10" ht="18" customHeight="1">
      <c r="A104" s="219">
        <v>6</v>
      </c>
      <c r="B104" s="220" t="s">
        <v>234</v>
      </c>
      <c r="C104" s="222">
        <v>41415</v>
      </c>
      <c r="D104" s="1">
        <v>92.5</v>
      </c>
      <c r="E104" s="213" t="s">
        <v>50</v>
      </c>
      <c r="F104" s="210" t="s">
        <v>52</v>
      </c>
      <c r="G104" s="220" t="s">
        <v>234</v>
      </c>
      <c r="H104" s="222">
        <v>41415</v>
      </c>
      <c r="I104" s="1">
        <v>92.5</v>
      </c>
      <c r="J104" s="214" t="s">
        <v>735</v>
      </c>
    </row>
    <row r="105" spans="1:10" ht="18" customHeight="1">
      <c r="A105" s="219">
        <v>7</v>
      </c>
      <c r="B105" s="220" t="s">
        <v>235</v>
      </c>
      <c r="C105" s="222">
        <v>41415</v>
      </c>
      <c r="D105" s="1">
        <v>4</v>
      </c>
      <c r="E105" s="213" t="s">
        <v>177</v>
      </c>
      <c r="F105" s="220" t="s">
        <v>176</v>
      </c>
      <c r="G105" s="220" t="s">
        <v>235</v>
      </c>
      <c r="H105" s="222">
        <v>41415</v>
      </c>
      <c r="I105" s="1">
        <v>4</v>
      </c>
      <c r="J105" s="214" t="s">
        <v>735</v>
      </c>
    </row>
    <row r="106" spans="1:10" ht="18" customHeight="1">
      <c r="A106" s="219">
        <v>8</v>
      </c>
      <c r="B106" s="220" t="s">
        <v>239</v>
      </c>
      <c r="C106" s="222">
        <v>41421</v>
      </c>
      <c r="D106" s="1">
        <v>63.52</v>
      </c>
      <c r="E106" s="213" t="s">
        <v>177</v>
      </c>
      <c r="F106" s="220" t="s">
        <v>176</v>
      </c>
      <c r="G106" s="220" t="s">
        <v>239</v>
      </c>
      <c r="H106" s="222">
        <v>41421</v>
      </c>
      <c r="I106" s="1">
        <v>63.52</v>
      </c>
      <c r="J106" s="214" t="s">
        <v>735</v>
      </c>
    </row>
    <row r="107" spans="1:10" ht="18" customHeight="1">
      <c r="A107" s="412" t="s">
        <v>19</v>
      </c>
      <c r="B107" s="412"/>
      <c r="C107" s="412"/>
      <c r="D107" s="1">
        <f>SUM(D99:D106)</f>
        <v>585.41999999999996</v>
      </c>
      <c r="E107" s="213"/>
      <c r="F107" s="210"/>
      <c r="G107" s="220"/>
      <c r="H107" s="215" t="s">
        <v>0</v>
      </c>
      <c r="I107" s="1">
        <f>SUM(I99:I106)</f>
        <v>585.41999999999996</v>
      </c>
      <c r="J107" s="216"/>
    </row>
    <row r="108" spans="1:10" ht="21.9" customHeight="1">
      <c r="A108" s="412" t="s">
        <v>19</v>
      </c>
      <c r="B108" s="412"/>
      <c r="C108" s="412"/>
      <c r="D108" s="1"/>
      <c r="E108" s="213"/>
      <c r="F108" s="210"/>
      <c r="G108" s="217">
        <v>4034</v>
      </c>
      <c r="H108" s="215" t="s">
        <v>1</v>
      </c>
      <c r="I108" s="2">
        <f>I107*G108</f>
        <v>2361584.2799999998</v>
      </c>
      <c r="J108" s="216"/>
    </row>
    <row r="109" spans="1:10" ht="18" customHeight="1">
      <c r="A109" s="218">
        <v>1</v>
      </c>
      <c r="B109" s="220" t="s">
        <v>242</v>
      </c>
      <c r="C109" s="222">
        <v>41428</v>
      </c>
      <c r="D109" s="1">
        <v>148.71</v>
      </c>
      <c r="E109" s="213" t="s">
        <v>50</v>
      </c>
      <c r="F109" s="210" t="s">
        <v>52</v>
      </c>
      <c r="G109" s="220" t="s">
        <v>242</v>
      </c>
      <c r="H109" s="222">
        <v>41428</v>
      </c>
      <c r="I109" s="1">
        <v>148.71</v>
      </c>
      <c r="J109" s="214" t="s">
        <v>735</v>
      </c>
    </row>
    <row r="110" spans="1:10" ht="18" customHeight="1">
      <c r="A110" s="218">
        <v>2</v>
      </c>
      <c r="B110" s="220" t="s">
        <v>245</v>
      </c>
      <c r="C110" s="222">
        <v>41435</v>
      </c>
      <c r="D110" s="1">
        <v>52.58</v>
      </c>
      <c r="E110" s="213" t="s">
        <v>50</v>
      </c>
      <c r="F110" s="220" t="s">
        <v>52</v>
      </c>
      <c r="G110" s="220" t="s">
        <v>245</v>
      </c>
      <c r="H110" s="222">
        <v>41435</v>
      </c>
      <c r="I110" s="1">
        <v>52.58</v>
      </c>
      <c r="J110" s="214" t="s">
        <v>735</v>
      </c>
    </row>
    <row r="111" spans="1:10" ht="18" customHeight="1">
      <c r="A111" s="218">
        <v>3</v>
      </c>
      <c r="B111" s="220" t="s">
        <v>246</v>
      </c>
      <c r="C111" s="222">
        <v>41435</v>
      </c>
      <c r="D111" s="1">
        <v>70.709999999999994</v>
      </c>
      <c r="E111" s="213" t="s">
        <v>50</v>
      </c>
      <c r="F111" s="220" t="s">
        <v>52</v>
      </c>
      <c r="G111" s="220" t="s">
        <v>246</v>
      </c>
      <c r="H111" s="222">
        <v>41435</v>
      </c>
      <c r="I111" s="1">
        <v>70.709999999999994</v>
      </c>
      <c r="J111" s="214" t="s">
        <v>735</v>
      </c>
    </row>
    <row r="112" spans="1:10" ht="18" customHeight="1">
      <c r="A112" s="218">
        <v>4</v>
      </c>
      <c r="B112" s="220" t="s">
        <v>248</v>
      </c>
      <c r="C112" s="222">
        <v>41442</v>
      </c>
      <c r="D112" s="1">
        <v>207.09</v>
      </c>
      <c r="E112" s="213" t="s">
        <v>50</v>
      </c>
      <c r="F112" s="210" t="s">
        <v>52</v>
      </c>
      <c r="G112" s="220" t="s">
        <v>248</v>
      </c>
      <c r="H112" s="222">
        <v>41442</v>
      </c>
      <c r="I112" s="1">
        <v>207.09</v>
      </c>
      <c r="J112" s="214" t="s">
        <v>735</v>
      </c>
    </row>
    <row r="113" spans="1:10" ht="18" customHeight="1">
      <c r="A113" s="218">
        <v>5</v>
      </c>
      <c r="B113" s="220" t="s">
        <v>256</v>
      </c>
      <c r="C113" s="222">
        <v>41449</v>
      </c>
      <c r="D113" s="1">
        <v>79.11</v>
      </c>
      <c r="E113" s="213" t="s">
        <v>50</v>
      </c>
      <c r="F113" s="210" t="s">
        <v>52</v>
      </c>
      <c r="G113" s="220" t="s">
        <v>256</v>
      </c>
      <c r="H113" s="222">
        <v>41449</v>
      </c>
      <c r="I113" s="1">
        <v>79.11</v>
      </c>
      <c r="J113" s="214" t="s">
        <v>735</v>
      </c>
    </row>
    <row r="114" spans="1:10" ht="18" customHeight="1">
      <c r="A114" s="218">
        <v>6</v>
      </c>
      <c r="B114" s="220" t="s">
        <v>257</v>
      </c>
      <c r="C114" s="222">
        <v>41449</v>
      </c>
      <c r="D114" s="1">
        <v>182.92</v>
      </c>
      <c r="E114" s="213" t="s">
        <v>50</v>
      </c>
      <c r="F114" s="210" t="s">
        <v>52</v>
      </c>
      <c r="G114" s="220" t="s">
        <v>257</v>
      </c>
      <c r="H114" s="222">
        <v>41449</v>
      </c>
      <c r="I114" s="1">
        <v>182.92</v>
      </c>
      <c r="J114" s="214" t="s">
        <v>735</v>
      </c>
    </row>
    <row r="115" spans="1:10" ht="18" customHeight="1">
      <c r="A115" s="218">
        <v>7</v>
      </c>
      <c r="B115" s="220" t="s">
        <v>252</v>
      </c>
      <c r="C115" s="222">
        <v>41453</v>
      </c>
      <c r="D115" s="1">
        <v>3.6</v>
      </c>
      <c r="E115" s="213" t="s">
        <v>50</v>
      </c>
      <c r="F115" s="220" t="s">
        <v>52</v>
      </c>
      <c r="G115" s="220" t="s">
        <v>252</v>
      </c>
      <c r="H115" s="222">
        <v>41453</v>
      </c>
      <c r="I115" s="1">
        <v>3.6</v>
      </c>
      <c r="J115" s="214" t="s">
        <v>735</v>
      </c>
    </row>
    <row r="116" spans="1:10" ht="18" customHeight="1">
      <c r="A116" s="412" t="s">
        <v>18</v>
      </c>
      <c r="B116" s="412"/>
      <c r="C116" s="412"/>
      <c r="D116" s="1">
        <f>SUM(D109:D115)</f>
        <v>744.72</v>
      </c>
      <c r="E116" s="213"/>
      <c r="F116" s="210"/>
      <c r="G116" s="220"/>
      <c r="H116" s="215" t="s">
        <v>0</v>
      </c>
      <c r="I116" s="1">
        <f>SUM(I109:I115)</f>
        <v>744.72</v>
      </c>
      <c r="J116" s="216"/>
    </row>
    <row r="117" spans="1:10" ht="21.9" customHeight="1">
      <c r="A117" s="412" t="s">
        <v>18</v>
      </c>
      <c r="B117" s="412"/>
      <c r="C117" s="412"/>
      <c r="D117" s="1"/>
      <c r="E117" s="213"/>
      <c r="F117" s="210"/>
      <c r="G117" s="217">
        <v>4063</v>
      </c>
      <c r="H117" s="215" t="s">
        <v>1</v>
      </c>
      <c r="I117" s="2">
        <f>I116*G117</f>
        <v>3025797.3600000003</v>
      </c>
      <c r="J117" s="216"/>
    </row>
    <row r="118" spans="1:10" ht="18" customHeight="1">
      <c r="A118" s="219">
        <v>1</v>
      </c>
      <c r="B118" s="220" t="s">
        <v>261</v>
      </c>
      <c r="C118" s="222">
        <v>41452</v>
      </c>
      <c r="D118" s="1">
        <v>76.8</v>
      </c>
      <c r="E118" s="213" t="s">
        <v>50</v>
      </c>
      <c r="F118" s="220" t="s">
        <v>52</v>
      </c>
      <c r="G118" s="220" t="s">
        <v>261</v>
      </c>
      <c r="H118" s="222">
        <v>41452</v>
      </c>
      <c r="I118" s="1">
        <v>76.8</v>
      </c>
      <c r="J118" s="214" t="s">
        <v>735</v>
      </c>
    </row>
    <row r="119" spans="1:10" ht="18" customHeight="1">
      <c r="A119" s="218">
        <v>2</v>
      </c>
      <c r="B119" s="220" t="s">
        <v>262</v>
      </c>
      <c r="C119" s="222">
        <v>41456</v>
      </c>
      <c r="D119" s="1">
        <v>305.89</v>
      </c>
      <c r="E119" s="213" t="s">
        <v>50</v>
      </c>
      <c r="F119" s="210" t="s">
        <v>52</v>
      </c>
      <c r="G119" s="220" t="s">
        <v>262</v>
      </c>
      <c r="H119" s="222">
        <v>41456</v>
      </c>
      <c r="I119" s="1">
        <v>305.89</v>
      </c>
      <c r="J119" s="214" t="s">
        <v>735</v>
      </c>
    </row>
    <row r="120" spans="1:10" ht="18" customHeight="1">
      <c r="A120" s="219">
        <v>3</v>
      </c>
      <c r="B120" s="220" t="s">
        <v>263</v>
      </c>
      <c r="C120" s="222">
        <v>41463</v>
      </c>
      <c r="D120" s="1">
        <v>34.86</v>
      </c>
      <c r="E120" s="213" t="s">
        <v>50</v>
      </c>
      <c r="F120" s="220" t="s">
        <v>52</v>
      </c>
      <c r="G120" s="220" t="s">
        <v>263</v>
      </c>
      <c r="H120" s="222">
        <v>41463</v>
      </c>
      <c r="I120" s="1">
        <v>34.86</v>
      </c>
      <c r="J120" s="214" t="s">
        <v>735</v>
      </c>
    </row>
    <row r="121" spans="1:10" ht="18" customHeight="1">
      <c r="A121" s="218">
        <v>4</v>
      </c>
      <c r="B121" s="220" t="s">
        <v>264</v>
      </c>
      <c r="C121" s="222">
        <v>41463</v>
      </c>
      <c r="D121" s="1">
        <v>450.81</v>
      </c>
      <c r="E121" s="213" t="s">
        <v>50</v>
      </c>
      <c r="F121" s="210" t="s">
        <v>52</v>
      </c>
      <c r="G121" s="220" t="s">
        <v>264</v>
      </c>
      <c r="H121" s="222">
        <v>41463</v>
      </c>
      <c r="I121" s="1">
        <v>450.81</v>
      </c>
      <c r="J121" s="214" t="s">
        <v>735</v>
      </c>
    </row>
    <row r="122" spans="1:10" ht="18" customHeight="1">
      <c r="A122" s="219">
        <v>5</v>
      </c>
      <c r="B122" s="220" t="s">
        <v>274</v>
      </c>
      <c r="C122" s="222">
        <v>41470</v>
      </c>
      <c r="D122" s="1">
        <v>54.3</v>
      </c>
      <c r="E122" s="213" t="s">
        <v>50</v>
      </c>
      <c r="F122" s="220" t="s">
        <v>52</v>
      </c>
      <c r="G122" s="220" t="s">
        <v>274</v>
      </c>
      <c r="H122" s="222">
        <v>41470</v>
      </c>
      <c r="I122" s="1">
        <v>54.3</v>
      </c>
      <c r="J122" s="214" t="s">
        <v>735</v>
      </c>
    </row>
    <row r="123" spans="1:10" ht="18" customHeight="1">
      <c r="A123" s="218">
        <v>6</v>
      </c>
      <c r="B123" s="220" t="s">
        <v>273</v>
      </c>
      <c r="C123" s="222">
        <v>41470</v>
      </c>
      <c r="D123" s="1">
        <v>379.69</v>
      </c>
      <c r="E123" s="213" t="s">
        <v>50</v>
      </c>
      <c r="F123" s="210" t="s">
        <v>52</v>
      </c>
      <c r="G123" s="220" t="s">
        <v>273</v>
      </c>
      <c r="H123" s="222">
        <v>41470</v>
      </c>
      <c r="I123" s="1">
        <v>379.69</v>
      </c>
      <c r="J123" s="214" t="s">
        <v>735</v>
      </c>
    </row>
    <row r="124" spans="1:10" ht="18" customHeight="1">
      <c r="A124" s="219">
        <v>7</v>
      </c>
      <c r="B124" s="220" t="s">
        <v>283</v>
      </c>
      <c r="C124" s="222">
        <v>41477</v>
      </c>
      <c r="D124" s="1">
        <v>48.72</v>
      </c>
      <c r="E124" s="213" t="s">
        <v>50</v>
      </c>
      <c r="F124" s="220" t="s">
        <v>52</v>
      </c>
      <c r="G124" s="220" t="s">
        <v>283</v>
      </c>
      <c r="H124" s="222">
        <v>41477</v>
      </c>
      <c r="I124" s="1">
        <v>48.72</v>
      </c>
      <c r="J124" s="214" t="s">
        <v>735</v>
      </c>
    </row>
    <row r="125" spans="1:10" ht="18" customHeight="1">
      <c r="A125" s="218">
        <v>8</v>
      </c>
      <c r="B125" s="220" t="s">
        <v>284</v>
      </c>
      <c r="C125" s="222">
        <v>41478</v>
      </c>
      <c r="D125" s="1">
        <v>175.1</v>
      </c>
      <c r="E125" s="213" t="s">
        <v>50</v>
      </c>
      <c r="F125" s="210" t="s">
        <v>52</v>
      </c>
      <c r="G125" s="220" t="s">
        <v>284</v>
      </c>
      <c r="H125" s="222">
        <v>41478</v>
      </c>
      <c r="I125" s="1">
        <v>175.1</v>
      </c>
      <c r="J125" s="214" t="s">
        <v>735</v>
      </c>
    </row>
    <row r="126" spans="1:10" ht="18" customHeight="1">
      <c r="A126" s="219">
        <v>9</v>
      </c>
      <c r="B126" s="220" t="s">
        <v>289</v>
      </c>
      <c r="C126" s="222">
        <v>41484</v>
      </c>
      <c r="D126" s="1">
        <v>64.260000000000005</v>
      </c>
      <c r="E126" s="213" t="s">
        <v>50</v>
      </c>
      <c r="F126" s="220" t="s">
        <v>52</v>
      </c>
      <c r="G126" s="220" t="s">
        <v>289</v>
      </c>
      <c r="H126" s="222">
        <v>41484</v>
      </c>
      <c r="I126" s="1">
        <v>64.260000000000005</v>
      </c>
      <c r="J126" s="214" t="s">
        <v>735</v>
      </c>
    </row>
    <row r="127" spans="1:10" ht="18" customHeight="1">
      <c r="A127" s="218">
        <v>10</v>
      </c>
      <c r="B127" s="220" t="s">
        <v>290</v>
      </c>
      <c r="C127" s="222">
        <v>41484</v>
      </c>
      <c r="D127" s="1">
        <v>134.24</v>
      </c>
      <c r="E127" s="213" t="s">
        <v>50</v>
      </c>
      <c r="F127" s="210" t="s">
        <v>52</v>
      </c>
      <c r="G127" s="220" t="s">
        <v>290</v>
      </c>
      <c r="H127" s="222">
        <v>41484</v>
      </c>
      <c r="I127" s="1">
        <v>134.24</v>
      </c>
      <c r="J127" s="214" t="s">
        <v>735</v>
      </c>
    </row>
    <row r="128" spans="1:10" ht="18" customHeight="1">
      <c r="A128" s="412" t="s">
        <v>17</v>
      </c>
      <c r="B128" s="412"/>
      <c r="C128" s="412"/>
      <c r="D128" s="1">
        <f>SUM(D118:D127)</f>
        <v>1724.6699999999998</v>
      </c>
      <c r="E128" s="213"/>
      <c r="F128" s="210"/>
      <c r="G128" s="220"/>
      <c r="H128" s="215" t="s">
        <v>0</v>
      </c>
      <c r="I128" s="1">
        <f>SUM(I118:I127)</f>
        <v>1724.6699999999998</v>
      </c>
      <c r="J128" s="216"/>
    </row>
    <row r="129" spans="1:10" ht="21.9" customHeight="1">
      <c r="A129" s="412" t="s">
        <v>17</v>
      </c>
      <c r="B129" s="412"/>
      <c r="C129" s="412"/>
      <c r="D129" s="1"/>
      <c r="E129" s="213"/>
      <c r="F129" s="210"/>
      <c r="G129" s="217">
        <v>4062</v>
      </c>
      <c r="H129" s="215" t="s">
        <v>1</v>
      </c>
      <c r="I129" s="2">
        <f>I128*G129</f>
        <v>7005609.5399999991</v>
      </c>
      <c r="J129" s="216"/>
    </row>
    <row r="130" spans="1:10" ht="18" customHeight="1">
      <c r="A130" s="218">
        <v>1</v>
      </c>
      <c r="B130" s="220" t="s">
        <v>292</v>
      </c>
      <c r="C130" s="222">
        <v>41491</v>
      </c>
      <c r="D130" s="1">
        <v>152.80000000000001</v>
      </c>
      <c r="E130" s="213" t="s">
        <v>50</v>
      </c>
      <c r="F130" s="210" t="s">
        <v>52</v>
      </c>
      <c r="G130" s="220" t="s">
        <v>292</v>
      </c>
      <c r="H130" s="222">
        <v>41491</v>
      </c>
      <c r="I130" s="1">
        <v>152.80000000000001</v>
      </c>
      <c r="J130" s="214" t="s">
        <v>735</v>
      </c>
    </row>
    <row r="131" spans="1:10" ht="18" customHeight="1">
      <c r="A131" s="218">
        <v>2</v>
      </c>
      <c r="B131" s="220" t="s">
        <v>299</v>
      </c>
      <c r="C131" s="222">
        <v>41498</v>
      </c>
      <c r="D131" s="1">
        <v>219.25</v>
      </c>
      <c r="E131" s="213" t="s">
        <v>50</v>
      </c>
      <c r="F131" s="210" t="s">
        <v>52</v>
      </c>
      <c r="G131" s="220" t="s">
        <v>299</v>
      </c>
      <c r="H131" s="222">
        <v>41498</v>
      </c>
      <c r="I131" s="1">
        <v>219.25</v>
      </c>
      <c r="J131" s="214" t="s">
        <v>735</v>
      </c>
    </row>
    <row r="132" spans="1:10" ht="18" customHeight="1">
      <c r="A132" s="218">
        <v>3</v>
      </c>
      <c r="B132" s="220" t="s">
        <v>304</v>
      </c>
      <c r="C132" s="222">
        <v>41505</v>
      </c>
      <c r="D132" s="1">
        <v>43.04</v>
      </c>
      <c r="E132" s="213" t="s">
        <v>50</v>
      </c>
      <c r="F132" s="220" t="s">
        <v>52</v>
      </c>
      <c r="G132" s="220" t="s">
        <v>304</v>
      </c>
      <c r="H132" s="222">
        <v>41505</v>
      </c>
      <c r="I132" s="1">
        <v>43.04</v>
      </c>
      <c r="J132" s="214" t="s">
        <v>735</v>
      </c>
    </row>
    <row r="133" spans="1:10" ht="18" customHeight="1">
      <c r="A133" s="218">
        <v>4</v>
      </c>
      <c r="B133" s="220" t="s">
        <v>305</v>
      </c>
      <c r="C133" s="222">
        <v>41505</v>
      </c>
      <c r="D133" s="1">
        <v>129.59</v>
      </c>
      <c r="E133" s="213" t="s">
        <v>50</v>
      </c>
      <c r="F133" s="210" t="s">
        <v>52</v>
      </c>
      <c r="G133" s="220" t="s">
        <v>305</v>
      </c>
      <c r="H133" s="222">
        <v>41505</v>
      </c>
      <c r="I133" s="1">
        <v>129.59</v>
      </c>
      <c r="J133" s="214" t="s">
        <v>735</v>
      </c>
    </row>
    <row r="134" spans="1:10" ht="18" customHeight="1">
      <c r="A134" s="218">
        <v>5</v>
      </c>
      <c r="B134" s="220" t="s">
        <v>311</v>
      </c>
      <c r="C134" s="222">
        <v>41512</v>
      </c>
      <c r="D134" s="1">
        <v>67.12</v>
      </c>
      <c r="E134" s="213" t="s">
        <v>50</v>
      </c>
      <c r="F134" s="220" t="s">
        <v>52</v>
      </c>
      <c r="G134" s="220" t="s">
        <v>311</v>
      </c>
      <c r="H134" s="222">
        <v>41512</v>
      </c>
      <c r="I134" s="1">
        <v>67.12</v>
      </c>
      <c r="J134" s="214" t="s">
        <v>735</v>
      </c>
    </row>
    <row r="135" spans="1:10" ht="18" customHeight="1">
      <c r="A135" s="412" t="s">
        <v>21</v>
      </c>
      <c r="B135" s="412"/>
      <c r="C135" s="412"/>
      <c r="D135" s="1">
        <f>SUM(D130:D134)</f>
        <v>611.80000000000007</v>
      </c>
      <c r="E135" s="213"/>
      <c r="F135" s="210"/>
      <c r="G135" s="220"/>
      <c r="H135" s="215" t="s">
        <v>0</v>
      </c>
      <c r="I135" s="1">
        <f>SUM(I130:I134)</f>
        <v>611.80000000000007</v>
      </c>
      <c r="J135" s="216"/>
    </row>
    <row r="136" spans="1:10" ht="21.9" customHeight="1">
      <c r="A136" s="412" t="s">
        <v>21</v>
      </c>
      <c r="B136" s="412"/>
      <c r="C136" s="412"/>
      <c r="D136" s="1"/>
      <c r="E136" s="213"/>
      <c r="F136" s="210"/>
      <c r="G136" s="217">
        <v>4062</v>
      </c>
      <c r="H136" s="215" t="s">
        <v>1</v>
      </c>
      <c r="I136" s="2">
        <f>I135*G136</f>
        <v>2485131.6</v>
      </c>
      <c r="J136" s="216"/>
    </row>
    <row r="137" spans="1:10" ht="18" customHeight="1">
      <c r="A137" s="218">
        <v>1</v>
      </c>
      <c r="B137" s="220" t="s">
        <v>316</v>
      </c>
      <c r="C137" s="222">
        <v>41519</v>
      </c>
      <c r="D137" s="1">
        <v>145.02000000000001</v>
      </c>
      <c r="E137" s="213" t="s">
        <v>50</v>
      </c>
      <c r="F137" s="210" t="s">
        <v>52</v>
      </c>
      <c r="G137" s="220" t="s">
        <v>316</v>
      </c>
      <c r="H137" s="222">
        <v>41519</v>
      </c>
      <c r="I137" s="1">
        <v>145.02000000000001</v>
      </c>
      <c r="J137" s="214" t="s">
        <v>735</v>
      </c>
    </row>
    <row r="138" spans="1:10" ht="18" customHeight="1">
      <c r="A138" s="218">
        <v>2</v>
      </c>
      <c r="B138" s="220" t="s">
        <v>317</v>
      </c>
      <c r="C138" s="222">
        <v>41519</v>
      </c>
      <c r="D138" s="1">
        <v>3.6</v>
      </c>
      <c r="E138" s="213" t="s">
        <v>50</v>
      </c>
      <c r="F138" s="220" t="s">
        <v>52</v>
      </c>
      <c r="G138" s="220" t="s">
        <v>317</v>
      </c>
      <c r="H138" s="222">
        <v>41519</v>
      </c>
      <c r="I138" s="1">
        <v>3.6</v>
      </c>
      <c r="J138" s="214" t="s">
        <v>735</v>
      </c>
    </row>
    <row r="139" spans="1:10" ht="18" customHeight="1">
      <c r="A139" s="218">
        <v>3</v>
      </c>
      <c r="B139" s="220" t="s">
        <v>318</v>
      </c>
      <c r="C139" s="222">
        <v>41519</v>
      </c>
      <c r="D139" s="1">
        <v>352.48</v>
      </c>
      <c r="E139" s="213" t="s">
        <v>50</v>
      </c>
      <c r="F139" s="210" t="s">
        <v>52</v>
      </c>
      <c r="G139" s="220" t="s">
        <v>318</v>
      </c>
      <c r="H139" s="222">
        <v>41519</v>
      </c>
      <c r="I139" s="1">
        <v>352.48</v>
      </c>
      <c r="J139" s="214" t="s">
        <v>735</v>
      </c>
    </row>
    <row r="140" spans="1:10" ht="18" customHeight="1">
      <c r="A140" s="218">
        <v>4</v>
      </c>
      <c r="B140" s="220" t="s">
        <v>319</v>
      </c>
      <c r="C140" s="222">
        <v>41526</v>
      </c>
      <c r="D140" s="1">
        <v>37.97</v>
      </c>
      <c r="E140" s="213" t="s">
        <v>50</v>
      </c>
      <c r="F140" s="220" t="s">
        <v>52</v>
      </c>
      <c r="G140" s="220" t="s">
        <v>319</v>
      </c>
      <c r="H140" s="222">
        <v>41526</v>
      </c>
      <c r="I140" s="1">
        <v>37.97</v>
      </c>
      <c r="J140" s="214" t="s">
        <v>735</v>
      </c>
    </row>
    <row r="141" spans="1:10" ht="18" customHeight="1">
      <c r="A141" s="218">
        <v>5</v>
      </c>
      <c r="B141" s="220" t="s">
        <v>323</v>
      </c>
      <c r="C141" s="222">
        <v>41526</v>
      </c>
      <c r="D141" s="1">
        <v>319.7</v>
      </c>
      <c r="E141" s="213" t="s">
        <v>50</v>
      </c>
      <c r="F141" s="210" t="s">
        <v>52</v>
      </c>
      <c r="G141" s="220" t="s">
        <v>323</v>
      </c>
      <c r="H141" s="222">
        <v>41526</v>
      </c>
      <c r="I141" s="1">
        <v>319.7</v>
      </c>
      <c r="J141" s="214" t="s">
        <v>735</v>
      </c>
    </row>
    <row r="142" spans="1:10" ht="18" customHeight="1">
      <c r="A142" s="218">
        <v>6</v>
      </c>
      <c r="B142" s="220" t="s">
        <v>334</v>
      </c>
      <c r="C142" s="222">
        <v>41533</v>
      </c>
      <c r="D142" s="1">
        <v>35.729999999999997</v>
      </c>
      <c r="E142" s="213" t="s">
        <v>50</v>
      </c>
      <c r="F142" s="220" t="s">
        <v>52</v>
      </c>
      <c r="G142" s="220" t="s">
        <v>334</v>
      </c>
      <c r="H142" s="222">
        <v>41533</v>
      </c>
      <c r="I142" s="1">
        <v>35.729999999999997</v>
      </c>
      <c r="J142" s="214" t="s">
        <v>735</v>
      </c>
    </row>
    <row r="143" spans="1:10" ht="18" customHeight="1">
      <c r="A143" s="218">
        <v>7</v>
      </c>
      <c r="B143" s="220" t="s">
        <v>333</v>
      </c>
      <c r="C143" s="222">
        <v>41533</v>
      </c>
      <c r="D143" s="1">
        <v>104.03</v>
      </c>
      <c r="E143" s="213" t="s">
        <v>50</v>
      </c>
      <c r="F143" s="210" t="s">
        <v>52</v>
      </c>
      <c r="G143" s="220" t="s">
        <v>333</v>
      </c>
      <c r="H143" s="222">
        <v>41533</v>
      </c>
      <c r="I143" s="1">
        <v>104.03</v>
      </c>
      <c r="J143" s="214" t="s">
        <v>735</v>
      </c>
    </row>
    <row r="144" spans="1:10" ht="18" customHeight="1">
      <c r="A144" s="218">
        <v>8</v>
      </c>
      <c r="B144" s="220" t="s">
        <v>340</v>
      </c>
      <c r="C144" s="222">
        <v>41540</v>
      </c>
      <c r="D144" s="1">
        <v>61.27</v>
      </c>
      <c r="E144" s="213" t="s">
        <v>50</v>
      </c>
      <c r="F144" s="220" t="s">
        <v>52</v>
      </c>
      <c r="G144" s="220" t="s">
        <v>340</v>
      </c>
      <c r="H144" s="222">
        <v>41540</v>
      </c>
      <c r="I144" s="1">
        <v>61.27</v>
      </c>
      <c r="J144" s="214" t="s">
        <v>735</v>
      </c>
    </row>
    <row r="145" spans="1:10" ht="18" customHeight="1">
      <c r="A145" s="218">
        <v>9</v>
      </c>
      <c r="B145" s="220" t="s">
        <v>341</v>
      </c>
      <c r="C145" s="222">
        <v>41541</v>
      </c>
      <c r="D145" s="1">
        <v>61.8</v>
      </c>
      <c r="E145" s="213" t="s">
        <v>50</v>
      </c>
      <c r="F145" s="220" t="s">
        <v>52</v>
      </c>
      <c r="G145" s="220" t="s">
        <v>341</v>
      </c>
      <c r="H145" s="222">
        <v>41541</v>
      </c>
      <c r="I145" s="1">
        <v>61.8</v>
      </c>
      <c r="J145" s="214" t="s">
        <v>735</v>
      </c>
    </row>
    <row r="146" spans="1:10" ht="18" customHeight="1">
      <c r="A146" s="218">
        <v>10</v>
      </c>
      <c r="B146" s="220" t="s">
        <v>349</v>
      </c>
      <c r="C146" s="222">
        <v>41547</v>
      </c>
      <c r="D146" s="1">
        <v>215.54</v>
      </c>
      <c r="E146" s="213" t="s">
        <v>50</v>
      </c>
      <c r="F146" s="210" t="s">
        <v>52</v>
      </c>
      <c r="G146" s="220" t="s">
        <v>349</v>
      </c>
      <c r="H146" s="222">
        <v>41547</v>
      </c>
      <c r="I146" s="1">
        <v>215.54</v>
      </c>
      <c r="J146" s="214" t="s">
        <v>735</v>
      </c>
    </row>
    <row r="147" spans="1:10" ht="18" customHeight="1">
      <c r="A147" s="412" t="s">
        <v>22</v>
      </c>
      <c r="B147" s="412"/>
      <c r="C147" s="412"/>
      <c r="D147" s="1">
        <f>SUM(D137:D146)</f>
        <v>1337.1399999999999</v>
      </c>
      <c r="E147" s="213"/>
      <c r="F147" s="210"/>
      <c r="G147" s="220"/>
      <c r="H147" s="215" t="s">
        <v>0</v>
      </c>
      <c r="I147" s="1">
        <f>SUM(I137:I146)</f>
        <v>1337.1399999999999</v>
      </c>
      <c r="J147" s="216"/>
    </row>
    <row r="148" spans="1:10" ht="21.9" customHeight="1">
      <c r="A148" s="412" t="s">
        <v>22</v>
      </c>
      <c r="B148" s="412"/>
      <c r="C148" s="412"/>
      <c r="D148" s="1"/>
      <c r="E148" s="213"/>
      <c r="F148" s="210"/>
      <c r="G148" s="217">
        <v>4062</v>
      </c>
      <c r="H148" s="215" t="s">
        <v>1</v>
      </c>
      <c r="I148" s="2">
        <f>I147*G148</f>
        <v>5431462.6799999997</v>
      </c>
      <c r="J148" s="216"/>
    </row>
    <row r="149" spans="1:10" ht="18" customHeight="1">
      <c r="A149" s="218">
        <v>1</v>
      </c>
      <c r="B149" s="220" t="s">
        <v>350</v>
      </c>
      <c r="C149" s="222">
        <v>41554</v>
      </c>
      <c r="D149" s="1">
        <v>214.95</v>
      </c>
      <c r="E149" s="213" t="s">
        <v>50</v>
      </c>
      <c r="F149" s="210" t="s">
        <v>52</v>
      </c>
      <c r="G149" s="220" t="s">
        <v>350</v>
      </c>
      <c r="H149" s="222">
        <v>41554</v>
      </c>
      <c r="I149" s="1">
        <v>214.95</v>
      </c>
      <c r="J149" s="214" t="s">
        <v>735</v>
      </c>
    </row>
    <row r="150" spans="1:10" ht="18" customHeight="1">
      <c r="A150" s="218">
        <v>2</v>
      </c>
      <c r="B150" s="220" t="s">
        <v>358</v>
      </c>
      <c r="C150" s="222">
        <v>41561</v>
      </c>
      <c r="D150" s="1">
        <v>127.3</v>
      </c>
      <c r="E150" s="213" t="s">
        <v>50</v>
      </c>
      <c r="F150" s="210" t="s">
        <v>52</v>
      </c>
      <c r="G150" s="220" t="s">
        <v>358</v>
      </c>
      <c r="H150" s="222">
        <v>41561</v>
      </c>
      <c r="I150" s="1">
        <v>127.3</v>
      </c>
      <c r="J150" s="214" t="s">
        <v>735</v>
      </c>
    </row>
    <row r="151" spans="1:10" ht="18" customHeight="1">
      <c r="A151" s="218">
        <v>3</v>
      </c>
      <c r="B151" s="220" t="s">
        <v>359</v>
      </c>
      <c r="C151" s="222">
        <v>41561</v>
      </c>
      <c r="D151" s="1">
        <v>51.4</v>
      </c>
      <c r="E151" s="213" t="s">
        <v>50</v>
      </c>
      <c r="F151" s="220" t="s">
        <v>52</v>
      </c>
      <c r="G151" s="220" t="s">
        <v>359</v>
      </c>
      <c r="H151" s="222">
        <v>41561</v>
      </c>
      <c r="I151" s="1">
        <v>51.4</v>
      </c>
      <c r="J151" s="214" t="s">
        <v>735</v>
      </c>
    </row>
    <row r="152" spans="1:10" ht="18" customHeight="1">
      <c r="A152" s="218">
        <v>4</v>
      </c>
      <c r="B152" s="220" t="s">
        <v>368</v>
      </c>
      <c r="C152" s="222">
        <v>41568</v>
      </c>
      <c r="D152" s="1">
        <v>30</v>
      </c>
      <c r="E152" s="213" t="s">
        <v>50</v>
      </c>
      <c r="F152" s="220" t="s">
        <v>52</v>
      </c>
      <c r="G152" s="220" t="s">
        <v>368</v>
      </c>
      <c r="H152" s="222">
        <v>41568</v>
      </c>
      <c r="I152" s="1">
        <v>30</v>
      </c>
      <c r="J152" s="214" t="s">
        <v>735</v>
      </c>
    </row>
    <row r="153" spans="1:10" ht="18" customHeight="1">
      <c r="A153" s="218">
        <v>5</v>
      </c>
      <c r="B153" s="220" t="s">
        <v>367</v>
      </c>
      <c r="C153" s="222">
        <v>41568</v>
      </c>
      <c r="D153" s="1">
        <v>121.12</v>
      </c>
      <c r="E153" s="213" t="s">
        <v>50</v>
      </c>
      <c r="F153" s="210" t="s">
        <v>52</v>
      </c>
      <c r="G153" s="220" t="s">
        <v>367</v>
      </c>
      <c r="H153" s="222">
        <v>41568</v>
      </c>
      <c r="I153" s="1">
        <v>121.12</v>
      </c>
      <c r="J153" s="214" t="s">
        <v>735</v>
      </c>
    </row>
    <row r="154" spans="1:10" ht="18" customHeight="1">
      <c r="A154" s="218">
        <v>6</v>
      </c>
      <c r="B154" s="220" t="s">
        <v>375</v>
      </c>
      <c r="C154" s="222">
        <v>41575</v>
      </c>
      <c r="D154" s="1">
        <v>239.21</v>
      </c>
      <c r="E154" s="213" t="s">
        <v>50</v>
      </c>
      <c r="F154" s="210" t="s">
        <v>52</v>
      </c>
      <c r="G154" s="220" t="s">
        <v>375</v>
      </c>
      <c r="H154" s="222">
        <v>41575</v>
      </c>
      <c r="I154" s="1">
        <v>239.21</v>
      </c>
      <c r="J154" s="214" t="s">
        <v>735</v>
      </c>
    </row>
    <row r="155" spans="1:10" ht="18" customHeight="1">
      <c r="A155" s="218">
        <v>7</v>
      </c>
      <c r="B155" s="220" t="s">
        <v>376</v>
      </c>
      <c r="C155" s="222">
        <v>41575</v>
      </c>
      <c r="D155" s="1">
        <v>84.98</v>
      </c>
      <c r="E155" s="213" t="s">
        <v>50</v>
      </c>
      <c r="F155" s="210" t="s">
        <v>52</v>
      </c>
      <c r="G155" s="220" t="s">
        <v>376</v>
      </c>
      <c r="H155" s="222">
        <v>41575</v>
      </c>
      <c r="I155" s="1">
        <v>84.98</v>
      </c>
      <c r="J155" s="214" t="s">
        <v>735</v>
      </c>
    </row>
    <row r="156" spans="1:10" ht="18" customHeight="1">
      <c r="A156" s="412" t="s">
        <v>23</v>
      </c>
      <c r="B156" s="412"/>
      <c r="C156" s="412"/>
      <c r="D156" s="1">
        <f>SUM(D149:D155)</f>
        <v>868.96</v>
      </c>
      <c r="E156" s="213"/>
      <c r="F156" s="210"/>
      <c r="G156" s="220"/>
      <c r="H156" s="215" t="s">
        <v>0</v>
      </c>
      <c r="I156" s="1">
        <f>SUM(I149:I155)</f>
        <v>868.96</v>
      </c>
      <c r="J156" s="216"/>
    </row>
    <row r="157" spans="1:10" ht="21.9" customHeight="1">
      <c r="A157" s="412" t="s">
        <v>23</v>
      </c>
      <c r="B157" s="412"/>
      <c r="C157" s="412"/>
      <c r="D157" s="1"/>
      <c r="E157" s="213"/>
      <c r="F157" s="210"/>
      <c r="G157" s="224">
        <v>4058</v>
      </c>
      <c r="H157" s="215" t="s">
        <v>1</v>
      </c>
      <c r="I157" s="2">
        <f>I156*G157</f>
        <v>3526239.68</v>
      </c>
      <c r="J157" s="216"/>
    </row>
    <row r="158" spans="1:10" ht="18" customHeight="1">
      <c r="A158" s="218">
        <v>1</v>
      </c>
      <c r="B158" s="220" t="s">
        <v>378</v>
      </c>
      <c r="C158" s="222">
        <v>41582</v>
      </c>
      <c r="D158" s="1">
        <v>214.67</v>
      </c>
      <c r="E158" s="213" t="s">
        <v>50</v>
      </c>
      <c r="F158" s="210" t="s">
        <v>52</v>
      </c>
      <c r="G158" s="220" t="s">
        <v>378</v>
      </c>
      <c r="H158" s="222">
        <v>41582</v>
      </c>
      <c r="I158" s="1">
        <v>214.67</v>
      </c>
      <c r="J158" s="214" t="s">
        <v>735</v>
      </c>
    </row>
    <row r="159" spans="1:10" ht="18" customHeight="1">
      <c r="A159" s="218">
        <v>2</v>
      </c>
      <c r="B159" s="220" t="s">
        <v>377</v>
      </c>
      <c r="C159" s="222">
        <v>41589</v>
      </c>
      <c r="D159" s="1">
        <v>52.7</v>
      </c>
      <c r="E159" s="213" t="s">
        <v>50</v>
      </c>
      <c r="F159" s="220" t="s">
        <v>52</v>
      </c>
      <c r="G159" s="220" t="s">
        <v>377</v>
      </c>
      <c r="H159" s="222">
        <v>41589</v>
      </c>
      <c r="I159" s="1">
        <v>52.7</v>
      </c>
      <c r="J159" s="214" t="s">
        <v>735</v>
      </c>
    </row>
    <row r="160" spans="1:10" ht="18" customHeight="1">
      <c r="A160" s="218">
        <v>3</v>
      </c>
      <c r="B160" s="220" t="s">
        <v>386</v>
      </c>
      <c r="C160" s="222">
        <v>41603</v>
      </c>
      <c r="D160" s="1">
        <v>41.07</v>
      </c>
      <c r="E160" s="213" t="s">
        <v>50</v>
      </c>
      <c r="F160" s="220" t="s">
        <v>52</v>
      </c>
      <c r="G160" s="220" t="s">
        <v>386</v>
      </c>
      <c r="H160" s="222">
        <v>41603</v>
      </c>
      <c r="I160" s="1">
        <v>41.07</v>
      </c>
      <c r="J160" s="214" t="s">
        <v>735</v>
      </c>
    </row>
    <row r="161" spans="1:10" ht="18" customHeight="1">
      <c r="A161" s="412" t="s">
        <v>24</v>
      </c>
      <c r="B161" s="412"/>
      <c r="C161" s="412"/>
      <c r="D161" s="1">
        <f>SUM(D158:D160)</f>
        <v>308.44</v>
      </c>
      <c r="E161" s="213"/>
      <c r="F161" s="220"/>
      <c r="G161" s="220"/>
      <c r="H161" s="215" t="s">
        <v>0</v>
      </c>
      <c r="I161" s="1">
        <f>SUM(I158:I160)</f>
        <v>308.44</v>
      </c>
      <c r="J161" s="216"/>
    </row>
    <row r="162" spans="1:10" ht="21.9" customHeight="1">
      <c r="A162" s="412" t="s">
        <v>24</v>
      </c>
      <c r="B162" s="412"/>
      <c r="C162" s="412"/>
      <c r="D162" s="1"/>
      <c r="E162" s="213"/>
      <c r="F162" s="220"/>
      <c r="G162" s="217">
        <v>4006</v>
      </c>
      <c r="H162" s="215" t="s">
        <v>1</v>
      </c>
      <c r="I162" s="2">
        <f>I161*G162</f>
        <v>1235610.6399999999</v>
      </c>
      <c r="J162" s="216"/>
    </row>
    <row r="163" spans="1:10" ht="18" customHeight="1">
      <c r="A163" s="219">
        <v>1</v>
      </c>
      <c r="B163" s="220" t="s">
        <v>389</v>
      </c>
      <c r="C163" s="222">
        <v>41610</v>
      </c>
      <c r="D163" s="1">
        <v>32.29</v>
      </c>
      <c r="E163" s="213" t="s">
        <v>50</v>
      </c>
      <c r="F163" s="220" t="s">
        <v>52</v>
      </c>
      <c r="G163" s="220" t="s">
        <v>389</v>
      </c>
      <c r="H163" s="222">
        <v>41610</v>
      </c>
      <c r="I163" s="1">
        <v>32.29</v>
      </c>
      <c r="J163" s="214" t="s">
        <v>735</v>
      </c>
    </row>
    <row r="164" spans="1:10" ht="18" customHeight="1">
      <c r="A164" s="218">
        <v>2</v>
      </c>
      <c r="B164" s="220" t="s">
        <v>392</v>
      </c>
      <c r="C164" s="222">
        <v>41617</v>
      </c>
      <c r="D164" s="1">
        <v>330.27</v>
      </c>
      <c r="E164" s="213" t="s">
        <v>50</v>
      </c>
      <c r="F164" s="210" t="s">
        <v>52</v>
      </c>
      <c r="G164" s="220" t="s">
        <v>392</v>
      </c>
      <c r="H164" s="222">
        <v>41617</v>
      </c>
      <c r="I164" s="1">
        <v>330.27</v>
      </c>
      <c r="J164" s="214" t="s">
        <v>735</v>
      </c>
    </row>
    <row r="165" spans="1:10" ht="18" customHeight="1">
      <c r="A165" s="219">
        <v>3</v>
      </c>
      <c r="B165" s="220" t="s">
        <v>393</v>
      </c>
      <c r="C165" s="222">
        <v>41617</v>
      </c>
      <c r="D165" s="1">
        <v>122.13</v>
      </c>
      <c r="E165" s="213" t="s">
        <v>50</v>
      </c>
      <c r="F165" s="210" t="s">
        <v>52</v>
      </c>
      <c r="G165" s="220" t="s">
        <v>393</v>
      </c>
      <c r="H165" s="222">
        <v>41617</v>
      </c>
      <c r="I165" s="1">
        <v>122.13</v>
      </c>
      <c r="J165" s="214" t="s">
        <v>735</v>
      </c>
    </row>
    <row r="166" spans="1:10" ht="18" customHeight="1">
      <c r="A166" s="218">
        <v>4</v>
      </c>
      <c r="B166" s="220" t="s">
        <v>401</v>
      </c>
      <c r="C166" s="222">
        <v>41624</v>
      </c>
      <c r="D166" s="1">
        <v>180.09</v>
      </c>
      <c r="E166" s="213" t="s">
        <v>50</v>
      </c>
      <c r="F166" s="210" t="s">
        <v>52</v>
      </c>
      <c r="G166" s="220" t="s">
        <v>401</v>
      </c>
      <c r="H166" s="222">
        <v>41624</v>
      </c>
      <c r="I166" s="1">
        <v>180.09</v>
      </c>
      <c r="J166" s="214" t="s">
        <v>735</v>
      </c>
    </row>
    <row r="167" spans="1:10" ht="18" customHeight="1">
      <c r="A167" s="219">
        <v>5</v>
      </c>
      <c r="B167" s="220" t="s">
        <v>408</v>
      </c>
      <c r="C167" s="222">
        <v>41631</v>
      </c>
      <c r="D167" s="1">
        <v>60.45</v>
      </c>
      <c r="E167" s="213" t="s">
        <v>50</v>
      </c>
      <c r="F167" s="220" t="s">
        <v>52</v>
      </c>
      <c r="G167" s="220" t="s">
        <v>408</v>
      </c>
      <c r="H167" s="222">
        <v>41631</v>
      </c>
      <c r="I167" s="1">
        <v>60.45</v>
      </c>
      <c r="J167" s="214" t="s">
        <v>735</v>
      </c>
    </row>
    <row r="168" spans="1:10" ht="18" customHeight="1">
      <c r="A168" s="218">
        <v>6</v>
      </c>
      <c r="B168" s="220" t="s">
        <v>413</v>
      </c>
      <c r="C168" s="222">
        <v>41639</v>
      </c>
      <c r="D168" s="1">
        <v>120.68</v>
      </c>
      <c r="E168" s="213" t="s">
        <v>50</v>
      </c>
      <c r="F168" s="210" t="s">
        <v>52</v>
      </c>
      <c r="G168" s="220" t="s">
        <v>413</v>
      </c>
      <c r="H168" s="222">
        <v>41639</v>
      </c>
      <c r="I168" s="1">
        <v>120.68</v>
      </c>
      <c r="J168" s="214" t="s">
        <v>735</v>
      </c>
    </row>
    <row r="169" spans="1:10" ht="18" customHeight="1">
      <c r="A169" s="412" t="s">
        <v>25</v>
      </c>
      <c r="B169" s="412"/>
      <c r="C169" s="412"/>
      <c r="D169" s="1">
        <f>SUM(D163:D168)</f>
        <v>845.91000000000008</v>
      </c>
      <c r="E169" s="213"/>
      <c r="F169" s="210"/>
      <c r="G169" s="220"/>
      <c r="H169" s="215" t="s">
        <v>0</v>
      </c>
      <c r="I169" s="1">
        <f>SUM(I163:I168)</f>
        <v>845.91000000000008</v>
      </c>
      <c r="J169" s="216"/>
    </row>
    <row r="170" spans="1:10" ht="21.9" customHeight="1">
      <c r="A170" s="412" t="s">
        <v>25</v>
      </c>
      <c r="B170" s="412"/>
      <c r="C170" s="412"/>
      <c r="D170" s="1"/>
      <c r="E170" s="213"/>
      <c r="F170" s="210"/>
      <c r="G170" s="217">
        <v>3995</v>
      </c>
      <c r="H170" s="215" t="s">
        <v>1</v>
      </c>
      <c r="I170" s="2">
        <f>I169*G170</f>
        <v>3379410.45</v>
      </c>
      <c r="J170" s="216"/>
    </row>
    <row r="171" spans="1:10" ht="18" customHeight="1">
      <c r="A171" s="219">
        <v>1</v>
      </c>
      <c r="B171" s="225" t="s">
        <v>414</v>
      </c>
      <c r="C171" s="226">
        <v>41645</v>
      </c>
      <c r="D171" s="212">
        <v>36.200000000000003</v>
      </c>
      <c r="E171" s="227" t="s">
        <v>50</v>
      </c>
      <c r="F171" s="225" t="s">
        <v>52</v>
      </c>
      <c r="G171" s="225" t="s">
        <v>414</v>
      </c>
      <c r="H171" s="226">
        <v>41645</v>
      </c>
      <c r="I171" s="212">
        <v>36.200000000000003</v>
      </c>
      <c r="J171" s="214" t="s">
        <v>735</v>
      </c>
    </row>
    <row r="172" spans="1:10" ht="18" customHeight="1">
      <c r="A172" s="218">
        <v>2</v>
      </c>
      <c r="B172" s="225" t="s">
        <v>415</v>
      </c>
      <c r="C172" s="226">
        <v>41645</v>
      </c>
      <c r="D172" s="212">
        <v>212.17</v>
      </c>
      <c r="E172" s="213" t="s">
        <v>50</v>
      </c>
      <c r="F172" s="210" t="s">
        <v>52</v>
      </c>
      <c r="G172" s="225" t="s">
        <v>415</v>
      </c>
      <c r="H172" s="226">
        <v>41645</v>
      </c>
      <c r="I172" s="212">
        <v>212.17</v>
      </c>
      <c r="J172" s="214" t="s">
        <v>735</v>
      </c>
    </row>
    <row r="173" spans="1:10" ht="18" customHeight="1">
      <c r="A173" s="219">
        <v>3</v>
      </c>
      <c r="B173" s="225" t="s">
        <v>418</v>
      </c>
      <c r="C173" s="226">
        <v>41646</v>
      </c>
      <c r="D173" s="212">
        <v>4</v>
      </c>
      <c r="E173" s="227" t="s">
        <v>50</v>
      </c>
      <c r="F173" s="225" t="s">
        <v>52</v>
      </c>
      <c r="G173" s="225" t="s">
        <v>418</v>
      </c>
      <c r="H173" s="226">
        <v>41646</v>
      </c>
      <c r="I173" s="212">
        <v>4</v>
      </c>
      <c r="J173" s="214" t="s">
        <v>735</v>
      </c>
    </row>
    <row r="174" spans="1:10" ht="18" customHeight="1">
      <c r="A174" s="218">
        <v>4</v>
      </c>
      <c r="B174" s="225" t="s">
        <v>419</v>
      </c>
      <c r="C174" s="226">
        <v>41652</v>
      </c>
      <c r="D174" s="212">
        <v>239.84</v>
      </c>
      <c r="E174" s="213" t="s">
        <v>50</v>
      </c>
      <c r="F174" s="210" t="s">
        <v>52</v>
      </c>
      <c r="G174" s="225" t="s">
        <v>419</v>
      </c>
      <c r="H174" s="226">
        <v>41652</v>
      </c>
      <c r="I174" s="212">
        <v>239.84</v>
      </c>
      <c r="J174" s="214" t="s">
        <v>735</v>
      </c>
    </row>
    <row r="175" spans="1:10" ht="18" customHeight="1">
      <c r="A175" s="219">
        <v>5</v>
      </c>
      <c r="B175" s="225" t="s">
        <v>420</v>
      </c>
      <c r="C175" s="226">
        <v>41653</v>
      </c>
      <c r="D175" s="212">
        <v>65.94</v>
      </c>
      <c r="E175" s="227" t="s">
        <v>50</v>
      </c>
      <c r="F175" s="225" t="s">
        <v>52</v>
      </c>
      <c r="G175" s="225" t="s">
        <v>420</v>
      </c>
      <c r="H175" s="226">
        <v>41653</v>
      </c>
      <c r="I175" s="212">
        <v>65.94</v>
      </c>
      <c r="J175" s="214" t="s">
        <v>735</v>
      </c>
    </row>
    <row r="176" spans="1:10" ht="18" customHeight="1">
      <c r="A176" s="218">
        <v>6</v>
      </c>
      <c r="B176" s="225" t="s">
        <v>427</v>
      </c>
      <c r="C176" s="226">
        <v>41659</v>
      </c>
      <c r="D176" s="212">
        <v>125.78</v>
      </c>
      <c r="E176" s="227" t="s">
        <v>50</v>
      </c>
      <c r="F176" s="225" t="s">
        <v>52</v>
      </c>
      <c r="G176" s="225" t="s">
        <v>427</v>
      </c>
      <c r="H176" s="226">
        <v>41659</v>
      </c>
      <c r="I176" s="212">
        <v>125.78</v>
      </c>
      <c r="J176" s="214" t="s">
        <v>735</v>
      </c>
    </row>
    <row r="177" spans="1:10" ht="18" customHeight="1">
      <c r="A177" s="219">
        <v>7</v>
      </c>
      <c r="B177" s="225" t="s">
        <v>435</v>
      </c>
      <c r="C177" s="226">
        <v>41666</v>
      </c>
      <c r="D177" s="212">
        <v>73.14</v>
      </c>
      <c r="E177" s="227" t="s">
        <v>50</v>
      </c>
      <c r="F177" s="225" t="s">
        <v>52</v>
      </c>
      <c r="G177" s="225" t="s">
        <v>435</v>
      </c>
      <c r="H177" s="226">
        <v>41666</v>
      </c>
      <c r="I177" s="212">
        <v>73.14</v>
      </c>
      <c r="J177" s="214" t="s">
        <v>735</v>
      </c>
    </row>
    <row r="178" spans="1:10" ht="18" customHeight="1">
      <c r="A178" s="412" t="s">
        <v>26</v>
      </c>
      <c r="B178" s="412"/>
      <c r="C178" s="412"/>
      <c r="D178" s="212">
        <f>SUM(D171:D177)</f>
        <v>757.07</v>
      </c>
      <c r="E178" s="213"/>
      <c r="F178" s="210"/>
      <c r="G178" s="225"/>
      <c r="H178" s="215" t="s">
        <v>0</v>
      </c>
      <c r="I178" s="212">
        <f>SUM(I171:I177)</f>
        <v>757.07</v>
      </c>
      <c r="J178" s="216"/>
    </row>
    <row r="179" spans="1:10" ht="21.9" customHeight="1">
      <c r="A179" s="412" t="s">
        <v>26</v>
      </c>
      <c r="B179" s="412"/>
      <c r="C179" s="412"/>
      <c r="D179" s="212"/>
      <c r="E179" s="213"/>
      <c r="F179" s="210"/>
      <c r="G179" s="217">
        <v>3995</v>
      </c>
      <c r="H179" s="215" t="s">
        <v>1</v>
      </c>
      <c r="I179" s="2">
        <f>I178*G179</f>
        <v>3024494.6500000004</v>
      </c>
      <c r="J179" s="216"/>
    </row>
    <row r="180" spans="1:10" ht="18" customHeight="1">
      <c r="A180" s="218">
        <v>1</v>
      </c>
      <c r="B180" s="225" t="s">
        <v>438</v>
      </c>
      <c r="C180" s="226">
        <v>41674</v>
      </c>
      <c r="D180" s="212">
        <v>174.58</v>
      </c>
      <c r="E180" s="213" t="s">
        <v>50</v>
      </c>
      <c r="F180" s="210" t="s">
        <v>52</v>
      </c>
      <c r="G180" s="225" t="s">
        <v>438</v>
      </c>
      <c r="H180" s="226">
        <v>41674</v>
      </c>
      <c r="I180" s="212">
        <v>174.58</v>
      </c>
      <c r="J180" s="214" t="s">
        <v>735</v>
      </c>
    </row>
    <row r="181" spans="1:10" ht="18" customHeight="1">
      <c r="A181" s="218">
        <v>2</v>
      </c>
      <c r="B181" s="225" t="s">
        <v>444</v>
      </c>
      <c r="C181" s="226">
        <v>41680</v>
      </c>
      <c r="D181" s="212">
        <v>415.68</v>
      </c>
      <c r="E181" s="213" t="s">
        <v>50</v>
      </c>
      <c r="F181" s="210" t="s">
        <v>52</v>
      </c>
      <c r="G181" s="225" t="s">
        <v>444</v>
      </c>
      <c r="H181" s="226">
        <v>41680</v>
      </c>
      <c r="I181" s="212">
        <v>415.68</v>
      </c>
      <c r="J181" s="214" t="s">
        <v>735</v>
      </c>
    </row>
    <row r="182" spans="1:10" ht="18" customHeight="1">
      <c r="A182" s="218">
        <v>3</v>
      </c>
      <c r="B182" s="225" t="s">
        <v>448</v>
      </c>
      <c r="C182" s="226">
        <v>41687</v>
      </c>
      <c r="D182" s="212">
        <v>40.6</v>
      </c>
      <c r="E182" s="227" t="s">
        <v>50</v>
      </c>
      <c r="F182" s="225" t="s">
        <v>52</v>
      </c>
      <c r="G182" s="225" t="s">
        <v>448</v>
      </c>
      <c r="H182" s="226">
        <v>41687</v>
      </c>
      <c r="I182" s="212">
        <v>40.6</v>
      </c>
      <c r="J182" s="214" t="s">
        <v>735</v>
      </c>
    </row>
    <row r="183" spans="1:10" ht="18" customHeight="1">
      <c r="A183" s="218">
        <v>4</v>
      </c>
      <c r="B183" s="225" t="s">
        <v>449</v>
      </c>
      <c r="C183" s="226">
        <v>41687</v>
      </c>
      <c r="D183" s="212">
        <v>304.44</v>
      </c>
      <c r="E183" s="213" t="s">
        <v>50</v>
      </c>
      <c r="F183" s="210" t="s">
        <v>52</v>
      </c>
      <c r="G183" s="225" t="s">
        <v>449</v>
      </c>
      <c r="H183" s="226">
        <v>41687</v>
      </c>
      <c r="I183" s="212">
        <v>304.44</v>
      </c>
      <c r="J183" s="214" t="s">
        <v>735</v>
      </c>
    </row>
    <row r="184" spans="1:10" ht="18" customHeight="1">
      <c r="A184" s="218">
        <v>5</v>
      </c>
      <c r="B184" s="225" t="s">
        <v>455</v>
      </c>
      <c r="C184" s="226">
        <v>41688</v>
      </c>
      <c r="D184" s="212">
        <v>104.76</v>
      </c>
      <c r="E184" s="213" t="s">
        <v>50</v>
      </c>
      <c r="F184" s="210" t="s">
        <v>52</v>
      </c>
      <c r="G184" s="225" t="s">
        <v>455</v>
      </c>
      <c r="H184" s="226">
        <v>41688</v>
      </c>
      <c r="I184" s="212">
        <v>104.76</v>
      </c>
      <c r="J184" s="214" t="s">
        <v>735</v>
      </c>
    </row>
    <row r="185" spans="1:10" ht="18" customHeight="1">
      <c r="A185" s="218">
        <v>6</v>
      </c>
      <c r="B185" s="225" t="s">
        <v>456</v>
      </c>
      <c r="C185" s="226">
        <v>41689</v>
      </c>
      <c r="D185" s="212">
        <v>4</v>
      </c>
      <c r="E185" s="227" t="s">
        <v>50</v>
      </c>
      <c r="F185" s="225" t="s">
        <v>52</v>
      </c>
      <c r="G185" s="225" t="s">
        <v>456</v>
      </c>
      <c r="H185" s="226">
        <v>41689</v>
      </c>
      <c r="I185" s="212">
        <v>4</v>
      </c>
      <c r="J185" s="214" t="s">
        <v>735</v>
      </c>
    </row>
    <row r="186" spans="1:10" ht="18" customHeight="1">
      <c r="A186" s="218">
        <v>7</v>
      </c>
      <c r="B186" s="225" t="s">
        <v>457</v>
      </c>
      <c r="C186" s="226">
        <v>41694</v>
      </c>
      <c r="D186" s="212">
        <v>85.78</v>
      </c>
      <c r="E186" s="213" t="s">
        <v>50</v>
      </c>
      <c r="F186" s="210" t="s">
        <v>52</v>
      </c>
      <c r="G186" s="225" t="s">
        <v>457</v>
      </c>
      <c r="H186" s="226">
        <v>41694</v>
      </c>
      <c r="I186" s="212">
        <v>85.78</v>
      </c>
      <c r="J186" s="214" t="s">
        <v>735</v>
      </c>
    </row>
    <row r="187" spans="1:10" ht="18" customHeight="1">
      <c r="A187" s="218">
        <v>8</v>
      </c>
      <c r="B187" s="225" t="s">
        <v>458</v>
      </c>
      <c r="C187" s="226">
        <v>41694</v>
      </c>
      <c r="D187" s="212">
        <v>270.20999999999998</v>
      </c>
      <c r="E187" s="213" t="s">
        <v>50</v>
      </c>
      <c r="F187" s="210" t="s">
        <v>52</v>
      </c>
      <c r="G187" s="225" t="s">
        <v>458</v>
      </c>
      <c r="H187" s="226">
        <v>41694</v>
      </c>
      <c r="I187" s="212">
        <v>270.20999999999998</v>
      </c>
      <c r="J187" s="214" t="s">
        <v>735</v>
      </c>
    </row>
    <row r="188" spans="1:10" ht="18" customHeight="1">
      <c r="A188" s="412" t="s">
        <v>36</v>
      </c>
      <c r="B188" s="412"/>
      <c r="C188" s="412"/>
      <c r="D188" s="212">
        <f>SUM(D180:D187)</f>
        <v>1400.05</v>
      </c>
      <c r="E188" s="213"/>
      <c r="F188" s="210"/>
      <c r="G188" s="225"/>
      <c r="H188" s="215" t="s">
        <v>0</v>
      </c>
      <c r="I188" s="212">
        <f>SUM(I180:I187)</f>
        <v>1400.05</v>
      </c>
      <c r="J188" s="216"/>
    </row>
    <row r="189" spans="1:10" ht="21.9" customHeight="1">
      <c r="A189" s="412" t="s">
        <v>36</v>
      </c>
      <c r="B189" s="412"/>
      <c r="C189" s="412"/>
      <c r="D189" s="212"/>
      <c r="E189" s="213"/>
      <c r="F189" s="210"/>
      <c r="G189" s="217">
        <v>3984</v>
      </c>
      <c r="H189" s="215" t="s">
        <v>1</v>
      </c>
      <c r="I189" s="2">
        <f>I188*G189</f>
        <v>5577799.2000000002</v>
      </c>
      <c r="J189" s="216"/>
    </row>
    <row r="190" spans="1:10" ht="18" customHeight="1">
      <c r="A190" s="218">
        <v>1</v>
      </c>
      <c r="B190" s="225" t="s">
        <v>462</v>
      </c>
      <c r="C190" s="226">
        <v>41701</v>
      </c>
      <c r="D190" s="212">
        <v>83.61</v>
      </c>
      <c r="E190" s="213" t="s">
        <v>50</v>
      </c>
      <c r="F190" s="210" t="s">
        <v>52</v>
      </c>
      <c r="G190" s="225" t="s">
        <v>462</v>
      </c>
      <c r="H190" s="226">
        <v>41701</v>
      </c>
      <c r="I190" s="212">
        <v>83.61</v>
      </c>
      <c r="J190" s="214" t="s">
        <v>735</v>
      </c>
    </row>
    <row r="191" spans="1:10" ht="18" customHeight="1">
      <c r="A191" s="218">
        <v>2</v>
      </c>
      <c r="B191" s="225" t="s">
        <v>464</v>
      </c>
      <c r="C191" s="226">
        <v>41708</v>
      </c>
      <c r="D191" s="212">
        <v>103.64</v>
      </c>
      <c r="E191" s="213" t="s">
        <v>50</v>
      </c>
      <c r="F191" s="210" t="s">
        <v>52</v>
      </c>
      <c r="G191" s="225" t="s">
        <v>464</v>
      </c>
      <c r="H191" s="226">
        <v>41708</v>
      </c>
      <c r="I191" s="212">
        <v>103.64</v>
      </c>
      <c r="J191" s="214" t="s">
        <v>735</v>
      </c>
    </row>
    <row r="192" spans="1:10" ht="18" customHeight="1">
      <c r="A192" s="218">
        <v>3</v>
      </c>
      <c r="B192" s="225" t="s">
        <v>465</v>
      </c>
      <c r="C192" s="226">
        <v>41709</v>
      </c>
      <c r="D192" s="212">
        <v>440.98</v>
      </c>
      <c r="E192" s="213" t="s">
        <v>50</v>
      </c>
      <c r="F192" s="210" t="s">
        <v>52</v>
      </c>
      <c r="G192" s="225" t="s">
        <v>465</v>
      </c>
      <c r="H192" s="226">
        <v>41709</v>
      </c>
      <c r="I192" s="212">
        <v>440.98</v>
      </c>
      <c r="J192" s="214" t="s">
        <v>735</v>
      </c>
    </row>
    <row r="193" spans="1:10" ht="18" customHeight="1">
      <c r="A193" s="218">
        <v>4</v>
      </c>
      <c r="B193" s="225" t="s">
        <v>474</v>
      </c>
      <c r="C193" s="226">
        <v>41715</v>
      </c>
      <c r="D193" s="212">
        <v>381.77</v>
      </c>
      <c r="E193" s="213" t="s">
        <v>50</v>
      </c>
      <c r="F193" s="210" t="s">
        <v>52</v>
      </c>
      <c r="G193" s="225" t="s">
        <v>474</v>
      </c>
      <c r="H193" s="226">
        <v>41715</v>
      </c>
      <c r="I193" s="212">
        <v>381.77</v>
      </c>
      <c r="J193" s="214" t="s">
        <v>735</v>
      </c>
    </row>
    <row r="194" spans="1:10" ht="18" customHeight="1">
      <c r="A194" s="218">
        <v>5</v>
      </c>
      <c r="B194" s="225" t="s">
        <v>479</v>
      </c>
      <c r="C194" s="226">
        <v>41717</v>
      </c>
      <c r="D194" s="212">
        <v>16</v>
      </c>
      <c r="E194" s="227" t="s">
        <v>50</v>
      </c>
      <c r="F194" s="225" t="s">
        <v>52</v>
      </c>
      <c r="G194" s="225" t="s">
        <v>479</v>
      </c>
      <c r="H194" s="226">
        <v>41717</v>
      </c>
      <c r="I194" s="212">
        <v>16</v>
      </c>
      <c r="J194" s="214" t="s">
        <v>735</v>
      </c>
    </row>
    <row r="195" spans="1:10" ht="18" customHeight="1">
      <c r="A195" s="218">
        <v>6</v>
      </c>
      <c r="B195" s="225" t="s">
        <v>480</v>
      </c>
      <c r="C195" s="226">
        <v>41722</v>
      </c>
      <c r="D195" s="212">
        <v>107.59</v>
      </c>
      <c r="E195" s="213" t="s">
        <v>50</v>
      </c>
      <c r="F195" s="210" t="s">
        <v>52</v>
      </c>
      <c r="G195" s="225" t="s">
        <v>480</v>
      </c>
      <c r="H195" s="226">
        <v>41722</v>
      </c>
      <c r="I195" s="212">
        <v>107.59</v>
      </c>
      <c r="J195" s="214" t="s">
        <v>735</v>
      </c>
    </row>
    <row r="196" spans="1:10" ht="18" customHeight="1">
      <c r="A196" s="218">
        <v>7</v>
      </c>
      <c r="B196" s="225" t="s">
        <v>486</v>
      </c>
      <c r="C196" s="226">
        <v>41729</v>
      </c>
      <c r="D196" s="212">
        <v>139.13999999999999</v>
      </c>
      <c r="E196" s="227" t="s">
        <v>50</v>
      </c>
      <c r="F196" s="225" t="s">
        <v>52</v>
      </c>
      <c r="G196" s="225" t="s">
        <v>486</v>
      </c>
      <c r="H196" s="226">
        <v>41729</v>
      </c>
      <c r="I196" s="212">
        <v>139.13999999999999</v>
      </c>
      <c r="J196" s="214" t="s">
        <v>735</v>
      </c>
    </row>
    <row r="197" spans="1:10" ht="18" customHeight="1">
      <c r="A197" s="412" t="s">
        <v>37</v>
      </c>
      <c r="B197" s="412"/>
      <c r="C197" s="412"/>
      <c r="D197" s="212">
        <f>SUM(D190:D196)</f>
        <v>1272.73</v>
      </c>
      <c r="E197" s="213"/>
      <c r="F197" s="210"/>
      <c r="G197" s="225"/>
      <c r="H197" s="215" t="s">
        <v>0</v>
      </c>
      <c r="I197" s="212">
        <f>SUM(I190:I196)</f>
        <v>1272.73</v>
      </c>
      <c r="J197" s="216"/>
    </row>
    <row r="198" spans="1:10" ht="21.9" customHeight="1">
      <c r="A198" s="412" t="s">
        <v>37</v>
      </c>
      <c r="B198" s="412"/>
      <c r="C198" s="412"/>
      <c r="D198" s="212"/>
      <c r="E198" s="213"/>
      <c r="F198" s="210"/>
      <c r="G198" s="217">
        <v>4002</v>
      </c>
      <c r="H198" s="215" t="s">
        <v>1</v>
      </c>
      <c r="I198" s="2">
        <f>I197*G198</f>
        <v>5093465.46</v>
      </c>
      <c r="J198" s="216"/>
    </row>
    <row r="199" spans="1:10" ht="18" customHeight="1">
      <c r="A199" s="218">
        <v>1</v>
      </c>
      <c r="B199" s="225" t="s">
        <v>488</v>
      </c>
      <c r="C199" s="226">
        <v>41736</v>
      </c>
      <c r="D199" s="212">
        <v>295.52</v>
      </c>
      <c r="E199" s="213" t="s">
        <v>50</v>
      </c>
      <c r="F199" s="210" t="s">
        <v>52</v>
      </c>
      <c r="G199" s="225" t="s">
        <v>488</v>
      </c>
      <c r="H199" s="226">
        <v>41736</v>
      </c>
      <c r="I199" s="212">
        <v>295.52</v>
      </c>
      <c r="J199" s="214" t="s">
        <v>735</v>
      </c>
    </row>
    <row r="200" spans="1:10" ht="18" customHeight="1">
      <c r="A200" s="218">
        <v>2</v>
      </c>
      <c r="B200" s="225" t="s">
        <v>487</v>
      </c>
      <c r="C200" s="226">
        <v>41731</v>
      </c>
      <c r="D200" s="212">
        <v>4</v>
      </c>
      <c r="E200" s="227" t="s">
        <v>50</v>
      </c>
      <c r="F200" s="225" t="s">
        <v>52</v>
      </c>
      <c r="G200" s="225" t="s">
        <v>487</v>
      </c>
      <c r="H200" s="226">
        <v>41731</v>
      </c>
      <c r="I200" s="212">
        <v>4</v>
      </c>
      <c r="J200" s="214" t="s">
        <v>735</v>
      </c>
    </row>
    <row r="201" spans="1:10" ht="18" customHeight="1">
      <c r="A201" s="218">
        <v>3</v>
      </c>
      <c r="B201" s="225" t="s">
        <v>495</v>
      </c>
      <c r="C201" s="226">
        <v>41744</v>
      </c>
      <c r="D201" s="212">
        <v>242.83</v>
      </c>
      <c r="E201" s="213" t="s">
        <v>50</v>
      </c>
      <c r="F201" s="210" t="s">
        <v>52</v>
      </c>
      <c r="G201" s="225" t="s">
        <v>495</v>
      </c>
      <c r="H201" s="226">
        <v>41744</v>
      </c>
      <c r="I201" s="212">
        <v>242.83</v>
      </c>
      <c r="J201" s="214" t="s">
        <v>735</v>
      </c>
    </row>
    <row r="202" spans="1:10" ht="18" customHeight="1">
      <c r="A202" s="218">
        <v>4</v>
      </c>
      <c r="B202" s="225" t="s">
        <v>502</v>
      </c>
      <c r="C202" s="226">
        <v>41750</v>
      </c>
      <c r="D202" s="212">
        <v>130.46</v>
      </c>
      <c r="E202" s="213" t="s">
        <v>50</v>
      </c>
      <c r="F202" s="210" t="s">
        <v>52</v>
      </c>
      <c r="G202" s="225" t="s">
        <v>502</v>
      </c>
      <c r="H202" s="226">
        <v>41750</v>
      </c>
      <c r="I202" s="212">
        <v>130.46</v>
      </c>
      <c r="J202" s="214" t="s">
        <v>735</v>
      </c>
    </row>
    <row r="203" spans="1:10" ht="18" customHeight="1">
      <c r="A203" s="218">
        <v>5</v>
      </c>
      <c r="B203" s="225" t="s">
        <v>509</v>
      </c>
      <c r="C203" s="226">
        <v>41757</v>
      </c>
      <c r="D203" s="212">
        <v>113.27</v>
      </c>
      <c r="E203" s="213" t="s">
        <v>50</v>
      </c>
      <c r="F203" s="210" t="s">
        <v>52</v>
      </c>
      <c r="G203" s="225" t="s">
        <v>509</v>
      </c>
      <c r="H203" s="226">
        <v>41757</v>
      </c>
      <c r="I203" s="212">
        <v>113.27</v>
      </c>
      <c r="J203" s="214" t="s">
        <v>735</v>
      </c>
    </row>
    <row r="204" spans="1:10" ht="18" customHeight="1">
      <c r="A204" s="412" t="s">
        <v>38</v>
      </c>
      <c r="B204" s="412"/>
      <c r="C204" s="412"/>
      <c r="D204" s="212">
        <f>SUM(D199:D203)</f>
        <v>786.08</v>
      </c>
      <c r="E204" s="213"/>
      <c r="F204" s="210"/>
      <c r="G204" s="225"/>
      <c r="H204" s="215" t="s">
        <v>0</v>
      </c>
      <c r="I204" s="212">
        <f>SUM(I199:I203)</f>
        <v>786.08</v>
      </c>
      <c r="J204" s="216"/>
    </row>
    <row r="205" spans="1:10" ht="21.9" customHeight="1">
      <c r="A205" s="412" t="s">
        <v>38</v>
      </c>
      <c r="B205" s="412"/>
      <c r="C205" s="412"/>
      <c r="D205" s="212"/>
      <c r="E205" s="213"/>
      <c r="F205" s="210"/>
      <c r="G205" s="217">
        <v>4015</v>
      </c>
      <c r="H205" s="215" t="s">
        <v>1</v>
      </c>
      <c r="I205" s="2">
        <f>I204*G205</f>
        <v>3156111.2</v>
      </c>
      <c r="J205" s="216"/>
    </row>
    <row r="206" spans="1:10" ht="18" customHeight="1">
      <c r="A206" s="218">
        <v>1</v>
      </c>
      <c r="B206" s="228" t="s">
        <v>512</v>
      </c>
      <c r="C206" s="226">
        <v>41764</v>
      </c>
      <c r="D206" s="212">
        <v>237.93</v>
      </c>
      <c r="E206" s="213" t="s">
        <v>50</v>
      </c>
      <c r="F206" s="210" t="s">
        <v>52</v>
      </c>
      <c r="G206" s="228" t="s">
        <v>512</v>
      </c>
      <c r="H206" s="226">
        <v>41764</v>
      </c>
      <c r="I206" s="212">
        <v>237.93</v>
      </c>
      <c r="J206" s="214" t="s">
        <v>735</v>
      </c>
    </row>
    <row r="207" spans="1:10" ht="18" customHeight="1">
      <c r="A207" s="218">
        <v>2</v>
      </c>
      <c r="B207" s="228" t="s">
        <v>520</v>
      </c>
      <c r="C207" s="226">
        <v>41772</v>
      </c>
      <c r="D207" s="212">
        <v>188.08</v>
      </c>
      <c r="E207" s="213" t="s">
        <v>50</v>
      </c>
      <c r="F207" s="210" t="s">
        <v>52</v>
      </c>
      <c r="G207" s="228" t="s">
        <v>520</v>
      </c>
      <c r="H207" s="226">
        <v>41772</v>
      </c>
      <c r="I207" s="212">
        <v>188.08</v>
      </c>
      <c r="J207" s="214" t="s">
        <v>735</v>
      </c>
    </row>
    <row r="208" spans="1:10" ht="18" customHeight="1">
      <c r="A208" s="218">
        <v>3</v>
      </c>
      <c r="B208" s="228" t="s">
        <v>522</v>
      </c>
      <c r="C208" s="226">
        <v>41778</v>
      </c>
      <c r="D208" s="212">
        <v>119.01</v>
      </c>
      <c r="E208" s="213" t="s">
        <v>50</v>
      </c>
      <c r="F208" s="210" t="s">
        <v>52</v>
      </c>
      <c r="G208" s="228" t="s">
        <v>522</v>
      </c>
      <c r="H208" s="226">
        <v>41778</v>
      </c>
      <c r="I208" s="212">
        <v>119.01</v>
      </c>
      <c r="J208" s="214" t="s">
        <v>735</v>
      </c>
    </row>
    <row r="209" spans="1:10" ht="18" customHeight="1">
      <c r="A209" s="218">
        <v>4</v>
      </c>
      <c r="B209" s="228" t="s">
        <v>526</v>
      </c>
      <c r="C209" s="226">
        <v>41782</v>
      </c>
      <c r="D209" s="212">
        <v>30</v>
      </c>
      <c r="E209" s="210" t="s">
        <v>50</v>
      </c>
      <c r="F209" s="228" t="s">
        <v>52</v>
      </c>
      <c r="G209" s="228" t="s">
        <v>526</v>
      </c>
      <c r="H209" s="226">
        <v>41782</v>
      </c>
      <c r="I209" s="212">
        <v>30</v>
      </c>
      <c r="J209" s="214" t="s">
        <v>735</v>
      </c>
    </row>
    <row r="210" spans="1:10" ht="18" customHeight="1">
      <c r="A210" s="218">
        <v>5</v>
      </c>
      <c r="B210" s="228" t="s">
        <v>527</v>
      </c>
      <c r="C210" s="226">
        <v>41785</v>
      </c>
      <c r="D210" s="212">
        <v>100.65</v>
      </c>
      <c r="E210" s="210" t="s">
        <v>50</v>
      </c>
      <c r="F210" s="228" t="s">
        <v>52</v>
      </c>
      <c r="G210" s="228" t="s">
        <v>527</v>
      </c>
      <c r="H210" s="226">
        <v>41785</v>
      </c>
      <c r="I210" s="212">
        <v>100.65</v>
      </c>
      <c r="J210" s="214" t="s">
        <v>735</v>
      </c>
    </row>
    <row r="211" spans="1:10" ht="18" customHeight="1">
      <c r="A211" s="412" t="s">
        <v>39</v>
      </c>
      <c r="B211" s="412"/>
      <c r="C211" s="412"/>
      <c r="D211" s="212">
        <f>SUM(D206:D210)</f>
        <v>675.67</v>
      </c>
      <c r="E211" s="213"/>
      <c r="F211" s="210"/>
      <c r="G211" s="228"/>
      <c r="H211" s="215" t="s">
        <v>0</v>
      </c>
      <c r="I211" s="212">
        <f>SUM(I206:I210)</f>
        <v>675.67</v>
      </c>
      <c r="J211" s="216"/>
    </row>
    <row r="212" spans="1:10" ht="21.9" customHeight="1">
      <c r="A212" s="412" t="s">
        <v>39</v>
      </c>
      <c r="B212" s="412"/>
      <c r="C212" s="412"/>
      <c r="D212" s="212"/>
      <c r="E212" s="213"/>
      <c r="F212" s="210"/>
      <c r="G212" s="217">
        <v>4025</v>
      </c>
      <c r="H212" s="215" t="s">
        <v>1</v>
      </c>
      <c r="I212" s="2">
        <f>I211*G212</f>
        <v>2719571.75</v>
      </c>
      <c r="J212" s="216"/>
    </row>
    <row r="213" spans="1:10" ht="18" customHeight="1">
      <c r="A213" s="218">
        <v>1</v>
      </c>
      <c r="B213" s="228" t="s">
        <v>529</v>
      </c>
      <c r="C213" s="226">
        <v>41792</v>
      </c>
      <c r="D213" s="212">
        <v>209.57</v>
      </c>
      <c r="E213" s="213" t="s">
        <v>50</v>
      </c>
      <c r="F213" s="210" t="s">
        <v>52</v>
      </c>
      <c r="G213" s="228" t="s">
        <v>529</v>
      </c>
      <c r="H213" s="226">
        <v>41792</v>
      </c>
      <c r="I213" s="212">
        <v>209.57</v>
      </c>
      <c r="J213" s="214" t="s">
        <v>735</v>
      </c>
    </row>
    <row r="214" spans="1:10" ht="18" customHeight="1">
      <c r="A214" s="218">
        <v>2</v>
      </c>
      <c r="B214" s="228" t="s">
        <v>533</v>
      </c>
      <c r="C214" s="226">
        <v>41799</v>
      </c>
      <c r="D214" s="212">
        <v>188.93</v>
      </c>
      <c r="E214" s="213" t="s">
        <v>50</v>
      </c>
      <c r="F214" s="210" t="s">
        <v>52</v>
      </c>
      <c r="G214" s="228" t="s">
        <v>533</v>
      </c>
      <c r="H214" s="226">
        <v>41799</v>
      </c>
      <c r="I214" s="212">
        <v>188.93</v>
      </c>
      <c r="J214" s="214" t="s">
        <v>735</v>
      </c>
    </row>
    <row r="215" spans="1:10" ht="18" customHeight="1">
      <c r="A215" s="218">
        <v>3</v>
      </c>
      <c r="B215" s="228" t="s">
        <v>541</v>
      </c>
      <c r="C215" s="226">
        <v>41806</v>
      </c>
      <c r="D215" s="212">
        <v>26.87</v>
      </c>
      <c r="E215" s="213" t="s">
        <v>50</v>
      </c>
      <c r="F215" s="228" t="s">
        <v>52</v>
      </c>
      <c r="G215" s="228" t="s">
        <v>541</v>
      </c>
      <c r="H215" s="226">
        <v>41806</v>
      </c>
      <c r="I215" s="212">
        <v>26.87</v>
      </c>
      <c r="J215" s="214" t="s">
        <v>735</v>
      </c>
    </row>
    <row r="216" spans="1:10" ht="18" customHeight="1">
      <c r="A216" s="218">
        <v>4</v>
      </c>
      <c r="B216" s="228" t="s">
        <v>551</v>
      </c>
      <c r="C216" s="226">
        <v>41813</v>
      </c>
      <c r="D216" s="212">
        <v>173.82</v>
      </c>
      <c r="E216" s="210" t="s">
        <v>50</v>
      </c>
      <c r="F216" s="228" t="s">
        <v>52</v>
      </c>
      <c r="G216" s="228" t="s">
        <v>551</v>
      </c>
      <c r="H216" s="226">
        <v>41813</v>
      </c>
      <c r="I216" s="212">
        <v>173.82</v>
      </c>
      <c r="J216" s="214" t="s">
        <v>735</v>
      </c>
    </row>
    <row r="217" spans="1:10" ht="18" customHeight="1">
      <c r="A217" s="218">
        <v>5</v>
      </c>
      <c r="B217" s="228" t="s">
        <v>555</v>
      </c>
      <c r="C217" s="226">
        <v>41820</v>
      </c>
      <c r="D217" s="212">
        <v>139.37</v>
      </c>
      <c r="E217" s="213" t="s">
        <v>50</v>
      </c>
      <c r="F217" s="210" t="s">
        <v>52</v>
      </c>
      <c r="G217" s="228" t="s">
        <v>555</v>
      </c>
      <c r="H217" s="226">
        <v>41820</v>
      </c>
      <c r="I217" s="212">
        <v>139.37</v>
      </c>
      <c r="J217" s="214" t="s">
        <v>735</v>
      </c>
    </row>
    <row r="218" spans="1:10" ht="18" customHeight="1">
      <c r="A218" s="412" t="s">
        <v>40</v>
      </c>
      <c r="B218" s="412"/>
      <c r="C218" s="412"/>
      <c r="D218" s="212">
        <f>SUM(D213:D217)</f>
        <v>738.56000000000006</v>
      </c>
      <c r="E218" s="213"/>
      <c r="F218" s="210"/>
      <c r="G218" s="228"/>
      <c r="H218" s="215" t="s">
        <v>0</v>
      </c>
      <c r="I218" s="212">
        <f>SUM(I213:I217)</f>
        <v>738.56000000000006</v>
      </c>
      <c r="J218" s="216"/>
    </row>
    <row r="219" spans="1:10" ht="21.9" customHeight="1">
      <c r="A219" s="412" t="s">
        <v>40</v>
      </c>
      <c r="B219" s="412"/>
      <c r="C219" s="412"/>
      <c r="D219" s="212"/>
      <c r="E219" s="213"/>
      <c r="F219" s="210"/>
      <c r="G219" s="217">
        <v>4039</v>
      </c>
      <c r="H219" s="215" t="s">
        <v>1</v>
      </c>
      <c r="I219" s="2">
        <f>I218*G219</f>
        <v>2983043.8400000003</v>
      </c>
      <c r="J219" s="216"/>
    </row>
    <row r="220" spans="1:10" ht="18" customHeight="1">
      <c r="A220" s="218">
        <v>1</v>
      </c>
      <c r="B220" s="228" t="s">
        <v>556</v>
      </c>
      <c r="C220" s="226">
        <v>41827</v>
      </c>
      <c r="D220" s="212">
        <v>84.54</v>
      </c>
      <c r="E220" s="213" t="s">
        <v>50</v>
      </c>
      <c r="F220" s="210" t="s">
        <v>52</v>
      </c>
      <c r="G220" s="228" t="s">
        <v>556</v>
      </c>
      <c r="H220" s="226">
        <v>41827</v>
      </c>
      <c r="I220" s="212">
        <v>84.54</v>
      </c>
      <c r="J220" s="214" t="s">
        <v>735</v>
      </c>
    </row>
    <row r="221" spans="1:10" ht="18" customHeight="1">
      <c r="A221" s="218">
        <v>2</v>
      </c>
      <c r="B221" s="228" t="s">
        <v>560</v>
      </c>
      <c r="C221" s="226">
        <v>41834</v>
      </c>
      <c r="D221" s="212">
        <v>55.59</v>
      </c>
      <c r="E221" s="210" t="s">
        <v>50</v>
      </c>
      <c r="F221" s="228" t="s">
        <v>52</v>
      </c>
      <c r="G221" s="228" t="s">
        <v>560</v>
      </c>
      <c r="H221" s="226">
        <v>41834</v>
      </c>
      <c r="I221" s="212">
        <v>55.59</v>
      </c>
      <c r="J221" s="214" t="s">
        <v>735</v>
      </c>
    </row>
    <row r="222" spans="1:10" ht="18" customHeight="1">
      <c r="A222" s="218">
        <v>3</v>
      </c>
      <c r="B222" s="228" t="s">
        <v>572</v>
      </c>
      <c r="C222" s="226">
        <v>41848</v>
      </c>
      <c r="D222" s="212">
        <v>24.98</v>
      </c>
      <c r="E222" s="210" t="s">
        <v>50</v>
      </c>
      <c r="F222" s="228" t="s">
        <v>52</v>
      </c>
      <c r="G222" s="228" t="s">
        <v>572</v>
      </c>
      <c r="H222" s="226">
        <v>41848</v>
      </c>
      <c r="I222" s="212">
        <v>24.98</v>
      </c>
      <c r="J222" s="214" t="s">
        <v>735</v>
      </c>
    </row>
    <row r="223" spans="1:10" ht="18" customHeight="1">
      <c r="A223" s="412" t="s">
        <v>41</v>
      </c>
      <c r="B223" s="412"/>
      <c r="C223" s="412"/>
      <c r="D223" s="212">
        <f>SUM(D220:D222)</f>
        <v>165.10999999999999</v>
      </c>
      <c r="E223" s="210"/>
      <c r="F223" s="228"/>
      <c r="G223" s="228"/>
      <c r="H223" s="215" t="s">
        <v>0</v>
      </c>
      <c r="I223" s="212">
        <f>SUM(I220:I222)</f>
        <v>165.10999999999999</v>
      </c>
      <c r="J223" s="216"/>
    </row>
    <row r="224" spans="1:10" ht="21.9" customHeight="1">
      <c r="A224" s="412" t="s">
        <v>41</v>
      </c>
      <c r="B224" s="412"/>
      <c r="C224" s="412"/>
      <c r="D224" s="212"/>
      <c r="E224" s="213"/>
      <c r="F224" s="210"/>
      <c r="G224" s="217">
        <v>4045</v>
      </c>
      <c r="H224" s="215" t="s">
        <v>1</v>
      </c>
      <c r="I224" s="2">
        <f>I223*G224</f>
        <v>667869.94999999995</v>
      </c>
      <c r="J224" s="216"/>
    </row>
    <row r="225" spans="1:10" ht="18" customHeight="1">
      <c r="A225" s="218">
        <v>1</v>
      </c>
      <c r="B225" s="228" t="s">
        <v>574</v>
      </c>
      <c r="C225" s="226">
        <v>41855</v>
      </c>
      <c r="D225" s="212">
        <v>105</v>
      </c>
      <c r="E225" s="213" t="s">
        <v>50</v>
      </c>
      <c r="F225" s="210" t="s">
        <v>52</v>
      </c>
      <c r="G225" s="228" t="s">
        <v>574</v>
      </c>
      <c r="H225" s="226">
        <v>41855</v>
      </c>
      <c r="I225" s="212">
        <v>105</v>
      </c>
      <c r="J225" s="214" t="s">
        <v>735</v>
      </c>
    </row>
    <row r="226" spans="1:10" ht="18" customHeight="1">
      <c r="A226" s="218">
        <v>2</v>
      </c>
      <c r="B226" s="228" t="s">
        <v>584</v>
      </c>
      <c r="C226" s="226">
        <v>41862</v>
      </c>
      <c r="D226" s="212">
        <v>132.69</v>
      </c>
      <c r="E226" s="213" t="s">
        <v>50</v>
      </c>
      <c r="F226" s="210" t="s">
        <v>52</v>
      </c>
      <c r="G226" s="228" t="s">
        <v>584</v>
      </c>
      <c r="H226" s="226">
        <v>41862</v>
      </c>
      <c r="I226" s="212">
        <v>132.69</v>
      </c>
      <c r="J226" s="214" t="s">
        <v>735</v>
      </c>
    </row>
    <row r="227" spans="1:10" ht="18" customHeight="1">
      <c r="A227" s="218">
        <v>3</v>
      </c>
      <c r="B227" s="228" t="s">
        <v>592</v>
      </c>
      <c r="C227" s="226">
        <v>41869</v>
      </c>
      <c r="D227" s="212">
        <v>91.69</v>
      </c>
      <c r="E227" s="213" t="s">
        <v>50</v>
      </c>
      <c r="F227" s="210" t="s">
        <v>52</v>
      </c>
      <c r="G227" s="228" t="s">
        <v>592</v>
      </c>
      <c r="H227" s="226">
        <v>41869</v>
      </c>
      <c r="I227" s="212">
        <v>91.69</v>
      </c>
      <c r="J227" s="214" t="s">
        <v>735</v>
      </c>
    </row>
    <row r="228" spans="1:10" ht="18" customHeight="1">
      <c r="A228" s="218">
        <v>4</v>
      </c>
      <c r="B228" s="228" t="s">
        <v>599</v>
      </c>
      <c r="C228" s="226">
        <v>41876</v>
      </c>
      <c r="D228" s="212">
        <v>65.319999999999993</v>
      </c>
      <c r="E228" s="210" t="s">
        <v>50</v>
      </c>
      <c r="F228" s="228" t="s">
        <v>52</v>
      </c>
      <c r="G228" s="228" t="s">
        <v>599</v>
      </c>
      <c r="H228" s="226">
        <v>41876</v>
      </c>
      <c r="I228" s="212">
        <v>65.319999999999993</v>
      </c>
      <c r="J228" s="214" t="s">
        <v>735</v>
      </c>
    </row>
    <row r="229" spans="1:10" ht="18" customHeight="1">
      <c r="A229" s="412" t="s">
        <v>42</v>
      </c>
      <c r="B229" s="412"/>
      <c r="C229" s="412"/>
      <c r="D229" s="212">
        <f>SUM(D225:D228)</f>
        <v>394.7</v>
      </c>
      <c r="E229" s="213"/>
      <c r="F229" s="210"/>
      <c r="G229" s="228"/>
      <c r="H229" s="215" t="s">
        <v>0</v>
      </c>
      <c r="I229" s="212">
        <f>SUM(I225:I228)</f>
        <v>394.7</v>
      </c>
      <c r="J229" s="216"/>
    </row>
    <row r="230" spans="1:10" ht="21.9" customHeight="1">
      <c r="A230" s="412" t="s">
        <v>42</v>
      </c>
      <c r="B230" s="412"/>
      <c r="C230" s="412"/>
      <c r="D230" s="212"/>
      <c r="E230" s="213"/>
      <c r="F230" s="210"/>
      <c r="G230" s="217">
        <v>4058</v>
      </c>
      <c r="H230" s="215" t="s">
        <v>1</v>
      </c>
      <c r="I230" s="2">
        <f>I229*G230</f>
        <v>1601692.5999999999</v>
      </c>
      <c r="J230" s="216"/>
    </row>
    <row r="231" spans="1:10" ht="18" customHeight="1">
      <c r="A231" s="218">
        <v>1</v>
      </c>
      <c r="B231" s="228" t="s">
        <v>610</v>
      </c>
      <c r="C231" s="226">
        <v>41884</v>
      </c>
      <c r="D231" s="212">
        <v>144.47</v>
      </c>
      <c r="E231" s="213" t="s">
        <v>50</v>
      </c>
      <c r="F231" s="210" t="s">
        <v>52</v>
      </c>
      <c r="G231" s="228" t="s">
        <v>610</v>
      </c>
      <c r="H231" s="226">
        <v>41884</v>
      </c>
      <c r="I231" s="212">
        <v>144.47</v>
      </c>
      <c r="J231" s="214" t="s">
        <v>735</v>
      </c>
    </row>
    <row r="232" spans="1:10" ht="18" customHeight="1">
      <c r="A232" s="218">
        <v>2</v>
      </c>
      <c r="B232" s="228" t="s">
        <v>611</v>
      </c>
      <c r="C232" s="226">
        <v>41890</v>
      </c>
      <c r="D232" s="212">
        <v>230.41</v>
      </c>
      <c r="E232" s="213" t="s">
        <v>50</v>
      </c>
      <c r="F232" s="210" t="s">
        <v>52</v>
      </c>
      <c r="G232" s="228" t="s">
        <v>611</v>
      </c>
      <c r="H232" s="226">
        <v>41890</v>
      </c>
      <c r="I232" s="212">
        <v>230.41</v>
      </c>
      <c r="J232" s="214" t="s">
        <v>735</v>
      </c>
    </row>
    <row r="233" spans="1:10" ht="18" customHeight="1">
      <c r="A233" s="218">
        <v>3</v>
      </c>
      <c r="B233" s="228" t="s">
        <v>621</v>
      </c>
      <c r="C233" s="226">
        <v>41897</v>
      </c>
      <c r="D233" s="212">
        <v>81.2</v>
      </c>
      <c r="E233" s="213" t="s">
        <v>50</v>
      </c>
      <c r="F233" s="210" t="s">
        <v>52</v>
      </c>
      <c r="G233" s="228" t="s">
        <v>621</v>
      </c>
      <c r="H233" s="226">
        <v>41897</v>
      </c>
      <c r="I233" s="212">
        <v>81.2</v>
      </c>
      <c r="J233" s="214" t="s">
        <v>735</v>
      </c>
    </row>
    <row r="234" spans="1:10" ht="18" customHeight="1">
      <c r="A234" s="218">
        <v>4</v>
      </c>
      <c r="B234" s="228" t="s">
        <v>630</v>
      </c>
      <c r="C234" s="226">
        <v>41903</v>
      </c>
      <c r="D234" s="212">
        <v>49.75</v>
      </c>
      <c r="E234" s="210" t="s">
        <v>50</v>
      </c>
      <c r="F234" s="228" t="s">
        <v>52</v>
      </c>
      <c r="G234" s="228" t="s">
        <v>630</v>
      </c>
      <c r="H234" s="226">
        <v>41903</v>
      </c>
      <c r="I234" s="212">
        <v>49.75</v>
      </c>
      <c r="J234" s="214" t="s">
        <v>735</v>
      </c>
    </row>
    <row r="235" spans="1:10" ht="18" customHeight="1">
      <c r="A235" s="218">
        <v>5</v>
      </c>
      <c r="B235" s="228" t="s">
        <v>634</v>
      </c>
      <c r="C235" s="226">
        <v>41911</v>
      </c>
      <c r="D235" s="212">
        <v>136.72</v>
      </c>
      <c r="E235" s="213" t="s">
        <v>50</v>
      </c>
      <c r="F235" s="210" t="s">
        <v>52</v>
      </c>
      <c r="G235" s="228" t="s">
        <v>634</v>
      </c>
      <c r="H235" s="226">
        <v>41911</v>
      </c>
      <c r="I235" s="212">
        <v>136.72</v>
      </c>
      <c r="J235" s="214" t="s">
        <v>735</v>
      </c>
    </row>
    <row r="236" spans="1:10" ht="18" customHeight="1">
      <c r="A236" s="412" t="s">
        <v>43</v>
      </c>
      <c r="B236" s="412"/>
      <c r="C236" s="412"/>
      <c r="D236" s="212">
        <f>SUM(D231:D235)</f>
        <v>642.54999999999995</v>
      </c>
      <c r="E236" s="213"/>
      <c r="F236" s="210"/>
      <c r="G236" s="228"/>
      <c r="H236" s="215" t="s">
        <v>0</v>
      </c>
      <c r="I236" s="212">
        <f>SUM(I231:I235)</f>
        <v>642.54999999999995</v>
      </c>
      <c r="J236" s="216"/>
    </row>
    <row r="237" spans="1:10" ht="21.9" customHeight="1">
      <c r="A237" s="412" t="s">
        <v>43</v>
      </c>
      <c r="B237" s="412"/>
      <c r="C237" s="412"/>
      <c r="D237" s="212"/>
      <c r="E237" s="213"/>
      <c r="F237" s="210"/>
      <c r="G237" s="217">
        <v>4076</v>
      </c>
      <c r="H237" s="215" t="s">
        <v>1</v>
      </c>
      <c r="I237" s="2">
        <f>I236*G237</f>
        <v>2619033.7999999998</v>
      </c>
      <c r="J237" s="216"/>
    </row>
    <row r="238" spans="1:10" ht="18" customHeight="1">
      <c r="A238" s="218">
        <v>1</v>
      </c>
      <c r="B238" s="228" t="s">
        <v>640</v>
      </c>
      <c r="C238" s="226">
        <v>41918</v>
      </c>
      <c r="D238" s="212">
        <v>188.11</v>
      </c>
      <c r="E238" s="213" t="s">
        <v>50</v>
      </c>
      <c r="F238" s="210" t="s">
        <v>52</v>
      </c>
      <c r="G238" s="228" t="s">
        <v>640</v>
      </c>
      <c r="H238" s="226">
        <v>41918</v>
      </c>
      <c r="I238" s="212">
        <v>188.11</v>
      </c>
      <c r="J238" s="214" t="s">
        <v>735</v>
      </c>
    </row>
    <row r="239" spans="1:10" ht="18" customHeight="1">
      <c r="A239" s="218">
        <v>2</v>
      </c>
      <c r="B239" s="228" t="s">
        <v>648</v>
      </c>
      <c r="C239" s="226">
        <v>41925</v>
      </c>
      <c r="D239" s="212">
        <v>139.83000000000001</v>
      </c>
      <c r="E239" s="213" t="s">
        <v>50</v>
      </c>
      <c r="F239" s="210" t="s">
        <v>52</v>
      </c>
      <c r="G239" s="228" t="s">
        <v>648</v>
      </c>
      <c r="H239" s="226">
        <v>41925</v>
      </c>
      <c r="I239" s="212">
        <v>139.83000000000001</v>
      </c>
      <c r="J239" s="214" t="s">
        <v>735</v>
      </c>
    </row>
    <row r="240" spans="1:10" ht="18" customHeight="1">
      <c r="A240" s="218">
        <v>3</v>
      </c>
      <c r="B240" s="228" t="s">
        <v>654</v>
      </c>
      <c r="C240" s="226">
        <v>41932</v>
      </c>
      <c r="D240" s="212">
        <v>129.9</v>
      </c>
      <c r="E240" s="213" t="s">
        <v>50</v>
      </c>
      <c r="F240" s="210" t="s">
        <v>52</v>
      </c>
      <c r="G240" s="228" t="s">
        <v>654</v>
      </c>
      <c r="H240" s="226">
        <v>41932</v>
      </c>
      <c r="I240" s="212">
        <v>129.9</v>
      </c>
      <c r="J240" s="214" t="s">
        <v>735</v>
      </c>
    </row>
    <row r="241" spans="1:10" ht="18" customHeight="1">
      <c r="A241" s="218">
        <v>4</v>
      </c>
      <c r="B241" s="228" t="s">
        <v>658</v>
      </c>
      <c r="C241" s="226">
        <v>41939</v>
      </c>
      <c r="D241" s="212">
        <v>145.83000000000001</v>
      </c>
      <c r="E241" s="213" t="s">
        <v>50</v>
      </c>
      <c r="F241" s="210" t="s">
        <v>52</v>
      </c>
      <c r="G241" s="228" t="s">
        <v>658</v>
      </c>
      <c r="H241" s="226">
        <v>41939</v>
      </c>
      <c r="I241" s="212">
        <v>145.83000000000001</v>
      </c>
      <c r="J241" s="214" t="s">
        <v>735</v>
      </c>
    </row>
    <row r="242" spans="1:10" ht="18" customHeight="1">
      <c r="A242" s="412" t="s">
        <v>44</v>
      </c>
      <c r="B242" s="412"/>
      <c r="C242" s="412"/>
      <c r="D242" s="212">
        <f>SUM(D238:D241)</f>
        <v>603.67000000000007</v>
      </c>
      <c r="E242" s="213"/>
      <c r="F242" s="210"/>
      <c r="G242" s="228"/>
      <c r="H242" s="215" t="s">
        <v>0</v>
      </c>
      <c r="I242" s="212">
        <f>SUM(I238:I241)</f>
        <v>603.67000000000007</v>
      </c>
      <c r="J242" s="216"/>
    </row>
    <row r="243" spans="1:10" ht="21.9" customHeight="1">
      <c r="A243" s="412" t="s">
        <v>44</v>
      </c>
      <c r="B243" s="412"/>
      <c r="C243" s="412"/>
      <c r="D243" s="212"/>
      <c r="E243" s="213"/>
      <c r="F243" s="210"/>
      <c r="G243" s="217">
        <v>4081</v>
      </c>
      <c r="H243" s="215" t="s">
        <v>1</v>
      </c>
      <c r="I243" s="2">
        <f>I242*G243</f>
        <v>2463577.2700000005</v>
      </c>
      <c r="J243" s="216"/>
    </row>
    <row r="244" spans="1:10" ht="18" customHeight="1">
      <c r="A244" s="218">
        <v>1</v>
      </c>
      <c r="B244" s="228" t="s">
        <v>661</v>
      </c>
      <c r="C244" s="226">
        <v>41946</v>
      </c>
      <c r="D244" s="212">
        <v>173.73</v>
      </c>
      <c r="E244" s="213" t="s">
        <v>50</v>
      </c>
      <c r="F244" s="210" t="s">
        <v>52</v>
      </c>
      <c r="G244" s="228" t="s">
        <v>661</v>
      </c>
      <c r="H244" s="226">
        <v>41946</v>
      </c>
      <c r="I244" s="212">
        <v>173.73</v>
      </c>
      <c r="J244" s="214" t="s">
        <v>735</v>
      </c>
    </row>
    <row r="245" spans="1:10" ht="18" customHeight="1">
      <c r="A245" s="218">
        <v>2</v>
      </c>
      <c r="B245" s="228" t="s">
        <v>482</v>
      </c>
      <c r="C245" s="226">
        <v>41946</v>
      </c>
      <c r="D245" s="212">
        <v>1.5</v>
      </c>
      <c r="E245" s="210" t="s">
        <v>241</v>
      </c>
      <c r="F245" s="228" t="s">
        <v>52</v>
      </c>
      <c r="G245" s="228" t="s">
        <v>482</v>
      </c>
      <c r="H245" s="226">
        <v>41946</v>
      </c>
      <c r="I245" s="212">
        <v>1.5</v>
      </c>
      <c r="J245" s="214" t="s">
        <v>735</v>
      </c>
    </row>
    <row r="246" spans="1:10" ht="18" customHeight="1">
      <c r="A246" s="218">
        <v>3</v>
      </c>
      <c r="B246" s="228" t="s">
        <v>666</v>
      </c>
      <c r="C246" s="226">
        <v>41953</v>
      </c>
      <c r="D246" s="212">
        <v>35.450000000000003</v>
      </c>
      <c r="E246" s="210" t="s">
        <v>50</v>
      </c>
      <c r="F246" s="228" t="s">
        <v>52</v>
      </c>
      <c r="G246" s="228" t="s">
        <v>666</v>
      </c>
      <c r="H246" s="226">
        <v>41953</v>
      </c>
      <c r="I246" s="212">
        <v>35.450000000000003</v>
      </c>
      <c r="J246" s="214" t="s">
        <v>735</v>
      </c>
    </row>
    <row r="247" spans="1:10" ht="18" customHeight="1">
      <c r="A247" s="218">
        <v>4</v>
      </c>
      <c r="B247" s="228" t="s">
        <v>670</v>
      </c>
      <c r="C247" s="226">
        <v>41960</v>
      </c>
      <c r="D247" s="212">
        <v>24.26</v>
      </c>
      <c r="E247" s="210" t="s">
        <v>50</v>
      </c>
      <c r="F247" s="228" t="s">
        <v>52</v>
      </c>
      <c r="G247" s="228" t="s">
        <v>670</v>
      </c>
      <c r="H247" s="226">
        <v>41960</v>
      </c>
      <c r="I247" s="212">
        <v>24.26</v>
      </c>
      <c r="J247" s="214" t="s">
        <v>735</v>
      </c>
    </row>
    <row r="248" spans="1:10" ht="18" customHeight="1">
      <c r="A248" s="218">
        <v>5</v>
      </c>
      <c r="B248" s="228" t="s">
        <v>675</v>
      </c>
      <c r="C248" s="226">
        <v>41967</v>
      </c>
      <c r="D248" s="212">
        <v>24.9</v>
      </c>
      <c r="E248" s="210" t="s">
        <v>50</v>
      </c>
      <c r="F248" s="228" t="s">
        <v>52</v>
      </c>
      <c r="G248" s="228" t="s">
        <v>675</v>
      </c>
      <c r="H248" s="226">
        <v>41967</v>
      </c>
      <c r="I248" s="212">
        <v>24.9</v>
      </c>
      <c r="J248" s="214" t="s">
        <v>735</v>
      </c>
    </row>
    <row r="249" spans="1:10" ht="18" customHeight="1">
      <c r="A249" s="412" t="s">
        <v>45</v>
      </c>
      <c r="B249" s="412"/>
      <c r="C249" s="412"/>
      <c r="D249" s="212">
        <f>SUM(D244:D248)</f>
        <v>259.83999999999997</v>
      </c>
      <c r="E249" s="210"/>
      <c r="F249" s="228"/>
      <c r="G249" s="228"/>
      <c r="H249" s="215" t="s">
        <v>0</v>
      </c>
      <c r="I249" s="212">
        <f>SUM(I244:I248)</f>
        <v>259.83999999999997</v>
      </c>
      <c r="J249" s="216"/>
    </row>
    <row r="250" spans="1:10" ht="21.9" customHeight="1">
      <c r="A250" s="412" t="s">
        <v>45</v>
      </c>
      <c r="B250" s="412"/>
      <c r="C250" s="412"/>
      <c r="D250" s="212"/>
      <c r="E250" s="210"/>
      <c r="F250" s="228"/>
      <c r="G250" s="217">
        <v>4068</v>
      </c>
      <c r="H250" s="215" t="s">
        <v>1</v>
      </c>
      <c r="I250" s="2">
        <f>I249*G250</f>
        <v>1057029.1199999999</v>
      </c>
      <c r="J250" s="216"/>
    </row>
    <row r="251" spans="1:10" ht="18" customHeight="1">
      <c r="A251" s="218">
        <v>1</v>
      </c>
      <c r="B251" s="228" t="s">
        <v>679</v>
      </c>
      <c r="C251" s="226">
        <v>41974</v>
      </c>
      <c r="D251" s="212">
        <v>163.69</v>
      </c>
      <c r="E251" s="213" t="s">
        <v>50</v>
      </c>
      <c r="F251" s="210" t="s">
        <v>52</v>
      </c>
      <c r="G251" s="228" t="s">
        <v>679</v>
      </c>
      <c r="H251" s="226">
        <v>41974</v>
      </c>
      <c r="I251" s="212">
        <v>163.69</v>
      </c>
      <c r="J251" s="214" t="s">
        <v>735</v>
      </c>
    </row>
    <row r="252" spans="1:10" ht="18" customHeight="1">
      <c r="A252" s="218">
        <v>2</v>
      </c>
      <c r="B252" s="228" t="s">
        <v>680</v>
      </c>
      <c r="C252" s="226">
        <v>41979</v>
      </c>
      <c r="D252" s="212">
        <v>340.66</v>
      </c>
      <c r="E252" s="213" t="s">
        <v>50</v>
      </c>
      <c r="F252" s="210" t="s">
        <v>52</v>
      </c>
      <c r="G252" s="228" t="s">
        <v>680</v>
      </c>
      <c r="H252" s="226">
        <v>41979</v>
      </c>
      <c r="I252" s="212">
        <v>340.66</v>
      </c>
      <c r="J252" s="214" t="s">
        <v>735</v>
      </c>
    </row>
    <row r="253" spans="1:10" ht="18" customHeight="1">
      <c r="A253" s="218">
        <v>3</v>
      </c>
      <c r="B253" s="228" t="s">
        <v>691</v>
      </c>
      <c r="C253" s="226">
        <v>41988</v>
      </c>
      <c r="D253" s="212">
        <v>232.83</v>
      </c>
      <c r="E253" s="213" t="s">
        <v>50</v>
      </c>
      <c r="F253" s="210" t="s">
        <v>52</v>
      </c>
      <c r="G253" s="228" t="s">
        <v>691</v>
      </c>
      <c r="H253" s="226">
        <v>41988</v>
      </c>
      <c r="I253" s="212">
        <v>232.83</v>
      </c>
      <c r="J253" s="214" t="s">
        <v>735</v>
      </c>
    </row>
    <row r="254" spans="1:10" ht="18" customHeight="1">
      <c r="A254" s="218">
        <v>4</v>
      </c>
      <c r="B254" s="228" t="s">
        <v>696</v>
      </c>
      <c r="C254" s="226">
        <v>41995</v>
      </c>
      <c r="D254" s="212">
        <v>78.95</v>
      </c>
      <c r="E254" s="210" t="s">
        <v>50</v>
      </c>
      <c r="F254" s="228" t="s">
        <v>52</v>
      </c>
      <c r="G254" s="228" t="s">
        <v>696</v>
      </c>
      <c r="H254" s="226">
        <v>41995</v>
      </c>
      <c r="I254" s="212">
        <v>78.95</v>
      </c>
      <c r="J254" s="214" t="s">
        <v>735</v>
      </c>
    </row>
    <row r="255" spans="1:10" ht="18" customHeight="1">
      <c r="A255" s="218">
        <v>5</v>
      </c>
      <c r="B255" s="228" t="s">
        <v>706</v>
      </c>
      <c r="C255" s="226">
        <v>42002</v>
      </c>
      <c r="D255" s="212">
        <v>304.68</v>
      </c>
      <c r="E255" s="213" t="s">
        <v>50</v>
      </c>
      <c r="F255" s="210" t="s">
        <v>52</v>
      </c>
      <c r="G255" s="228" t="s">
        <v>706</v>
      </c>
      <c r="H255" s="226">
        <v>42002</v>
      </c>
      <c r="I255" s="212">
        <v>304.68</v>
      </c>
      <c r="J255" s="214" t="s">
        <v>735</v>
      </c>
    </row>
    <row r="256" spans="1:10" ht="18" customHeight="1">
      <c r="A256" s="412" t="s">
        <v>46</v>
      </c>
      <c r="B256" s="412"/>
      <c r="C256" s="412"/>
      <c r="D256" s="212">
        <f>SUM(D251:D255)</f>
        <v>1120.8100000000002</v>
      </c>
      <c r="E256" s="213"/>
      <c r="F256" s="210"/>
      <c r="G256" s="228"/>
      <c r="H256" s="215" t="s">
        <v>0</v>
      </c>
      <c r="I256" s="212">
        <f>SUM(I251:I255)</f>
        <v>1120.8100000000002</v>
      </c>
      <c r="J256" s="216"/>
    </row>
    <row r="257" spans="1:10" ht="21.9" customHeight="1">
      <c r="A257" s="412" t="s">
        <v>46</v>
      </c>
      <c r="B257" s="412"/>
      <c r="C257" s="412"/>
      <c r="D257" s="212"/>
      <c r="E257" s="213"/>
      <c r="F257" s="210"/>
      <c r="G257" s="217">
        <v>4062</v>
      </c>
      <c r="H257" s="215" t="s">
        <v>1</v>
      </c>
      <c r="I257" s="2">
        <f>I256*G257</f>
        <v>4552730.2200000007</v>
      </c>
      <c r="J257" s="216"/>
    </row>
    <row r="258" spans="1:10" ht="18" customHeight="1">
      <c r="A258" s="218">
        <v>1</v>
      </c>
      <c r="B258" s="228" t="s">
        <v>716</v>
      </c>
      <c r="C258" s="226">
        <v>42009</v>
      </c>
      <c r="D258" s="212">
        <v>339.54</v>
      </c>
      <c r="E258" s="213" t="s">
        <v>50</v>
      </c>
      <c r="F258" s="210" t="s">
        <v>52</v>
      </c>
      <c r="G258" s="228" t="s">
        <v>716</v>
      </c>
      <c r="H258" s="226">
        <v>42009</v>
      </c>
      <c r="I258" s="212">
        <v>339.54</v>
      </c>
      <c r="J258" s="214" t="s">
        <v>735</v>
      </c>
    </row>
    <row r="259" spans="1:10" ht="18" customHeight="1">
      <c r="A259" s="218">
        <v>2</v>
      </c>
      <c r="B259" s="228" t="s">
        <v>718</v>
      </c>
      <c r="C259" s="226">
        <v>42016</v>
      </c>
      <c r="D259" s="212">
        <v>301.45</v>
      </c>
      <c r="E259" s="213" t="s">
        <v>50</v>
      </c>
      <c r="F259" s="210" t="s">
        <v>52</v>
      </c>
      <c r="G259" s="228" t="s">
        <v>718</v>
      </c>
      <c r="H259" s="226">
        <v>42016</v>
      </c>
      <c r="I259" s="212">
        <v>301.45</v>
      </c>
      <c r="J259" s="214" t="s">
        <v>735</v>
      </c>
    </row>
    <row r="260" spans="1:10" ht="18" customHeight="1">
      <c r="A260" s="218">
        <v>3</v>
      </c>
      <c r="B260" s="228" t="s">
        <v>720</v>
      </c>
      <c r="C260" s="226">
        <v>42024</v>
      </c>
      <c r="D260" s="212">
        <v>446.06</v>
      </c>
      <c r="E260" s="213" t="s">
        <v>50</v>
      </c>
      <c r="F260" s="210" t="s">
        <v>52</v>
      </c>
      <c r="G260" s="228" t="s">
        <v>720</v>
      </c>
      <c r="H260" s="226">
        <v>42024</v>
      </c>
      <c r="I260" s="212">
        <v>446.06</v>
      </c>
      <c r="J260" s="214" t="s">
        <v>735</v>
      </c>
    </row>
    <row r="261" spans="1:10" ht="18" customHeight="1">
      <c r="A261" s="218">
        <v>4</v>
      </c>
      <c r="B261" s="228" t="s">
        <v>721</v>
      </c>
      <c r="C261" s="226">
        <v>42030</v>
      </c>
      <c r="D261" s="212">
        <v>614.58000000000004</v>
      </c>
      <c r="E261" s="213" t="s">
        <v>50</v>
      </c>
      <c r="F261" s="210" t="s">
        <v>52</v>
      </c>
      <c r="G261" s="228" t="s">
        <v>721</v>
      </c>
      <c r="H261" s="226">
        <v>42030</v>
      </c>
      <c r="I261" s="212">
        <v>614.58000000000004</v>
      </c>
      <c r="J261" s="214" t="s">
        <v>735</v>
      </c>
    </row>
    <row r="262" spans="1:10" ht="18" customHeight="1">
      <c r="A262" s="412" t="s">
        <v>47</v>
      </c>
      <c r="B262" s="412"/>
      <c r="C262" s="412"/>
      <c r="D262" s="212">
        <f>SUM(D258:D261)</f>
        <v>1701.63</v>
      </c>
      <c r="E262" s="213"/>
      <c r="F262" s="210"/>
      <c r="G262" s="228"/>
      <c r="H262" s="215" t="s">
        <v>0</v>
      </c>
      <c r="I262" s="212">
        <f>SUM(I258:I261)</f>
        <v>1701.63</v>
      </c>
      <c r="J262" s="216"/>
    </row>
    <row r="263" spans="1:10" ht="21.9" customHeight="1">
      <c r="A263" s="412" t="s">
        <v>47</v>
      </c>
      <c r="B263" s="412"/>
      <c r="C263" s="412"/>
      <c r="D263" s="212"/>
      <c r="E263" s="213"/>
      <c r="F263" s="210"/>
      <c r="G263" s="217">
        <v>4066</v>
      </c>
      <c r="H263" s="215" t="s">
        <v>1</v>
      </c>
      <c r="I263" s="2">
        <f>I262*G263</f>
        <v>6918827.5800000001</v>
      </c>
      <c r="J263" s="216"/>
    </row>
    <row r="264" spans="1:10" ht="18" customHeight="1">
      <c r="A264" s="218">
        <v>1</v>
      </c>
      <c r="B264" s="228" t="s">
        <v>708</v>
      </c>
      <c r="C264" s="226">
        <v>42037</v>
      </c>
      <c r="D264" s="212">
        <v>314.24</v>
      </c>
      <c r="E264" s="213" t="s">
        <v>50</v>
      </c>
      <c r="F264" s="210" t="s">
        <v>52</v>
      </c>
      <c r="G264" s="228" t="s">
        <v>708</v>
      </c>
      <c r="H264" s="226">
        <v>42037</v>
      </c>
      <c r="I264" s="212">
        <v>314.24</v>
      </c>
      <c r="J264" s="214" t="s">
        <v>735</v>
      </c>
    </row>
    <row r="265" spans="1:10" ht="18" customHeight="1">
      <c r="A265" s="218">
        <v>2</v>
      </c>
      <c r="B265" s="228" t="s">
        <v>710</v>
      </c>
      <c r="C265" s="226">
        <v>42044</v>
      </c>
      <c r="D265" s="212">
        <v>61.89</v>
      </c>
      <c r="E265" s="210" t="s">
        <v>50</v>
      </c>
      <c r="F265" s="228" t="s">
        <v>52</v>
      </c>
      <c r="G265" s="228" t="s">
        <v>710</v>
      </c>
      <c r="H265" s="226">
        <v>42044</v>
      </c>
      <c r="I265" s="212">
        <v>61.89</v>
      </c>
      <c r="J265" s="214" t="s">
        <v>735</v>
      </c>
    </row>
    <row r="266" spans="1:10" ht="18" customHeight="1">
      <c r="A266" s="218">
        <v>3</v>
      </c>
      <c r="B266" s="228" t="s">
        <v>712</v>
      </c>
      <c r="C266" s="226">
        <v>42051</v>
      </c>
      <c r="D266" s="212">
        <v>228.53</v>
      </c>
      <c r="E266" s="213" t="s">
        <v>50</v>
      </c>
      <c r="F266" s="210" t="s">
        <v>52</v>
      </c>
      <c r="G266" s="228" t="s">
        <v>712</v>
      </c>
      <c r="H266" s="226">
        <v>42051</v>
      </c>
      <c r="I266" s="212">
        <v>228.53</v>
      </c>
      <c r="J266" s="214" t="s">
        <v>735</v>
      </c>
    </row>
    <row r="267" spans="1:10" ht="18" customHeight="1">
      <c r="A267" s="218">
        <v>4</v>
      </c>
      <c r="B267" s="229" t="s">
        <v>714</v>
      </c>
      <c r="C267" s="230">
        <v>42059</v>
      </c>
      <c r="D267" s="231">
        <v>177.34</v>
      </c>
      <c r="E267" s="213" t="s">
        <v>50</v>
      </c>
      <c r="F267" s="210" t="s">
        <v>52</v>
      </c>
      <c r="G267" s="229" t="s">
        <v>714</v>
      </c>
      <c r="H267" s="230">
        <v>42059</v>
      </c>
      <c r="I267" s="231">
        <v>177.34</v>
      </c>
      <c r="J267" s="214" t="s">
        <v>735</v>
      </c>
    </row>
    <row r="268" spans="1:10" ht="18" customHeight="1">
      <c r="A268" s="412" t="s">
        <v>48</v>
      </c>
      <c r="B268" s="412"/>
      <c r="C268" s="412"/>
      <c r="D268" s="231">
        <f>SUM(D264:D267)</f>
        <v>782</v>
      </c>
      <c r="E268" s="213"/>
      <c r="F268" s="210"/>
      <c r="G268" s="229"/>
      <c r="H268" s="215" t="s">
        <v>0</v>
      </c>
      <c r="I268" s="231">
        <f>SUM(I264:I267)</f>
        <v>782</v>
      </c>
      <c r="J268" s="2"/>
    </row>
    <row r="269" spans="1:10" ht="21.9" customHeight="1">
      <c r="A269" s="412" t="s">
        <v>48</v>
      </c>
      <c r="B269" s="412"/>
      <c r="C269" s="412"/>
      <c r="D269" s="231"/>
      <c r="E269" s="213"/>
      <c r="F269" s="210"/>
      <c r="G269" s="217">
        <v>4046</v>
      </c>
      <c r="H269" s="215" t="s">
        <v>1</v>
      </c>
      <c r="I269" s="2">
        <f>I268*G269</f>
        <v>3163972</v>
      </c>
      <c r="J269" s="232"/>
    </row>
    <row r="270" spans="1:10" ht="23.4">
      <c r="A270" s="432" t="s">
        <v>724</v>
      </c>
      <c r="B270" s="433"/>
      <c r="C270" s="434"/>
      <c r="D270" s="233"/>
      <c r="E270" s="234"/>
      <c r="F270" s="234"/>
      <c r="G270" s="235"/>
      <c r="H270" s="215" t="s">
        <v>0</v>
      </c>
      <c r="I270" s="236">
        <f>I18+I25+I32+I37+I43+I52+I64+I74+I85+I97+I107+I116+I128+I135+I147+I156+I161+I169+I178+I188+I197+I204+I211+I218+I223+I229+I236+I242+I249+I256+I262+I268</f>
        <v>25018.910000000007</v>
      </c>
      <c r="J270" s="214" t="s">
        <v>735</v>
      </c>
    </row>
    <row r="271" spans="1:10" ht="24">
      <c r="A271" s="432" t="s">
        <v>724</v>
      </c>
      <c r="B271" s="433"/>
      <c r="C271" s="434"/>
      <c r="D271" s="233"/>
      <c r="E271" s="234"/>
      <c r="F271" s="234"/>
      <c r="G271" s="235"/>
      <c r="H271" s="215" t="s">
        <v>1</v>
      </c>
      <c r="I271" s="237">
        <f>I19+I26+I33+I38+I44+I53+I65+I75+I86+I98+I108+I117+I129+I136+I148+I157+I162+I170+I179+I189+I198+I205+I212+I219+I224+I230+I237+I243+I250+I257+I263+I269</f>
        <v>100871023.15000001</v>
      </c>
      <c r="J271" s="238" t="s">
        <v>735</v>
      </c>
    </row>
    <row r="272" spans="1:10" ht="25.2">
      <c r="A272" s="437" t="s">
        <v>739</v>
      </c>
      <c r="B272" s="437"/>
      <c r="C272" s="437"/>
      <c r="D272" s="437" t="s">
        <v>738</v>
      </c>
      <c r="E272" s="437"/>
      <c r="F272" s="437"/>
      <c r="G272" s="437"/>
      <c r="H272" s="437"/>
      <c r="I272" s="239">
        <v>100871023</v>
      </c>
      <c r="J272" s="240" t="s">
        <v>737</v>
      </c>
    </row>
    <row r="273" spans="1:10" ht="46.5" customHeight="1">
      <c r="A273" s="437" t="s">
        <v>741</v>
      </c>
      <c r="B273" s="437"/>
      <c r="C273" s="437"/>
      <c r="D273" s="450" t="s">
        <v>742</v>
      </c>
      <c r="E273" s="451"/>
      <c r="F273" s="451"/>
      <c r="G273" s="451"/>
      <c r="H273" s="452"/>
      <c r="I273" s="241">
        <v>194826746</v>
      </c>
      <c r="J273" s="240" t="s">
        <v>737</v>
      </c>
    </row>
    <row r="274" spans="1:10" ht="25.2">
      <c r="A274" s="438" t="s">
        <v>740</v>
      </c>
      <c r="B274" s="439"/>
      <c r="C274" s="440"/>
      <c r="D274" s="447" t="s">
        <v>743</v>
      </c>
      <c r="E274" s="448"/>
      <c r="F274" s="448"/>
      <c r="G274" s="448"/>
      <c r="H274" s="449"/>
      <c r="I274" s="241">
        <v>295697769</v>
      </c>
      <c r="J274" s="240" t="s">
        <v>737</v>
      </c>
    </row>
    <row r="275" spans="1:10" ht="25.2">
      <c r="A275" s="441"/>
      <c r="B275" s="442"/>
      <c r="C275" s="443"/>
      <c r="D275" s="447" t="s">
        <v>744</v>
      </c>
      <c r="E275" s="448"/>
      <c r="F275" s="448"/>
      <c r="G275" s="448"/>
      <c r="H275" s="449"/>
      <c r="I275" s="241">
        <v>297231546</v>
      </c>
      <c r="J275" s="240" t="s">
        <v>737</v>
      </c>
    </row>
    <row r="276" spans="1:10" ht="25.2">
      <c r="A276" s="441"/>
      <c r="B276" s="442"/>
      <c r="C276" s="443"/>
      <c r="D276" s="447" t="s">
        <v>745</v>
      </c>
      <c r="E276" s="448"/>
      <c r="F276" s="448"/>
      <c r="G276" s="448"/>
      <c r="H276" s="449"/>
      <c r="I276" s="241">
        <v>1533777</v>
      </c>
      <c r="J276" s="240" t="s">
        <v>737</v>
      </c>
    </row>
    <row r="277" spans="1:10" ht="25.2">
      <c r="A277" s="444"/>
      <c r="B277" s="445"/>
      <c r="C277" s="446"/>
      <c r="D277" s="447" t="s">
        <v>743</v>
      </c>
      <c r="E277" s="448"/>
      <c r="F277" s="448"/>
      <c r="G277" s="448"/>
      <c r="H277" s="449"/>
      <c r="I277" s="241">
        <v>295697769</v>
      </c>
      <c r="J277" s="240" t="s">
        <v>737</v>
      </c>
    </row>
    <row r="278" spans="1:10" ht="25.2">
      <c r="H278" s="435" t="s">
        <v>748</v>
      </c>
      <c r="I278" s="435"/>
      <c r="J278" s="435"/>
    </row>
    <row r="279" spans="1:10" ht="25.2">
      <c r="H279" s="436" t="s">
        <v>746</v>
      </c>
      <c r="I279" s="436"/>
      <c r="J279" s="436"/>
    </row>
    <row r="286" spans="1:10" ht="25.2">
      <c r="H286" s="436" t="s">
        <v>747</v>
      </c>
      <c r="I286" s="436"/>
      <c r="J286" s="436"/>
    </row>
  </sheetData>
  <mergeCells count="90"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85:C85"/>
    <mergeCell ref="A86:C86"/>
    <mergeCell ref="A97:C97"/>
    <mergeCell ref="A98:C98"/>
    <mergeCell ref="A107:C107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19:C19"/>
    <mergeCell ref="E6:E7"/>
    <mergeCell ref="F6:F7"/>
    <mergeCell ref="A32:C32"/>
    <mergeCell ref="A33:C33"/>
    <mergeCell ref="A37:C37"/>
    <mergeCell ref="A38:C38"/>
    <mergeCell ref="A43:C43"/>
    <mergeCell ref="A44:C44"/>
    <mergeCell ref="A52:C52"/>
    <mergeCell ref="A53:C53"/>
    <mergeCell ref="A64:C64"/>
    <mergeCell ref="A65:C65"/>
    <mergeCell ref="A74:C74"/>
    <mergeCell ref="A75:C75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61" customWidth="1"/>
    <col min="2" max="2" width="14.33203125" style="61" customWidth="1"/>
    <col min="3" max="3" width="10.6640625" style="61" customWidth="1"/>
    <col min="4" max="4" width="11.109375" style="61" customWidth="1"/>
    <col min="5" max="5" width="20.33203125" style="61" customWidth="1"/>
    <col min="6" max="6" width="13.109375" style="61" customWidth="1"/>
    <col min="7" max="7" width="10.6640625" style="61" customWidth="1"/>
    <col min="8" max="8" width="11.5546875" style="61" customWidth="1"/>
    <col min="9" max="9" width="12.6640625" style="61" customWidth="1"/>
    <col min="10" max="10" width="10.88671875" style="61" customWidth="1"/>
    <col min="11" max="16384" width="8.77734375" style="61"/>
  </cols>
  <sheetData>
    <row r="1" spans="1:10" ht="33.6">
      <c r="A1" s="415" t="s">
        <v>10</v>
      </c>
      <c r="B1" s="415"/>
      <c r="C1" s="415"/>
      <c r="D1" s="415"/>
      <c r="E1" s="415"/>
      <c r="F1" s="415"/>
      <c r="G1" s="415"/>
      <c r="H1" s="415"/>
      <c r="I1" s="415"/>
      <c r="J1" s="415"/>
    </row>
    <row r="2" spans="1:10" ht="33.6">
      <c r="A2" s="415" t="s">
        <v>16</v>
      </c>
      <c r="B2" s="415"/>
      <c r="C2" s="415"/>
      <c r="D2" s="415"/>
      <c r="E2" s="415"/>
      <c r="F2" s="415"/>
      <c r="G2" s="415"/>
      <c r="H2" s="415"/>
      <c r="I2" s="415"/>
      <c r="J2" s="415"/>
    </row>
    <row r="3" spans="1:10" ht="27">
      <c r="A3" s="455" t="s">
        <v>723</v>
      </c>
      <c r="B3" s="455"/>
      <c r="C3" s="455"/>
      <c r="D3" s="455"/>
      <c r="E3" s="455"/>
      <c r="F3" s="207"/>
      <c r="G3" s="207"/>
      <c r="H3" s="207"/>
      <c r="I3" s="207"/>
      <c r="J3" s="207"/>
    </row>
    <row r="4" spans="1:10" ht="27">
      <c r="A4" s="417" t="s">
        <v>49</v>
      </c>
      <c r="B4" s="417"/>
      <c r="C4" s="417"/>
      <c r="D4" s="417"/>
      <c r="E4" s="207"/>
      <c r="F4" s="207"/>
      <c r="G4" s="207"/>
      <c r="H4" s="207"/>
      <c r="I4" s="207"/>
      <c r="J4" s="20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64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65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66"/>
    </row>
    <row r="8" spans="1:10" ht="18" customHeight="1">
      <c r="A8" s="218">
        <v>1</v>
      </c>
      <c r="B8" s="228" t="s">
        <v>567</v>
      </c>
      <c r="C8" s="226">
        <v>41842</v>
      </c>
      <c r="D8" s="212">
        <v>41.5</v>
      </c>
      <c r="E8" s="210" t="s">
        <v>387</v>
      </c>
      <c r="F8" s="228" t="s">
        <v>388</v>
      </c>
      <c r="G8" s="228" t="s">
        <v>567</v>
      </c>
      <c r="H8" s="226">
        <v>41842</v>
      </c>
      <c r="I8" s="212">
        <v>41.5</v>
      </c>
      <c r="J8" s="243"/>
    </row>
    <row r="9" spans="1:10" ht="18" customHeight="1">
      <c r="A9" s="218">
        <v>2</v>
      </c>
      <c r="B9" s="228" t="s">
        <v>568</v>
      </c>
      <c r="C9" s="226">
        <v>41842</v>
      </c>
      <c r="D9" s="212">
        <v>64.569999999999993</v>
      </c>
      <c r="E9" s="210" t="s">
        <v>387</v>
      </c>
      <c r="F9" s="228" t="s">
        <v>388</v>
      </c>
      <c r="G9" s="228" t="s">
        <v>568</v>
      </c>
      <c r="H9" s="226">
        <v>41842</v>
      </c>
      <c r="I9" s="212">
        <v>64.569999999999993</v>
      </c>
      <c r="J9" s="243"/>
    </row>
    <row r="10" spans="1:10" ht="18" customHeight="1">
      <c r="A10" s="218">
        <v>3</v>
      </c>
      <c r="B10" s="228" t="s">
        <v>569</v>
      </c>
      <c r="C10" s="226">
        <v>41842</v>
      </c>
      <c r="D10" s="212">
        <v>59.11</v>
      </c>
      <c r="E10" s="210" t="s">
        <v>387</v>
      </c>
      <c r="F10" s="228" t="s">
        <v>388</v>
      </c>
      <c r="G10" s="228" t="s">
        <v>569</v>
      </c>
      <c r="H10" s="226">
        <v>41842</v>
      </c>
      <c r="I10" s="212">
        <v>59.11</v>
      </c>
      <c r="J10" s="243"/>
    </row>
    <row r="11" spans="1:10" ht="18" customHeight="1">
      <c r="A11" s="218">
        <v>4</v>
      </c>
      <c r="B11" s="228" t="s">
        <v>573</v>
      </c>
      <c r="C11" s="226">
        <v>41849</v>
      </c>
      <c r="D11" s="212">
        <v>75.930000000000007</v>
      </c>
      <c r="E11" s="210" t="s">
        <v>387</v>
      </c>
      <c r="F11" s="228" t="s">
        <v>388</v>
      </c>
      <c r="G11" s="228" t="s">
        <v>573</v>
      </c>
      <c r="H11" s="226">
        <v>41849</v>
      </c>
      <c r="I11" s="212">
        <v>75.930000000000007</v>
      </c>
      <c r="J11" s="243"/>
    </row>
    <row r="12" spans="1:10" ht="18" customHeight="1">
      <c r="A12" s="218">
        <v>5</v>
      </c>
      <c r="B12" s="228" t="s">
        <v>575</v>
      </c>
      <c r="C12" s="226">
        <v>41856</v>
      </c>
      <c r="D12" s="212">
        <v>46.05</v>
      </c>
      <c r="E12" s="210" t="s">
        <v>387</v>
      </c>
      <c r="F12" s="228" t="s">
        <v>388</v>
      </c>
      <c r="G12" s="228" t="s">
        <v>575</v>
      </c>
      <c r="H12" s="226">
        <v>41856</v>
      </c>
      <c r="I12" s="212">
        <v>46.05</v>
      </c>
      <c r="J12" s="243"/>
    </row>
    <row r="13" spans="1:10" ht="18" customHeight="1">
      <c r="A13" s="218">
        <v>6</v>
      </c>
      <c r="B13" s="228" t="s">
        <v>576</v>
      </c>
      <c r="C13" s="226">
        <v>41856</v>
      </c>
      <c r="D13" s="212">
        <v>41.5</v>
      </c>
      <c r="E13" s="210" t="s">
        <v>387</v>
      </c>
      <c r="F13" s="228" t="s">
        <v>388</v>
      </c>
      <c r="G13" s="228" t="s">
        <v>576</v>
      </c>
      <c r="H13" s="226">
        <v>41856</v>
      </c>
      <c r="I13" s="212">
        <v>41.5</v>
      </c>
      <c r="J13" s="243"/>
    </row>
    <row r="14" spans="1:10" ht="18" customHeight="1">
      <c r="A14" s="218">
        <v>7</v>
      </c>
      <c r="B14" s="228" t="s">
        <v>591</v>
      </c>
      <c r="C14" s="226">
        <v>41864</v>
      </c>
      <c r="D14" s="212">
        <v>27.9</v>
      </c>
      <c r="E14" s="210" t="s">
        <v>387</v>
      </c>
      <c r="F14" s="228" t="s">
        <v>388</v>
      </c>
      <c r="G14" s="228" t="s">
        <v>591</v>
      </c>
      <c r="H14" s="226">
        <v>41864</v>
      </c>
      <c r="I14" s="212">
        <v>27.9</v>
      </c>
      <c r="J14" s="243"/>
    </row>
    <row r="15" spans="1:10" ht="18" customHeight="1">
      <c r="A15" s="218">
        <v>8</v>
      </c>
      <c r="B15" s="228" t="s">
        <v>606</v>
      </c>
      <c r="C15" s="226">
        <v>41882</v>
      </c>
      <c r="D15" s="212">
        <v>143</v>
      </c>
      <c r="E15" s="210" t="s">
        <v>387</v>
      </c>
      <c r="F15" s="228" t="s">
        <v>388</v>
      </c>
      <c r="G15" s="228" t="s">
        <v>606</v>
      </c>
      <c r="H15" s="226">
        <v>41882</v>
      </c>
      <c r="I15" s="212">
        <v>143</v>
      </c>
      <c r="J15" s="243"/>
    </row>
    <row r="16" spans="1:10" ht="18" customHeight="1">
      <c r="A16" s="218">
        <v>9</v>
      </c>
      <c r="B16" s="228" t="s">
        <v>607</v>
      </c>
      <c r="C16" s="226">
        <v>41882</v>
      </c>
      <c r="D16" s="212">
        <v>60.33</v>
      </c>
      <c r="E16" s="210" t="s">
        <v>387</v>
      </c>
      <c r="F16" s="228" t="s">
        <v>388</v>
      </c>
      <c r="G16" s="228" t="s">
        <v>607</v>
      </c>
      <c r="H16" s="226">
        <v>41882</v>
      </c>
      <c r="I16" s="212">
        <v>60.33</v>
      </c>
      <c r="J16" s="243"/>
    </row>
    <row r="17" spans="1:11" ht="18" customHeight="1">
      <c r="A17" s="218">
        <v>10</v>
      </c>
      <c r="B17" s="228" t="s">
        <v>618</v>
      </c>
      <c r="C17" s="226">
        <v>41892</v>
      </c>
      <c r="D17" s="212">
        <v>27.53</v>
      </c>
      <c r="E17" s="210" t="s">
        <v>387</v>
      </c>
      <c r="F17" s="228" t="s">
        <v>388</v>
      </c>
      <c r="G17" s="228" t="s">
        <v>618</v>
      </c>
      <c r="H17" s="226">
        <v>41892</v>
      </c>
      <c r="I17" s="212">
        <v>27.53</v>
      </c>
      <c r="J17" s="243"/>
    </row>
    <row r="18" spans="1:11" ht="18" customHeight="1">
      <c r="A18" s="218">
        <v>11</v>
      </c>
      <c r="B18" s="228" t="s">
        <v>619</v>
      </c>
      <c r="C18" s="226">
        <v>41892</v>
      </c>
      <c r="D18" s="212">
        <v>53.64</v>
      </c>
      <c r="E18" s="210" t="s">
        <v>387</v>
      </c>
      <c r="F18" s="228" t="s">
        <v>388</v>
      </c>
      <c r="G18" s="228" t="s">
        <v>619</v>
      </c>
      <c r="H18" s="226">
        <v>41892</v>
      </c>
      <c r="I18" s="212">
        <v>53.64</v>
      </c>
      <c r="J18" s="243"/>
    </row>
    <row r="19" spans="1:11" ht="18" customHeight="1">
      <c r="A19" s="218">
        <v>12</v>
      </c>
      <c r="B19" s="228" t="s">
        <v>628</v>
      </c>
      <c r="C19" s="226">
        <v>41898</v>
      </c>
      <c r="D19" s="212">
        <v>34.770000000000003</v>
      </c>
      <c r="E19" s="210" t="s">
        <v>387</v>
      </c>
      <c r="F19" s="228" t="s">
        <v>388</v>
      </c>
      <c r="G19" s="228" t="s">
        <v>628</v>
      </c>
      <c r="H19" s="226">
        <v>41898</v>
      </c>
      <c r="I19" s="212">
        <v>34.770000000000003</v>
      </c>
      <c r="J19" s="243"/>
    </row>
    <row r="20" spans="1:11" ht="18" customHeight="1">
      <c r="A20" s="218">
        <v>13</v>
      </c>
      <c r="B20" s="228" t="s">
        <v>632</v>
      </c>
      <c r="C20" s="226">
        <v>41908</v>
      </c>
      <c r="D20" s="212">
        <v>68.5</v>
      </c>
      <c r="E20" s="210" t="s">
        <v>387</v>
      </c>
      <c r="F20" s="228" t="s">
        <v>388</v>
      </c>
      <c r="G20" s="228" t="s">
        <v>632</v>
      </c>
      <c r="H20" s="226">
        <v>41908</v>
      </c>
      <c r="I20" s="212">
        <v>68.5</v>
      </c>
      <c r="J20" s="243"/>
    </row>
    <row r="21" spans="1:11" ht="18" customHeight="1">
      <c r="A21" s="218">
        <v>14</v>
      </c>
      <c r="B21" s="228" t="s">
        <v>637</v>
      </c>
      <c r="C21" s="226">
        <v>41912</v>
      </c>
      <c r="D21" s="212">
        <v>32</v>
      </c>
      <c r="E21" s="210" t="s">
        <v>387</v>
      </c>
      <c r="F21" s="228" t="s">
        <v>388</v>
      </c>
      <c r="G21" s="228" t="s">
        <v>637</v>
      </c>
      <c r="H21" s="226">
        <v>41912</v>
      </c>
      <c r="I21" s="212">
        <v>32</v>
      </c>
      <c r="J21" s="243"/>
    </row>
    <row r="22" spans="1:11" ht="18" customHeight="1">
      <c r="A22" s="218">
        <v>15</v>
      </c>
      <c r="B22" s="228" t="s">
        <v>638</v>
      </c>
      <c r="C22" s="226">
        <v>41912</v>
      </c>
      <c r="D22" s="212">
        <v>26.65</v>
      </c>
      <c r="E22" s="210" t="s">
        <v>387</v>
      </c>
      <c r="F22" s="228" t="s">
        <v>388</v>
      </c>
      <c r="G22" s="228" t="s">
        <v>638</v>
      </c>
      <c r="H22" s="226">
        <v>41912</v>
      </c>
      <c r="I22" s="212">
        <v>26.65</v>
      </c>
      <c r="J22" s="243"/>
    </row>
    <row r="23" spans="1:11" ht="18" customHeight="1">
      <c r="A23" s="218">
        <v>16</v>
      </c>
      <c r="B23" s="228" t="s">
        <v>639</v>
      </c>
      <c r="C23" s="226">
        <v>41912</v>
      </c>
      <c r="D23" s="212">
        <v>34.86</v>
      </c>
      <c r="E23" s="210" t="s">
        <v>387</v>
      </c>
      <c r="F23" s="228" t="s">
        <v>388</v>
      </c>
      <c r="G23" s="228" t="s">
        <v>639</v>
      </c>
      <c r="H23" s="226">
        <v>41912</v>
      </c>
      <c r="I23" s="212">
        <v>34.86</v>
      </c>
      <c r="J23" s="243"/>
    </row>
    <row r="24" spans="1:11" ht="18" customHeight="1">
      <c r="A24" s="218">
        <v>17</v>
      </c>
      <c r="B24" s="228" t="s">
        <v>643</v>
      </c>
      <c r="C24" s="226">
        <v>41919</v>
      </c>
      <c r="D24" s="212">
        <v>26.44</v>
      </c>
      <c r="E24" s="210" t="s">
        <v>387</v>
      </c>
      <c r="F24" s="228" t="s">
        <v>388</v>
      </c>
      <c r="G24" s="228" t="s">
        <v>643</v>
      </c>
      <c r="H24" s="226">
        <v>41919</v>
      </c>
      <c r="I24" s="212">
        <v>26.44</v>
      </c>
      <c r="J24" s="243"/>
    </row>
    <row r="25" spans="1:11" ht="18" customHeight="1">
      <c r="A25" s="218">
        <v>18</v>
      </c>
      <c r="B25" s="228" t="s">
        <v>653</v>
      </c>
      <c r="C25" s="226">
        <v>41928</v>
      </c>
      <c r="D25" s="212">
        <v>44.22</v>
      </c>
      <c r="E25" s="210" t="s">
        <v>387</v>
      </c>
      <c r="F25" s="228" t="s">
        <v>388</v>
      </c>
      <c r="G25" s="228" t="s">
        <v>653</v>
      </c>
      <c r="H25" s="226">
        <v>41928</v>
      </c>
      <c r="I25" s="212">
        <v>44.22</v>
      </c>
      <c r="J25" s="243"/>
    </row>
    <row r="26" spans="1:11" ht="18" customHeight="1">
      <c r="A26" s="218">
        <v>19</v>
      </c>
      <c r="B26" s="228" t="s">
        <v>657</v>
      </c>
      <c r="C26" s="226">
        <v>41939</v>
      </c>
      <c r="D26" s="212">
        <v>27.75</v>
      </c>
      <c r="E26" s="210" t="s">
        <v>387</v>
      </c>
      <c r="F26" s="228" t="s">
        <v>388</v>
      </c>
      <c r="G26" s="228" t="s">
        <v>657</v>
      </c>
      <c r="H26" s="226">
        <v>41939</v>
      </c>
      <c r="I26" s="212">
        <v>27.75</v>
      </c>
      <c r="J26" s="243"/>
    </row>
    <row r="27" spans="1:11" ht="18" customHeight="1">
      <c r="A27" s="218">
        <v>20</v>
      </c>
      <c r="B27" s="228" t="s">
        <v>660</v>
      </c>
      <c r="C27" s="226">
        <v>41946</v>
      </c>
      <c r="D27" s="212">
        <v>90.92</v>
      </c>
      <c r="E27" s="210" t="s">
        <v>387</v>
      </c>
      <c r="F27" s="228" t="s">
        <v>388</v>
      </c>
      <c r="G27" s="228" t="s">
        <v>660</v>
      </c>
      <c r="H27" s="226">
        <v>41946</v>
      </c>
      <c r="I27" s="212">
        <v>90.92</v>
      </c>
      <c r="J27" s="243"/>
    </row>
    <row r="28" spans="1:11" ht="18" customHeight="1">
      <c r="A28" s="218">
        <v>21</v>
      </c>
      <c r="B28" s="228" t="s">
        <v>669</v>
      </c>
      <c r="C28" s="226">
        <v>41956</v>
      </c>
      <c r="D28" s="212">
        <v>110.34</v>
      </c>
      <c r="E28" s="210" t="s">
        <v>387</v>
      </c>
      <c r="F28" s="228" t="s">
        <v>388</v>
      </c>
      <c r="G28" s="228" t="s">
        <v>669</v>
      </c>
      <c r="H28" s="226">
        <v>41956</v>
      </c>
      <c r="I28" s="212">
        <v>110.34</v>
      </c>
      <c r="J28" s="243"/>
    </row>
    <row r="29" spans="1:11" ht="18" customHeight="1">
      <c r="A29" s="218">
        <v>22</v>
      </c>
      <c r="B29" s="228" t="s">
        <v>674</v>
      </c>
      <c r="C29" s="226">
        <v>41967</v>
      </c>
      <c r="D29" s="212">
        <v>26.98</v>
      </c>
      <c r="E29" s="210" t="s">
        <v>387</v>
      </c>
      <c r="F29" s="228" t="s">
        <v>388</v>
      </c>
      <c r="G29" s="228" t="s">
        <v>674</v>
      </c>
      <c r="H29" s="226">
        <v>41967</v>
      </c>
      <c r="I29" s="212">
        <v>26.98</v>
      </c>
      <c r="J29" s="243"/>
    </row>
    <row r="30" spans="1:11" ht="18" customHeight="1">
      <c r="A30" s="218">
        <v>23</v>
      </c>
      <c r="B30" s="228" t="s">
        <v>678</v>
      </c>
      <c r="C30" s="226">
        <v>41973</v>
      </c>
      <c r="D30" s="212">
        <v>36.35</v>
      </c>
      <c r="E30" s="210" t="s">
        <v>387</v>
      </c>
      <c r="F30" s="228" t="s">
        <v>388</v>
      </c>
      <c r="G30" s="228" t="s">
        <v>678</v>
      </c>
      <c r="H30" s="226">
        <v>41973</v>
      </c>
      <c r="I30" s="212">
        <v>36.35</v>
      </c>
      <c r="J30" s="226"/>
      <c r="K30" s="212"/>
    </row>
    <row r="31" spans="1:11" ht="18" customHeight="1">
      <c r="A31" s="218">
        <v>24</v>
      </c>
      <c r="B31" s="228" t="s">
        <v>692</v>
      </c>
      <c r="C31" s="226">
        <v>41988</v>
      </c>
      <c r="D31" s="212">
        <v>61.63</v>
      </c>
      <c r="E31" s="210" t="s">
        <v>387</v>
      </c>
      <c r="F31" s="228" t="s">
        <v>388</v>
      </c>
      <c r="G31" s="228" t="s">
        <v>692</v>
      </c>
      <c r="H31" s="226">
        <v>41988</v>
      </c>
      <c r="I31" s="212">
        <v>61.63</v>
      </c>
      <c r="J31" s="243"/>
    </row>
    <row r="32" spans="1:11" ht="18" customHeight="1">
      <c r="A32" s="218">
        <v>25</v>
      </c>
      <c r="B32" s="228" t="s">
        <v>697</v>
      </c>
      <c r="C32" s="226">
        <v>41995</v>
      </c>
      <c r="D32" s="212">
        <v>47.71</v>
      </c>
      <c r="E32" s="210" t="s">
        <v>387</v>
      </c>
      <c r="F32" s="228" t="s">
        <v>388</v>
      </c>
      <c r="G32" s="228" t="s">
        <v>697</v>
      </c>
      <c r="H32" s="226">
        <v>41995</v>
      </c>
      <c r="I32" s="212">
        <v>47.71</v>
      </c>
      <c r="J32" s="243"/>
    </row>
    <row r="33" spans="1:10" ht="18" customHeight="1">
      <c r="A33" s="218">
        <v>26</v>
      </c>
      <c r="B33" s="228" t="s">
        <v>707</v>
      </c>
      <c r="C33" s="226">
        <v>42003</v>
      </c>
      <c r="D33" s="212">
        <v>54.5</v>
      </c>
      <c r="E33" s="210" t="s">
        <v>387</v>
      </c>
      <c r="F33" s="228" t="s">
        <v>388</v>
      </c>
      <c r="G33" s="228" t="s">
        <v>707</v>
      </c>
      <c r="H33" s="226">
        <v>42003</v>
      </c>
      <c r="I33" s="212">
        <v>54.5</v>
      </c>
      <c r="J33" s="243"/>
    </row>
    <row r="34" spans="1:10" ht="18" customHeight="1">
      <c r="A34" s="218">
        <v>27</v>
      </c>
      <c r="B34" s="228" t="s">
        <v>715</v>
      </c>
      <c r="C34" s="226">
        <v>42009</v>
      </c>
      <c r="D34" s="212">
        <v>73.5</v>
      </c>
      <c r="E34" s="210" t="s">
        <v>387</v>
      </c>
      <c r="F34" s="228" t="s">
        <v>388</v>
      </c>
      <c r="G34" s="228" t="s">
        <v>715</v>
      </c>
      <c r="H34" s="226">
        <v>42009</v>
      </c>
      <c r="I34" s="212">
        <v>73.5</v>
      </c>
      <c r="J34" s="243"/>
    </row>
    <row r="35" spans="1:10" ht="18" customHeight="1">
      <c r="A35" s="218">
        <v>28</v>
      </c>
      <c r="B35" s="228" t="s">
        <v>717</v>
      </c>
      <c r="C35" s="226">
        <v>42016</v>
      </c>
      <c r="D35" s="212">
        <v>102.28</v>
      </c>
      <c r="E35" s="210" t="s">
        <v>387</v>
      </c>
      <c r="F35" s="228" t="s">
        <v>388</v>
      </c>
      <c r="G35" s="228" t="s">
        <v>717</v>
      </c>
      <c r="H35" s="226">
        <v>42016</v>
      </c>
      <c r="I35" s="212">
        <v>102.28</v>
      </c>
      <c r="J35" s="243"/>
    </row>
    <row r="36" spans="1:10" ht="18" customHeight="1">
      <c r="A36" s="218">
        <v>29</v>
      </c>
      <c r="B36" s="228" t="s">
        <v>719</v>
      </c>
      <c r="C36" s="226">
        <v>42024</v>
      </c>
      <c r="D36" s="212">
        <v>39.92</v>
      </c>
      <c r="E36" s="210" t="s">
        <v>387</v>
      </c>
      <c r="F36" s="228" t="s">
        <v>388</v>
      </c>
      <c r="G36" s="228" t="s">
        <v>719</v>
      </c>
      <c r="H36" s="226">
        <v>42024</v>
      </c>
      <c r="I36" s="212">
        <v>39.92</v>
      </c>
      <c r="J36" s="243"/>
    </row>
    <row r="37" spans="1:10" ht="18" customHeight="1">
      <c r="A37" s="218">
        <v>30</v>
      </c>
      <c r="B37" s="228" t="s">
        <v>722</v>
      </c>
      <c r="C37" s="226">
        <v>42031</v>
      </c>
      <c r="D37" s="212">
        <v>62.39</v>
      </c>
      <c r="E37" s="210" t="s">
        <v>387</v>
      </c>
      <c r="F37" s="228" t="s">
        <v>388</v>
      </c>
      <c r="G37" s="228" t="s">
        <v>722</v>
      </c>
      <c r="H37" s="226">
        <v>42031</v>
      </c>
      <c r="I37" s="212">
        <v>62.39</v>
      </c>
      <c r="J37" s="243"/>
    </row>
    <row r="38" spans="1:10" ht="18" customHeight="1">
      <c r="A38" s="218">
        <v>31</v>
      </c>
      <c r="B38" s="228" t="s">
        <v>709</v>
      </c>
      <c r="C38" s="226">
        <v>42040</v>
      </c>
      <c r="D38" s="212">
        <v>56.55</v>
      </c>
      <c r="E38" s="210" t="s">
        <v>387</v>
      </c>
      <c r="F38" s="228" t="s">
        <v>388</v>
      </c>
      <c r="G38" s="228" t="s">
        <v>709</v>
      </c>
      <c r="H38" s="226">
        <v>42040</v>
      </c>
      <c r="I38" s="212">
        <v>56.55</v>
      </c>
      <c r="J38" s="243"/>
    </row>
    <row r="39" spans="1:10" ht="18" customHeight="1">
      <c r="A39" s="218">
        <v>32</v>
      </c>
      <c r="B39" s="228" t="s">
        <v>711</v>
      </c>
      <c r="C39" s="226">
        <v>42045</v>
      </c>
      <c r="D39" s="212">
        <v>29.21</v>
      </c>
      <c r="E39" s="210" t="s">
        <v>387</v>
      </c>
      <c r="F39" s="228" t="s">
        <v>388</v>
      </c>
      <c r="G39" s="228" t="s">
        <v>711</v>
      </c>
      <c r="H39" s="226">
        <v>42045</v>
      </c>
      <c r="I39" s="212">
        <v>29.21</v>
      </c>
      <c r="J39" s="243"/>
    </row>
    <row r="40" spans="1:10" ht="18" customHeight="1">
      <c r="A40" s="218">
        <v>33</v>
      </c>
      <c r="B40" s="228" t="s">
        <v>713</v>
      </c>
      <c r="C40" s="226">
        <v>42059</v>
      </c>
      <c r="D40" s="212">
        <v>102.92</v>
      </c>
      <c r="E40" s="210" t="s">
        <v>387</v>
      </c>
      <c r="F40" s="228" t="s">
        <v>388</v>
      </c>
      <c r="G40" s="228" t="s">
        <v>713</v>
      </c>
      <c r="H40" s="226">
        <v>42059</v>
      </c>
      <c r="I40" s="212">
        <v>102.92</v>
      </c>
      <c r="J40" s="243"/>
    </row>
    <row r="41" spans="1:10" ht="24">
      <c r="A41" s="453" t="s">
        <v>724</v>
      </c>
      <c r="B41" s="454"/>
      <c r="C41" s="244"/>
      <c r="D41" s="233">
        <f>SUM(D8:D40)</f>
        <v>1831.4500000000003</v>
      </c>
      <c r="E41" s="234"/>
      <c r="F41" s="234"/>
      <c r="G41" s="235"/>
      <c r="H41" s="244"/>
      <c r="I41" s="233">
        <f>SUM(I8:I40)</f>
        <v>1831.4500000000003</v>
      </c>
      <c r="J41" s="245"/>
    </row>
    <row r="44" spans="1:10" ht="21">
      <c r="E44" s="213" t="s">
        <v>387</v>
      </c>
      <c r="F44" s="220" t="s">
        <v>388</v>
      </c>
      <c r="G44" s="223" t="s">
        <v>400</v>
      </c>
      <c r="H44" s="221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61" customWidth="1"/>
    <col min="2" max="2" width="12.33203125" style="61" customWidth="1"/>
    <col min="3" max="3" width="12.44140625" style="61" customWidth="1"/>
    <col min="4" max="4" width="13.33203125" style="61" customWidth="1"/>
    <col min="5" max="5" width="16.88671875" style="61" customWidth="1"/>
    <col min="6" max="6" width="14" style="61" customWidth="1"/>
    <col min="7" max="7" width="11" style="61" customWidth="1"/>
    <col min="8" max="8" width="8.77734375" style="61"/>
    <col min="9" max="9" width="12.88671875" style="61" customWidth="1"/>
    <col min="10" max="16384" width="8.77734375" style="61"/>
  </cols>
  <sheetData>
    <row r="1" spans="1:10" ht="33.6">
      <c r="A1" s="474" t="s">
        <v>10</v>
      </c>
      <c r="B1" s="474"/>
      <c r="C1" s="474"/>
      <c r="D1" s="474"/>
      <c r="E1" s="474"/>
      <c r="F1" s="474"/>
      <c r="G1" s="474"/>
      <c r="H1" s="474"/>
      <c r="I1" s="474"/>
      <c r="J1" s="475"/>
    </row>
    <row r="2" spans="1:10" ht="33.6">
      <c r="A2" s="474" t="s">
        <v>16</v>
      </c>
      <c r="B2" s="474"/>
      <c r="C2" s="474"/>
      <c r="D2" s="474"/>
      <c r="E2" s="474"/>
      <c r="F2" s="474"/>
      <c r="G2" s="474"/>
      <c r="H2" s="474"/>
      <c r="I2" s="474"/>
      <c r="J2" s="475"/>
    </row>
    <row r="3" spans="1:10" ht="27">
      <c r="A3" s="476" t="s">
        <v>723</v>
      </c>
      <c r="B3" s="476"/>
      <c r="C3" s="476"/>
      <c r="D3" s="476"/>
      <c r="E3" s="476"/>
      <c r="F3" s="246"/>
      <c r="G3" s="246"/>
      <c r="H3" s="246"/>
      <c r="I3" s="246"/>
      <c r="J3" s="247"/>
    </row>
    <row r="4" spans="1:10" ht="27">
      <c r="A4" s="417" t="s">
        <v>49</v>
      </c>
      <c r="B4" s="417"/>
      <c r="C4" s="417"/>
      <c r="D4" s="417"/>
      <c r="E4" s="246"/>
      <c r="F4" s="246"/>
      <c r="G4" s="246"/>
      <c r="H4" s="246"/>
      <c r="I4" s="246"/>
      <c r="J4" s="24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77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78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79"/>
    </row>
    <row r="8" spans="1:10" ht="18" customHeight="1">
      <c r="A8" s="218">
        <v>1</v>
      </c>
      <c r="B8" s="210" t="s">
        <v>55</v>
      </c>
      <c r="C8" s="211">
        <v>41246</v>
      </c>
      <c r="D8" s="212">
        <v>8.5</v>
      </c>
      <c r="E8" s="213" t="s">
        <v>51</v>
      </c>
      <c r="F8" s="210" t="s">
        <v>53</v>
      </c>
      <c r="G8" s="210" t="s">
        <v>55</v>
      </c>
      <c r="H8" s="211">
        <v>41246</v>
      </c>
      <c r="I8" s="212">
        <v>8.5</v>
      </c>
      <c r="J8" s="248"/>
    </row>
    <row r="9" spans="1:10" ht="18" customHeight="1">
      <c r="A9" s="218">
        <v>2</v>
      </c>
      <c r="B9" s="210" t="s">
        <v>56</v>
      </c>
      <c r="C9" s="211">
        <v>41246</v>
      </c>
      <c r="D9" s="212">
        <v>52.36</v>
      </c>
      <c r="E9" s="213" t="s">
        <v>51</v>
      </c>
      <c r="F9" s="210" t="s">
        <v>53</v>
      </c>
      <c r="G9" s="210" t="s">
        <v>56</v>
      </c>
      <c r="H9" s="211">
        <v>41246</v>
      </c>
      <c r="I9" s="212">
        <v>52.36</v>
      </c>
      <c r="J9" s="248"/>
    </row>
    <row r="10" spans="1:10" ht="18" customHeight="1">
      <c r="A10" s="218">
        <v>3</v>
      </c>
      <c r="B10" s="210" t="s">
        <v>60</v>
      </c>
      <c r="C10" s="211">
        <v>41255</v>
      </c>
      <c r="D10" s="212">
        <v>21.2</v>
      </c>
      <c r="E10" s="213" t="s">
        <v>51</v>
      </c>
      <c r="F10" s="210" t="s">
        <v>53</v>
      </c>
      <c r="G10" s="210" t="s">
        <v>60</v>
      </c>
      <c r="H10" s="211">
        <v>41255</v>
      </c>
      <c r="I10" s="212">
        <v>21.2</v>
      </c>
      <c r="J10" s="248"/>
    </row>
    <row r="11" spans="1:10" ht="18" customHeight="1">
      <c r="A11" s="218">
        <v>4</v>
      </c>
      <c r="B11" s="210" t="s">
        <v>61</v>
      </c>
      <c r="C11" s="211">
        <v>41255</v>
      </c>
      <c r="D11" s="212">
        <v>29.57</v>
      </c>
      <c r="E11" s="213" t="s">
        <v>51</v>
      </c>
      <c r="F11" s="210" t="s">
        <v>53</v>
      </c>
      <c r="G11" s="210" t="s">
        <v>61</v>
      </c>
      <c r="H11" s="211">
        <v>41255</v>
      </c>
      <c r="I11" s="212">
        <v>29.57</v>
      </c>
      <c r="J11" s="248"/>
    </row>
    <row r="12" spans="1:10" ht="18" customHeight="1">
      <c r="A12" s="218">
        <v>5</v>
      </c>
      <c r="B12" s="210" t="s">
        <v>62</v>
      </c>
      <c r="C12" s="211">
        <v>41260</v>
      </c>
      <c r="D12" s="212">
        <v>34.24</v>
      </c>
      <c r="E12" s="213" t="s">
        <v>51</v>
      </c>
      <c r="F12" s="210" t="s">
        <v>53</v>
      </c>
      <c r="G12" s="210" t="s">
        <v>62</v>
      </c>
      <c r="H12" s="211">
        <v>41260</v>
      </c>
      <c r="I12" s="212">
        <v>34.24</v>
      </c>
      <c r="J12" s="248"/>
    </row>
    <row r="13" spans="1:10" ht="18" customHeight="1">
      <c r="A13" s="218">
        <v>6</v>
      </c>
      <c r="B13" s="210" t="s">
        <v>63</v>
      </c>
      <c r="C13" s="211">
        <v>41260</v>
      </c>
      <c r="D13" s="212">
        <v>8.93</v>
      </c>
      <c r="E13" s="213" t="s">
        <v>51</v>
      </c>
      <c r="F13" s="210" t="s">
        <v>53</v>
      </c>
      <c r="G13" s="210" t="s">
        <v>63</v>
      </c>
      <c r="H13" s="211">
        <v>41260</v>
      </c>
      <c r="I13" s="212">
        <v>8.93</v>
      </c>
      <c r="J13" s="248"/>
    </row>
    <row r="14" spans="1:10" ht="18" customHeight="1">
      <c r="A14" s="218">
        <v>7</v>
      </c>
      <c r="B14" s="210" t="s">
        <v>64</v>
      </c>
      <c r="C14" s="211">
        <v>41260</v>
      </c>
      <c r="D14" s="212">
        <v>27.62</v>
      </c>
      <c r="E14" s="213" t="s">
        <v>51</v>
      </c>
      <c r="F14" s="210" t="s">
        <v>53</v>
      </c>
      <c r="G14" s="210" t="s">
        <v>64</v>
      </c>
      <c r="H14" s="211">
        <v>41260</v>
      </c>
      <c r="I14" s="212">
        <v>27.62</v>
      </c>
      <c r="J14" s="248"/>
    </row>
    <row r="15" spans="1:10" ht="18" customHeight="1">
      <c r="A15" s="218">
        <v>8</v>
      </c>
      <c r="B15" s="210" t="s">
        <v>69</v>
      </c>
      <c r="C15" s="211">
        <v>41261</v>
      </c>
      <c r="D15" s="212">
        <v>57.77</v>
      </c>
      <c r="E15" s="213" t="s">
        <v>51</v>
      </c>
      <c r="F15" s="210" t="s">
        <v>53</v>
      </c>
      <c r="G15" s="210" t="s">
        <v>69</v>
      </c>
      <c r="H15" s="211">
        <v>41261</v>
      </c>
      <c r="I15" s="212">
        <v>57.77</v>
      </c>
      <c r="J15" s="248"/>
    </row>
    <row r="16" spans="1:10" ht="18" customHeight="1">
      <c r="A16" s="218">
        <v>9</v>
      </c>
      <c r="B16" s="210" t="s">
        <v>70</v>
      </c>
      <c r="C16" s="211">
        <v>41261</v>
      </c>
      <c r="D16" s="212">
        <v>24</v>
      </c>
      <c r="E16" s="213" t="s">
        <v>51</v>
      </c>
      <c r="F16" s="210" t="s">
        <v>53</v>
      </c>
      <c r="G16" s="210" t="s">
        <v>70</v>
      </c>
      <c r="H16" s="211">
        <v>41261</v>
      </c>
      <c r="I16" s="212">
        <v>24</v>
      </c>
      <c r="J16" s="248"/>
    </row>
    <row r="17" spans="1:10" ht="18" customHeight="1">
      <c r="A17" s="218">
        <v>10</v>
      </c>
      <c r="B17" s="210" t="s">
        <v>71</v>
      </c>
      <c r="C17" s="211">
        <v>41261</v>
      </c>
      <c r="D17" s="212">
        <v>28.88</v>
      </c>
      <c r="E17" s="213" t="s">
        <v>51</v>
      </c>
      <c r="F17" s="210" t="s">
        <v>53</v>
      </c>
      <c r="G17" s="210" t="s">
        <v>71</v>
      </c>
      <c r="H17" s="211">
        <v>41261</v>
      </c>
      <c r="I17" s="212">
        <v>28.88</v>
      </c>
      <c r="J17" s="248"/>
    </row>
    <row r="18" spans="1:10" ht="18" customHeight="1">
      <c r="A18" s="218">
        <v>11</v>
      </c>
      <c r="B18" s="210" t="s">
        <v>74</v>
      </c>
      <c r="C18" s="211">
        <v>41274</v>
      </c>
      <c r="D18" s="212">
        <v>24</v>
      </c>
      <c r="E18" s="213" t="s">
        <v>51</v>
      </c>
      <c r="F18" s="210" t="s">
        <v>53</v>
      </c>
      <c r="G18" s="210" t="s">
        <v>74</v>
      </c>
      <c r="H18" s="211">
        <v>41274</v>
      </c>
      <c r="I18" s="212">
        <v>24</v>
      </c>
      <c r="J18" s="248"/>
    </row>
    <row r="19" spans="1:10" ht="18" customHeight="1">
      <c r="A19" s="218">
        <v>12</v>
      </c>
      <c r="B19" s="210" t="s">
        <v>75</v>
      </c>
      <c r="C19" s="211">
        <v>41274</v>
      </c>
      <c r="D19" s="212">
        <v>36.26</v>
      </c>
      <c r="E19" s="213" t="s">
        <v>51</v>
      </c>
      <c r="F19" s="210" t="s">
        <v>53</v>
      </c>
      <c r="G19" s="210" t="s">
        <v>75</v>
      </c>
      <c r="H19" s="211">
        <v>41274</v>
      </c>
      <c r="I19" s="212">
        <v>36.26</v>
      </c>
      <c r="J19" s="248"/>
    </row>
    <row r="20" spans="1:10" ht="18" customHeight="1">
      <c r="A20" s="218">
        <v>13</v>
      </c>
      <c r="B20" s="210" t="s">
        <v>79</v>
      </c>
      <c r="C20" s="211">
        <v>41225</v>
      </c>
      <c r="D20" s="212">
        <v>24.64</v>
      </c>
      <c r="E20" s="213" t="s">
        <v>51</v>
      </c>
      <c r="F20" s="210" t="s">
        <v>53</v>
      </c>
      <c r="G20" s="210" t="s">
        <v>79</v>
      </c>
      <c r="H20" s="211">
        <v>41225</v>
      </c>
      <c r="I20" s="212">
        <v>24.64</v>
      </c>
      <c r="J20" s="248"/>
    </row>
    <row r="21" spans="1:10" ht="18" customHeight="1">
      <c r="A21" s="218">
        <v>14</v>
      </c>
      <c r="B21" s="210" t="s">
        <v>82</v>
      </c>
      <c r="C21" s="211">
        <v>41237</v>
      </c>
      <c r="D21" s="212">
        <v>49.82</v>
      </c>
      <c r="E21" s="213" t="s">
        <v>51</v>
      </c>
      <c r="F21" s="210" t="s">
        <v>53</v>
      </c>
      <c r="G21" s="210" t="s">
        <v>82</v>
      </c>
      <c r="H21" s="211">
        <v>41237</v>
      </c>
      <c r="I21" s="212">
        <v>49.82</v>
      </c>
      <c r="J21" s="248"/>
    </row>
    <row r="22" spans="1:10" ht="18" customHeight="1">
      <c r="A22" s="218">
        <v>15</v>
      </c>
      <c r="B22" s="210" t="s">
        <v>85</v>
      </c>
      <c r="C22" s="211">
        <v>41190</v>
      </c>
      <c r="D22" s="212">
        <v>26.3</v>
      </c>
      <c r="E22" s="213" t="s">
        <v>51</v>
      </c>
      <c r="F22" s="210" t="s">
        <v>53</v>
      </c>
      <c r="G22" s="210" t="s">
        <v>85</v>
      </c>
      <c r="H22" s="211">
        <v>41190</v>
      </c>
      <c r="I22" s="212">
        <v>26.3</v>
      </c>
      <c r="J22" s="248"/>
    </row>
    <row r="23" spans="1:10" ht="18" customHeight="1">
      <c r="A23" s="218">
        <v>16</v>
      </c>
      <c r="B23" s="210" t="s">
        <v>86</v>
      </c>
      <c r="C23" s="211">
        <v>41190</v>
      </c>
      <c r="D23" s="212">
        <v>26.01</v>
      </c>
      <c r="E23" s="213" t="s">
        <v>51</v>
      </c>
      <c r="F23" s="210" t="s">
        <v>53</v>
      </c>
      <c r="G23" s="210" t="s">
        <v>86</v>
      </c>
      <c r="H23" s="211">
        <v>41190</v>
      </c>
      <c r="I23" s="212">
        <v>26.01</v>
      </c>
      <c r="J23" s="248"/>
    </row>
    <row r="24" spans="1:10" ht="18" customHeight="1">
      <c r="A24" s="218">
        <v>18</v>
      </c>
      <c r="B24" s="210" t="s">
        <v>87</v>
      </c>
      <c r="C24" s="211">
        <v>41194</v>
      </c>
      <c r="D24" s="212">
        <v>31.78</v>
      </c>
      <c r="E24" s="213" t="s">
        <v>51</v>
      </c>
      <c r="F24" s="210" t="s">
        <v>53</v>
      </c>
      <c r="G24" s="210" t="s">
        <v>87</v>
      </c>
      <c r="H24" s="211">
        <v>41194</v>
      </c>
      <c r="I24" s="212">
        <v>31.78</v>
      </c>
      <c r="J24" s="248"/>
    </row>
    <row r="25" spans="1:10" ht="18" customHeight="1">
      <c r="A25" s="218">
        <v>19</v>
      </c>
      <c r="B25" s="210" t="s">
        <v>88</v>
      </c>
      <c r="C25" s="211">
        <v>41194</v>
      </c>
      <c r="D25" s="212">
        <v>5</v>
      </c>
      <c r="E25" s="213" t="s">
        <v>51</v>
      </c>
      <c r="F25" s="210" t="s">
        <v>53</v>
      </c>
      <c r="G25" s="210" t="s">
        <v>88</v>
      </c>
      <c r="H25" s="211">
        <v>41194</v>
      </c>
      <c r="I25" s="212">
        <v>5</v>
      </c>
      <c r="J25" s="248"/>
    </row>
    <row r="26" spans="1:10" ht="18" customHeight="1">
      <c r="A26" s="218">
        <v>20</v>
      </c>
      <c r="B26" s="210" t="s">
        <v>90</v>
      </c>
      <c r="C26" s="211">
        <v>41204</v>
      </c>
      <c r="D26" s="212">
        <v>22.41</v>
      </c>
      <c r="E26" s="213" t="s">
        <v>51</v>
      </c>
      <c r="F26" s="210" t="s">
        <v>53</v>
      </c>
      <c r="G26" s="210" t="s">
        <v>90</v>
      </c>
      <c r="H26" s="211">
        <v>41204</v>
      </c>
      <c r="I26" s="212">
        <v>22.41</v>
      </c>
      <c r="J26" s="248"/>
    </row>
    <row r="27" spans="1:10" ht="18" customHeight="1">
      <c r="A27" s="218">
        <v>21</v>
      </c>
      <c r="B27" s="210" t="s">
        <v>92</v>
      </c>
      <c r="C27" s="211">
        <v>41204</v>
      </c>
      <c r="D27" s="212">
        <v>21.7</v>
      </c>
      <c r="E27" s="213" t="s">
        <v>51</v>
      </c>
      <c r="F27" s="210" t="s">
        <v>53</v>
      </c>
      <c r="G27" s="210" t="s">
        <v>92</v>
      </c>
      <c r="H27" s="211">
        <v>41204</v>
      </c>
      <c r="I27" s="212">
        <v>21.7</v>
      </c>
      <c r="J27" s="248"/>
    </row>
    <row r="28" spans="1:10" ht="18" customHeight="1">
      <c r="A28" s="218">
        <v>22</v>
      </c>
      <c r="B28" s="210" t="s">
        <v>94</v>
      </c>
      <c r="C28" s="211">
        <v>41212</v>
      </c>
      <c r="D28" s="212">
        <v>25.12</v>
      </c>
      <c r="E28" s="213" t="s">
        <v>51</v>
      </c>
      <c r="F28" s="210" t="s">
        <v>53</v>
      </c>
      <c r="G28" s="210" t="s">
        <v>94</v>
      </c>
      <c r="H28" s="211">
        <v>41212</v>
      </c>
      <c r="I28" s="212">
        <v>25.12</v>
      </c>
      <c r="J28" s="248"/>
    </row>
    <row r="29" spans="1:10" ht="18" customHeight="1">
      <c r="A29" s="218">
        <v>23</v>
      </c>
      <c r="B29" s="210" t="s">
        <v>95</v>
      </c>
      <c r="C29" s="211">
        <v>41212</v>
      </c>
      <c r="D29" s="212">
        <v>33.19</v>
      </c>
      <c r="E29" s="213" t="s">
        <v>51</v>
      </c>
      <c r="F29" s="210" t="s">
        <v>53</v>
      </c>
      <c r="G29" s="210" t="s">
        <v>95</v>
      </c>
      <c r="H29" s="211">
        <v>41212</v>
      </c>
      <c r="I29" s="212">
        <v>33.19</v>
      </c>
      <c r="J29" s="248"/>
    </row>
    <row r="30" spans="1:10" ht="18" customHeight="1">
      <c r="A30" s="218">
        <v>24</v>
      </c>
      <c r="B30" s="210" t="s">
        <v>96</v>
      </c>
      <c r="C30" s="211">
        <v>41156</v>
      </c>
      <c r="D30" s="212">
        <v>15.08</v>
      </c>
      <c r="E30" s="213" t="s">
        <v>51</v>
      </c>
      <c r="F30" s="210" t="s">
        <v>53</v>
      </c>
      <c r="G30" s="210" t="s">
        <v>96</v>
      </c>
      <c r="H30" s="211">
        <v>41156</v>
      </c>
      <c r="I30" s="212">
        <v>15.08</v>
      </c>
      <c r="J30" s="248"/>
    </row>
    <row r="31" spans="1:10" ht="18" customHeight="1">
      <c r="A31" s="218">
        <v>25</v>
      </c>
      <c r="B31" s="210" t="s">
        <v>98</v>
      </c>
      <c r="C31" s="211">
        <v>41163</v>
      </c>
      <c r="D31" s="212">
        <v>9.6199999999999992</v>
      </c>
      <c r="E31" s="213" t="s">
        <v>51</v>
      </c>
      <c r="F31" s="210" t="s">
        <v>53</v>
      </c>
      <c r="G31" s="210" t="s">
        <v>98</v>
      </c>
      <c r="H31" s="211">
        <v>41163</v>
      </c>
      <c r="I31" s="212">
        <v>9.6199999999999992</v>
      </c>
      <c r="J31" s="248"/>
    </row>
    <row r="32" spans="1:10" ht="18" customHeight="1">
      <c r="A32" s="218">
        <v>26</v>
      </c>
      <c r="B32" s="210" t="s">
        <v>99</v>
      </c>
      <c r="C32" s="211">
        <v>41164</v>
      </c>
      <c r="D32" s="212">
        <v>9.24</v>
      </c>
      <c r="E32" s="213" t="s">
        <v>51</v>
      </c>
      <c r="F32" s="210" t="s">
        <v>53</v>
      </c>
      <c r="G32" s="210" t="s">
        <v>99</v>
      </c>
      <c r="H32" s="211">
        <v>41164</v>
      </c>
      <c r="I32" s="212">
        <v>9.24</v>
      </c>
      <c r="J32" s="248"/>
    </row>
    <row r="33" spans="1:10" ht="18" customHeight="1">
      <c r="A33" s="218">
        <v>27</v>
      </c>
      <c r="B33" s="210" t="s">
        <v>101</v>
      </c>
      <c r="C33" s="211">
        <v>41170</v>
      </c>
      <c r="D33" s="212">
        <v>26.71</v>
      </c>
      <c r="E33" s="213" t="s">
        <v>51</v>
      </c>
      <c r="F33" s="210" t="s">
        <v>53</v>
      </c>
      <c r="G33" s="210" t="s">
        <v>101</v>
      </c>
      <c r="H33" s="211">
        <v>41170</v>
      </c>
      <c r="I33" s="212">
        <v>26.71</v>
      </c>
      <c r="J33" s="248"/>
    </row>
    <row r="34" spans="1:10" ht="18" customHeight="1">
      <c r="A34" s="218">
        <v>28</v>
      </c>
      <c r="B34" s="210" t="s">
        <v>102</v>
      </c>
      <c r="C34" s="211">
        <v>41170</v>
      </c>
      <c r="D34" s="212">
        <v>34.479999999999997</v>
      </c>
      <c r="E34" s="213" t="s">
        <v>51</v>
      </c>
      <c r="F34" s="210" t="s">
        <v>53</v>
      </c>
      <c r="G34" s="210" t="s">
        <v>102</v>
      </c>
      <c r="H34" s="211">
        <v>41170</v>
      </c>
      <c r="I34" s="212">
        <v>34.479999999999997</v>
      </c>
      <c r="J34" s="248"/>
    </row>
    <row r="35" spans="1:10" ht="18" customHeight="1">
      <c r="A35" s="218">
        <v>29</v>
      </c>
      <c r="B35" s="210" t="s">
        <v>104</v>
      </c>
      <c r="C35" s="211">
        <v>41177</v>
      </c>
      <c r="D35" s="212">
        <v>48.74</v>
      </c>
      <c r="E35" s="213" t="s">
        <v>51</v>
      </c>
      <c r="F35" s="210" t="s">
        <v>53</v>
      </c>
      <c r="G35" s="210" t="s">
        <v>104</v>
      </c>
      <c r="H35" s="211">
        <v>41177</v>
      </c>
      <c r="I35" s="212">
        <v>48.74</v>
      </c>
      <c r="J35" s="248"/>
    </row>
    <row r="36" spans="1:10" ht="18" customHeight="1">
      <c r="A36" s="218">
        <v>30</v>
      </c>
      <c r="B36" s="210" t="s">
        <v>105</v>
      </c>
      <c r="C36" s="211">
        <v>41178</v>
      </c>
      <c r="D36" s="212">
        <v>23.06</v>
      </c>
      <c r="E36" s="213" t="s">
        <v>51</v>
      </c>
      <c r="F36" s="210" t="s">
        <v>53</v>
      </c>
      <c r="G36" s="210" t="s">
        <v>105</v>
      </c>
      <c r="H36" s="211">
        <v>41178</v>
      </c>
      <c r="I36" s="212">
        <v>23.06</v>
      </c>
      <c r="J36" s="248"/>
    </row>
    <row r="37" spans="1:10" ht="18" customHeight="1">
      <c r="A37" s="218">
        <v>31</v>
      </c>
      <c r="B37" s="210" t="s">
        <v>106</v>
      </c>
      <c r="C37" s="211">
        <v>41182</v>
      </c>
      <c r="D37" s="212">
        <v>22.2</v>
      </c>
      <c r="E37" s="213" t="s">
        <v>51</v>
      </c>
      <c r="F37" s="210" t="s">
        <v>53</v>
      </c>
      <c r="G37" s="210" t="s">
        <v>106</v>
      </c>
      <c r="H37" s="211">
        <v>41182</v>
      </c>
      <c r="I37" s="212">
        <v>22.2</v>
      </c>
      <c r="J37" s="248"/>
    </row>
    <row r="38" spans="1:10" ht="18" customHeight="1">
      <c r="A38" s="218">
        <v>32</v>
      </c>
      <c r="B38" s="210" t="s">
        <v>107</v>
      </c>
      <c r="C38" s="211">
        <v>41182</v>
      </c>
      <c r="D38" s="212">
        <v>2.5</v>
      </c>
      <c r="E38" s="213" t="s">
        <v>51</v>
      </c>
      <c r="F38" s="210" t="s">
        <v>53</v>
      </c>
      <c r="G38" s="210" t="s">
        <v>107</v>
      </c>
      <c r="H38" s="211">
        <v>41182</v>
      </c>
      <c r="I38" s="212">
        <v>2.5</v>
      </c>
      <c r="J38" s="248"/>
    </row>
    <row r="39" spans="1:10" ht="18" customHeight="1">
      <c r="A39" s="218">
        <v>33</v>
      </c>
      <c r="B39" s="210" t="s">
        <v>108</v>
      </c>
      <c r="C39" s="211">
        <v>41182</v>
      </c>
      <c r="D39" s="212">
        <v>18.09</v>
      </c>
      <c r="E39" s="213" t="s">
        <v>51</v>
      </c>
      <c r="F39" s="210" t="s">
        <v>53</v>
      </c>
      <c r="G39" s="210" t="s">
        <v>108</v>
      </c>
      <c r="H39" s="211">
        <v>41182</v>
      </c>
      <c r="I39" s="212">
        <v>18.09</v>
      </c>
      <c r="J39" s="248"/>
    </row>
    <row r="40" spans="1:10" ht="18" customHeight="1">
      <c r="A40" s="218">
        <v>34</v>
      </c>
      <c r="B40" s="210" t="s">
        <v>110</v>
      </c>
      <c r="C40" s="211">
        <v>41128</v>
      </c>
      <c r="D40" s="212">
        <v>2.7</v>
      </c>
      <c r="E40" s="213" t="s">
        <v>51</v>
      </c>
      <c r="F40" s="210" t="s">
        <v>53</v>
      </c>
      <c r="G40" s="210" t="s">
        <v>110</v>
      </c>
      <c r="H40" s="211">
        <v>41128</v>
      </c>
      <c r="I40" s="212">
        <v>2.7</v>
      </c>
      <c r="J40" s="248"/>
    </row>
    <row r="41" spans="1:10" ht="18" customHeight="1">
      <c r="A41" s="218">
        <v>35</v>
      </c>
      <c r="B41" s="210" t="s">
        <v>112</v>
      </c>
      <c r="C41" s="211">
        <v>41135</v>
      </c>
      <c r="D41" s="212">
        <v>3.87</v>
      </c>
      <c r="E41" s="213" t="s">
        <v>51</v>
      </c>
      <c r="F41" s="210" t="s">
        <v>53</v>
      </c>
      <c r="G41" s="210" t="s">
        <v>112</v>
      </c>
      <c r="H41" s="211">
        <v>41135</v>
      </c>
      <c r="I41" s="212">
        <v>3.87</v>
      </c>
      <c r="J41" s="248"/>
    </row>
    <row r="42" spans="1:10" ht="18" customHeight="1">
      <c r="A42" s="218">
        <v>36</v>
      </c>
      <c r="B42" s="210" t="s">
        <v>114</v>
      </c>
      <c r="C42" s="211">
        <v>41142</v>
      </c>
      <c r="D42" s="212">
        <v>11.58</v>
      </c>
      <c r="E42" s="213" t="s">
        <v>51</v>
      </c>
      <c r="F42" s="210" t="s">
        <v>53</v>
      </c>
      <c r="G42" s="210" t="s">
        <v>114</v>
      </c>
      <c r="H42" s="211">
        <v>41142</v>
      </c>
      <c r="I42" s="212">
        <v>11.58</v>
      </c>
      <c r="J42" s="248"/>
    </row>
    <row r="43" spans="1:10" ht="18" customHeight="1">
      <c r="A43" s="218">
        <v>37</v>
      </c>
      <c r="B43" s="210" t="s">
        <v>118</v>
      </c>
      <c r="C43" s="211">
        <v>41100</v>
      </c>
      <c r="D43" s="212">
        <v>5.09</v>
      </c>
      <c r="E43" s="213" t="s">
        <v>51</v>
      </c>
      <c r="F43" s="210" t="s">
        <v>53</v>
      </c>
      <c r="G43" s="210" t="s">
        <v>118</v>
      </c>
      <c r="H43" s="211">
        <v>41100</v>
      </c>
      <c r="I43" s="212">
        <v>5.09</v>
      </c>
      <c r="J43" s="248"/>
    </row>
    <row r="44" spans="1:10" ht="18" customHeight="1">
      <c r="A44" s="218">
        <v>38</v>
      </c>
      <c r="B44" s="210" t="s">
        <v>119</v>
      </c>
      <c r="C44" s="211">
        <v>41106</v>
      </c>
      <c r="D44" s="212">
        <v>8.14</v>
      </c>
      <c r="E44" s="213" t="s">
        <v>51</v>
      </c>
      <c r="F44" s="210" t="s">
        <v>53</v>
      </c>
      <c r="G44" s="210" t="s">
        <v>119</v>
      </c>
      <c r="H44" s="211">
        <v>41106</v>
      </c>
      <c r="I44" s="212">
        <v>8.14</v>
      </c>
      <c r="J44" s="248"/>
    </row>
    <row r="45" spans="1:10" ht="18" customHeight="1">
      <c r="A45" s="218">
        <v>39</v>
      </c>
      <c r="B45" s="210" t="s">
        <v>121</v>
      </c>
      <c r="C45" s="211">
        <v>41107</v>
      </c>
      <c r="D45" s="212">
        <v>21.57</v>
      </c>
      <c r="E45" s="213" t="s">
        <v>51</v>
      </c>
      <c r="F45" s="210" t="s">
        <v>53</v>
      </c>
      <c r="G45" s="210" t="s">
        <v>121</v>
      </c>
      <c r="H45" s="211">
        <v>41107</v>
      </c>
      <c r="I45" s="212">
        <v>21.57</v>
      </c>
      <c r="J45" s="248"/>
    </row>
    <row r="46" spans="1:10" ht="18" customHeight="1">
      <c r="A46" s="218">
        <v>40</v>
      </c>
      <c r="B46" s="210" t="s">
        <v>123</v>
      </c>
      <c r="C46" s="211">
        <v>41113</v>
      </c>
      <c r="D46" s="212">
        <v>8.8699999999999992</v>
      </c>
      <c r="E46" s="213" t="s">
        <v>51</v>
      </c>
      <c r="F46" s="210" t="s">
        <v>53</v>
      </c>
      <c r="G46" s="210" t="s">
        <v>123</v>
      </c>
      <c r="H46" s="211">
        <v>41113</v>
      </c>
      <c r="I46" s="212">
        <v>8.8699999999999992</v>
      </c>
      <c r="J46" s="248"/>
    </row>
    <row r="47" spans="1:10" ht="18" customHeight="1">
      <c r="A47" s="218">
        <v>41</v>
      </c>
      <c r="B47" s="210" t="s">
        <v>124</v>
      </c>
      <c r="C47" s="211">
        <v>41113</v>
      </c>
      <c r="D47" s="212">
        <v>3.88</v>
      </c>
      <c r="E47" s="213" t="s">
        <v>51</v>
      </c>
      <c r="F47" s="210" t="s">
        <v>53</v>
      </c>
      <c r="G47" s="210" t="s">
        <v>124</v>
      </c>
      <c r="H47" s="211">
        <v>41113</v>
      </c>
      <c r="I47" s="212">
        <v>3.88</v>
      </c>
      <c r="J47" s="248"/>
    </row>
    <row r="48" spans="1:10" ht="18" customHeight="1">
      <c r="A48" s="218">
        <v>42</v>
      </c>
      <c r="B48" s="210" t="s">
        <v>128</v>
      </c>
      <c r="C48" s="211">
        <v>41121</v>
      </c>
      <c r="D48" s="212">
        <v>23.99</v>
      </c>
      <c r="E48" s="213" t="s">
        <v>51</v>
      </c>
      <c r="F48" s="210" t="s">
        <v>53</v>
      </c>
      <c r="G48" s="210" t="s">
        <v>128</v>
      </c>
      <c r="H48" s="211">
        <v>41121</v>
      </c>
      <c r="I48" s="212">
        <v>23.99</v>
      </c>
      <c r="J48" s="248"/>
    </row>
    <row r="49" spans="1:10" ht="18" customHeight="1">
      <c r="A49" s="218">
        <v>43</v>
      </c>
      <c r="B49" s="223" t="s">
        <v>131</v>
      </c>
      <c r="C49" s="221">
        <v>41267</v>
      </c>
      <c r="D49" s="1">
        <v>86.04</v>
      </c>
      <c r="E49" s="213" t="s">
        <v>51</v>
      </c>
      <c r="F49" s="210" t="s">
        <v>53</v>
      </c>
      <c r="G49" s="223" t="s">
        <v>131</v>
      </c>
      <c r="H49" s="221">
        <v>41267</v>
      </c>
      <c r="I49" s="1">
        <v>86.04</v>
      </c>
      <c r="J49" s="248"/>
    </row>
    <row r="50" spans="1:10" ht="18" customHeight="1">
      <c r="A50" s="218">
        <v>44</v>
      </c>
      <c r="B50" s="223" t="s">
        <v>132</v>
      </c>
      <c r="C50" s="221">
        <v>41268</v>
      </c>
      <c r="D50" s="1">
        <v>21.2</v>
      </c>
      <c r="E50" s="213" t="s">
        <v>51</v>
      </c>
      <c r="F50" s="210" t="s">
        <v>53</v>
      </c>
      <c r="G50" s="223" t="s">
        <v>132</v>
      </c>
      <c r="H50" s="221">
        <v>41268</v>
      </c>
      <c r="I50" s="1">
        <v>21.2</v>
      </c>
      <c r="J50" s="248"/>
    </row>
    <row r="51" spans="1:10" ht="18" customHeight="1">
      <c r="A51" s="218">
        <v>45</v>
      </c>
      <c r="B51" s="223" t="s">
        <v>133</v>
      </c>
      <c r="C51" s="221">
        <v>41281</v>
      </c>
      <c r="D51" s="1">
        <v>23.7</v>
      </c>
      <c r="E51" s="213" t="s">
        <v>51</v>
      </c>
      <c r="F51" s="210" t="s">
        <v>53</v>
      </c>
      <c r="G51" s="223" t="s">
        <v>133</v>
      </c>
      <c r="H51" s="221">
        <v>41281</v>
      </c>
      <c r="I51" s="1">
        <v>23.7</v>
      </c>
      <c r="J51" s="248"/>
    </row>
    <row r="52" spans="1:10" ht="18" customHeight="1">
      <c r="A52" s="218">
        <v>46</v>
      </c>
      <c r="B52" s="223" t="s">
        <v>136</v>
      </c>
      <c r="C52" s="221">
        <v>41281</v>
      </c>
      <c r="D52" s="1">
        <v>28.45</v>
      </c>
      <c r="E52" s="213" t="s">
        <v>51</v>
      </c>
      <c r="F52" s="210" t="s">
        <v>53</v>
      </c>
      <c r="G52" s="223" t="s">
        <v>136</v>
      </c>
      <c r="H52" s="221">
        <v>41281</v>
      </c>
      <c r="I52" s="1">
        <v>28.45</v>
      </c>
      <c r="J52" s="248"/>
    </row>
    <row r="53" spans="1:10" ht="18" customHeight="1">
      <c r="A53" s="218">
        <v>47</v>
      </c>
      <c r="B53" s="223" t="s">
        <v>133</v>
      </c>
      <c r="C53" s="221">
        <v>41281</v>
      </c>
      <c r="D53" s="1">
        <v>23.7</v>
      </c>
      <c r="E53" s="213" t="s">
        <v>51</v>
      </c>
      <c r="F53" s="210" t="s">
        <v>53</v>
      </c>
      <c r="G53" s="223" t="s">
        <v>133</v>
      </c>
      <c r="H53" s="221">
        <v>41281</v>
      </c>
      <c r="I53" s="1">
        <v>23.7</v>
      </c>
      <c r="J53" s="248"/>
    </row>
    <row r="54" spans="1:10" ht="18" customHeight="1">
      <c r="A54" s="218">
        <v>48</v>
      </c>
      <c r="B54" s="223" t="s">
        <v>137</v>
      </c>
      <c r="C54" s="221">
        <v>41282</v>
      </c>
      <c r="D54" s="1">
        <v>28.76</v>
      </c>
      <c r="E54" s="213" t="s">
        <v>51</v>
      </c>
      <c r="F54" s="210" t="s">
        <v>53</v>
      </c>
      <c r="G54" s="223" t="s">
        <v>137</v>
      </c>
      <c r="H54" s="221">
        <v>41282</v>
      </c>
      <c r="I54" s="1">
        <v>28.76</v>
      </c>
      <c r="J54" s="248"/>
    </row>
    <row r="55" spans="1:10" ht="18" customHeight="1">
      <c r="A55" s="218">
        <v>49</v>
      </c>
      <c r="B55" s="223" t="s">
        <v>142</v>
      </c>
      <c r="C55" s="221">
        <v>41289</v>
      </c>
      <c r="D55" s="1">
        <v>27.42</v>
      </c>
      <c r="E55" s="213" t="s">
        <v>51</v>
      </c>
      <c r="F55" s="210" t="s">
        <v>53</v>
      </c>
      <c r="G55" s="223" t="s">
        <v>142</v>
      </c>
      <c r="H55" s="221">
        <v>41289</v>
      </c>
      <c r="I55" s="1">
        <v>27.42</v>
      </c>
      <c r="J55" s="248"/>
    </row>
    <row r="56" spans="1:10" ht="18" customHeight="1">
      <c r="A56" s="218">
        <v>50</v>
      </c>
      <c r="B56" s="223" t="s">
        <v>143</v>
      </c>
      <c r="C56" s="221">
        <v>41289</v>
      </c>
      <c r="D56" s="1">
        <v>21.46</v>
      </c>
      <c r="E56" s="213" t="s">
        <v>51</v>
      </c>
      <c r="F56" s="210" t="s">
        <v>53</v>
      </c>
      <c r="G56" s="223" t="s">
        <v>143</v>
      </c>
      <c r="H56" s="221">
        <v>41289</v>
      </c>
      <c r="I56" s="1">
        <v>21.46</v>
      </c>
      <c r="J56" s="248"/>
    </row>
    <row r="57" spans="1:10" ht="18" customHeight="1">
      <c r="A57" s="218">
        <v>51</v>
      </c>
      <c r="B57" s="223" t="s">
        <v>144</v>
      </c>
      <c r="C57" s="221">
        <v>41289</v>
      </c>
      <c r="D57" s="1">
        <v>35.64</v>
      </c>
      <c r="E57" s="213" t="s">
        <v>51</v>
      </c>
      <c r="F57" s="210" t="s">
        <v>53</v>
      </c>
      <c r="G57" s="223" t="s">
        <v>144</v>
      </c>
      <c r="H57" s="221">
        <v>41289</v>
      </c>
      <c r="I57" s="1">
        <v>35.64</v>
      </c>
      <c r="J57" s="248"/>
    </row>
    <row r="58" spans="1:10" ht="18" customHeight="1">
      <c r="A58" s="218">
        <v>52</v>
      </c>
      <c r="B58" s="223" t="s">
        <v>145</v>
      </c>
      <c r="C58" s="221">
        <v>41295</v>
      </c>
      <c r="D58" s="1">
        <v>21</v>
      </c>
      <c r="E58" s="213" t="s">
        <v>51</v>
      </c>
      <c r="F58" s="210" t="s">
        <v>53</v>
      </c>
      <c r="G58" s="223" t="s">
        <v>145</v>
      </c>
      <c r="H58" s="221">
        <v>41295</v>
      </c>
      <c r="I58" s="1">
        <v>21</v>
      </c>
      <c r="J58" s="248"/>
    </row>
    <row r="59" spans="1:10" ht="18" customHeight="1">
      <c r="A59" s="218">
        <v>53</v>
      </c>
      <c r="B59" s="223" t="s">
        <v>146</v>
      </c>
      <c r="C59" s="221">
        <v>41296</v>
      </c>
      <c r="D59" s="1">
        <v>36.19</v>
      </c>
      <c r="E59" s="213" t="s">
        <v>51</v>
      </c>
      <c r="F59" s="210" t="s">
        <v>53</v>
      </c>
      <c r="G59" s="223" t="s">
        <v>146</v>
      </c>
      <c r="H59" s="221">
        <v>41296</v>
      </c>
      <c r="I59" s="1">
        <v>36.19</v>
      </c>
      <c r="J59" s="248"/>
    </row>
    <row r="60" spans="1:10" ht="18" customHeight="1">
      <c r="A60" s="218">
        <v>54</v>
      </c>
      <c r="B60" s="223" t="s">
        <v>149</v>
      </c>
      <c r="C60" s="221">
        <v>41302</v>
      </c>
      <c r="D60" s="1">
        <v>2.7</v>
      </c>
      <c r="E60" s="213" t="s">
        <v>51</v>
      </c>
      <c r="F60" s="210" t="s">
        <v>53</v>
      </c>
      <c r="G60" s="223" t="s">
        <v>149</v>
      </c>
      <c r="H60" s="221">
        <v>41302</v>
      </c>
      <c r="I60" s="1">
        <v>2.7</v>
      </c>
      <c r="J60" s="248"/>
    </row>
    <row r="61" spans="1:10" ht="18" customHeight="1">
      <c r="A61" s="218">
        <v>55</v>
      </c>
      <c r="B61" s="223" t="s">
        <v>150</v>
      </c>
      <c r="C61" s="221">
        <v>41302</v>
      </c>
      <c r="D61" s="1">
        <v>24.92</v>
      </c>
      <c r="E61" s="213" t="s">
        <v>51</v>
      </c>
      <c r="F61" s="210" t="s">
        <v>53</v>
      </c>
      <c r="G61" s="223" t="s">
        <v>150</v>
      </c>
      <c r="H61" s="221">
        <v>41302</v>
      </c>
      <c r="I61" s="1">
        <v>24.92</v>
      </c>
      <c r="J61" s="248"/>
    </row>
    <row r="62" spans="1:10" ht="18" customHeight="1">
      <c r="A62" s="218">
        <v>56</v>
      </c>
      <c r="B62" s="223" t="s">
        <v>151</v>
      </c>
      <c r="C62" s="221">
        <v>41302</v>
      </c>
      <c r="D62" s="1">
        <v>40.06</v>
      </c>
      <c r="E62" s="213" t="s">
        <v>51</v>
      </c>
      <c r="F62" s="210" t="s">
        <v>53</v>
      </c>
      <c r="G62" s="223" t="s">
        <v>151</v>
      </c>
      <c r="H62" s="221">
        <v>41302</v>
      </c>
      <c r="I62" s="1">
        <v>40.06</v>
      </c>
      <c r="J62" s="248"/>
    </row>
    <row r="63" spans="1:10" ht="18" customHeight="1">
      <c r="A63" s="218">
        <v>57</v>
      </c>
      <c r="B63" s="223" t="s">
        <v>152</v>
      </c>
      <c r="C63" s="221">
        <v>41303</v>
      </c>
      <c r="D63" s="1">
        <v>25.36</v>
      </c>
      <c r="E63" s="213" t="s">
        <v>51</v>
      </c>
      <c r="F63" s="210" t="s">
        <v>53</v>
      </c>
      <c r="G63" s="223" t="s">
        <v>152</v>
      </c>
      <c r="H63" s="221">
        <v>41303</v>
      </c>
      <c r="I63" s="1">
        <v>25.36</v>
      </c>
      <c r="J63" s="248"/>
    </row>
    <row r="64" spans="1:10" ht="18" customHeight="1">
      <c r="A64" s="218">
        <v>58</v>
      </c>
      <c r="B64" s="223" t="s">
        <v>153</v>
      </c>
      <c r="C64" s="221">
        <v>41303</v>
      </c>
      <c r="D64" s="1">
        <v>5.8</v>
      </c>
      <c r="E64" s="213" t="s">
        <v>51</v>
      </c>
      <c r="F64" s="210" t="s">
        <v>53</v>
      </c>
      <c r="G64" s="223" t="s">
        <v>153</v>
      </c>
      <c r="H64" s="221">
        <v>41303</v>
      </c>
      <c r="I64" s="1">
        <v>5.8</v>
      </c>
      <c r="J64" s="248"/>
    </row>
    <row r="65" spans="1:10" ht="18" customHeight="1">
      <c r="A65" s="218">
        <v>59</v>
      </c>
      <c r="B65" s="223" t="s">
        <v>154</v>
      </c>
      <c r="C65" s="221">
        <v>41310</v>
      </c>
      <c r="D65" s="1">
        <v>41.05</v>
      </c>
      <c r="E65" s="213" t="s">
        <v>51</v>
      </c>
      <c r="F65" s="210" t="s">
        <v>53</v>
      </c>
      <c r="G65" s="223" t="s">
        <v>154</v>
      </c>
      <c r="H65" s="221">
        <v>41310</v>
      </c>
      <c r="I65" s="1">
        <v>41.05</v>
      </c>
      <c r="J65" s="248"/>
    </row>
    <row r="66" spans="1:10" ht="18" customHeight="1">
      <c r="A66" s="218">
        <v>60</v>
      </c>
      <c r="B66" s="223" t="s">
        <v>155</v>
      </c>
      <c r="C66" s="221">
        <v>41310</v>
      </c>
      <c r="D66" s="1">
        <v>29.35</v>
      </c>
      <c r="E66" s="213" t="s">
        <v>51</v>
      </c>
      <c r="F66" s="210" t="s">
        <v>53</v>
      </c>
      <c r="G66" s="223" t="s">
        <v>155</v>
      </c>
      <c r="H66" s="221">
        <v>41310</v>
      </c>
      <c r="I66" s="1">
        <v>29.35</v>
      </c>
      <c r="J66" s="248"/>
    </row>
    <row r="67" spans="1:10" ht="18" customHeight="1">
      <c r="A67" s="218">
        <v>61</v>
      </c>
      <c r="B67" s="223" t="s">
        <v>156</v>
      </c>
      <c r="C67" s="221">
        <v>41310</v>
      </c>
      <c r="D67" s="1">
        <v>5</v>
      </c>
      <c r="E67" s="213" t="s">
        <v>51</v>
      </c>
      <c r="F67" s="210" t="s">
        <v>53</v>
      </c>
      <c r="G67" s="223" t="s">
        <v>156</v>
      </c>
      <c r="H67" s="221">
        <v>41310</v>
      </c>
      <c r="I67" s="1">
        <v>5</v>
      </c>
      <c r="J67" s="248"/>
    </row>
    <row r="68" spans="1:10" ht="18" customHeight="1">
      <c r="A68" s="218">
        <v>62</v>
      </c>
      <c r="B68" s="223" t="s">
        <v>159</v>
      </c>
      <c r="C68" s="221">
        <v>41311</v>
      </c>
      <c r="D68" s="1">
        <v>38.020000000000003</v>
      </c>
      <c r="E68" s="213" t="s">
        <v>51</v>
      </c>
      <c r="F68" s="210" t="s">
        <v>53</v>
      </c>
      <c r="G68" s="223" t="s">
        <v>159</v>
      </c>
      <c r="H68" s="221">
        <v>41311</v>
      </c>
      <c r="I68" s="1">
        <v>38.020000000000003</v>
      </c>
      <c r="J68" s="248"/>
    </row>
    <row r="69" spans="1:10" ht="18" customHeight="1">
      <c r="A69" s="218">
        <v>63</v>
      </c>
      <c r="B69" s="223" t="s">
        <v>160</v>
      </c>
      <c r="C69" s="221">
        <v>41311</v>
      </c>
      <c r="D69" s="1">
        <v>27.42</v>
      </c>
      <c r="E69" s="213" t="s">
        <v>51</v>
      </c>
      <c r="F69" s="210" t="s">
        <v>53</v>
      </c>
      <c r="G69" s="223" t="s">
        <v>160</v>
      </c>
      <c r="H69" s="221">
        <v>41311</v>
      </c>
      <c r="I69" s="1">
        <v>27.42</v>
      </c>
      <c r="J69" s="248"/>
    </row>
    <row r="70" spans="1:10" ht="18" customHeight="1">
      <c r="A70" s="218">
        <v>64</v>
      </c>
      <c r="B70" s="223" t="s">
        <v>161</v>
      </c>
      <c r="C70" s="221">
        <v>41311</v>
      </c>
      <c r="D70" s="1">
        <v>65.599999999999994</v>
      </c>
      <c r="E70" s="213" t="s">
        <v>51</v>
      </c>
      <c r="F70" s="210" t="s">
        <v>53</v>
      </c>
      <c r="G70" s="223" t="s">
        <v>161</v>
      </c>
      <c r="H70" s="221">
        <v>41311</v>
      </c>
      <c r="I70" s="1">
        <v>65.599999999999994</v>
      </c>
      <c r="J70" s="248"/>
    </row>
    <row r="71" spans="1:10" ht="18" customHeight="1">
      <c r="A71" s="218">
        <v>65</v>
      </c>
      <c r="B71" s="223" t="s">
        <v>165</v>
      </c>
      <c r="C71" s="221">
        <v>41317</v>
      </c>
      <c r="D71" s="1">
        <v>21.5</v>
      </c>
      <c r="E71" s="213" t="s">
        <v>51</v>
      </c>
      <c r="F71" s="210" t="s">
        <v>53</v>
      </c>
      <c r="G71" s="223" t="s">
        <v>165</v>
      </c>
      <c r="H71" s="221">
        <v>41317</v>
      </c>
      <c r="I71" s="1">
        <v>21.5</v>
      </c>
      <c r="J71" s="248"/>
    </row>
    <row r="72" spans="1:10" ht="18" customHeight="1">
      <c r="A72" s="218">
        <v>66</v>
      </c>
      <c r="B72" s="223" t="s">
        <v>167</v>
      </c>
      <c r="C72" s="221">
        <v>41323</v>
      </c>
      <c r="D72" s="1">
        <v>72.52</v>
      </c>
      <c r="E72" s="213" t="s">
        <v>51</v>
      </c>
      <c r="F72" s="210" t="s">
        <v>53</v>
      </c>
      <c r="G72" s="223" t="s">
        <v>167</v>
      </c>
      <c r="H72" s="221">
        <v>41323</v>
      </c>
      <c r="I72" s="1">
        <v>72.52</v>
      </c>
      <c r="J72" s="248"/>
    </row>
    <row r="73" spans="1:10" ht="18" customHeight="1">
      <c r="A73" s="218">
        <v>67</v>
      </c>
      <c r="B73" s="223" t="s">
        <v>168</v>
      </c>
      <c r="C73" s="221">
        <v>41323</v>
      </c>
      <c r="D73" s="1">
        <v>35.5</v>
      </c>
      <c r="E73" s="213" t="s">
        <v>51</v>
      </c>
      <c r="F73" s="210" t="s">
        <v>53</v>
      </c>
      <c r="G73" s="223" t="s">
        <v>168</v>
      </c>
      <c r="H73" s="221">
        <v>41323</v>
      </c>
      <c r="I73" s="1">
        <v>35.5</v>
      </c>
      <c r="J73" s="248"/>
    </row>
    <row r="74" spans="1:10" ht="18" customHeight="1">
      <c r="A74" s="218">
        <v>68</v>
      </c>
      <c r="B74" s="223" t="s">
        <v>169</v>
      </c>
      <c r="C74" s="221">
        <v>41324</v>
      </c>
      <c r="D74" s="1">
        <v>33.53</v>
      </c>
      <c r="E74" s="213" t="s">
        <v>51</v>
      </c>
      <c r="F74" s="210" t="s">
        <v>53</v>
      </c>
      <c r="G74" s="223" t="s">
        <v>169</v>
      </c>
      <c r="H74" s="221">
        <v>41324</v>
      </c>
      <c r="I74" s="1">
        <v>33.53</v>
      </c>
      <c r="J74" s="248"/>
    </row>
    <row r="75" spans="1:10" ht="18" customHeight="1">
      <c r="A75" s="218">
        <v>69</v>
      </c>
      <c r="B75" s="223" t="s">
        <v>170</v>
      </c>
      <c r="C75" s="221">
        <v>41324</v>
      </c>
      <c r="D75" s="1">
        <v>5.8</v>
      </c>
      <c r="E75" s="213" t="s">
        <v>51</v>
      </c>
      <c r="F75" s="210" t="s">
        <v>53</v>
      </c>
      <c r="G75" s="223" t="s">
        <v>170</v>
      </c>
      <c r="H75" s="221">
        <v>41324</v>
      </c>
      <c r="I75" s="1">
        <v>5.8</v>
      </c>
      <c r="J75" s="248"/>
    </row>
    <row r="76" spans="1:10" ht="18" customHeight="1">
      <c r="A76" s="218">
        <v>70</v>
      </c>
      <c r="B76" s="223" t="s">
        <v>172</v>
      </c>
      <c r="C76" s="221">
        <v>41330</v>
      </c>
      <c r="D76" s="1">
        <v>24.95</v>
      </c>
      <c r="E76" s="213" t="s">
        <v>51</v>
      </c>
      <c r="F76" s="210" t="s">
        <v>53</v>
      </c>
      <c r="G76" s="223" t="s">
        <v>172</v>
      </c>
      <c r="H76" s="221">
        <v>41330</v>
      </c>
      <c r="I76" s="1">
        <v>24.95</v>
      </c>
      <c r="J76" s="248"/>
    </row>
    <row r="77" spans="1:10" ht="18" customHeight="1">
      <c r="A77" s="218">
        <v>71</v>
      </c>
      <c r="B77" s="223" t="s">
        <v>173</v>
      </c>
      <c r="C77" s="221">
        <v>41330</v>
      </c>
      <c r="D77" s="1">
        <v>24.2</v>
      </c>
      <c r="E77" s="213" t="s">
        <v>51</v>
      </c>
      <c r="F77" s="210" t="s">
        <v>53</v>
      </c>
      <c r="G77" s="223" t="s">
        <v>173</v>
      </c>
      <c r="H77" s="221">
        <v>41330</v>
      </c>
      <c r="I77" s="1">
        <v>24.2</v>
      </c>
      <c r="J77" s="248"/>
    </row>
    <row r="78" spans="1:10" ht="18" customHeight="1">
      <c r="A78" s="218">
        <v>72</v>
      </c>
      <c r="B78" s="223" t="s">
        <v>174</v>
      </c>
      <c r="C78" s="221">
        <v>41330</v>
      </c>
      <c r="D78" s="1">
        <v>76.52</v>
      </c>
      <c r="E78" s="213" t="s">
        <v>51</v>
      </c>
      <c r="F78" s="210" t="s">
        <v>53</v>
      </c>
      <c r="G78" s="223" t="s">
        <v>174</v>
      </c>
      <c r="H78" s="221">
        <v>41330</v>
      </c>
      <c r="I78" s="1">
        <v>76.52</v>
      </c>
      <c r="J78" s="248"/>
    </row>
    <row r="79" spans="1:10" ht="18" customHeight="1">
      <c r="A79" s="218">
        <v>73</v>
      </c>
      <c r="B79" s="223" t="s">
        <v>180</v>
      </c>
      <c r="C79" s="221">
        <v>41337</v>
      </c>
      <c r="D79" s="1">
        <v>55.26</v>
      </c>
      <c r="E79" s="213" t="s">
        <v>51</v>
      </c>
      <c r="F79" s="210" t="s">
        <v>53</v>
      </c>
      <c r="G79" s="223" t="s">
        <v>180</v>
      </c>
      <c r="H79" s="221">
        <v>41337</v>
      </c>
      <c r="I79" s="1">
        <v>55.26</v>
      </c>
      <c r="J79" s="248"/>
    </row>
    <row r="80" spans="1:10" ht="18" customHeight="1">
      <c r="A80" s="218">
        <v>74</v>
      </c>
      <c r="B80" s="223" t="s">
        <v>182</v>
      </c>
      <c r="C80" s="221">
        <v>41345</v>
      </c>
      <c r="D80" s="1">
        <v>24.57</v>
      </c>
      <c r="E80" s="213" t="s">
        <v>51</v>
      </c>
      <c r="F80" s="210" t="s">
        <v>53</v>
      </c>
      <c r="G80" s="223" t="s">
        <v>182</v>
      </c>
      <c r="H80" s="221">
        <v>41345</v>
      </c>
      <c r="I80" s="1">
        <v>24.57</v>
      </c>
      <c r="J80" s="248"/>
    </row>
    <row r="81" spans="1:10" ht="18" customHeight="1">
      <c r="A81" s="218">
        <v>75</v>
      </c>
      <c r="B81" s="223" t="s">
        <v>183</v>
      </c>
      <c r="C81" s="221">
        <v>41345</v>
      </c>
      <c r="D81" s="1">
        <v>32.299999999999997</v>
      </c>
      <c r="E81" s="213" t="s">
        <v>51</v>
      </c>
      <c r="F81" s="210" t="s">
        <v>53</v>
      </c>
      <c r="G81" s="223" t="s">
        <v>183</v>
      </c>
      <c r="H81" s="221">
        <v>41345</v>
      </c>
      <c r="I81" s="1">
        <v>32.299999999999997</v>
      </c>
      <c r="J81" s="248"/>
    </row>
    <row r="82" spans="1:10" ht="18" customHeight="1">
      <c r="A82" s="218">
        <v>76</v>
      </c>
      <c r="B82" s="223" t="s">
        <v>184</v>
      </c>
      <c r="C82" s="221">
        <v>41345</v>
      </c>
      <c r="D82" s="1">
        <v>21.2</v>
      </c>
      <c r="E82" s="213" t="s">
        <v>51</v>
      </c>
      <c r="F82" s="210" t="s">
        <v>53</v>
      </c>
      <c r="G82" s="223" t="s">
        <v>184</v>
      </c>
      <c r="H82" s="221">
        <v>41345</v>
      </c>
      <c r="I82" s="1">
        <v>21.2</v>
      </c>
      <c r="J82" s="248"/>
    </row>
    <row r="83" spans="1:10" ht="18" customHeight="1">
      <c r="A83" s="218">
        <v>77</v>
      </c>
      <c r="B83" s="223" t="s">
        <v>185</v>
      </c>
      <c r="C83" s="221">
        <v>41345</v>
      </c>
      <c r="D83" s="1">
        <v>28.04</v>
      </c>
      <c r="E83" s="213" t="s">
        <v>51</v>
      </c>
      <c r="F83" s="210" t="s">
        <v>53</v>
      </c>
      <c r="G83" s="223" t="s">
        <v>185</v>
      </c>
      <c r="H83" s="221">
        <v>41345</v>
      </c>
      <c r="I83" s="1">
        <v>28.04</v>
      </c>
      <c r="J83" s="248"/>
    </row>
    <row r="84" spans="1:10" ht="18" customHeight="1">
      <c r="A84" s="218">
        <v>78</v>
      </c>
      <c r="B84" s="223" t="s">
        <v>186</v>
      </c>
      <c r="C84" s="221">
        <v>41352</v>
      </c>
      <c r="D84" s="1">
        <v>65.72</v>
      </c>
      <c r="E84" s="213" t="s">
        <v>51</v>
      </c>
      <c r="F84" s="210" t="s">
        <v>53</v>
      </c>
      <c r="G84" s="223" t="s">
        <v>186</v>
      </c>
      <c r="H84" s="221">
        <v>41352</v>
      </c>
      <c r="I84" s="1">
        <v>65.72</v>
      </c>
      <c r="J84" s="248"/>
    </row>
    <row r="85" spans="1:10" ht="18" customHeight="1">
      <c r="A85" s="218">
        <v>79</v>
      </c>
      <c r="B85" s="223" t="s">
        <v>187</v>
      </c>
      <c r="C85" s="221">
        <v>41352</v>
      </c>
      <c r="D85" s="1">
        <v>25.46</v>
      </c>
      <c r="E85" s="213" t="s">
        <v>51</v>
      </c>
      <c r="F85" s="210" t="s">
        <v>53</v>
      </c>
      <c r="G85" s="223" t="s">
        <v>187</v>
      </c>
      <c r="H85" s="221">
        <v>41352</v>
      </c>
      <c r="I85" s="1">
        <v>25.46</v>
      </c>
      <c r="J85" s="248"/>
    </row>
    <row r="86" spans="1:10" ht="18" customHeight="1">
      <c r="A86" s="218">
        <v>80</v>
      </c>
      <c r="B86" s="223" t="s">
        <v>188</v>
      </c>
      <c r="C86" s="221">
        <v>41352</v>
      </c>
      <c r="D86" s="1">
        <v>26.96</v>
      </c>
      <c r="E86" s="213" t="s">
        <v>51</v>
      </c>
      <c r="F86" s="210" t="s">
        <v>53</v>
      </c>
      <c r="G86" s="223" t="s">
        <v>188</v>
      </c>
      <c r="H86" s="221">
        <v>41352</v>
      </c>
      <c r="I86" s="1">
        <v>26.96</v>
      </c>
      <c r="J86" s="248"/>
    </row>
    <row r="87" spans="1:10" ht="18" customHeight="1">
      <c r="A87" s="218">
        <v>81</v>
      </c>
      <c r="B87" s="223" t="s">
        <v>191</v>
      </c>
      <c r="C87" s="221">
        <v>41358</v>
      </c>
      <c r="D87" s="1">
        <v>21.2</v>
      </c>
      <c r="E87" s="213" t="s">
        <v>51</v>
      </c>
      <c r="F87" s="210" t="s">
        <v>53</v>
      </c>
      <c r="G87" s="223" t="s">
        <v>191</v>
      </c>
      <c r="H87" s="221">
        <v>41358</v>
      </c>
      <c r="I87" s="1">
        <v>21.2</v>
      </c>
      <c r="J87" s="248"/>
    </row>
    <row r="88" spans="1:10" ht="18" customHeight="1">
      <c r="A88" s="218">
        <v>82</v>
      </c>
      <c r="B88" s="223" t="s">
        <v>192</v>
      </c>
      <c r="C88" s="221">
        <v>41358</v>
      </c>
      <c r="D88" s="1">
        <v>29.84</v>
      </c>
      <c r="E88" s="213" t="s">
        <v>51</v>
      </c>
      <c r="F88" s="210" t="s">
        <v>53</v>
      </c>
      <c r="G88" s="223" t="s">
        <v>192</v>
      </c>
      <c r="H88" s="221">
        <v>41358</v>
      </c>
      <c r="I88" s="1">
        <v>29.84</v>
      </c>
      <c r="J88" s="248"/>
    </row>
    <row r="89" spans="1:10" ht="18" customHeight="1">
      <c r="A89" s="218">
        <v>83</v>
      </c>
      <c r="B89" s="223" t="s">
        <v>193</v>
      </c>
      <c r="C89" s="221">
        <v>41358</v>
      </c>
      <c r="D89" s="1">
        <v>3</v>
      </c>
      <c r="E89" s="213" t="s">
        <v>51</v>
      </c>
      <c r="F89" s="210" t="s">
        <v>53</v>
      </c>
      <c r="G89" s="223" t="s">
        <v>193</v>
      </c>
      <c r="H89" s="221">
        <v>41358</v>
      </c>
      <c r="I89" s="1">
        <v>3</v>
      </c>
      <c r="J89" s="248"/>
    </row>
    <row r="90" spans="1:10" ht="18" customHeight="1">
      <c r="A90" s="218">
        <v>84</v>
      </c>
      <c r="B90" s="223" t="s">
        <v>195</v>
      </c>
      <c r="C90" s="221">
        <v>41359</v>
      </c>
      <c r="D90" s="1">
        <v>36.25</v>
      </c>
      <c r="E90" s="213" t="s">
        <v>51</v>
      </c>
      <c r="F90" s="210" t="s">
        <v>53</v>
      </c>
      <c r="G90" s="223" t="s">
        <v>195</v>
      </c>
      <c r="H90" s="221">
        <v>41359</v>
      </c>
      <c r="I90" s="1">
        <v>36.25</v>
      </c>
      <c r="J90" s="248"/>
    </row>
    <row r="91" spans="1:10" ht="18" customHeight="1">
      <c r="A91" s="218">
        <v>85</v>
      </c>
      <c r="B91" s="223" t="s">
        <v>196</v>
      </c>
      <c r="C91" s="221">
        <v>41363</v>
      </c>
      <c r="D91" s="1">
        <v>41.6</v>
      </c>
      <c r="E91" s="213" t="s">
        <v>51</v>
      </c>
      <c r="F91" s="210" t="s">
        <v>53</v>
      </c>
      <c r="G91" s="223" t="s">
        <v>196</v>
      </c>
      <c r="H91" s="221">
        <v>41363</v>
      </c>
      <c r="I91" s="1">
        <v>41.6</v>
      </c>
      <c r="J91" s="248"/>
    </row>
    <row r="92" spans="1:10" ht="18" customHeight="1">
      <c r="A92" s="218">
        <v>86</v>
      </c>
      <c r="B92" s="223" t="s">
        <v>197</v>
      </c>
      <c r="C92" s="221">
        <v>41363</v>
      </c>
      <c r="D92" s="1">
        <v>26.76</v>
      </c>
      <c r="E92" s="213" t="s">
        <v>51</v>
      </c>
      <c r="F92" s="210" t="s">
        <v>53</v>
      </c>
      <c r="G92" s="223" t="s">
        <v>197</v>
      </c>
      <c r="H92" s="221">
        <v>41363</v>
      </c>
      <c r="I92" s="1">
        <v>26.76</v>
      </c>
      <c r="J92" s="248"/>
    </row>
    <row r="93" spans="1:10" ht="18" customHeight="1">
      <c r="A93" s="218">
        <v>87</v>
      </c>
      <c r="B93" s="223" t="s">
        <v>198</v>
      </c>
      <c r="C93" s="221">
        <v>41364</v>
      </c>
      <c r="D93" s="1">
        <v>21.2</v>
      </c>
      <c r="E93" s="213" t="s">
        <v>51</v>
      </c>
      <c r="F93" s="210" t="s">
        <v>53</v>
      </c>
      <c r="G93" s="223" t="s">
        <v>198</v>
      </c>
      <c r="H93" s="221">
        <v>41364</v>
      </c>
      <c r="I93" s="1">
        <v>21.2</v>
      </c>
      <c r="J93" s="248"/>
    </row>
    <row r="94" spans="1:10" ht="18" customHeight="1">
      <c r="A94" s="218">
        <v>88</v>
      </c>
      <c r="B94" s="223" t="s">
        <v>199</v>
      </c>
      <c r="C94" s="221">
        <v>41364</v>
      </c>
      <c r="D94" s="1">
        <v>25.14</v>
      </c>
      <c r="E94" s="213" t="s">
        <v>51</v>
      </c>
      <c r="F94" s="210" t="s">
        <v>53</v>
      </c>
      <c r="G94" s="223" t="s">
        <v>199</v>
      </c>
      <c r="H94" s="221">
        <v>41364</v>
      </c>
      <c r="I94" s="1">
        <v>25.14</v>
      </c>
      <c r="J94" s="248"/>
    </row>
    <row r="95" spans="1:10" ht="18" customHeight="1">
      <c r="A95" s="218">
        <v>89</v>
      </c>
      <c r="B95" s="223" t="s">
        <v>202</v>
      </c>
      <c r="C95" s="221">
        <v>41372</v>
      </c>
      <c r="D95" s="1">
        <v>58.4</v>
      </c>
      <c r="E95" s="213" t="s">
        <v>51</v>
      </c>
      <c r="F95" s="210" t="s">
        <v>53</v>
      </c>
      <c r="G95" s="223" t="s">
        <v>202</v>
      </c>
      <c r="H95" s="221">
        <v>41372</v>
      </c>
      <c r="I95" s="1">
        <v>58.4</v>
      </c>
      <c r="J95" s="248"/>
    </row>
    <row r="96" spans="1:10" ht="18" customHeight="1">
      <c r="A96" s="218">
        <v>90</v>
      </c>
      <c r="B96" s="223" t="s">
        <v>205</v>
      </c>
      <c r="C96" s="221">
        <v>41373</v>
      </c>
      <c r="D96" s="1">
        <v>58.49</v>
      </c>
      <c r="E96" s="213" t="s">
        <v>51</v>
      </c>
      <c r="F96" s="210" t="s">
        <v>53</v>
      </c>
      <c r="G96" s="223" t="s">
        <v>205</v>
      </c>
      <c r="H96" s="221">
        <v>41373</v>
      </c>
      <c r="I96" s="1">
        <v>58.49</v>
      </c>
      <c r="J96" s="248"/>
    </row>
    <row r="97" spans="1:10" ht="18" customHeight="1">
      <c r="A97" s="218">
        <v>91</v>
      </c>
      <c r="B97" s="223" t="s">
        <v>206</v>
      </c>
      <c r="C97" s="221">
        <v>41373</v>
      </c>
      <c r="D97" s="1">
        <v>21.27</v>
      </c>
      <c r="E97" s="213" t="s">
        <v>51</v>
      </c>
      <c r="F97" s="210" t="s">
        <v>53</v>
      </c>
      <c r="G97" s="223" t="s">
        <v>206</v>
      </c>
      <c r="H97" s="221">
        <v>41373</v>
      </c>
      <c r="I97" s="1">
        <v>21.27</v>
      </c>
      <c r="J97" s="248"/>
    </row>
    <row r="98" spans="1:10" ht="18" customHeight="1">
      <c r="A98" s="218">
        <v>92</v>
      </c>
      <c r="B98" s="223" t="s">
        <v>207</v>
      </c>
      <c r="C98" s="221">
        <v>41373</v>
      </c>
      <c r="D98" s="1">
        <v>29.03</v>
      </c>
      <c r="E98" s="213" t="s">
        <v>51</v>
      </c>
      <c r="F98" s="210" t="s">
        <v>53</v>
      </c>
      <c r="G98" s="223" t="s">
        <v>207</v>
      </c>
      <c r="H98" s="221">
        <v>41373</v>
      </c>
      <c r="I98" s="1">
        <v>29.03</v>
      </c>
      <c r="J98" s="248"/>
    </row>
    <row r="99" spans="1:10" ht="18" customHeight="1">
      <c r="A99" s="218">
        <v>93</v>
      </c>
      <c r="B99" s="223" t="s">
        <v>209</v>
      </c>
      <c r="C99" s="221">
        <v>41382</v>
      </c>
      <c r="D99" s="1">
        <v>42.92</v>
      </c>
      <c r="E99" s="213" t="s">
        <v>51</v>
      </c>
      <c r="F99" s="210" t="s">
        <v>53</v>
      </c>
      <c r="G99" s="223" t="s">
        <v>209</v>
      </c>
      <c r="H99" s="221">
        <v>41382</v>
      </c>
      <c r="I99" s="1">
        <v>42.92</v>
      </c>
      <c r="J99" s="248"/>
    </row>
    <row r="100" spans="1:10" ht="18" customHeight="1">
      <c r="A100" s="218">
        <v>94</v>
      </c>
      <c r="B100" s="223" t="s">
        <v>210</v>
      </c>
      <c r="C100" s="221">
        <v>41382</v>
      </c>
      <c r="D100" s="1">
        <v>28.46</v>
      </c>
      <c r="E100" s="213" t="s">
        <v>51</v>
      </c>
      <c r="F100" s="210" t="s">
        <v>53</v>
      </c>
      <c r="G100" s="223" t="s">
        <v>210</v>
      </c>
      <c r="H100" s="221">
        <v>41382</v>
      </c>
      <c r="I100" s="1">
        <v>28.46</v>
      </c>
      <c r="J100" s="248"/>
    </row>
    <row r="101" spans="1:10" ht="18" customHeight="1">
      <c r="A101" s="218">
        <v>95</v>
      </c>
      <c r="B101" s="223" t="s">
        <v>211</v>
      </c>
      <c r="C101" s="221">
        <v>41382</v>
      </c>
      <c r="D101" s="1">
        <v>51.42</v>
      </c>
      <c r="E101" s="213" t="s">
        <v>51</v>
      </c>
      <c r="F101" s="210" t="s">
        <v>53</v>
      </c>
      <c r="G101" s="223" t="s">
        <v>211</v>
      </c>
      <c r="H101" s="221">
        <v>41382</v>
      </c>
      <c r="I101" s="1">
        <v>51.42</v>
      </c>
      <c r="J101" s="248"/>
    </row>
    <row r="102" spans="1:10" ht="18" customHeight="1">
      <c r="A102" s="218">
        <v>96</v>
      </c>
      <c r="B102" s="223" t="s">
        <v>212</v>
      </c>
      <c r="C102" s="221">
        <v>41382</v>
      </c>
      <c r="D102" s="1">
        <v>31.56</v>
      </c>
      <c r="E102" s="213" t="s">
        <v>51</v>
      </c>
      <c r="F102" s="210" t="s">
        <v>53</v>
      </c>
      <c r="G102" s="223" t="s">
        <v>212</v>
      </c>
      <c r="H102" s="221">
        <v>41382</v>
      </c>
      <c r="I102" s="1">
        <v>31.56</v>
      </c>
      <c r="J102" s="248"/>
    </row>
    <row r="103" spans="1:10" ht="18" customHeight="1">
      <c r="A103" s="218">
        <v>97</v>
      </c>
      <c r="B103" s="223" t="s">
        <v>213</v>
      </c>
      <c r="C103" s="221">
        <v>41387</v>
      </c>
      <c r="D103" s="1">
        <v>21.2</v>
      </c>
      <c r="E103" s="213" t="s">
        <v>51</v>
      </c>
      <c r="F103" s="210" t="s">
        <v>53</v>
      </c>
      <c r="G103" s="223" t="s">
        <v>213</v>
      </c>
      <c r="H103" s="221">
        <v>41387</v>
      </c>
      <c r="I103" s="1">
        <v>21.2</v>
      </c>
      <c r="J103" s="248"/>
    </row>
    <row r="104" spans="1:10" ht="18" customHeight="1">
      <c r="A104" s="218">
        <v>98</v>
      </c>
      <c r="B104" s="223" t="s">
        <v>214</v>
      </c>
      <c r="C104" s="221">
        <v>41387</v>
      </c>
      <c r="D104" s="1">
        <v>44.78</v>
      </c>
      <c r="E104" s="213" t="s">
        <v>51</v>
      </c>
      <c r="F104" s="210" t="s">
        <v>53</v>
      </c>
      <c r="G104" s="223" t="s">
        <v>214</v>
      </c>
      <c r="H104" s="221">
        <v>41387</v>
      </c>
      <c r="I104" s="1">
        <v>44.78</v>
      </c>
      <c r="J104" s="248"/>
    </row>
    <row r="105" spans="1:10" ht="18" customHeight="1">
      <c r="A105" s="218">
        <v>99</v>
      </c>
      <c r="B105" s="223" t="s">
        <v>215</v>
      </c>
      <c r="C105" s="221">
        <v>41393</v>
      </c>
      <c r="D105" s="1">
        <v>21.5</v>
      </c>
      <c r="E105" s="213" t="s">
        <v>51</v>
      </c>
      <c r="F105" s="210" t="s">
        <v>53</v>
      </c>
      <c r="G105" s="223" t="s">
        <v>215</v>
      </c>
      <c r="H105" s="221">
        <v>41393</v>
      </c>
      <c r="I105" s="1">
        <v>21.5</v>
      </c>
      <c r="J105" s="248"/>
    </row>
    <row r="106" spans="1:10" ht="18" customHeight="1">
      <c r="A106" s="218">
        <v>100</v>
      </c>
      <c r="B106" s="223" t="s">
        <v>216</v>
      </c>
      <c r="C106" s="221">
        <v>41393</v>
      </c>
      <c r="D106" s="1">
        <v>33.090000000000003</v>
      </c>
      <c r="E106" s="213" t="s">
        <v>51</v>
      </c>
      <c r="F106" s="210" t="s">
        <v>53</v>
      </c>
      <c r="G106" s="223" t="s">
        <v>216</v>
      </c>
      <c r="H106" s="221">
        <v>41393</v>
      </c>
      <c r="I106" s="1">
        <v>33.090000000000003</v>
      </c>
      <c r="J106" s="248"/>
    </row>
    <row r="107" spans="1:10" ht="18" customHeight="1">
      <c r="A107" s="218">
        <v>101</v>
      </c>
      <c r="B107" s="223" t="s">
        <v>218</v>
      </c>
      <c r="C107" s="221">
        <v>41394</v>
      </c>
      <c r="D107" s="1">
        <v>26.31</v>
      </c>
      <c r="E107" s="213" t="s">
        <v>51</v>
      </c>
      <c r="F107" s="210" t="s">
        <v>53</v>
      </c>
      <c r="G107" s="223" t="s">
        <v>218</v>
      </c>
      <c r="H107" s="221">
        <v>41394</v>
      </c>
      <c r="I107" s="1">
        <v>26.31</v>
      </c>
      <c r="J107" s="248"/>
    </row>
    <row r="108" spans="1:10" ht="18" customHeight="1">
      <c r="A108" s="218">
        <v>102</v>
      </c>
      <c r="B108" s="223" t="s">
        <v>219</v>
      </c>
      <c r="C108" s="221">
        <v>41394</v>
      </c>
      <c r="D108" s="1">
        <v>5</v>
      </c>
      <c r="E108" s="213" t="s">
        <v>51</v>
      </c>
      <c r="F108" s="210" t="s">
        <v>53</v>
      </c>
      <c r="G108" s="223" t="s">
        <v>219</v>
      </c>
      <c r="H108" s="221">
        <v>41394</v>
      </c>
      <c r="I108" s="1">
        <v>5</v>
      </c>
      <c r="J108" s="248"/>
    </row>
    <row r="109" spans="1:10" ht="18" customHeight="1">
      <c r="A109" s="218">
        <v>103</v>
      </c>
      <c r="B109" s="223" t="s">
        <v>222</v>
      </c>
      <c r="C109" s="221">
        <v>41400</v>
      </c>
      <c r="D109" s="1">
        <v>107.97</v>
      </c>
      <c r="E109" s="213" t="s">
        <v>51</v>
      </c>
      <c r="F109" s="210" t="s">
        <v>53</v>
      </c>
      <c r="G109" s="223" t="s">
        <v>222</v>
      </c>
      <c r="H109" s="221">
        <v>41400</v>
      </c>
      <c r="I109" s="1">
        <v>107.97</v>
      </c>
      <c r="J109" s="248"/>
    </row>
    <row r="110" spans="1:10" ht="18" customHeight="1">
      <c r="A110" s="218">
        <v>104</v>
      </c>
      <c r="B110" s="223" t="s">
        <v>223</v>
      </c>
      <c r="C110" s="221">
        <v>41400</v>
      </c>
      <c r="D110" s="1">
        <v>27.28</v>
      </c>
      <c r="E110" s="213" t="s">
        <v>51</v>
      </c>
      <c r="F110" s="210" t="s">
        <v>53</v>
      </c>
      <c r="G110" s="223" t="s">
        <v>223</v>
      </c>
      <c r="H110" s="221">
        <v>41400</v>
      </c>
      <c r="I110" s="1">
        <v>27.28</v>
      </c>
      <c r="J110" s="248"/>
    </row>
    <row r="111" spans="1:10" ht="18" customHeight="1">
      <c r="A111" s="218">
        <v>105</v>
      </c>
      <c r="B111" s="223" t="s">
        <v>224</v>
      </c>
      <c r="C111" s="221">
        <v>41401</v>
      </c>
      <c r="D111" s="1">
        <v>26.6</v>
      </c>
      <c r="E111" s="213" t="s">
        <v>51</v>
      </c>
      <c r="F111" s="210" t="s">
        <v>53</v>
      </c>
      <c r="G111" s="223" t="s">
        <v>224</v>
      </c>
      <c r="H111" s="221">
        <v>41401</v>
      </c>
      <c r="I111" s="1">
        <v>26.6</v>
      </c>
      <c r="J111" s="248"/>
    </row>
    <row r="112" spans="1:10" ht="18" customHeight="1">
      <c r="A112" s="218">
        <v>106</v>
      </c>
      <c r="B112" s="223" t="s">
        <v>225</v>
      </c>
      <c r="C112" s="221">
        <v>41401</v>
      </c>
      <c r="D112" s="1">
        <v>100.61</v>
      </c>
      <c r="E112" s="213" t="s">
        <v>51</v>
      </c>
      <c r="F112" s="210" t="s">
        <v>53</v>
      </c>
      <c r="G112" s="223" t="s">
        <v>225</v>
      </c>
      <c r="H112" s="221">
        <v>41401</v>
      </c>
      <c r="I112" s="1">
        <v>100.61</v>
      </c>
      <c r="J112" s="248"/>
    </row>
    <row r="113" spans="1:10" ht="18" customHeight="1">
      <c r="A113" s="218">
        <v>107</v>
      </c>
      <c r="B113" s="223" t="s">
        <v>226</v>
      </c>
      <c r="C113" s="221">
        <v>41405</v>
      </c>
      <c r="D113" s="1">
        <v>36.590000000000003</v>
      </c>
      <c r="E113" s="213" t="s">
        <v>51</v>
      </c>
      <c r="F113" s="210" t="s">
        <v>53</v>
      </c>
      <c r="G113" s="223" t="s">
        <v>226</v>
      </c>
      <c r="H113" s="221">
        <v>41405</v>
      </c>
      <c r="I113" s="1">
        <v>36.590000000000003</v>
      </c>
      <c r="J113" s="248"/>
    </row>
    <row r="114" spans="1:10" ht="18" customHeight="1">
      <c r="A114" s="218">
        <v>108</v>
      </c>
      <c r="B114" s="223" t="s">
        <v>227</v>
      </c>
      <c r="C114" s="221">
        <v>41409</v>
      </c>
      <c r="D114" s="1">
        <v>53.83</v>
      </c>
      <c r="E114" s="213" t="s">
        <v>51</v>
      </c>
      <c r="F114" s="210" t="s">
        <v>53</v>
      </c>
      <c r="G114" s="223" t="s">
        <v>227</v>
      </c>
      <c r="H114" s="221">
        <v>41409</v>
      </c>
      <c r="I114" s="1">
        <v>53.83</v>
      </c>
      <c r="J114" s="248"/>
    </row>
    <row r="115" spans="1:10" ht="18" customHeight="1">
      <c r="A115" s="218">
        <v>109</v>
      </c>
      <c r="B115" s="223" t="s">
        <v>228</v>
      </c>
      <c r="C115" s="221">
        <v>41409</v>
      </c>
      <c r="D115" s="1">
        <v>25.46</v>
      </c>
      <c r="E115" s="213" t="s">
        <v>51</v>
      </c>
      <c r="F115" s="210" t="s">
        <v>53</v>
      </c>
      <c r="G115" s="223" t="s">
        <v>228</v>
      </c>
      <c r="H115" s="221">
        <v>41409</v>
      </c>
      <c r="I115" s="1">
        <v>25.46</v>
      </c>
      <c r="J115" s="248"/>
    </row>
    <row r="116" spans="1:10" ht="18" customHeight="1">
      <c r="A116" s="218">
        <v>110</v>
      </c>
      <c r="B116" s="223" t="s">
        <v>229</v>
      </c>
      <c r="C116" s="221">
        <v>41410</v>
      </c>
      <c r="D116" s="1">
        <v>5</v>
      </c>
      <c r="E116" s="213" t="s">
        <v>51</v>
      </c>
      <c r="F116" s="210" t="s">
        <v>53</v>
      </c>
      <c r="G116" s="223" t="s">
        <v>229</v>
      </c>
      <c r="H116" s="221">
        <v>41410</v>
      </c>
      <c r="I116" s="1">
        <v>5</v>
      </c>
      <c r="J116" s="248"/>
    </row>
    <row r="117" spans="1:10" ht="18" customHeight="1">
      <c r="A117" s="218">
        <v>111</v>
      </c>
      <c r="B117" s="223" t="s">
        <v>230</v>
      </c>
      <c r="C117" s="221">
        <v>41410</v>
      </c>
      <c r="D117" s="1">
        <v>5</v>
      </c>
      <c r="E117" s="213" t="s">
        <v>51</v>
      </c>
      <c r="F117" s="210" t="s">
        <v>53</v>
      </c>
      <c r="G117" s="223" t="s">
        <v>230</v>
      </c>
      <c r="H117" s="221">
        <v>41410</v>
      </c>
      <c r="I117" s="1">
        <v>5</v>
      </c>
      <c r="J117" s="248"/>
    </row>
    <row r="118" spans="1:10" ht="18" customHeight="1">
      <c r="A118" s="218">
        <v>112</v>
      </c>
      <c r="B118" s="223" t="s">
        <v>231</v>
      </c>
      <c r="C118" s="221">
        <v>41410</v>
      </c>
      <c r="D118" s="1">
        <v>5</v>
      </c>
      <c r="E118" s="213" t="s">
        <v>51</v>
      </c>
      <c r="F118" s="210" t="s">
        <v>53</v>
      </c>
      <c r="G118" s="223" t="s">
        <v>231</v>
      </c>
      <c r="H118" s="221">
        <v>41410</v>
      </c>
      <c r="I118" s="1">
        <v>5</v>
      </c>
      <c r="J118" s="248"/>
    </row>
    <row r="119" spans="1:10" ht="18" customHeight="1">
      <c r="A119" s="218">
        <v>113</v>
      </c>
      <c r="B119" s="223" t="s">
        <v>232</v>
      </c>
      <c r="C119" s="221">
        <v>41410</v>
      </c>
      <c r="D119" s="1">
        <v>5</v>
      </c>
      <c r="E119" s="213" t="s">
        <v>51</v>
      </c>
      <c r="F119" s="210" t="s">
        <v>53</v>
      </c>
      <c r="G119" s="223" t="s">
        <v>232</v>
      </c>
      <c r="H119" s="221">
        <v>41410</v>
      </c>
      <c r="I119" s="1">
        <v>5</v>
      </c>
      <c r="J119" s="248"/>
    </row>
    <row r="120" spans="1:10" ht="18" customHeight="1">
      <c r="A120" s="218">
        <v>114</v>
      </c>
      <c r="B120" s="223" t="s">
        <v>233</v>
      </c>
      <c r="C120" s="221">
        <v>41414</v>
      </c>
      <c r="D120" s="1">
        <v>26.62</v>
      </c>
      <c r="E120" s="213" t="s">
        <v>51</v>
      </c>
      <c r="F120" s="210" t="s">
        <v>53</v>
      </c>
      <c r="G120" s="223" t="s">
        <v>233</v>
      </c>
      <c r="H120" s="221">
        <v>41414</v>
      </c>
      <c r="I120" s="1">
        <v>26.62</v>
      </c>
      <c r="J120" s="248"/>
    </row>
    <row r="121" spans="1:10" ht="18" customHeight="1">
      <c r="A121" s="218">
        <v>115</v>
      </c>
      <c r="B121" s="223" t="s">
        <v>236</v>
      </c>
      <c r="C121" s="221">
        <v>41415</v>
      </c>
      <c r="D121" s="1">
        <v>60.4</v>
      </c>
      <c r="E121" s="213" t="s">
        <v>51</v>
      </c>
      <c r="F121" s="210" t="s">
        <v>53</v>
      </c>
      <c r="G121" s="223" t="s">
        <v>236</v>
      </c>
      <c r="H121" s="221">
        <v>41415</v>
      </c>
      <c r="I121" s="1">
        <v>60.4</v>
      </c>
      <c r="J121" s="248"/>
    </row>
    <row r="122" spans="1:10" ht="18" customHeight="1">
      <c r="A122" s="218">
        <v>116</v>
      </c>
      <c r="B122" s="223" t="s">
        <v>237</v>
      </c>
      <c r="C122" s="221">
        <v>41419</v>
      </c>
      <c r="D122" s="1">
        <v>5.8</v>
      </c>
      <c r="E122" s="213" t="s">
        <v>51</v>
      </c>
      <c r="F122" s="210" t="s">
        <v>53</v>
      </c>
      <c r="G122" s="223" t="s">
        <v>237</v>
      </c>
      <c r="H122" s="221">
        <v>41419</v>
      </c>
      <c r="I122" s="1">
        <v>5.8</v>
      </c>
      <c r="J122" s="248"/>
    </row>
    <row r="123" spans="1:10" ht="18" customHeight="1">
      <c r="A123" s="218">
        <v>117</v>
      </c>
      <c r="B123" s="223" t="s">
        <v>238</v>
      </c>
      <c r="C123" s="221">
        <v>41421</v>
      </c>
      <c r="D123" s="1">
        <v>22.59</v>
      </c>
      <c r="E123" s="213" t="s">
        <v>51</v>
      </c>
      <c r="F123" s="210" t="s">
        <v>53</v>
      </c>
      <c r="G123" s="223" t="s">
        <v>238</v>
      </c>
      <c r="H123" s="221">
        <v>41421</v>
      </c>
      <c r="I123" s="1">
        <v>22.59</v>
      </c>
      <c r="J123" s="248"/>
    </row>
    <row r="124" spans="1:10" ht="18" customHeight="1">
      <c r="A124" s="218">
        <v>118</v>
      </c>
      <c r="B124" s="223" t="s">
        <v>240</v>
      </c>
      <c r="C124" s="221">
        <v>41422</v>
      </c>
      <c r="D124" s="1">
        <v>35.24</v>
      </c>
      <c r="E124" s="213" t="s">
        <v>51</v>
      </c>
      <c r="F124" s="210" t="s">
        <v>53</v>
      </c>
      <c r="G124" s="223" t="s">
        <v>240</v>
      </c>
      <c r="H124" s="221">
        <v>41422</v>
      </c>
      <c r="I124" s="1">
        <v>35.24</v>
      </c>
      <c r="J124" s="248"/>
    </row>
    <row r="125" spans="1:10" ht="18" customHeight="1">
      <c r="A125" s="218">
        <v>120</v>
      </c>
      <c r="B125" s="223" t="s">
        <v>243</v>
      </c>
      <c r="C125" s="221">
        <v>41429</v>
      </c>
      <c r="D125" s="1">
        <v>48.59</v>
      </c>
      <c r="E125" s="213" t="s">
        <v>51</v>
      </c>
      <c r="F125" s="210" t="s">
        <v>53</v>
      </c>
      <c r="G125" s="223" t="s">
        <v>243</v>
      </c>
      <c r="H125" s="221">
        <v>41429</v>
      </c>
      <c r="I125" s="1">
        <v>48.59</v>
      </c>
      <c r="J125" s="248"/>
    </row>
    <row r="126" spans="1:10" ht="18" customHeight="1">
      <c r="A126" s="218">
        <v>121</v>
      </c>
      <c r="B126" s="223" t="s">
        <v>244</v>
      </c>
      <c r="C126" s="221">
        <v>41430</v>
      </c>
      <c r="D126" s="1">
        <v>22.73</v>
      </c>
      <c r="E126" s="213" t="s">
        <v>51</v>
      </c>
      <c r="F126" s="210" t="s">
        <v>53</v>
      </c>
      <c r="G126" s="223" t="s">
        <v>244</v>
      </c>
      <c r="H126" s="221">
        <v>41430</v>
      </c>
      <c r="I126" s="1">
        <v>22.73</v>
      </c>
      <c r="J126" s="248"/>
    </row>
    <row r="127" spans="1:10" ht="18" customHeight="1">
      <c r="A127" s="218">
        <v>122</v>
      </c>
      <c r="B127" s="223" t="s">
        <v>247</v>
      </c>
      <c r="C127" s="221">
        <v>41436</v>
      </c>
      <c r="D127" s="1">
        <v>64.430000000000007</v>
      </c>
      <c r="E127" s="213" t="s">
        <v>51</v>
      </c>
      <c r="F127" s="210" t="s">
        <v>53</v>
      </c>
      <c r="G127" s="223" t="s">
        <v>247</v>
      </c>
      <c r="H127" s="221">
        <v>41436</v>
      </c>
      <c r="I127" s="1">
        <v>64.430000000000007</v>
      </c>
      <c r="J127" s="248"/>
    </row>
    <row r="128" spans="1:10" ht="18" customHeight="1">
      <c r="A128" s="218">
        <v>123</v>
      </c>
      <c r="B128" s="223" t="s">
        <v>249</v>
      </c>
      <c r="C128" s="221">
        <v>41444</v>
      </c>
      <c r="D128" s="1">
        <v>80.61</v>
      </c>
      <c r="E128" s="213" t="s">
        <v>51</v>
      </c>
      <c r="F128" s="210" t="s">
        <v>53</v>
      </c>
      <c r="G128" s="223" t="s">
        <v>249</v>
      </c>
      <c r="H128" s="221">
        <v>41444</v>
      </c>
      <c r="I128" s="1">
        <v>80.61</v>
      </c>
      <c r="J128" s="248"/>
    </row>
    <row r="129" spans="1:10" ht="18" customHeight="1">
      <c r="A129" s="218">
        <v>124</v>
      </c>
      <c r="B129" s="223" t="s">
        <v>250</v>
      </c>
      <c r="C129" s="221">
        <v>41444</v>
      </c>
      <c r="D129" s="1">
        <v>22.1</v>
      </c>
      <c r="E129" s="213" t="s">
        <v>51</v>
      </c>
      <c r="F129" s="210" t="s">
        <v>53</v>
      </c>
      <c r="G129" s="223" t="s">
        <v>250</v>
      </c>
      <c r="H129" s="221">
        <v>41444</v>
      </c>
      <c r="I129" s="1">
        <v>22.1</v>
      </c>
      <c r="J129" s="248"/>
    </row>
    <row r="130" spans="1:10" ht="18" customHeight="1">
      <c r="A130" s="218">
        <v>125</v>
      </c>
      <c r="B130" s="223" t="s">
        <v>251</v>
      </c>
      <c r="C130" s="221">
        <v>41444</v>
      </c>
      <c r="D130" s="1">
        <v>52.61</v>
      </c>
      <c r="E130" s="213" t="s">
        <v>51</v>
      </c>
      <c r="F130" s="210" t="s">
        <v>53</v>
      </c>
      <c r="G130" s="223" t="s">
        <v>251</v>
      </c>
      <c r="H130" s="221">
        <v>41444</v>
      </c>
      <c r="I130" s="1">
        <v>52.61</v>
      </c>
      <c r="J130" s="248"/>
    </row>
    <row r="131" spans="1:10" ht="18" customHeight="1">
      <c r="A131" s="218">
        <v>126</v>
      </c>
      <c r="B131" s="223" t="s">
        <v>253</v>
      </c>
      <c r="C131" s="221">
        <v>41454</v>
      </c>
      <c r="D131" s="1">
        <v>69.87</v>
      </c>
      <c r="E131" s="213" t="s">
        <v>51</v>
      </c>
      <c r="F131" s="210" t="s">
        <v>53</v>
      </c>
      <c r="G131" s="223" t="s">
        <v>253</v>
      </c>
      <c r="H131" s="221">
        <v>41454</v>
      </c>
      <c r="I131" s="1">
        <v>69.87</v>
      </c>
      <c r="J131" s="248"/>
    </row>
    <row r="132" spans="1:10" ht="18" customHeight="1">
      <c r="A132" s="218">
        <v>127</v>
      </c>
      <c r="B132" s="223" t="s">
        <v>254</v>
      </c>
      <c r="C132" s="221">
        <v>41454</v>
      </c>
      <c r="D132" s="1">
        <v>82.29</v>
      </c>
      <c r="E132" s="213" t="s">
        <v>51</v>
      </c>
      <c r="F132" s="210" t="s">
        <v>53</v>
      </c>
      <c r="G132" s="223" t="s">
        <v>254</v>
      </c>
      <c r="H132" s="221">
        <v>41454</v>
      </c>
      <c r="I132" s="1">
        <v>82.29</v>
      </c>
      <c r="J132" s="248"/>
    </row>
    <row r="133" spans="1:10" ht="18" customHeight="1">
      <c r="A133" s="218">
        <v>128</v>
      </c>
      <c r="B133" s="223" t="s">
        <v>255</v>
      </c>
      <c r="C133" s="221">
        <v>41455</v>
      </c>
      <c r="D133" s="1">
        <v>33.950000000000003</v>
      </c>
      <c r="E133" s="213" t="s">
        <v>51</v>
      </c>
      <c r="F133" s="210" t="s">
        <v>53</v>
      </c>
      <c r="G133" s="223" t="s">
        <v>255</v>
      </c>
      <c r="H133" s="221">
        <v>41455</v>
      </c>
      <c r="I133" s="1">
        <v>33.950000000000003</v>
      </c>
      <c r="J133" s="248"/>
    </row>
    <row r="134" spans="1:10" ht="18" customHeight="1">
      <c r="A134" s="218">
        <v>129</v>
      </c>
      <c r="B134" s="223" t="s">
        <v>258</v>
      </c>
      <c r="C134" s="221">
        <v>41449</v>
      </c>
      <c r="D134" s="1">
        <v>72.59</v>
      </c>
      <c r="E134" s="213" t="s">
        <v>51</v>
      </c>
      <c r="F134" s="210" t="s">
        <v>53</v>
      </c>
      <c r="G134" s="223" t="s">
        <v>258</v>
      </c>
      <c r="H134" s="221">
        <v>41449</v>
      </c>
      <c r="I134" s="1">
        <v>72.59</v>
      </c>
      <c r="J134" s="248"/>
    </row>
    <row r="135" spans="1:10" ht="18" customHeight="1">
      <c r="A135" s="218">
        <v>130</v>
      </c>
      <c r="B135" s="223" t="s">
        <v>259</v>
      </c>
      <c r="C135" s="221">
        <v>41449</v>
      </c>
      <c r="D135" s="1">
        <v>22.1</v>
      </c>
      <c r="E135" s="213" t="s">
        <v>51</v>
      </c>
      <c r="F135" s="210" t="s">
        <v>53</v>
      </c>
      <c r="G135" s="223" t="s">
        <v>259</v>
      </c>
      <c r="H135" s="221">
        <v>41449</v>
      </c>
      <c r="I135" s="1">
        <v>22.1</v>
      </c>
      <c r="J135" s="248"/>
    </row>
    <row r="136" spans="1:10" ht="18" customHeight="1">
      <c r="A136" s="218">
        <v>131</v>
      </c>
      <c r="B136" s="223" t="s">
        <v>260</v>
      </c>
      <c r="C136" s="221">
        <v>41450</v>
      </c>
      <c r="D136" s="1">
        <v>32.51</v>
      </c>
      <c r="E136" s="213" t="s">
        <v>51</v>
      </c>
      <c r="F136" s="210" t="s">
        <v>53</v>
      </c>
      <c r="G136" s="223" t="s">
        <v>260</v>
      </c>
      <c r="H136" s="221">
        <v>41450</v>
      </c>
      <c r="I136" s="1">
        <v>32.51</v>
      </c>
      <c r="J136" s="248"/>
    </row>
    <row r="137" spans="1:10" ht="18" customHeight="1">
      <c r="A137" s="218">
        <v>132</v>
      </c>
      <c r="B137" s="223" t="s">
        <v>265</v>
      </c>
      <c r="C137" s="221">
        <v>41464</v>
      </c>
      <c r="D137" s="1">
        <v>34.42</v>
      </c>
      <c r="E137" s="213" t="s">
        <v>51</v>
      </c>
      <c r="F137" s="210" t="s">
        <v>53</v>
      </c>
      <c r="G137" s="223" t="s">
        <v>265</v>
      </c>
      <c r="H137" s="221">
        <v>41464</v>
      </c>
      <c r="I137" s="1">
        <v>34.42</v>
      </c>
      <c r="J137" s="248"/>
    </row>
    <row r="138" spans="1:10" ht="18" customHeight="1">
      <c r="A138" s="218">
        <v>133</v>
      </c>
      <c r="B138" s="223" t="s">
        <v>266</v>
      </c>
      <c r="C138" s="221">
        <v>41464</v>
      </c>
      <c r="D138" s="1">
        <v>47.83</v>
      </c>
      <c r="E138" s="213" t="s">
        <v>51</v>
      </c>
      <c r="F138" s="210" t="s">
        <v>53</v>
      </c>
      <c r="G138" s="223" t="s">
        <v>266</v>
      </c>
      <c r="H138" s="221">
        <v>41464</v>
      </c>
      <c r="I138" s="1">
        <v>47.83</v>
      </c>
      <c r="J138" s="248"/>
    </row>
    <row r="139" spans="1:10" ht="18" customHeight="1">
      <c r="A139" s="218">
        <v>134</v>
      </c>
      <c r="B139" s="223" t="s">
        <v>267</v>
      </c>
      <c r="C139" s="221">
        <v>41464</v>
      </c>
      <c r="D139" s="1">
        <v>26.89</v>
      </c>
      <c r="E139" s="213" t="s">
        <v>51</v>
      </c>
      <c r="F139" s="210" t="s">
        <v>53</v>
      </c>
      <c r="G139" s="223" t="s">
        <v>267</v>
      </c>
      <c r="H139" s="221">
        <v>41464</v>
      </c>
      <c r="I139" s="1">
        <v>26.89</v>
      </c>
      <c r="J139" s="248"/>
    </row>
    <row r="140" spans="1:10" ht="18" customHeight="1">
      <c r="A140" s="218">
        <v>135</v>
      </c>
      <c r="B140" s="223" t="s">
        <v>268</v>
      </c>
      <c r="C140" s="221">
        <v>41464</v>
      </c>
      <c r="D140" s="1">
        <v>44.67</v>
      </c>
      <c r="E140" s="213" t="s">
        <v>51</v>
      </c>
      <c r="F140" s="210" t="s">
        <v>53</v>
      </c>
      <c r="G140" s="223" t="s">
        <v>268</v>
      </c>
      <c r="H140" s="221">
        <v>41464</v>
      </c>
      <c r="I140" s="1">
        <v>44.67</v>
      </c>
      <c r="J140" s="248"/>
    </row>
    <row r="141" spans="1:10" ht="18" customHeight="1">
      <c r="A141" s="218">
        <v>136</v>
      </c>
      <c r="B141" s="223" t="s">
        <v>269</v>
      </c>
      <c r="C141" s="221">
        <v>41464</v>
      </c>
      <c r="D141" s="1">
        <v>39.33</v>
      </c>
      <c r="E141" s="213" t="s">
        <v>51</v>
      </c>
      <c r="F141" s="210" t="s">
        <v>53</v>
      </c>
      <c r="G141" s="223" t="s">
        <v>269</v>
      </c>
      <c r="H141" s="221">
        <v>41464</v>
      </c>
      <c r="I141" s="1">
        <v>39.33</v>
      </c>
      <c r="J141" s="248"/>
    </row>
    <row r="142" spans="1:10" ht="18" customHeight="1">
      <c r="A142" s="218">
        <v>137</v>
      </c>
      <c r="B142" s="223" t="s">
        <v>270</v>
      </c>
      <c r="C142" s="221">
        <v>41465</v>
      </c>
      <c r="D142" s="1">
        <v>62.7</v>
      </c>
      <c r="E142" s="213" t="s">
        <v>51</v>
      </c>
      <c r="F142" s="210" t="s">
        <v>53</v>
      </c>
      <c r="G142" s="223" t="s">
        <v>270</v>
      </c>
      <c r="H142" s="221">
        <v>41465</v>
      </c>
      <c r="I142" s="1">
        <v>62.7</v>
      </c>
      <c r="J142" s="248"/>
    </row>
    <row r="143" spans="1:10" ht="18" customHeight="1">
      <c r="A143" s="218">
        <v>138</v>
      </c>
      <c r="B143" s="223" t="s">
        <v>271</v>
      </c>
      <c r="C143" s="221">
        <v>41465</v>
      </c>
      <c r="D143" s="1">
        <v>101.07</v>
      </c>
      <c r="E143" s="213" t="s">
        <v>51</v>
      </c>
      <c r="F143" s="210" t="s">
        <v>53</v>
      </c>
      <c r="G143" s="223" t="s">
        <v>271</v>
      </c>
      <c r="H143" s="221">
        <v>41465</v>
      </c>
      <c r="I143" s="1">
        <v>101.07</v>
      </c>
      <c r="J143" s="248"/>
    </row>
    <row r="144" spans="1:10" ht="18" customHeight="1">
      <c r="A144" s="218">
        <v>139</v>
      </c>
      <c r="B144" s="223" t="s">
        <v>272</v>
      </c>
      <c r="C144" s="221">
        <v>41465</v>
      </c>
      <c r="D144" s="1">
        <v>129.26</v>
      </c>
      <c r="E144" s="213" t="s">
        <v>51</v>
      </c>
      <c r="F144" s="210" t="s">
        <v>53</v>
      </c>
      <c r="G144" s="223" t="s">
        <v>272</v>
      </c>
      <c r="H144" s="221">
        <v>41465</v>
      </c>
      <c r="I144" s="1">
        <v>129.26</v>
      </c>
      <c r="J144" s="248"/>
    </row>
    <row r="145" spans="1:10" ht="18" customHeight="1">
      <c r="A145" s="218">
        <v>140</v>
      </c>
      <c r="B145" s="223" t="s">
        <v>275</v>
      </c>
      <c r="C145" s="221">
        <v>41471</v>
      </c>
      <c r="D145" s="1">
        <v>22.3</v>
      </c>
      <c r="E145" s="213" t="s">
        <v>51</v>
      </c>
      <c r="F145" s="210" t="s">
        <v>53</v>
      </c>
      <c r="G145" s="223" t="s">
        <v>275</v>
      </c>
      <c r="H145" s="221">
        <v>41471</v>
      </c>
      <c r="I145" s="1">
        <v>22.3</v>
      </c>
      <c r="J145" s="248"/>
    </row>
    <row r="146" spans="1:10" ht="18" customHeight="1">
      <c r="A146" s="218">
        <v>141</v>
      </c>
      <c r="B146" s="223" t="s">
        <v>276</v>
      </c>
      <c r="C146" s="221">
        <v>41471</v>
      </c>
      <c r="D146" s="1">
        <v>26.2</v>
      </c>
      <c r="E146" s="213" t="s">
        <v>51</v>
      </c>
      <c r="F146" s="210" t="s">
        <v>53</v>
      </c>
      <c r="G146" s="223" t="s">
        <v>276</v>
      </c>
      <c r="H146" s="221">
        <v>41471</v>
      </c>
      <c r="I146" s="1">
        <v>26.2</v>
      </c>
      <c r="J146" s="248"/>
    </row>
    <row r="147" spans="1:10" ht="18" customHeight="1">
      <c r="A147" s="218">
        <v>142</v>
      </c>
      <c r="B147" s="223" t="s">
        <v>277</v>
      </c>
      <c r="C147" s="221">
        <v>41471</v>
      </c>
      <c r="D147" s="1">
        <v>113.51</v>
      </c>
      <c r="E147" s="213" t="s">
        <v>51</v>
      </c>
      <c r="F147" s="210" t="s">
        <v>53</v>
      </c>
      <c r="G147" s="223" t="s">
        <v>277</v>
      </c>
      <c r="H147" s="221">
        <v>41471</v>
      </c>
      <c r="I147" s="1">
        <v>113.51</v>
      </c>
      <c r="J147" s="248"/>
    </row>
    <row r="148" spans="1:10" ht="18" customHeight="1">
      <c r="A148" s="218">
        <v>143</v>
      </c>
      <c r="B148" s="223" t="s">
        <v>278</v>
      </c>
      <c r="C148" s="221">
        <v>41471</v>
      </c>
      <c r="D148" s="1">
        <v>35.22</v>
      </c>
      <c r="E148" s="213" t="s">
        <v>51</v>
      </c>
      <c r="F148" s="210" t="s">
        <v>53</v>
      </c>
      <c r="G148" s="223" t="s">
        <v>278</v>
      </c>
      <c r="H148" s="221">
        <v>41471</v>
      </c>
      <c r="I148" s="1">
        <v>35.22</v>
      </c>
      <c r="J148" s="248"/>
    </row>
    <row r="149" spans="1:10" ht="18" customHeight="1">
      <c r="A149" s="218">
        <v>144</v>
      </c>
      <c r="B149" s="223" t="s">
        <v>279</v>
      </c>
      <c r="C149" s="221">
        <v>41471</v>
      </c>
      <c r="D149" s="1">
        <v>72.790000000000006</v>
      </c>
      <c r="E149" s="213" t="s">
        <v>51</v>
      </c>
      <c r="F149" s="210" t="s">
        <v>53</v>
      </c>
      <c r="G149" s="223" t="s">
        <v>279</v>
      </c>
      <c r="H149" s="221">
        <v>41471</v>
      </c>
      <c r="I149" s="1">
        <v>72.790000000000006</v>
      </c>
      <c r="J149" s="248"/>
    </row>
    <row r="150" spans="1:10" ht="18" customHeight="1">
      <c r="A150" s="218">
        <v>145</v>
      </c>
      <c r="B150" s="223" t="s">
        <v>280</v>
      </c>
      <c r="C150" s="221">
        <v>41471</v>
      </c>
      <c r="D150" s="1">
        <v>26.6</v>
      </c>
      <c r="E150" s="213" t="s">
        <v>51</v>
      </c>
      <c r="F150" s="210" t="s">
        <v>53</v>
      </c>
      <c r="G150" s="223" t="s">
        <v>280</v>
      </c>
      <c r="H150" s="221">
        <v>41471</v>
      </c>
      <c r="I150" s="1">
        <v>26.6</v>
      </c>
      <c r="J150" s="248"/>
    </row>
    <row r="151" spans="1:10" ht="18" customHeight="1">
      <c r="A151" s="218">
        <v>146</v>
      </c>
      <c r="B151" s="223" t="s">
        <v>281</v>
      </c>
      <c r="C151" s="221">
        <v>41471</v>
      </c>
      <c r="D151" s="1">
        <v>26.55</v>
      </c>
      <c r="E151" s="213" t="s">
        <v>51</v>
      </c>
      <c r="F151" s="210" t="s">
        <v>53</v>
      </c>
      <c r="G151" s="223" t="s">
        <v>281</v>
      </c>
      <c r="H151" s="221">
        <v>41471</v>
      </c>
      <c r="I151" s="1">
        <v>26.55</v>
      </c>
      <c r="J151" s="248"/>
    </row>
    <row r="152" spans="1:10" ht="18" customHeight="1">
      <c r="A152" s="218">
        <v>147</v>
      </c>
      <c r="B152" s="223" t="s">
        <v>282</v>
      </c>
      <c r="C152" s="221">
        <v>41477</v>
      </c>
      <c r="D152" s="1">
        <v>51.32</v>
      </c>
      <c r="E152" s="213" t="s">
        <v>51</v>
      </c>
      <c r="F152" s="210" t="s">
        <v>53</v>
      </c>
      <c r="G152" s="223" t="s">
        <v>282</v>
      </c>
      <c r="H152" s="221">
        <v>41477</v>
      </c>
      <c r="I152" s="1">
        <v>51.32</v>
      </c>
      <c r="J152" s="248"/>
    </row>
    <row r="153" spans="1:10" ht="18" customHeight="1">
      <c r="A153" s="218">
        <v>148</v>
      </c>
      <c r="B153" s="223" t="s">
        <v>285</v>
      </c>
      <c r="C153" s="221">
        <v>41478</v>
      </c>
      <c r="D153" s="1">
        <v>26.96</v>
      </c>
      <c r="E153" s="213" t="s">
        <v>51</v>
      </c>
      <c r="F153" s="210" t="s">
        <v>53</v>
      </c>
      <c r="G153" s="223" t="s">
        <v>285</v>
      </c>
      <c r="H153" s="221">
        <v>41478</v>
      </c>
      <c r="I153" s="1">
        <v>26.96</v>
      </c>
      <c r="J153" s="248"/>
    </row>
    <row r="154" spans="1:10" ht="18" customHeight="1">
      <c r="A154" s="218">
        <v>149</v>
      </c>
      <c r="B154" s="223" t="s">
        <v>286</v>
      </c>
      <c r="C154" s="221">
        <v>41478</v>
      </c>
      <c r="D154" s="1">
        <v>52.06</v>
      </c>
      <c r="E154" s="213" t="s">
        <v>51</v>
      </c>
      <c r="F154" s="210" t="s">
        <v>53</v>
      </c>
      <c r="G154" s="223" t="s">
        <v>286</v>
      </c>
      <c r="H154" s="221">
        <v>41478</v>
      </c>
      <c r="I154" s="1">
        <v>52.06</v>
      </c>
      <c r="J154" s="248"/>
    </row>
    <row r="155" spans="1:10" ht="18" customHeight="1">
      <c r="A155" s="218">
        <v>150</v>
      </c>
      <c r="B155" s="223" t="s">
        <v>287</v>
      </c>
      <c r="C155" s="221">
        <v>41484</v>
      </c>
      <c r="D155" s="1">
        <v>26.2</v>
      </c>
      <c r="E155" s="213" t="s">
        <v>51</v>
      </c>
      <c r="F155" s="210" t="s">
        <v>53</v>
      </c>
      <c r="G155" s="223" t="s">
        <v>287</v>
      </c>
      <c r="H155" s="221">
        <v>41484</v>
      </c>
      <c r="I155" s="1">
        <v>26.2</v>
      </c>
      <c r="J155" s="248"/>
    </row>
    <row r="156" spans="1:10" ht="18" customHeight="1">
      <c r="A156" s="218">
        <v>151</v>
      </c>
      <c r="B156" s="223" t="s">
        <v>288</v>
      </c>
      <c r="C156" s="221">
        <v>41484</v>
      </c>
      <c r="D156" s="1">
        <v>5</v>
      </c>
      <c r="E156" s="213" t="s">
        <v>51</v>
      </c>
      <c r="F156" s="210" t="s">
        <v>53</v>
      </c>
      <c r="G156" s="223" t="s">
        <v>288</v>
      </c>
      <c r="H156" s="221">
        <v>41484</v>
      </c>
      <c r="I156" s="1">
        <v>5</v>
      </c>
      <c r="J156" s="248"/>
    </row>
    <row r="157" spans="1:10" ht="18" customHeight="1">
      <c r="A157" s="218">
        <v>152</v>
      </c>
      <c r="B157" s="223" t="s">
        <v>291</v>
      </c>
      <c r="C157" s="221">
        <v>41485</v>
      </c>
      <c r="D157" s="1">
        <v>29.73</v>
      </c>
      <c r="E157" s="213" t="s">
        <v>51</v>
      </c>
      <c r="F157" s="210" t="s">
        <v>53</v>
      </c>
      <c r="G157" s="223" t="s">
        <v>291</v>
      </c>
      <c r="H157" s="221">
        <v>41485</v>
      </c>
      <c r="I157" s="1">
        <v>29.73</v>
      </c>
      <c r="J157" s="248"/>
    </row>
    <row r="158" spans="1:10" ht="18" customHeight="1">
      <c r="A158" s="218">
        <v>153</v>
      </c>
      <c r="B158" s="223" t="s">
        <v>293</v>
      </c>
      <c r="C158" s="221">
        <v>41491</v>
      </c>
      <c r="D158" s="1">
        <v>26.32</v>
      </c>
      <c r="E158" s="213" t="s">
        <v>51</v>
      </c>
      <c r="F158" s="210" t="s">
        <v>53</v>
      </c>
      <c r="G158" s="223" t="s">
        <v>293</v>
      </c>
      <c r="H158" s="221">
        <v>41491</v>
      </c>
      <c r="I158" s="1">
        <v>26.32</v>
      </c>
      <c r="J158" s="248"/>
    </row>
    <row r="159" spans="1:10" ht="18" customHeight="1">
      <c r="A159" s="218">
        <v>154</v>
      </c>
      <c r="B159" s="223" t="s">
        <v>294</v>
      </c>
      <c r="C159" s="221">
        <v>41491</v>
      </c>
      <c r="D159" s="1">
        <v>30.9</v>
      </c>
      <c r="E159" s="213" t="s">
        <v>51</v>
      </c>
      <c r="F159" s="210" t="s">
        <v>53</v>
      </c>
      <c r="G159" s="223" t="s">
        <v>294</v>
      </c>
      <c r="H159" s="221">
        <v>41491</v>
      </c>
      <c r="I159" s="1">
        <v>30.9</v>
      </c>
      <c r="J159" s="248"/>
    </row>
    <row r="160" spans="1:10" ht="18" customHeight="1">
      <c r="A160" s="218">
        <v>155</v>
      </c>
      <c r="B160" s="223" t="s">
        <v>295</v>
      </c>
      <c r="C160" s="221">
        <v>41492</v>
      </c>
      <c r="D160" s="1">
        <v>48.13</v>
      </c>
      <c r="E160" s="213" t="s">
        <v>51</v>
      </c>
      <c r="F160" s="210" t="s">
        <v>53</v>
      </c>
      <c r="G160" s="223" t="s">
        <v>295</v>
      </c>
      <c r="H160" s="221">
        <v>41492</v>
      </c>
      <c r="I160" s="1">
        <v>48.13</v>
      </c>
      <c r="J160" s="248"/>
    </row>
    <row r="161" spans="1:10" ht="18" customHeight="1">
      <c r="A161" s="218">
        <v>156</v>
      </c>
      <c r="B161" s="223" t="s">
        <v>296</v>
      </c>
      <c r="C161" s="221">
        <v>41492</v>
      </c>
      <c r="D161" s="1">
        <v>25.81</v>
      </c>
      <c r="E161" s="213" t="s">
        <v>51</v>
      </c>
      <c r="F161" s="210" t="s">
        <v>53</v>
      </c>
      <c r="G161" s="223" t="s">
        <v>296</v>
      </c>
      <c r="H161" s="221">
        <v>41492</v>
      </c>
      <c r="I161" s="1">
        <v>25.81</v>
      </c>
      <c r="J161" s="248"/>
    </row>
    <row r="162" spans="1:10" ht="18" customHeight="1">
      <c r="A162" s="218">
        <v>157</v>
      </c>
      <c r="B162" s="223" t="s">
        <v>297</v>
      </c>
      <c r="C162" s="221">
        <v>41492</v>
      </c>
      <c r="D162" s="1">
        <v>39.69</v>
      </c>
      <c r="E162" s="213" t="s">
        <v>51</v>
      </c>
      <c r="F162" s="210" t="s">
        <v>53</v>
      </c>
      <c r="G162" s="223" t="s">
        <v>297</v>
      </c>
      <c r="H162" s="221">
        <v>41492</v>
      </c>
      <c r="I162" s="1">
        <v>39.69</v>
      </c>
      <c r="J162" s="248"/>
    </row>
    <row r="163" spans="1:10" ht="18" customHeight="1">
      <c r="A163" s="218">
        <v>158</v>
      </c>
      <c r="B163" s="223" t="s">
        <v>298</v>
      </c>
      <c r="C163" s="221">
        <v>41492</v>
      </c>
      <c r="D163" s="1">
        <v>75.8</v>
      </c>
      <c r="E163" s="213" t="s">
        <v>51</v>
      </c>
      <c r="F163" s="210" t="s">
        <v>53</v>
      </c>
      <c r="G163" s="223" t="s">
        <v>298</v>
      </c>
      <c r="H163" s="221">
        <v>41492</v>
      </c>
      <c r="I163" s="1">
        <v>75.8</v>
      </c>
      <c r="J163" s="248"/>
    </row>
    <row r="164" spans="1:10" ht="18" customHeight="1">
      <c r="A164" s="218">
        <v>159</v>
      </c>
      <c r="B164" s="223" t="s">
        <v>300</v>
      </c>
      <c r="C164" s="221">
        <v>41499</v>
      </c>
      <c r="D164" s="1">
        <v>61.05</v>
      </c>
      <c r="E164" s="213" t="s">
        <v>51</v>
      </c>
      <c r="F164" s="210" t="s">
        <v>53</v>
      </c>
      <c r="G164" s="223" t="s">
        <v>300</v>
      </c>
      <c r="H164" s="221">
        <v>41499</v>
      </c>
      <c r="I164" s="1">
        <v>61.05</v>
      </c>
      <c r="J164" s="248"/>
    </row>
    <row r="165" spans="1:10" ht="18" customHeight="1">
      <c r="A165" s="218">
        <v>160</v>
      </c>
      <c r="B165" s="223" t="s">
        <v>301</v>
      </c>
      <c r="C165" s="221">
        <v>41499</v>
      </c>
      <c r="D165" s="1">
        <v>35.53</v>
      </c>
      <c r="E165" s="213" t="s">
        <v>51</v>
      </c>
      <c r="F165" s="210" t="s">
        <v>53</v>
      </c>
      <c r="G165" s="223" t="s">
        <v>301</v>
      </c>
      <c r="H165" s="221">
        <v>41499</v>
      </c>
      <c r="I165" s="1">
        <v>35.53</v>
      </c>
      <c r="J165" s="248"/>
    </row>
    <row r="166" spans="1:10" ht="18" customHeight="1">
      <c r="A166" s="218">
        <v>161</v>
      </c>
      <c r="B166" s="223" t="s">
        <v>302</v>
      </c>
      <c r="C166" s="221">
        <v>41499</v>
      </c>
      <c r="D166" s="1">
        <v>63.41</v>
      </c>
      <c r="E166" s="213" t="s">
        <v>51</v>
      </c>
      <c r="F166" s="210" t="s">
        <v>53</v>
      </c>
      <c r="G166" s="223" t="s">
        <v>302</v>
      </c>
      <c r="H166" s="221">
        <v>41499</v>
      </c>
      <c r="I166" s="1">
        <v>63.41</v>
      </c>
      <c r="J166" s="248"/>
    </row>
    <row r="167" spans="1:10" ht="18" customHeight="1">
      <c r="A167" s="218">
        <v>162</v>
      </c>
      <c r="B167" s="223" t="s">
        <v>303</v>
      </c>
      <c r="C167" s="221">
        <v>41499</v>
      </c>
      <c r="D167" s="1">
        <v>35.31</v>
      </c>
      <c r="E167" s="213" t="s">
        <v>51</v>
      </c>
      <c r="F167" s="210" t="s">
        <v>53</v>
      </c>
      <c r="G167" s="223" t="s">
        <v>303</v>
      </c>
      <c r="H167" s="221">
        <v>41499</v>
      </c>
      <c r="I167" s="1">
        <v>35.31</v>
      </c>
      <c r="J167" s="248"/>
    </row>
    <row r="168" spans="1:10" ht="18" customHeight="1">
      <c r="A168" s="218">
        <v>163</v>
      </c>
      <c r="B168" s="223" t="s">
        <v>306</v>
      </c>
      <c r="C168" s="221">
        <v>41506</v>
      </c>
      <c r="D168" s="1">
        <v>22.3</v>
      </c>
      <c r="E168" s="213" t="s">
        <v>51</v>
      </c>
      <c r="F168" s="210" t="s">
        <v>53</v>
      </c>
      <c r="G168" s="223" t="s">
        <v>306</v>
      </c>
      <c r="H168" s="221">
        <v>41506</v>
      </c>
      <c r="I168" s="1">
        <v>22.3</v>
      </c>
      <c r="J168" s="248"/>
    </row>
    <row r="169" spans="1:10" ht="18" customHeight="1">
      <c r="A169" s="218">
        <v>164</v>
      </c>
      <c r="B169" s="223" t="s">
        <v>307</v>
      </c>
      <c r="C169" s="221">
        <v>41506</v>
      </c>
      <c r="D169" s="1">
        <v>22.74</v>
      </c>
      <c r="E169" s="213" t="s">
        <v>51</v>
      </c>
      <c r="F169" s="210" t="s">
        <v>53</v>
      </c>
      <c r="G169" s="223" t="s">
        <v>307</v>
      </c>
      <c r="H169" s="221">
        <v>41506</v>
      </c>
      <c r="I169" s="1">
        <v>22.74</v>
      </c>
      <c r="J169" s="248"/>
    </row>
    <row r="170" spans="1:10" ht="18" customHeight="1">
      <c r="A170" s="218">
        <v>165</v>
      </c>
      <c r="B170" s="223" t="s">
        <v>308</v>
      </c>
      <c r="C170" s="221">
        <v>41506</v>
      </c>
      <c r="D170" s="1">
        <v>38.68</v>
      </c>
      <c r="E170" s="213" t="s">
        <v>51</v>
      </c>
      <c r="F170" s="210" t="s">
        <v>53</v>
      </c>
      <c r="G170" s="223" t="s">
        <v>308</v>
      </c>
      <c r="H170" s="221">
        <v>41506</v>
      </c>
      <c r="I170" s="1">
        <v>38.68</v>
      </c>
      <c r="J170" s="248"/>
    </row>
    <row r="171" spans="1:10" ht="18" customHeight="1">
      <c r="A171" s="218">
        <v>166</v>
      </c>
      <c r="B171" s="223" t="s">
        <v>309</v>
      </c>
      <c r="C171" s="221">
        <v>41506</v>
      </c>
      <c r="D171" s="1">
        <v>95.64</v>
      </c>
      <c r="E171" s="213" t="s">
        <v>51</v>
      </c>
      <c r="F171" s="210" t="s">
        <v>53</v>
      </c>
      <c r="G171" s="223" t="s">
        <v>309</v>
      </c>
      <c r="H171" s="221">
        <v>41506</v>
      </c>
      <c r="I171" s="1">
        <v>95.64</v>
      </c>
      <c r="J171" s="248"/>
    </row>
    <row r="172" spans="1:10" ht="18" customHeight="1">
      <c r="A172" s="218">
        <v>167</v>
      </c>
      <c r="B172" s="223" t="s">
        <v>310</v>
      </c>
      <c r="C172" s="221">
        <v>41506</v>
      </c>
      <c r="D172" s="1">
        <v>22.34</v>
      </c>
      <c r="E172" s="213" t="s">
        <v>51</v>
      </c>
      <c r="F172" s="210" t="s">
        <v>53</v>
      </c>
      <c r="G172" s="223" t="s">
        <v>310</v>
      </c>
      <c r="H172" s="221">
        <v>41506</v>
      </c>
      <c r="I172" s="1">
        <v>22.34</v>
      </c>
      <c r="J172" s="248"/>
    </row>
    <row r="173" spans="1:10" ht="18" customHeight="1">
      <c r="A173" s="218">
        <v>168</v>
      </c>
      <c r="B173" s="223" t="s">
        <v>312</v>
      </c>
      <c r="C173" s="221">
        <v>41512</v>
      </c>
      <c r="D173" s="1">
        <v>27.28</v>
      </c>
      <c r="E173" s="213" t="s">
        <v>51</v>
      </c>
      <c r="F173" s="210" t="s">
        <v>53</v>
      </c>
      <c r="G173" s="223" t="s">
        <v>312</v>
      </c>
      <c r="H173" s="221">
        <v>41512</v>
      </c>
      <c r="I173" s="1">
        <v>27.28</v>
      </c>
      <c r="J173" s="248"/>
    </row>
    <row r="174" spans="1:10" ht="18" customHeight="1">
      <c r="A174" s="218">
        <v>169</v>
      </c>
      <c r="B174" s="223" t="s">
        <v>313</v>
      </c>
      <c r="C174" s="221">
        <v>41512</v>
      </c>
      <c r="D174" s="1">
        <v>86.19</v>
      </c>
      <c r="E174" s="213" t="s">
        <v>51</v>
      </c>
      <c r="F174" s="210" t="s">
        <v>53</v>
      </c>
      <c r="G174" s="223" t="s">
        <v>313</v>
      </c>
      <c r="H174" s="221">
        <v>41512</v>
      </c>
      <c r="I174" s="1">
        <v>86.19</v>
      </c>
      <c r="J174" s="248"/>
    </row>
    <row r="175" spans="1:10" ht="18" customHeight="1">
      <c r="A175" s="218">
        <v>170</v>
      </c>
      <c r="B175" s="223" t="s">
        <v>314</v>
      </c>
      <c r="C175" s="221">
        <v>41513</v>
      </c>
      <c r="D175" s="1">
        <v>33.75</v>
      </c>
      <c r="E175" s="213" t="s">
        <v>51</v>
      </c>
      <c r="F175" s="210" t="s">
        <v>53</v>
      </c>
      <c r="G175" s="223" t="s">
        <v>314</v>
      </c>
      <c r="H175" s="221">
        <v>41513</v>
      </c>
      <c r="I175" s="1">
        <v>33.75</v>
      </c>
      <c r="J175" s="248"/>
    </row>
    <row r="176" spans="1:10" ht="18" customHeight="1">
      <c r="A176" s="218">
        <v>171</v>
      </c>
      <c r="B176" s="223" t="s">
        <v>315</v>
      </c>
      <c r="C176" s="221">
        <v>41519</v>
      </c>
      <c r="D176" s="1">
        <v>24.84</v>
      </c>
      <c r="E176" s="213" t="s">
        <v>51</v>
      </c>
      <c r="F176" s="210" t="s">
        <v>53</v>
      </c>
      <c r="G176" s="223" t="s">
        <v>315</v>
      </c>
      <c r="H176" s="221">
        <v>41519</v>
      </c>
      <c r="I176" s="1">
        <v>24.84</v>
      </c>
      <c r="J176" s="248"/>
    </row>
    <row r="177" spans="1:10" ht="18" customHeight="1">
      <c r="A177" s="218">
        <v>172</v>
      </c>
      <c r="B177" s="223" t="s">
        <v>320</v>
      </c>
      <c r="C177" s="221">
        <v>41520</v>
      </c>
      <c r="D177" s="1">
        <v>26.6</v>
      </c>
      <c r="E177" s="213" t="s">
        <v>51</v>
      </c>
      <c r="F177" s="210" t="s">
        <v>53</v>
      </c>
      <c r="G177" s="223" t="s">
        <v>320</v>
      </c>
      <c r="H177" s="221">
        <v>41520</v>
      </c>
      <c r="I177" s="1">
        <v>26.6</v>
      </c>
      <c r="J177" s="248"/>
    </row>
    <row r="178" spans="1:10" ht="18" customHeight="1">
      <c r="A178" s="218">
        <v>173</v>
      </c>
      <c r="B178" s="223" t="s">
        <v>321</v>
      </c>
      <c r="C178" s="221">
        <v>41520</v>
      </c>
      <c r="D178" s="1">
        <v>51.81</v>
      </c>
      <c r="E178" s="213" t="s">
        <v>51</v>
      </c>
      <c r="F178" s="210" t="s">
        <v>53</v>
      </c>
      <c r="G178" s="223" t="s">
        <v>321</v>
      </c>
      <c r="H178" s="221">
        <v>41520</v>
      </c>
      <c r="I178" s="1">
        <v>51.81</v>
      </c>
      <c r="J178" s="248"/>
    </row>
    <row r="179" spans="1:10" ht="18" customHeight="1">
      <c r="A179" s="218">
        <v>174</v>
      </c>
      <c r="B179" s="223" t="s">
        <v>322</v>
      </c>
      <c r="C179" s="221">
        <v>41520</v>
      </c>
      <c r="D179" s="1">
        <v>36.479999999999997</v>
      </c>
      <c r="E179" s="213" t="s">
        <v>51</v>
      </c>
      <c r="F179" s="210" t="s">
        <v>53</v>
      </c>
      <c r="G179" s="223" t="s">
        <v>322</v>
      </c>
      <c r="H179" s="221">
        <v>41520</v>
      </c>
      <c r="I179" s="1">
        <v>36.479999999999997</v>
      </c>
      <c r="J179" s="248"/>
    </row>
    <row r="180" spans="1:10" ht="18" customHeight="1">
      <c r="A180" s="218">
        <v>175</v>
      </c>
      <c r="B180" s="223" t="s">
        <v>324</v>
      </c>
      <c r="C180" s="221">
        <v>41526</v>
      </c>
      <c r="D180" s="1">
        <v>5</v>
      </c>
      <c r="E180" s="213" t="s">
        <v>51</v>
      </c>
      <c r="F180" s="210" t="s">
        <v>53</v>
      </c>
      <c r="G180" s="223" t="s">
        <v>324</v>
      </c>
      <c r="H180" s="221">
        <v>41526</v>
      </c>
      <c r="I180" s="1">
        <v>5</v>
      </c>
      <c r="J180" s="248"/>
    </row>
    <row r="181" spans="1:10" ht="18" customHeight="1">
      <c r="A181" s="218">
        <v>176</v>
      </c>
      <c r="B181" s="223" t="s">
        <v>325</v>
      </c>
      <c r="C181" s="221">
        <v>41527</v>
      </c>
      <c r="D181" s="1">
        <v>44.95</v>
      </c>
      <c r="E181" s="213" t="s">
        <v>51</v>
      </c>
      <c r="F181" s="210" t="s">
        <v>53</v>
      </c>
      <c r="G181" s="223" t="s">
        <v>325</v>
      </c>
      <c r="H181" s="221">
        <v>41527</v>
      </c>
      <c r="I181" s="1">
        <v>44.95</v>
      </c>
      <c r="J181" s="248"/>
    </row>
    <row r="182" spans="1:10" ht="18" customHeight="1">
      <c r="A182" s="218">
        <v>177</v>
      </c>
      <c r="B182" s="223" t="s">
        <v>326</v>
      </c>
      <c r="C182" s="221">
        <v>41527</v>
      </c>
      <c r="D182" s="1">
        <v>33.31</v>
      </c>
      <c r="E182" s="213" t="s">
        <v>51</v>
      </c>
      <c r="F182" s="210" t="s">
        <v>53</v>
      </c>
      <c r="G182" s="223" t="s">
        <v>326</v>
      </c>
      <c r="H182" s="221">
        <v>41527</v>
      </c>
      <c r="I182" s="1">
        <v>33.31</v>
      </c>
      <c r="J182" s="248"/>
    </row>
    <row r="183" spans="1:10" ht="18" customHeight="1">
      <c r="A183" s="218">
        <v>178</v>
      </c>
      <c r="B183" s="223" t="s">
        <v>327</v>
      </c>
      <c r="C183" s="221">
        <v>41527</v>
      </c>
      <c r="D183" s="1">
        <v>22.51</v>
      </c>
      <c r="E183" s="213" t="s">
        <v>51</v>
      </c>
      <c r="F183" s="210" t="s">
        <v>53</v>
      </c>
      <c r="G183" s="223" t="s">
        <v>327</v>
      </c>
      <c r="H183" s="221">
        <v>41527</v>
      </c>
      <c r="I183" s="1">
        <v>22.51</v>
      </c>
      <c r="J183" s="248"/>
    </row>
    <row r="184" spans="1:10" ht="18" customHeight="1">
      <c r="A184" s="218">
        <v>179</v>
      </c>
      <c r="B184" s="223" t="s">
        <v>328</v>
      </c>
      <c r="C184" s="221">
        <v>41528</v>
      </c>
      <c r="D184" s="1">
        <v>28.01</v>
      </c>
      <c r="E184" s="213" t="s">
        <v>51</v>
      </c>
      <c r="F184" s="210" t="s">
        <v>53</v>
      </c>
      <c r="G184" s="223" t="s">
        <v>328</v>
      </c>
      <c r="H184" s="221">
        <v>41528</v>
      </c>
      <c r="I184" s="1">
        <v>28.01</v>
      </c>
      <c r="J184" s="248"/>
    </row>
    <row r="185" spans="1:10" ht="18" customHeight="1">
      <c r="A185" s="218">
        <v>180</v>
      </c>
      <c r="B185" s="223" t="s">
        <v>329</v>
      </c>
      <c r="C185" s="221">
        <v>41528</v>
      </c>
      <c r="D185" s="1">
        <v>86.57</v>
      </c>
      <c r="E185" s="213" t="s">
        <v>51</v>
      </c>
      <c r="F185" s="210" t="s">
        <v>53</v>
      </c>
      <c r="G185" s="223" t="s">
        <v>329</v>
      </c>
      <c r="H185" s="221">
        <v>41528</v>
      </c>
      <c r="I185" s="1">
        <v>86.57</v>
      </c>
      <c r="J185" s="248"/>
    </row>
    <row r="186" spans="1:10" ht="18" customHeight="1">
      <c r="A186" s="218">
        <v>181</v>
      </c>
      <c r="B186" s="223" t="s">
        <v>330</v>
      </c>
      <c r="C186" s="221">
        <v>41528</v>
      </c>
      <c r="D186" s="1">
        <v>36.700000000000003</v>
      </c>
      <c r="E186" s="213" t="s">
        <v>51</v>
      </c>
      <c r="F186" s="210" t="s">
        <v>53</v>
      </c>
      <c r="G186" s="223" t="s">
        <v>330</v>
      </c>
      <c r="H186" s="221">
        <v>41528</v>
      </c>
      <c r="I186" s="1">
        <v>36.700000000000003</v>
      </c>
      <c r="J186" s="248"/>
    </row>
    <row r="187" spans="1:10" ht="18" customHeight="1">
      <c r="A187" s="218">
        <v>182</v>
      </c>
      <c r="B187" s="223" t="s">
        <v>331</v>
      </c>
      <c r="C187" s="221">
        <v>41528</v>
      </c>
      <c r="D187" s="1">
        <v>59.52</v>
      </c>
      <c r="E187" s="213" t="s">
        <v>51</v>
      </c>
      <c r="F187" s="210" t="s">
        <v>53</v>
      </c>
      <c r="G187" s="223" t="s">
        <v>331</v>
      </c>
      <c r="H187" s="221">
        <v>41528</v>
      </c>
      <c r="I187" s="1">
        <v>59.52</v>
      </c>
      <c r="J187" s="248"/>
    </row>
    <row r="188" spans="1:10" ht="18" customHeight="1">
      <c r="A188" s="218">
        <v>183</v>
      </c>
      <c r="B188" s="223" t="s">
        <v>332</v>
      </c>
      <c r="C188" s="221">
        <v>41528</v>
      </c>
      <c r="D188" s="1">
        <v>195.16</v>
      </c>
      <c r="E188" s="213" t="s">
        <v>51</v>
      </c>
      <c r="F188" s="210" t="s">
        <v>53</v>
      </c>
      <c r="G188" s="223" t="s">
        <v>332</v>
      </c>
      <c r="H188" s="221">
        <v>41528</v>
      </c>
      <c r="I188" s="1">
        <v>195.16</v>
      </c>
      <c r="J188" s="248"/>
    </row>
    <row r="189" spans="1:10" ht="18" customHeight="1">
      <c r="A189" s="218">
        <v>184</v>
      </c>
      <c r="B189" s="223" t="s">
        <v>335</v>
      </c>
      <c r="C189" s="221">
        <v>41533</v>
      </c>
      <c r="D189" s="1">
        <v>28.82</v>
      </c>
      <c r="E189" s="213" t="s">
        <v>51</v>
      </c>
      <c r="F189" s="210" t="s">
        <v>53</v>
      </c>
      <c r="G189" s="223" t="s">
        <v>335</v>
      </c>
      <c r="H189" s="221">
        <v>41533</v>
      </c>
      <c r="I189" s="1">
        <v>28.82</v>
      </c>
      <c r="J189" s="248"/>
    </row>
    <row r="190" spans="1:10" ht="18" customHeight="1">
      <c r="A190" s="218">
        <v>185</v>
      </c>
      <c r="B190" s="223" t="s">
        <v>336</v>
      </c>
      <c r="C190" s="221">
        <v>41534</v>
      </c>
      <c r="D190" s="1">
        <v>22.3</v>
      </c>
      <c r="E190" s="213" t="s">
        <v>51</v>
      </c>
      <c r="F190" s="210" t="s">
        <v>53</v>
      </c>
      <c r="G190" s="223" t="s">
        <v>336</v>
      </c>
      <c r="H190" s="221">
        <v>41534</v>
      </c>
      <c r="I190" s="1">
        <v>22.3</v>
      </c>
      <c r="J190" s="248"/>
    </row>
    <row r="191" spans="1:10" ht="18" customHeight="1">
      <c r="A191" s="218">
        <v>186</v>
      </c>
      <c r="B191" s="223" t="s">
        <v>337</v>
      </c>
      <c r="C191" s="221">
        <v>41534</v>
      </c>
      <c r="D191" s="1">
        <v>39.630000000000003</v>
      </c>
      <c r="E191" s="213" t="s">
        <v>51</v>
      </c>
      <c r="F191" s="210" t="s">
        <v>53</v>
      </c>
      <c r="G191" s="223" t="s">
        <v>337</v>
      </c>
      <c r="H191" s="221">
        <v>41534</v>
      </c>
      <c r="I191" s="1">
        <v>39.630000000000003</v>
      </c>
      <c r="J191" s="248"/>
    </row>
    <row r="192" spans="1:10" ht="18" customHeight="1">
      <c r="A192" s="218">
        <v>187</v>
      </c>
      <c r="B192" s="223" t="s">
        <v>338</v>
      </c>
      <c r="C192" s="221">
        <v>41534</v>
      </c>
      <c r="D192" s="1">
        <v>37.340000000000003</v>
      </c>
      <c r="E192" s="213" t="s">
        <v>51</v>
      </c>
      <c r="F192" s="210" t="s">
        <v>53</v>
      </c>
      <c r="G192" s="223" t="s">
        <v>338</v>
      </c>
      <c r="H192" s="221">
        <v>41534</v>
      </c>
      <c r="I192" s="1">
        <v>37.340000000000003</v>
      </c>
      <c r="J192" s="248"/>
    </row>
    <row r="193" spans="1:10" ht="18" customHeight="1">
      <c r="A193" s="218">
        <v>188</v>
      </c>
      <c r="B193" s="223" t="s">
        <v>339</v>
      </c>
      <c r="C193" s="221">
        <v>41534</v>
      </c>
      <c r="D193" s="1">
        <v>22.1</v>
      </c>
      <c r="E193" s="213" t="s">
        <v>51</v>
      </c>
      <c r="F193" s="210" t="s">
        <v>53</v>
      </c>
      <c r="G193" s="223" t="s">
        <v>339</v>
      </c>
      <c r="H193" s="221">
        <v>41534</v>
      </c>
      <c r="I193" s="1">
        <v>22.1</v>
      </c>
      <c r="J193" s="248"/>
    </row>
    <row r="194" spans="1:10" ht="18" customHeight="1">
      <c r="A194" s="218">
        <v>189</v>
      </c>
      <c r="B194" s="223" t="s">
        <v>342</v>
      </c>
      <c r="C194" s="221">
        <v>41542</v>
      </c>
      <c r="D194" s="1">
        <v>37</v>
      </c>
      <c r="E194" s="213" t="s">
        <v>51</v>
      </c>
      <c r="F194" s="210" t="s">
        <v>53</v>
      </c>
      <c r="G194" s="223" t="s">
        <v>342</v>
      </c>
      <c r="H194" s="221">
        <v>41542</v>
      </c>
      <c r="I194" s="1">
        <v>37</v>
      </c>
      <c r="J194" s="248"/>
    </row>
    <row r="195" spans="1:10" ht="18" customHeight="1">
      <c r="A195" s="218">
        <v>190</v>
      </c>
      <c r="B195" s="223" t="s">
        <v>343</v>
      </c>
      <c r="C195" s="221">
        <v>41542</v>
      </c>
      <c r="D195" s="1">
        <v>22.3</v>
      </c>
      <c r="E195" s="213" t="s">
        <v>51</v>
      </c>
      <c r="F195" s="210" t="s">
        <v>53</v>
      </c>
      <c r="G195" s="223" t="s">
        <v>343</v>
      </c>
      <c r="H195" s="221">
        <v>41542</v>
      </c>
      <c r="I195" s="1">
        <v>22.3</v>
      </c>
      <c r="J195" s="248"/>
    </row>
    <row r="196" spans="1:10" ht="18" customHeight="1">
      <c r="A196" s="218">
        <v>191</v>
      </c>
      <c r="B196" s="223" t="s">
        <v>344</v>
      </c>
      <c r="C196" s="221">
        <v>41542</v>
      </c>
      <c r="D196" s="1">
        <v>66.61</v>
      </c>
      <c r="E196" s="213" t="s">
        <v>51</v>
      </c>
      <c r="F196" s="210" t="s">
        <v>53</v>
      </c>
      <c r="G196" s="223" t="s">
        <v>344</v>
      </c>
      <c r="H196" s="221">
        <v>41542</v>
      </c>
      <c r="I196" s="1">
        <v>66.61</v>
      </c>
      <c r="J196" s="248"/>
    </row>
    <row r="197" spans="1:10" ht="18" customHeight="1">
      <c r="A197" s="218">
        <v>192</v>
      </c>
      <c r="B197" s="223" t="s">
        <v>345</v>
      </c>
      <c r="C197" s="221">
        <v>41547</v>
      </c>
      <c r="D197" s="1">
        <v>22.3</v>
      </c>
      <c r="E197" s="213" t="s">
        <v>51</v>
      </c>
      <c r="F197" s="210" t="s">
        <v>53</v>
      </c>
      <c r="G197" s="223" t="s">
        <v>345</v>
      </c>
      <c r="H197" s="221">
        <v>41547</v>
      </c>
      <c r="I197" s="1">
        <v>22.3</v>
      </c>
      <c r="J197" s="248"/>
    </row>
    <row r="198" spans="1:10" ht="18" customHeight="1">
      <c r="A198" s="218">
        <v>193</v>
      </c>
      <c r="B198" s="223" t="s">
        <v>346</v>
      </c>
      <c r="C198" s="221">
        <v>41547</v>
      </c>
      <c r="D198" s="1">
        <v>34.020000000000003</v>
      </c>
      <c r="E198" s="213" t="s">
        <v>51</v>
      </c>
      <c r="F198" s="210" t="s">
        <v>53</v>
      </c>
      <c r="G198" s="223" t="s">
        <v>346</v>
      </c>
      <c r="H198" s="221">
        <v>41547</v>
      </c>
      <c r="I198" s="1">
        <v>34.020000000000003</v>
      </c>
      <c r="J198" s="248"/>
    </row>
    <row r="199" spans="1:10" ht="18" customHeight="1">
      <c r="A199" s="218">
        <v>194</v>
      </c>
      <c r="B199" s="223" t="s">
        <v>347</v>
      </c>
      <c r="C199" s="221">
        <v>41547</v>
      </c>
      <c r="D199" s="1">
        <v>23.38</v>
      </c>
      <c r="E199" s="213" t="s">
        <v>51</v>
      </c>
      <c r="F199" s="210" t="s">
        <v>53</v>
      </c>
      <c r="G199" s="223" t="s">
        <v>347</v>
      </c>
      <c r="H199" s="221">
        <v>41547</v>
      </c>
      <c r="I199" s="1">
        <v>23.38</v>
      </c>
      <c r="J199" s="248"/>
    </row>
    <row r="200" spans="1:10" ht="18" customHeight="1">
      <c r="A200" s="218">
        <v>195</v>
      </c>
      <c r="B200" s="223" t="s">
        <v>348</v>
      </c>
      <c r="C200" s="221">
        <v>41547</v>
      </c>
      <c r="D200" s="1">
        <v>23.87</v>
      </c>
      <c r="E200" s="213" t="s">
        <v>51</v>
      </c>
      <c r="F200" s="210" t="s">
        <v>53</v>
      </c>
      <c r="G200" s="223" t="s">
        <v>348</v>
      </c>
      <c r="H200" s="221">
        <v>41547</v>
      </c>
      <c r="I200" s="1">
        <v>23.87</v>
      </c>
      <c r="J200" s="248"/>
    </row>
    <row r="201" spans="1:10" ht="18" customHeight="1">
      <c r="A201" s="218">
        <v>196</v>
      </c>
      <c r="B201" s="223" t="s">
        <v>351</v>
      </c>
      <c r="C201" s="221">
        <v>41555</v>
      </c>
      <c r="D201" s="1">
        <v>26.6</v>
      </c>
      <c r="E201" s="213" t="s">
        <v>51</v>
      </c>
      <c r="F201" s="210" t="s">
        <v>53</v>
      </c>
      <c r="G201" s="223" t="s">
        <v>351</v>
      </c>
      <c r="H201" s="221">
        <v>41555</v>
      </c>
      <c r="I201" s="1">
        <v>26.6</v>
      </c>
      <c r="J201" s="248"/>
    </row>
    <row r="202" spans="1:10" ht="18" customHeight="1">
      <c r="A202" s="218">
        <v>197</v>
      </c>
      <c r="B202" s="223" t="s">
        <v>352</v>
      </c>
      <c r="C202" s="221">
        <v>41555</v>
      </c>
      <c r="D202" s="1">
        <v>22.1</v>
      </c>
      <c r="E202" s="213" t="s">
        <v>51</v>
      </c>
      <c r="F202" s="210" t="s">
        <v>53</v>
      </c>
      <c r="G202" s="223" t="s">
        <v>352</v>
      </c>
      <c r="H202" s="221">
        <v>41555</v>
      </c>
      <c r="I202" s="1">
        <v>22.1</v>
      </c>
      <c r="J202" s="248"/>
    </row>
    <row r="203" spans="1:10" ht="18" customHeight="1">
      <c r="A203" s="218">
        <v>198</v>
      </c>
      <c r="B203" s="223" t="s">
        <v>353</v>
      </c>
      <c r="C203" s="221">
        <v>41555</v>
      </c>
      <c r="D203" s="1">
        <v>23.74</v>
      </c>
      <c r="E203" s="213" t="s">
        <v>51</v>
      </c>
      <c r="F203" s="210" t="s">
        <v>53</v>
      </c>
      <c r="G203" s="223" t="s">
        <v>353</v>
      </c>
      <c r="H203" s="221">
        <v>41555</v>
      </c>
      <c r="I203" s="1">
        <v>23.74</v>
      </c>
      <c r="J203" s="248"/>
    </row>
    <row r="204" spans="1:10" ht="18" customHeight="1">
      <c r="A204" s="218">
        <v>199</v>
      </c>
      <c r="B204" s="223" t="s">
        <v>354</v>
      </c>
      <c r="C204" s="221">
        <v>41555</v>
      </c>
      <c r="D204" s="1">
        <v>27.52</v>
      </c>
      <c r="E204" s="213" t="s">
        <v>51</v>
      </c>
      <c r="F204" s="210" t="s">
        <v>53</v>
      </c>
      <c r="G204" s="223" t="s">
        <v>354</v>
      </c>
      <c r="H204" s="221">
        <v>41555</v>
      </c>
      <c r="I204" s="1">
        <v>27.52</v>
      </c>
      <c r="J204" s="248"/>
    </row>
    <row r="205" spans="1:10" ht="18" customHeight="1">
      <c r="A205" s="218">
        <v>200</v>
      </c>
      <c r="B205" s="223" t="s">
        <v>355</v>
      </c>
      <c r="C205" s="221">
        <v>41555</v>
      </c>
      <c r="D205" s="1">
        <v>43.05</v>
      </c>
      <c r="E205" s="213" t="s">
        <v>51</v>
      </c>
      <c r="F205" s="210" t="s">
        <v>53</v>
      </c>
      <c r="G205" s="223" t="s">
        <v>355</v>
      </c>
      <c r="H205" s="221">
        <v>41555</v>
      </c>
      <c r="I205" s="1">
        <v>43.05</v>
      </c>
      <c r="J205" s="248"/>
    </row>
    <row r="206" spans="1:10" ht="18" customHeight="1">
      <c r="A206" s="218">
        <v>201</v>
      </c>
      <c r="B206" s="223" t="s">
        <v>356</v>
      </c>
      <c r="C206" s="221">
        <v>41555</v>
      </c>
      <c r="D206" s="1">
        <v>57.65</v>
      </c>
      <c r="E206" s="213" t="s">
        <v>51</v>
      </c>
      <c r="F206" s="210" t="s">
        <v>53</v>
      </c>
      <c r="G206" s="223" t="s">
        <v>356</v>
      </c>
      <c r="H206" s="221">
        <v>41555</v>
      </c>
      <c r="I206" s="1">
        <v>57.65</v>
      </c>
      <c r="J206" s="248"/>
    </row>
    <row r="207" spans="1:10" ht="18" customHeight="1">
      <c r="A207" s="218">
        <v>202</v>
      </c>
      <c r="B207" s="223" t="s">
        <v>357</v>
      </c>
      <c r="C207" s="221">
        <v>41556</v>
      </c>
      <c r="D207" s="1">
        <v>35.94</v>
      </c>
      <c r="E207" s="213" t="s">
        <v>51</v>
      </c>
      <c r="F207" s="210" t="s">
        <v>53</v>
      </c>
      <c r="G207" s="223" t="s">
        <v>357</v>
      </c>
      <c r="H207" s="221">
        <v>41556</v>
      </c>
      <c r="I207" s="1">
        <v>35.94</v>
      </c>
      <c r="J207" s="248"/>
    </row>
    <row r="208" spans="1:10" ht="18" customHeight="1">
      <c r="A208" s="218">
        <v>203</v>
      </c>
      <c r="B208" s="223" t="s">
        <v>360</v>
      </c>
      <c r="C208" s="221">
        <v>41558</v>
      </c>
      <c r="D208" s="1">
        <v>69.25</v>
      </c>
      <c r="E208" s="213" t="s">
        <v>51</v>
      </c>
      <c r="F208" s="210" t="s">
        <v>53</v>
      </c>
      <c r="G208" s="223" t="s">
        <v>360</v>
      </c>
      <c r="H208" s="221">
        <v>41558</v>
      </c>
      <c r="I208" s="1">
        <v>69.25</v>
      </c>
      <c r="J208" s="248"/>
    </row>
    <row r="209" spans="1:10" ht="18" customHeight="1">
      <c r="A209" s="218">
        <v>204</v>
      </c>
      <c r="B209" s="223" t="s">
        <v>361</v>
      </c>
      <c r="C209" s="221">
        <v>41558</v>
      </c>
      <c r="D209" s="1">
        <v>26.81</v>
      </c>
      <c r="E209" s="213" t="s">
        <v>51</v>
      </c>
      <c r="F209" s="210" t="s">
        <v>53</v>
      </c>
      <c r="G209" s="223" t="s">
        <v>361</v>
      </c>
      <c r="H209" s="221">
        <v>41558</v>
      </c>
      <c r="I209" s="1">
        <v>26.81</v>
      </c>
      <c r="J209" s="248"/>
    </row>
    <row r="210" spans="1:10" ht="18" customHeight="1">
      <c r="A210" s="218">
        <v>205</v>
      </c>
      <c r="B210" s="223" t="s">
        <v>362</v>
      </c>
      <c r="C210" s="221">
        <v>41558</v>
      </c>
      <c r="D210" s="1">
        <v>55.79</v>
      </c>
      <c r="E210" s="213" t="s">
        <v>51</v>
      </c>
      <c r="F210" s="210" t="s">
        <v>53</v>
      </c>
      <c r="G210" s="223" t="s">
        <v>362</v>
      </c>
      <c r="H210" s="221">
        <v>41558</v>
      </c>
      <c r="I210" s="1">
        <v>55.79</v>
      </c>
      <c r="J210" s="248"/>
    </row>
    <row r="211" spans="1:10" ht="18" customHeight="1">
      <c r="A211" s="218">
        <v>206</v>
      </c>
      <c r="B211" s="223" t="s">
        <v>363</v>
      </c>
      <c r="C211" s="221">
        <v>41563</v>
      </c>
      <c r="D211" s="1">
        <v>30.39</v>
      </c>
      <c r="E211" s="213" t="s">
        <v>51</v>
      </c>
      <c r="F211" s="210" t="s">
        <v>53</v>
      </c>
      <c r="G211" s="223" t="s">
        <v>363</v>
      </c>
      <c r="H211" s="221">
        <v>41563</v>
      </c>
      <c r="I211" s="1">
        <v>30.39</v>
      </c>
      <c r="J211" s="248"/>
    </row>
    <row r="212" spans="1:10" ht="18" customHeight="1">
      <c r="A212" s="218">
        <v>207</v>
      </c>
      <c r="B212" s="223" t="s">
        <v>364</v>
      </c>
      <c r="C212" s="221">
        <v>41568</v>
      </c>
      <c r="D212" s="1">
        <v>25.7</v>
      </c>
      <c r="E212" s="213" t="s">
        <v>51</v>
      </c>
      <c r="F212" s="210" t="s">
        <v>53</v>
      </c>
      <c r="G212" s="223" t="s">
        <v>364</v>
      </c>
      <c r="H212" s="221">
        <v>41568</v>
      </c>
      <c r="I212" s="1">
        <v>25.7</v>
      </c>
      <c r="J212" s="248"/>
    </row>
    <row r="213" spans="1:10" ht="18" customHeight="1">
      <c r="A213" s="218">
        <v>208</v>
      </c>
      <c r="B213" s="223" t="s">
        <v>365</v>
      </c>
      <c r="C213" s="221">
        <v>41568</v>
      </c>
      <c r="D213" s="1">
        <v>25.14</v>
      </c>
      <c r="E213" s="213" t="s">
        <v>51</v>
      </c>
      <c r="F213" s="210" t="s">
        <v>53</v>
      </c>
      <c r="G213" s="223" t="s">
        <v>365</v>
      </c>
      <c r="H213" s="221">
        <v>41568</v>
      </c>
      <c r="I213" s="1">
        <v>25.14</v>
      </c>
      <c r="J213" s="248"/>
    </row>
    <row r="214" spans="1:10" ht="18" customHeight="1">
      <c r="A214" s="218">
        <v>209</v>
      </c>
      <c r="B214" s="223" t="s">
        <v>366</v>
      </c>
      <c r="C214" s="221">
        <v>41568</v>
      </c>
      <c r="D214" s="1">
        <v>39.39</v>
      </c>
      <c r="E214" s="213" t="s">
        <v>51</v>
      </c>
      <c r="F214" s="210" t="s">
        <v>53</v>
      </c>
      <c r="G214" s="223" t="s">
        <v>366</v>
      </c>
      <c r="H214" s="221">
        <v>41568</v>
      </c>
      <c r="I214" s="1">
        <v>39.39</v>
      </c>
      <c r="J214" s="248"/>
    </row>
    <row r="215" spans="1:10" ht="18" customHeight="1">
      <c r="A215" s="218">
        <v>210</v>
      </c>
      <c r="B215" s="223" t="s">
        <v>369</v>
      </c>
      <c r="C215" s="221">
        <v>41569</v>
      </c>
      <c r="D215" s="1">
        <v>30.9</v>
      </c>
      <c r="E215" s="213" t="s">
        <v>51</v>
      </c>
      <c r="F215" s="210" t="s">
        <v>53</v>
      </c>
      <c r="G215" s="223" t="s">
        <v>369</v>
      </c>
      <c r="H215" s="221">
        <v>41569</v>
      </c>
      <c r="I215" s="1">
        <v>30.9</v>
      </c>
      <c r="J215" s="248"/>
    </row>
    <row r="216" spans="1:10" ht="18" customHeight="1">
      <c r="A216" s="218">
        <v>211</v>
      </c>
      <c r="B216" s="223" t="s">
        <v>370</v>
      </c>
      <c r="C216" s="221">
        <v>41575</v>
      </c>
      <c r="D216" s="1">
        <v>26.81</v>
      </c>
      <c r="E216" s="213" t="s">
        <v>51</v>
      </c>
      <c r="F216" s="210" t="s">
        <v>53</v>
      </c>
      <c r="G216" s="223" t="s">
        <v>370</v>
      </c>
      <c r="H216" s="221">
        <v>41575</v>
      </c>
      <c r="I216" s="1">
        <v>26.81</v>
      </c>
      <c r="J216" s="248"/>
    </row>
    <row r="217" spans="1:10" ht="18" customHeight="1">
      <c r="A217" s="218">
        <v>212</v>
      </c>
      <c r="B217" s="223" t="s">
        <v>371</v>
      </c>
      <c r="C217" s="221">
        <v>41575</v>
      </c>
      <c r="D217" s="1">
        <v>26.76</v>
      </c>
      <c r="E217" s="213" t="s">
        <v>51</v>
      </c>
      <c r="F217" s="210" t="s">
        <v>53</v>
      </c>
      <c r="G217" s="223" t="s">
        <v>371</v>
      </c>
      <c r="H217" s="221">
        <v>41575</v>
      </c>
      <c r="I217" s="1">
        <v>26.76</v>
      </c>
      <c r="J217" s="248"/>
    </row>
    <row r="218" spans="1:10" ht="18" customHeight="1">
      <c r="A218" s="218">
        <v>213</v>
      </c>
      <c r="B218" s="223" t="s">
        <v>372</v>
      </c>
      <c r="C218" s="221">
        <v>41575</v>
      </c>
      <c r="D218" s="1">
        <v>36.049999999999997</v>
      </c>
      <c r="E218" s="213" t="s">
        <v>51</v>
      </c>
      <c r="F218" s="210" t="s">
        <v>53</v>
      </c>
      <c r="G218" s="223" t="s">
        <v>372</v>
      </c>
      <c r="H218" s="221">
        <v>41575</v>
      </c>
      <c r="I218" s="1">
        <v>36.049999999999997</v>
      </c>
      <c r="J218" s="248"/>
    </row>
    <row r="219" spans="1:10" ht="18" customHeight="1">
      <c r="A219" s="218">
        <v>214</v>
      </c>
      <c r="B219" s="223" t="s">
        <v>373</v>
      </c>
      <c r="C219" s="221">
        <v>41575</v>
      </c>
      <c r="D219" s="1">
        <v>31.7</v>
      </c>
      <c r="E219" s="213" t="s">
        <v>51</v>
      </c>
      <c r="F219" s="210" t="s">
        <v>53</v>
      </c>
      <c r="G219" s="223" t="s">
        <v>373</v>
      </c>
      <c r="H219" s="221">
        <v>41575</v>
      </c>
      <c r="I219" s="1">
        <v>31.7</v>
      </c>
      <c r="J219" s="248"/>
    </row>
    <row r="220" spans="1:10" ht="18" customHeight="1">
      <c r="A220" s="218">
        <v>215</v>
      </c>
      <c r="B220" s="223" t="s">
        <v>374</v>
      </c>
      <c r="C220" s="221">
        <v>41575</v>
      </c>
      <c r="D220" s="1">
        <v>52.45</v>
      </c>
      <c r="E220" s="213" t="s">
        <v>51</v>
      </c>
      <c r="F220" s="210" t="s">
        <v>53</v>
      </c>
      <c r="G220" s="223" t="s">
        <v>374</v>
      </c>
      <c r="H220" s="221">
        <v>41575</v>
      </c>
      <c r="I220" s="1">
        <v>52.45</v>
      </c>
      <c r="J220" s="248"/>
    </row>
    <row r="221" spans="1:10" ht="18" customHeight="1">
      <c r="A221" s="218">
        <v>216</v>
      </c>
      <c r="B221" s="223" t="s">
        <v>379</v>
      </c>
      <c r="C221" s="221">
        <v>41582</v>
      </c>
      <c r="D221" s="1">
        <v>22.1</v>
      </c>
      <c r="E221" s="213" t="s">
        <v>51</v>
      </c>
      <c r="F221" s="210" t="s">
        <v>53</v>
      </c>
      <c r="G221" s="223" t="s">
        <v>379</v>
      </c>
      <c r="H221" s="221">
        <v>41582</v>
      </c>
      <c r="I221" s="1">
        <v>22.1</v>
      </c>
      <c r="J221" s="248"/>
    </row>
    <row r="222" spans="1:10" ht="18" customHeight="1">
      <c r="A222" s="218">
        <v>217</v>
      </c>
      <c r="B222" s="223" t="s">
        <v>380</v>
      </c>
      <c r="C222" s="221">
        <v>41583</v>
      </c>
      <c r="D222" s="1">
        <v>29.5</v>
      </c>
      <c r="E222" s="213" t="s">
        <v>51</v>
      </c>
      <c r="F222" s="210" t="s">
        <v>53</v>
      </c>
      <c r="G222" s="223" t="s">
        <v>380</v>
      </c>
      <c r="H222" s="221">
        <v>41583</v>
      </c>
      <c r="I222" s="1">
        <v>29.5</v>
      </c>
      <c r="J222" s="248"/>
    </row>
    <row r="223" spans="1:10" ht="18" customHeight="1">
      <c r="A223" s="218">
        <v>218</v>
      </c>
      <c r="B223" s="223" t="s">
        <v>381</v>
      </c>
      <c r="C223" s="221">
        <v>41583</v>
      </c>
      <c r="D223" s="1">
        <v>5</v>
      </c>
      <c r="E223" s="213" t="s">
        <v>51</v>
      </c>
      <c r="F223" s="210" t="s">
        <v>53</v>
      </c>
      <c r="G223" s="223" t="s">
        <v>381</v>
      </c>
      <c r="H223" s="221">
        <v>41583</v>
      </c>
      <c r="I223" s="1">
        <v>5</v>
      </c>
      <c r="J223" s="248"/>
    </row>
    <row r="224" spans="1:10" ht="18" customHeight="1">
      <c r="A224" s="218">
        <v>219</v>
      </c>
      <c r="B224" s="223" t="s">
        <v>382</v>
      </c>
      <c r="C224" s="221">
        <v>41583</v>
      </c>
      <c r="D224" s="1">
        <v>117.01</v>
      </c>
      <c r="E224" s="213" t="s">
        <v>51</v>
      </c>
      <c r="F224" s="210" t="s">
        <v>53</v>
      </c>
      <c r="G224" s="223" t="s">
        <v>382</v>
      </c>
      <c r="H224" s="221">
        <v>41583</v>
      </c>
      <c r="I224" s="1">
        <v>117.01</v>
      </c>
      <c r="J224" s="248"/>
    </row>
    <row r="225" spans="1:10" ht="18" customHeight="1">
      <c r="A225" s="218">
        <v>220</v>
      </c>
      <c r="B225" s="223" t="s">
        <v>383</v>
      </c>
      <c r="C225" s="221">
        <v>41589</v>
      </c>
      <c r="D225" s="1">
        <v>28.02</v>
      </c>
      <c r="E225" s="213" t="s">
        <v>51</v>
      </c>
      <c r="F225" s="210" t="s">
        <v>53</v>
      </c>
      <c r="G225" s="223" t="s">
        <v>383</v>
      </c>
      <c r="H225" s="221">
        <v>41589</v>
      </c>
      <c r="I225" s="1">
        <v>28.02</v>
      </c>
      <c r="J225" s="248"/>
    </row>
    <row r="226" spans="1:10" ht="18" customHeight="1">
      <c r="A226" s="218">
        <v>221</v>
      </c>
      <c r="B226" s="223" t="s">
        <v>384</v>
      </c>
      <c r="C226" s="221">
        <v>41589</v>
      </c>
      <c r="D226" s="1">
        <v>24.8</v>
      </c>
      <c r="E226" s="213" t="s">
        <v>51</v>
      </c>
      <c r="F226" s="210" t="s">
        <v>53</v>
      </c>
      <c r="G226" s="223" t="s">
        <v>384</v>
      </c>
      <c r="H226" s="221">
        <v>41589</v>
      </c>
      <c r="I226" s="1">
        <v>24.8</v>
      </c>
      <c r="J226" s="248"/>
    </row>
    <row r="227" spans="1:10" ht="18" customHeight="1">
      <c r="A227" s="218">
        <v>222</v>
      </c>
      <c r="B227" s="223" t="s">
        <v>385</v>
      </c>
      <c r="C227" s="221">
        <v>41593</v>
      </c>
      <c r="D227" s="1">
        <v>27.56</v>
      </c>
      <c r="E227" s="213" t="s">
        <v>51</v>
      </c>
      <c r="F227" s="210" t="s">
        <v>53</v>
      </c>
      <c r="G227" s="223" t="s">
        <v>385</v>
      </c>
      <c r="H227" s="221">
        <v>41593</v>
      </c>
      <c r="I227" s="1">
        <v>27.56</v>
      </c>
      <c r="J227" s="248"/>
    </row>
    <row r="228" spans="1:10" ht="18" customHeight="1">
      <c r="A228" s="218">
        <v>223</v>
      </c>
      <c r="B228" s="223" t="s">
        <v>390</v>
      </c>
      <c r="C228" s="221">
        <v>41610</v>
      </c>
      <c r="D228" s="1">
        <v>30.96</v>
      </c>
      <c r="E228" s="213" t="s">
        <v>51</v>
      </c>
      <c r="F228" s="210" t="s">
        <v>53</v>
      </c>
      <c r="G228" s="223" t="s">
        <v>390</v>
      </c>
      <c r="H228" s="221">
        <v>41610</v>
      </c>
      <c r="I228" s="1">
        <v>30.96</v>
      </c>
      <c r="J228" s="248"/>
    </row>
    <row r="229" spans="1:10" ht="18" customHeight="1">
      <c r="A229" s="218">
        <v>224</v>
      </c>
      <c r="B229" s="223" t="s">
        <v>391</v>
      </c>
      <c r="C229" s="221">
        <v>41611</v>
      </c>
      <c r="D229" s="1">
        <v>59.29</v>
      </c>
      <c r="E229" s="213" t="s">
        <v>51</v>
      </c>
      <c r="F229" s="210" t="s">
        <v>53</v>
      </c>
      <c r="G229" s="223" t="s">
        <v>391</v>
      </c>
      <c r="H229" s="221">
        <v>41611</v>
      </c>
      <c r="I229" s="1">
        <v>59.29</v>
      </c>
      <c r="J229" s="248"/>
    </row>
    <row r="230" spans="1:10" ht="18" customHeight="1">
      <c r="A230" s="218">
        <v>225</v>
      </c>
      <c r="B230" s="223" t="s">
        <v>394</v>
      </c>
      <c r="C230" s="221">
        <v>41618</v>
      </c>
      <c r="D230" s="1">
        <v>22.52</v>
      </c>
      <c r="E230" s="213" t="s">
        <v>51</v>
      </c>
      <c r="F230" s="210" t="s">
        <v>53</v>
      </c>
      <c r="G230" s="223" t="s">
        <v>394</v>
      </c>
      <c r="H230" s="221">
        <v>41618</v>
      </c>
      <c r="I230" s="1">
        <v>22.52</v>
      </c>
      <c r="J230" s="248"/>
    </row>
    <row r="231" spans="1:10" ht="18" customHeight="1">
      <c r="A231" s="218">
        <v>226</v>
      </c>
      <c r="B231" s="223" t="s">
        <v>395</v>
      </c>
      <c r="C231" s="221">
        <v>41619</v>
      </c>
      <c r="D231" s="1">
        <v>149.28</v>
      </c>
      <c r="E231" s="213" t="s">
        <v>51</v>
      </c>
      <c r="F231" s="210" t="s">
        <v>53</v>
      </c>
      <c r="G231" s="223" t="s">
        <v>395</v>
      </c>
      <c r="H231" s="221">
        <v>41619</v>
      </c>
      <c r="I231" s="1">
        <v>149.28</v>
      </c>
      <c r="J231" s="248"/>
    </row>
    <row r="232" spans="1:10" ht="18" customHeight="1">
      <c r="A232" s="218">
        <v>227</v>
      </c>
      <c r="B232" s="223" t="s">
        <v>396</v>
      </c>
      <c r="C232" s="221">
        <v>41619</v>
      </c>
      <c r="D232" s="1">
        <v>75.19</v>
      </c>
      <c r="E232" s="213" t="s">
        <v>51</v>
      </c>
      <c r="F232" s="210" t="s">
        <v>53</v>
      </c>
      <c r="G232" s="223" t="s">
        <v>396</v>
      </c>
      <c r="H232" s="221">
        <v>41619</v>
      </c>
      <c r="I232" s="1">
        <v>75.19</v>
      </c>
      <c r="J232" s="248"/>
    </row>
    <row r="233" spans="1:10" ht="18" customHeight="1">
      <c r="A233" s="218">
        <v>228</v>
      </c>
      <c r="B233" s="223" t="s">
        <v>397</v>
      </c>
      <c r="C233" s="221">
        <v>41619</v>
      </c>
      <c r="D233" s="1">
        <v>23.89</v>
      </c>
      <c r="E233" s="213" t="s">
        <v>51</v>
      </c>
      <c r="F233" s="210" t="s">
        <v>53</v>
      </c>
      <c r="G233" s="223" t="s">
        <v>397</v>
      </c>
      <c r="H233" s="221">
        <v>41619</v>
      </c>
      <c r="I233" s="1">
        <v>23.89</v>
      </c>
      <c r="J233" s="248"/>
    </row>
    <row r="234" spans="1:10" ht="18" customHeight="1">
      <c r="A234" s="218">
        <v>229</v>
      </c>
      <c r="B234" s="223" t="s">
        <v>398</v>
      </c>
      <c r="C234" s="221">
        <v>41619</v>
      </c>
      <c r="D234" s="1">
        <v>60.08</v>
      </c>
      <c r="E234" s="213" t="s">
        <v>51</v>
      </c>
      <c r="F234" s="210" t="s">
        <v>53</v>
      </c>
      <c r="G234" s="223" t="s">
        <v>398</v>
      </c>
      <c r="H234" s="221">
        <v>41619</v>
      </c>
      <c r="I234" s="1">
        <v>60.08</v>
      </c>
      <c r="J234" s="248"/>
    </row>
    <row r="235" spans="1:10" ht="18" customHeight="1">
      <c r="A235" s="218">
        <v>230</v>
      </c>
      <c r="B235" s="223" t="s">
        <v>399</v>
      </c>
      <c r="C235" s="221">
        <v>41619</v>
      </c>
      <c r="D235" s="1">
        <v>31.16</v>
      </c>
      <c r="E235" s="213" t="s">
        <v>51</v>
      </c>
      <c r="F235" s="210" t="s">
        <v>53</v>
      </c>
      <c r="G235" s="223" t="s">
        <v>399</v>
      </c>
      <c r="H235" s="221">
        <v>41619</v>
      </c>
      <c r="I235" s="1">
        <v>31.16</v>
      </c>
      <c r="J235" s="248"/>
    </row>
    <row r="236" spans="1:10" ht="18" customHeight="1">
      <c r="A236" s="218">
        <v>231</v>
      </c>
      <c r="B236" s="223" t="s">
        <v>402</v>
      </c>
      <c r="C236" s="221">
        <v>41624</v>
      </c>
      <c r="D236" s="1">
        <v>45.38</v>
      </c>
      <c r="E236" s="213" t="s">
        <v>51</v>
      </c>
      <c r="F236" s="210" t="s">
        <v>53</v>
      </c>
      <c r="G236" s="223" t="s">
        <v>402</v>
      </c>
      <c r="H236" s="221">
        <v>41624</v>
      </c>
      <c r="I236" s="1">
        <v>45.38</v>
      </c>
      <c r="J236" s="248"/>
    </row>
    <row r="237" spans="1:10" ht="18" customHeight="1">
      <c r="A237" s="218">
        <v>232</v>
      </c>
      <c r="B237" s="223" t="s">
        <v>403</v>
      </c>
      <c r="C237" s="221">
        <v>41625</v>
      </c>
      <c r="D237" s="1">
        <v>22.3</v>
      </c>
      <c r="E237" s="213" t="s">
        <v>51</v>
      </c>
      <c r="F237" s="210" t="s">
        <v>53</v>
      </c>
      <c r="G237" s="223" t="s">
        <v>403</v>
      </c>
      <c r="H237" s="221">
        <v>41625</v>
      </c>
      <c r="I237" s="1">
        <v>22.3</v>
      </c>
      <c r="J237" s="248"/>
    </row>
    <row r="238" spans="1:10" ht="18" customHeight="1">
      <c r="A238" s="218">
        <v>233</v>
      </c>
      <c r="B238" s="223" t="s">
        <v>404</v>
      </c>
      <c r="C238" s="221">
        <v>41625</v>
      </c>
      <c r="D238" s="1">
        <v>22.3</v>
      </c>
      <c r="E238" s="213" t="s">
        <v>51</v>
      </c>
      <c r="F238" s="210" t="s">
        <v>53</v>
      </c>
      <c r="G238" s="223" t="s">
        <v>404</v>
      </c>
      <c r="H238" s="221">
        <v>41625</v>
      </c>
      <c r="I238" s="1">
        <v>22.3</v>
      </c>
      <c r="J238" s="248"/>
    </row>
    <row r="239" spans="1:10" ht="18" customHeight="1">
      <c r="A239" s="218">
        <v>234</v>
      </c>
      <c r="B239" s="223" t="s">
        <v>405</v>
      </c>
      <c r="C239" s="221">
        <v>41625</v>
      </c>
      <c r="D239" s="1">
        <v>26.79</v>
      </c>
      <c r="E239" s="213" t="s">
        <v>51</v>
      </c>
      <c r="F239" s="210" t="s">
        <v>53</v>
      </c>
      <c r="G239" s="223" t="s">
        <v>405</v>
      </c>
      <c r="H239" s="221">
        <v>41625</v>
      </c>
      <c r="I239" s="1">
        <v>26.79</v>
      </c>
      <c r="J239" s="248"/>
    </row>
    <row r="240" spans="1:10" ht="18" customHeight="1">
      <c r="A240" s="218">
        <v>235</v>
      </c>
      <c r="B240" s="223" t="s">
        <v>406</v>
      </c>
      <c r="C240" s="221">
        <v>41631</v>
      </c>
      <c r="D240" s="1">
        <v>39.28</v>
      </c>
      <c r="E240" s="213" t="s">
        <v>51</v>
      </c>
      <c r="F240" s="210" t="s">
        <v>53</v>
      </c>
      <c r="G240" s="223" t="s">
        <v>406</v>
      </c>
      <c r="H240" s="221">
        <v>41631</v>
      </c>
      <c r="I240" s="1">
        <v>39.28</v>
      </c>
      <c r="J240" s="248"/>
    </row>
    <row r="241" spans="1:10" ht="18" customHeight="1">
      <c r="A241" s="218">
        <v>236</v>
      </c>
      <c r="B241" s="223" t="s">
        <v>407</v>
      </c>
      <c r="C241" s="221">
        <v>41631</v>
      </c>
      <c r="D241" s="1">
        <v>25.73</v>
      </c>
      <c r="E241" s="213" t="s">
        <v>51</v>
      </c>
      <c r="F241" s="210" t="s">
        <v>53</v>
      </c>
      <c r="G241" s="223" t="s">
        <v>407</v>
      </c>
      <c r="H241" s="221">
        <v>41631</v>
      </c>
      <c r="I241" s="1">
        <v>25.73</v>
      </c>
      <c r="J241" s="248"/>
    </row>
    <row r="242" spans="1:10" ht="18" customHeight="1">
      <c r="A242" s="218">
        <v>237</v>
      </c>
      <c r="B242" s="223" t="s">
        <v>409</v>
      </c>
      <c r="C242" s="221">
        <v>41638</v>
      </c>
      <c r="D242" s="1">
        <v>28.56</v>
      </c>
      <c r="E242" s="213" t="s">
        <v>51</v>
      </c>
      <c r="F242" s="210" t="s">
        <v>53</v>
      </c>
      <c r="G242" s="223" t="s">
        <v>409</v>
      </c>
      <c r="H242" s="221">
        <v>41638</v>
      </c>
      <c r="I242" s="1">
        <v>28.56</v>
      </c>
      <c r="J242" s="248"/>
    </row>
    <row r="243" spans="1:10" ht="18" customHeight="1">
      <c r="A243" s="218">
        <v>238</v>
      </c>
      <c r="B243" s="223" t="s">
        <v>409</v>
      </c>
      <c r="C243" s="221">
        <v>41638</v>
      </c>
      <c r="D243" s="1">
        <v>28.56</v>
      </c>
      <c r="E243" s="213" t="s">
        <v>51</v>
      </c>
      <c r="F243" s="210" t="s">
        <v>53</v>
      </c>
      <c r="G243" s="223" t="s">
        <v>409</v>
      </c>
      <c r="H243" s="221">
        <v>41638</v>
      </c>
      <c r="I243" s="1">
        <v>28.56</v>
      </c>
      <c r="J243" s="248"/>
    </row>
    <row r="244" spans="1:10" ht="18" customHeight="1">
      <c r="A244" s="218">
        <v>239</v>
      </c>
      <c r="B244" s="223" t="s">
        <v>410</v>
      </c>
      <c r="C244" s="221">
        <v>41639</v>
      </c>
      <c r="D244" s="1">
        <v>22.3</v>
      </c>
      <c r="E244" s="213" t="s">
        <v>51</v>
      </c>
      <c r="F244" s="210" t="s">
        <v>53</v>
      </c>
      <c r="G244" s="223" t="s">
        <v>410</v>
      </c>
      <c r="H244" s="221">
        <v>41639</v>
      </c>
      <c r="I244" s="1">
        <v>22.3</v>
      </c>
      <c r="J244" s="248"/>
    </row>
    <row r="245" spans="1:10" ht="18" customHeight="1">
      <c r="A245" s="218">
        <v>240</v>
      </c>
      <c r="B245" s="223" t="s">
        <v>411</v>
      </c>
      <c r="C245" s="221">
        <v>41639</v>
      </c>
      <c r="D245" s="1">
        <v>50.47</v>
      </c>
      <c r="E245" s="213" t="s">
        <v>51</v>
      </c>
      <c r="F245" s="210" t="s">
        <v>53</v>
      </c>
      <c r="G245" s="223" t="s">
        <v>411</v>
      </c>
      <c r="H245" s="221">
        <v>41639</v>
      </c>
      <c r="I245" s="1">
        <v>50.47</v>
      </c>
      <c r="J245" s="248"/>
    </row>
    <row r="246" spans="1:10" ht="18" customHeight="1">
      <c r="A246" s="218">
        <v>241</v>
      </c>
      <c r="B246" s="223" t="s">
        <v>412</v>
      </c>
      <c r="C246" s="221">
        <v>41639</v>
      </c>
      <c r="D246" s="1">
        <v>5</v>
      </c>
      <c r="E246" s="213" t="s">
        <v>51</v>
      </c>
      <c r="F246" s="210" t="s">
        <v>53</v>
      </c>
      <c r="G246" s="223" t="s">
        <v>412</v>
      </c>
      <c r="H246" s="221">
        <v>41639</v>
      </c>
      <c r="I246" s="1">
        <v>5</v>
      </c>
      <c r="J246" s="248"/>
    </row>
    <row r="247" spans="1:10" ht="18" customHeight="1">
      <c r="A247" s="218">
        <v>242</v>
      </c>
      <c r="B247" s="223" t="s">
        <v>410</v>
      </c>
      <c r="C247" s="221">
        <v>41639</v>
      </c>
      <c r="D247" s="1">
        <v>22.3</v>
      </c>
      <c r="E247" s="213" t="s">
        <v>51</v>
      </c>
      <c r="F247" s="210" t="s">
        <v>53</v>
      </c>
      <c r="G247" s="223" t="s">
        <v>410</v>
      </c>
      <c r="H247" s="221">
        <v>41639</v>
      </c>
      <c r="I247" s="1">
        <v>22.3</v>
      </c>
      <c r="J247" s="248"/>
    </row>
    <row r="248" spans="1:10" ht="18" customHeight="1">
      <c r="A248" s="218">
        <v>243</v>
      </c>
      <c r="B248" s="223" t="s">
        <v>411</v>
      </c>
      <c r="C248" s="221">
        <v>41639</v>
      </c>
      <c r="D248" s="1">
        <v>50.47</v>
      </c>
      <c r="E248" s="213" t="s">
        <v>51</v>
      </c>
      <c r="F248" s="210" t="s">
        <v>53</v>
      </c>
      <c r="G248" s="223" t="s">
        <v>411</v>
      </c>
      <c r="H248" s="221">
        <v>41639</v>
      </c>
      <c r="I248" s="1">
        <v>50.47</v>
      </c>
      <c r="J248" s="248"/>
    </row>
    <row r="249" spans="1:10" ht="18" customHeight="1">
      <c r="A249" s="218">
        <v>244</v>
      </c>
      <c r="B249" s="223" t="s">
        <v>412</v>
      </c>
      <c r="C249" s="221">
        <v>41639</v>
      </c>
      <c r="D249" s="1">
        <v>5</v>
      </c>
      <c r="E249" s="213" t="s">
        <v>51</v>
      </c>
      <c r="F249" s="210" t="s">
        <v>53</v>
      </c>
      <c r="G249" s="223" t="s">
        <v>412</v>
      </c>
      <c r="H249" s="221">
        <v>41639</v>
      </c>
      <c r="I249" s="1">
        <v>5</v>
      </c>
      <c r="J249" s="248"/>
    </row>
    <row r="250" spans="1:10" ht="18" customHeight="1">
      <c r="A250" s="218">
        <v>245</v>
      </c>
      <c r="B250" s="225" t="s">
        <v>416</v>
      </c>
      <c r="C250" s="226">
        <v>41646</v>
      </c>
      <c r="D250" s="212">
        <v>36.07</v>
      </c>
      <c r="E250" s="213" t="s">
        <v>51</v>
      </c>
      <c r="F250" s="210" t="s">
        <v>53</v>
      </c>
      <c r="G250" s="225" t="s">
        <v>416</v>
      </c>
      <c r="H250" s="226">
        <v>41646</v>
      </c>
      <c r="I250" s="212">
        <v>36.07</v>
      </c>
      <c r="J250" s="248"/>
    </row>
    <row r="251" spans="1:10" ht="18" customHeight="1">
      <c r="A251" s="218">
        <v>246</v>
      </c>
      <c r="B251" s="225" t="s">
        <v>417</v>
      </c>
      <c r="C251" s="226">
        <v>41646</v>
      </c>
      <c r="D251" s="212">
        <v>100.41</v>
      </c>
      <c r="E251" s="213" t="s">
        <v>51</v>
      </c>
      <c r="F251" s="210" t="s">
        <v>53</v>
      </c>
      <c r="G251" s="225" t="s">
        <v>417</v>
      </c>
      <c r="H251" s="226">
        <v>41646</v>
      </c>
      <c r="I251" s="212">
        <v>100.41</v>
      </c>
      <c r="J251" s="248"/>
    </row>
    <row r="252" spans="1:10" ht="18" customHeight="1">
      <c r="A252" s="218">
        <v>247</v>
      </c>
      <c r="B252" s="225" t="s">
        <v>421</v>
      </c>
      <c r="C252" s="226">
        <v>41653</v>
      </c>
      <c r="D252" s="212">
        <v>43.29</v>
      </c>
      <c r="E252" s="213" t="s">
        <v>51</v>
      </c>
      <c r="F252" s="210" t="s">
        <v>53</v>
      </c>
      <c r="G252" s="225" t="s">
        <v>421</v>
      </c>
      <c r="H252" s="226">
        <v>41653</v>
      </c>
      <c r="I252" s="212">
        <v>43.29</v>
      </c>
      <c r="J252" s="248"/>
    </row>
    <row r="253" spans="1:10" ht="18" customHeight="1">
      <c r="A253" s="218">
        <v>248</v>
      </c>
      <c r="B253" s="225" t="s">
        <v>422</v>
      </c>
      <c r="C253" s="226">
        <v>41653</v>
      </c>
      <c r="D253" s="212">
        <v>34.049999999999997</v>
      </c>
      <c r="E253" s="213" t="s">
        <v>51</v>
      </c>
      <c r="F253" s="210" t="s">
        <v>53</v>
      </c>
      <c r="G253" s="225" t="s">
        <v>422</v>
      </c>
      <c r="H253" s="226">
        <v>41653</v>
      </c>
      <c r="I253" s="212">
        <v>34.049999999999997</v>
      </c>
      <c r="J253" s="248"/>
    </row>
    <row r="254" spans="1:10" ht="18" customHeight="1">
      <c r="A254" s="218">
        <v>249</v>
      </c>
      <c r="B254" s="225" t="s">
        <v>423</v>
      </c>
      <c r="C254" s="226">
        <v>41653</v>
      </c>
      <c r="D254" s="212">
        <v>109.52</v>
      </c>
      <c r="E254" s="213" t="s">
        <v>51</v>
      </c>
      <c r="F254" s="210" t="s">
        <v>53</v>
      </c>
      <c r="G254" s="225" t="s">
        <v>423</v>
      </c>
      <c r="H254" s="226">
        <v>41653</v>
      </c>
      <c r="I254" s="212">
        <v>109.52</v>
      </c>
      <c r="J254" s="248"/>
    </row>
    <row r="255" spans="1:10" ht="18" customHeight="1">
      <c r="A255" s="218">
        <v>250</v>
      </c>
      <c r="B255" s="225" t="s">
        <v>424</v>
      </c>
      <c r="C255" s="226">
        <v>41653</v>
      </c>
      <c r="D255" s="212">
        <v>56.94</v>
      </c>
      <c r="E255" s="213" t="s">
        <v>51</v>
      </c>
      <c r="F255" s="210" t="s">
        <v>53</v>
      </c>
      <c r="G255" s="225" t="s">
        <v>424</v>
      </c>
      <c r="H255" s="226">
        <v>41653</v>
      </c>
      <c r="I255" s="212">
        <v>56.94</v>
      </c>
      <c r="J255" s="248"/>
    </row>
    <row r="256" spans="1:10" ht="18" customHeight="1">
      <c r="A256" s="218">
        <v>251</v>
      </c>
      <c r="B256" s="225" t="s">
        <v>425</v>
      </c>
      <c r="C256" s="226">
        <v>41654</v>
      </c>
      <c r="D256" s="212">
        <v>48</v>
      </c>
      <c r="E256" s="213" t="s">
        <v>51</v>
      </c>
      <c r="F256" s="210" t="s">
        <v>53</v>
      </c>
      <c r="G256" s="225" t="s">
        <v>425</v>
      </c>
      <c r="H256" s="226">
        <v>41654</v>
      </c>
      <c r="I256" s="212">
        <v>48</v>
      </c>
      <c r="J256" s="248"/>
    </row>
    <row r="257" spans="1:10" ht="18" customHeight="1">
      <c r="A257" s="218">
        <v>252</v>
      </c>
      <c r="B257" s="225" t="s">
        <v>426</v>
      </c>
      <c r="C257" s="226">
        <v>41654</v>
      </c>
      <c r="D257" s="212">
        <v>22.51</v>
      </c>
      <c r="E257" s="213" t="s">
        <v>51</v>
      </c>
      <c r="F257" s="210" t="s">
        <v>53</v>
      </c>
      <c r="G257" s="225" t="s">
        <v>426</v>
      </c>
      <c r="H257" s="226">
        <v>41654</v>
      </c>
      <c r="I257" s="212">
        <v>22.51</v>
      </c>
      <c r="J257" s="248"/>
    </row>
    <row r="258" spans="1:10" ht="18" customHeight="1">
      <c r="A258" s="218">
        <v>253</v>
      </c>
      <c r="B258" s="225" t="s">
        <v>428</v>
      </c>
      <c r="C258" s="226">
        <v>41660</v>
      </c>
      <c r="D258" s="212">
        <v>23.18</v>
      </c>
      <c r="E258" s="213" t="s">
        <v>51</v>
      </c>
      <c r="F258" s="210" t="s">
        <v>53</v>
      </c>
      <c r="G258" s="225" t="s">
        <v>428</v>
      </c>
      <c r="H258" s="226">
        <v>41660</v>
      </c>
      <c r="I258" s="212">
        <v>23.18</v>
      </c>
      <c r="J258" s="248"/>
    </row>
    <row r="259" spans="1:10" ht="18" customHeight="1">
      <c r="A259" s="218">
        <v>254</v>
      </c>
      <c r="B259" s="225" t="s">
        <v>429</v>
      </c>
      <c r="C259" s="226">
        <v>41660</v>
      </c>
      <c r="D259" s="212">
        <v>55.08</v>
      </c>
      <c r="E259" s="213" t="s">
        <v>51</v>
      </c>
      <c r="F259" s="210" t="s">
        <v>53</v>
      </c>
      <c r="G259" s="225" t="s">
        <v>429</v>
      </c>
      <c r="H259" s="226">
        <v>41660</v>
      </c>
      <c r="I259" s="212">
        <v>55.08</v>
      </c>
      <c r="J259" s="248"/>
    </row>
    <row r="260" spans="1:10" ht="18" customHeight="1">
      <c r="A260" s="218">
        <v>255</v>
      </c>
      <c r="B260" s="225" t="s">
        <v>430</v>
      </c>
      <c r="C260" s="226">
        <v>41660</v>
      </c>
      <c r="D260" s="212">
        <v>23.63</v>
      </c>
      <c r="E260" s="213" t="s">
        <v>51</v>
      </c>
      <c r="F260" s="210" t="s">
        <v>53</v>
      </c>
      <c r="G260" s="225" t="s">
        <v>430</v>
      </c>
      <c r="H260" s="226">
        <v>41660</v>
      </c>
      <c r="I260" s="212">
        <v>23.63</v>
      </c>
      <c r="J260" s="248"/>
    </row>
    <row r="261" spans="1:10" ht="18" customHeight="1">
      <c r="A261" s="218">
        <v>256</v>
      </c>
      <c r="B261" s="225" t="s">
        <v>431</v>
      </c>
      <c r="C261" s="226">
        <v>41660</v>
      </c>
      <c r="D261" s="212">
        <v>46.83</v>
      </c>
      <c r="E261" s="213" t="s">
        <v>51</v>
      </c>
      <c r="F261" s="210" t="s">
        <v>53</v>
      </c>
      <c r="G261" s="225" t="s">
        <v>431</v>
      </c>
      <c r="H261" s="226">
        <v>41660</v>
      </c>
      <c r="I261" s="212">
        <v>46.83</v>
      </c>
      <c r="J261" s="248"/>
    </row>
    <row r="262" spans="1:10" ht="18" customHeight="1">
      <c r="A262" s="218">
        <v>257</v>
      </c>
      <c r="B262" s="225" t="s">
        <v>432</v>
      </c>
      <c r="C262" s="226">
        <v>41660</v>
      </c>
      <c r="D262" s="212">
        <v>79.760000000000005</v>
      </c>
      <c r="E262" s="213" t="s">
        <v>51</v>
      </c>
      <c r="F262" s="210" t="s">
        <v>53</v>
      </c>
      <c r="G262" s="225" t="s">
        <v>432</v>
      </c>
      <c r="H262" s="226">
        <v>41660</v>
      </c>
      <c r="I262" s="212">
        <v>79.760000000000005</v>
      </c>
      <c r="J262" s="248"/>
    </row>
    <row r="263" spans="1:10" ht="18" customHeight="1">
      <c r="A263" s="218">
        <v>258</v>
      </c>
      <c r="B263" s="225" t="s">
        <v>433</v>
      </c>
      <c r="C263" s="226">
        <v>41660</v>
      </c>
      <c r="D263" s="212">
        <v>42.45</v>
      </c>
      <c r="E263" s="213" t="s">
        <v>51</v>
      </c>
      <c r="F263" s="210" t="s">
        <v>53</v>
      </c>
      <c r="G263" s="225" t="s">
        <v>433</v>
      </c>
      <c r="H263" s="226">
        <v>41660</v>
      </c>
      <c r="I263" s="212">
        <v>42.45</v>
      </c>
      <c r="J263" s="248"/>
    </row>
    <row r="264" spans="1:10" ht="18" customHeight="1">
      <c r="A264" s="218">
        <v>259</v>
      </c>
      <c r="B264" s="225" t="s">
        <v>434</v>
      </c>
      <c r="C264" s="226">
        <v>21</v>
      </c>
      <c r="D264" s="212">
        <v>28.6</v>
      </c>
      <c r="E264" s="213" t="s">
        <v>51</v>
      </c>
      <c r="F264" s="210" t="s">
        <v>53</v>
      </c>
      <c r="G264" s="225" t="s">
        <v>434</v>
      </c>
      <c r="H264" s="226">
        <v>21</v>
      </c>
      <c r="I264" s="212">
        <v>28.6</v>
      </c>
      <c r="J264" s="248"/>
    </row>
    <row r="265" spans="1:10" ht="18" customHeight="1">
      <c r="A265" s="218">
        <v>260</v>
      </c>
      <c r="B265" s="225" t="s">
        <v>436</v>
      </c>
      <c r="C265" s="226">
        <v>41666</v>
      </c>
      <c r="D265" s="212">
        <v>27.97</v>
      </c>
      <c r="E265" s="213" t="s">
        <v>51</v>
      </c>
      <c r="F265" s="210" t="s">
        <v>53</v>
      </c>
      <c r="G265" s="225" t="s">
        <v>436</v>
      </c>
      <c r="H265" s="226">
        <v>41666</v>
      </c>
      <c r="I265" s="212">
        <v>27.97</v>
      </c>
      <c r="J265" s="248"/>
    </row>
    <row r="266" spans="1:10" ht="18" customHeight="1">
      <c r="A266" s="218">
        <v>261</v>
      </c>
      <c r="B266" s="225" t="s">
        <v>437</v>
      </c>
      <c r="C266" s="226">
        <v>41668</v>
      </c>
      <c r="D266" s="212">
        <v>22.3</v>
      </c>
      <c r="E266" s="213" t="s">
        <v>51</v>
      </c>
      <c r="F266" s="210" t="s">
        <v>53</v>
      </c>
      <c r="G266" s="225" t="s">
        <v>437</v>
      </c>
      <c r="H266" s="226">
        <v>41668</v>
      </c>
      <c r="I266" s="212">
        <v>22.3</v>
      </c>
      <c r="J266" s="248"/>
    </row>
    <row r="267" spans="1:10" ht="18" customHeight="1">
      <c r="A267" s="218">
        <v>262</v>
      </c>
      <c r="B267" s="225" t="s">
        <v>439</v>
      </c>
      <c r="C267" s="226">
        <v>41674</v>
      </c>
      <c r="D267" s="212">
        <v>71.040000000000006</v>
      </c>
      <c r="E267" s="213" t="s">
        <v>51</v>
      </c>
      <c r="F267" s="210" t="s">
        <v>53</v>
      </c>
      <c r="G267" s="225" t="s">
        <v>439</v>
      </c>
      <c r="H267" s="226">
        <v>41674</v>
      </c>
      <c r="I267" s="212">
        <v>71.040000000000006</v>
      </c>
      <c r="J267" s="248"/>
    </row>
    <row r="268" spans="1:10" ht="18" customHeight="1">
      <c r="A268" s="218">
        <v>263</v>
      </c>
      <c r="B268" s="225" t="s">
        <v>440</v>
      </c>
      <c r="C268" s="226">
        <v>41674</v>
      </c>
      <c r="D268" s="212">
        <v>35.49</v>
      </c>
      <c r="E268" s="213" t="s">
        <v>51</v>
      </c>
      <c r="F268" s="210" t="s">
        <v>53</v>
      </c>
      <c r="G268" s="225" t="s">
        <v>440</v>
      </c>
      <c r="H268" s="226">
        <v>41674</v>
      </c>
      <c r="I268" s="212">
        <v>35.49</v>
      </c>
      <c r="J268" s="248"/>
    </row>
    <row r="269" spans="1:10" ht="18" customHeight="1">
      <c r="A269" s="218">
        <v>264</v>
      </c>
      <c r="B269" s="225" t="s">
        <v>441</v>
      </c>
      <c r="C269" s="226">
        <v>41674</v>
      </c>
      <c r="D269" s="212">
        <v>22.1</v>
      </c>
      <c r="E269" s="213" t="s">
        <v>51</v>
      </c>
      <c r="F269" s="210" t="s">
        <v>53</v>
      </c>
      <c r="G269" s="225" t="s">
        <v>441</v>
      </c>
      <c r="H269" s="226">
        <v>41674</v>
      </c>
      <c r="I269" s="212">
        <v>22.1</v>
      </c>
      <c r="J269" s="248"/>
    </row>
    <row r="270" spans="1:10" ht="18" customHeight="1">
      <c r="A270" s="218">
        <v>265</v>
      </c>
      <c r="B270" s="225" t="s">
        <v>442</v>
      </c>
      <c r="C270" s="226">
        <v>41674</v>
      </c>
      <c r="D270" s="212">
        <v>27.57</v>
      </c>
      <c r="E270" s="213" t="s">
        <v>51</v>
      </c>
      <c r="F270" s="210" t="s">
        <v>53</v>
      </c>
      <c r="G270" s="225" t="s">
        <v>442</v>
      </c>
      <c r="H270" s="226">
        <v>41674</v>
      </c>
      <c r="I270" s="212">
        <v>27.57</v>
      </c>
      <c r="J270" s="248"/>
    </row>
    <row r="271" spans="1:10" ht="18" customHeight="1">
      <c r="A271" s="218">
        <v>266</v>
      </c>
      <c r="B271" s="225" t="s">
        <v>443</v>
      </c>
      <c r="C271" s="226">
        <v>41674</v>
      </c>
      <c r="D271" s="212">
        <v>32.04</v>
      </c>
      <c r="E271" s="213" t="s">
        <v>51</v>
      </c>
      <c r="F271" s="210" t="s">
        <v>53</v>
      </c>
      <c r="G271" s="225" t="s">
        <v>443</v>
      </c>
      <c r="H271" s="226">
        <v>41674</v>
      </c>
      <c r="I271" s="212">
        <v>32.04</v>
      </c>
      <c r="J271" s="248"/>
    </row>
    <row r="272" spans="1:10" ht="18" customHeight="1">
      <c r="A272" s="218">
        <v>267</v>
      </c>
      <c r="B272" s="225" t="s">
        <v>445</v>
      </c>
      <c r="C272" s="226">
        <v>41681</v>
      </c>
      <c r="D272" s="212">
        <v>53.23</v>
      </c>
      <c r="E272" s="213" t="s">
        <v>51</v>
      </c>
      <c r="F272" s="210" t="s">
        <v>53</v>
      </c>
      <c r="G272" s="225" t="s">
        <v>445</v>
      </c>
      <c r="H272" s="226">
        <v>41681</v>
      </c>
      <c r="I272" s="212">
        <v>53.23</v>
      </c>
      <c r="J272" s="248"/>
    </row>
    <row r="273" spans="1:10" ht="18" customHeight="1">
      <c r="A273" s="218">
        <v>268</v>
      </c>
      <c r="B273" s="225" t="s">
        <v>446</v>
      </c>
      <c r="C273" s="226">
        <v>41681</v>
      </c>
      <c r="D273" s="212">
        <v>39.89</v>
      </c>
      <c r="E273" s="213" t="s">
        <v>51</v>
      </c>
      <c r="F273" s="210" t="s">
        <v>53</v>
      </c>
      <c r="G273" s="225" t="s">
        <v>446</v>
      </c>
      <c r="H273" s="226">
        <v>41681</v>
      </c>
      <c r="I273" s="212">
        <v>39.89</v>
      </c>
      <c r="J273" s="248"/>
    </row>
    <row r="274" spans="1:10" ht="18" customHeight="1">
      <c r="A274" s="218">
        <v>269</v>
      </c>
      <c r="B274" s="225" t="s">
        <v>447</v>
      </c>
      <c r="C274" s="226">
        <v>41681</v>
      </c>
      <c r="D274" s="212">
        <v>71.63</v>
      </c>
      <c r="E274" s="213" t="s">
        <v>51</v>
      </c>
      <c r="F274" s="210" t="s">
        <v>53</v>
      </c>
      <c r="G274" s="225" t="s">
        <v>447</v>
      </c>
      <c r="H274" s="226">
        <v>41681</v>
      </c>
      <c r="I274" s="212">
        <v>71.63</v>
      </c>
      <c r="J274" s="248"/>
    </row>
    <row r="275" spans="1:10" ht="18" customHeight="1">
      <c r="A275" s="218">
        <v>270</v>
      </c>
      <c r="B275" s="225" t="s">
        <v>450</v>
      </c>
      <c r="C275" s="226">
        <v>41687</v>
      </c>
      <c r="D275" s="212">
        <v>81.22</v>
      </c>
      <c r="E275" s="213" t="s">
        <v>51</v>
      </c>
      <c r="F275" s="210" t="s">
        <v>53</v>
      </c>
      <c r="G275" s="225" t="s">
        <v>450</v>
      </c>
      <c r="H275" s="226">
        <v>41687</v>
      </c>
      <c r="I275" s="212">
        <v>81.22</v>
      </c>
      <c r="J275" s="248"/>
    </row>
    <row r="276" spans="1:10" ht="18" customHeight="1">
      <c r="A276" s="218">
        <v>271</v>
      </c>
      <c r="B276" s="225" t="s">
        <v>451</v>
      </c>
      <c r="C276" s="226">
        <v>41687</v>
      </c>
      <c r="D276" s="212">
        <v>71.16</v>
      </c>
      <c r="E276" s="213" t="s">
        <v>51</v>
      </c>
      <c r="F276" s="210" t="s">
        <v>53</v>
      </c>
      <c r="G276" s="225" t="s">
        <v>451</v>
      </c>
      <c r="H276" s="226">
        <v>41687</v>
      </c>
      <c r="I276" s="212">
        <v>71.16</v>
      </c>
      <c r="J276" s="248"/>
    </row>
    <row r="277" spans="1:10" ht="18" customHeight="1">
      <c r="A277" s="218">
        <v>272</v>
      </c>
      <c r="B277" s="225" t="s">
        <v>452</v>
      </c>
      <c r="C277" s="226">
        <v>41688</v>
      </c>
      <c r="D277" s="212">
        <v>22.3</v>
      </c>
      <c r="E277" s="213" t="s">
        <v>51</v>
      </c>
      <c r="F277" s="210" t="s">
        <v>53</v>
      </c>
      <c r="G277" s="225" t="s">
        <v>452</v>
      </c>
      <c r="H277" s="226">
        <v>41688</v>
      </c>
      <c r="I277" s="212">
        <v>22.3</v>
      </c>
      <c r="J277" s="248"/>
    </row>
    <row r="278" spans="1:10" ht="18" customHeight="1">
      <c r="A278" s="218">
        <v>273</v>
      </c>
      <c r="B278" s="225" t="s">
        <v>453</v>
      </c>
      <c r="C278" s="226">
        <v>41688</v>
      </c>
      <c r="D278" s="212">
        <v>60.23</v>
      </c>
      <c r="E278" s="213" t="s">
        <v>51</v>
      </c>
      <c r="F278" s="210" t="s">
        <v>53</v>
      </c>
      <c r="G278" s="225" t="s">
        <v>453</v>
      </c>
      <c r="H278" s="226">
        <v>41688</v>
      </c>
      <c r="I278" s="212">
        <v>60.23</v>
      </c>
      <c r="J278" s="248"/>
    </row>
    <row r="279" spans="1:10" ht="18" customHeight="1">
      <c r="A279" s="218">
        <v>274</v>
      </c>
      <c r="B279" s="225" t="s">
        <v>454</v>
      </c>
      <c r="C279" s="226">
        <v>41688</v>
      </c>
      <c r="D279" s="212">
        <v>24.8</v>
      </c>
      <c r="E279" s="213" t="s">
        <v>51</v>
      </c>
      <c r="F279" s="210" t="s">
        <v>53</v>
      </c>
      <c r="G279" s="225" t="s">
        <v>454</v>
      </c>
      <c r="H279" s="226">
        <v>41688</v>
      </c>
      <c r="I279" s="212">
        <v>24.8</v>
      </c>
      <c r="J279" s="248"/>
    </row>
    <row r="280" spans="1:10" ht="18" customHeight="1">
      <c r="A280" s="218">
        <v>275</v>
      </c>
      <c r="B280" s="225" t="s">
        <v>459</v>
      </c>
      <c r="C280" s="226">
        <v>41695</v>
      </c>
      <c r="D280" s="212">
        <v>124.82</v>
      </c>
      <c r="E280" s="213" t="s">
        <v>51</v>
      </c>
      <c r="F280" s="210" t="s">
        <v>53</v>
      </c>
      <c r="G280" s="225" t="s">
        <v>459</v>
      </c>
      <c r="H280" s="226">
        <v>41695</v>
      </c>
      <c r="I280" s="212">
        <v>124.82</v>
      </c>
      <c r="J280" s="248"/>
    </row>
    <row r="281" spans="1:10" ht="18" customHeight="1">
      <c r="A281" s="218">
        <v>276</v>
      </c>
      <c r="B281" s="225" t="s">
        <v>460</v>
      </c>
      <c r="C281" s="226">
        <v>41695</v>
      </c>
      <c r="D281" s="212">
        <v>58.99</v>
      </c>
      <c r="E281" s="213" t="s">
        <v>51</v>
      </c>
      <c r="F281" s="210" t="s">
        <v>53</v>
      </c>
      <c r="G281" s="225" t="s">
        <v>460</v>
      </c>
      <c r="H281" s="226">
        <v>41695</v>
      </c>
      <c r="I281" s="212">
        <v>58.99</v>
      </c>
      <c r="J281" s="248"/>
    </row>
    <row r="282" spans="1:10" ht="18" customHeight="1">
      <c r="A282" s="218">
        <v>277</v>
      </c>
      <c r="B282" s="225" t="s">
        <v>461</v>
      </c>
      <c r="C282" s="226">
        <v>41695</v>
      </c>
      <c r="D282" s="212">
        <v>29.35</v>
      </c>
      <c r="E282" s="213" t="s">
        <v>51</v>
      </c>
      <c r="F282" s="210" t="s">
        <v>53</v>
      </c>
      <c r="G282" s="225" t="s">
        <v>461</v>
      </c>
      <c r="H282" s="226">
        <v>41695</v>
      </c>
      <c r="I282" s="212">
        <v>29.35</v>
      </c>
      <c r="J282" s="248"/>
    </row>
    <row r="283" spans="1:10" ht="18" customHeight="1">
      <c r="A283" s="218">
        <v>278</v>
      </c>
      <c r="B283" s="225" t="s">
        <v>463</v>
      </c>
      <c r="C283" s="226">
        <v>41702</v>
      </c>
      <c r="D283" s="212">
        <v>22.3</v>
      </c>
      <c r="E283" s="213" t="s">
        <v>51</v>
      </c>
      <c r="F283" s="210" t="s">
        <v>53</v>
      </c>
      <c r="G283" s="225" t="s">
        <v>463</v>
      </c>
      <c r="H283" s="226">
        <v>41702</v>
      </c>
      <c r="I283" s="212">
        <v>22.3</v>
      </c>
      <c r="J283" s="248"/>
    </row>
    <row r="284" spans="1:10" ht="18" customHeight="1">
      <c r="A284" s="218">
        <v>279</v>
      </c>
      <c r="B284" s="225" t="s">
        <v>466</v>
      </c>
      <c r="C284" s="226">
        <v>41709</v>
      </c>
      <c r="D284" s="212">
        <v>32.520000000000003</v>
      </c>
      <c r="E284" s="213" t="s">
        <v>51</v>
      </c>
      <c r="F284" s="210" t="s">
        <v>53</v>
      </c>
      <c r="G284" s="225" t="s">
        <v>466</v>
      </c>
      <c r="H284" s="226">
        <v>41709</v>
      </c>
      <c r="I284" s="212">
        <v>32.520000000000003</v>
      </c>
      <c r="J284" s="248"/>
    </row>
    <row r="285" spans="1:10" ht="18" customHeight="1">
      <c r="A285" s="218">
        <v>280</v>
      </c>
      <c r="B285" s="225" t="s">
        <v>467</v>
      </c>
      <c r="C285" s="226">
        <v>41710</v>
      </c>
      <c r="D285" s="212">
        <v>38.630000000000003</v>
      </c>
      <c r="E285" s="213" t="s">
        <v>51</v>
      </c>
      <c r="F285" s="210" t="s">
        <v>53</v>
      </c>
      <c r="G285" s="225" t="s">
        <v>467</v>
      </c>
      <c r="H285" s="226">
        <v>41710</v>
      </c>
      <c r="I285" s="212">
        <v>38.630000000000003</v>
      </c>
      <c r="J285" s="248"/>
    </row>
    <row r="286" spans="1:10" ht="18" customHeight="1">
      <c r="A286" s="218">
        <v>281</v>
      </c>
      <c r="B286" s="225" t="s">
        <v>468</v>
      </c>
      <c r="C286" s="226">
        <v>41710</v>
      </c>
      <c r="D286" s="212">
        <v>42.61</v>
      </c>
      <c r="E286" s="213" t="s">
        <v>51</v>
      </c>
      <c r="F286" s="210" t="s">
        <v>53</v>
      </c>
      <c r="G286" s="225" t="s">
        <v>468</v>
      </c>
      <c r="H286" s="226">
        <v>41710</v>
      </c>
      <c r="I286" s="212">
        <v>42.61</v>
      </c>
      <c r="J286" s="248"/>
    </row>
    <row r="287" spans="1:10" ht="18" customHeight="1">
      <c r="A287" s="218">
        <v>282</v>
      </c>
      <c r="B287" s="225" t="s">
        <v>469</v>
      </c>
      <c r="C287" s="226">
        <v>41710</v>
      </c>
      <c r="D287" s="249">
        <v>56.46</v>
      </c>
      <c r="E287" s="213" t="s">
        <v>51</v>
      </c>
      <c r="F287" s="210" t="s">
        <v>53</v>
      </c>
      <c r="G287" s="225" t="s">
        <v>469</v>
      </c>
      <c r="H287" s="226">
        <v>41710</v>
      </c>
      <c r="I287" s="249">
        <v>56.46</v>
      </c>
      <c r="J287" s="248"/>
    </row>
    <row r="288" spans="1:10" ht="18" customHeight="1">
      <c r="A288" s="218">
        <v>283</v>
      </c>
      <c r="B288" s="225" t="s">
        <v>470</v>
      </c>
      <c r="C288" s="226">
        <v>41710</v>
      </c>
      <c r="D288" s="212">
        <v>50.1</v>
      </c>
      <c r="E288" s="213" t="s">
        <v>51</v>
      </c>
      <c r="F288" s="210" t="s">
        <v>53</v>
      </c>
      <c r="G288" s="225" t="s">
        <v>470</v>
      </c>
      <c r="H288" s="226">
        <v>41710</v>
      </c>
      <c r="I288" s="212">
        <v>50.1</v>
      </c>
      <c r="J288" s="248"/>
    </row>
    <row r="289" spans="1:10" ht="18" customHeight="1">
      <c r="A289" s="218">
        <v>284</v>
      </c>
      <c r="B289" s="225" t="s">
        <v>471</v>
      </c>
      <c r="C289" s="226">
        <v>41710</v>
      </c>
      <c r="D289" s="212">
        <v>27.97</v>
      </c>
      <c r="E289" s="213" t="s">
        <v>51</v>
      </c>
      <c r="F289" s="210" t="s">
        <v>53</v>
      </c>
      <c r="G289" s="225" t="s">
        <v>471</v>
      </c>
      <c r="H289" s="226">
        <v>41710</v>
      </c>
      <c r="I289" s="212">
        <v>27.97</v>
      </c>
      <c r="J289" s="248"/>
    </row>
    <row r="290" spans="1:10" ht="18" customHeight="1">
      <c r="A290" s="218">
        <v>285</v>
      </c>
      <c r="B290" s="225" t="s">
        <v>472</v>
      </c>
      <c r="C290" s="226">
        <v>41710</v>
      </c>
      <c r="D290" s="212">
        <v>37.9</v>
      </c>
      <c r="E290" s="213" t="s">
        <v>51</v>
      </c>
      <c r="F290" s="210" t="s">
        <v>53</v>
      </c>
      <c r="G290" s="225" t="s">
        <v>472</v>
      </c>
      <c r="H290" s="226">
        <v>41710</v>
      </c>
      <c r="I290" s="212">
        <v>37.9</v>
      </c>
      <c r="J290" s="248"/>
    </row>
    <row r="291" spans="1:10" ht="18" customHeight="1">
      <c r="A291" s="218">
        <v>286</v>
      </c>
      <c r="B291" s="225" t="s">
        <v>473</v>
      </c>
      <c r="C291" s="226">
        <v>41710</v>
      </c>
      <c r="D291" s="212">
        <v>26.66</v>
      </c>
      <c r="E291" s="213" t="s">
        <v>51</v>
      </c>
      <c r="F291" s="210" t="s">
        <v>53</v>
      </c>
      <c r="G291" s="225" t="s">
        <v>473</v>
      </c>
      <c r="H291" s="226">
        <v>41710</v>
      </c>
      <c r="I291" s="212">
        <v>26.66</v>
      </c>
      <c r="J291" s="248"/>
    </row>
    <row r="292" spans="1:10" ht="18" customHeight="1">
      <c r="A292" s="218">
        <v>287</v>
      </c>
      <c r="B292" s="225" t="s">
        <v>475</v>
      </c>
      <c r="C292" s="226">
        <v>41716</v>
      </c>
      <c r="D292" s="212">
        <v>45.05</v>
      </c>
      <c r="E292" s="213" t="s">
        <v>51</v>
      </c>
      <c r="F292" s="210" t="s">
        <v>53</v>
      </c>
      <c r="G292" s="225" t="s">
        <v>475</v>
      </c>
      <c r="H292" s="226">
        <v>41716</v>
      </c>
      <c r="I292" s="212">
        <v>45.05</v>
      </c>
      <c r="J292" s="248"/>
    </row>
    <row r="293" spans="1:10" ht="18" customHeight="1">
      <c r="A293" s="218">
        <v>288</v>
      </c>
      <c r="B293" s="225" t="s">
        <v>476</v>
      </c>
      <c r="C293" s="226">
        <v>41716</v>
      </c>
      <c r="D293" s="212">
        <v>101.57</v>
      </c>
      <c r="E293" s="213" t="s">
        <v>51</v>
      </c>
      <c r="F293" s="210" t="s">
        <v>53</v>
      </c>
      <c r="G293" s="225" t="s">
        <v>476</v>
      </c>
      <c r="H293" s="226">
        <v>41716</v>
      </c>
      <c r="I293" s="212">
        <v>101.57</v>
      </c>
      <c r="J293" s="248"/>
    </row>
    <row r="294" spans="1:10" ht="18" customHeight="1">
      <c r="A294" s="218">
        <v>289</v>
      </c>
      <c r="B294" s="225" t="s">
        <v>477</v>
      </c>
      <c r="C294" s="226">
        <v>41716</v>
      </c>
      <c r="D294" s="212">
        <v>69.010000000000005</v>
      </c>
      <c r="E294" s="213" t="s">
        <v>51</v>
      </c>
      <c r="F294" s="210" t="s">
        <v>53</v>
      </c>
      <c r="G294" s="225" t="s">
        <v>477</v>
      </c>
      <c r="H294" s="226">
        <v>41716</v>
      </c>
      <c r="I294" s="212">
        <v>69.010000000000005</v>
      </c>
      <c r="J294" s="248"/>
    </row>
    <row r="295" spans="1:10" ht="18" customHeight="1">
      <c r="A295" s="218">
        <v>290</v>
      </c>
      <c r="B295" s="225" t="s">
        <v>478</v>
      </c>
      <c r="C295" s="226">
        <v>41716</v>
      </c>
      <c r="D295" s="212">
        <v>29.48</v>
      </c>
      <c r="E295" s="213" t="s">
        <v>51</v>
      </c>
      <c r="F295" s="210" t="s">
        <v>53</v>
      </c>
      <c r="G295" s="225" t="s">
        <v>478</v>
      </c>
      <c r="H295" s="226">
        <v>41716</v>
      </c>
      <c r="I295" s="212">
        <v>29.48</v>
      </c>
      <c r="J295" s="248"/>
    </row>
    <row r="296" spans="1:10" ht="18" customHeight="1">
      <c r="A296" s="218">
        <v>291</v>
      </c>
      <c r="B296" s="225" t="s">
        <v>481</v>
      </c>
      <c r="C296" s="226">
        <v>41723</v>
      </c>
      <c r="D296" s="212">
        <v>28.65</v>
      </c>
      <c r="E296" s="213" t="s">
        <v>51</v>
      </c>
      <c r="F296" s="210" t="s">
        <v>53</v>
      </c>
      <c r="G296" s="225" t="s">
        <v>481</v>
      </c>
      <c r="H296" s="226">
        <v>41723</v>
      </c>
      <c r="I296" s="212">
        <v>28.65</v>
      </c>
      <c r="J296" s="248"/>
    </row>
    <row r="297" spans="1:10" ht="18" customHeight="1">
      <c r="A297" s="218">
        <v>292</v>
      </c>
      <c r="B297" s="225" t="s">
        <v>483</v>
      </c>
      <c r="C297" s="226">
        <v>41729</v>
      </c>
      <c r="D297" s="212">
        <v>23.85</v>
      </c>
      <c r="E297" s="213" t="s">
        <v>51</v>
      </c>
      <c r="F297" s="210" t="s">
        <v>53</v>
      </c>
      <c r="G297" s="225" t="s">
        <v>483</v>
      </c>
      <c r="H297" s="226">
        <v>41729</v>
      </c>
      <c r="I297" s="212">
        <v>23.85</v>
      </c>
      <c r="J297" s="248"/>
    </row>
    <row r="298" spans="1:10" ht="18" customHeight="1">
      <c r="A298" s="218">
        <v>293</v>
      </c>
      <c r="B298" s="225" t="s">
        <v>484</v>
      </c>
      <c r="C298" s="226">
        <v>41729</v>
      </c>
      <c r="D298" s="212">
        <v>27</v>
      </c>
      <c r="E298" s="213" t="s">
        <v>51</v>
      </c>
      <c r="F298" s="210" t="s">
        <v>53</v>
      </c>
      <c r="G298" s="225" t="s">
        <v>484</v>
      </c>
      <c r="H298" s="226">
        <v>41729</v>
      </c>
      <c r="I298" s="212">
        <v>27</v>
      </c>
      <c r="J298" s="248"/>
    </row>
    <row r="299" spans="1:10" ht="18" customHeight="1">
      <c r="A299" s="218">
        <v>294</v>
      </c>
      <c r="B299" s="225" t="s">
        <v>485</v>
      </c>
      <c r="C299" s="226">
        <v>41729</v>
      </c>
      <c r="D299" s="212">
        <v>40.090000000000003</v>
      </c>
      <c r="E299" s="213" t="s">
        <v>51</v>
      </c>
      <c r="F299" s="210" t="s">
        <v>53</v>
      </c>
      <c r="G299" s="225" t="s">
        <v>485</v>
      </c>
      <c r="H299" s="226">
        <v>41729</v>
      </c>
      <c r="I299" s="212">
        <v>40.090000000000003</v>
      </c>
      <c r="J299" s="248"/>
    </row>
    <row r="300" spans="1:10" ht="18" customHeight="1">
      <c r="A300" s="218">
        <v>295</v>
      </c>
      <c r="B300" s="225" t="s">
        <v>489</v>
      </c>
      <c r="C300" s="226">
        <v>41737</v>
      </c>
      <c r="D300" s="212">
        <v>85.06</v>
      </c>
      <c r="E300" s="213" t="s">
        <v>51</v>
      </c>
      <c r="F300" s="210" t="s">
        <v>53</v>
      </c>
      <c r="G300" s="225" t="s">
        <v>489</v>
      </c>
      <c r="H300" s="226">
        <v>41737</v>
      </c>
      <c r="I300" s="212">
        <v>85.06</v>
      </c>
      <c r="J300" s="248"/>
    </row>
    <row r="301" spans="1:10" ht="18" customHeight="1">
      <c r="A301" s="218">
        <v>296</v>
      </c>
      <c r="B301" s="225" t="s">
        <v>490</v>
      </c>
      <c r="C301" s="226">
        <v>41737</v>
      </c>
      <c r="D301" s="212">
        <v>51.16</v>
      </c>
      <c r="E301" s="213" t="s">
        <v>51</v>
      </c>
      <c r="F301" s="210" t="s">
        <v>53</v>
      </c>
      <c r="G301" s="225" t="s">
        <v>490</v>
      </c>
      <c r="H301" s="226">
        <v>41737</v>
      </c>
      <c r="I301" s="212">
        <v>51.16</v>
      </c>
      <c r="J301" s="248"/>
    </row>
    <row r="302" spans="1:10" ht="18" customHeight="1">
      <c r="A302" s="218">
        <v>297</v>
      </c>
      <c r="B302" s="225" t="s">
        <v>491</v>
      </c>
      <c r="C302" s="226">
        <v>41737</v>
      </c>
      <c r="D302" s="212">
        <v>77.349999999999994</v>
      </c>
      <c r="E302" s="213" t="s">
        <v>51</v>
      </c>
      <c r="F302" s="210" t="s">
        <v>53</v>
      </c>
      <c r="G302" s="225" t="s">
        <v>491</v>
      </c>
      <c r="H302" s="226">
        <v>41737</v>
      </c>
      <c r="I302" s="212">
        <v>77.349999999999994</v>
      </c>
      <c r="J302" s="248"/>
    </row>
    <row r="303" spans="1:10" ht="18" customHeight="1">
      <c r="A303" s="218">
        <v>298</v>
      </c>
      <c r="B303" s="225" t="s">
        <v>492</v>
      </c>
      <c r="C303" s="226">
        <v>41737</v>
      </c>
      <c r="D303" s="212">
        <v>30.9</v>
      </c>
      <c r="E303" s="213" t="s">
        <v>51</v>
      </c>
      <c r="F303" s="210" t="s">
        <v>53</v>
      </c>
      <c r="G303" s="225" t="s">
        <v>492</v>
      </c>
      <c r="H303" s="226">
        <v>41737</v>
      </c>
      <c r="I303" s="212">
        <v>30.9</v>
      </c>
      <c r="J303" s="248"/>
    </row>
    <row r="304" spans="1:10" ht="18" customHeight="1">
      <c r="A304" s="218">
        <v>299</v>
      </c>
      <c r="B304" s="225" t="s">
        <v>493</v>
      </c>
      <c r="C304" s="226">
        <v>41737</v>
      </c>
      <c r="D304" s="212">
        <v>22.3</v>
      </c>
      <c r="E304" s="213" t="s">
        <v>51</v>
      </c>
      <c r="F304" s="210" t="s">
        <v>53</v>
      </c>
      <c r="G304" s="225" t="s">
        <v>493</v>
      </c>
      <c r="H304" s="226">
        <v>41737</v>
      </c>
      <c r="I304" s="212">
        <v>22.3</v>
      </c>
      <c r="J304" s="248"/>
    </row>
    <row r="305" spans="1:10" ht="18" customHeight="1">
      <c r="A305" s="218">
        <v>300</v>
      </c>
      <c r="B305" s="225" t="s">
        <v>494</v>
      </c>
      <c r="C305" s="226">
        <v>41737</v>
      </c>
      <c r="D305" s="212">
        <v>29.07</v>
      </c>
      <c r="E305" s="213" t="s">
        <v>51</v>
      </c>
      <c r="F305" s="210" t="s">
        <v>53</v>
      </c>
      <c r="G305" s="225" t="s">
        <v>494</v>
      </c>
      <c r="H305" s="226">
        <v>41737</v>
      </c>
      <c r="I305" s="212">
        <v>29.07</v>
      </c>
      <c r="J305" s="248"/>
    </row>
    <row r="306" spans="1:10" ht="18" customHeight="1">
      <c r="A306" s="218">
        <v>301</v>
      </c>
      <c r="B306" s="225" t="s">
        <v>496</v>
      </c>
      <c r="C306" s="226">
        <v>41746</v>
      </c>
      <c r="D306" s="212">
        <v>24.8</v>
      </c>
      <c r="E306" s="213" t="s">
        <v>51</v>
      </c>
      <c r="F306" s="210" t="s">
        <v>53</v>
      </c>
      <c r="G306" s="225" t="s">
        <v>496</v>
      </c>
      <c r="H306" s="226">
        <v>41746</v>
      </c>
      <c r="I306" s="212">
        <v>24.8</v>
      </c>
      <c r="J306" s="248"/>
    </row>
    <row r="307" spans="1:10" ht="18" customHeight="1">
      <c r="A307" s="218">
        <v>302</v>
      </c>
      <c r="B307" s="225" t="s">
        <v>497</v>
      </c>
      <c r="C307" s="226">
        <v>41746</v>
      </c>
      <c r="D307" s="212">
        <v>39.869999999999997</v>
      </c>
      <c r="E307" s="213" t="s">
        <v>51</v>
      </c>
      <c r="F307" s="210" t="s">
        <v>53</v>
      </c>
      <c r="G307" s="225" t="s">
        <v>497</v>
      </c>
      <c r="H307" s="226">
        <v>41746</v>
      </c>
      <c r="I307" s="212">
        <v>39.869999999999997</v>
      </c>
      <c r="J307" s="248"/>
    </row>
    <row r="308" spans="1:10" ht="18" customHeight="1">
      <c r="A308" s="218">
        <v>303</v>
      </c>
      <c r="B308" s="225" t="s">
        <v>498</v>
      </c>
      <c r="C308" s="226">
        <v>41746</v>
      </c>
      <c r="D308" s="212">
        <v>68.849999999999994</v>
      </c>
      <c r="E308" s="213" t="s">
        <v>51</v>
      </c>
      <c r="F308" s="210" t="s">
        <v>53</v>
      </c>
      <c r="G308" s="225" t="s">
        <v>498</v>
      </c>
      <c r="H308" s="226">
        <v>41746</v>
      </c>
      <c r="I308" s="212">
        <v>68.849999999999994</v>
      </c>
      <c r="J308" s="248"/>
    </row>
    <row r="309" spans="1:10" ht="18" customHeight="1">
      <c r="A309" s="218">
        <v>304</v>
      </c>
      <c r="B309" s="225" t="s">
        <v>499</v>
      </c>
      <c r="C309" s="226">
        <v>41746</v>
      </c>
      <c r="D309" s="212">
        <v>58.6</v>
      </c>
      <c r="E309" s="213" t="s">
        <v>51</v>
      </c>
      <c r="F309" s="210" t="s">
        <v>53</v>
      </c>
      <c r="G309" s="225" t="s">
        <v>499</v>
      </c>
      <c r="H309" s="226">
        <v>41746</v>
      </c>
      <c r="I309" s="212">
        <v>58.6</v>
      </c>
      <c r="J309" s="248"/>
    </row>
    <row r="310" spans="1:10" ht="18" customHeight="1">
      <c r="A310" s="218">
        <v>305</v>
      </c>
      <c r="B310" s="225" t="s">
        <v>500</v>
      </c>
      <c r="C310" s="226">
        <v>41746</v>
      </c>
      <c r="D310" s="212">
        <v>31.67</v>
      </c>
      <c r="E310" s="213" t="s">
        <v>51</v>
      </c>
      <c r="F310" s="210" t="s">
        <v>53</v>
      </c>
      <c r="G310" s="225" t="s">
        <v>500</v>
      </c>
      <c r="H310" s="226">
        <v>41746</v>
      </c>
      <c r="I310" s="212">
        <v>31.67</v>
      </c>
      <c r="J310" s="248"/>
    </row>
    <row r="311" spans="1:10" ht="18" customHeight="1">
      <c r="A311" s="218">
        <v>306</v>
      </c>
      <c r="B311" s="225" t="s">
        <v>501</v>
      </c>
      <c r="C311" s="226">
        <v>41746</v>
      </c>
      <c r="D311" s="212">
        <v>63.52</v>
      </c>
      <c r="E311" s="213" t="s">
        <v>51</v>
      </c>
      <c r="F311" s="210" t="s">
        <v>53</v>
      </c>
      <c r="G311" s="225" t="s">
        <v>501</v>
      </c>
      <c r="H311" s="226">
        <v>41746</v>
      </c>
      <c r="I311" s="212">
        <v>63.52</v>
      </c>
      <c r="J311" s="248"/>
    </row>
    <row r="312" spans="1:10" ht="18" customHeight="1">
      <c r="A312" s="218">
        <v>307</v>
      </c>
      <c r="B312" s="225" t="s">
        <v>503</v>
      </c>
      <c r="C312" s="226">
        <v>41750</v>
      </c>
      <c r="D312" s="212">
        <v>5.8</v>
      </c>
      <c r="E312" s="213" t="s">
        <v>51</v>
      </c>
      <c r="F312" s="210" t="s">
        <v>53</v>
      </c>
      <c r="G312" s="225" t="s">
        <v>503</v>
      </c>
      <c r="H312" s="226">
        <v>41750</v>
      </c>
      <c r="I312" s="212">
        <v>5.8</v>
      </c>
      <c r="J312" s="248"/>
    </row>
    <row r="313" spans="1:10" ht="18" customHeight="1">
      <c r="A313" s="218">
        <v>308</v>
      </c>
      <c r="B313" s="225" t="s">
        <v>504</v>
      </c>
      <c r="C313" s="226">
        <v>41750</v>
      </c>
      <c r="D313" s="212">
        <v>24.38</v>
      </c>
      <c r="E313" s="213" t="s">
        <v>51</v>
      </c>
      <c r="F313" s="210" t="s">
        <v>53</v>
      </c>
      <c r="G313" s="225" t="s">
        <v>504</v>
      </c>
      <c r="H313" s="226">
        <v>41750</v>
      </c>
      <c r="I313" s="212">
        <v>24.38</v>
      </c>
      <c r="J313" s="248"/>
    </row>
    <row r="314" spans="1:10" ht="18" customHeight="1">
      <c r="A314" s="218">
        <v>309</v>
      </c>
      <c r="B314" s="225" t="s">
        <v>505</v>
      </c>
      <c r="C314" s="226">
        <v>41750</v>
      </c>
      <c r="D314" s="212">
        <v>33.020000000000003</v>
      </c>
      <c r="E314" s="213" t="s">
        <v>51</v>
      </c>
      <c r="F314" s="210" t="s">
        <v>53</v>
      </c>
      <c r="G314" s="225" t="s">
        <v>505</v>
      </c>
      <c r="H314" s="226">
        <v>41750</v>
      </c>
      <c r="I314" s="212">
        <v>33.020000000000003</v>
      </c>
      <c r="J314" s="248"/>
    </row>
    <row r="315" spans="1:10" ht="18" customHeight="1">
      <c r="A315" s="218">
        <v>310</v>
      </c>
      <c r="B315" s="225" t="s">
        <v>506</v>
      </c>
      <c r="C315" s="226">
        <v>41750</v>
      </c>
      <c r="D315" s="212">
        <v>35.47</v>
      </c>
      <c r="E315" s="213" t="s">
        <v>51</v>
      </c>
      <c r="F315" s="210" t="s">
        <v>53</v>
      </c>
      <c r="G315" s="225" t="s">
        <v>506</v>
      </c>
      <c r="H315" s="226">
        <v>41750</v>
      </c>
      <c r="I315" s="212">
        <v>35.47</v>
      </c>
      <c r="J315" s="248"/>
    </row>
    <row r="316" spans="1:10" ht="18" customHeight="1">
      <c r="A316" s="218">
        <v>311</v>
      </c>
      <c r="B316" s="225" t="s">
        <v>507</v>
      </c>
      <c r="C316" s="226">
        <v>41757</v>
      </c>
      <c r="D316" s="212">
        <v>24.67</v>
      </c>
      <c r="E316" s="213" t="s">
        <v>51</v>
      </c>
      <c r="F316" s="210" t="s">
        <v>53</v>
      </c>
      <c r="G316" s="225" t="s">
        <v>507</v>
      </c>
      <c r="H316" s="226">
        <v>41757</v>
      </c>
      <c r="I316" s="212">
        <v>24.67</v>
      </c>
      <c r="J316" s="248"/>
    </row>
    <row r="317" spans="1:10" ht="18" customHeight="1">
      <c r="A317" s="218">
        <v>312</v>
      </c>
      <c r="B317" s="225" t="s">
        <v>508</v>
      </c>
      <c r="C317" s="226">
        <v>41757</v>
      </c>
      <c r="D317" s="212">
        <v>36.380000000000003</v>
      </c>
      <c r="E317" s="213" t="s">
        <v>51</v>
      </c>
      <c r="F317" s="210" t="s">
        <v>53</v>
      </c>
      <c r="G317" s="225" t="s">
        <v>508</v>
      </c>
      <c r="H317" s="226">
        <v>41757</v>
      </c>
      <c r="I317" s="212">
        <v>36.380000000000003</v>
      </c>
      <c r="J317" s="248"/>
    </row>
    <row r="318" spans="1:10" ht="18" customHeight="1">
      <c r="A318" s="218">
        <v>313</v>
      </c>
      <c r="B318" s="225" t="s">
        <v>510</v>
      </c>
      <c r="C318" s="226">
        <v>41757</v>
      </c>
      <c r="D318" s="212">
        <v>26.29</v>
      </c>
      <c r="E318" s="213" t="s">
        <v>51</v>
      </c>
      <c r="F318" s="210" t="s">
        <v>53</v>
      </c>
      <c r="G318" s="225" t="s">
        <v>510</v>
      </c>
      <c r="H318" s="226">
        <v>41757</v>
      </c>
      <c r="I318" s="212">
        <v>26.29</v>
      </c>
      <c r="J318" s="248"/>
    </row>
    <row r="319" spans="1:10" ht="18" customHeight="1">
      <c r="A319" s="218">
        <v>314</v>
      </c>
      <c r="B319" s="225" t="s">
        <v>511</v>
      </c>
      <c r="C319" s="226">
        <v>41759</v>
      </c>
      <c r="D319" s="212">
        <v>5</v>
      </c>
      <c r="E319" s="213" t="s">
        <v>51</v>
      </c>
      <c r="F319" s="210" t="s">
        <v>53</v>
      </c>
      <c r="G319" s="225" t="s">
        <v>511</v>
      </c>
      <c r="H319" s="226">
        <v>41759</v>
      </c>
      <c r="I319" s="212">
        <v>5</v>
      </c>
      <c r="J319" s="248"/>
    </row>
    <row r="320" spans="1:10" ht="18" customHeight="1">
      <c r="A320" s="218">
        <v>315</v>
      </c>
      <c r="B320" s="250" t="s">
        <v>513</v>
      </c>
      <c r="C320" s="226">
        <v>41765</v>
      </c>
      <c r="D320" s="212">
        <v>22.99</v>
      </c>
      <c r="E320" s="213" t="s">
        <v>51</v>
      </c>
      <c r="F320" s="210" t="s">
        <v>53</v>
      </c>
      <c r="G320" s="250" t="s">
        <v>513</v>
      </c>
      <c r="H320" s="226">
        <v>41765</v>
      </c>
      <c r="I320" s="212">
        <v>22.99</v>
      </c>
      <c r="J320" s="248"/>
    </row>
    <row r="321" spans="1:10" ht="18" customHeight="1">
      <c r="A321" s="218">
        <v>316</v>
      </c>
      <c r="B321" s="250" t="s">
        <v>514</v>
      </c>
      <c r="C321" s="226">
        <v>41765</v>
      </c>
      <c r="D321" s="212">
        <v>41.9</v>
      </c>
      <c r="E321" s="213" t="s">
        <v>51</v>
      </c>
      <c r="F321" s="210" t="s">
        <v>53</v>
      </c>
      <c r="G321" s="250" t="s">
        <v>514</v>
      </c>
      <c r="H321" s="226">
        <v>41765</v>
      </c>
      <c r="I321" s="212">
        <v>41.9</v>
      </c>
      <c r="J321" s="248"/>
    </row>
    <row r="322" spans="1:10" ht="18" customHeight="1">
      <c r="A322" s="218">
        <v>317</v>
      </c>
      <c r="B322" s="250" t="s">
        <v>515</v>
      </c>
      <c r="C322" s="226">
        <v>41765</v>
      </c>
      <c r="D322" s="212">
        <v>27.55</v>
      </c>
      <c r="E322" s="213" t="s">
        <v>51</v>
      </c>
      <c r="F322" s="210" t="s">
        <v>53</v>
      </c>
      <c r="G322" s="250" t="s">
        <v>515</v>
      </c>
      <c r="H322" s="226">
        <v>41765</v>
      </c>
      <c r="I322" s="212">
        <v>27.55</v>
      </c>
      <c r="J322" s="248"/>
    </row>
    <row r="323" spans="1:10" ht="18" customHeight="1">
      <c r="A323" s="218">
        <v>318</v>
      </c>
      <c r="B323" s="250" t="s">
        <v>516</v>
      </c>
      <c r="C323" s="226">
        <v>41766</v>
      </c>
      <c r="D323" s="212">
        <v>82.68</v>
      </c>
      <c r="E323" s="213" t="s">
        <v>51</v>
      </c>
      <c r="F323" s="210" t="s">
        <v>53</v>
      </c>
      <c r="G323" s="250" t="s">
        <v>516</v>
      </c>
      <c r="H323" s="226">
        <v>41766</v>
      </c>
      <c r="I323" s="212">
        <v>82.68</v>
      </c>
      <c r="J323" s="248"/>
    </row>
    <row r="324" spans="1:10" ht="18" customHeight="1">
      <c r="A324" s="218">
        <v>319</v>
      </c>
      <c r="B324" s="250" t="s">
        <v>517</v>
      </c>
      <c r="C324" s="226">
        <v>41771</v>
      </c>
      <c r="D324" s="212">
        <v>50.65</v>
      </c>
      <c r="E324" s="213" t="s">
        <v>51</v>
      </c>
      <c r="F324" s="210" t="s">
        <v>53</v>
      </c>
      <c r="G324" s="250" t="s">
        <v>517</v>
      </c>
      <c r="H324" s="226">
        <v>41771</v>
      </c>
      <c r="I324" s="212">
        <v>50.65</v>
      </c>
      <c r="J324" s="248"/>
    </row>
    <row r="325" spans="1:10" ht="18" customHeight="1">
      <c r="A325" s="218">
        <v>320</v>
      </c>
      <c r="B325" s="250" t="s">
        <v>518</v>
      </c>
      <c r="C325" s="226">
        <v>41771</v>
      </c>
      <c r="D325" s="212">
        <v>22.3</v>
      </c>
      <c r="E325" s="213" t="s">
        <v>51</v>
      </c>
      <c r="F325" s="210" t="s">
        <v>53</v>
      </c>
      <c r="G325" s="250" t="s">
        <v>518</v>
      </c>
      <c r="H325" s="226">
        <v>41771</v>
      </c>
      <c r="I325" s="212">
        <v>22.3</v>
      </c>
      <c r="J325" s="248"/>
    </row>
    <row r="326" spans="1:10" ht="18" customHeight="1">
      <c r="A326" s="218">
        <v>321</v>
      </c>
      <c r="B326" s="250" t="s">
        <v>519</v>
      </c>
      <c r="C326" s="226">
        <v>41772</v>
      </c>
      <c r="D326" s="212">
        <v>22.3</v>
      </c>
      <c r="E326" s="213" t="s">
        <v>51</v>
      </c>
      <c r="F326" s="210" t="s">
        <v>53</v>
      </c>
      <c r="G326" s="250" t="s">
        <v>519</v>
      </c>
      <c r="H326" s="226">
        <v>41772</v>
      </c>
      <c r="I326" s="212">
        <v>22.3</v>
      </c>
      <c r="J326" s="248"/>
    </row>
    <row r="327" spans="1:10" ht="18" customHeight="1">
      <c r="A327" s="218">
        <v>322</v>
      </c>
      <c r="B327" s="250" t="s">
        <v>521</v>
      </c>
      <c r="C327" s="226">
        <v>41772</v>
      </c>
      <c r="D327" s="212">
        <v>22.32</v>
      </c>
      <c r="E327" s="213" t="s">
        <v>51</v>
      </c>
      <c r="F327" s="210" t="s">
        <v>53</v>
      </c>
      <c r="G327" s="250" t="s">
        <v>521</v>
      </c>
      <c r="H327" s="226">
        <v>41772</v>
      </c>
      <c r="I327" s="212">
        <v>22.32</v>
      </c>
      <c r="J327" s="248"/>
    </row>
    <row r="328" spans="1:10" ht="18" customHeight="1">
      <c r="A328" s="218">
        <v>323</v>
      </c>
      <c r="B328" s="250" t="s">
        <v>523</v>
      </c>
      <c r="C328" s="226">
        <v>41778</v>
      </c>
      <c r="D328" s="212">
        <v>22.3</v>
      </c>
      <c r="E328" s="213" t="s">
        <v>51</v>
      </c>
      <c r="F328" s="210" t="s">
        <v>53</v>
      </c>
      <c r="G328" s="250" t="s">
        <v>523</v>
      </c>
      <c r="H328" s="226">
        <v>41778</v>
      </c>
      <c r="I328" s="212">
        <v>22.3</v>
      </c>
      <c r="J328" s="248"/>
    </row>
    <row r="329" spans="1:10" ht="18" customHeight="1">
      <c r="A329" s="218">
        <v>324</v>
      </c>
      <c r="B329" s="250" t="s">
        <v>524</v>
      </c>
      <c r="C329" s="226">
        <v>41779</v>
      </c>
      <c r="D329" s="212">
        <v>27.35</v>
      </c>
      <c r="E329" s="213" t="s">
        <v>51</v>
      </c>
      <c r="F329" s="210" t="s">
        <v>53</v>
      </c>
      <c r="G329" s="250" t="s">
        <v>524</v>
      </c>
      <c r="H329" s="226">
        <v>41779</v>
      </c>
      <c r="I329" s="212">
        <v>27.35</v>
      </c>
      <c r="J329" s="248"/>
    </row>
    <row r="330" spans="1:10" ht="18" customHeight="1">
      <c r="A330" s="218">
        <v>325</v>
      </c>
      <c r="B330" s="250" t="s">
        <v>525</v>
      </c>
      <c r="C330" s="226">
        <v>41779</v>
      </c>
      <c r="D330" s="212">
        <v>29.44</v>
      </c>
      <c r="E330" s="213" t="s">
        <v>51</v>
      </c>
      <c r="F330" s="210" t="s">
        <v>53</v>
      </c>
      <c r="G330" s="250" t="s">
        <v>525</v>
      </c>
      <c r="H330" s="226">
        <v>41779</v>
      </c>
      <c r="I330" s="212">
        <v>29.44</v>
      </c>
      <c r="J330" s="248"/>
    </row>
    <row r="331" spans="1:10" ht="18" customHeight="1">
      <c r="A331" s="218">
        <v>326</v>
      </c>
      <c r="B331" s="250" t="s">
        <v>528</v>
      </c>
      <c r="C331" s="226">
        <v>41786</v>
      </c>
      <c r="D331" s="212">
        <v>28.01</v>
      </c>
      <c r="E331" s="213" t="s">
        <v>51</v>
      </c>
      <c r="F331" s="210" t="s">
        <v>53</v>
      </c>
      <c r="G331" s="250" t="s">
        <v>528</v>
      </c>
      <c r="H331" s="226">
        <v>41786</v>
      </c>
      <c r="I331" s="212">
        <v>28.01</v>
      </c>
      <c r="J331" s="248"/>
    </row>
    <row r="332" spans="1:10" ht="18" customHeight="1">
      <c r="A332" s="218">
        <v>327</v>
      </c>
      <c r="B332" s="228" t="s">
        <v>530</v>
      </c>
      <c r="C332" s="226">
        <v>41793</v>
      </c>
      <c r="D332" s="212">
        <v>22.1</v>
      </c>
      <c r="E332" s="213" t="s">
        <v>51</v>
      </c>
      <c r="F332" s="210" t="s">
        <v>53</v>
      </c>
      <c r="G332" s="228" t="s">
        <v>530</v>
      </c>
      <c r="H332" s="226">
        <v>41793</v>
      </c>
      <c r="I332" s="212">
        <v>22.1</v>
      </c>
      <c r="J332" s="248"/>
    </row>
    <row r="333" spans="1:10" ht="18" customHeight="1">
      <c r="A333" s="218">
        <v>328</v>
      </c>
      <c r="B333" s="228" t="s">
        <v>531</v>
      </c>
      <c r="C333" s="226">
        <v>41793</v>
      </c>
      <c r="D333" s="212">
        <v>30.9</v>
      </c>
      <c r="E333" s="213" t="s">
        <v>51</v>
      </c>
      <c r="F333" s="210" t="s">
        <v>53</v>
      </c>
      <c r="G333" s="228" t="s">
        <v>531</v>
      </c>
      <c r="H333" s="226">
        <v>41793</v>
      </c>
      <c r="I333" s="212">
        <v>30.9</v>
      </c>
      <c r="J333" s="248"/>
    </row>
    <row r="334" spans="1:10" ht="18" customHeight="1">
      <c r="A334" s="218">
        <v>329</v>
      </c>
      <c r="B334" s="228" t="s">
        <v>532</v>
      </c>
      <c r="C334" s="226">
        <v>41793</v>
      </c>
      <c r="D334" s="212">
        <v>45.25</v>
      </c>
      <c r="E334" s="213" t="s">
        <v>51</v>
      </c>
      <c r="F334" s="210" t="s">
        <v>53</v>
      </c>
      <c r="G334" s="228" t="s">
        <v>532</v>
      </c>
      <c r="H334" s="226">
        <v>41793</v>
      </c>
      <c r="I334" s="212">
        <v>45.25</v>
      </c>
      <c r="J334" s="248"/>
    </row>
    <row r="335" spans="1:10" ht="18" customHeight="1">
      <c r="A335" s="218">
        <v>330</v>
      </c>
      <c r="B335" s="228" t="s">
        <v>534</v>
      </c>
      <c r="C335" s="226">
        <v>41799</v>
      </c>
      <c r="D335" s="212">
        <v>31.74</v>
      </c>
      <c r="E335" s="213" t="s">
        <v>51</v>
      </c>
      <c r="F335" s="210" t="s">
        <v>53</v>
      </c>
      <c r="G335" s="228" t="s">
        <v>534</v>
      </c>
      <c r="H335" s="226">
        <v>41799</v>
      </c>
      <c r="I335" s="212">
        <v>31.74</v>
      </c>
      <c r="J335" s="248"/>
    </row>
    <row r="336" spans="1:10" ht="18" customHeight="1">
      <c r="A336" s="218">
        <v>331</v>
      </c>
      <c r="B336" s="228" t="s">
        <v>535</v>
      </c>
      <c r="C336" s="226">
        <v>41799</v>
      </c>
      <c r="D336" s="212">
        <v>104.78</v>
      </c>
      <c r="E336" s="213" t="s">
        <v>51</v>
      </c>
      <c r="F336" s="210" t="s">
        <v>53</v>
      </c>
      <c r="G336" s="228" t="s">
        <v>535</v>
      </c>
      <c r="H336" s="226">
        <v>41799</v>
      </c>
      <c r="I336" s="212">
        <v>104.78</v>
      </c>
      <c r="J336" s="248"/>
    </row>
    <row r="337" spans="1:10" ht="18" customHeight="1">
      <c r="A337" s="218">
        <v>332</v>
      </c>
      <c r="B337" s="228" t="s">
        <v>536</v>
      </c>
      <c r="C337" s="226">
        <v>41800</v>
      </c>
      <c r="D337" s="212">
        <v>32.6</v>
      </c>
      <c r="E337" s="213" t="s">
        <v>51</v>
      </c>
      <c r="F337" s="210" t="s">
        <v>53</v>
      </c>
      <c r="G337" s="228" t="s">
        <v>536</v>
      </c>
      <c r="H337" s="226">
        <v>41800</v>
      </c>
      <c r="I337" s="212">
        <v>32.6</v>
      </c>
      <c r="J337" s="248"/>
    </row>
    <row r="338" spans="1:10" ht="18" customHeight="1">
      <c r="A338" s="218">
        <v>333</v>
      </c>
      <c r="B338" s="228" t="s">
        <v>537</v>
      </c>
      <c r="C338" s="226">
        <v>41800</v>
      </c>
      <c r="D338" s="212">
        <v>42.96</v>
      </c>
      <c r="E338" s="213" t="s">
        <v>51</v>
      </c>
      <c r="F338" s="210" t="s">
        <v>53</v>
      </c>
      <c r="G338" s="228" t="s">
        <v>537</v>
      </c>
      <c r="H338" s="226">
        <v>41800</v>
      </c>
      <c r="I338" s="212">
        <v>42.96</v>
      </c>
      <c r="J338" s="248"/>
    </row>
    <row r="339" spans="1:10" ht="18" customHeight="1">
      <c r="A339" s="218">
        <v>334</v>
      </c>
      <c r="B339" s="228" t="s">
        <v>538</v>
      </c>
      <c r="C339" s="226">
        <v>41800</v>
      </c>
      <c r="D339" s="212">
        <v>112.27</v>
      </c>
      <c r="E339" s="213" t="s">
        <v>51</v>
      </c>
      <c r="F339" s="210" t="s">
        <v>53</v>
      </c>
      <c r="G339" s="228" t="s">
        <v>538</v>
      </c>
      <c r="H339" s="226">
        <v>41800</v>
      </c>
      <c r="I339" s="212">
        <v>112.27</v>
      </c>
      <c r="J339" s="248"/>
    </row>
    <row r="340" spans="1:10" ht="18" customHeight="1">
      <c r="A340" s="218">
        <v>335</v>
      </c>
      <c r="B340" s="228" t="s">
        <v>539</v>
      </c>
      <c r="C340" s="226">
        <v>41800</v>
      </c>
      <c r="D340" s="212">
        <v>31.53</v>
      </c>
      <c r="E340" s="213" t="s">
        <v>51</v>
      </c>
      <c r="F340" s="210" t="s">
        <v>53</v>
      </c>
      <c r="G340" s="228" t="s">
        <v>539</v>
      </c>
      <c r="H340" s="226">
        <v>41800</v>
      </c>
      <c r="I340" s="212">
        <v>31.53</v>
      </c>
      <c r="J340" s="248"/>
    </row>
    <row r="341" spans="1:10" ht="18" customHeight="1">
      <c r="A341" s="218">
        <v>336</v>
      </c>
      <c r="B341" s="228" t="s">
        <v>540</v>
      </c>
      <c r="C341" s="226">
        <v>41800</v>
      </c>
      <c r="D341" s="212">
        <v>35.450000000000003</v>
      </c>
      <c r="E341" s="213" t="s">
        <v>51</v>
      </c>
      <c r="F341" s="210" t="s">
        <v>53</v>
      </c>
      <c r="G341" s="228" t="s">
        <v>540</v>
      </c>
      <c r="H341" s="226">
        <v>41800</v>
      </c>
      <c r="I341" s="212">
        <v>35.450000000000003</v>
      </c>
      <c r="J341" s="248"/>
    </row>
    <row r="342" spans="1:10" ht="18" customHeight="1">
      <c r="A342" s="218">
        <v>337</v>
      </c>
      <c r="B342" s="228" t="s">
        <v>542</v>
      </c>
      <c r="C342" s="226">
        <v>41806</v>
      </c>
      <c r="D342" s="212">
        <v>29.64</v>
      </c>
      <c r="E342" s="213" t="s">
        <v>51</v>
      </c>
      <c r="F342" s="210" t="s">
        <v>53</v>
      </c>
      <c r="G342" s="228" t="s">
        <v>542</v>
      </c>
      <c r="H342" s="226">
        <v>41806</v>
      </c>
      <c r="I342" s="212">
        <v>29.64</v>
      </c>
      <c r="J342" s="248"/>
    </row>
    <row r="343" spans="1:10" ht="18" customHeight="1">
      <c r="A343" s="218">
        <v>338</v>
      </c>
      <c r="B343" s="228" t="s">
        <v>543</v>
      </c>
      <c r="C343" s="226">
        <v>41806</v>
      </c>
      <c r="D343" s="212">
        <v>63.68</v>
      </c>
      <c r="E343" s="213" t="s">
        <v>51</v>
      </c>
      <c r="F343" s="210" t="s">
        <v>53</v>
      </c>
      <c r="G343" s="228" t="s">
        <v>543</v>
      </c>
      <c r="H343" s="226">
        <v>41806</v>
      </c>
      <c r="I343" s="212">
        <v>63.68</v>
      </c>
      <c r="J343" s="248"/>
    </row>
    <row r="344" spans="1:10" ht="18" customHeight="1">
      <c r="A344" s="218">
        <v>341</v>
      </c>
      <c r="B344" s="228" t="s">
        <v>544</v>
      </c>
      <c r="C344" s="226">
        <v>41807</v>
      </c>
      <c r="D344" s="212">
        <v>77.8</v>
      </c>
      <c r="E344" s="213" t="s">
        <v>51</v>
      </c>
      <c r="F344" s="210" t="s">
        <v>53</v>
      </c>
      <c r="G344" s="228" t="s">
        <v>544</v>
      </c>
      <c r="H344" s="226">
        <v>41807</v>
      </c>
      <c r="I344" s="212">
        <v>77.8</v>
      </c>
      <c r="J344" s="248"/>
    </row>
    <row r="345" spans="1:10" ht="18" customHeight="1">
      <c r="A345" s="218">
        <v>342</v>
      </c>
      <c r="B345" s="228" t="s">
        <v>545</v>
      </c>
      <c r="C345" s="226">
        <v>41807</v>
      </c>
      <c r="D345" s="212">
        <v>36.520000000000003</v>
      </c>
      <c r="E345" s="213" t="s">
        <v>51</v>
      </c>
      <c r="F345" s="210" t="s">
        <v>53</v>
      </c>
      <c r="G345" s="228" t="s">
        <v>545</v>
      </c>
      <c r="H345" s="226">
        <v>41807</v>
      </c>
      <c r="I345" s="212">
        <v>36.520000000000003</v>
      </c>
      <c r="J345" s="248"/>
    </row>
    <row r="346" spans="1:10" ht="18" customHeight="1">
      <c r="A346" s="218">
        <v>343</v>
      </c>
      <c r="B346" s="228" t="s">
        <v>546</v>
      </c>
      <c r="C346" s="226">
        <v>41807</v>
      </c>
      <c r="D346" s="212">
        <v>6.5</v>
      </c>
      <c r="E346" s="213" t="s">
        <v>51</v>
      </c>
      <c r="F346" s="210" t="s">
        <v>53</v>
      </c>
      <c r="G346" s="228" t="s">
        <v>546</v>
      </c>
      <c r="H346" s="226">
        <v>41807</v>
      </c>
      <c r="I346" s="212">
        <v>6.5</v>
      </c>
      <c r="J346" s="248"/>
    </row>
    <row r="347" spans="1:10" ht="18" customHeight="1">
      <c r="A347" s="218">
        <v>344</v>
      </c>
      <c r="B347" s="228" t="s">
        <v>547</v>
      </c>
      <c r="C347" s="226">
        <v>41807</v>
      </c>
      <c r="D347" s="212">
        <v>27.35</v>
      </c>
      <c r="E347" s="213" t="s">
        <v>51</v>
      </c>
      <c r="F347" s="210" t="s">
        <v>53</v>
      </c>
      <c r="G347" s="228" t="s">
        <v>547</v>
      </c>
      <c r="H347" s="226">
        <v>41807</v>
      </c>
      <c r="I347" s="212">
        <v>27.35</v>
      </c>
      <c r="J347" s="248"/>
    </row>
    <row r="348" spans="1:10" ht="18" customHeight="1">
      <c r="A348" s="218">
        <v>345</v>
      </c>
      <c r="B348" s="228" t="s">
        <v>548</v>
      </c>
      <c r="C348" s="226">
        <v>41809</v>
      </c>
      <c r="D348" s="212">
        <v>6.5</v>
      </c>
      <c r="E348" s="213" t="s">
        <v>51</v>
      </c>
      <c r="F348" s="210" t="s">
        <v>53</v>
      </c>
      <c r="G348" s="228" t="s">
        <v>548</v>
      </c>
      <c r="H348" s="226">
        <v>41809</v>
      </c>
      <c r="I348" s="212">
        <v>6.5</v>
      </c>
      <c r="J348" s="248"/>
    </row>
    <row r="349" spans="1:10" ht="18" customHeight="1">
      <c r="A349" s="218">
        <v>346</v>
      </c>
      <c r="B349" s="228" t="s">
        <v>549</v>
      </c>
      <c r="C349" s="226">
        <v>41810</v>
      </c>
      <c r="D349" s="212">
        <v>6.5</v>
      </c>
      <c r="E349" s="213" t="s">
        <v>51</v>
      </c>
      <c r="F349" s="210" t="s">
        <v>53</v>
      </c>
      <c r="G349" s="228" t="s">
        <v>549</v>
      </c>
      <c r="H349" s="226">
        <v>41810</v>
      </c>
      <c r="I349" s="212">
        <v>6.5</v>
      </c>
      <c r="J349" s="248"/>
    </row>
    <row r="350" spans="1:10" ht="18" customHeight="1">
      <c r="A350" s="218">
        <v>347</v>
      </c>
      <c r="B350" s="228" t="s">
        <v>550</v>
      </c>
      <c r="C350" s="226">
        <v>41813</v>
      </c>
      <c r="D350" s="212">
        <v>31.41</v>
      </c>
      <c r="E350" s="213" t="s">
        <v>51</v>
      </c>
      <c r="F350" s="210" t="s">
        <v>53</v>
      </c>
      <c r="G350" s="228" t="s">
        <v>550</v>
      </c>
      <c r="H350" s="226">
        <v>41813</v>
      </c>
      <c r="I350" s="212">
        <v>31.41</v>
      </c>
      <c r="J350" s="248"/>
    </row>
    <row r="351" spans="1:10" ht="18" customHeight="1">
      <c r="A351" s="218">
        <v>348</v>
      </c>
      <c r="B351" s="228" t="s">
        <v>552</v>
      </c>
      <c r="C351" s="226">
        <v>41814</v>
      </c>
      <c r="D351" s="212">
        <v>62.52</v>
      </c>
      <c r="E351" s="213" t="s">
        <v>51</v>
      </c>
      <c r="F351" s="210" t="s">
        <v>53</v>
      </c>
      <c r="G351" s="228" t="s">
        <v>552</v>
      </c>
      <c r="H351" s="226">
        <v>41814</v>
      </c>
      <c r="I351" s="212">
        <v>62.52</v>
      </c>
      <c r="J351" s="248"/>
    </row>
    <row r="352" spans="1:10" ht="18" customHeight="1">
      <c r="A352" s="218">
        <v>349</v>
      </c>
      <c r="B352" s="228" t="s">
        <v>553</v>
      </c>
      <c r="C352" s="226">
        <v>41820</v>
      </c>
      <c r="D352" s="212">
        <v>30.38</v>
      </c>
      <c r="E352" s="213" t="s">
        <v>51</v>
      </c>
      <c r="F352" s="210" t="s">
        <v>53</v>
      </c>
      <c r="G352" s="228" t="s">
        <v>553</v>
      </c>
      <c r="H352" s="226">
        <v>41820</v>
      </c>
      <c r="I352" s="212">
        <v>30.38</v>
      </c>
      <c r="J352" s="248"/>
    </row>
    <row r="353" spans="1:10" ht="18" customHeight="1">
      <c r="A353" s="218">
        <v>350</v>
      </c>
      <c r="B353" s="228" t="s">
        <v>554</v>
      </c>
      <c r="C353" s="226">
        <v>41820</v>
      </c>
      <c r="D353" s="212">
        <v>23.41</v>
      </c>
      <c r="E353" s="213" t="s">
        <v>51</v>
      </c>
      <c r="F353" s="210" t="s">
        <v>53</v>
      </c>
      <c r="G353" s="228" t="s">
        <v>554</v>
      </c>
      <c r="H353" s="226">
        <v>41820</v>
      </c>
      <c r="I353" s="212">
        <v>23.41</v>
      </c>
      <c r="J353" s="248"/>
    </row>
    <row r="354" spans="1:10" ht="18" customHeight="1">
      <c r="A354" s="218">
        <v>351</v>
      </c>
      <c r="B354" s="228" t="s">
        <v>557</v>
      </c>
      <c r="C354" s="226">
        <v>41828</v>
      </c>
      <c r="D354" s="212">
        <v>37.200000000000003</v>
      </c>
      <c r="E354" s="213" t="s">
        <v>51</v>
      </c>
      <c r="F354" s="210" t="s">
        <v>53</v>
      </c>
      <c r="G354" s="228" t="s">
        <v>557</v>
      </c>
      <c r="H354" s="226">
        <v>41828</v>
      </c>
      <c r="I354" s="212">
        <v>37.200000000000003</v>
      </c>
      <c r="J354" s="248"/>
    </row>
    <row r="355" spans="1:10" ht="18" customHeight="1">
      <c r="A355" s="218">
        <v>352</v>
      </c>
      <c r="B355" s="228" t="s">
        <v>558</v>
      </c>
      <c r="C355" s="226">
        <v>41828</v>
      </c>
      <c r="D355" s="212">
        <v>22.3</v>
      </c>
      <c r="E355" s="213" t="s">
        <v>51</v>
      </c>
      <c r="F355" s="210" t="s">
        <v>53</v>
      </c>
      <c r="G355" s="228" t="s">
        <v>558</v>
      </c>
      <c r="H355" s="226">
        <v>41828</v>
      </c>
      <c r="I355" s="212">
        <v>22.3</v>
      </c>
      <c r="J355" s="248"/>
    </row>
    <row r="356" spans="1:10" ht="18" customHeight="1">
      <c r="A356" s="218">
        <v>353</v>
      </c>
      <c r="B356" s="228" t="s">
        <v>559</v>
      </c>
      <c r="C356" s="226">
        <v>41828</v>
      </c>
      <c r="D356" s="212">
        <v>38.53</v>
      </c>
      <c r="E356" s="213" t="s">
        <v>51</v>
      </c>
      <c r="F356" s="210" t="s">
        <v>53</v>
      </c>
      <c r="G356" s="228" t="s">
        <v>559</v>
      </c>
      <c r="H356" s="226">
        <v>41828</v>
      </c>
      <c r="I356" s="212">
        <v>38.53</v>
      </c>
      <c r="J356" s="248"/>
    </row>
    <row r="357" spans="1:10" ht="18" customHeight="1">
      <c r="A357" s="218">
        <v>354</v>
      </c>
      <c r="B357" s="228" t="s">
        <v>561</v>
      </c>
      <c r="C357" s="226">
        <v>41835</v>
      </c>
      <c r="D357" s="212">
        <v>88.75</v>
      </c>
      <c r="E357" s="213" t="s">
        <v>51</v>
      </c>
      <c r="F357" s="210" t="s">
        <v>53</v>
      </c>
      <c r="G357" s="228" t="s">
        <v>561</v>
      </c>
      <c r="H357" s="226">
        <v>41835</v>
      </c>
      <c r="I357" s="212">
        <v>88.75</v>
      </c>
      <c r="J357" s="248"/>
    </row>
    <row r="358" spans="1:10" ht="18" customHeight="1">
      <c r="A358" s="218">
        <v>355</v>
      </c>
      <c r="B358" s="228" t="s">
        <v>562</v>
      </c>
      <c r="C358" s="226">
        <v>41835</v>
      </c>
      <c r="D358" s="212">
        <v>142.72999999999999</v>
      </c>
      <c r="E358" s="213" t="s">
        <v>51</v>
      </c>
      <c r="F358" s="210" t="s">
        <v>53</v>
      </c>
      <c r="G358" s="228" t="s">
        <v>562</v>
      </c>
      <c r="H358" s="226">
        <v>41835</v>
      </c>
      <c r="I358" s="212">
        <v>142.72999999999999</v>
      </c>
      <c r="J358" s="248"/>
    </row>
    <row r="359" spans="1:10" ht="18" customHeight="1">
      <c r="A359" s="218">
        <v>356</v>
      </c>
      <c r="B359" s="228" t="s">
        <v>563</v>
      </c>
      <c r="C359" s="226">
        <v>41835</v>
      </c>
      <c r="D359" s="212">
        <v>22.3</v>
      </c>
      <c r="E359" s="213" t="s">
        <v>51</v>
      </c>
      <c r="F359" s="210" t="s">
        <v>53</v>
      </c>
      <c r="G359" s="228" t="s">
        <v>563</v>
      </c>
      <c r="H359" s="226">
        <v>41835</v>
      </c>
      <c r="I359" s="212">
        <v>22.3</v>
      </c>
      <c r="J359" s="248"/>
    </row>
    <row r="360" spans="1:10" ht="18" customHeight="1">
      <c r="A360" s="218">
        <v>357</v>
      </c>
      <c r="B360" s="228" t="s">
        <v>564</v>
      </c>
      <c r="C360" s="226">
        <v>41835</v>
      </c>
      <c r="D360" s="212">
        <v>5</v>
      </c>
      <c r="E360" s="213" t="s">
        <v>51</v>
      </c>
      <c r="F360" s="210" t="s">
        <v>53</v>
      </c>
      <c r="G360" s="228" t="s">
        <v>564</v>
      </c>
      <c r="H360" s="226">
        <v>41835</v>
      </c>
      <c r="I360" s="212">
        <v>5</v>
      </c>
      <c r="J360" s="248"/>
    </row>
    <row r="361" spans="1:10" ht="18" customHeight="1">
      <c r="A361" s="218">
        <v>358</v>
      </c>
      <c r="B361" s="228" t="s">
        <v>565</v>
      </c>
      <c r="C361" s="226">
        <v>41837</v>
      </c>
      <c r="D361" s="212">
        <v>5</v>
      </c>
      <c r="E361" s="213" t="s">
        <v>51</v>
      </c>
      <c r="F361" s="210" t="s">
        <v>53</v>
      </c>
      <c r="G361" s="228" t="s">
        <v>565</v>
      </c>
      <c r="H361" s="226">
        <v>41837</v>
      </c>
      <c r="I361" s="212">
        <v>5</v>
      </c>
      <c r="J361" s="248"/>
    </row>
    <row r="362" spans="1:10" ht="18" customHeight="1">
      <c r="A362" s="218">
        <v>359</v>
      </c>
      <c r="B362" s="228" t="s">
        <v>566</v>
      </c>
      <c r="C362" s="226">
        <v>41837</v>
      </c>
      <c r="D362" s="212">
        <v>5</v>
      </c>
      <c r="E362" s="213" t="s">
        <v>51</v>
      </c>
      <c r="F362" s="210" t="s">
        <v>53</v>
      </c>
      <c r="G362" s="228" t="s">
        <v>566</v>
      </c>
      <c r="H362" s="226">
        <v>41837</v>
      </c>
      <c r="I362" s="212">
        <v>5</v>
      </c>
      <c r="J362" s="248"/>
    </row>
    <row r="363" spans="1:10" ht="18" customHeight="1">
      <c r="A363" s="218">
        <v>360</v>
      </c>
      <c r="B363" s="228" t="s">
        <v>570</v>
      </c>
      <c r="C363" s="226">
        <v>41842</v>
      </c>
      <c r="D363" s="212">
        <v>59.41</v>
      </c>
      <c r="E363" s="213" t="s">
        <v>51</v>
      </c>
      <c r="F363" s="210" t="s">
        <v>53</v>
      </c>
      <c r="G363" s="228" t="s">
        <v>570</v>
      </c>
      <c r="H363" s="226">
        <v>41842</v>
      </c>
      <c r="I363" s="212">
        <v>59.41</v>
      </c>
      <c r="J363" s="248"/>
    </row>
    <row r="364" spans="1:10" ht="18" customHeight="1">
      <c r="A364" s="218">
        <v>361</v>
      </c>
      <c r="B364" s="228" t="s">
        <v>571</v>
      </c>
      <c r="C364" s="226">
        <v>41848</v>
      </c>
      <c r="D364" s="212">
        <v>5</v>
      </c>
      <c r="E364" s="213" t="s">
        <v>51</v>
      </c>
      <c r="F364" s="210" t="s">
        <v>53</v>
      </c>
      <c r="G364" s="228" t="s">
        <v>571</v>
      </c>
      <c r="H364" s="226">
        <v>41848</v>
      </c>
      <c r="I364" s="212">
        <v>5</v>
      </c>
      <c r="J364" s="248"/>
    </row>
    <row r="365" spans="1:10" ht="18" customHeight="1">
      <c r="A365" s="218">
        <v>362</v>
      </c>
      <c r="B365" s="228" t="s">
        <v>513</v>
      </c>
      <c r="C365" s="226">
        <v>41765</v>
      </c>
      <c r="D365" s="212">
        <v>22.99</v>
      </c>
      <c r="E365" s="213" t="s">
        <v>51</v>
      </c>
      <c r="F365" s="210" t="s">
        <v>53</v>
      </c>
      <c r="G365" s="228" t="s">
        <v>513</v>
      </c>
      <c r="H365" s="226">
        <v>41765</v>
      </c>
      <c r="I365" s="212">
        <v>22.99</v>
      </c>
      <c r="J365" s="248"/>
    </row>
    <row r="366" spans="1:10" ht="18" customHeight="1">
      <c r="A366" s="218">
        <v>363</v>
      </c>
      <c r="B366" s="228" t="s">
        <v>514</v>
      </c>
      <c r="C366" s="226">
        <v>41765</v>
      </c>
      <c r="D366" s="212">
        <v>41.9</v>
      </c>
      <c r="E366" s="213" t="s">
        <v>51</v>
      </c>
      <c r="F366" s="210" t="s">
        <v>53</v>
      </c>
      <c r="G366" s="228" t="s">
        <v>514</v>
      </c>
      <c r="H366" s="226">
        <v>41765</v>
      </c>
      <c r="I366" s="212">
        <v>41.9</v>
      </c>
      <c r="J366" s="248"/>
    </row>
    <row r="367" spans="1:10" ht="18" customHeight="1">
      <c r="A367" s="218">
        <v>364</v>
      </c>
      <c r="B367" s="228" t="s">
        <v>515</v>
      </c>
      <c r="C367" s="226">
        <v>41765</v>
      </c>
      <c r="D367" s="212">
        <v>27.55</v>
      </c>
      <c r="E367" s="213" t="s">
        <v>51</v>
      </c>
      <c r="F367" s="210" t="s">
        <v>53</v>
      </c>
      <c r="G367" s="228" t="s">
        <v>515</v>
      </c>
      <c r="H367" s="226">
        <v>41765</v>
      </c>
      <c r="I367" s="212">
        <v>27.55</v>
      </c>
      <c r="J367" s="248"/>
    </row>
    <row r="368" spans="1:10" ht="18" customHeight="1">
      <c r="A368" s="218">
        <v>365</v>
      </c>
      <c r="B368" s="228" t="s">
        <v>516</v>
      </c>
      <c r="C368" s="226">
        <v>41766</v>
      </c>
      <c r="D368" s="212">
        <v>82.68</v>
      </c>
      <c r="E368" s="213" t="s">
        <v>51</v>
      </c>
      <c r="F368" s="210" t="s">
        <v>53</v>
      </c>
      <c r="G368" s="228" t="s">
        <v>516</v>
      </c>
      <c r="H368" s="226">
        <v>41766</v>
      </c>
      <c r="I368" s="212">
        <v>82.68</v>
      </c>
      <c r="J368" s="248"/>
    </row>
    <row r="369" spans="1:10" ht="18" customHeight="1">
      <c r="A369" s="218">
        <v>366</v>
      </c>
      <c r="B369" s="228" t="s">
        <v>577</v>
      </c>
      <c r="C369" s="226">
        <v>41856</v>
      </c>
      <c r="D369" s="212">
        <v>54.09</v>
      </c>
      <c r="E369" s="213" t="s">
        <v>51</v>
      </c>
      <c r="F369" s="210" t="s">
        <v>53</v>
      </c>
      <c r="G369" s="228" t="s">
        <v>577</v>
      </c>
      <c r="H369" s="226">
        <v>41856</v>
      </c>
      <c r="I369" s="212">
        <v>54.09</v>
      </c>
      <c r="J369" s="248"/>
    </row>
    <row r="370" spans="1:10" ht="18" customHeight="1">
      <c r="A370" s="218">
        <v>367</v>
      </c>
      <c r="B370" s="228" t="s">
        <v>578</v>
      </c>
      <c r="C370" s="226">
        <v>41856</v>
      </c>
      <c r="D370" s="212">
        <v>30.93</v>
      </c>
      <c r="E370" s="213" t="s">
        <v>51</v>
      </c>
      <c r="F370" s="210" t="s">
        <v>53</v>
      </c>
      <c r="G370" s="228" t="s">
        <v>578</v>
      </c>
      <c r="H370" s="226">
        <v>41856</v>
      </c>
      <c r="I370" s="212">
        <v>30.93</v>
      </c>
      <c r="J370" s="248"/>
    </row>
    <row r="371" spans="1:10" ht="18" customHeight="1">
      <c r="A371" s="218">
        <v>368</v>
      </c>
      <c r="B371" s="228" t="s">
        <v>579</v>
      </c>
      <c r="C371" s="226">
        <v>41856</v>
      </c>
      <c r="D371" s="212">
        <v>31.94</v>
      </c>
      <c r="E371" s="213" t="s">
        <v>51</v>
      </c>
      <c r="F371" s="210" t="s">
        <v>53</v>
      </c>
      <c r="G371" s="228" t="s">
        <v>579</v>
      </c>
      <c r="H371" s="226">
        <v>41856</v>
      </c>
      <c r="I371" s="212">
        <v>31.94</v>
      </c>
      <c r="J371" s="248"/>
    </row>
    <row r="372" spans="1:10" ht="18" customHeight="1">
      <c r="A372" s="218">
        <v>369</v>
      </c>
      <c r="B372" s="228" t="s">
        <v>580</v>
      </c>
      <c r="C372" s="226">
        <v>41856</v>
      </c>
      <c r="D372" s="212">
        <v>22.3</v>
      </c>
      <c r="E372" s="213" t="s">
        <v>51</v>
      </c>
      <c r="F372" s="210" t="s">
        <v>53</v>
      </c>
      <c r="G372" s="228" t="s">
        <v>580</v>
      </c>
      <c r="H372" s="226">
        <v>41856</v>
      </c>
      <c r="I372" s="212">
        <v>22.3</v>
      </c>
      <c r="J372" s="248"/>
    </row>
    <row r="373" spans="1:10" ht="18" customHeight="1">
      <c r="A373" s="218">
        <v>370</v>
      </c>
      <c r="B373" s="228" t="s">
        <v>581</v>
      </c>
      <c r="C373" s="226">
        <v>41856</v>
      </c>
      <c r="D373" s="212">
        <v>30.36</v>
      </c>
      <c r="E373" s="213" t="s">
        <v>51</v>
      </c>
      <c r="F373" s="210" t="s">
        <v>53</v>
      </c>
      <c r="G373" s="228" t="s">
        <v>581</v>
      </c>
      <c r="H373" s="226">
        <v>41856</v>
      </c>
      <c r="I373" s="212">
        <v>30.36</v>
      </c>
      <c r="J373" s="248"/>
    </row>
    <row r="374" spans="1:10" ht="18" customHeight="1">
      <c r="A374" s="218">
        <v>371</v>
      </c>
      <c r="B374" s="228" t="s">
        <v>582</v>
      </c>
      <c r="C374" s="226">
        <v>41858</v>
      </c>
      <c r="D374" s="212">
        <v>5</v>
      </c>
      <c r="E374" s="213" t="s">
        <v>51</v>
      </c>
      <c r="F374" s="210" t="s">
        <v>53</v>
      </c>
      <c r="G374" s="228" t="s">
        <v>582</v>
      </c>
      <c r="H374" s="226">
        <v>41858</v>
      </c>
      <c r="I374" s="212">
        <v>5</v>
      </c>
      <c r="J374" s="248"/>
    </row>
    <row r="375" spans="1:10" ht="18" customHeight="1">
      <c r="A375" s="218">
        <v>372</v>
      </c>
      <c r="B375" s="228" t="s">
        <v>583</v>
      </c>
      <c r="C375" s="226">
        <v>41862</v>
      </c>
      <c r="D375" s="212">
        <v>5</v>
      </c>
      <c r="E375" s="213" t="s">
        <v>51</v>
      </c>
      <c r="F375" s="210" t="s">
        <v>53</v>
      </c>
      <c r="G375" s="228" t="s">
        <v>583</v>
      </c>
      <c r="H375" s="226">
        <v>41862</v>
      </c>
      <c r="I375" s="212">
        <v>5</v>
      </c>
      <c r="J375" s="248"/>
    </row>
    <row r="376" spans="1:10" ht="18" customHeight="1">
      <c r="A376" s="218">
        <v>373</v>
      </c>
      <c r="B376" s="228" t="s">
        <v>585</v>
      </c>
      <c r="C376" s="226">
        <v>41863</v>
      </c>
      <c r="D376" s="212">
        <v>26.6</v>
      </c>
      <c r="E376" s="213" t="s">
        <v>51</v>
      </c>
      <c r="F376" s="210" t="s">
        <v>53</v>
      </c>
      <c r="G376" s="228" t="s">
        <v>585</v>
      </c>
      <c r="H376" s="226">
        <v>41863</v>
      </c>
      <c r="I376" s="212">
        <v>26.6</v>
      </c>
      <c r="J376" s="248"/>
    </row>
    <row r="377" spans="1:10" ht="18" customHeight="1">
      <c r="A377" s="218">
        <v>374</v>
      </c>
      <c r="B377" s="228" t="s">
        <v>586</v>
      </c>
      <c r="C377" s="226">
        <v>41863</v>
      </c>
      <c r="D377" s="212">
        <v>25.27</v>
      </c>
      <c r="E377" s="213" t="s">
        <v>51</v>
      </c>
      <c r="F377" s="210" t="s">
        <v>53</v>
      </c>
      <c r="G377" s="228" t="s">
        <v>586</v>
      </c>
      <c r="H377" s="226">
        <v>41863</v>
      </c>
      <c r="I377" s="212">
        <v>25.27</v>
      </c>
      <c r="J377" s="248"/>
    </row>
    <row r="378" spans="1:10" ht="18" customHeight="1">
      <c r="A378" s="218">
        <v>375</v>
      </c>
      <c r="B378" s="228" t="s">
        <v>587</v>
      </c>
      <c r="C378" s="226">
        <v>41863</v>
      </c>
      <c r="D378" s="212">
        <v>64.75</v>
      </c>
      <c r="E378" s="213" t="s">
        <v>51</v>
      </c>
      <c r="F378" s="210" t="s">
        <v>53</v>
      </c>
      <c r="G378" s="228" t="s">
        <v>587</v>
      </c>
      <c r="H378" s="226">
        <v>41863</v>
      </c>
      <c r="I378" s="212">
        <v>64.75</v>
      </c>
      <c r="J378" s="248"/>
    </row>
    <row r="379" spans="1:10" ht="18" customHeight="1">
      <c r="A379" s="218">
        <v>376</v>
      </c>
      <c r="B379" s="228" t="s">
        <v>588</v>
      </c>
      <c r="C379" s="226">
        <v>41863</v>
      </c>
      <c r="D379" s="212">
        <v>84.08</v>
      </c>
      <c r="E379" s="213" t="s">
        <v>51</v>
      </c>
      <c r="F379" s="210" t="s">
        <v>53</v>
      </c>
      <c r="G379" s="228" t="s">
        <v>588</v>
      </c>
      <c r="H379" s="226">
        <v>41863</v>
      </c>
      <c r="I379" s="212">
        <v>84.08</v>
      </c>
      <c r="J379" s="248"/>
    </row>
    <row r="380" spans="1:10" ht="18" customHeight="1">
      <c r="A380" s="218">
        <v>377</v>
      </c>
      <c r="B380" s="228" t="s">
        <v>589</v>
      </c>
      <c r="C380" s="226">
        <v>41863</v>
      </c>
      <c r="D380" s="212">
        <v>28.4</v>
      </c>
      <c r="E380" s="213" t="s">
        <v>51</v>
      </c>
      <c r="F380" s="210" t="s">
        <v>53</v>
      </c>
      <c r="G380" s="228" t="s">
        <v>589</v>
      </c>
      <c r="H380" s="226">
        <v>41863</v>
      </c>
      <c r="I380" s="212">
        <v>28.4</v>
      </c>
      <c r="J380" s="248"/>
    </row>
    <row r="381" spans="1:10" ht="18" customHeight="1">
      <c r="A381" s="218">
        <v>378</v>
      </c>
      <c r="B381" s="228" t="s">
        <v>590</v>
      </c>
      <c r="C381" s="226">
        <v>41863</v>
      </c>
      <c r="D381" s="212">
        <v>23.09</v>
      </c>
      <c r="E381" s="213" t="s">
        <v>51</v>
      </c>
      <c r="F381" s="210" t="s">
        <v>53</v>
      </c>
      <c r="G381" s="228" t="s">
        <v>590</v>
      </c>
      <c r="H381" s="226">
        <v>41863</v>
      </c>
      <c r="I381" s="212">
        <v>23.09</v>
      </c>
      <c r="J381" s="248"/>
    </row>
    <row r="382" spans="1:10" ht="18" customHeight="1">
      <c r="A382" s="218">
        <v>379</v>
      </c>
      <c r="B382" s="228" t="s">
        <v>593</v>
      </c>
      <c r="C382" s="226">
        <v>41869</v>
      </c>
      <c r="D382" s="212">
        <v>33.19</v>
      </c>
      <c r="E382" s="213" t="s">
        <v>51</v>
      </c>
      <c r="F382" s="210" t="s">
        <v>53</v>
      </c>
      <c r="G382" s="228" t="s">
        <v>593</v>
      </c>
      <c r="H382" s="226">
        <v>41869</v>
      </c>
      <c r="I382" s="212">
        <v>33.19</v>
      </c>
      <c r="J382" s="248"/>
    </row>
    <row r="383" spans="1:10" ht="18" customHeight="1">
      <c r="A383" s="218">
        <v>380</v>
      </c>
      <c r="B383" s="228" t="s">
        <v>594</v>
      </c>
      <c r="C383" s="226">
        <v>41869</v>
      </c>
      <c r="D383" s="212">
        <v>35.99</v>
      </c>
      <c r="E383" s="213" t="s">
        <v>51</v>
      </c>
      <c r="F383" s="210" t="s">
        <v>53</v>
      </c>
      <c r="G383" s="228" t="s">
        <v>594</v>
      </c>
      <c r="H383" s="226">
        <v>41869</v>
      </c>
      <c r="I383" s="212">
        <v>35.99</v>
      </c>
      <c r="J383" s="248"/>
    </row>
    <row r="384" spans="1:10" ht="18" customHeight="1">
      <c r="A384" s="218">
        <v>381</v>
      </c>
      <c r="B384" s="228" t="s">
        <v>595</v>
      </c>
      <c r="C384" s="226">
        <v>41876</v>
      </c>
      <c r="D384" s="212">
        <v>33.26</v>
      </c>
      <c r="E384" s="213" t="s">
        <v>51</v>
      </c>
      <c r="F384" s="210" t="s">
        <v>53</v>
      </c>
      <c r="G384" s="228" t="s">
        <v>595</v>
      </c>
      <c r="H384" s="226">
        <v>41876</v>
      </c>
      <c r="I384" s="212">
        <v>33.26</v>
      </c>
      <c r="J384" s="248"/>
    </row>
    <row r="385" spans="1:10" ht="18" customHeight="1">
      <c r="A385" s="218">
        <v>382</v>
      </c>
      <c r="B385" s="228" t="s">
        <v>596</v>
      </c>
      <c r="C385" s="226">
        <v>41876</v>
      </c>
      <c r="D385" s="212">
        <v>22.3</v>
      </c>
      <c r="E385" s="213" t="s">
        <v>51</v>
      </c>
      <c r="F385" s="210" t="s">
        <v>53</v>
      </c>
      <c r="G385" s="228" t="s">
        <v>596</v>
      </c>
      <c r="H385" s="226">
        <v>41876</v>
      </c>
      <c r="I385" s="212">
        <v>22.3</v>
      </c>
      <c r="J385" s="248"/>
    </row>
    <row r="386" spans="1:10" ht="18" customHeight="1">
      <c r="A386" s="218">
        <v>383</v>
      </c>
      <c r="B386" s="228" t="s">
        <v>597</v>
      </c>
      <c r="C386" s="226">
        <v>41876</v>
      </c>
      <c r="D386" s="212">
        <v>5</v>
      </c>
      <c r="E386" s="213" t="s">
        <v>51</v>
      </c>
      <c r="F386" s="210" t="s">
        <v>53</v>
      </c>
      <c r="G386" s="228" t="s">
        <v>597</v>
      </c>
      <c r="H386" s="226">
        <v>41876</v>
      </c>
      <c r="I386" s="212">
        <v>5</v>
      </c>
      <c r="J386" s="248"/>
    </row>
    <row r="387" spans="1:10" ht="18" customHeight="1">
      <c r="A387" s="218">
        <v>384</v>
      </c>
      <c r="B387" s="228" t="s">
        <v>598</v>
      </c>
      <c r="C387" s="226">
        <v>41876</v>
      </c>
      <c r="D387" s="212">
        <v>5</v>
      </c>
      <c r="E387" s="213" t="s">
        <v>51</v>
      </c>
      <c r="F387" s="210" t="s">
        <v>53</v>
      </c>
      <c r="G387" s="228" t="s">
        <v>598</v>
      </c>
      <c r="H387" s="226">
        <v>41876</v>
      </c>
      <c r="I387" s="212">
        <v>5</v>
      </c>
      <c r="J387" s="248"/>
    </row>
    <row r="388" spans="1:10" ht="18" customHeight="1">
      <c r="A388" s="218">
        <v>385</v>
      </c>
      <c r="B388" s="228" t="s">
        <v>600</v>
      </c>
      <c r="C388" s="226">
        <v>41877</v>
      </c>
      <c r="D388" s="212">
        <v>38.770000000000003</v>
      </c>
      <c r="E388" s="213" t="s">
        <v>51</v>
      </c>
      <c r="F388" s="210" t="s">
        <v>53</v>
      </c>
      <c r="G388" s="228" t="s">
        <v>600</v>
      </c>
      <c r="H388" s="226">
        <v>41877</v>
      </c>
      <c r="I388" s="212">
        <v>38.770000000000003</v>
      </c>
      <c r="J388" s="248"/>
    </row>
    <row r="389" spans="1:10" ht="18" customHeight="1">
      <c r="A389" s="218">
        <v>386</v>
      </c>
      <c r="B389" s="228" t="s">
        <v>601</v>
      </c>
      <c r="C389" s="226">
        <v>41877</v>
      </c>
      <c r="D389" s="212">
        <v>5</v>
      </c>
      <c r="E389" s="213" t="s">
        <v>51</v>
      </c>
      <c r="F389" s="210" t="s">
        <v>53</v>
      </c>
      <c r="G389" s="228" t="s">
        <v>601</v>
      </c>
      <c r="H389" s="226">
        <v>41877</v>
      </c>
      <c r="I389" s="212">
        <v>5</v>
      </c>
      <c r="J389" s="248"/>
    </row>
    <row r="390" spans="1:10" ht="18" customHeight="1">
      <c r="A390" s="218">
        <v>387</v>
      </c>
      <c r="B390" s="228" t="s">
        <v>602</v>
      </c>
      <c r="C390" s="226">
        <v>41881</v>
      </c>
      <c r="D390" s="212">
        <v>42.84</v>
      </c>
      <c r="E390" s="213" t="s">
        <v>51</v>
      </c>
      <c r="F390" s="210" t="s">
        <v>53</v>
      </c>
      <c r="G390" s="228" t="s">
        <v>602</v>
      </c>
      <c r="H390" s="226">
        <v>41881</v>
      </c>
      <c r="I390" s="212">
        <v>42.84</v>
      </c>
      <c r="J390" s="248"/>
    </row>
    <row r="391" spans="1:10" ht="18" customHeight="1">
      <c r="A391" s="218">
        <v>388</v>
      </c>
      <c r="B391" s="228" t="s">
        <v>603</v>
      </c>
      <c r="C391" s="226">
        <v>41881</v>
      </c>
      <c r="D391" s="212">
        <v>5</v>
      </c>
      <c r="E391" s="213" t="s">
        <v>51</v>
      </c>
      <c r="F391" s="210" t="s">
        <v>53</v>
      </c>
      <c r="G391" s="228" t="s">
        <v>603</v>
      </c>
      <c r="H391" s="226">
        <v>41881</v>
      </c>
      <c r="I391" s="212">
        <v>5</v>
      </c>
      <c r="J391" s="248"/>
    </row>
    <row r="392" spans="1:10" ht="18" customHeight="1">
      <c r="A392" s="218">
        <v>389</v>
      </c>
      <c r="B392" s="228" t="s">
        <v>604</v>
      </c>
      <c r="C392" s="226">
        <v>41881</v>
      </c>
      <c r="D392" s="212">
        <v>5</v>
      </c>
      <c r="E392" s="213" t="s">
        <v>51</v>
      </c>
      <c r="F392" s="210" t="s">
        <v>53</v>
      </c>
      <c r="G392" s="228" t="s">
        <v>604</v>
      </c>
      <c r="H392" s="226">
        <v>41881</v>
      </c>
      <c r="I392" s="212">
        <v>5</v>
      </c>
      <c r="J392" s="248"/>
    </row>
    <row r="393" spans="1:10" ht="18" customHeight="1">
      <c r="A393" s="218">
        <v>390</v>
      </c>
      <c r="B393" s="228" t="s">
        <v>605</v>
      </c>
      <c r="C393" s="226">
        <v>41881</v>
      </c>
      <c r="D393" s="212">
        <v>5</v>
      </c>
      <c r="E393" s="213" t="s">
        <v>51</v>
      </c>
      <c r="F393" s="210" t="s">
        <v>53</v>
      </c>
      <c r="G393" s="228" t="s">
        <v>605</v>
      </c>
      <c r="H393" s="226">
        <v>41881</v>
      </c>
      <c r="I393" s="212">
        <v>5</v>
      </c>
      <c r="J393" s="248"/>
    </row>
    <row r="394" spans="1:10" ht="18" customHeight="1">
      <c r="A394" s="218">
        <v>391</v>
      </c>
      <c r="B394" s="228" t="s">
        <v>608</v>
      </c>
      <c r="C394" s="226">
        <v>41882</v>
      </c>
      <c r="D394" s="212">
        <v>23.84</v>
      </c>
      <c r="E394" s="213" t="s">
        <v>51</v>
      </c>
      <c r="F394" s="210" t="s">
        <v>53</v>
      </c>
      <c r="G394" s="228" t="s">
        <v>608</v>
      </c>
      <c r="H394" s="226">
        <v>41882</v>
      </c>
      <c r="I394" s="212">
        <v>23.84</v>
      </c>
      <c r="J394" s="248"/>
    </row>
    <row r="395" spans="1:10" ht="18" customHeight="1">
      <c r="A395" s="218">
        <v>392</v>
      </c>
      <c r="B395" s="228" t="s">
        <v>609</v>
      </c>
      <c r="C395" s="226">
        <v>41882</v>
      </c>
      <c r="D395" s="212">
        <v>40.29</v>
      </c>
      <c r="E395" s="213" t="s">
        <v>51</v>
      </c>
      <c r="F395" s="210" t="s">
        <v>53</v>
      </c>
      <c r="G395" s="228" t="s">
        <v>609</v>
      </c>
      <c r="H395" s="226">
        <v>41882</v>
      </c>
      <c r="I395" s="212">
        <v>40.29</v>
      </c>
      <c r="J395" s="248"/>
    </row>
    <row r="396" spans="1:10" ht="18" customHeight="1">
      <c r="A396" s="218">
        <v>393</v>
      </c>
      <c r="B396" s="228" t="s">
        <v>612</v>
      </c>
      <c r="C396" s="226">
        <v>41890</v>
      </c>
      <c r="D396" s="212">
        <v>29.84</v>
      </c>
      <c r="E396" s="213" t="s">
        <v>51</v>
      </c>
      <c r="F396" s="210" t="s">
        <v>53</v>
      </c>
      <c r="G396" s="228" t="s">
        <v>612</v>
      </c>
      <c r="H396" s="226">
        <v>41890</v>
      </c>
      <c r="I396" s="212">
        <v>29.84</v>
      </c>
      <c r="J396" s="248"/>
    </row>
    <row r="397" spans="1:10" ht="18" customHeight="1">
      <c r="A397" s="218">
        <v>394</v>
      </c>
      <c r="B397" s="228" t="s">
        <v>613</v>
      </c>
      <c r="C397" s="226">
        <v>41891</v>
      </c>
      <c r="D397" s="212">
        <v>25.19</v>
      </c>
      <c r="E397" s="213" t="s">
        <v>51</v>
      </c>
      <c r="F397" s="210" t="s">
        <v>53</v>
      </c>
      <c r="G397" s="228" t="s">
        <v>613</v>
      </c>
      <c r="H397" s="226">
        <v>41891</v>
      </c>
      <c r="I397" s="212">
        <v>25.19</v>
      </c>
      <c r="J397" s="248"/>
    </row>
    <row r="398" spans="1:10" ht="18" customHeight="1">
      <c r="A398" s="218">
        <v>395</v>
      </c>
      <c r="B398" s="228" t="s">
        <v>614</v>
      </c>
      <c r="C398" s="226">
        <v>41891</v>
      </c>
      <c r="D398" s="212">
        <v>22.58</v>
      </c>
      <c r="E398" s="213" t="s">
        <v>51</v>
      </c>
      <c r="F398" s="210" t="s">
        <v>53</v>
      </c>
      <c r="G398" s="228" t="s">
        <v>614</v>
      </c>
      <c r="H398" s="226">
        <v>41891</v>
      </c>
      <c r="I398" s="212">
        <v>22.58</v>
      </c>
      <c r="J398" s="248"/>
    </row>
    <row r="399" spans="1:10" ht="18" customHeight="1">
      <c r="A399" s="218">
        <v>396</v>
      </c>
      <c r="B399" s="228" t="s">
        <v>615</v>
      </c>
      <c r="C399" s="226">
        <v>41891</v>
      </c>
      <c r="D399" s="212">
        <v>55.57</v>
      </c>
      <c r="E399" s="213" t="s">
        <v>51</v>
      </c>
      <c r="F399" s="210" t="s">
        <v>53</v>
      </c>
      <c r="G399" s="228" t="s">
        <v>615</v>
      </c>
      <c r="H399" s="226">
        <v>41891</v>
      </c>
      <c r="I399" s="212">
        <v>55.57</v>
      </c>
      <c r="J399" s="248"/>
    </row>
    <row r="400" spans="1:10" ht="18" customHeight="1">
      <c r="A400" s="218">
        <v>397</v>
      </c>
      <c r="B400" s="228" t="s">
        <v>616</v>
      </c>
      <c r="C400" s="226">
        <v>41891</v>
      </c>
      <c r="D400" s="212">
        <v>41.18</v>
      </c>
      <c r="E400" s="213" t="s">
        <v>51</v>
      </c>
      <c r="F400" s="210" t="s">
        <v>53</v>
      </c>
      <c r="G400" s="228" t="s">
        <v>616</v>
      </c>
      <c r="H400" s="226">
        <v>41891</v>
      </c>
      <c r="I400" s="212">
        <v>41.18</v>
      </c>
      <c r="J400" s="248"/>
    </row>
    <row r="401" spans="1:10" ht="18" customHeight="1">
      <c r="A401" s="218">
        <v>398</v>
      </c>
      <c r="B401" s="228" t="s">
        <v>617</v>
      </c>
      <c r="C401" s="226">
        <v>41891</v>
      </c>
      <c r="D401" s="212">
        <v>28.4</v>
      </c>
      <c r="E401" s="213" t="s">
        <v>51</v>
      </c>
      <c r="F401" s="210" t="s">
        <v>53</v>
      </c>
      <c r="G401" s="228" t="s">
        <v>617</v>
      </c>
      <c r="H401" s="226">
        <v>41891</v>
      </c>
      <c r="I401" s="212">
        <v>28.4</v>
      </c>
      <c r="J401" s="248"/>
    </row>
    <row r="402" spans="1:10" ht="18" customHeight="1">
      <c r="A402" s="218">
        <v>399</v>
      </c>
      <c r="B402" s="228" t="s">
        <v>620</v>
      </c>
      <c r="C402" s="226">
        <v>41896</v>
      </c>
      <c r="D402" s="212">
        <v>24.08</v>
      </c>
      <c r="E402" s="213" t="s">
        <v>51</v>
      </c>
      <c r="F402" s="210" t="s">
        <v>53</v>
      </c>
      <c r="G402" s="228" t="s">
        <v>620</v>
      </c>
      <c r="H402" s="226">
        <v>41896</v>
      </c>
      <c r="I402" s="212">
        <v>24.08</v>
      </c>
      <c r="J402" s="248"/>
    </row>
    <row r="403" spans="1:10" ht="18" customHeight="1">
      <c r="A403" s="218">
        <v>400</v>
      </c>
      <c r="B403" s="228" t="s">
        <v>622</v>
      </c>
      <c r="C403" s="226">
        <v>41897</v>
      </c>
      <c r="D403" s="212">
        <v>26.6</v>
      </c>
      <c r="E403" s="213" t="s">
        <v>51</v>
      </c>
      <c r="F403" s="210" t="s">
        <v>53</v>
      </c>
      <c r="G403" s="228" t="s">
        <v>622</v>
      </c>
      <c r="H403" s="226">
        <v>41897</v>
      </c>
      <c r="I403" s="212">
        <v>26.6</v>
      </c>
      <c r="J403" s="248"/>
    </row>
    <row r="404" spans="1:10" ht="18" customHeight="1">
      <c r="A404" s="218">
        <v>401</v>
      </c>
      <c r="B404" s="228" t="s">
        <v>623</v>
      </c>
      <c r="C404" s="226">
        <v>41898</v>
      </c>
      <c r="D404" s="212">
        <v>5</v>
      </c>
      <c r="E404" s="213" t="s">
        <v>51</v>
      </c>
      <c r="F404" s="210" t="s">
        <v>53</v>
      </c>
      <c r="G404" s="228" t="s">
        <v>623</v>
      </c>
      <c r="H404" s="226">
        <v>41898</v>
      </c>
      <c r="I404" s="212">
        <v>5</v>
      </c>
      <c r="J404" s="248"/>
    </row>
    <row r="405" spans="1:10" ht="18" customHeight="1">
      <c r="A405" s="218">
        <v>402</v>
      </c>
      <c r="B405" s="228" t="s">
        <v>624</v>
      </c>
      <c r="C405" s="226">
        <v>41898</v>
      </c>
      <c r="D405" s="212">
        <v>5</v>
      </c>
      <c r="E405" s="213" t="s">
        <v>51</v>
      </c>
      <c r="F405" s="210" t="s">
        <v>53</v>
      </c>
      <c r="G405" s="228" t="s">
        <v>624</v>
      </c>
      <c r="H405" s="226">
        <v>41898</v>
      </c>
      <c r="I405" s="212">
        <v>5</v>
      </c>
      <c r="J405" s="248"/>
    </row>
    <row r="406" spans="1:10" ht="18" customHeight="1">
      <c r="A406" s="218">
        <v>403</v>
      </c>
      <c r="B406" s="228" t="s">
        <v>625</v>
      </c>
      <c r="C406" s="226">
        <v>41898</v>
      </c>
      <c r="D406" s="212">
        <v>37.96</v>
      </c>
      <c r="E406" s="213" t="s">
        <v>51</v>
      </c>
      <c r="F406" s="210" t="s">
        <v>53</v>
      </c>
      <c r="G406" s="228" t="s">
        <v>625</v>
      </c>
      <c r="H406" s="226">
        <v>41898</v>
      </c>
      <c r="I406" s="212">
        <v>37.96</v>
      </c>
      <c r="J406" s="248"/>
    </row>
    <row r="407" spans="1:10" ht="18" customHeight="1">
      <c r="A407" s="218">
        <v>404</v>
      </c>
      <c r="B407" s="228" t="s">
        <v>626</v>
      </c>
      <c r="C407" s="226">
        <v>41898</v>
      </c>
      <c r="D407" s="212">
        <v>34.93</v>
      </c>
      <c r="E407" s="213" t="s">
        <v>51</v>
      </c>
      <c r="F407" s="210" t="s">
        <v>53</v>
      </c>
      <c r="G407" s="228" t="s">
        <v>626</v>
      </c>
      <c r="H407" s="226">
        <v>41898</v>
      </c>
      <c r="I407" s="212">
        <v>34.93</v>
      </c>
      <c r="J407" s="248"/>
    </row>
    <row r="408" spans="1:10" ht="18" customHeight="1">
      <c r="A408" s="218">
        <v>405</v>
      </c>
      <c r="B408" s="228" t="s">
        <v>627</v>
      </c>
      <c r="C408" s="226">
        <v>41898</v>
      </c>
      <c r="D408" s="212">
        <v>22.3</v>
      </c>
      <c r="E408" s="213" t="s">
        <v>51</v>
      </c>
      <c r="F408" s="210" t="s">
        <v>53</v>
      </c>
      <c r="G408" s="228" t="s">
        <v>627</v>
      </c>
      <c r="H408" s="226">
        <v>41898</v>
      </c>
      <c r="I408" s="212">
        <v>22.3</v>
      </c>
      <c r="J408" s="248"/>
    </row>
    <row r="409" spans="1:10" ht="18" customHeight="1">
      <c r="A409" s="218">
        <v>406</v>
      </c>
      <c r="B409" s="228" t="s">
        <v>629</v>
      </c>
      <c r="C409" s="226">
        <v>41899</v>
      </c>
      <c r="D409" s="212">
        <v>5</v>
      </c>
      <c r="E409" s="213" t="s">
        <v>51</v>
      </c>
      <c r="F409" s="210" t="s">
        <v>53</v>
      </c>
      <c r="G409" s="228" t="s">
        <v>629</v>
      </c>
      <c r="H409" s="226">
        <v>41899</v>
      </c>
      <c r="I409" s="212">
        <v>5</v>
      </c>
      <c r="J409" s="248"/>
    </row>
    <row r="410" spans="1:10" ht="18" customHeight="1">
      <c r="A410" s="218">
        <v>407</v>
      </c>
      <c r="B410" s="228" t="s">
        <v>631</v>
      </c>
      <c r="C410" s="226">
        <v>41907</v>
      </c>
      <c r="D410" s="212">
        <v>25.55</v>
      </c>
      <c r="E410" s="213" t="s">
        <v>51</v>
      </c>
      <c r="F410" s="210" t="s">
        <v>53</v>
      </c>
      <c r="G410" s="228" t="s">
        <v>631</v>
      </c>
      <c r="H410" s="226">
        <v>41907</v>
      </c>
      <c r="I410" s="212">
        <v>25.55</v>
      </c>
      <c r="J410" s="248"/>
    </row>
    <row r="411" spans="1:10" ht="18" customHeight="1">
      <c r="A411" s="218">
        <v>408</v>
      </c>
      <c r="B411" s="228" t="s">
        <v>633</v>
      </c>
      <c r="C411" s="226">
        <v>41911</v>
      </c>
      <c r="D411" s="212">
        <v>5</v>
      </c>
      <c r="E411" s="213" t="s">
        <v>51</v>
      </c>
      <c r="F411" s="210" t="s">
        <v>53</v>
      </c>
      <c r="G411" s="228" t="s">
        <v>633</v>
      </c>
      <c r="H411" s="226">
        <v>41911</v>
      </c>
      <c r="I411" s="212">
        <v>5</v>
      </c>
      <c r="J411" s="248"/>
    </row>
    <row r="412" spans="1:10" ht="18" customHeight="1">
      <c r="A412" s="218">
        <v>409</v>
      </c>
      <c r="B412" s="228" t="s">
        <v>635</v>
      </c>
      <c r="C412" s="226">
        <v>41912</v>
      </c>
      <c r="D412" s="212">
        <v>22.3</v>
      </c>
      <c r="E412" s="213" t="s">
        <v>51</v>
      </c>
      <c r="F412" s="210" t="s">
        <v>53</v>
      </c>
      <c r="G412" s="228" t="s">
        <v>635</v>
      </c>
      <c r="H412" s="226">
        <v>41912</v>
      </c>
      <c r="I412" s="212">
        <v>22.3</v>
      </c>
      <c r="J412" s="248"/>
    </row>
    <row r="413" spans="1:10" ht="18" customHeight="1">
      <c r="A413" s="218">
        <v>410</v>
      </c>
      <c r="B413" s="228" t="s">
        <v>636</v>
      </c>
      <c r="C413" s="226">
        <v>41912</v>
      </c>
      <c r="D413" s="212">
        <v>22.3</v>
      </c>
      <c r="E413" s="213" t="s">
        <v>51</v>
      </c>
      <c r="F413" s="210" t="s">
        <v>53</v>
      </c>
      <c r="G413" s="228" t="s">
        <v>636</v>
      </c>
      <c r="H413" s="226">
        <v>41912</v>
      </c>
      <c r="I413" s="212">
        <v>22.3</v>
      </c>
      <c r="J413" s="248"/>
    </row>
    <row r="414" spans="1:10" ht="18" customHeight="1">
      <c r="A414" s="218">
        <v>411</v>
      </c>
      <c r="B414" s="228" t="s">
        <v>641</v>
      </c>
      <c r="C414" s="226">
        <v>41919</v>
      </c>
      <c r="D414" s="212">
        <v>5</v>
      </c>
      <c r="E414" s="213" t="s">
        <v>51</v>
      </c>
      <c r="F414" s="210" t="s">
        <v>53</v>
      </c>
      <c r="G414" s="228" t="s">
        <v>641</v>
      </c>
      <c r="H414" s="226">
        <v>41919</v>
      </c>
      <c r="I414" s="212">
        <v>5</v>
      </c>
      <c r="J414" s="248"/>
    </row>
    <row r="415" spans="1:10" ht="18" customHeight="1">
      <c r="A415" s="218">
        <v>412</v>
      </c>
      <c r="B415" s="228" t="s">
        <v>642</v>
      </c>
      <c r="C415" s="226">
        <v>41919</v>
      </c>
      <c r="D415" s="212">
        <v>63.66</v>
      </c>
      <c r="E415" s="213" t="s">
        <v>51</v>
      </c>
      <c r="F415" s="210" t="s">
        <v>53</v>
      </c>
      <c r="G415" s="228" t="s">
        <v>642</v>
      </c>
      <c r="H415" s="226">
        <v>41919</v>
      </c>
      <c r="I415" s="212">
        <v>63.66</v>
      </c>
      <c r="J415" s="248"/>
    </row>
    <row r="416" spans="1:10" ht="18" customHeight="1">
      <c r="A416" s="218">
        <v>413</v>
      </c>
      <c r="B416" s="228" t="s">
        <v>644</v>
      </c>
      <c r="C416" s="226">
        <v>41920</v>
      </c>
      <c r="D416" s="212">
        <v>34.369999999999997</v>
      </c>
      <c r="E416" s="213" t="s">
        <v>51</v>
      </c>
      <c r="F416" s="210" t="s">
        <v>53</v>
      </c>
      <c r="G416" s="228" t="s">
        <v>644</v>
      </c>
      <c r="H416" s="226">
        <v>41920</v>
      </c>
      <c r="I416" s="212">
        <v>34.369999999999997</v>
      </c>
      <c r="J416" s="248"/>
    </row>
    <row r="417" spans="1:10" ht="18" customHeight="1">
      <c r="A417" s="218">
        <v>414</v>
      </c>
      <c r="B417" s="228" t="s">
        <v>645</v>
      </c>
      <c r="C417" s="226">
        <v>41921</v>
      </c>
      <c r="D417" s="212">
        <v>26.6</v>
      </c>
      <c r="E417" s="213" t="s">
        <v>51</v>
      </c>
      <c r="F417" s="210" t="s">
        <v>53</v>
      </c>
      <c r="G417" s="228" t="s">
        <v>645</v>
      </c>
      <c r="H417" s="226">
        <v>41921</v>
      </c>
      <c r="I417" s="212">
        <v>26.6</v>
      </c>
      <c r="J417" s="248"/>
    </row>
    <row r="418" spans="1:10" ht="18" customHeight="1">
      <c r="A418" s="218">
        <v>415</v>
      </c>
      <c r="B418" s="228" t="s">
        <v>646</v>
      </c>
      <c r="C418" s="226">
        <v>41921</v>
      </c>
      <c r="D418" s="212">
        <v>52.59</v>
      </c>
      <c r="E418" s="213" t="s">
        <v>51</v>
      </c>
      <c r="F418" s="210" t="s">
        <v>53</v>
      </c>
      <c r="G418" s="228" t="s">
        <v>646</v>
      </c>
      <c r="H418" s="226">
        <v>41921</v>
      </c>
      <c r="I418" s="212">
        <v>52.59</v>
      </c>
      <c r="J418" s="248"/>
    </row>
    <row r="419" spans="1:10" ht="18" customHeight="1">
      <c r="A419" s="218">
        <v>416</v>
      </c>
      <c r="B419" s="228" t="s">
        <v>647</v>
      </c>
      <c r="C419" s="226">
        <v>41925</v>
      </c>
      <c r="D419" s="212">
        <v>27.43</v>
      </c>
      <c r="E419" s="213" t="s">
        <v>51</v>
      </c>
      <c r="F419" s="210" t="s">
        <v>53</v>
      </c>
      <c r="G419" s="228" t="s">
        <v>647</v>
      </c>
      <c r="H419" s="226">
        <v>41925</v>
      </c>
      <c r="I419" s="212">
        <v>27.43</v>
      </c>
      <c r="J419" s="248"/>
    </row>
    <row r="420" spans="1:10" ht="18" customHeight="1">
      <c r="A420" s="218">
        <v>417</v>
      </c>
      <c r="B420" s="228" t="s">
        <v>649</v>
      </c>
      <c r="C420" s="226">
        <v>41925</v>
      </c>
      <c r="D420" s="212">
        <v>32.57</v>
      </c>
      <c r="E420" s="213" t="s">
        <v>51</v>
      </c>
      <c r="F420" s="210" t="s">
        <v>53</v>
      </c>
      <c r="G420" s="228" t="s">
        <v>649</v>
      </c>
      <c r="H420" s="226">
        <v>41925</v>
      </c>
      <c r="I420" s="212">
        <v>32.57</v>
      </c>
      <c r="J420" s="248"/>
    </row>
    <row r="421" spans="1:10" ht="18" customHeight="1">
      <c r="A421" s="218">
        <v>418</v>
      </c>
      <c r="B421" s="228" t="s">
        <v>650</v>
      </c>
      <c r="C421" s="226">
        <v>41926</v>
      </c>
      <c r="D421" s="212">
        <v>29.73</v>
      </c>
      <c r="E421" s="213" t="s">
        <v>51</v>
      </c>
      <c r="F421" s="210" t="s">
        <v>53</v>
      </c>
      <c r="G421" s="228" t="s">
        <v>650</v>
      </c>
      <c r="H421" s="226">
        <v>41926</v>
      </c>
      <c r="I421" s="212">
        <v>29.73</v>
      </c>
      <c r="J421" s="248"/>
    </row>
    <row r="422" spans="1:10" ht="18" customHeight="1">
      <c r="A422" s="218">
        <v>419</v>
      </c>
      <c r="B422" s="228" t="s">
        <v>651</v>
      </c>
      <c r="C422" s="226">
        <v>41926</v>
      </c>
      <c r="D422" s="212">
        <v>24.2</v>
      </c>
      <c r="E422" s="213" t="s">
        <v>51</v>
      </c>
      <c r="F422" s="210" t="s">
        <v>53</v>
      </c>
      <c r="G422" s="228" t="s">
        <v>651</v>
      </c>
      <c r="H422" s="226">
        <v>41926</v>
      </c>
      <c r="I422" s="212">
        <v>24.2</v>
      </c>
      <c r="J422" s="248"/>
    </row>
    <row r="423" spans="1:10" ht="18" customHeight="1">
      <c r="A423" s="218">
        <v>420</v>
      </c>
      <c r="B423" s="228" t="s">
        <v>652</v>
      </c>
      <c r="C423" s="226">
        <v>41926</v>
      </c>
      <c r="D423" s="212">
        <v>52.82</v>
      </c>
      <c r="E423" s="213" t="s">
        <v>51</v>
      </c>
      <c r="F423" s="210" t="s">
        <v>53</v>
      </c>
      <c r="G423" s="228" t="s">
        <v>652</v>
      </c>
      <c r="H423" s="226">
        <v>41926</v>
      </c>
      <c r="I423" s="212">
        <v>52.82</v>
      </c>
      <c r="J423" s="248"/>
    </row>
    <row r="424" spans="1:10" ht="18" customHeight="1">
      <c r="A424" s="218">
        <v>421</v>
      </c>
      <c r="B424" s="228" t="s">
        <v>655</v>
      </c>
      <c r="C424" s="226">
        <v>41933</v>
      </c>
      <c r="D424" s="212">
        <v>29.71</v>
      </c>
      <c r="E424" s="213" t="s">
        <v>51</v>
      </c>
      <c r="F424" s="210" t="s">
        <v>53</v>
      </c>
      <c r="G424" s="228" t="s">
        <v>655</v>
      </c>
      <c r="H424" s="226">
        <v>41933</v>
      </c>
      <c r="I424" s="212">
        <v>29.71</v>
      </c>
      <c r="J424" s="248"/>
    </row>
    <row r="425" spans="1:10" ht="18" customHeight="1">
      <c r="A425" s="218">
        <v>422</v>
      </c>
      <c r="B425" s="228" t="s">
        <v>656</v>
      </c>
      <c r="C425" s="226">
        <v>41933</v>
      </c>
      <c r="D425" s="212">
        <v>39.18</v>
      </c>
      <c r="E425" s="213" t="s">
        <v>51</v>
      </c>
      <c r="F425" s="210" t="s">
        <v>53</v>
      </c>
      <c r="G425" s="228" t="s">
        <v>656</v>
      </c>
      <c r="H425" s="226">
        <v>41933</v>
      </c>
      <c r="I425" s="212">
        <v>39.18</v>
      </c>
      <c r="J425" s="248"/>
    </row>
    <row r="426" spans="1:10" ht="18" customHeight="1">
      <c r="A426" s="218">
        <v>423</v>
      </c>
      <c r="B426" s="228" t="s">
        <v>659</v>
      </c>
      <c r="C426" s="226">
        <v>41940</v>
      </c>
      <c r="D426" s="212">
        <v>23.89</v>
      </c>
      <c r="E426" s="213" t="s">
        <v>51</v>
      </c>
      <c r="F426" s="210" t="s">
        <v>53</v>
      </c>
      <c r="G426" s="228" t="s">
        <v>659</v>
      </c>
      <c r="H426" s="226">
        <v>41940</v>
      </c>
      <c r="I426" s="212">
        <v>23.89</v>
      </c>
      <c r="J426" s="248"/>
    </row>
    <row r="427" spans="1:10" ht="18" customHeight="1">
      <c r="A427" s="218">
        <v>424</v>
      </c>
      <c r="B427" s="228" t="s">
        <v>662</v>
      </c>
      <c r="C427" s="226">
        <v>41946</v>
      </c>
      <c r="D427" s="212">
        <v>22.3</v>
      </c>
      <c r="E427" s="213" t="s">
        <v>51</v>
      </c>
      <c r="F427" s="210" t="s">
        <v>53</v>
      </c>
      <c r="G427" s="228" t="s">
        <v>662</v>
      </c>
      <c r="H427" s="226">
        <v>41946</v>
      </c>
      <c r="I427" s="212">
        <v>22.3</v>
      </c>
      <c r="J427" s="248"/>
    </row>
    <row r="428" spans="1:10" ht="18" customHeight="1">
      <c r="A428" s="218">
        <v>425</v>
      </c>
      <c r="B428" s="228" t="s">
        <v>663</v>
      </c>
      <c r="C428" s="226">
        <v>41947</v>
      </c>
      <c r="D428" s="212">
        <v>27.35</v>
      </c>
      <c r="E428" s="213" t="s">
        <v>51</v>
      </c>
      <c r="F428" s="210" t="s">
        <v>53</v>
      </c>
      <c r="G428" s="228" t="s">
        <v>663</v>
      </c>
      <c r="H428" s="226">
        <v>41947</v>
      </c>
      <c r="I428" s="212">
        <v>27.35</v>
      </c>
      <c r="J428" s="248"/>
    </row>
    <row r="429" spans="1:10" ht="18" customHeight="1">
      <c r="A429" s="218">
        <v>426</v>
      </c>
      <c r="B429" s="228" t="s">
        <v>664</v>
      </c>
      <c r="C429" s="226">
        <v>41947</v>
      </c>
      <c r="D429" s="212">
        <v>52.29</v>
      </c>
      <c r="E429" s="213" t="s">
        <v>51</v>
      </c>
      <c r="F429" s="210" t="s">
        <v>53</v>
      </c>
      <c r="G429" s="228" t="s">
        <v>664</v>
      </c>
      <c r="H429" s="226">
        <v>41947</v>
      </c>
      <c r="I429" s="212">
        <v>52.29</v>
      </c>
      <c r="J429" s="248"/>
    </row>
    <row r="430" spans="1:10" ht="18" customHeight="1">
      <c r="A430" s="218">
        <v>427</v>
      </c>
      <c r="B430" s="228" t="s">
        <v>665</v>
      </c>
      <c r="C430" s="226">
        <v>41947</v>
      </c>
      <c r="D430" s="212">
        <v>35.229999999999997</v>
      </c>
      <c r="E430" s="213" t="s">
        <v>51</v>
      </c>
      <c r="F430" s="210" t="s">
        <v>53</v>
      </c>
      <c r="G430" s="228" t="s">
        <v>665</v>
      </c>
      <c r="H430" s="226">
        <v>41947</v>
      </c>
      <c r="I430" s="212">
        <v>35.229999999999997</v>
      </c>
      <c r="J430" s="248"/>
    </row>
    <row r="431" spans="1:10" ht="18" customHeight="1">
      <c r="A431" s="218">
        <v>428</v>
      </c>
      <c r="B431" s="228" t="s">
        <v>667</v>
      </c>
      <c r="C431" s="226">
        <v>41954</v>
      </c>
      <c r="D431" s="212">
        <v>26.96</v>
      </c>
      <c r="E431" s="213" t="s">
        <v>51</v>
      </c>
      <c r="F431" s="210" t="s">
        <v>53</v>
      </c>
      <c r="G431" s="228" t="s">
        <v>667</v>
      </c>
      <c r="H431" s="226">
        <v>41954</v>
      </c>
      <c r="I431" s="212">
        <v>26.96</v>
      </c>
      <c r="J431" s="248"/>
    </row>
    <row r="432" spans="1:10" ht="18" customHeight="1">
      <c r="A432" s="218">
        <v>429</v>
      </c>
      <c r="B432" s="228" t="s">
        <v>668</v>
      </c>
      <c r="C432" s="226">
        <v>41955</v>
      </c>
      <c r="D432" s="212">
        <v>27.26</v>
      </c>
      <c r="E432" s="213" t="s">
        <v>51</v>
      </c>
      <c r="F432" s="210" t="s">
        <v>53</v>
      </c>
      <c r="G432" s="228" t="s">
        <v>668</v>
      </c>
      <c r="H432" s="226">
        <v>41955</v>
      </c>
      <c r="I432" s="212">
        <v>27.26</v>
      </c>
      <c r="J432" s="248"/>
    </row>
    <row r="433" spans="1:10" ht="18" customHeight="1">
      <c r="A433" s="218">
        <v>430</v>
      </c>
      <c r="B433" s="228" t="s">
        <v>671</v>
      </c>
      <c r="C433" s="226">
        <v>41961</v>
      </c>
      <c r="D433" s="212">
        <v>26.23</v>
      </c>
      <c r="E433" s="213" t="s">
        <v>51</v>
      </c>
      <c r="F433" s="210" t="s">
        <v>53</v>
      </c>
      <c r="G433" s="228" t="s">
        <v>671</v>
      </c>
      <c r="H433" s="226">
        <v>41961</v>
      </c>
      <c r="I433" s="212">
        <v>26.23</v>
      </c>
      <c r="J433" s="248"/>
    </row>
    <row r="434" spans="1:10" ht="18" customHeight="1">
      <c r="A434" s="218">
        <v>431</v>
      </c>
      <c r="B434" s="228" t="s">
        <v>672</v>
      </c>
      <c r="C434" s="226">
        <v>41961</v>
      </c>
      <c r="D434" s="212">
        <v>22.3</v>
      </c>
      <c r="E434" s="213" t="s">
        <v>51</v>
      </c>
      <c r="F434" s="210" t="s">
        <v>53</v>
      </c>
      <c r="G434" s="228" t="s">
        <v>672</v>
      </c>
      <c r="H434" s="226">
        <v>41961</v>
      </c>
      <c r="I434" s="212">
        <v>22.3</v>
      </c>
      <c r="J434" s="248"/>
    </row>
    <row r="435" spans="1:10" ht="18" customHeight="1">
      <c r="A435" s="218">
        <v>432</v>
      </c>
      <c r="B435" s="228" t="s">
        <v>673</v>
      </c>
      <c r="C435" s="226">
        <v>41967</v>
      </c>
      <c r="D435" s="212">
        <v>5</v>
      </c>
      <c r="E435" s="213" t="s">
        <v>51</v>
      </c>
      <c r="F435" s="210" t="s">
        <v>53</v>
      </c>
      <c r="G435" s="228" t="s">
        <v>673</v>
      </c>
      <c r="H435" s="226">
        <v>41967</v>
      </c>
      <c r="I435" s="212">
        <v>5</v>
      </c>
      <c r="J435" s="248"/>
    </row>
    <row r="436" spans="1:10" ht="18" customHeight="1">
      <c r="A436" s="218">
        <v>433</v>
      </c>
      <c r="B436" s="228" t="s">
        <v>676</v>
      </c>
      <c r="C436" s="226">
        <v>41968</v>
      </c>
      <c r="D436" s="212">
        <v>26.71</v>
      </c>
      <c r="E436" s="213" t="s">
        <v>51</v>
      </c>
      <c r="F436" s="210" t="s">
        <v>53</v>
      </c>
      <c r="G436" s="228" t="s">
        <v>676</v>
      </c>
      <c r="H436" s="226">
        <v>41968</v>
      </c>
      <c r="I436" s="212">
        <v>26.71</v>
      </c>
      <c r="J436" s="248"/>
    </row>
    <row r="437" spans="1:10" ht="18" customHeight="1">
      <c r="A437" s="218">
        <v>434</v>
      </c>
      <c r="B437" s="228" t="s">
        <v>677</v>
      </c>
      <c r="C437" s="226">
        <v>41973</v>
      </c>
      <c r="D437" s="212">
        <v>29.64</v>
      </c>
      <c r="E437" s="213" t="s">
        <v>51</v>
      </c>
      <c r="F437" s="210" t="s">
        <v>53</v>
      </c>
      <c r="G437" s="228" t="s">
        <v>677</v>
      </c>
      <c r="H437" s="226">
        <v>41973</v>
      </c>
      <c r="I437" s="212">
        <v>29.64</v>
      </c>
      <c r="J437" s="248"/>
    </row>
    <row r="438" spans="1:10" ht="18" customHeight="1">
      <c r="A438" s="218">
        <v>435</v>
      </c>
      <c r="B438" s="228" t="s">
        <v>681</v>
      </c>
      <c r="C438" s="226">
        <v>41981</v>
      </c>
      <c r="D438" s="212">
        <v>5</v>
      </c>
      <c r="E438" s="213" t="s">
        <v>51</v>
      </c>
      <c r="F438" s="210" t="s">
        <v>53</v>
      </c>
      <c r="G438" s="228" t="s">
        <v>681</v>
      </c>
      <c r="H438" s="226">
        <v>41981</v>
      </c>
      <c r="I438" s="212">
        <v>5</v>
      </c>
      <c r="J438" s="248"/>
    </row>
    <row r="439" spans="1:10" ht="18" customHeight="1">
      <c r="A439" s="218">
        <v>436</v>
      </c>
      <c r="B439" s="228" t="s">
        <v>682</v>
      </c>
      <c r="C439" s="226">
        <v>41982</v>
      </c>
      <c r="D439" s="212">
        <v>37.35</v>
      </c>
      <c r="E439" s="213" t="s">
        <v>51</v>
      </c>
      <c r="F439" s="210" t="s">
        <v>53</v>
      </c>
      <c r="G439" s="228" t="s">
        <v>682</v>
      </c>
      <c r="H439" s="226">
        <v>41982</v>
      </c>
      <c r="I439" s="212">
        <v>37.35</v>
      </c>
      <c r="J439" s="248"/>
    </row>
    <row r="440" spans="1:10" ht="18" customHeight="1">
      <c r="A440" s="218">
        <v>437</v>
      </c>
      <c r="B440" s="228" t="s">
        <v>683</v>
      </c>
      <c r="C440" s="226">
        <v>41982</v>
      </c>
      <c r="D440" s="212">
        <v>61.37</v>
      </c>
      <c r="E440" s="213" t="s">
        <v>51</v>
      </c>
      <c r="F440" s="210" t="s">
        <v>53</v>
      </c>
      <c r="G440" s="228" t="s">
        <v>683</v>
      </c>
      <c r="H440" s="226">
        <v>41982</v>
      </c>
      <c r="I440" s="212">
        <v>61.37</v>
      </c>
      <c r="J440" s="248"/>
    </row>
    <row r="441" spans="1:10" ht="18" customHeight="1">
      <c r="A441" s="218">
        <v>438</v>
      </c>
      <c r="B441" s="228" t="s">
        <v>684</v>
      </c>
      <c r="C441" s="226">
        <v>41982</v>
      </c>
      <c r="D441" s="212">
        <v>66.349999999999994</v>
      </c>
      <c r="E441" s="213" t="s">
        <v>51</v>
      </c>
      <c r="F441" s="210" t="s">
        <v>53</v>
      </c>
      <c r="G441" s="228" t="s">
        <v>684</v>
      </c>
      <c r="H441" s="226">
        <v>41982</v>
      </c>
      <c r="I441" s="212">
        <v>66.349999999999994</v>
      </c>
      <c r="J441" s="248"/>
    </row>
    <row r="442" spans="1:10" ht="18" customHeight="1">
      <c r="A442" s="218">
        <v>439</v>
      </c>
      <c r="B442" s="228" t="s">
        <v>685</v>
      </c>
      <c r="C442" s="226">
        <v>41982</v>
      </c>
      <c r="D442" s="212">
        <v>6.8</v>
      </c>
      <c r="E442" s="213" t="s">
        <v>51</v>
      </c>
      <c r="F442" s="210" t="s">
        <v>53</v>
      </c>
      <c r="G442" s="228" t="s">
        <v>685</v>
      </c>
      <c r="H442" s="226">
        <v>41982</v>
      </c>
      <c r="I442" s="212">
        <v>6.8</v>
      </c>
      <c r="J442" s="248"/>
    </row>
    <row r="443" spans="1:10" ht="18" customHeight="1">
      <c r="A443" s="218">
        <v>440</v>
      </c>
      <c r="B443" s="228" t="s">
        <v>686</v>
      </c>
      <c r="C443" s="226">
        <v>41983</v>
      </c>
      <c r="D443" s="212">
        <v>27.22</v>
      </c>
      <c r="E443" s="213" t="s">
        <v>51</v>
      </c>
      <c r="F443" s="210" t="s">
        <v>53</v>
      </c>
      <c r="G443" s="228" t="s">
        <v>686</v>
      </c>
      <c r="H443" s="226">
        <v>41983</v>
      </c>
      <c r="I443" s="212">
        <v>27.22</v>
      </c>
      <c r="J443" s="248"/>
    </row>
    <row r="444" spans="1:10" ht="18" customHeight="1">
      <c r="A444" s="218">
        <v>441</v>
      </c>
      <c r="B444" s="228" t="s">
        <v>687</v>
      </c>
      <c r="C444" s="226">
        <v>41983</v>
      </c>
      <c r="D444" s="212">
        <v>26.55</v>
      </c>
      <c r="E444" s="213" t="s">
        <v>51</v>
      </c>
      <c r="F444" s="210" t="s">
        <v>53</v>
      </c>
      <c r="G444" s="228" t="s">
        <v>687</v>
      </c>
      <c r="H444" s="226">
        <v>41983</v>
      </c>
      <c r="I444" s="212">
        <v>26.55</v>
      </c>
      <c r="J444" s="248"/>
    </row>
    <row r="445" spans="1:10" ht="18" customHeight="1">
      <c r="A445" s="218">
        <v>442</v>
      </c>
      <c r="B445" s="228" t="s">
        <v>688</v>
      </c>
      <c r="C445" s="226">
        <v>41983</v>
      </c>
      <c r="D445" s="212">
        <v>84.88</v>
      </c>
      <c r="E445" s="213" t="s">
        <v>51</v>
      </c>
      <c r="F445" s="210" t="s">
        <v>53</v>
      </c>
      <c r="G445" s="228" t="s">
        <v>688</v>
      </c>
      <c r="H445" s="226">
        <v>41983</v>
      </c>
      <c r="I445" s="212">
        <v>84.88</v>
      </c>
      <c r="J445" s="248"/>
    </row>
    <row r="446" spans="1:10" ht="18" customHeight="1">
      <c r="A446" s="218">
        <v>443</v>
      </c>
      <c r="B446" s="228" t="s">
        <v>689</v>
      </c>
      <c r="C446" s="226">
        <v>41983</v>
      </c>
      <c r="D446" s="212">
        <v>31.72</v>
      </c>
      <c r="E446" s="213" t="s">
        <v>51</v>
      </c>
      <c r="F446" s="210" t="s">
        <v>53</v>
      </c>
      <c r="G446" s="228" t="s">
        <v>689</v>
      </c>
      <c r="H446" s="226">
        <v>41983</v>
      </c>
      <c r="I446" s="212">
        <v>31.72</v>
      </c>
      <c r="J446" s="248"/>
    </row>
    <row r="447" spans="1:10" ht="18" customHeight="1">
      <c r="A447" s="218">
        <v>444</v>
      </c>
      <c r="B447" s="228" t="s">
        <v>690</v>
      </c>
      <c r="C447" s="226">
        <v>41984</v>
      </c>
      <c r="D447" s="212">
        <v>5</v>
      </c>
      <c r="E447" s="213" t="s">
        <v>51</v>
      </c>
      <c r="F447" s="210" t="s">
        <v>53</v>
      </c>
      <c r="G447" s="228" t="s">
        <v>690</v>
      </c>
      <c r="H447" s="226">
        <v>41984</v>
      </c>
      <c r="I447" s="212">
        <v>5</v>
      </c>
      <c r="J447" s="248"/>
    </row>
    <row r="448" spans="1:10" ht="18" customHeight="1">
      <c r="A448" s="218">
        <v>445</v>
      </c>
      <c r="B448" s="228" t="s">
        <v>693</v>
      </c>
      <c r="C448" s="226">
        <v>41989</v>
      </c>
      <c r="D448" s="212">
        <v>47.94</v>
      </c>
      <c r="E448" s="213" t="s">
        <v>51</v>
      </c>
      <c r="F448" s="210" t="s">
        <v>53</v>
      </c>
      <c r="G448" s="228" t="s">
        <v>693</v>
      </c>
      <c r="H448" s="226">
        <v>41989</v>
      </c>
      <c r="I448" s="212">
        <v>47.94</v>
      </c>
      <c r="J448" s="248"/>
    </row>
    <row r="449" spans="1:10" ht="18" customHeight="1">
      <c r="A449" s="218">
        <v>446</v>
      </c>
      <c r="B449" s="228" t="s">
        <v>694</v>
      </c>
      <c r="C449" s="226">
        <v>41989</v>
      </c>
      <c r="D449" s="212">
        <v>40.67</v>
      </c>
      <c r="E449" s="213" t="s">
        <v>51</v>
      </c>
      <c r="F449" s="210" t="s">
        <v>53</v>
      </c>
      <c r="G449" s="228" t="s">
        <v>694</v>
      </c>
      <c r="H449" s="226">
        <v>41989</v>
      </c>
      <c r="I449" s="212">
        <v>40.67</v>
      </c>
      <c r="J449" s="248"/>
    </row>
    <row r="450" spans="1:10" ht="18" customHeight="1">
      <c r="A450" s="218">
        <v>447</v>
      </c>
      <c r="B450" s="228" t="s">
        <v>695</v>
      </c>
      <c r="C450" s="226">
        <v>41989</v>
      </c>
      <c r="D450" s="212">
        <v>52.57</v>
      </c>
      <c r="E450" s="213" t="s">
        <v>51</v>
      </c>
      <c r="F450" s="210" t="s">
        <v>53</v>
      </c>
      <c r="G450" s="228" t="s">
        <v>695</v>
      </c>
      <c r="H450" s="226">
        <v>41989</v>
      </c>
      <c r="I450" s="212">
        <v>52.57</v>
      </c>
      <c r="J450" s="248"/>
    </row>
    <row r="451" spans="1:10" ht="18" customHeight="1">
      <c r="A451" s="218">
        <v>448</v>
      </c>
      <c r="B451" s="228" t="s">
        <v>698</v>
      </c>
      <c r="C451" s="226">
        <v>41996</v>
      </c>
      <c r="D451" s="212">
        <v>26</v>
      </c>
      <c r="E451" s="213" t="s">
        <v>51</v>
      </c>
      <c r="F451" s="210" t="s">
        <v>53</v>
      </c>
      <c r="G451" s="228" t="s">
        <v>698</v>
      </c>
      <c r="H451" s="226">
        <v>41996</v>
      </c>
      <c r="I451" s="212">
        <v>26</v>
      </c>
      <c r="J451" s="248"/>
    </row>
    <row r="452" spans="1:10" ht="18" customHeight="1">
      <c r="A452" s="218">
        <v>449</v>
      </c>
      <c r="B452" s="228" t="s">
        <v>699</v>
      </c>
      <c r="C452" s="226">
        <v>41996</v>
      </c>
      <c r="D452" s="212">
        <v>43.05</v>
      </c>
      <c r="E452" s="213" t="s">
        <v>51</v>
      </c>
      <c r="F452" s="210" t="s">
        <v>53</v>
      </c>
      <c r="G452" s="228" t="s">
        <v>699</v>
      </c>
      <c r="H452" s="226">
        <v>41996</v>
      </c>
      <c r="I452" s="212">
        <v>43.05</v>
      </c>
      <c r="J452" s="248"/>
    </row>
    <row r="453" spans="1:10" ht="18" customHeight="1">
      <c r="A453" s="218">
        <v>450</v>
      </c>
      <c r="B453" s="228" t="s">
        <v>700</v>
      </c>
      <c r="C453" s="226">
        <v>41996</v>
      </c>
      <c r="D453" s="212">
        <v>27.32</v>
      </c>
      <c r="E453" s="213" t="s">
        <v>51</v>
      </c>
      <c r="F453" s="210" t="s">
        <v>53</v>
      </c>
      <c r="G453" s="228" t="s">
        <v>700</v>
      </c>
      <c r="H453" s="226">
        <v>41996</v>
      </c>
      <c r="I453" s="212">
        <v>27.32</v>
      </c>
      <c r="J453" s="248"/>
    </row>
    <row r="454" spans="1:10" ht="18" customHeight="1">
      <c r="A454" s="218">
        <v>451</v>
      </c>
      <c r="B454" s="228" t="s">
        <v>701</v>
      </c>
      <c r="C454" s="226">
        <v>42001</v>
      </c>
      <c r="D454" s="212">
        <v>22.3</v>
      </c>
      <c r="E454" s="213" t="s">
        <v>51</v>
      </c>
      <c r="F454" s="210" t="s">
        <v>53</v>
      </c>
      <c r="G454" s="228" t="s">
        <v>701</v>
      </c>
      <c r="H454" s="226">
        <v>42001</v>
      </c>
      <c r="I454" s="212">
        <v>22.3</v>
      </c>
      <c r="J454" s="248"/>
    </row>
    <row r="455" spans="1:10" ht="18" customHeight="1">
      <c r="A455" s="218">
        <v>452</v>
      </c>
      <c r="B455" s="228" t="s">
        <v>702</v>
      </c>
      <c r="C455" s="226">
        <v>42001</v>
      </c>
      <c r="D455" s="212">
        <v>33.44</v>
      </c>
      <c r="E455" s="213" t="s">
        <v>51</v>
      </c>
      <c r="F455" s="210" t="s">
        <v>53</v>
      </c>
      <c r="G455" s="228" t="s">
        <v>702</v>
      </c>
      <c r="H455" s="226">
        <v>42001</v>
      </c>
      <c r="I455" s="212">
        <v>33.44</v>
      </c>
      <c r="J455" s="248"/>
    </row>
    <row r="456" spans="1:10" ht="18" customHeight="1">
      <c r="A456" s="218">
        <v>453</v>
      </c>
      <c r="B456" s="228" t="s">
        <v>703</v>
      </c>
      <c r="C456" s="226">
        <v>42002</v>
      </c>
      <c r="D456" s="212">
        <v>27.41</v>
      </c>
      <c r="E456" s="213" t="s">
        <v>51</v>
      </c>
      <c r="F456" s="210" t="s">
        <v>53</v>
      </c>
      <c r="G456" s="228" t="s">
        <v>703</v>
      </c>
      <c r="H456" s="226">
        <v>42002</v>
      </c>
      <c r="I456" s="212">
        <v>27.41</v>
      </c>
      <c r="J456" s="248"/>
    </row>
    <row r="457" spans="1:10" ht="18" customHeight="1">
      <c r="A457" s="218">
        <v>454</v>
      </c>
      <c r="B457" s="228" t="s">
        <v>704</v>
      </c>
      <c r="C457" s="226">
        <v>42002</v>
      </c>
      <c r="D457" s="212">
        <v>31.33</v>
      </c>
      <c r="E457" s="213" t="s">
        <v>51</v>
      </c>
      <c r="F457" s="210" t="s">
        <v>53</v>
      </c>
      <c r="G457" s="228" t="s">
        <v>704</v>
      </c>
      <c r="H457" s="226">
        <v>42002</v>
      </c>
      <c r="I457" s="212">
        <v>31.33</v>
      </c>
      <c r="J457" s="248"/>
    </row>
    <row r="458" spans="1:10" ht="18" customHeight="1">
      <c r="A458" s="218">
        <v>455</v>
      </c>
      <c r="B458" s="228" t="s">
        <v>705</v>
      </c>
      <c r="C458" s="226">
        <v>42002</v>
      </c>
      <c r="D458" s="212">
        <v>44.24</v>
      </c>
      <c r="E458" s="213" t="s">
        <v>51</v>
      </c>
      <c r="F458" s="210" t="s">
        <v>53</v>
      </c>
      <c r="G458" s="228" t="s">
        <v>705</v>
      </c>
      <c r="H458" s="226">
        <v>42002</v>
      </c>
      <c r="I458" s="212">
        <v>44.24</v>
      </c>
      <c r="J458" s="248"/>
    </row>
    <row r="459" spans="1:10" ht="24">
      <c r="A459" s="472" t="s">
        <v>724</v>
      </c>
      <c r="B459" s="473"/>
      <c r="C459" s="251"/>
      <c r="D459" s="252">
        <f>SUM(D8:D458)</f>
        <v>16281.499999999982</v>
      </c>
      <c r="E459" s="253"/>
      <c r="F459" s="253"/>
      <c r="G459" s="254"/>
      <c r="H459" s="251"/>
      <c r="I459" s="252">
        <f>SUM(I8:I458)</f>
        <v>16281.499999999982</v>
      </c>
      <c r="J459" s="255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61"/>
    <col min="2" max="2" width="12.5546875" style="61" customWidth="1"/>
    <col min="3" max="3" width="13" style="61" customWidth="1"/>
    <col min="4" max="4" width="13.33203125" style="61" customWidth="1"/>
    <col min="5" max="5" width="12.5546875" style="61" customWidth="1"/>
    <col min="6" max="6" width="12.88671875" style="61" customWidth="1"/>
    <col min="7" max="7" width="12.33203125" style="61" customWidth="1"/>
    <col min="8" max="8" width="15.33203125" style="61" customWidth="1"/>
    <col min="9" max="9" width="12" style="61" customWidth="1"/>
    <col min="10" max="16384" width="8.77734375" style="61"/>
  </cols>
  <sheetData>
    <row r="1" spans="1:10" ht="33.6">
      <c r="A1" s="474" t="s">
        <v>10</v>
      </c>
      <c r="B1" s="474"/>
      <c r="C1" s="474"/>
      <c r="D1" s="474"/>
      <c r="E1" s="474"/>
      <c r="F1" s="474"/>
      <c r="G1" s="474"/>
      <c r="H1" s="474"/>
      <c r="I1" s="474"/>
      <c r="J1" s="475"/>
    </row>
    <row r="2" spans="1:10" ht="33.6">
      <c r="A2" s="474" t="s">
        <v>16</v>
      </c>
      <c r="B2" s="474"/>
      <c r="C2" s="474"/>
      <c r="D2" s="474"/>
      <c r="E2" s="474"/>
      <c r="F2" s="474"/>
      <c r="G2" s="474"/>
      <c r="H2" s="474"/>
      <c r="I2" s="474"/>
      <c r="J2" s="475"/>
    </row>
    <row r="3" spans="1:10" ht="27">
      <c r="A3" s="476" t="s">
        <v>723</v>
      </c>
      <c r="B3" s="476"/>
      <c r="C3" s="476"/>
      <c r="D3" s="476"/>
      <c r="E3" s="476"/>
      <c r="F3" s="246"/>
      <c r="G3" s="246"/>
      <c r="H3" s="246"/>
      <c r="I3" s="246"/>
      <c r="J3" s="247"/>
    </row>
    <row r="4" spans="1:10" ht="27">
      <c r="A4" s="417" t="s">
        <v>49</v>
      </c>
      <c r="B4" s="417"/>
      <c r="C4" s="417"/>
      <c r="D4" s="417"/>
      <c r="E4" s="246"/>
      <c r="F4" s="246"/>
      <c r="G4" s="246"/>
      <c r="H4" s="246"/>
      <c r="I4" s="246"/>
      <c r="J4" s="24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77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78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79"/>
    </row>
    <row r="8" spans="1:10" ht="25.2">
      <c r="A8" s="256"/>
      <c r="B8" s="210"/>
      <c r="C8" s="211"/>
      <c r="D8" s="212"/>
      <c r="E8" s="213"/>
      <c r="F8" s="210"/>
      <c r="G8" s="210"/>
      <c r="H8" s="211"/>
      <c r="I8" s="212"/>
      <c r="J8" s="248"/>
    </row>
    <row r="9" spans="1:10" ht="25.2">
      <c r="A9" s="256"/>
      <c r="B9" s="210"/>
      <c r="C9" s="211"/>
      <c r="D9" s="212"/>
      <c r="E9" s="213"/>
      <c r="F9" s="210"/>
      <c r="G9" s="210"/>
      <c r="H9" s="211"/>
      <c r="I9" s="212"/>
      <c r="J9" s="248"/>
    </row>
    <row r="10" spans="1:10" ht="25.2">
      <c r="A10" s="256"/>
      <c r="B10" s="210"/>
      <c r="C10" s="211"/>
      <c r="D10" s="212"/>
      <c r="E10" s="213"/>
      <c r="F10" s="210"/>
      <c r="G10" s="210"/>
      <c r="H10" s="211"/>
      <c r="I10" s="212"/>
      <c r="J10" s="248"/>
    </row>
    <row r="11" spans="1:10" ht="25.2">
      <c r="A11" s="256"/>
      <c r="B11" s="210"/>
      <c r="C11" s="211"/>
      <c r="D11" s="212"/>
      <c r="E11" s="213"/>
      <c r="F11" s="210"/>
      <c r="G11" s="210"/>
      <c r="H11" s="211"/>
      <c r="I11" s="212"/>
      <c r="J11" s="248"/>
    </row>
    <row r="12" spans="1:10" ht="25.2">
      <c r="A12" s="256"/>
      <c r="B12" s="210"/>
      <c r="C12" s="211"/>
      <c r="D12" s="212"/>
      <c r="E12" s="213"/>
      <c r="F12" s="210"/>
      <c r="G12" s="210"/>
      <c r="H12" s="211"/>
      <c r="I12" s="212"/>
      <c r="J12" s="248"/>
    </row>
    <row r="13" spans="1:10" ht="25.2">
      <c r="A13" s="256"/>
      <c r="B13" s="210"/>
      <c r="C13" s="211"/>
      <c r="D13" s="212"/>
      <c r="E13" s="213"/>
      <c r="F13" s="210"/>
      <c r="G13" s="210"/>
      <c r="H13" s="211"/>
      <c r="I13" s="212"/>
      <c r="J13" s="248"/>
    </row>
    <row r="14" spans="1:10" ht="25.2">
      <c r="A14" s="256"/>
      <c r="B14" s="210"/>
      <c r="C14" s="211"/>
      <c r="D14" s="212"/>
      <c r="E14" s="213"/>
      <c r="F14" s="210"/>
      <c r="G14" s="210"/>
      <c r="H14" s="211"/>
      <c r="I14" s="212"/>
      <c r="J14" s="248"/>
    </row>
    <row r="15" spans="1:10" ht="25.2">
      <c r="A15" s="256"/>
      <c r="B15" s="223"/>
      <c r="C15" s="221"/>
      <c r="D15" s="1"/>
      <c r="E15" s="213"/>
      <c r="F15" s="220"/>
      <c r="G15" s="223"/>
      <c r="H15" s="221"/>
      <c r="I15" s="1"/>
      <c r="J15" s="248"/>
    </row>
    <row r="16" spans="1:10" ht="25.2">
      <c r="A16" s="256"/>
      <c r="B16" s="220"/>
      <c r="C16" s="221"/>
      <c r="D16" s="1"/>
      <c r="E16" s="213"/>
      <c r="F16" s="220"/>
      <c r="G16" s="223"/>
      <c r="H16" s="221"/>
      <c r="I16" s="1"/>
      <c r="J16" s="248"/>
    </row>
    <row r="17" spans="1:10" ht="25.2">
      <c r="A17" s="256"/>
      <c r="B17" s="223"/>
      <c r="C17" s="221"/>
      <c r="D17" s="1"/>
      <c r="E17" s="213"/>
      <c r="F17" s="220"/>
      <c r="G17" s="223"/>
      <c r="H17" s="221"/>
      <c r="I17" s="1"/>
      <c r="J17" s="248"/>
    </row>
    <row r="18" spans="1:10" ht="25.2">
      <c r="A18" s="256"/>
      <c r="B18" s="223"/>
      <c r="C18" s="221"/>
      <c r="D18" s="1"/>
      <c r="E18" s="213"/>
      <c r="F18" s="220"/>
      <c r="G18" s="223"/>
      <c r="H18" s="221"/>
      <c r="I18" s="1"/>
      <c r="J18" s="248"/>
    </row>
    <row r="19" spans="1:10" ht="25.2">
      <c r="A19" s="256"/>
      <c r="B19" s="223"/>
      <c r="C19" s="221"/>
      <c r="D19" s="1"/>
      <c r="E19" s="213"/>
      <c r="F19" s="220"/>
      <c r="G19" s="223"/>
      <c r="H19" s="221"/>
      <c r="I19" s="1"/>
      <c r="J19" s="248"/>
    </row>
    <row r="20" spans="1:10" ht="25.2">
      <c r="A20" s="256"/>
      <c r="B20" s="223"/>
      <c r="C20" s="221"/>
      <c r="D20" s="1"/>
      <c r="E20" s="213"/>
      <c r="F20" s="220"/>
      <c r="G20" s="223"/>
      <c r="H20" s="221"/>
      <c r="I20" s="1"/>
      <c r="J20" s="248"/>
    </row>
    <row r="21" spans="1:10" ht="25.2">
      <c r="A21" s="256"/>
      <c r="B21" s="223"/>
      <c r="C21" s="221"/>
      <c r="D21" s="1"/>
      <c r="E21" s="213"/>
      <c r="F21" s="220"/>
      <c r="G21" s="223"/>
      <c r="H21" s="221"/>
      <c r="I21" s="1"/>
      <c r="J21" s="248"/>
    </row>
    <row r="22" spans="1:10" ht="25.2">
      <c r="A22" s="256"/>
      <c r="B22" s="223"/>
      <c r="C22" s="221"/>
      <c r="D22" s="1"/>
      <c r="E22" s="213"/>
      <c r="F22" s="220"/>
      <c r="G22" s="223"/>
      <c r="H22" s="221"/>
      <c r="I22" s="1"/>
      <c r="J22" s="248"/>
    </row>
    <row r="23" spans="1:10" ht="25.2">
      <c r="A23" s="256"/>
      <c r="B23" s="223"/>
      <c r="C23" s="221"/>
      <c r="D23" s="1"/>
      <c r="E23" s="213"/>
      <c r="F23" s="220"/>
      <c r="G23" s="223"/>
      <c r="H23" s="221"/>
      <c r="I23" s="1"/>
      <c r="J23" s="248"/>
    </row>
    <row r="24" spans="1:10" ht="25.2">
      <c r="A24" s="256"/>
      <c r="B24" s="223"/>
      <c r="C24" s="221"/>
      <c r="D24" s="1"/>
      <c r="E24" s="213"/>
      <c r="F24" s="220"/>
      <c r="G24" s="223"/>
      <c r="H24" s="221"/>
      <c r="I24" s="1"/>
      <c r="J24" s="248"/>
    </row>
    <row r="25" spans="1:10" ht="25.2">
      <c r="A25" s="256"/>
      <c r="B25" s="223"/>
      <c r="C25" s="221"/>
      <c r="D25" s="1"/>
      <c r="E25" s="213"/>
      <c r="F25" s="220"/>
      <c r="G25" s="223"/>
      <c r="H25" s="221"/>
      <c r="I25" s="1"/>
      <c r="J25" s="248"/>
    </row>
    <row r="26" spans="1:10" ht="25.2">
      <c r="A26" s="256"/>
      <c r="B26" s="223"/>
      <c r="C26" s="221"/>
      <c r="D26" s="1"/>
      <c r="E26" s="213"/>
      <c r="F26" s="220"/>
      <c r="G26" s="223"/>
      <c r="H26" s="221"/>
      <c r="I26" s="1"/>
      <c r="J26" s="248"/>
    </row>
    <row r="27" spans="1:10" ht="25.2">
      <c r="A27" s="256"/>
      <c r="B27" s="225"/>
      <c r="C27" s="226"/>
      <c r="D27" s="212"/>
      <c r="E27" s="227"/>
      <c r="F27" s="225"/>
      <c r="G27" s="225"/>
      <c r="H27" s="226"/>
      <c r="I27" s="212"/>
      <c r="J27" s="248"/>
    </row>
    <row r="28" spans="1:10" ht="25.2">
      <c r="A28" s="256"/>
      <c r="B28" s="225"/>
      <c r="C28" s="226"/>
      <c r="D28" s="212"/>
      <c r="E28" s="227"/>
      <c r="F28" s="225"/>
      <c r="G28" s="225"/>
      <c r="H28" s="226"/>
      <c r="I28" s="212"/>
      <c r="J28" s="248"/>
    </row>
    <row r="29" spans="1:10" ht="25.2">
      <c r="A29" s="256"/>
      <c r="B29" s="225"/>
      <c r="C29" s="226"/>
      <c r="D29" s="212"/>
      <c r="E29" s="227"/>
      <c r="F29" s="225"/>
      <c r="G29" s="225"/>
      <c r="H29" s="226"/>
      <c r="I29" s="212"/>
      <c r="J29" s="248"/>
    </row>
    <row r="30" spans="1:10" ht="25.2">
      <c r="A30" s="256"/>
      <c r="B30" s="225"/>
      <c r="C30" s="226"/>
      <c r="D30" s="212"/>
      <c r="E30" s="227"/>
      <c r="F30" s="225"/>
      <c r="G30" s="225"/>
      <c r="H30" s="226"/>
      <c r="I30" s="212"/>
      <c r="J30" s="248"/>
    </row>
    <row r="31" spans="1:10" ht="25.2">
      <c r="A31" s="256"/>
      <c r="B31" s="250"/>
      <c r="C31" s="226"/>
      <c r="D31" s="212"/>
      <c r="E31" s="257"/>
      <c r="F31" s="250"/>
      <c r="G31" s="250"/>
      <c r="H31" s="226"/>
      <c r="I31" s="212"/>
      <c r="J31" s="248"/>
    </row>
    <row r="32" spans="1:10" ht="25.2">
      <c r="A32" s="256"/>
      <c r="B32" s="228"/>
      <c r="C32" s="226"/>
      <c r="D32" s="212"/>
      <c r="E32" s="213"/>
      <c r="F32" s="228"/>
      <c r="G32" s="228"/>
      <c r="H32" s="226"/>
      <c r="I32" s="212"/>
      <c r="J32" s="248"/>
    </row>
    <row r="33" spans="1:10" ht="25.2">
      <c r="A33" s="256"/>
      <c r="B33" s="228"/>
      <c r="C33" s="226"/>
      <c r="D33" s="212"/>
      <c r="E33" s="210"/>
      <c r="F33" s="228"/>
      <c r="G33" s="228"/>
      <c r="H33" s="226"/>
      <c r="I33" s="212"/>
      <c r="J33" s="248"/>
    </row>
    <row r="34" spans="1:10" ht="25.2">
      <c r="A34" s="256"/>
      <c r="B34" s="228"/>
      <c r="C34" s="226"/>
      <c r="D34" s="212"/>
      <c r="E34" s="210"/>
      <c r="F34" s="228"/>
      <c r="G34" s="228"/>
      <c r="H34" s="226"/>
      <c r="I34" s="212"/>
      <c r="J34" s="248"/>
    </row>
    <row r="35" spans="1:10" ht="25.2">
      <c r="A35" s="256"/>
      <c r="B35" s="228"/>
      <c r="C35" s="226"/>
      <c r="D35" s="212"/>
      <c r="E35" s="210"/>
      <c r="F35" s="228"/>
      <c r="G35" s="228"/>
      <c r="H35" s="226"/>
      <c r="I35" s="212"/>
      <c r="J35" s="248"/>
    </row>
    <row r="36" spans="1:10" ht="25.2">
      <c r="A36" s="256"/>
      <c r="B36" s="228"/>
      <c r="C36" s="226"/>
      <c r="D36" s="212"/>
      <c r="E36" s="210"/>
      <c r="F36" s="228"/>
      <c r="G36" s="228"/>
      <c r="H36" s="226"/>
      <c r="I36" s="212"/>
      <c r="J36" s="248"/>
    </row>
    <row r="37" spans="1:10" ht="25.2">
      <c r="A37" s="256"/>
      <c r="B37" s="228"/>
      <c r="C37" s="226"/>
      <c r="D37" s="212"/>
      <c r="E37" s="210"/>
      <c r="F37" s="228"/>
      <c r="G37" s="228"/>
      <c r="H37" s="226"/>
      <c r="I37" s="212"/>
      <c r="J37" s="248"/>
    </row>
    <row r="38" spans="1:10" ht="25.2">
      <c r="A38" s="258"/>
      <c r="B38" s="259"/>
      <c r="C38" s="260"/>
      <c r="D38" s="261"/>
      <c r="E38" s="262"/>
      <c r="F38" s="259"/>
      <c r="G38" s="259"/>
      <c r="H38" s="260"/>
      <c r="I38" s="261"/>
      <c r="J38" s="263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8.33203125" style="20" customWidth="1"/>
    <col min="7" max="7" width="11.109375" style="318" customWidth="1"/>
    <col min="8" max="8" width="11.88671875" style="25" customWidth="1"/>
    <col min="9" max="9" width="9" style="318" customWidth="1"/>
    <col min="10" max="10" width="5.44140625" style="318" customWidth="1"/>
    <col min="11" max="11" width="8.44140625" style="318" customWidth="1"/>
    <col min="12" max="12" width="4.33203125" style="318" customWidth="1"/>
    <col min="13" max="13" width="13.33203125" style="318" customWidth="1"/>
    <col min="14" max="14" width="15.109375" style="318" bestFit="1" customWidth="1"/>
    <col min="15" max="16384" width="9.109375" style="318"/>
  </cols>
  <sheetData>
    <row r="1" spans="1:15" s="265" customFormat="1" ht="23.25" customHeight="1">
      <c r="A1" s="489" t="s">
        <v>749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264"/>
    </row>
    <row r="2" spans="1:15" s="266" customFormat="1" ht="22.5" customHeight="1">
      <c r="A2" s="490" t="s">
        <v>907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  <c r="N2" s="264"/>
    </row>
    <row r="3" spans="1:15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1"/>
      <c r="J3" s="272"/>
      <c r="K3" s="267" t="s">
        <v>752</v>
      </c>
      <c r="L3" s="273"/>
      <c r="M3" s="274"/>
      <c r="N3" s="275"/>
      <c r="O3" s="275"/>
    </row>
    <row r="4" spans="1:15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2"/>
      <c r="J4" s="274"/>
      <c r="K4" s="278" t="s">
        <v>754</v>
      </c>
      <c r="L4" s="283">
        <v>4088</v>
      </c>
      <c r="M4" s="274"/>
      <c r="N4" s="284"/>
      <c r="O4" s="275"/>
    </row>
    <row r="5" spans="1:15" s="285" customFormat="1" ht="16.5" customHeight="1">
      <c r="A5" s="491" t="s">
        <v>755</v>
      </c>
      <c r="B5" s="492"/>
      <c r="C5" s="492"/>
      <c r="D5" s="492"/>
      <c r="E5" s="492"/>
      <c r="F5" s="492"/>
      <c r="G5" s="492"/>
      <c r="H5" s="492"/>
      <c r="I5" s="493" t="s">
        <v>756</v>
      </c>
      <c r="J5" s="493"/>
      <c r="K5" s="493"/>
      <c r="L5" s="493"/>
      <c r="M5" s="286"/>
    </row>
    <row r="6" spans="1:15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4" t="s">
        <v>761</v>
      </c>
      <c r="G6" s="494"/>
      <c r="H6" s="3"/>
      <c r="I6" s="495" t="s">
        <v>762</v>
      </c>
      <c r="J6" s="496"/>
      <c r="K6" s="496"/>
      <c r="L6" s="496"/>
      <c r="M6" s="289" t="s">
        <v>763</v>
      </c>
    </row>
    <row r="7" spans="1:15" s="285" customFormat="1" ht="14.25" customHeight="1">
      <c r="A7" s="290"/>
      <c r="B7" s="291"/>
      <c r="C7" s="291"/>
      <c r="D7" s="292" t="s">
        <v>764</v>
      </c>
      <c r="E7" s="293"/>
      <c r="F7" s="35"/>
      <c r="G7" s="294" t="s">
        <v>756</v>
      </c>
      <c r="H7" s="294" t="s">
        <v>765</v>
      </c>
      <c r="I7" s="483" t="s">
        <v>766</v>
      </c>
      <c r="J7" s="483"/>
      <c r="K7" s="483" t="s">
        <v>767</v>
      </c>
      <c r="L7" s="483"/>
      <c r="M7" s="289" t="s">
        <v>768</v>
      </c>
    </row>
    <row r="8" spans="1:15" s="285" customFormat="1" ht="14.25" customHeight="1">
      <c r="A8" s="295"/>
      <c r="B8" s="296"/>
      <c r="C8" s="296"/>
      <c r="D8" s="297"/>
      <c r="E8" s="298"/>
      <c r="F8" s="36"/>
      <c r="G8" s="299" t="s">
        <v>769</v>
      </c>
      <c r="H8" s="300" t="s">
        <v>770</v>
      </c>
      <c r="I8" s="301" t="s">
        <v>771</v>
      </c>
      <c r="J8" s="301" t="s">
        <v>772</v>
      </c>
      <c r="K8" s="301" t="s">
        <v>771</v>
      </c>
      <c r="L8" s="301" t="s">
        <v>772</v>
      </c>
      <c r="M8" s="302"/>
    </row>
    <row r="9" spans="1:15" s="277" customFormat="1" ht="14.25" customHeight="1">
      <c r="A9" s="303">
        <v>42160</v>
      </c>
      <c r="B9" s="304" t="s">
        <v>908</v>
      </c>
      <c r="C9" s="305" t="s">
        <v>778</v>
      </c>
      <c r="D9" s="306"/>
      <c r="E9" s="307" t="s">
        <v>909</v>
      </c>
      <c r="F9" s="5" t="s">
        <v>910</v>
      </c>
      <c r="G9" s="308"/>
      <c r="H9" s="5">
        <v>41519138</v>
      </c>
      <c r="I9" s="301"/>
      <c r="J9" s="301"/>
      <c r="K9" s="308"/>
      <c r="L9" s="301"/>
      <c r="M9" s="6">
        <f>G9+H9</f>
        <v>41519138</v>
      </c>
    </row>
    <row r="10" spans="1:15" s="277" customFormat="1" ht="14.25" customHeight="1">
      <c r="A10" s="303">
        <v>42160</v>
      </c>
      <c r="B10" s="304" t="s">
        <v>911</v>
      </c>
      <c r="C10" s="305" t="s">
        <v>862</v>
      </c>
      <c r="D10" s="306"/>
      <c r="E10" s="307" t="s">
        <v>797</v>
      </c>
      <c r="F10" s="5" t="s">
        <v>912</v>
      </c>
      <c r="G10" s="308"/>
      <c r="H10" s="5">
        <v>157610622</v>
      </c>
      <c r="I10" s="301"/>
      <c r="J10" s="301"/>
      <c r="K10" s="308"/>
      <c r="L10" s="301"/>
      <c r="M10" s="6">
        <f t="shared" ref="M10:M22" si="0">G10+H10</f>
        <v>157610622</v>
      </c>
    </row>
    <row r="11" spans="1:15" s="277" customFormat="1" ht="14.25" customHeight="1">
      <c r="A11" s="303">
        <v>42160</v>
      </c>
      <c r="B11" s="304" t="s">
        <v>913</v>
      </c>
      <c r="C11" s="305" t="s">
        <v>914</v>
      </c>
      <c r="D11" s="306"/>
      <c r="E11" s="307" t="s">
        <v>915</v>
      </c>
      <c r="F11" s="5" t="s">
        <v>916</v>
      </c>
      <c r="G11" s="308"/>
      <c r="H11" s="5">
        <v>75926121</v>
      </c>
      <c r="I11" s="301"/>
      <c r="J11" s="301"/>
      <c r="K11" s="308"/>
      <c r="L11" s="301"/>
      <c r="M11" s="6">
        <f t="shared" si="0"/>
        <v>75926121</v>
      </c>
    </row>
    <row r="12" spans="1:15" s="277" customFormat="1" ht="14.25" customHeight="1">
      <c r="A12" s="303">
        <v>42164</v>
      </c>
      <c r="B12" s="304" t="s">
        <v>917</v>
      </c>
      <c r="C12" s="305" t="s">
        <v>914</v>
      </c>
      <c r="D12" s="306"/>
      <c r="E12" s="307" t="s">
        <v>918</v>
      </c>
      <c r="F12" s="5" t="s">
        <v>919</v>
      </c>
      <c r="G12" s="308"/>
      <c r="H12" s="5">
        <v>109260590</v>
      </c>
      <c r="I12" s="301"/>
      <c r="J12" s="301"/>
      <c r="K12" s="308"/>
      <c r="L12" s="301"/>
      <c r="M12" s="6">
        <f t="shared" si="0"/>
        <v>109260590</v>
      </c>
    </row>
    <row r="13" spans="1:15" s="277" customFormat="1" ht="14.25" customHeight="1">
      <c r="A13" s="303">
        <v>42167</v>
      </c>
      <c r="B13" s="304" t="s">
        <v>920</v>
      </c>
      <c r="C13" s="305" t="s">
        <v>862</v>
      </c>
      <c r="D13" s="306"/>
      <c r="E13" s="307" t="s">
        <v>921</v>
      </c>
      <c r="F13" s="5" t="s">
        <v>922</v>
      </c>
      <c r="G13" s="308"/>
      <c r="H13" s="5">
        <v>136860570</v>
      </c>
      <c r="I13" s="301"/>
      <c r="J13" s="301"/>
      <c r="K13" s="308"/>
      <c r="L13" s="301"/>
      <c r="M13" s="6">
        <f t="shared" si="0"/>
        <v>136860570</v>
      </c>
    </row>
    <row r="14" spans="1:15" s="277" customFormat="1" ht="14.25" customHeight="1">
      <c r="A14" s="303">
        <v>42167</v>
      </c>
      <c r="B14" s="304" t="s">
        <v>923</v>
      </c>
      <c r="C14" s="305" t="s">
        <v>778</v>
      </c>
      <c r="D14" s="306"/>
      <c r="E14" s="307" t="s">
        <v>909</v>
      </c>
      <c r="F14" s="5" t="s">
        <v>924</v>
      </c>
      <c r="G14" s="308"/>
      <c r="H14" s="5">
        <v>189450332</v>
      </c>
      <c r="I14" s="301"/>
      <c r="J14" s="301"/>
      <c r="K14" s="308"/>
      <c r="L14" s="301"/>
      <c r="M14" s="6">
        <f t="shared" si="0"/>
        <v>189450332</v>
      </c>
    </row>
    <row r="15" spans="1:15" s="277" customFormat="1" ht="14.25" customHeight="1">
      <c r="A15" s="303">
        <v>42174</v>
      </c>
      <c r="B15" s="304" t="s">
        <v>925</v>
      </c>
      <c r="C15" s="305" t="s">
        <v>926</v>
      </c>
      <c r="D15" s="306"/>
      <c r="E15" s="307" t="s">
        <v>927</v>
      </c>
      <c r="F15" s="5" t="s">
        <v>928</v>
      </c>
      <c r="G15" s="308"/>
      <c r="H15" s="5">
        <v>267888456</v>
      </c>
      <c r="I15" s="301"/>
      <c r="J15" s="301"/>
      <c r="K15" s="308"/>
      <c r="L15" s="301"/>
      <c r="M15" s="6">
        <f t="shared" si="0"/>
        <v>267888456</v>
      </c>
    </row>
    <row r="16" spans="1:15" s="277" customFormat="1" ht="14.25" customHeight="1">
      <c r="A16" s="303">
        <v>42174</v>
      </c>
      <c r="B16" s="304" t="s">
        <v>929</v>
      </c>
      <c r="C16" s="305" t="s">
        <v>778</v>
      </c>
      <c r="D16" s="306"/>
      <c r="E16" s="305" t="s">
        <v>786</v>
      </c>
      <c r="F16" s="5" t="s">
        <v>930</v>
      </c>
      <c r="G16" s="308"/>
      <c r="H16" s="5">
        <v>233561904</v>
      </c>
      <c r="I16" s="301"/>
      <c r="J16" s="301"/>
      <c r="K16" s="308"/>
      <c r="L16" s="301"/>
      <c r="M16" s="6">
        <f t="shared" si="0"/>
        <v>233561904</v>
      </c>
    </row>
    <row r="17" spans="1:14" s="277" customFormat="1" ht="14.25" customHeight="1">
      <c r="A17" s="303">
        <v>42174</v>
      </c>
      <c r="B17" s="304" t="s">
        <v>931</v>
      </c>
      <c r="C17" s="305" t="s">
        <v>778</v>
      </c>
      <c r="D17" s="306"/>
      <c r="E17" s="307" t="s">
        <v>932</v>
      </c>
      <c r="F17" s="5" t="s">
        <v>933</v>
      </c>
      <c r="G17" s="308"/>
      <c r="H17" s="5">
        <v>106100285</v>
      </c>
      <c r="I17" s="301"/>
      <c r="J17" s="301"/>
      <c r="K17" s="308"/>
      <c r="L17" s="301"/>
      <c r="M17" s="6">
        <f t="shared" si="0"/>
        <v>106100285</v>
      </c>
    </row>
    <row r="18" spans="1:14" s="277" customFormat="1" ht="14.25" customHeight="1">
      <c r="A18" s="303">
        <v>42175</v>
      </c>
      <c r="B18" s="304" t="s">
        <v>934</v>
      </c>
      <c r="C18" s="305" t="s">
        <v>935</v>
      </c>
      <c r="D18" s="306"/>
      <c r="E18" s="307" t="s">
        <v>936</v>
      </c>
      <c r="F18" s="5" t="s">
        <v>937</v>
      </c>
      <c r="G18" s="308"/>
      <c r="H18" s="5">
        <v>145296432</v>
      </c>
      <c r="I18" s="301"/>
      <c r="J18" s="301"/>
      <c r="K18" s="308"/>
      <c r="L18" s="301"/>
      <c r="M18" s="6">
        <f t="shared" si="0"/>
        <v>145296432</v>
      </c>
    </row>
    <row r="19" spans="1:14" s="277" customFormat="1" ht="14.25" customHeight="1">
      <c r="A19" s="303">
        <v>42175</v>
      </c>
      <c r="B19" s="304" t="s">
        <v>938</v>
      </c>
      <c r="C19" s="305" t="s">
        <v>866</v>
      </c>
      <c r="D19" s="306"/>
      <c r="E19" s="307" t="s">
        <v>797</v>
      </c>
      <c r="F19" s="5" t="s">
        <v>939</v>
      </c>
      <c r="G19" s="308"/>
      <c r="H19" s="5">
        <v>299682480</v>
      </c>
      <c r="I19" s="301"/>
      <c r="J19" s="301"/>
      <c r="K19" s="308"/>
      <c r="L19" s="301"/>
      <c r="M19" s="6">
        <f t="shared" si="0"/>
        <v>299682480</v>
      </c>
    </row>
    <row r="20" spans="1:14" s="277" customFormat="1" ht="14.25" customHeight="1">
      <c r="A20" s="303">
        <v>42181</v>
      </c>
      <c r="B20" s="304" t="s">
        <v>940</v>
      </c>
      <c r="C20" s="305" t="s">
        <v>941</v>
      </c>
      <c r="D20" s="306"/>
      <c r="E20" s="307" t="s">
        <v>942</v>
      </c>
      <c r="F20" s="5" t="s">
        <v>943</v>
      </c>
      <c r="G20" s="308"/>
      <c r="H20" s="5">
        <v>6493691</v>
      </c>
      <c r="I20" s="301"/>
      <c r="J20" s="301"/>
      <c r="K20" s="308"/>
      <c r="L20" s="301"/>
      <c r="M20" s="6">
        <f t="shared" si="0"/>
        <v>6493691</v>
      </c>
    </row>
    <row r="21" spans="1:14" s="277" customFormat="1" ht="14.25" customHeight="1">
      <c r="A21" s="303">
        <v>42181</v>
      </c>
      <c r="B21" s="304" t="s">
        <v>944</v>
      </c>
      <c r="C21" s="305" t="s">
        <v>778</v>
      </c>
      <c r="D21" s="306"/>
      <c r="E21" s="307" t="s">
        <v>909</v>
      </c>
      <c r="F21" s="5" t="s">
        <v>945</v>
      </c>
      <c r="G21" s="308"/>
      <c r="H21" s="5">
        <v>26361287</v>
      </c>
      <c r="I21" s="301"/>
      <c r="J21" s="301"/>
      <c r="K21" s="308"/>
      <c r="L21" s="301"/>
      <c r="M21" s="6">
        <f t="shared" si="0"/>
        <v>26361287</v>
      </c>
    </row>
    <row r="22" spans="1:14" s="277" customFormat="1" ht="20.25" customHeight="1">
      <c r="A22" s="303">
        <v>42181</v>
      </c>
      <c r="B22" s="304" t="s">
        <v>946</v>
      </c>
      <c r="C22" s="305" t="s">
        <v>935</v>
      </c>
      <c r="D22" s="306"/>
      <c r="E22" s="307" t="s">
        <v>947</v>
      </c>
      <c r="F22" s="5" t="s">
        <v>948</v>
      </c>
      <c r="G22" s="308"/>
      <c r="H22" s="5">
        <v>94840834</v>
      </c>
      <c r="I22" s="301"/>
      <c r="J22" s="301"/>
      <c r="K22" s="308"/>
      <c r="L22" s="301"/>
      <c r="M22" s="6">
        <f t="shared" si="0"/>
        <v>94840834</v>
      </c>
    </row>
    <row r="23" spans="1:14" s="311" customFormat="1" ht="14.25" customHeight="1">
      <c r="A23" s="484">
        <f>L4</f>
        <v>4088</v>
      </c>
      <c r="B23" s="484"/>
      <c r="C23" s="484"/>
      <c r="D23" s="484"/>
      <c r="E23" s="309" t="s">
        <v>847</v>
      </c>
      <c r="F23" s="37">
        <f>SUM(F9:F22)</f>
        <v>0</v>
      </c>
      <c r="G23" s="310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311" customFormat="1" ht="14.25" customHeight="1" thickBot="1">
      <c r="A24" s="485" t="s">
        <v>848</v>
      </c>
      <c r="B24" s="486"/>
      <c r="C24" s="486"/>
      <c r="D24" s="486"/>
      <c r="E24" s="312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315" customFormat="1" ht="15.75" customHeight="1">
      <c r="A25" s="313"/>
      <c r="B25" s="314"/>
      <c r="C25" s="314"/>
      <c r="D25" s="314"/>
      <c r="E25" s="314"/>
      <c r="F25" s="17"/>
      <c r="G25" s="314" t="s">
        <v>849</v>
      </c>
      <c r="H25" s="18" t="s">
        <v>906</v>
      </c>
      <c r="I25" s="314" t="s">
        <v>851</v>
      </c>
      <c r="J25" s="314" t="s">
        <v>852</v>
      </c>
      <c r="K25" s="314" t="s">
        <v>851</v>
      </c>
      <c r="L25" s="314" t="s">
        <v>852</v>
      </c>
      <c r="M25" s="314"/>
    </row>
    <row r="26" spans="1:14" ht="14.25" customHeight="1">
      <c r="A26" s="316"/>
      <c r="B26" s="317"/>
      <c r="C26" s="317"/>
      <c r="D26" s="317"/>
      <c r="E26" s="317"/>
      <c r="F26" s="19"/>
      <c r="G26" s="317"/>
      <c r="H26" s="487" t="s">
        <v>853</v>
      </c>
      <c r="I26" s="487"/>
      <c r="J26" s="487"/>
      <c r="K26" s="487"/>
      <c r="L26" s="487"/>
      <c r="M26" s="487"/>
    </row>
    <row r="27" spans="1:14" ht="19.5" customHeight="1">
      <c r="H27" s="488"/>
      <c r="I27" s="488"/>
      <c r="J27" s="488"/>
      <c r="K27" s="488"/>
      <c r="L27" s="488"/>
      <c r="M27" s="488"/>
      <c r="N27" s="21">
        <f>H23*1%</f>
        <v>18908527.420000002</v>
      </c>
    </row>
    <row r="28" spans="1:14" ht="18" hidden="1" customHeight="1">
      <c r="H28" s="320">
        <f>H24*1%</f>
        <v>4625.3736350293548</v>
      </c>
      <c r="I28" s="321"/>
      <c r="J28" s="40"/>
      <c r="K28" s="322"/>
      <c r="L28" s="322"/>
    </row>
    <row r="29" spans="1:14" ht="14.25" customHeight="1">
      <c r="G29" s="318" t="s">
        <v>953</v>
      </c>
      <c r="H29" s="323"/>
      <c r="I29" s="480"/>
      <c r="J29" s="480"/>
      <c r="K29" s="480"/>
      <c r="L29" s="323"/>
    </row>
    <row r="30" spans="1:14" ht="14.25" customHeight="1">
      <c r="C30" s="23"/>
      <c r="D30" s="324"/>
      <c r="E30" s="324"/>
      <c r="F30" s="24"/>
      <c r="G30" s="325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325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326"/>
      <c r="D32" s="327"/>
      <c r="E32" s="328"/>
      <c r="F32" s="327"/>
      <c r="G32" s="325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318" t="s">
        <v>952</v>
      </c>
      <c r="H33" s="44">
        <f>SUM(H30:H32)</f>
        <v>10495611091</v>
      </c>
      <c r="I33" s="31">
        <f>14+38+21</f>
        <v>73</v>
      </c>
      <c r="J33" s="31"/>
      <c r="K33" s="311"/>
    </row>
    <row r="34" spans="6:13" ht="14.25" customHeight="1" thickTop="1">
      <c r="H34" s="27"/>
      <c r="I34" s="32"/>
      <c r="J34" s="311"/>
      <c r="K34" s="311"/>
    </row>
    <row r="35" spans="6:13" ht="14.25" customHeight="1">
      <c r="H35" s="33"/>
      <c r="I35" s="34"/>
      <c r="J35" s="311"/>
      <c r="K35" s="311"/>
    </row>
    <row r="36" spans="6:13" ht="14.25" customHeight="1">
      <c r="H36" s="481"/>
      <c r="I36" s="481"/>
      <c r="J36" s="311"/>
      <c r="K36" s="311"/>
      <c r="M36" s="329"/>
    </row>
    <row r="37" spans="6:13" ht="14.25" hidden="1" customHeight="1">
      <c r="H37" s="482">
        <f>H24*1%</f>
        <v>4625.3736350293548</v>
      </c>
      <c r="I37" s="482"/>
    </row>
    <row r="38" spans="6:13" ht="14.25" customHeight="1">
      <c r="H38" s="29"/>
      <c r="I38" s="311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  <mergeCell ref="I29:K29"/>
    <mergeCell ref="H36:I36"/>
    <mergeCell ref="H37:I37"/>
    <mergeCell ref="I7:J7"/>
    <mergeCell ref="K7:L7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8.33203125" style="20" customWidth="1"/>
    <col min="7" max="7" width="11.109375" style="318" customWidth="1"/>
    <col min="8" max="8" width="11.88671875" style="25" customWidth="1"/>
    <col min="9" max="9" width="9" style="318" customWidth="1"/>
    <col min="10" max="10" width="5.44140625" style="318" customWidth="1"/>
    <col min="11" max="11" width="8.44140625" style="318" customWidth="1"/>
    <col min="12" max="12" width="4.33203125" style="318" customWidth="1"/>
    <col min="13" max="13" width="13.33203125" style="318" customWidth="1"/>
    <col min="14" max="14" width="15.109375" style="318" bestFit="1" customWidth="1"/>
    <col min="15" max="16384" width="9.109375" style="318"/>
  </cols>
  <sheetData>
    <row r="1" spans="1:15" s="265" customFormat="1" ht="23.25" customHeight="1">
      <c r="A1" s="489" t="s">
        <v>749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264"/>
    </row>
    <row r="2" spans="1:15" s="266" customFormat="1" ht="22.5" customHeight="1">
      <c r="A2" s="490" t="s">
        <v>854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  <c r="N2" s="264"/>
    </row>
    <row r="3" spans="1:15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1"/>
      <c r="J3" s="272"/>
      <c r="K3" s="267" t="s">
        <v>752</v>
      </c>
      <c r="L3" s="273"/>
      <c r="M3" s="274"/>
      <c r="N3" s="275"/>
      <c r="O3" s="275"/>
    </row>
    <row r="4" spans="1:15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2"/>
      <c r="J4" s="274"/>
      <c r="K4" s="278" t="s">
        <v>754</v>
      </c>
      <c r="L4" s="283">
        <v>4099</v>
      </c>
      <c r="M4" s="274"/>
      <c r="N4" s="284"/>
      <c r="O4" s="275"/>
    </row>
    <row r="5" spans="1:15" s="285" customFormat="1" ht="16.5" customHeight="1">
      <c r="A5" s="491" t="s">
        <v>755</v>
      </c>
      <c r="B5" s="492"/>
      <c r="C5" s="492"/>
      <c r="D5" s="492"/>
      <c r="E5" s="492"/>
      <c r="F5" s="492"/>
      <c r="G5" s="492"/>
      <c r="H5" s="492"/>
      <c r="I5" s="493" t="s">
        <v>756</v>
      </c>
      <c r="J5" s="493"/>
      <c r="K5" s="493"/>
      <c r="L5" s="493"/>
      <c r="M5" s="286"/>
    </row>
    <row r="6" spans="1:15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4" t="s">
        <v>761</v>
      </c>
      <c r="G6" s="494"/>
      <c r="H6" s="3"/>
      <c r="I6" s="495" t="s">
        <v>762</v>
      </c>
      <c r="J6" s="496"/>
      <c r="K6" s="496"/>
      <c r="L6" s="496"/>
      <c r="M6" s="289" t="s">
        <v>763</v>
      </c>
    </row>
    <row r="7" spans="1:15" s="285" customFormat="1" ht="14.25" customHeight="1">
      <c r="A7" s="290"/>
      <c r="B7" s="291"/>
      <c r="C7" s="291"/>
      <c r="D7" s="292" t="s">
        <v>764</v>
      </c>
      <c r="E7" s="293"/>
      <c r="F7" s="35"/>
      <c r="G7" s="294" t="s">
        <v>756</v>
      </c>
      <c r="H7" s="294" t="s">
        <v>765</v>
      </c>
      <c r="I7" s="483" t="s">
        <v>766</v>
      </c>
      <c r="J7" s="483"/>
      <c r="K7" s="483" t="s">
        <v>767</v>
      </c>
      <c r="L7" s="483"/>
      <c r="M7" s="289" t="s">
        <v>768</v>
      </c>
    </row>
    <row r="8" spans="1:15" s="285" customFormat="1" ht="14.25" customHeight="1">
      <c r="A8" s="295"/>
      <c r="B8" s="296"/>
      <c r="C8" s="296"/>
      <c r="D8" s="297"/>
      <c r="E8" s="298"/>
      <c r="F8" s="36"/>
      <c r="G8" s="299" t="s">
        <v>769</v>
      </c>
      <c r="H8" s="300" t="s">
        <v>770</v>
      </c>
      <c r="I8" s="301" t="s">
        <v>771</v>
      </c>
      <c r="J8" s="301" t="s">
        <v>772</v>
      </c>
      <c r="K8" s="301" t="s">
        <v>771</v>
      </c>
      <c r="L8" s="301" t="s">
        <v>772</v>
      </c>
      <c r="M8" s="302"/>
    </row>
    <row r="9" spans="1:15" s="277" customFormat="1" ht="14.25" customHeight="1">
      <c r="A9" s="303">
        <v>42188</v>
      </c>
      <c r="B9" s="304" t="s">
        <v>855</v>
      </c>
      <c r="C9" s="305" t="s">
        <v>778</v>
      </c>
      <c r="D9" s="306"/>
      <c r="E9" s="307" t="s">
        <v>786</v>
      </c>
      <c r="F9" s="5" t="s">
        <v>856</v>
      </c>
      <c r="G9" s="308"/>
      <c r="H9" s="5">
        <v>469164366</v>
      </c>
      <c r="I9" s="301"/>
      <c r="J9" s="301"/>
      <c r="K9" s="308"/>
      <c r="L9" s="301"/>
      <c r="M9" s="6">
        <f>G9+H9</f>
        <v>469164366</v>
      </c>
    </row>
    <row r="10" spans="1:15" s="277" customFormat="1" ht="14.25" customHeight="1">
      <c r="A10" s="303">
        <v>42188</v>
      </c>
      <c r="B10" s="304" t="s">
        <v>855</v>
      </c>
      <c r="C10" s="305" t="s">
        <v>778</v>
      </c>
      <c r="D10" s="306"/>
      <c r="E10" s="307" t="s">
        <v>794</v>
      </c>
      <c r="F10" s="5" t="s">
        <v>857</v>
      </c>
      <c r="G10" s="308"/>
      <c r="H10" s="5">
        <v>224637197</v>
      </c>
      <c r="I10" s="301"/>
      <c r="J10" s="301"/>
      <c r="K10" s="308"/>
      <c r="L10" s="301"/>
      <c r="M10" s="6">
        <f t="shared" ref="M10:M29" si="0">G10+H10</f>
        <v>224637197</v>
      </c>
    </row>
    <row r="11" spans="1:15" s="277" customFormat="1" ht="14.25" customHeight="1">
      <c r="A11" s="303">
        <v>42188</v>
      </c>
      <c r="B11" s="304" t="s">
        <v>858</v>
      </c>
      <c r="C11" s="305" t="s">
        <v>859</v>
      </c>
      <c r="D11" s="306"/>
      <c r="E11" s="307" t="s">
        <v>811</v>
      </c>
      <c r="F11" s="5" t="s">
        <v>860</v>
      </c>
      <c r="G11" s="308"/>
      <c r="H11" s="5">
        <v>88553682</v>
      </c>
      <c r="I11" s="301"/>
      <c r="J11" s="301"/>
      <c r="K11" s="308"/>
      <c r="L11" s="301"/>
      <c r="M11" s="6">
        <f t="shared" si="0"/>
        <v>88553682</v>
      </c>
    </row>
    <row r="12" spans="1:15" s="277" customFormat="1" ht="14.25" customHeight="1">
      <c r="A12" s="303">
        <v>42189</v>
      </c>
      <c r="B12" s="304" t="s">
        <v>861</v>
      </c>
      <c r="C12" s="305" t="s">
        <v>862</v>
      </c>
      <c r="D12" s="306"/>
      <c r="E12" s="307" t="s">
        <v>863</v>
      </c>
      <c r="F12" s="5" t="s">
        <v>864</v>
      </c>
      <c r="G12" s="308"/>
      <c r="H12" s="5">
        <v>282184182</v>
      </c>
      <c r="I12" s="301"/>
      <c r="J12" s="301"/>
      <c r="K12" s="308"/>
      <c r="L12" s="301"/>
      <c r="M12" s="6">
        <f t="shared" si="0"/>
        <v>282184182</v>
      </c>
    </row>
    <row r="13" spans="1:15" s="277" customFormat="1" ht="14.25" customHeight="1">
      <c r="A13" s="303">
        <v>42194</v>
      </c>
      <c r="B13" s="304" t="s">
        <v>865</v>
      </c>
      <c r="C13" s="305" t="s">
        <v>866</v>
      </c>
      <c r="D13" s="306"/>
      <c r="E13" s="307" t="s">
        <v>867</v>
      </c>
      <c r="F13" s="5" t="s">
        <v>868</v>
      </c>
      <c r="G13" s="308"/>
      <c r="H13" s="5">
        <v>137692800</v>
      </c>
      <c r="I13" s="301"/>
      <c r="J13" s="301"/>
      <c r="K13" s="308"/>
      <c r="L13" s="301"/>
      <c r="M13" s="6">
        <f t="shared" si="0"/>
        <v>137692800</v>
      </c>
    </row>
    <row r="14" spans="1:15" s="277" customFormat="1" ht="14.25" customHeight="1">
      <c r="A14" s="303">
        <v>42194</v>
      </c>
      <c r="B14" s="304" t="s">
        <v>869</v>
      </c>
      <c r="C14" s="305" t="s">
        <v>862</v>
      </c>
      <c r="D14" s="306"/>
      <c r="E14" s="307" t="s">
        <v>811</v>
      </c>
      <c r="F14" s="5" t="s">
        <v>870</v>
      </c>
      <c r="G14" s="308"/>
      <c r="H14" s="5">
        <v>199310328</v>
      </c>
      <c r="I14" s="301"/>
      <c r="J14" s="301"/>
      <c r="K14" s="308"/>
      <c r="L14" s="301"/>
      <c r="M14" s="6">
        <f t="shared" si="0"/>
        <v>199310328</v>
      </c>
    </row>
    <row r="15" spans="1:15" s="277" customFormat="1" ht="14.25" customHeight="1">
      <c r="A15" s="303">
        <v>42195</v>
      </c>
      <c r="B15" s="304" t="s">
        <v>871</v>
      </c>
      <c r="C15" s="305" t="s">
        <v>778</v>
      </c>
      <c r="D15" s="306"/>
      <c r="E15" s="307" t="s">
        <v>872</v>
      </c>
      <c r="F15" s="5" t="s">
        <v>873</v>
      </c>
      <c r="G15" s="308"/>
      <c r="H15" s="5">
        <v>222232983</v>
      </c>
      <c r="I15" s="301"/>
      <c r="J15" s="301"/>
      <c r="K15" s="308"/>
      <c r="L15" s="301"/>
      <c r="M15" s="6">
        <f t="shared" si="0"/>
        <v>222232983</v>
      </c>
    </row>
    <row r="16" spans="1:15" s="277" customFormat="1" ht="14.25" customHeight="1">
      <c r="A16" s="303">
        <v>42195</v>
      </c>
      <c r="B16" s="304" t="s">
        <v>871</v>
      </c>
      <c r="C16" s="305" t="s">
        <v>778</v>
      </c>
      <c r="D16" s="306"/>
      <c r="E16" s="307" t="s">
        <v>794</v>
      </c>
      <c r="F16" s="5" t="s">
        <v>874</v>
      </c>
      <c r="G16" s="308"/>
      <c r="H16" s="5">
        <v>15787217</v>
      </c>
      <c r="I16" s="301"/>
      <c r="J16" s="301"/>
      <c r="K16" s="308"/>
      <c r="L16" s="301"/>
      <c r="M16" s="6">
        <f t="shared" si="0"/>
        <v>15787217</v>
      </c>
    </row>
    <row r="17" spans="1:13" s="277" customFormat="1" ht="14.25" customHeight="1">
      <c r="A17" s="303">
        <v>42195</v>
      </c>
      <c r="B17" s="304" t="s">
        <v>875</v>
      </c>
      <c r="C17" s="305" t="s">
        <v>866</v>
      </c>
      <c r="D17" s="306"/>
      <c r="E17" s="307" t="s">
        <v>876</v>
      </c>
      <c r="F17" s="5" t="s">
        <v>877</v>
      </c>
      <c r="G17" s="308"/>
      <c r="H17" s="5">
        <v>147298512</v>
      </c>
      <c r="I17" s="301"/>
      <c r="J17" s="301"/>
      <c r="K17" s="308"/>
      <c r="L17" s="301"/>
      <c r="M17" s="6">
        <f t="shared" si="0"/>
        <v>147298512</v>
      </c>
    </row>
    <row r="18" spans="1:13" s="277" customFormat="1" ht="14.25" customHeight="1">
      <c r="A18" s="303">
        <v>42196</v>
      </c>
      <c r="B18" s="304" t="s">
        <v>878</v>
      </c>
      <c r="C18" s="305" t="s">
        <v>778</v>
      </c>
      <c r="D18" s="306"/>
      <c r="E18" s="307" t="s">
        <v>793</v>
      </c>
      <c r="F18" s="5" t="s">
        <v>879</v>
      </c>
      <c r="G18" s="308"/>
      <c r="H18" s="5">
        <v>108300780</v>
      </c>
      <c r="I18" s="301"/>
      <c r="J18" s="301"/>
      <c r="K18" s="308"/>
      <c r="L18" s="301"/>
      <c r="M18" s="6">
        <f t="shared" si="0"/>
        <v>108300780</v>
      </c>
    </row>
    <row r="19" spans="1:13" s="277" customFormat="1" ht="14.25" customHeight="1">
      <c r="A19" s="303">
        <v>42196</v>
      </c>
      <c r="B19" s="304" t="s">
        <v>878</v>
      </c>
      <c r="C19" s="305" t="s">
        <v>778</v>
      </c>
      <c r="D19" s="306"/>
      <c r="E19" s="307" t="s">
        <v>794</v>
      </c>
      <c r="F19" s="5" t="s">
        <v>880</v>
      </c>
      <c r="G19" s="308"/>
      <c r="H19" s="5">
        <v>39649873</v>
      </c>
      <c r="I19" s="301"/>
      <c r="J19" s="301"/>
      <c r="K19" s="308"/>
      <c r="L19" s="301"/>
      <c r="M19" s="6">
        <f t="shared" si="0"/>
        <v>39649873</v>
      </c>
    </row>
    <row r="20" spans="1:13" s="277" customFormat="1" ht="14.25" customHeight="1">
      <c r="A20" s="303">
        <v>42196</v>
      </c>
      <c r="B20" s="304" t="s">
        <v>881</v>
      </c>
      <c r="C20" s="305" t="s">
        <v>859</v>
      </c>
      <c r="D20" s="306"/>
      <c r="E20" s="307" t="s">
        <v>811</v>
      </c>
      <c r="F20" s="5" t="s">
        <v>882</v>
      </c>
      <c r="G20" s="308"/>
      <c r="H20" s="5">
        <v>532736694</v>
      </c>
      <c r="I20" s="301"/>
      <c r="J20" s="301"/>
      <c r="K20" s="308"/>
      <c r="L20" s="301"/>
      <c r="M20" s="6">
        <f t="shared" si="0"/>
        <v>532736694</v>
      </c>
    </row>
    <row r="21" spans="1:13" s="277" customFormat="1" ht="14.25" customHeight="1">
      <c r="A21" s="303">
        <v>42200</v>
      </c>
      <c r="B21" s="304" t="s">
        <v>883</v>
      </c>
      <c r="C21" s="305" t="s">
        <v>866</v>
      </c>
      <c r="D21" s="306"/>
      <c r="E21" s="307" t="s">
        <v>884</v>
      </c>
      <c r="F21" s="5" t="s">
        <v>885</v>
      </c>
      <c r="G21" s="308"/>
      <c r="H21" s="5">
        <v>111616110</v>
      </c>
      <c r="I21" s="301"/>
      <c r="J21" s="301"/>
      <c r="K21" s="308"/>
      <c r="L21" s="301"/>
      <c r="M21" s="6">
        <f t="shared" si="0"/>
        <v>111616110</v>
      </c>
    </row>
    <row r="22" spans="1:13" s="277" customFormat="1" ht="14.25" customHeight="1">
      <c r="A22" s="303">
        <v>42202</v>
      </c>
      <c r="B22" s="304" t="s">
        <v>886</v>
      </c>
      <c r="C22" s="305" t="s">
        <v>778</v>
      </c>
      <c r="D22" s="306"/>
      <c r="E22" s="307" t="s">
        <v>887</v>
      </c>
      <c r="F22" s="5" t="s">
        <v>888</v>
      </c>
      <c r="G22" s="308"/>
      <c r="H22" s="5">
        <v>145841012</v>
      </c>
      <c r="I22" s="301"/>
      <c r="J22" s="301"/>
      <c r="K22" s="308"/>
      <c r="L22" s="301"/>
      <c r="M22" s="6">
        <f t="shared" si="0"/>
        <v>145841012</v>
      </c>
    </row>
    <row r="23" spans="1:13" s="277" customFormat="1" ht="14.25" customHeight="1">
      <c r="A23" s="303">
        <v>42203</v>
      </c>
      <c r="B23" s="304" t="s">
        <v>889</v>
      </c>
      <c r="C23" s="305" t="s">
        <v>890</v>
      </c>
      <c r="D23" s="306"/>
      <c r="E23" s="307" t="s">
        <v>891</v>
      </c>
      <c r="F23" s="5" t="s">
        <v>892</v>
      </c>
      <c r="G23" s="308"/>
      <c r="H23" s="5">
        <v>30111334</v>
      </c>
      <c r="I23" s="301"/>
      <c r="J23" s="301"/>
      <c r="K23" s="308"/>
      <c r="L23" s="301"/>
      <c r="M23" s="6">
        <f t="shared" si="0"/>
        <v>30111334</v>
      </c>
    </row>
    <row r="24" spans="1:13" s="277" customFormat="1" ht="14.25" customHeight="1">
      <c r="A24" s="303">
        <v>42203</v>
      </c>
      <c r="B24" s="304" t="s">
        <v>893</v>
      </c>
      <c r="C24" s="305" t="s">
        <v>894</v>
      </c>
      <c r="D24" s="306"/>
      <c r="E24" s="307" t="s">
        <v>895</v>
      </c>
      <c r="F24" s="5" t="s">
        <v>896</v>
      </c>
      <c r="G24" s="308"/>
      <c r="H24" s="5">
        <v>149495808</v>
      </c>
      <c r="I24" s="301"/>
      <c r="J24" s="301"/>
      <c r="K24" s="308"/>
      <c r="L24" s="301"/>
      <c r="M24" s="6">
        <f t="shared" si="0"/>
        <v>149495808</v>
      </c>
    </row>
    <row r="25" spans="1:13" s="277" customFormat="1" ht="14.25" customHeight="1">
      <c r="A25" s="303">
        <v>42203</v>
      </c>
      <c r="B25" s="304" t="s">
        <v>897</v>
      </c>
      <c r="C25" s="305" t="s">
        <v>778</v>
      </c>
      <c r="D25" s="306"/>
      <c r="E25" s="307" t="s">
        <v>793</v>
      </c>
      <c r="F25" s="5" t="s">
        <v>898</v>
      </c>
      <c r="G25" s="308"/>
      <c r="H25" s="5">
        <v>96535757</v>
      </c>
      <c r="I25" s="301"/>
      <c r="J25" s="301"/>
      <c r="K25" s="308"/>
      <c r="L25" s="301"/>
      <c r="M25" s="6">
        <f t="shared" si="0"/>
        <v>96535757</v>
      </c>
    </row>
    <row r="26" spans="1:13" s="277" customFormat="1" ht="14.25" customHeight="1">
      <c r="A26" s="303">
        <v>42203</v>
      </c>
      <c r="B26" s="304" t="s">
        <v>897</v>
      </c>
      <c r="C26" s="305" t="s">
        <v>778</v>
      </c>
      <c r="D26" s="306"/>
      <c r="E26" s="307" t="s">
        <v>887</v>
      </c>
      <c r="F26" s="5" t="s">
        <v>899</v>
      </c>
      <c r="G26" s="308"/>
      <c r="H26" s="5">
        <v>67763405</v>
      </c>
      <c r="I26" s="301"/>
      <c r="J26" s="301"/>
      <c r="K26" s="308"/>
      <c r="L26" s="301"/>
      <c r="M26" s="6">
        <f t="shared" si="0"/>
        <v>67763405</v>
      </c>
    </row>
    <row r="27" spans="1:13" s="277" customFormat="1" ht="14.25" customHeight="1">
      <c r="A27" s="303">
        <v>42203</v>
      </c>
      <c r="B27" s="304" t="s">
        <v>897</v>
      </c>
      <c r="C27" s="305" t="s">
        <v>778</v>
      </c>
      <c r="D27" s="306"/>
      <c r="E27" s="307" t="s">
        <v>814</v>
      </c>
      <c r="F27" s="5" t="s">
        <v>900</v>
      </c>
      <c r="G27" s="308"/>
      <c r="H27" s="5">
        <v>45686784</v>
      </c>
      <c r="I27" s="301"/>
      <c r="J27" s="301"/>
      <c r="K27" s="308"/>
      <c r="L27" s="301"/>
      <c r="M27" s="6">
        <f t="shared" si="0"/>
        <v>45686784</v>
      </c>
    </row>
    <row r="28" spans="1:13" s="277" customFormat="1" ht="14.25" customHeight="1">
      <c r="A28" s="303">
        <v>42203</v>
      </c>
      <c r="B28" s="304" t="s">
        <v>901</v>
      </c>
      <c r="C28" s="305" t="s">
        <v>890</v>
      </c>
      <c r="D28" s="306"/>
      <c r="E28" s="307" t="s">
        <v>902</v>
      </c>
      <c r="F28" s="5" t="s">
        <v>903</v>
      </c>
      <c r="G28" s="308"/>
      <c r="H28" s="5">
        <v>150505472</v>
      </c>
      <c r="I28" s="301"/>
      <c r="J28" s="301"/>
      <c r="K28" s="308"/>
      <c r="L28" s="301"/>
      <c r="M28" s="6">
        <f t="shared" si="0"/>
        <v>150505472</v>
      </c>
    </row>
    <row r="29" spans="1:13" s="277" customFormat="1" ht="13.5" customHeight="1">
      <c r="A29" s="303">
        <v>42203</v>
      </c>
      <c r="B29" s="304" t="s">
        <v>901</v>
      </c>
      <c r="C29" s="305" t="s">
        <v>890</v>
      </c>
      <c r="D29" s="306"/>
      <c r="E29" s="307" t="s">
        <v>904</v>
      </c>
      <c r="F29" s="5" t="s">
        <v>905</v>
      </c>
      <c r="G29" s="308"/>
      <c r="H29" s="5">
        <v>114575606</v>
      </c>
      <c r="I29" s="301"/>
      <c r="J29" s="301"/>
      <c r="K29" s="308"/>
      <c r="L29" s="301"/>
      <c r="M29" s="6">
        <f t="shared" si="0"/>
        <v>114575606</v>
      </c>
    </row>
    <row r="30" spans="1:13" s="311" customFormat="1" ht="14.25" customHeight="1">
      <c r="A30" s="484">
        <f>L4</f>
        <v>4099</v>
      </c>
      <c r="B30" s="484"/>
      <c r="C30" s="484"/>
      <c r="D30" s="484"/>
      <c r="E30" s="309" t="s">
        <v>847</v>
      </c>
      <c r="F30" s="37">
        <f>SUM(F9:F29)</f>
        <v>0</v>
      </c>
      <c r="G30" s="310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311" customFormat="1" ht="14.25" customHeight="1" thickBot="1">
      <c r="A31" s="485" t="s">
        <v>848</v>
      </c>
      <c r="B31" s="486"/>
      <c r="C31" s="486"/>
      <c r="D31" s="486"/>
      <c r="E31" s="312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315" customFormat="1" ht="15.75" customHeight="1">
      <c r="A32" s="313"/>
      <c r="B32" s="314"/>
      <c r="C32" s="314"/>
      <c r="D32" s="314"/>
      <c r="E32" s="314"/>
      <c r="F32" s="17"/>
      <c r="G32" s="314" t="s">
        <v>849</v>
      </c>
      <c r="H32" s="18" t="s">
        <v>906</v>
      </c>
      <c r="I32" s="314" t="s">
        <v>851</v>
      </c>
      <c r="J32" s="314" t="s">
        <v>852</v>
      </c>
      <c r="K32" s="314" t="s">
        <v>851</v>
      </c>
      <c r="L32" s="314" t="s">
        <v>852</v>
      </c>
      <c r="M32" s="314"/>
    </row>
    <row r="33" spans="1:14" ht="14.25" customHeight="1">
      <c r="A33" s="316"/>
      <c r="B33" s="317"/>
      <c r="C33" s="317"/>
      <c r="D33" s="317"/>
      <c r="E33" s="317"/>
      <c r="F33" s="19"/>
      <c r="G33" s="317"/>
      <c r="H33" s="487" t="s">
        <v>853</v>
      </c>
      <c r="I33" s="487"/>
      <c r="J33" s="487"/>
      <c r="K33" s="487"/>
      <c r="L33" s="487"/>
      <c r="M33" s="487"/>
    </row>
    <row r="34" spans="1:14" ht="19.5" customHeight="1">
      <c r="H34" s="488"/>
      <c r="I34" s="488"/>
      <c r="J34" s="488"/>
      <c r="K34" s="488"/>
      <c r="L34" s="488"/>
      <c r="M34" s="488"/>
      <c r="N34" s="21"/>
    </row>
    <row r="35" spans="1:14" ht="18" hidden="1" customHeight="1">
      <c r="H35" s="320">
        <f>H31*1%</f>
        <v>8245.1327201756521</v>
      </c>
      <c r="I35" s="321"/>
      <c r="J35" s="39"/>
      <c r="K35" s="322"/>
      <c r="L35" s="322"/>
    </row>
    <row r="36" spans="1:14" ht="14.25" customHeight="1">
      <c r="H36" s="323"/>
      <c r="I36" s="480"/>
      <c r="J36" s="480"/>
      <c r="K36" s="480"/>
      <c r="L36" s="323"/>
    </row>
    <row r="37" spans="1:14" ht="14.25" customHeight="1">
      <c r="C37" s="23"/>
      <c r="D37" s="324"/>
      <c r="E37" s="324"/>
      <c r="F37" s="24"/>
    </row>
    <row r="38" spans="1:14" ht="14.25" customHeight="1">
      <c r="F38" s="26"/>
      <c r="G38" s="497"/>
      <c r="H38" s="497"/>
      <c r="I38" s="330"/>
    </row>
    <row r="39" spans="1:14" ht="14.25" customHeight="1">
      <c r="C39" s="326"/>
      <c r="D39" s="327"/>
      <c r="E39" s="328"/>
      <c r="F39" s="327"/>
      <c r="G39" s="321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311"/>
    </row>
    <row r="41" spans="1:14" ht="14.25" customHeight="1">
      <c r="H41" s="27"/>
      <c r="I41" s="32"/>
      <c r="J41" s="311"/>
      <c r="K41" s="311"/>
    </row>
    <row r="42" spans="1:14" ht="14.25" customHeight="1">
      <c r="H42" s="33"/>
      <c r="I42" s="34"/>
      <c r="J42" s="311"/>
      <c r="K42" s="311"/>
    </row>
    <row r="43" spans="1:14" ht="14.25" customHeight="1">
      <c r="H43" s="481"/>
      <c r="I43" s="481"/>
      <c r="J43" s="311"/>
      <c r="K43" s="311"/>
      <c r="M43" s="329"/>
    </row>
    <row r="44" spans="1:14" ht="14.25" hidden="1" customHeight="1">
      <c r="H44" s="482">
        <f>H31*1%</f>
        <v>8245.1327201756521</v>
      </c>
      <c r="I44" s="482"/>
    </row>
    <row r="45" spans="1:14" ht="14.25" customHeight="1">
      <c r="H45" s="29"/>
      <c r="I45" s="311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  <mergeCell ref="I36:K36"/>
    <mergeCell ref="G38:H38"/>
    <mergeCell ref="H43:I43"/>
    <mergeCell ref="H44:I44"/>
    <mergeCell ref="I7:J7"/>
    <mergeCell ref="K7:L7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4.6640625" style="20" customWidth="1"/>
    <col min="7" max="7" width="3" style="20" customWidth="1"/>
    <col min="8" max="8" width="11.109375" style="318" customWidth="1"/>
    <col min="9" max="9" width="11.88671875" style="25" customWidth="1"/>
    <col min="10" max="10" width="9" style="318" customWidth="1"/>
    <col min="11" max="11" width="5.44140625" style="318" customWidth="1"/>
    <col min="12" max="12" width="8.44140625" style="318" customWidth="1"/>
    <col min="13" max="13" width="4.33203125" style="318" customWidth="1"/>
    <col min="14" max="14" width="13.33203125" style="318" customWidth="1"/>
    <col min="15" max="15" width="15.109375" style="318" bestFit="1" customWidth="1"/>
    <col min="16" max="16384" width="9.109375" style="318"/>
  </cols>
  <sheetData>
    <row r="1" spans="1:16" s="265" customFormat="1" ht="23.25" customHeight="1">
      <c r="A1" s="489" t="s">
        <v>749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264"/>
    </row>
    <row r="2" spans="1:16" s="266" customFormat="1" ht="22.5" customHeight="1">
      <c r="A2" s="490" t="s">
        <v>750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  <c r="N2" s="490"/>
      <c r="O2" s="264"/>
    </row>
    <row r="3" spans="1:16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0"/>
      <c r="J3" s="271"/>
      <c r="K3" s="272"/>
      <c r="L3" s="267" t="s">
        <v>752</v>
      </c>
      <c r="M3" s="273"/>
      <c r="N3" s="274"/>
      <c r="O3" s="275"/>
      <c r="P3" s="275"/>
    </row>
    <row r="4" spans="1:16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1"/>
      <c r="J4" s="282"/>
      <c r="K4" s="274"/>
      <c r="L4" s="278" t="s">
        <v>754</v>
      </c>
      <c r="M4" s="283">
        <v>4095</v>
      </c>
      <c r="N4" s="274"/>
      <c r="O4" s="284"/>
      <c r="P4" s="275"/>
    </row>
    <row r="5" spans="1:16" s="285" customFormat="1" ht="16.5" customHeight="1">
      <c r="A5" s="491" t="s">
        <v>755</v>
      </c>
      <c r="B5" s="492"/>
      <c r="C5" s="492"/>
      <c r="D5" s="492"/>
      <c r="E5" s="492"/>
      <c r="F5" s="492"/>
      <c r="G5" s="492"/>
      <c r="H5" s="492"/>
      <c r="I5" s="492"/>
      <c r="J5" s="493" t="s">
        <v>756</v>
      </c>
      <c r="K5" s="493"/>
      <c r="L5" s="493"/>
      <c r="M5" s="493"/>
      <c r="N5" s="286"/>
    </row>
    <row r="6" spans="1:16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4" t="s">
        <v>761</v>
      </c>
      <c r="G6" s="494"/>
      <c r="H6" s="494"/>
      <c r="I6" s="3"/>
      <c r="J6" s="495" t="s">
        <v>762</v>
      </c>
      <c r="K6" s="496"/>
      <c r="L6" s="496"/>
      <c r="M6" s="496"/>
      <c r="N6" s="289" t="s">
        <v>763</v>
      </c>
    </row>
    <row r="7" spans="1:16" s="285" customFormat="1" ht="14.25" customHeight="1">
      <c r="A7" s="290"/>
      <c r="B7" s="291"/>
      <c r="C7" s="291"/>
      <c r="D7" s="292" t="s">
        <v>764</v>
      </c>
      <c r="E7" s="293"/>
      <c r="F7" s="498" t="s">
        <v>756</v>
      </c>
      <c r="G7" s="499"/>
      <c r="H7" s="500"/>
      <c r="I7" s="294" t="s">
        <v>765</v>
      </c>
      <c r="J7" s="483" t="s">
        <v>766</v>
      </c>
      <c r="K7" s="483"/>
      <c r="L7" s="483" t="s">
        <v>767</v>
      </c>
      <c r="M7" s="483"/>
      <c r="N7" s="289" t="s">
        <v>768</v>
      </c>
    </row>
    <row r="8" spans="1:16" s="285" customFormat="1" ht="14.25" customHeight="1">
      <c r="A8" s="295"/>
      <c r="B8" s="296"/>
      <c r="C8" s="296"/>
      <c r="D8" s="297"/>
      <c r="E8" s="298"/>
      <c r="F8" s="498" t="s">
        <v>769</v>
      </c>
      <c r="G8" s="499"/>
      <c r="H8" s="500"/>
      <c r="I8" s="300" t="s">
        <v>770</v>
      </c>
      <c r="J8" s="301" t="s">
        <v>771</v>
      </c>
      <c r="K8" s="301" t="s">
        <v>772</v>
      </c>
      <c r="L8" s="301" t="s">
        <v>771</v>
      </c>
      <c r="M8" s="301" t="s">
        <v>772</v>
      </c>
      <c r="N8" s="302"/>
    </row>
    <row r="9" spans="1:16" s="277" customFormat="1" ht="14.25" customHeight="1">
      <c r="A9" s="303">
        <v>42202</v>
      </c>
      <c r="B9" s="304" t="s">
        <v>773</v>
      </c>
      <c r="C9" s="305" t="s">
        <v>774</v>
      </c>
      <c r="D9" s="306"/>
      <c r="E9" s="307" t="s">
        <v>775</v>
      </c>
      <c r="F9" s="4">
        <v>65</v>
      </c>
      <c r="G9" s="331" t="s">
        <v>776</v>
      </c>
      <c r="H9" s="308"/>
      <c r="I9" s="5">
        <v>16764930</v>
      </c>
      <c r="J9" s="301"/>
      <c r="K9" s="301"/>
      <c r="L9" s="308"/>
      <c r="M9" s="301"/>
      <c r="N9" s="6">
        <f>H9+I9</f>
        <v>16764930</v>
      </c>
    </row>
    <row r="10" spans="1:16" s="277" customFormat="1" ht="14.25" customHeight="1">
      <c r="A10" s="303">
        <v>42203</v>
      </c>
      <c r="B10" s="304" t="s">
        <v>777</v>
      </c>
      <c r="C10" s="305" t="s">
        <v>778</v>
      </c>
      <c r="D10" s="306"/>
      <c r="E10" s="307" t="s">
        <v>779</v>
      </c>
      <c r="F10" s="4">
        <v>64</v>
      </c>
      <c r="G10" s="331" t="s">
        <v>776</v>
      </c>
      <c r="H10" s="308"/>
      <c r="I10" s="5">
        <v>26424115</v>
      </c>
      <c r="J10" s="301"/>
      <c r="K10" s="301"/>
      <c r="L10" s="308"/>
      <c r="M10" s="301"/>
      <c r="N10" s="6">
        <f>H10+I10</f>
        <v>26424115</v>
      </c>
    </row>
    <row r="11" spans="1:16" s="277" customFormat="1" ht="14.25" customHeight="1">
      <c r="A11" s="303">
        <v>42208</v>
      </c>
      <c r="B11" s="304" t="s">
        <v>780</v>
      </c>
      <c r="C11" s="305" t="s">
        <v>781</v>
      </c>
      <c r="D11" s="306"/>
      <c r="E11" s="307" t="s">
        <v>782</v>
      </c>
      <c r="F11" s="4">
        <v>36</v>
      </c>
      <c r="G11" s="331" t="s">
        <v>776</v>
      </c>
      <c r="H11" s="308"/>
      <c r="I11" s="5">
        <v>29192000</v>
      </c>
      <c r="J11" s="301"/>
      <c r="K11" s="301"/>
      <c r="L11" s="308"/>
      <c r="M11" s="301"/>
      <c r="N11" s="6">
        <f>H11+I11</f>
        <v>29192000</v>
      </c>
    </row>
    <row r="12" spans="1:16" s="277" customFormat="1" ht="14.25" customHeight="1">
      <c r="A12" s="303">
        <v>42209</v>
      </c>
      <c r="B12" s="304" t="s">
        <v>783</v>
      </c>
      <c r="C12" s="305" t="s">
        <v>774</v>
      </c>
      <c r="D12" s="306"/>
      <c r="E12" s="307" t="s">
        <v>784</v>
      </c>
      <c r="F12" s="4">
        <v>305</v>
      </c>
      <c r="G12" s="331" t="s">
        <v>776</v>
      </c>
      <c r="H12" s="308"/>
      <c r="I12" s="5">
        <v>70028000</v>
      </c>
      <c r="J12" s="301"/>
      <c r="K12" s="301"/>
      <c r="L12" s="308"/>
      <c r="M12" s="301"/>
      <c r="N12" s="6">
        <f t="shared" ref="N12:N46" si="0">H12+I12</f>
        <v>70028000</v>
      </c>
    </row>
    <row r="13" spans="1:16" s="277" customFormat="1" ht="14.25" customHeight="1">
      <c r="A13" s="303">
        <v>42209</v>
      </c>
      <c r="B13" s="304" t="s">
        <v>785</v>
      </c>
      <c r="C13" s="305" t="s">
        <v>778</v>
      </c>
      <c r="D13" s="306"/>
      <c r="E13" s="307" t="s">
        <v>786</v>
      </c>
      <c r="F13" s="4">
        <v>904</v>
      </c>
      <c r="G13" s="331" t="s">
        <v>776</v>
      </c>
      <c r="H13" s="308"/>
      <c r="I13" s="5">
        <v>242980473</v>
      </c>
      <c r="J13" s="301"/>
      <c r="K13" s="301"/>
      <c r="L13" s="308"/>
      <c r="M13" s="301"/>
      <c r="N13" s="6">
        <f t="shared" si="0"/>
        <v>242980473</v>
      </c>
    </row>
    <row r="14" spans="1:16" s="277" customFormat="1" ht="14.25" customHeight="1">
      <c r="A14" s="303">
        <v>42210</v>
      </c>
      <c r="B14" s="304" t="s">
        <v>787</v>
      </c>
      <c r="C14" s="305" t="s">
        <v>788</v>
      </c>
      <c r="D14" s="306"/>
      <c r="E14" s="307" t="s">
        <v>775</v>
      </c>
      <c r="F14" s="4">
        <v>700</v>
      </c>
      <c r="G14" s="331" t="s">
        <v>776</v>
      </c>
      <c r="H14" s="308"/>
      <c r="I14" s="5">
        <v>180986400</v>
      </c>
      <c r="J14" s="301"/>
      <c r="K14" s="301"/>
      <c r="L14" s="308"/>
      <c r="M14" s="301"/>
      <c r="N14" s="6">
        <f t="shared" si="0"/>
        <v>180986400</v>
      </c>
    </row>
    <row r="15" spans="1:16" s="277" customFormat="1" ht="14.25" customHeight="1">
      <c r="A15" s="303">
        <v>42210</v>
      </c>
      <c r="B15" s="304" t="s">
        <v>789</v>
      </c>
      <c r="C15" s="305" t="s">
        <v>790</v>
      </c>
      <c r="D15" s="306"/>
      <c r="E15" s="307" t="s">
        <v>791</v>
      </c>
      <c r="F15" s="4">
        <v>800</v>
      </c>
      <c r="G15" s="331" t="s">
        <v>776</v>
      </c>
      <c r="H15" s="308"/>
      <c r="I15" s="5">
        <v>174420000</v>
      </c>
      <c r="J15" s="301"/>
      <c r="K15" s="301"/>
      <c r="L15" s="308"/>
      <c r="M15" s="301"/>
      <c r="N15" s="6">
        <f t="shared" si="0"/>
        <v>174420000</v>
      </c>
    </row>
    <row r="16" spans="1:16" s="277" customFormat="1" ht="14.25" customHeight="1">
      <c r="A16" s="303">
        <v>42210</v>
      </c>
      <c r="B16" s="304" t="s">
        <v>792</v>
      </c>
      <c r="C16" s="305" t="s">
        <v>778</v>
      </c>
      <c r="D16" s="306"/>
      <c r="E16" s="307" t="s">
        <v>793</v>
      </c>
      <c r="F16" s="4">
        <v>680</v>
      </c>
      <c r="G16" s="331" t="s">
        <v>776</v>
      </c>
      <c r="H16" s="308"/>
      <c r="I16" s="5">
        <v>178829338</v>
      </c>
      <c r="J16" s="301"/>
      <c r="K16" s="301"/>
      <c r="L16" s="308"/>
      <c r="M16" s="301"/>
      <c r="N16" s="6">
        <f t="shared" si="0"/>
        <v>178829338</v>
      </c>
    </row>
    <row r="17" spans="1:14" s="277" customFormat="1" ht="14.25" customHeight="1">
      <c r="A17" s="303">
        <v>42210</v>
      </c>
      <c r="B17" s="304" t="s">
        <v>792</v>
      </c>
      <c r="C17" s="305" t="s">
        <v>778</v>
      </c>
      <c r="D17" s="306"/>
      <c r="E17" s="307" t="s">
        <v>794</v>
      </c>
      <c r="F17" s="4">
        <v>93</v>
      </c>
      <c r="G17" s="331" t="s">
        <v>776</v>
      </c>
      <c r="H17" s="308"/>
      <c r="I17" s="5">
        <v>36022203</v>
      </c>
      <c r="J17" s="301"/>
      <c r="K17" s="301"/>
      <c r="L17" s="308"/>
      <c r="M17" s="301"/>
      <c r="N17" s="6">
        <f t="shared" si="0"/>
        <v>36022203</v>
      </c>
    </row>
    <row r="18" spans="1:14" s="277" customFormat="1" ht="14.25" customHeight="1">
      <c r="A18" s="303">
        <v>42215</v>
      </c>
      <c r="B18" s="304" t="s">
        <v>795</v>
      </c>
      <c r="C18" s="305" t="s">
        <v>796</v>
      </c>
      <c r="D18" s="306"/>
      <c r="E18" s="307" t="s">
        <v>797</v>
      </c>
      <c r="F18" s="4">
        <v>355</v>
      </c>
      <c r="G18" s="331" t="s">
        <v>776</v>
      </c>
      <c r="H18" s="308"/>
      <c r="I18" s="5">
        <v>89531330</v>
      </c>
      <c r="J18" s="301"/>
      <c r="K18" s="301"/>
      <c r="L18" s="308"/>
      <c r="M18" s="301"/>
      <c r="N18" s="6">
        <f t="shared" si="0"/>
        <v>89531330</v>
      </c>
    </row>
    <row r="19" spans="1:14" s="277" customFormat="1" ht="14.25" customHeight="1">
      <c r="A19" s="303">
        <v>42215</v>
      </c>
      <c r="B19" s="304" t="s">
        <v>795</v>
      </c>
      <c r="C19" s="305" t="s">
        <v>796</v>
      </c>
      <c r="D19" s="306"/>
      <c r="E19" s="307" t="s">
        <v>798</v>
      </c>
      <c r="F19" s="4">
        <v>267</v>
      </c>
      <c r="G19" s="331" t="s">
        <v>776</v>
      </c>
      <c r="H19" s="308"/>
      <c r="I19" s="5">
        <v>191743220</v>
      </c>
      <c r="J19" s="301"/>
      <c r="K19" s="301"/>
      <c r="L19" s="308"/>
      <c r="M19" s="301"/>
      <c r="N19" s="6">
        <f t="shared" si="0"/>
        <v>191743220</v>
      </c>
    </row>
    <row r="20" spans="1:14" s="277" customFormat="1" ht="14.25" customHeight="1">
      <c r="A20" s="303">
        <v>42216</v>
      </c>
      <c r="B20" s="304" t="s">
        <v>799</v>
      </c>
      <c r="C20" s="305" t="s">
        <v>774</v>
      </c>
      <c r="D20" s="306"/>
      <c r="E20" s="307" t="s">
        <v>800</v>
      </c>
      <c r="F20" s="4">
        <v>70</v>
      </c>
      <c r="G20" s="331" t="s">
        <v>776</v>
      </c>
      <c r="H20" s="308"/>
      <c r="I20" s="5">
        <v>18116280</v>
      </c>
      <c r="J20" s="301"/>
      <c r="K20" s="301"/>
      <c r="L20" s="308"/>
      <c r="M20" s="301"/>
      <c r="N20" s="6">
        <f t="shared" si="0"/>
        <v>18116280</v>
      </c>
    </row>
    <row r="21" spans="1:14" s="277" customFormat="1" ht="14.25" customHeight="1">
      <c r="A21" s="303">
        <v>42216</v>
      </c>
      <c r="B21" s="304" t="s">
        <v>801</v>
      </c>
      <c r="C21" s="305" t="s">
        <v>778</v>
      </c>
      <c r="D21" s="306"/>
      <c r="E21" s="307" t="s">
        <v>794</v>
      </c>
      <c r="F21" s="4">
        <v>256</v>
      </c>
      <c r="G21" s="331" t="s">
        <v>776</v>
      </c>
      <c r="H21" s="308"/>
      <c r="I21" s="5">
        <v>101220463</v>
      </c>
      <c r="J21" s="301"/>
      <c r="K21" s="301"/>
      <c r="L21" s="308"/>
      <c r="M21" s="301"/>
      <c r="N21" s="6">
        <f t="shared" si="0"/>
        <v>101220463</v>
      </c>
    </row>
    <row r="22" spans="1:14" s="277" customFormat="1" ht="14.25" customHeight="1">
      <c r="A22" s="303">
        <v>42216</v>
      </c>
      <c r="B22" s="304" t="s">
        <v>801</v>
      </c>
      <c r="C22" s="305" t="s">
        <v>778</v>
      </c>
      <c r="D22" s="306"/>
      <c r="E22" s="307" t="s">
        <v>786</v>
      </c>
      <c r="F22" s="4">
        <v>79</v>
      </c>
      <c r="G22" s="331" t="s">
        <v>776</v>
      </c>
      <c r="H22" s="308"/>
      <c r="I22" s="5">
        <v>18672092</v>
      </c>
      <c r="J22" s="301"/>
      <c r="K22" s="301"/>
      <c r="L22" s="308"/>
      <c r="M22" s="301"/>
      <c r="N22" s="6">
        <f t="shared" si="0"/>
        <v>18672092</v>
      </c>
    </row>
    <row r="23" spans="1:14" s="277" customFormat="1" ht="14.25" customHeight="1">
      <c r="A23" s="303">
        <v>42216</v>
      </c>
      <c r="B23" s="304" t="s">
        <v>802</v>
      </c>
      <c r="C23" s="305" t="s">
        <v>790</v>
      </c>
      <c r="D23" s="306"/>
      <c r="E23" s="307" t="s">
        <v>803</v>
      </c>
      <c r="F23" s="4">
        <v>500</v>
      </c>
      <c r="G23" s="331" t="s">
        <v>776</v>
      </c>
      <c r="H23" s="308"/>
      <c r="I23" s="5">
        <v>359244600</v>
      </c>
      <c r="J23" s="301"/>
      <c r="K23" s="301"/>
      <c r="L23" s="308"/>
      <c r="M23" s="301"/>
      <c r="N23" s="6">
        <f t="shared" si="0"/>
        <v>359244600</v>
      </c>
    </row>
    <row r="24" spans="1:14" s="277" customFormat="1" ht="14.25" customHeight="1">
      <c r="A24" s="303">
        <v>42217</v>
      </c>
      <c r="B24" s="304" t="s">
        <v>804</v>
      </c>
      <c r="C24" s="305" t="s">
        <v>790</v>
      </c>
      <c r="D24" s="306"/>
      <c r="E24" s="307" t="s">
        <v>805</v>
      </c>
      <c r="F24" s="4">
        <v>640</v>
      </c>
      <c r="G24" s="331" t="s">
        <v>776</v>
      </c>
      <c r="H24" s="308"/>
      <c r="I24" s="5">
        <v>141980760</v>
      </c>
      <c r="J24" s="301"/>
      <c r="K24" s="301"/>
      <c r="L24" s="308"/>
      <c r="M24" s="301"/>
      <c r="N24" s="6">
        <f t="shared" si="0"/>
        <v>141980760</v>
      </c>
    </row>
    <row r="25" spans="1:14" s="277" customFormat="1" ht="14.25" customHeight="1">
      <c r="A25" s="303">
        <v>42217</v>
      </c>
      <c r="B25" s="304" t="s">
        <v>806</v>
      </c>
      <c r="C25" s="305" t="s">
        <v>807</v>
      </c>
      <c r="D25" s="306"/>
      <c r="E25" s="307" t="s">
        <v>808</v>
      </c>
      <c r="F25" s="4">
        <v>635</v>
      </c>
      <c r="G25" s="331" t="s">
        <v>776</v>
      </c>
      <c r="H25" s="308"/>
      <c r="I25" s="5">
        <v>311688076</v>
      </c>
      <c r="J25" s="301"/>
      <c r="K25" s="301"/>
      <c r="L25" s="308"/>
      <c r="M25" s="301"/>
      <c r="N25" s="6">
        <f t="shared" si="0"/>
        <v>311688076</v>
      </c>
    </row>
    <row r="26" spans="1:14" s="277" customFormat="1" ht="14.25" customHeight="1">
      <c r="A26" s="303">
        <v>42217</v>
      </c>
      <c r="B26" s="304" t="s">
        <v>809</v>
      </c>
      <c r="C26" s="305" t="s">
        <v>810</v>
      </c>
      <c r="D26" s="306"/>
      <c r="E26" s="307" t="s">
        <v>811</v>
      </c>
      <c r="F26" s="4">
        <v>2285</v>
      </c>
      <c r="G26" s="331" t="s">
        <v>776</v>
      </c>
      <c r="H26" s="308"/>
      <c r="I26" s="5">
        <v>592086915</v>
      </c>
      <c r="J26" s="301"/>
      <c r="K26" s="301"/>
      <c r="L26" s="308"/>
      <c r="M26" s="301"/>
      <c r="N26" s="6">
        <f t="shared" si="0"/>
        <v>592086915</v>
      </c>
    </row>
    <row r="27" spans="1:14" s="277" customFormat="1" ht="14.25" customHeight="1">
      <c r="A27" s="303">
        <v>42217</v>
      </c>
      <c r="B27" s="304" t="s">
        <v>812</v>
      </c>
      <c r="C27" s="305" t="s">
        <v>796</v>
      </c>
      <c r="D27" s="306"/>
      <c r="E27" s="307" t="s">
        <v>811</v>
      </c>
      <c r="F27" s="4">
        <v>695</v>
      </c>
      <c r="G27" s="331" t="s">
        <v>776</v>
      </c>
      <c r="H27" s="308"/>
      <c r="I27" s="5">
        <v>180087705</v>
      </c>
      <c r="J27" s="301"/>
      <c r="K27" s="301"/>
      <c r="L27" s="308"/>
      <c r="M27" s="301"/>
      <c r="N27" s="6">
        <f t="shared" si="0"/>
        <v>180087705</v>
      </c>
    </row>
    <row r="28" spans="1:14" s="277" customFormat="1" ht="14.25" customHeight="1">
      <c r="A28" s="303">
        <v>42220</v>
      </c>
      <c r="B28" s="304" t="s">
        <v>813</v>
      </c>
      <c r="C28" s="305" t="s">
        <v>778</v>
      </c>
      <c r="D28" s="306"/>
      <c r="E28" s="307" t="s">
        <v>814</v>
      </c>
      <c r="F28" s="4">
        <v>292</v>
      </c>
      <c r="G28" s="331" t="s">
        <v>776</v>
      </c>
      <c r="H28" s="308"/>
      <c r="I28" s="5">
        <v>67012117</v>
      </c>
      <c r="J28" s="301"/>
      <c r="K28" s="301"/>
      <c r="L28" s="308"/>
      <c r="M28" s="301"/>
      <c r="N28" s="6">
        <f t="shared" si="0"/>
        <v>67012117</v>
      </c>
    </row>
    <row r="29" spans="1:14" s="277" customFormat="1" ht="14.25" customHeight="1">
      <c r="A29" s="303">
        <v>42222</v>
      </c>
      <c r="B29" s="304" t="s">
        <v>815</v>
      </c>
      <c r="C29" s="305" t="s">
        <v>816</v>
      </c>
      <c r="D29" s="306"/>
      <c r="E29" s="307" t="s">
        <v>817</v>
      </c>
      <c r="F29" s="4">
        <v>2875</v>
      </c>
      <c r="G29" s="331" t="s">
        <v>776</v>
      </c>
      <c r="H29" s="308"/>
      <c r="I29" s="5">
        <v>344438512</v>
      </c>
      <c r="J29" s="301"/>
      <c r="K29" s="301"/>
      <c r="L29" s="308"/>
      <c r="M29" s="301"/>
      <c r="N29" s="6">
        <f t="shared" si="0"/>
        <v>344438512</v>
      </c>
    </row>
    <row r="30" spans="1:14" s="277" customFormat="1" ht="14.25" customHeight="1">
      <c r="A30" s="303">
        <v>42223</v>
      </c>
      <c r="B30" s="304" t="s">
        <v>818</v>
      </c>
      <c r="C30" s="305" t="s">
        <v>796</v>
      </c>
      <c r="D30" s="306"/>
      <c r="E30" s="307" t="s">
        <v>819</v>
      </c>
      <c r="F30" s="4">
        <v>75</v>
      </c>
      <c r="G30" s="331" t="s">
        <v>776</v>
      </c>
      <c r="H30" s="308"/>
      <c r="I30" s="5">
        <v>18300065</v>
      </c>
      <c r="J30" s="301"/>
      <c r="K30" s="301"/>
      <c r="L30" s="308"/>
      <c r="M30" s="301"/>
      <c r="N30" s="6">
        <f t="shared" si="0"/>
        <v>18300065</v>
      </c>
    </row>
    <row r="31" spans="1:14" s="277" customFormat="1" ht="14.25" customHeight="1">
      <c r="A31" s="303">
        <v>42223</v>
      </c>
      <c r="B31" s="304" t="s">
        <v>818</v>
      </c>
      <c r="C31" s="305" t="s">
        <v>796</v>
      </c>
      <c r="D31" s="306"/>
      <c r="E31" s="307" t="s">
        <v>803</v>
      </c>
      <c r="F31" s="4">
        <v>100</v>
      </c>
      <c r="G31" s="331" t="s">
        <v>776</v>
      </c>
      <c r="H31" s="308"/>
      <c r="I31" s="5">
        <v>43228500</v>
      </c>
      <c r="J31" s="301"/>
      <c r="K31" s="301"/>
      <c r="L31" s="308"/>
      <c r="M31" s="301"/>
      <c r="N31" s="6">
        <f t="shared" si="0"/>
        <v>43228500</v>
      </c>
    </row>
    <row r="32" spans="1:14" s="277" customFormat="1" ht="14.25" customHeight="1">
      <c r="A32" s="303">
        <v>42223</v>
      </c>
      <c r="B32" s="304" t="s">
        <v>820</v>
      </c>
      <c r="C32" s="305" t="s">
        <v>790</v>
      </c>
      <c r="D32" s="306"/>
      <c r="E32" s="307" t="s">
        <v>821</v>
      </c>
      <c r="F32" s="4">
        <v>720</v>
      </c>
      <c r="G32" s="331" t="s">
        <v>776</v>
      </c>
      <c r="H32" s="308"/>
      <c r="I32" s="5">
        <v>158751520</v>
      </c>
      <c r="J32" s="301"/>
      <c r="K32" s="301"/>
      <c r="L32" s="308"/>
      <c r="M32" s="301"/>
      <c r="N32" s="6">
        <f t="shared" si="0"/>
        <v>158751520</v>
      </c>
    </row>
    <row r="33" spans="1:14" s="277" customFormat="1" ht="14.25" customHeight="1">
      <c r="A33" s="303">
        <v>42224</v>
      </c>
      <c r="B33" s="304" t="s">
        <v>822</v>
      </c>
      <c r="C33" s="305" t="s">
        <v>790</v>
      </c>
      <c r="D33" s="306"/>
      <c r="E33" s="307" t="s">
        <v>823</v>
      </c>
      <c r="F33" s="4">
        <v>167</v>
      </c>
      <c r="G33" s="331" t="s">
        <v>776</v>
      </c>
      <c r="H33" s="308"/>
      <c r="I33" s="5">
        <v>72191595</v>
      </c>
      <c r="J33" s="301"/>
      <c r="K33" s="301"/>
      <c r="L33" s="308"/>
      <c r="M33" s="301"/>
      <c r="N33" s="6">
        <f t="shared" si="0"/>
        <v>72191595</v>
      </c>
    </row>
    <row r="34" spans="1:14" s="277" customFormat="1" ht="14.25" customHeight="1">
      <c r="A34" s="303">
        <v>42229</v>
      </c>
      <c r="B34" s="304" t="s">
        <v>824</v>
      </c>
      <c r="C34" s="305" t="s">
        <v>825</v>
      </c>
      <c r="D34" s="306"/>
      <c r="E34" s="307" t="s">
        <v>826</v>
      </c>
      <c r="F34" s="4">
        <v>853</v>
      </c>
      <c r="G34" s="331" t="s">
        <v>776</v>
      </c>
      <c r="H34" s="308"/>
      <c r="I34" s="5">
        <v>348972482</v>
      </c>
      <c r="J34" s="301"/>
      <c r="K34" s="301"/>
      <c r="L34" s="308"/>
      <c r="M34" s="301"/>
      <c r="N34" s="6">
        <f t="shared" si="0"/>
        <v>348972482</v>
      </c>
    </row>
    <row r="35" spans="1:14" s="277" customFormat="1" ht="14.25" customHeight="1">
      <c r="A35" s="303">
        <v>42229</v>
      </c>
      <c r="B35" s="304" t="s">
        <v>824</v>
      </c>
      <c r="C35" s="305" t="s">
        <v>825</v>
      </c>
      <c r="D35" s="306"/>
      <c r="E35" s="307" t="s">
        <v>827</v>
      </c>
      <c r="F35" s="4">
        <v>171</v>
      </c>
      <c r="G35" s="331" t="s">
        <v>776</v>
      </c>
      <c r="H35" s="308"/>
      <c r="I35" s="5">
        <v>103909128</v>
      </c>
      <c r="J35" s="301"/>
      <c r="K35" s="301"/>
      <c r="L35" s="308"/>
      <c r="M35" s="301"/>
      <c r="N35" s="6">
        <f t="shared" si="0"/>
        <v>103909128</v>
      </c>
    </row>
    <row r="36" spans="1:14" s="277" customFormat="1" ht="14.25" customHeight="1">
      <c r="A36" s="303">
        <v>42230</v>
      </c>
      <c r="B36" s="304" t="s">
        <v>828</v>
      </c>
      <c r="C36" s="305" t="s">
        <v>778</v>
      </c>
      <c r="D36" s="306"/>
      <c r="E36" s="307" t="s">
        <v>829</v>
      </c>
      <c r="F36" s="4">
        <v>230</v>
      </c>
      <c r="G36" s="331" t="s">
        <v>776</v>
      </c>
      <c r="H36" s="308"/>
      <c r="I36" s="5">
        <v>83919611</v>
      </c>
      <c r="J36" s="301"/>
      <c r="K36" s="301"/>
      <c r="L36" s="308"/>
      <c r="M36" s="301"/>
      <c r="N36" s="6">
        <f t="shared" si="0"/>
        <v>83919611</v>
      </c>
    </row>
    <row r="37" spans="1:14" s="277" customFormat="1" ht="18.75" customHeight="1">
      <c r="A37" s="303">
        <v>42230</v>
      </c>
      <c r="B37" s="304" t="s">
        <v>830</v>
      </c>
      <c r="C37" s="305" t="s">
        <v>807</v>
      </c>
      <c r="D37" s="306"/>
      <c r="E37" s="307" t="s">
        <v>831</v>
      </c>
      <c r="F37" s="4">
        <v>244</v>
      </c>
      <c r="G37" s="331" t="s">
        <v>776</v>
      </c>
      <c r="H37" s="308"/>
      <c r="I37" s="5">
        <v>123404769</v>
      </c>
      <c r="J37" s="301"/>
      <c r="K37" s="301"/>
      <c r="L37" s="308"/>
      <c r="M37" s="301"/>
      <c r="N37" s="6">
        <f t="shared" si="0"/>
        <v>123404769</v>
      </c>
    </row>
    <row r="38" spans="1:14" s="277" customFormat="1" ht="14.25" customHeight="1">
      <c r="A38" s="303">
        <v>42230</v>
      </c>
      <c r="B38" s="304" t="s">
        <v>830</v>
      </c>
      <c r="C38" s="305" t="s">
        <v>807</v>
      </c>
      <c r="D38" s="306"/>
      <c r="E38" s="307" t="s">
        <v>832</v>
      </c>
      <c r="F38" s="4">
        <v>178</v>
      </c>
      <c r="G38" s="331" t="s">
        <v>776</v>
      </c>
      <c r="H38" s="308"/>
      <c r="I38" s="5">
        <v>89718899</v>
      </c>
      <c r="J38" s="301"/>
      <c r="K38" s="301"/>
      <c r="L38" s="308"/>
      <c r="M38" s="301"/>
      <c r="N38" s="6">
        <f t="shared" si="0"/>
        <v>89718899</v>
      </c>
    </row>
    <row r="39" spans="1:14" s="277" customFormat="1" ht="14.25" customHeight="1">
      <c r="A39" s="303">
        <v>42236</v>
      </c>
      <c r="B39" s="304" t="s">
        <v>833</v>
      </c>
      <c r="C39" s="305" t="s">
        <v>807</v>
      </c>
      <c r="D39" s="306"/>
      <c r="E39" s="307" t="s">
        <v>834</v>
      </c>
      <c r="F39" s="4">
        <v>253</v>
      </c>
      <c r="G39" s="331" t="s">
        <v>776</v>
      </c>
      <c r="H39" s="308"/>
      <c r="I39" s="5">
        <v>107902807</v>
      </c>
      <c r="J39" s="301"/>
      <c r="K39" s="301"/>
      <c r="L39" s="308"/>
      <c r="M39" s="301"/>
      <c r="N39" s="6">
        <f t="shared" si="0"/>
        <v>107902807</v>
      </c>
    </row>
    <row r="40" spans="1:14" s="277" customFormat="1" ht="14.25" customHeight="1">
      <c r="A40" s="303">
        <v>42237</v>
      </c>
      <c r="B40" s="304" t="s">
        <v>835</v>
      </c>
      <c r="C40" s="305" t="s">
        <v>836</v>
      </c>
      <c r="D40" s="306"/>
      <c r="E40" s="307" t="s">
        <v>837</v>
      </c>
      <c r="F40" s="4">
        <v>17</v>
      </c>
      <c r="G40" s="331" t="s">
        <v>776</v>
      </c>
      <c r="H40" s="308"/>
      <c r="I40" s="5">
        <v>4368609</v>
      </c>
      <c r="J40" s="301"/>
      <c r="K40" s="301"/>
      <c r="L40" s="308"/>
      <c r="M40" s="301"/>
      <c r="N40" s="6">
        <f t="shared" si="0"/>
        <v>4368609</v>
      </c>
    </row>
    <row r="41" spans="1:14" s="277" customFormat="1" ht="14.25" customHeight="1">
      <c r="A41" s="303">
        <v>42237</v>
      </c>
      <c r="B41" s="304" t="s">
        <v>838</v>
      </c>
      <c r="C41" s="305" t="s">
        <v>790</v>
      </c>
      <c r="D41" s="306"/>
      <c r="E41" s="307" t="s">
        <v>839</v>
      </c>
      <c r="F41" s="4">
        <v>200</v>
      </c>
      <c r="G41" s="331" t="s">
        <v>776</v>
      </c>
      <c r="H41" s="308"/>
      <c r="I41" s="5">
        <v>41197900</v>
      </c>
      <c r="J41" s="301"/>
      <c r="K41" s="301"/>
      <c r="L41" s="308"/>
      <c r="M41" s="301"/>
      <c r="N41" s="6">
        <f t="shared" si="0"/>
        <v>41197900</v>
      </c>
    </row>
    <row r="42" spans="1:14" s="277" customFormat="1" ht="14.25" customHeight="1">
      <c r="A42" s="303">
        <v>42237</v>
      </c>
      <c r="B42" s="304" t="s">
        <v>840</v>
      </c>
      <c r="C42" s="305" t="s">
        <v>841</v>
      </c>
      <c r="D42" s="306"/>
      <c r="E42" s="307" t="s">
        <v>842</v>
      </c>
      <c r="F42" s="4">
        <v>250</v>
      </c>
      <c r="G42" s="331" t="s">
        <v>776</v>
      </c>
      <c r="H42" s="308"/>
      <c r="I42" s="5">
        <f>15750*4079</f>
        <v>64244250</v>
      </c>
      <c r="J42" s="301"/>
      <c r="K42" s="301"/>
      <c r="L42" s="308"/>
      <c r="M42" s="301"/>
      <c r="N42" s="6">
        <f t="shared" si="0"/>
        <v>64244250</v>
      </c>
    </row>
    <row r="43" spans="1:14" s="277" customFormat="1" ht="14.25" customHeight="1">
      <c r="A43" s="303">
        <v>42237</v>
      </c>
      <c r="B43" s="304" t="s">
        <v>843</v>
      </c>
      <c r="C43" s="305" t="s">
        <v>844</v>
      </c>
      <c r="D43" s="306"/>
      <c r="E43" s="307" t="s">
        <v>842</v>
      </c>
      <c r="F43" s="4">
        <v>192</v>
      </c>
      <c r="G43" s="331" t="s">
        <v>776</v>
      </c>
      <c r="H43" s="308"/>
      <c r="I43" s="5">
        <v>49339584</v>
      </c>
      <c r="J43" s="301"/>
      <c r="K43" s="301"/>
      <c r="L43" s="308"/>
      <c r="M43" s="301"/>
      <c r="N43" s="6">
        <f t="shared" si="0"/>
        <v>49339584</v>
      </c>
    </row>
    <row r="44" spans="1:14" s="277" customFormat="1" ht="14.25" customHeight="1">
      <c r="A44" s="303">
        <v>42237</v>
      </c>
      <c r="B44" s="304" t="s">
        <v>845</v>
      </c>
      <c r="C44" s="305" t="s">
        <v>790</v>
      </c>
      <c r="D44" s="306"/>
      <c r="E44" s="307" t="s">
        <v>797</v>
      </c>
      <c r="F44" s="4">
        <v>756</v>
      </c>
      <c r="G44" s="331" t="s">
        <v>776</v>
      </c>
      <c r="H44" s="308"/>
      <c r="I44" s="5">
        <v>178378749</v>
      </c>
      <c r="J44" s="301"/>
      <c r="K44" s="301"/>
      <c r="L44" s="308"/>
      <c r="M44" s="301"/>
      <c r="N44" s="6">
        <f t="shared" si="0"/>
        <v>178378749</v>
      </c>
    </row>
    <row r="45" spans="1:14" s="277" customFormat="1" ht="14.25" customHeight="1">
      <c r="A45" s="303">
        <v>42237</v>
      </c>
      <c r="B45" s="304" t="s">
        <v>846</v>
      </c>
      <c r="C45" s="305" t="s">
        <v>778</v>
      </c>
      <c r="D45" s="306"/>
      <c r="E45" s="307" t="s">
        <v>786</v>
      </c>
      <c r="F45" s="4">
        <v>725</v>
      </c>
      <c r="G45" s="331" t="s">
        <v>776</v>
      </c>
      <c r="H45" s="308"/>
      <c r="I45" s="5">
        <v>162100480</v>
      </c>
      <c r="J45" s="301"/>
      <c r="K45" s="301"/>
      <c r="L45" s="308"/>
      <c r="M45" s="301"/>
      <c r="N45" s="6">
        <f t="shared" si="0"/>
        <v>162100480</v>
      </c>
    </row>
    <row r="46" spans="1:14" s="277" customFormat="1" ht="14.25" customHeight="1">
      <c r="A46" s="303">
        <v>42237</v>
      </c>
      <c r="B46" s="304" t="s">
        <v>846</v>
      </c>
      <c r="C46" s="305" t="s">
        <v>778</v>
      </c>
      <c r="D46" s="306"/>
      <c r="E46" s="307" t="s">
        <v>794</v>
      </c>
      <c r="F46" s="4">
        <v>531</v>
      </c>
      <c r="G46" s="331" t="s">
        <v>776</v>
      </c>
      <c r="H46" s="308"/>
      <c r="I46" s="5">
        <v>203679970</v>
      </c>
      <c r="J46" s="301"/>
      <c r="K46" s="301"/>
      <c r="L46" s="308"/>
      <c r="M46" s="301"/>
      <c r="N46" s="6">
        <f t="shared" si="0"/>
        <v>203679970</v>
      </c>
    </row>
    <row r="47" spans="1:14" s="311" customFormat="1" ht="14.25" customHeight="1">
      <c r="A47" s="484">
        <f>M4</f>
        <v>4095</v>
      </c>
      <c r="B47" s="484"/>
      <c r="C47" s="484"/>
      <c r="D47" s="484"/>
      <c r="E47" s="309" t="s">
        <v>847</v>
      </c>
      <c r="F47" s="7"/>
      <c r="G47" s="331"/>
      <c r="H47" s="310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311" customFormat="1" ht="14.25" customHeight="1" thickBot="1">
      <c r="A48" s="485" t="s">
        <v>848</v>
      </c>
      <c r="B48" s="486"/>
      <c r="C48" s="486"/>
      <c r="D48" s="486"/>
      <c r="E48" s="312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315" customFormat="1" ht="15.75" customHeight="1">
      <c r="A49" s="313"/>
      <c r="B49" s="314"/>
      <c r="C49" s="314"/>
      <c r="D49" s="314"/>
      <c r="E49" s="314"/>
      <c r="F49" s="17"/>
      <c r="G49" s="17"/>
      <c r="H49" s="314" t="s">
        <v>849</v>
      </c>
      <c r="I49" s="18" t="s">
        <v>850</v>
      </c>
      <c r="J49" s="314" t="s">
        <v>851</v>
      </c>
      <c r="K49" s="314" t="s">
        <v>852</v>
      </c>
      <c r="L49" s="314" t="s">
        <v>851</v>
      </c>
      <c r="M49" s="314" t="s">
        <v>852</v>
      </c>
      <c r="N49" s="314"/>
    </row>
    <row r="50" spans="1:15" ht="14.25" customHeight="1">
      <c r="A50" s="316"/>
      <c r="B50" s="317"/>
      <c r="C50" s="317"/>
      <c r="D50" s="317"/>
      <c r="E50" s="317"/>
      <c r="F50" s="19"/>
      <c r="G50" s="19"/>
      <c r="H50" s="317"/>
      <c r="I50" s="487" t="s">
        <v>853</v>
      </c>
      <c r="J50" s="487"/>
      <c r="K50" s="487"/>
      <c r="L50" s="487"/>
      <c r="M50" s="487"/>
      <c r="N50" s="487"/>
    </row>
    <row r="51" spans="1:15" ht="19.5" customHeight="1">
      <c r="I51" s="488"/>
      <c r="J51" s="488"/>
      <c r="K51" s="488"/>
      <c r="L51" s="488"/>
      <c r="M51" s="488"/>
      <c r="N51" s="488"/>
      <c r="O51" s="21"/>
    </row>
    <row r="52" spans="1:15" ht="18" hidden="1" customHeight="1">
      <c r="I52" s="320">
        <f>I48*1%</f>
        <v>12759.654327228329</v>
      </c>
      <c r="J52" s="321"/>
      <c r="K52" s="22"/>
      <c r="L52" s="322"/>
      <c r="M52" s="322"/>
    </row>
    <row r="53" spans="1:15" ht="14.25" customHeight="1">
      <c r="I53" s="323"/>
      <c r="J53" s="480"/>
      <c r="K53" s="480"/>
      <c r="L53" s="480"/>
      <c r="M53" s="323"/>
    </row>
    <row r="54" spans="1:15" ht="14.25" customHeight="1">
      <c r="C54" s="23"/>
      <c r="D54" s="324"/>
      <c r="E54" s="324"/>
      <c r="F54" s="24"/>
      <c r="G54" s="24"/>
    </row>
    <row r="55" spans="1:15" ht="14.25" customHeight="1">
      <c r="F55" s="26"/>
      <c r="G55" s="26"/>
      <c r="H55" s="497"/>
      <c r="I55" s="497"/>
      <c r="J55" s="330"/>
    </row>
    <row r="56" spans="1:15" ht="14.25" customHeight="1">
      <c r="C56" s="326"/>
      <c r="D56" s="327"/>
      <c r="E56" s="328"/>
      <c r="F56" s="327"/>
      <c r="G56" s="327"/>
      <c r="H56" s="321"/>
      <c r="I56" s="27"/>
      <c r="J56" s="28"/>
      <c r="K56" s="29"/>
      <c r="L56" s="29"/>
      <c r="O56" s="330"/>
    </row>
    <row r="57" spans="1:15" ht="14.25" customHeight="1">
      <c r="F57" s="26"/>
      <c r="G57" s="26"/>
      <c r="I57" s="30"/>
      <c r="J57" s="31"/>
      <c r="K57" s="31"/>
      <c r="L57" s="311"/>
    </row>
    <row r="58" spans="1:15" ht="14.25" customHeight="1">
      <c r="I58" s="27"/>
      <c r="J58" s="32"/>
      <c r="K58" s="311"/>
      <c r="L58" s="311"/>
    </row>
    <row r="59" spans="1:15" ht="14.25" customHeight="1">
      <c r="I59" s="33"/>
      <c r="J59" s="34"/>
      <c r="K59" s="311"/>
      <c r="L59" s="311"/>
    </row>
    <row r="60" spans="1:15" ht="14.25" customHeight="1">
      <c r="I60" s="481"/>
      <c r="J60" s="481"/>
      <c r="K60" s="311"/>
      <c r="L60" s="311"/>
      <c r="N60" s="329"/>
    </row>
    <row r="61" spans="1:15" ht="14.25" hidden="1" customHeight="1">
      <c r="I61" s="482">
        <f>I48*1%</f>
        <v>12759.654327228329</v>
      </c>
      <c r="J61" s="482"/>
    </row>
    <row r="62" spans="1:15" ht="14.25" customHeight="1">
      <c r="I62" s="29"/>
      <c r="J62" s="311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A47:D47"/>
    <mergeCell ref="A48:D48"/>
    <mergeCell ref="A1:N1"/>
    <mergeCell ref="A2:N2"/>
    <mergeCell ref="A5:I5"/>
    <mergeCell ref="J5:M5"/>
    <mergeCell ref="F6:H6"/>
    <mergeCell ref="J6:M6"/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7</vt:i4>
      </vt:variant>
    </vt:vector>
  </HeadingPairs>
  <TitlesOfParts>
    <vt:vector size="22" baseType="lpstr">
      <vt:lpstr>Company information</vt:lpstr>
      <vt:lpstr>Annex I-IM State Charge</vt:lpstr>
      <vt:lpstr>Annex II-IM Non-State Charge</vt:lpstr>
      <vt:lpstr>AnnexIII-Local Pur</vt:lpstr>
      <vt:lpstr>AnnexIII-Local Pur (2)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'AnnexIII-Local Pur (2)'!Print_Area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2026-02-24T08:19:06Z</dcterms:modified>
</cp:coreProperties>
</file>