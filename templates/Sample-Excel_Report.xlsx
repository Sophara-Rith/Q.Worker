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iiTii\Desktop\AuditCore_DEV\templates\"/>
    </mc:Choice>
  </mc:AlternateContent>
  <xr:revisionPtr revIDLastSave="0" documentId="13_ncr:1_{C1CEF073-4936-4B5F-8919-9AB9939ED31B}" xr6:coauthVersionLast="47" xr6:coauthVersionMax="47" xr10:uidLastSave="{00000000-0000-0000-0000-000000000000}"/>
  <bookViews>
    <workbookView xWindow="-108" yWindow="-108" windowWidth="23256" windowHeight="12456" tabRatio="801" xr2:uid="{00000000-000D-0000-FFFF-FFFF00000000}"/>
  </bookViews>
  <sheets>
    <sheet name="Company information" sheetId="35" r:id="rId1"/>
    <sheet name="Annex I-IM State Charge" sheetId="1" r:id="rId2"/>
    <sheet name="Annex II-IM Non-State Charge" sheetId="33" r:id="rId3"/>
    <sheet name="AnnexIII-Local Pur" sheetId="43" r:id="rId4"/>
    <sheet name="Annex IV-EX" sheetId="5" r:id="rId5"/>
    <sheet name="Annex V-Local Sale" sheetId="34" r:id="rId6"/>
    <sheet name="Taxpaid" sheetId="38" r:id="rId7"/>
    <sheet name="Damco" sheetId="25" state="hidden" r:id="rId8"/>
    <sheet name="Chea Fat" sheetId="27" state="hidden" r:id="rId9"/>
    <sheet name="S G L CAMBODIA" sheetId="28" state="hidden" r:id="rId10"/>
    <sheet name="Sheet3" sheetId="29" state="hidden" r:id="rId11"/>
    <sheet name="Sale - June" sheetId="32" state="hidden" r:id="rId12"/>
    <sheet name="Sale - Jul" sheetId="31" state="hidden" r:id="rId13"/>
    <sheet name="Sale - Aug" sheetId="30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xlnm._FilterDatabase" localSheetId="2" hidden="1">'Annex II-IM Non-State Charge'!$A$9:$K$9</definedName>
    <definedName name="_xlnm._FilterDatabase" localSheetId="1" hidden="1">'Annex I-IM State Charge'!$A$9:$I$9</definedName>
    <definedName name="_xlnm._FilterDatabase" localSheetId="4" hidden="1">'Annex IV-EX'!$A$9:$E$9</definedName>
    <definedName name="_xlnm._FilterDatabase" localSheetId="5" hidden="1">'Annex V-Local Sale'!$A$9:$N$9</definedName>
    <definedName name="_xlnm._FilterDatabase" localSheetId="3" hidden="1">'AnnexIII-Local Pur'!$A$9:$AT$9</definedName>
    <definedName name="_xlnm._FilterDatabase" localSheetId="7" hidden="1">Damco!$B$11:$I$13</definedName>
    <definedName name="_xlnm._FilterDatabase" localSheetId="13" hidden="1">'Sale - Aug'!$A$6:$P$50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_xlnm.Print_Area" localSheetId="2">'Annex II-IM Non-State Charge'!$A$1:$I$10</definedName>
    <definedName name="_xlnm.Print_Area" localSheetId="1">'Annex I-IM State Charge'!$A$1:$H$14</definedName>
    <definedName name="_xlnm.Print_Area" localSheetId="4">'Annex IV-EX'!$A$1:$E$22</definedName>
    <definedName name="_xlnm.Print_Area" localSheetId="5">'Annex V-Local Sale'!$A$1:$H$8</definedName>
    <definedName name="_xlnm.Print_Titles" localSheetId="4">'Annex IV-EX'!$7:$8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4" l="1"/>
  <c r="A6" i="5"/>
  <c r="A6" i="43"/>
  <c r="A6" i="33"/>
  <c r="A6" i="1"/>
  <c r="J6" i="43"/>
  <c r="J5" i="43"/>
  <c r="B5" i="43"/>
  <c r="J4" i="43"/>
  <c r="B4" i="43"/>
  <c r="E6" i="5"/>
  <c r="H6" i="34"/>
  <c r="C4" i="38"/>
  <c r="H5" i="34"/>
  <c r="H4" i="34"/>
  <c r="B5" i="34"/>
  <c r="B4" i="34"/>
  <c r="E5" i="5"/>
  <c r="E4" i="5"/>
  <c r="B5" i="5"/>
  <c r="B4" i="5"/>
  <c r="H5" i="33"/>
  <c r="H4" i="33"/>
  <c r="B5" i="33"/>
  <c r="B4" i="33"/>
  <c r="H5" i="1"/>
  <c r="H4" i="1"/>
  <c r="B5" i="1"/>
  <c r="B4" i="1"/>
  <c r="H6" i="33"/>
  <c r="H6" i="1" l="1"/>
  <c r="I33" i="32" l="1"/>
  <c r="L24" i="32"/>
  <c r="K24" i="32"/>
  <c r="J24" i="32"/>
  <c r="I24" i="32"/>
  <c r="G24" i="32"/>
  <c r="H23" i="32"/>
  <c r="N27" i="32" s="1"/>
  <c r="F23" i="32"/>
  <c r="A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L31" i="31"/>
  <c r="K31" i="31"/>
  <c r="J31" i="31"/>
  <c r="I31" i="31"/>
  <c r="G31" i="31"/>
  <c r="H30" i="31"/>
  <c r="H31" i="31" s="1"/>
  <c r="F30" i="31"/>
  <c r="A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48" i="30"/>
  <c r="L48" i="30"/>
  <c r="K48" i="30"/>
  <c r="J48" i="30"/>
  <c r="H48" i="30"/>
  <c r="A47" i="30"/>
  <c r="N46" i="30"/>
  <c r="N45" i="30"/>
  <c r="N44" i="30"/>
  <c r="N43" i="30"/>
  <c r="I42" i="30"/>
  <c r="N42" i="30" s="1"/>
  <c r="N41" i="30"/>
  <c r="N40" i="30"/>
  <c r="N39" i="30"/>
  <c r="N38" i="30"/>
  <c r="N37" i="30"/>
  <c r="N36" i="30"/>
  <c r="N35" i="30"/>
  <c r="N34" i="30"/>
  <c r="N33" i="30"/>
  <c r="N32" i="30"/>
  <c r="N31" i="30"/>
  <c r="N30" i="30"/>
  <c r="N29" i="30"/>
  <c r="N28" i="30"/>
  <c r="N27" i="30"/>
  <c r="N26" i="30"/>
  <c r="N25" i="30"/>
  <c r="N24" i="30"/>
  <c r="N23" i="30"/>
  <c r="N22" i="30"/>
  <c r="N21" i="30"/>
  <c r="N20" i="30"/>
  <c r="N19" i="30"/>
  <c r="N18" i="30"/>
  <c r="N17" i="30"/>
  <c r="N16" i="30"/>
  <c r="N15" i="30"/>
  <c r="N14" i="30"/>
  <c r="N13" i="30"/>
  <c r="N12" i="30"/>
  <c r="N11" i="30"/>
  <c r="N10" i="30"/>
  <c r="N9" i="30"/>
  <c r="A4" i="25"/>
  <c r="A3" i="25"/>
  <c r="D18" i="25"/>
  <c r="D25" i="25"/>
  <c r="D32" i="25"/>
  <c r="D37" i="25"/>
  <c r="D43" i="25"/>
  <c r="D52" i="25"/>
  <c r="D64" i="25"/>
  <c r="D74" i="25"/>
  <c r="D85" i="25"/>
  <c r="D97" i="25"/>
  <c r="D107" i="25"/>
  <c r="D116" i="25"/>
  <c r="D128" i="25"/>
  <c r="D135" i="25"/>
  <c r="D147" i="25"/>
  <c r="D156" i="25"/>
  <c r="D161" i="25"/>
  <c r="D169" i="25"/>
  <c r="D178" i="25"/>
  <c r="D188" i="25"/>
  <c r="D197" i="25"/>
  <c r="D204" i="25"/>
  <c r="D211" i="25"/>
  <c r="D218" i="25"/>
  <c r="D223" i="25"/>
  <c r="D229" i="25"/>
  <c r="D236" i="25"/>
  <c r="D242" i="25"/>
  <c r="D249" i="25"/>
  <c r="D256" i="25"/>
  <c r="D262" i="25"/>
  <c r="D268" i="25"/>
  <c r="I268" i="25"/>
  <c r="I269" i="25" s="1"/>
  <c r="I262" i="25"/>
  <c r="I263" i="25" s="1"/>
  <c r="I256" i="25"/>
  <c r="I257" i="25" s="1"/>
  <c r="I249" i="25"/>
  <c r="I250" i="25" s="1"/>
  <c r="I242" i="25"/>
  <c r="I243" i="25" s="1"/>
  <c r="I236" i="25"/>
  <c r="I237" i="25" s="1"/>
  <c r="I229" i="25"/>
  <c r="I230" i="25" s="1"/>
  <c r="I223" i="25"/>
  <c r="I224" i="25" s="1"/>
  <c r="I218" i="25"/>
  <c r="I219" i="25" s="1"/>
  <c r="I211" i="25"/>
  <c r="I212" i="25" s="1"/>
  <c r="I204" i="25"/>
  <c r="I205" i="25" s="1"/>
  <c r="I197" i="25"/>
  <c r="I198" i="25" s="1"/>
  <c r="I188" i="25"/>
  <c r="I189" i="25" s="1"/>
  <c r="I178" i="25"/>
  <c r="I179" i="25" s="1"/>
  <c r="I169" i="25"/>
  <c r="I170" i="25" s="1"/>
  <c r="I161" i="25"/>
  <c r="I162" i="25" s="1"/>
  <c r="I156" i="25"/>
  <c r="I157" i="25" s="1"/>
  <c r="I147" i="25"/>
  <c r="I148" i="25" s="1"/>
  <c r="I135" i="25"/>
  <c r="I136" i="25" s="1"/>
  <c r="I128" i="25"/>
  <c r="I129" i="25" s="1"/>
  <c r="I116" i="25"/>
  <c r="I117" i="25" s="1"/>
  <c r="I107" i="25"/>
  <c r="I108" i="25" s="1"/>
  <c r="I97" i="25"/>
  <c r="I98" i="25" s="1"/>
  <c r="I85" i="25"/>
  <c r="I86" i="25" s="1"/>
  <c r="I74" i="25"/>
  <c r="I75" i="25" s="1"/>
  <c r="I64" i="25"/>
  <c r="I65" i="25" s="1"/>
  <c r="I52" i="25"/>
  <c r="I53" i="25" s="1"/>
  <c r="I43" i="25"/>
  <c r="I44" i="25" s="1"/>
  <c r="I37" i="25"/>
  <c r="I38" i="25" s="1"/>
  <c r="I32" i="25"/>
  <c r="I33" i="25" s="1"/>
  <c r="I25" i="25"/>
  <c r="I26" i="25" s="1"/>
  <c r="I18" i="25"/>
  <c r="I19" i="25" s="1"/>
  <c r="I459" i="28"/>
  <c r="D459" i="28"/>
  <c r="D41" i="27"/>
  <c r="I41" i="27"/>
  <c r="H30" i="32" l="1"/>
  <c r="M30" i="31"/>
  <c r="M31" i="31" s="1"/>
  <c r="M23" i="32"/>
  <c r="M24" i="32" s="1"/>
  <c r="I271" i="25"/>
  <c r="H44" i="31"/>
  <c r="H35" i="31"/>
  <c r="I270" i="25"/>
  <c r="I47" i="30"/>
  <c r="H32" i="32"/>
  <c r="N47" i="30"/>
  <c r="N48" i="30" s="1"/>
  <c r="H24" i="32"/>
  <c r="I48" i="30" l="1"/>
  <c r="H31" i="32"/>
  <c r="H33" i="32" s="1"/>
  <c r="H28" i="32"/>
  <c r="H37" i="32"/>
  <c r="I52" i="30" l="1"/>
  <c r="I61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3" authorId="0" shapeId="0" xr:uid="{00000000-0006-0000-0F00-000001000000}">
      <text>
        <r>
          <rPr>
            <b/>
            <sz val="8"/>
            <color indexed="81"/>
            <rFont val="Tahoma"/>
            <family val="2"/>
          </rPr>
          <t>Leno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3" authorId="0" shapeId="0" xr:uid="{00000000-0006-0000-1000-000001000000}">
      <text>
        <r>
          <rPr>
            <b/>
            <sz val="8"/>
            <color indexed="81"/>
            <rFont val="Tahoma"/>
            <family val="2"/>
          </rPr>
          <t>Leno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L3" authorId="0" shapeId="0" xr:uid="{00000000-0006-0000-1100-000001000000}">
      <text>
        <r>
          <rPr>
            <b/>
            <sz val="8"/>
            <color indexed="81"/>
            <rFont val="Tahoma"/>
            <family val="2"/>
          </rPr>
          <t>Leno</t>
        </r>
      </text>
    </comment>
  </commentList>
</comments>
</file>

<file path=xl/sharedStrings.xml><?xml version="1.0" encoding="utf-8"?>
<sst xmlns="http://schemas.openxmlformats.org/spreadsheetml/2006/main" count="3717" uniqueCount="1055">
  <si>
    <t>USD</t>
  </si>
  <si>
    <t>RIEL</t>
  </si>
  <si>
    <t>ល.រ</t>
  </si>
  <si>
    <t>ប្រាក់អាករ</t>
  </si>
  <si>
    <t>សហគ្រាស</t>
  </si>
  <si>
    <t>អ្នកផ្គត់ផ្គង់</t>
  </si>
  <si>
    <t>លេខ</t>
  </si>
  <si>
    <t>ចុះថ្ងៃទី ខែ ឆ្នាំ</t>
  </si>
  <si>
    <t>( ការនាំចូលជាបន្ទុករបស់រដ្ឋ )</t>
  </si>
  <si>
    <t>បង្កាន់ដៃទទួលប្រាក់</t>
  </si>
  <si>
    <t>តារាងឧបសម្ព័ន្ឋ</t>
  </si>
  <si>
    <t>ក្រុមហ៊ុនស្នើសុំបង្វិលសង</t>
  </si>
  <si>
    <t>វិក័យបត្រ័</t>
  </si>
  <si>
    <t>ថ្ងៃទី ខែ ឆ្នាំ</t>
  </si>
  <si>
    <t>លេខអតប</t>
  </si>
  <si>
    <t>ផ្សេងៗ</t>
  </si>
  <si>
    <t>តារាងប្រៀធៀបវិក្ក័យប័ត្រស្នើសុំបង្វិលសងអាករលើតំលៃបន្ថែម  ( Cross checking )</t>
  </si>
  <si>
    <t>Total 07/2013</t>
  </si>
  <si>
    <t>Total 06/2013</t>
  </si>
  <si>
    <t>Total 05/2013</t>
  </si>
  <si>
    <t>Total 04/2013</t>
  </si>
  <si>
    <t>Total 08/2013</t>
  </si>
  <si>
    <t>Total 09/2013</t>
  </si>
  <si>
    <t>Total 10/2013</t>
  </si>
  <si>
    <t>Total 11/2013</t>
  </si>
  <si>
    <t>Total 12/2013</t>
  </si>
  <si>
    <t>Total 01/2014</t>
  </si>
  <si>
    <t>Total 11/2012</t>
  </si>
  <si>
    <t>Total 07/2012</t>
  </si>
  <si>
    <t>Total 08/2012</t>
  </si>
  <si>
    <t>Total 09/2012</t>
  </si>
  <si>
    <t>Total 10/2012</t>
  </si>
  <si>
    <t>Total 12/2012</t>
  </si>
  <si>
    <t>Total 01/2013</t>
  </si>
  <si>
    <t>Total 02/2013</t>
  </si>
  <si>
    <t>Total 03/2013</t>
  </si>
  <si>
    <t>Total 02/2014</t>
  </si>
  <si>
    <t>Total 03/2014</t>
  </si>
  <si>
    <t>Total 04/2014</t>
  </si>
  <si>
    <t>Total 05/2014</t>
  </si>
  <si>
    <t>Total 06/2014</t>
  </si>
  <si>
    <t>Total 07/2014</t>
  </si>
  <si>
    <t>Total 08/2014</t>
  </si>
  <si>
    <t>Total 09/2014</t>
  </si>
  <si>
    <t>Total 10/2014</t>
  </si>
  <si>
    <t>Total 11/2014</t>
  </si>
  <si>
    <t>Total 12/2014</t>
  </si>
  <si>
    <t>Total 01/2015</t>
  </si>
  <si>
    <t>Total 02/2015</t>
  </si>
  <si>
    <t>VAT TIN  : 1 0 0 0 5 2 9 6 7</t>
  </si>
  <si>
    <t>A P L Logistics</t>
  </si>
  <si>
    <t>S G L CAMBODIA</t>
  </si>
  <si>
    <t>100046460</t>
  </si>
  <si>
    <t>100119816</t>
  </si>
  <si>
    <t>030209</t>
  </si>
  <si>
    <t>227231</t>
  </si>
  <si>
    <t>227288</t>
  </si>
  <si>
    <t>030231</t>
  </si>
  <si>
    <t>030241</t>
  </si>
  <si>
    <t>030262</t>
  </si>
  <si>
    <t>227430</t>
  </si>
  <si>
    <t>227461</t>
  </si>
  <si>
    <t>227539</t>
  </si>
  <si>
    <t>227543</t>
  </si>
  <si>
    <t>227552</t>
  </si>
  <si>
    <t>030302</t>
  </si>
  <si>
    <t>030328</t>
  </si>
  <si>
    <t>030343</t>
  </si>
  <si>
    <t>030353</t>
  </si>
  <si>
    <t>227583</t>
  </si>
  <si>
    <t>227586</t>
  </si>
  <si>
    <t>227605</t>
  </si>
  <si>
    <t>030450</t>
  </si>
  <si>
    <t>030469</t>
  </si>
  <si>
    <t>227826</t>
  </si>
  <si>
    <t>227862</t>
  </si>
  <si>
    <t>029920</t>
  </si>
  <si>
    <t>029981</t>
  </si>
  <si>
    <t>030003</t>
  </si>
  <si>
    <t>226904</t>
  </si>
  <si>
    <t>030044</t>
  </si>
  <si>
    <t>030062</t>
  </si>
  <si>
    <t>227107</t>
  </si>
  <si>
    <t>029638</t>
  </si>
  <si>
    <t>029716</t>
  </si>
  <si>
    <t>226301</t>
  </si>
  <si>
    <t>226324</t>
  </si>
  <si>
    <t>226428</t>
  </si>
  <si>
    <t>226446</t>
  </si>
  <si>
    <t>029766</t>
  </si>
  <si>
    <t>226552</t>
  </si>
  <si>
    <t>029816</t>
  </si>
  <si>
    <t>226571</t>
  </si>
  <si>
    <t>029869</t>
  </si>
  <si>
    <t>226648</t>
  </si>
  <si>
    <t>226720</t>
  </si>
  <si>
    <t>225606</t>
  </si>
  <si>
    <t>029426</t>
  </si>
  <si>
    <t>225707</t>
  </si>
  <si>
    <t>225805</t>
  </si>
  <si>
    <t>029501</t>
  </si>
  <si>
    <t>225895</t>
  </si>
  <si>
    <t>225929</t>
  </si>
  <si>
    <t>029565</t>
  </si>
  <si>
    <t>226064</t>
  </si>
  <si>
    <t>226090</t>
  </si>
  <si>
    <t>226161</t>
  </si>
  <si>
    <t>226168</t>
  </si>
  <si>
    <t>226176</t>
  </si>
  <si>
    <t>029026</t>
  </si>
  <si>
    <t>224986</t>
  </si>
  <si>
    <t>029107</t>
  </si>
  <si>
    <t>225135</t>
  </si>
  <si>
    <t>029223</t>
  </si>
  <si>
    <t>225313</t>
  </si>
  <si>
    <t>029278</t>
  </si>
  <si>
    <t>028640</t>
  </si>
  <si>
    <t>028709</t>
  </si>
  <si>
    <t>224307</t>
  </si>
  <si>
    <t>224464</t>
  </si>
  <si>
    <t>028809</t>
  </si>
  <si>
    <t>224506</t>
  </si>
  <si>
    <t>028874</t>
  </si>
  <si>
    <t>224593</t>
  </si>
  <si>
    <t>224600</t>
  </si>
  <si>
    <t>028550</t>
  </si>
  <si>
    <t>028948</t>
  </si>
  <si>
    <t>028961</t>
  </si>
  <si>
    <t>224808</t>
  </si>
  <si>
    <t>030377</t>
  </si>
  <si>
    <t>030407</t>
  </si>
  <si>
    <t>227722</t>
  </si>
  <si>
    <t>227769</t>
  </si>
  <si>
    <t>328007</t>
  </si>
  <si>
    <t>030516</t>
  </si>
  <si>
    <t>030532</t>
  </si>
  <si>
    <t>327989</t>
  </si>
  <si>
    <t>328028</t>
  </si>
  <si>
    <t>030562</t>
  </si>
  <si>
    <t>030586</t>
  </si>
  <si>
    <t>030614</t>
  </si>
  <si>
    <t>030638</t>
  </si>
  <si>
    <t>328148</t>
  </si>
  <si>
    <t>328162</t>
  </si>
  <si>
    <t>328177</t>
  </si>
  <si>
    <t>328264</t>
  </si>
  <si>
    <t>328305</t>
  </si>
  <si>
    <t>030758</t>
  </si>
  <si>
    <t>030848</t>
  </si>
  <si>
    <t>328387</t>
  </si>
  <si>
    <t>328423</t>
  </si>
  <si>
    <t>328441</t>
  </si>
  <si>
    <t>328460</t>
  </si>
  <si>
    <t>328477</t>
  </si>
  <si>
    <t>328529</t>
  </si>
  <si>
    <t>328576</t>
  </si>
  <si>
    <t>328574</t>
  </si>
  <si>
    <t>030891</t>
  </si>
  <si>
    <t>030911</t>
  </si>
  <si>
    <t>328588</t>
  </si>
  <si>
    <t>328598</t>
  </si>
  <si>
    <t>328600</t>
  </si>
  <si>
    <t>030965</t>
  </si>
  <si>
    <t>030999</t>
  </si>
  <si>
    <t>031026</t>
  </si>
  <si>
    <t>328657</t>
  </si>
  <si>
    <t>031069</t>
  </si>
  <si>
    <t>328732</t>
  </si>
  <si>
    <t>328734</t>
  </si>
  <si>
    <t>328784</t>
  </si>
  <si>
    <t>328788</t>
  </si>
  <si>
    <t>031108</t>
  </si>
  <si>
    <t>328859</t>
  </si>
  <si>
    <t>328868</t>
  </si>
  <si>
    <t>328869</t>
  </si>
  <si>
    <t>031138</t>
  </si>
  <si>
    <t>100046460</t>
    <phoneticPr fontId="7" type="noConversion"/>
  </si>
  <si>
    <t>APL Logistics</t>
    <phoneticPr fontId="7" type="noConversion"/>
  </si>
  <si>
    <t>031210</t>
  </si>
  <si>
    <t>031195</t>
  </si>
  <si>
    <t>328936</t>
  </si>
  <si>
    <t>031383</t>
  </si>
  <si>
    <t>329060</t>
  </si>
  <si>
    <t>329063</t>
  </si>
  <si>
    <t>329096</t>
  </si>
  <si>
    <t>329125</t>
  </si>
  <si>
    <t>329189</t>
  </si>
  <si>
    <t>329198</t>
  </si>
  <si>
    <t>329219</t>
  </si>
  <si>
    <t>031507</t>
  </si>
  <si>
    <t>031511</t>
  </si>
  <si>
    <t>329291</t>
  </si>
  <si>
    <t>329298</t>
  </si>
  <si>
    <t>329324</t>
  </si>
  <si>
    <t>031543</t>
  </si>
  <si>
    <t>329343</t>
  </si>
  <si>
    <t>329402</t>
  </si>
  <si>
    <t>329412</t>
  </si>
  <si>
    <t>329475</t>
  </si>
  <si>
    <t>329496</t>
  </si>
  <si>
    <t>031616</t>
  </si>
  <si>
    <t>031641</t>
  </si>
  <si>
    <t>329566</t>
  </si>
  <si>
    <t>031704</t>
  </si>
  <si>
    <t>031730</t>
  </si>
  <si>
    <t>329619</t>
  </si>
  <si>
    <t>329636</t>
  </si>
  <si>
    <t>329651</t>
  </si>
  <si>
    <t>031771</t>
  </si>
  <si>
    <t>329721</t>
  </si>
  <si>
    <t>329736</t>
  </si>
  <si>
    <t>329771</t>
  </si>
  <si>
    <t>329776</t>
  </si>
  <si>
    <t>329862</t>
  </si>
  <si>
    <t>329920</t>
  </si>
  <si>
    <t>329971</t>
  </si>
  <si>
    <t>329990</t>
  </si>
  <si>
    <t>031922</t>
  </si>
  <si>
    <t>330012</t>
  </si>
  <si>
    <t>330060</t>
  </si>
  <si>
    <t>031984</t>
  </si>
  <si>
    <t>032002</t>
  </si>
  <si>
    <t>330114</t>
  </si>
  <si>
    <t>330144</t>
  </si>
  <si>
    <t>330173</t>
  </si>
  <si>
    <t>330233</t>
  </si>
  <si>
    <t>330280</t>
  </si>
  <si>
    <t>330312</t>
  </si>
  <si>
    <t>330339</t>
  </si>
  <si>
    <t>330340</t>
  </si>
  <si>
    <t>330341</t>
  </si>
  <si>
    <t>330342</t>
  </si>
  <si>
    <t>330343</t>
  </si>
  <si>
    <t>133028</t>
    <phoneticPr fontId="7" type="noConversion"/>
  </si>
  <si>
    <t>032152</t>
  </si>
  <si>
    <t>032159</t>
  </si>
  <si>
    <t>330476</t>
  </si>
  <si>
    <t>330493</t>
  </si>
  <si>
    <t>330508</t>
  </si>
  <si>
    <t>032216</t>
  </si>
  <si>
    <t>330588</t>
  </si>
  <si>
    <t>APL Logistics</t>
  </si>
  <si>
    <t>032272</t>
  </si>
  <si>
    <t>330674</t>
  </si>
  <si>
    <t>330735</t>
  </si>
  <si>
    <t>032326</t>
  </si>
  <si>
    <t>032351</t>
  </si>
  <si>
    <t>330887</t>
  </si>
  <si>
    <t>032452</t>
  </si>
  <si>
    <t>330995</t>
  </si>
  <si>
    <t>331072</t>
  </si>
  <si>
    <t>331092</t>
  </si>
  <si>
    <t>032586</t>
  </si>
  <si>
    <t>331262</t>
  </si>
  <si>
    <t>331300</t>
  </si>
  <si>
    <t>331366</t>
  </si>
  <si>
    <t>032516</t>
  </si>
  <si>
    <t>032535</t>
  </si>
  <si>
    <t>331152</t>
  </si>
  <si>
    <t>331161</t>
  </si>
  <si>
    <t>331205</t>
  </si>
  <si>
    <t>032583</t>
  </si>
  <si>
    <t>032640</t>
  </si>
  <si>
    <t>032680</t>
  </si>
  <si>
    <t>032710</t>
  </si>
  <si>
    <t>331457</t>
  </si>
  <si>
    <t>331512</t>
  </si>
  <si>
    <t>331515</t>
  </si>
  <si>
    <t>331530</t>
  </si>
  <si>
    <t>331554</t>
  </si>
  <si>
    <t>331577</t>
  </si>
  <si>
    <t>331592</t>
  </si>
  <si>
    <t>331607</t>
  </si>
  <si>
    <t>032794</t>
  </si>
  <si>
    <t>032763</t>
  </si>
  <si>
    <t>331711</t>
  </si>
  <si>
    <t>331720</t>
  </si>
  <si>
    <t>331722</t>
  </si>
  <si>
    <t>331728</t>
  </si>
  <si>
    <t>331731</t>
  </si>
  <si>
    <t>331738</t>
  </si>
  <si>
    <t>331750</t>
  </si>
  <si>
    <t>331843</t>
  </si>
  <si>
    <t>032848</t>
  </si>
  <si>
    <t>032889</t>
  </si>
  <si>
    <t>331877</t>
  </si>
  <si>
    <t>331884</t>
  </si>
  <si>
    <t>331986</t>
  </si>
  <si>
    <t>331993</t>
  </si>
  <si>
    <t>032936</t>
  </si>
  <si>
    <t>032958</t>
  </si>
  <si>
    <t>332045</t>
  </si>
  <si>
    <t>033068</t>
  </si>
  <si>
    <t>332112</t>
  </si>
  <si>
    <t>332140</t>
  </si>
  <si>
    <t>332188</t>
  </si>
  <si>
    <t>332194</t>
  </si>
  <si>
    <t>332202</t>
  </si>
  <si>
    <t>332221</t>
  </si>
  <si>
    <t>033152</t>
  </si>
  <si>
    <t>332347</t>
  </si>
  <si>
    <t>332372</t>
  </si>
  <si>
    <t>332400</t>
  </si>
  <si>
    <t>332409</t>
  </si>
  <si>
    <t>033217</t>
  </si>
  <si>
    <t>033255</t>
  </si>
  <si>
    <t>332503</t>
  </si>
  <si>
    <t>332504</t>
  </si>
  <si>
    <t>332506</t>
  </si>
  <si>
    <t>332527</t>
  </si>
  <si>
    <t>332539</t>
  </si>
  <si>
    <t>033347</t>
  </si>
  <si>
    <t>332635</t>
  </si>
  <si>
    <t>332640</t>
  </si>
  <si>
    <t>332688</t>
  </si>
  <si>
    <t>332748</t>
  </si>
  <si>
    <t>033394</t>
  </si>
  <si>
    <t>033429</t>
  </si>
  <si>
    <t>033436</t>
  </si>
  <si>
    <t>033513</t>
  </si>
  <si>
    <t>332794</t>
  </si>
  <si>
    <t>332803</t>
  </si>
  <si>
    <t>332805</t>
  </si>
  <si>
    <t>033565</t>
  </si>
  <si>
    <t>332880</t>
  </si>
  <si>
    <t>332907</t>
  </si>
  <si>
    <t>332919</t>
  </si>
  <si>
    <t>332967</t>
  </si>
  <si>
    <t>332988</t>
  </si>
  <si>
    <t>333011</t>
  </si>
  <si>
    <t>333013</t>
  </si>
  <si>
    <t>333040</t>
  </si>
  <si>
    <t>333059</t>
  </si>
  <si>
    <t>033633</t>
  </si>
  <si>
    <t>033648</t>
  </si>
  <si>
    <t>333103</t>
  </si>
  <si>
    <t>333134</t>
  </si>
  <si>
    <t>333167</t>
  </si>
  <si>
    <t>333184</t>
  </si>
  <si>
    <t>333196</t>
  </si>
  <si>
    <t>033709</t>
  </si>
  <si>
    <t>033755</t>
  </si>
  <si>
    <t>333287</t>
  </si>
  <si>
    <t>333299</t>
  </si>
  <si>
    <t>333317</t>
  </si>
  <si>
    <t>333408</t>
  </si>
  <si>
    <t>333448</t>
  </si>
  <si>
    <t>333469</t>
  </si>
  <si>
    <t>333478</t>
  </si>
  <si>
    <t>033795</t>
  </si>
  <si>
    <t>033906</t>
  </si>
  <si>
    <t>333537</t>
  </si>
  <si>
    <t>333554</t>
  </si>
  <si>
    <t>333581</t>
  </si>
  <si>
    <t>333605</t>
  </si>
  <si>
    <t>333646</t>
  </si>
  <si>
    <t>333653</t>
  </si>
  <si>
    <t>333664</t>
  </si>
  <si>
    <t>034006</t>
  </si>
  <si>
    <t>034039</t>
  </si>
  <si>
    <t>333724</t>
  </si>
  <si>
    <t>333761</t>
  </si>
  <si>
    <t>333765</t>
  </si>
  <si>
    <t>333785</t>
  </si>
  <si>
    <t>333864</t>
  </si>
  <si>
    <t>333876</t>
  </si>
  <si>
    <t>333840</t>
  </si>
  <si>
    <t>034089</t>
  </si>
  <si>
    <t>034079</t>
  </si>
  <si>
    <t>333913</t>
  </si>
  <si>
    <t>333966</t>
  </si>
  <si>
    <t>333977</t>
  </si>
  <si>
    <t>334000</t>
  </si>
  <si>
    <t>334011</t>
  </si>
  <si>
    <t>334024</t>
  </si>
  <si>
    <t>034154</t>
  </si>
  <si>
    <t>034191</t>
  </si>
  <si>
    <t>034384</t>
  </si>
  <si>
    <t>034245</t>
  </si>
  <si>
    <t>334122</t>
  </si>
  <si>
    <t>334156</t>
  </si>
  <si>
    <t>334172</t>
  </si>
  <si>
    <t>334188</t>
  </si>
  <si>
    <t>334259</t>
  </si>
  <si>
    <t>334307</t>
  </si>
  <si>
    <t>334407</t>
  </si>
  <si>
    <t>034522</t>
  </si>
  <si>
    <t>YUSEN LOGISTICS</t>
  </si>
  <si>
    <t>104015799</t>
  </si>
  <si>
    <t>034594</t>
  </si>
  <si>
    <t>334626</t>
  </si>
  <si>
    <t>334645</t>
  </si>
  <si>
    <t>034673</t>
  </si>
  <si>
    <t>034694</t>
  </si>
  <si>
    <t>334754</t>
  </si>
  <si>
    <t>334781</t>
  </si>
  <si>
    <t>334788</t>
  </si>
  <si>
    <t>334825</t>
  </si>
  <si>
    <t>334848</t>
  </si>
  <si>
    <t>334863</t>
  </si>
  <si>
    <t>2-00309</t>
  </si>
  <si>
    <t>034759</t>
  </si>
  <si>
    <t>334964</t>
  </si>
  <si>
    <t>335005</t>
  </si>
  <si>
    <t>335038</t>
  </si>
  <si>
    <t>335047</t>
  </si>
  <si>
    <t>335140</t>
  </si>
  <si>
    <t>335150</t>
  </si>
  <si>
    <t>034869</t>
  </si>
  <si>
    <t>335240</t>
  </si>
  <si>
    <t>335266</t>
  </si>
  <si>
    <t>335277</t>
  </si>
  <si>
    <t>335286</t>
  </si>
  <si>
    <t>034977</t>
  </si>
  <si>
    <t>035047</t>
  </si>
  <si>
    <t>035051</t>
  </si>
  <si>
    <t>435384</t>
  </si>
  <si>
    <t>435413</t>
  </si>
  <si>
    <t>035072</t>
  </si>
  <si>
    <t>035123</t>
  </si>
  <si>
    <t>035142</t>
  </si>
  <si>
    <t>435499</t>
  </si>
  <si>
    <t>435525</t>
  </si>
  <si>
    <t>435556</t>
  </si>
  <si>
    <t>435566</t>
  </si>
  <si>
    <t>435575</t>
  </si>
  <si>
    <t>435587</t>
  </si>
  <si>
    <t>035202</t>
  </si>
  <si>
    <t>435667</t>
  </si>
  <si>
    <t>435675</t>
  </si>
  <si>
    <t>435689</t>
  </si>
  <si>
    <t>435705</t>
  </si>
  <si>
    <t>435744</t>
  </si>
  <si>
    <t>435755</t>
  </si>
  <si>
    <t>435775</t>
  </si>
  <si>
    <t>035288</t>
  </si>
  <si>
    <t>435858</t>
  </si>
  <si>
    <t>435932</t>
  </si>
  <si>
    <t>035414</t>
  </si>
  <si>
    <t>435981</t>
  </si>
  <si>
    <t>435993</t>
  </si>
  <si>
    <t>436004</t>
  </si>
  <si>
    <t>436039</t>
  </si>
  <si>
    <t>436080</t>
  </si>
  <si>
    <t>035500</t>
  </si>
  <si>
    <t>436196</t>
  </si>
  <si>
    <t>436200</t>
  </si>
  <si>
    <t>436256</t>
  </si>
  <si>
    <t>022361</t>
  </si>
  <si>
    <t>035593</t>
  </si>
  <si>
    <t>436318</t>
  </si>
  <si>
    <t>436335</t>
  </si>
  <si>
    <t>436360</t>
  </si>
  <si>
    <t>436368</t>
  </si>
  <si>
    <t>436384</t>
  </si>
  <si>
    <t>022391</t>
  </si>
  <si>
    <t>035652</t>
  </si>
  <si>
    <t>022434</t>
  </si>
  <si>
    <t>035707</t>
  </si>
  <si>
    <t>436469</t>
  </si>
  <si>
    <t>436480</t>
  </si>
  <si>
    <t>436485</t>
  </si>
  <si>
    <t>035782</t>
  </si>
  <si>
    <t>436616</t>
  </si>
  <si>
    <t>022600</t>
  </si>
  <si>
    <t>035899</t>
  </si>
  <si>
    <t>436710</t>
  </si>
  <si>
    <t>436771</t>
  </si>
  <si>
    <t>436775</t>
  </si>
  <si>
    <t>436789</t>
  </si>
  <si>
    <t>436793</t>
  </si>
  <si>
    <t>436816</t>
  </si>
  <si>
    <t>436818</t>
  </si>
  <si>
    <t>436834</t>
  </si>
  <si>
    <t>035977</t>
  </si>
  <si>
    <t>436905</t>
  </si>
  <si>
    <t>436930</t>
  </si>
  <si>
    <t>436943</t>
  </si>
  <si>
    <t>436954</t>
  </si>
  <si>
    <t>036016</t>
  </si>
  <si>
    <t>036053</t>
  </si>
  <si>
    <t>437034</t>
  </si>
  <si>
    <t>038580</t>
  </si>
  <si>
    <t>437150</t>
  </si>
  <si>
    <t>437185</t>
  </si>
  <si>
    <t>437208</t>
  </si>
  <si>
    <t>036145</t>
  </si>
  <si>
    <t>036212</t>
  </si>
  <si>
    <t>036240</t>
  </si>
  <si>
    <t>437311</t>
  </si>
  <si>
    <t>437321</t>
  </si>
  <si>
    <t>437376</t>
  </si>
  <si>
    <t>437390</t>
  </si>
  <si>
    <t>437401</t>
  </si>
  <si>
    <t>437450</t>
  </si>
  <si>
    <t>036337</t>
  </si>
  <si>
    <t>437471</t>
  </si>
  <si>
    <t>437511</t>
  </si>
  <si>
    <t>437519</t>
  </si>
  <si>
    <t>437530</t>
  </si>
  <si>
    <t>437552</t>
  </si>
  <si>
    <t>437588</t>
  </si>
  <si>
    <t>036410</t>
  </si>
  <si>
    <t>437613</t>
  </si>
  <si>
    <t>437619</t>
  </si>
  <si>
    <t>437625</t>
  </si>
  <si>
    <t>437640</t>
  </si>
  <si>
    <t>437731</t>
  </si>
  <si>
    <t>437734</t>
  </si>
  <si>
    <t>036463</t>
  </si>
  <si>
    <t>437766</t>
  </si>
  <si>
    <t>437790</t>
  </si>
  <si>
    <t>036541</t>
  </si>
  <si>
    <t>437859</t>
  </si>
  <si>
    <t>437911</t>
  </si>
  <si>
    <t>449556</t>
  </si>
  <si>
    <t>437956</t>
  </si>
  <si>
    <t>438072</t>
  </si>
  <si>
    <t>438047</t>
  </si>
  <si>
    <t>438111</t>
  </si>
  <si>
    <t>036630</t>
  </si>
  <si>
    <t>438105</t>
  </si>
  <si>
    <t>036696</t>
  </si>
  <si>
    <t>438175</t>
  </si>
  <si>
    <t>438204</t>
  </si>
  <si>
    <t>438229</t>
  </si>
  <si>
    <t>023316</t>
  </si>
  <si>
    <t>036771</t>
  </si>
  <si>
    <t>438300</t>
  </si>
  <si>
    <t>036857</t>
  </si>
  <si>
    <t>438410</t>
  </si>
  <si>
    <t>438441</t>
  </si>
  <si>
    <t>438454</t>
  </si>
  <si>
    <t>036925</t>
  </si>
  <si>
    <t>438563</t>
  </si>
  <si>
    <t>438588</t>
  </si>
  <si>
    <t>438599</t>
  </si>
  <si>
    <t>438628</t>
  </si>
  <si>
    <t>438639</t>
  </si>
  <si>
    <t>438661</t>
  </si>
  <si>
    <t>438681</t>
  </si>
  <si>
    <t>037006</t>
  </si>
  <si>
    <t>438820</t>
  </si>
  <si>
    <t>438839</t>
  </si>
  <si>
    <t>438852</t>
  </si>
  <si>
    <t>438870</t>
  </si>
  <si>
    <t>438882</t>
  </si>
  <si>
    <t>438890</t>
  </si>
  <si>
    <t>438944</t>
  </si>
  <si>
    <t>438952</t>
  </si>
  <si>
    <t>438982</t>
  </si>
  <si>
    <t>037083</t>
  </si>
  <si>
    <t>439055</t>
  </si>
  <si>
    <t>439139</t>
  </si>
  <si>
    <t>439185</t>
  </si>
  <si>
    <t>037179</t>
  </si>
  <si>
    <t>037253</t>
  </si>
  <si>
    <t>439416</t>
  </si>
  <si>
    <t>439444</t>
  </si>
  <si>
    <t>439445</t>
  </si>
  <si>
    <t>037358</t>
  </si>
  <si>
    <t>439613</t>
  </si>
  <si>
    <t>439621</t>
  </si>
  <si>
    <t>439627</t>
  </si>
  <si>
    <t>439695</t>
  </si>
  <si>
    <t>439710</t>
  </si>
  <si>
    <t>439711</t>
  </si>
  <si>
    <t>07-0360</t>
  </si>
  <si>
    <t>07-0367</t>
  </si>
  <si>
    <t>07-0368</t>
  </si>
  <si>
    <t>439791</t>
  </si>
  <si>
    <t>1439974</t>
  </si>
  <si>
    <t>037520</t>
  </si>
  <si>
    <t>07-0517</t>
  </si>
  <si>
    <t>037611</t>
  </si>
  <si>
    <t>08-0039</t>
  </si>
  <si>
    <t>08-0044</t>
  </si>
  <si>
    <t>440141</t>
  </si>
  <si>
    <t>440142</t>
  </si>
  <si>
    <t>440161</t>
  </si>
  <si>
    <t>440185</t>
  </si>
  <si>
    <t>440222</t>
  </si>
  <si>
    <t>440290</t>
  </si>
  <si>
    <t>440321</t>
  </si>
  <si>
    <t>037694</t>
  </si>
  <si>
    <t>440400</t>
  </si>
  <si>
    <t>440465</t>
  </si>
  <si>
    <t>440471</t>
  </si>
  <si>
    <t>440477</t>
  </si>
  <si>
    <t>440491</t>
  </si>
  <si>
    <t>440499</t>
  </si>
  <si>
    <t>08-0185</t>
  </si>
  <si>
    <t>037777</t>
  </si>
  <si>
    <t>440574</t>
  </si>
  <si>
    <t>440583</t>
  </si>
  <si>
    <t>440684</t>
  </si>
  <si>
    <t>440697</t>
  </si>
  <si>
    <t>440731</t>
  </si>
  <si>
    <t>440732</t>
  </si>
  <si>
    <t>037841</t>
  </si>
  <si>
    <t>440769</t>
  </si>
  <si>
    <t>440797</t>
  </si>
  <si>
    <t>440865</t>
  </si>
  <si>
    <t>440867</t>
  </si>
  <si>
    <t>440869</t>
  </si>
  <si>
    <t>440881</t>
  </si>
  <si>
    <t>08-0677</t>
  </si>
  <si>
    <t>08-0685</t>
  </si>
  <si>
    <t>440885</t>
  </si>
  <si>
    <t>440893</t>
  </si>
  <si>
    <t>037918</t>
  </si>
  <si>
    <t>037990</t>
  </si>
  <si>
    <t>441008</t>
  </si>
  <si>
    <t>441055</t>
  </si>
  <si>
    <t>441141</t>
  </si>
  <si>
    <t>441166</t>
  </si>
  <si>
    <t>441174</t>
  </si>
  <si>
    <t>441180</t>
  </si>
  <si>
    <t>09-0111</t>
  </si>
  <si>
    <t>09-0117</t>
  </si>
  <si>
    <t>441248</t>
  </si>
  <si>
    <t>038062</t>
  </si>
  <si>
    <t>441292</t>
  </si>
  <si>
    <t>441333</t>
  </si>
  <si>
    <t>441336</t>
  </si>
  <si>
    <t>441377</t>
  </si>
  <si>
    <t>441389</t>
  </si>
  <si>
    <t>441409</t>
  </si>
  <si>
    <t>09-0199</t>
  </si>
  <si>
    <t>441411</t>
  </si>
  <si>
    <t>038135</t>
  </si>
  <si>
    <t>1441481</t>
  </si>
  <si>
    <t>09-0332</t>
  </si>
  <si>
    <t>441617</t>
  </si>
  <si>
    <t>038196</t>
  </si>
  <si>
    <t>441699</t>
  </si>
  <si>
    <t>441709</t>
  </si>
  <si>
    <t>09-0439</t>
  </si>
  <si>
    <t>09-0445</t>
  </si>
  <si>
    <t>09-0454</t>
  </si>
  <si>
    <t>038257</t>
  </si>
  <si>
    <t>441792</t>
  </si>
  <si>
    <t>441814</t>
  </si>
  <si>
    <t>10-0058</t>
  </si>
  <si>
    <t>441903</t>
  </si>
  <si>
    <t>442029</t>
  </si>
  <si>
    <t>442034</t>
  </si>
  <si>
    <t>442120</t>
  </si>
  <si>
    <t>038326</t>
  </si>
  <si>
    <t>442106</t>
  </si>
  <si>
    <t>442136</t>
  </si>
  <si>
    <t>442142</t>
  </si>
  <si>
    <t>442176</t>
  </si>
  <si>
    <t>10-0180</t>
  </si>
  <si>
    <t>038462</t>
  </si>
  <si>
    <t>442270</t>
  </si>
  <si>
    <t>442297</t>
  </si>
  <si>
    <t>10-0336</t>
  </si>
  <si>
    <t>038518</t>
  </si>
  <si>
    <t>442490</t>
  </si>
  <si>
    <t>11-0038</t>
  </si>
  <si>
    <t>038602</t>
  </si>
  <si>
    <t>442594</t>
  </si>
  <si>
    <t>442640</t>
  </si>
  <si>
    <t>442668</t>
  </si>
  <si>
    <t>442688</t>
  </si>
  <si>
    <t>038665</t>
  </si>
  <si>
    <t>442834</t>
  </si>
  <si>
    <t>442898</t>
  </si>
  <si>
    <t>11-0130</t>
  </si>
  <si>
    <t>038718</t>
  </si>
  <si>
    <t>442979</t>
  </si>
  <si>
    <t>442980</t>
  </si>
  <si>
    <t>443126</t>
  </si>
  <si>
    <t>11-0278</t>
  </si>
  <si>
    <t>038802</t>
  </si>
  <si>
    <t>443161</t>
  </si>
  <si>
    <t>43295</t>
  </si>
  <si>
    <t>11-0513</t>
  </si>
  <si>
    <t>038865</t>
  </si>
  <si>
    <t>038930</t>
  </si>
  <si>
    <t>443338</t>
  </si>
  <si>
    <t>443425</t>
  </si>
  <si>
    <t>443430</t>
  </si>
  <si>
    <t>443464</t>
  </si>
  <si>
    <t>443484</t>
  </si>
  <si>
    <t>443503</t>
  </si>
  <si>
    <t>443504</t>
  </si>
  <si>
    <t>443526</t>
  </si>
  <si>
    <t>443637</t>
  </si>
  <si>
    <t>443541</t>
  </si>
  <si>
    <t>038997</t>
  </si>
  <si>
    <t>12-0222</t>
  </si>
  <si>
    <t>443606</t>
  </si>
  <si>
    <t>443627</t>
  </si>
  <si>
    <t>443685</t>
  </si>
  <si>
    <t>039070</t>
  </si>
  <si>
    <t>12-0327</t>
  </si>
  <si>
    <t>443782</t>
  </si>
  <si>
    <t>443809</t>
  </si>
  <si>
    <t>443817</t>
  </si>
  <si>
    <t>443886</t>
  </si>
  <si>
    <t>443897</t>
  </si>
  <si>
    <t>443951</t>
  </si>
  <si>
    <t>443953</t>
  </si>
  <si>
    <t>443954</t>
  </si>
  <si>
    <t>039124</t>
  </si>
  <si>
    <t>12-0554</t>
  </si>
  <si>
    <t>039449</t>
  </si>
  <si>
    <t>02-0095</t>
  </si>
  <si>
    <t>039520</t>
  </si>
  <si>
    <t>02-0175</t>
  </si>
  <si>
    <t>039615</t>
  </si>
  <si>
    <t>502-0531</t>
  </si>
  <si>
    <t>039696</t>
  </si>
  <si>
    <t>01-0018</t>
  </si>
  <si>
    <t>039195</t>
  </si>
  <si>
    <t>01-0137</t>
  </si>
  <si>
    <t>039258</t>
  </si>
  <si>
    <t>01-0286</t>
  </si>
  <si>
    <t>039323</t>
  </si>
  <si>
    <t>039386</t>
  </si>
  <si>
    <t>01-0420</t>
  </si>
  <si>
    <r>
      <rPr>
        <sz val="10"/>
        <rFont val="Khmer MEF2"/>
      </rPr>
      <t>នាមករណ៏សហគ្រាស</t>
    </r>
    <r>
      <rPr>
        <sz val="10"/>
        <rFont val="Limon S1"/>
      </rPr>
      <t xml:space="preserve"> </t>
    </r>
    <r>
      <rPr>
        <sz val="10"/>
        <rFont val="Khmer OS"/>
      </rPr>
      <t xml:space="preserve"> :  </t>
    </r>
    <r>
      <rPr>
        <b/>
        <sz val="10"/>
        <rFont val="Khmer OS"/>
      </rPr>
      <t>Maurea Garments Corp</t>
    </r>
  </si>
  <si>
    <t>TOTAL 7/2012-02/2015</t>
  </si>
  <si>
    <t>031454</t>
  </si>
  <si>
    <t>031588</t>
  </si>
  <si>
    <t>031592</t>
  </si>
  <si>
    <t>31799</t>
  </si>
  <si>
    <t>31901</t>
  </si>
  <si>
    <t>31940</t>
  </si>
  <si>
    <t>032076</t>
  </si>
  <si>
    <t>032132</t>
  </si>
  <si>
    <t>031981</t>
  </si>
  <si>
    <t>វិក្កយបត្រ</t>
  </si>
  <si>
    <t>បានបង់</t>
  </si>
  <si>
    <t>31883</t>
  </si>
  <si>
    <t>រៀល</t>
  </si>
  <si>
    <t>បានផ្ទៀងផ្ទាត់ហើយក្រុមហ៊ុនបានប្រកាសបង់</t>
  </si>
  <si>
    <t>ចំនួនវិក្កយបត្រៈ ១៩៨</t>
  </si>
  <si>
    <t>ចំនួនវិក្កយបត្រសរុបៈ ៤.៣៣៥</t>
  </si>
  <si>
    <t>ចំនួនវិក្កយបត្រៈ ៤.១៣៧</t>
  </si>
  <si>
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</si>
  <si>
    <t>សរុបទឹកប្រាក់នៅសល់ត្រូវបង្វិលសង</t>
  </si>
  <si>
    <t>សរុបទឹកប្រាក់ស្នើសុំបង្វិលសងតាមទម្រង់ អតប ២០០</t>
  </si>
  <si>
    <t>សរុបទឹកប្រាក់កាត់ចេញ (ការគណនាខុស វិក្កយបត្រមិនត្រឹមត្រូវនិងកត់ត្រាស្ទួន )</t>
  </si>
  <si>
    <t>មន្ត្រីសវនកម្ម</t>
  </si>
  <si>
    <t>ហុង ចំរើន                          កៅ សុលាភ</t>
  </si>
  <si>
    <t>ធ្វើនៅរាជធានីភ្នំពេញ.ថ្ងៃទី១១ ខែធ្នូ ឆ្នាំ២០១៥</t>
  </si>
  <si>
    <t xml:space="preserve"> សៀវភៅទិនានុប្បវត្តិលក់- នាំចេញ</t>
  </si>
  <si>
    <t xml:space="preserve"> ខែ​​ សីហា ឆ្នាំ ២០១៥</t>
  </si>
  <si>
    <t xml:space="preserve">ជី អេវើរហ្រ្គីន( ខេមបូឌា​ ) នីតធីង  </t>
  </si>
  <si>
    <t>Vat:100193102</t>
  </si>
  <si>
    <t xml:space="preserve">ភូមិជ្រៃកោង សង្កាត់ចោមចៅ ខណ្ឌ ពោធិសែនជ័យ ក្រុង ភ្នំពេញ </t>
  </si>
  <si>
    <t>Average:</t>
  </si>
  <si>
    <t>វិក្ក័យប័ត្រ</t>
  </si>
  <si>
    <t>ការផ្គត់ផ្គង់</t>
  </si>
  <si>
    <t>កាលបរិចេ្ឆទ</t>
  </si>
  <si>
    <t>អ្នកទិញ</t>
  </si>
  <si>
    <t>លេខ អតប</t>
  </si>
  <si>
    <t>បរិយាយ</t>
  </si>
  <si>
    <t>បរិមាណ</t>
  </si>
  <si>
    <t>karlk;Cab;Gakr</t>
  </si>
  <si>
    <t>សរុបថ្លៃទិញ</t>
  </si>
  <si>
    <t>TIN</t>
  </si>
  <si>
    <t>ការនាំចេញ</t>
  </si>
  <si>
    <t>lk;;»übuKþlCab;Gakr</t>
  </si>
  <si>
    <t>lk;;»üGñkeRbIR)as;</t>
  </si>
  <si>
    <t>រួមទាំអាករ</t>
  </si>
  <si>
    <t>មិនជាប់អាករ</t>
  </si>
  <si>
    <r>
      <t xml:space="preserve">អត្រា​​ </t>
    </r>
    <r>
      <rPr>
        <sz val="7"/>
        <rFont val="Times New Roman"/>
        <family val="1"/>
      </rPr>
      <t>0 %</t>
    </r>
  </si>
  <si>
    <t>តំលៃជាប់អាករ</t>
  </si>
  <si>
    <t>អាករ</t>
  </si>
  <si>
    <t>E 72202</t>
  </si>
  <si>
    <t>Primark Us Corp</t>
  </si>
  <si>
    <t>Men Zip Thru Hoody</t>
  </si>
  <si>
    <t>CT</t>
  </si>
  <si>
    <t>E 13027</t>
  </si>
  <si>
    <t>LPP S.A</t>
  </si>
  <si>
    <t>Ladies Knit Jogging Top</t>
  </si>
  <si>
    <t>E 13359</t>
  </si>
  <si>
    <t>VDR Fashion Group BV</t>
  </si>
  <si>
    <t>Ladies Knit Shirt</t>
  </si>
  <si>
    <t>E 74804</t>
  </si>
  <si>
    <t>Boy Hoody</t>
  </si>
  <si>
    <t>E 74578</t>
  </si>
  <si>
    <t>Men's Jogging Top</t>
  </si>
  <si>
    <t>E 76431</t>
  </si>
  <si>
    <t xml:space="preserve">Primark </t>
  </si>
  <si>
    <t>E 76547</t>
  </si>
  <si>
    <t>Primark Stores Limited</t>
  </si>
  <si>
    <t>7/2Boy Core Hoody</t>
  </si>
  <si>
    <t>E 65557</t>
  </si>
  <si>
    <t>Ladies Jogging Top</t>
  </si>
  <si>
    <t>Men's Knit Trousers</t>
  </si>
  <si>
    <t>E 76966</t>
  </si>
  <si>
    <t>Primark</t>
  </si>
  <si>
    <t>See Val Note</t>
  </si>
  <si>
    <t>Ladies Nylon Zip Back Fl Legging</t>
  </si>
  <si>
    <t>E 78298</t>
  </si>
  <si>
    <t>Mens Hoody</t>
  </si>
  <si>
    <t>E 77699</t>
  </si>
  <si>
    <t>E 78825</t>
  </si>
  <si>
    <t>Ladies Legging</t>
  </si>
  <si>
    <t>E 79325</t>
  </si>
  <si>
    <t>7Boy/2Boy Core Hoody</t>
  </si>
  <si>
    <t>E 79317</t>
  </si>
  <si>
    <t>A.Levy &amp; Son Limited</t>
  </si>
  <si>
    <t>Men's Neck Pullver / Hoody</t>
  </si>
  <si>
    <t>E 79287</t>
  </si>
  <si>
    <t>Primakr Tiendas Slu</t>
  </si>
  <si>
    <t>Men's Zip Thru Hoody</t>
  </si>
  <si>
    <t>E 79296</t>
  </si>
  <si>
    <t>E 14352</t>
  </si>
  <si>
    <t>Men's Knit Jogging Top</t>
  </si>
  <si>
    <t>E 79660</t>
  </si>
  <si>
    <t>Kik Texlilien Und-Food GMBH</t>
  </si>
  <si>
    <t>Men's Knitted Sweatshirt</t>
  </si>
  <si>
    <t>E 81282</t>
  </si>
  <si>
    <t>Men's +Boy Zip</t>
  </si>
  <si>
    <t>E 80591</t>
  </si>
  <si>
    <t>Boy Contrast Hoody Core Hoody</t>
  </si>
  <si>
    <t>E 81979</t>
  </si>
  <si>
    <t>Ladies' Nylon Back FL Legging</t>
  </si>
  <si>
    <t>E 82631</t>
  </si>
  <si>
    <t>Adler Czech A.S</t>
  </si>
  <si>
    <t>Gent Knit Sweatshirt + Sweater</t>
  </si>
  <si>
    <t>Ladies Knit Sweatshirt</t>
  </si>
  <si>
    <t>E 84211</t>
  </si>
  <si>
    <t>Men's Trousers</t>
  </si>
  <si>
    <t>E 83211</t>
  </si>
  <si>
    <t>Men's Knit Long Sleeve Zip Thru Jacket</t>
  </si>
  <si>
    <t>Men's Knit Hoody</t>
  </si>
  <si>
    <t>E 85424</t>
  </si>
  <si>
    <t>Men's Knit Pullover</t>
  </si>
  <si>
    <t>E 86517</t>
  </si>
  <si>
    <t>Primarkus Corp</t>
  </si>
  <si>
    <t>Men Knit Chesi Print Zip</t>
  </si>
  <si>
    <t>E 87246</t>
  </si>
  <si>
    <t>Boy's Hoody</t>
  </si>
  <si>
    <t>E 87199</t>
  </si>
  <si>
    <t>Primakr Tiendas S.l.u.</t>
  </si>
  <si>
    <t>Men's Knit Chest Print Zip Thru</t>
  </si>
  <si>
    <t>E 87074</t>
  </si>
  <si>
    <t>Primark 47 Mary Street Dublin1.</t>
  </si>
  <si>
    <t>E 86097</t>
  </si>
  <si>
    <t>E 86347</t>
  </si>
  <si>
    <t>Riel</t>
  </si>
  <si>
    <t>Total USD</t>
  </si>
  <si>
    <t>Box 12</t>
  </si>
  <si>
    <t xml:space="preserve">    </t>
  </si>
  <si>
    <t>Box 14</t>
  </si>
  <si>
    <t>Box 15</t>
  </si>
  <si>
    <t>Approved By :</t>
  </si>
  <si>
    <t xml:space="preserve"> ខែ​​ កក្កដា ឆ្នាំ ២០១៥</t>
  </si>
  <si>
    <t>E 65884</t>
  </si>
  <si>
    <t>1841 CT</t>
  </si>
  <si>
    <t>631 CT</t>
  </si>
  <si>
    <t>E 65484</t>
  </si>
  <si>
    <t>Primark Tiendas Slu</t>
  </si>
  <si>
    <t>343 CT</t>
  </si>
  <si>
    <t>E 67494</t>
  </si>
  <si>
    <t>PRIMARK</t>
  </si>
  <si>
    <t>Men's Long Sleeve Zip Thru Hoodie</t>
  </si>
  <si>
    <t>1093 CT</t>
  </si>
  <si>
    <t>E 68109</t>
  </si>
  <si>
    <t>PRIMARK STORES LIMITED</t>
  </si>
  <si>
    <t>7B (Boy) Core Hoody</t>
  </si>
  <si>
    <t>600 CT</t>
  </si>
  <si>
    <t>E 68146</t>
  </si>
  <si>
    <t>772 CT</t>
  </si>
  <si>
    <t>E 69396</t>
  </si>
  <si>
    <t>Men's Knit Sweater + Jogging Top</t>
  </si>
  <si>
    <t>1133 CT</t>
  </si>
  <si>
    <t>39 CT</t>
  </si>
  <si>
    <t>E 69549</t>
  </si>
  <si>
    <t>Men + Boy Hoodies</t>
  </si>
  <si>
    <t>638 CT</t>
  </si>
  <si>
    <t>E 70637</t>
  </si>
  <si>
    <t>490 CT</t>
  </si>
  <si>
    <t>99 CT</t>
  </si>
  <si>
    <t>E 70627</t>
  </si>
  <si>
    <t>2066 CT</t>
  </si>
  <si>
    <t>E 12774</t>
  </si>
  <si>
    <t>2B Core Hoody</t>
  </si>
  <si>
    <t>540 CT</t>
  </si>
  <si>
    <t>E 71959</t>
  </si>
  <si>
    <t>Men's  Knit Jogging Top</t>
  </si>
  <si>
    <t>796 CT</t>
  </si>
  <si>
    <t xml:space="preserve"> E 73334</t>
  </si>
  <si>
    <t>VDR FASHION GROUP BV</t>
  </si>
  <si>
    <t>Ladies Skirt</t>
  </si>
  <si>
    <t>38 CT</t>
  </si>
  <si>
    <t>E 73525</t>
  </si>
  <si>
    <t>A.LEVY &amp; SON LIMITED</t>
  </si>
  <si>
    <t>Men's Neck Pullover</t>
  </si>
  <si>
    <t>346 CT</t>
  </si>
  <si>
    <t>E 73514</t>
  </si>
  <si>
    <t>349 CT</t>
  </si>
  <si>
    <t>228 CT</t>
  </si>
  <si>
    <t>200CT</t>
  </si>
  <si>
    <t>E 73524</t>
  </si>
  <si>
    <t>Ladies Knitted Tregging</t>
  </si>
  <si>
    <t>245 CT</t>
  </si>
  <si>
    <t>Ladies Knitted Blazer</t>
  </si>
  <si>
    <t>191 CT</t>
  </si>
  <si>
    <t>Box 13</t>
  </si>
  <si>
    <t xml:space="preserve"> ខែ​​ មិថុនា ឆ្នាំ ២០១៥</t>
  </si>
  <si>
    <t>E 55119</t>
  </si>
  <si>
    <t>Men's Top</t>
  </si>
  <si>
    <t>137 CT</t>
  </si>
  <si>
    <t>E 53624</t>
  </si>
  <si>
    <t>655 CT</t>
  </si>
  <si>
    <t>E 9812</t>
  </si>
  <si>
    <t>SMYK SP Z.O.O</t>
  </si>
  <si>
    <t>Girls Knitted Dress</t>
  </si>
  <si>
    <t>518 CT</t>
  </si>
  <si>
    <t>E 10122</t>
  </si>
  <si>
    <t>Girls Knitted Sweat Shirt</t>
  </si>
  <si>
    <t>404 CT</t>
  </si>
  <si>
    <t>E 57854</t>
  </si>
  <si>
    <t>Men's Long Sleeve Hoodie</t>
  </si>
  <si>
    <t>550 CT</t>
  </si>
  <si>
    <t>E 57078</t>
  </si>
  <si>
    <t>1094 CT</t>
  </si>
  <si>
    <t>E 60607</t>
  </si>
  <si>
    <t>CAPRI SRL</t>
  </si>
  <si>
    <t>Men's Hoody</t>
  </si>
  <si>
    <t>827 CT</t>
  </si>
  <si>
    <t>E 59730</t>
  </si>
  <si>
    <t>815 CT</t>
  </si>
  <si>
    <t>E 60079</t>
  </si>
  <si>
    <t>Men's Sweater +Top</t>
  </si>
  <si>
    <t>400 CT</t>
  </si>
  <si>
    <t>E 61426</t>
  </si>
  <si>
    <t>VISAGE LIMITED</t>
  </si>
  <si>
    <t>Men's Pari / Monica / Leyton Crew</t>
  </si>
  <si>
    <t>556 CT</t>
  </si>
  <si>
    <t>E 61432</t>
  </si>
  <si>
    <t>1220 CT</t>
  </si>
  <si>
    <t>E 63424</t>
  </si>
  <si>
    <t>PRIMARK US CORP</t>
  </si>
  <si>
    <t>Men Chest Print Zip</t>
  </si>
  <si>
    <t>37 CT</t>
  </si>
  <si>
    <t>E 62715</t>
  </si>
  <si>
    <t>145 CT</t>
  </si>
  <si>
    <t>E 63568</t>
  </si>
  <si>
    <t>Men's Morgan Crew + Connect Crew+ Leyton</t>
  </si>
  <si>
    <t>338 CT</t>
  </si>
  <si>
    <t>July</t>
  </si>
  <si>
    <t>Aug</t>
  </si>
  <si>
    <t>June</t>
  </si>
  <si>
    <t>Total:</t>
  </si>
  <si>
    <t>Sales</t>
  </si>
  <si>
    <t>14 invoices</t>
  </si>
  <si>
    <t>21 invoices</t>
  </si>
  <si>
    <t>38 invoices</t>
  </si>
  <si>
    <t>(ការទិញក្នុងស្រុក)</t>
  </si>
  <si>
    <t>ថ្ងៃ ខែ ឆ្នាំ</t>
  </si>
  <si>
    <t>អត្រា</t>
  </si>
  <si>
    <t>ជារៀល</t>
  </si>
  <si>
    <t>អត្រាប្តូរប្រាក់</t>
  </si>
  <si>
    <t>ប្រាក់អាករ (រៀល)</t>
  </si>
  <si>
    <t>អាករតម្លៃ (ដុល្លា)</t>
  </si>
  <si>
    <t>អាករតម្លៃ (រៀល)</t>
  </si>
  <si>
    <t>តម្លៃជារៀល</t>
  </si>
  <si>
    <t>តារាងឧបសម្ព័ន្ធ I</t>
  </si>
  <si>
    <t xml:space="preserve">សវនករពន្ធដារ៖ </t>
  </si>
  <si>
    <t>ទឹកប្រាក់ស្នើសុំបង្វិលសងចំនួន៖</t>
  </si>
  <si>
    <t>ក្រុមហ៊ុន៖</t>
  </si>
  <si>
    <t>លេខ អតប ៖</t>
  </si>
  <si>
    <t>COMPANY NAME (KHMER)</t>
  </si>
  <si>
    <t>COMPANY NAME (ENGLISH)</t>
  </si>
  <si>
    <t>VAT NUMBER</t>
  </si>
  <si>
    <t>BANK NAME:</t>
  </si>
  <si>
    <t>BANK ACCOUNT NUMBER TO REFUND</t>
  </si>
  <si>
    <t>MOC NUMBER</t>
  </si>
  <si>
    <t>MOC DATE OF ISSUE</t>
  </si>
  <si>
    <t>PATENT ISSUE DATE</t>
  </si>
  <si>
    <t>VAT CERTIFICATE ISSUE DATE</t>
  </si>
  <si>
    <t>តារាងឧបសម្ព័ន្ធ III</t>
  </si>
  <si>
    <t>ទឹកប្រាក់អាករ</t>
  </si>
  <si>
    <t>ជាដុល្លារអាមេរិក</t>
  </si>
  <si>
    <t>តារាងផ្ទៀងផ្ទាត់បញ្ជាក់អំពីអាករលើធាតុចូលដែលអាចស្នើសុំជាឥណទាន</t>
  </si>
  <si>
    <t>លេខ អតប៖</t>
  </si>
  <si>
    <t>( ការលក់ក្នុងស្រុក )</t>
  </si>
  <si>
    <t>តារាងឧបសម្ព័ន្ធ V</t>
  </si>
  <si>
    <t>តារាងឧបសម្ព័ន្ធ  IV</t>
  </si>
  <si>
    <t>តារាងឧបសម្ព័ន្ធ II</t>
  </si>
  <si>
    <t>បញ្ជាក់អំពីអាករលើធាតុចូលដែលមិនអាចស្នើសុំជាឥណទាន</t>
  </si>
  <si>
    <t>បញ្ជាក់អំពីអាករលើធាតុចេញ</t>
  </si>
  <si>
    <t>ប្រភេទពន្ធ</t>
  </si>
  <si>
    <t>ប្រតិវេទន៍គយនាំចូល/ វិក្កយបត្រ</t>
  </si>
  <si>
    <t>ប្រតិវេទន៍គយនាំចូល/វិក្កយបត្រ</t>
  </si>
  <si>
    <t>ប្រតិវេទន៍គយនាំចេញ/វិក្កយបត្រ</t>
  </si>
  <si>
    <t>ស្ថានភាព</t>
  </si>
  <si>
    <t>ផ្សេង (សម្គាល់)</t>
  </si>
  <si>
    <t>អាករលើតម្លៃបន្ថែម</t>
  </si>
  <si>
    <t>បញ្ជាក់អំពីការលក់</t>
  </si>
  <si>
    <t>(ការនាំចេញ/លក់បន្ទុករដ្ឋ/លក់តាមអត្រា០%)</t>
  </si>
  <si>
    <t>សម្កាល់</t>
  </si>
  <si>
    <t>VAR. DATE
T/F</t>
  </si>
  <si>
    <t>VAR INVOICE
T/F</t>
  </si>
  <si>
    <t>លេខលិខិតជូនដំណឹងឥណទាន</t>
  </si>
  <si>
    <t>តម្លៃសរុបលើវិក្កយបត្រ</t>
  </si>
  <si>
    <t>តម្លៃ​​មិន​រួមអតប និងមិនជាប់​អតប​</t>
  </si>
  <si>
    <t>ប្រភេទ</t>
  </si>
  <si>
    <t>ឈ្មោះ</t>
  </si>
  <si>
    <t>តម្លៃមិនរួមអតប</t>
  </si>
  <si>
    <t>ការលក់មិនជាប់អតប</t>
  </si>
  <si>
    <t>ការលក់ក្នុងស្រុក</t>
  </si>
  <si>
    <t>អតបលើការនាំចេញ</t>
  </si>
  <si>
    <t>VAR. SUPPLIER &amp; PUCHASER</t>
  </si>
  <si>
    <t>FOR REPORT</t>
  </si>
  <si>
    <t>តេស្តទឹកប្រាក់លម្អៀង</t>
  </si>
  <si>
    <t>បញ្ចូលទិន្នន័យ</t>
  </si>
  <si>
    <t>សម្គាល់ផ្សេងៗ</t>
  </si>
  <si>
    <t>( ការនាំចូល ឬ អាករគិតជំនួស(Reverse Charge))</t>
  </si>
  <si>
    <t>លទ្ធផលផ្ទៀងផ្ទាត់ជាមួយទិន្នន័យពីអគ្គនាយកដ្ឋានគយ/
ឬ អាករគិតជំនួស(Reverse Charge)</t>
  </si>
  <si>
    <t xml:space="preserve"> </t>
  </si>
  <si>
    <t>I. ការនាំចូល</t>
  </si>
  <si>
    <t>ចំនួនទឺកប្រាក់ពន្ធ</t>
  </si>
  <si>
    <t>កាលបរិច្ឆេទ</t>
  </si>
  <si>
    <t>លេខវិក្កយបត្រ ឬប្រតិវេទគយ</t>
  </si>
  <si>
    <t xml:space="preserve">អាករលើតម្លៃបន្ថែមអត្រា ០% </t>
  </si>
  <si>
    <t>អាករលើតម្លៃបន្ថែម(បន្ទុករដ្ឋ)</t>
  </si>
  <si>
    <t>អតប កាត់ទុកដោយរតនាគារជាតិ</t>
  </si>
  <si>
    <t>អាករបំភ្លឺសាធារណៈ</t>
  </si>
  <si>
    <t>អាករពិសេសលើទំនិញមួយចំនួន</t>
  </si>
  <si>
    <t>អាករពិសេសលើសេវាមួយចំនួន</t>
  </si>
  <si>
    <t>អាករលើការស្នាក់នៅ</t>
  </si>
  <si>
    <t>អត្រាប្រាក់រំដោះពន្ធលើប្រាក់ចំណូល</t>
  </si>
  <si>
    <t>កំណត់សម្គាល់</t>
  </si>
  <si>
    <t>ស្ថានភាពប្រកាសពន្ធ</t>
  </si>
  <si>
    <t>លេខសម្គាល់ចុះបញ្ជីពន្ធដា</t>
  </si>
  <si>
    <t>PURCHASE</t>
  </si>
  <si>
    <t>SUPPLIER</t>
  </si>
  <si>
    <t>PATENT AMOUNT</t>
  </si>
  <si>
    <t>BUSINESS ACTIVITY</t>
  </si>
  <si>
    <t>ADDRESS NAME</t>
  </si>
  <si>
    <t>REQUEST PERIOD</t>
  </si>
  <si>
    <t>AUDITOR NAME</t>
  </si>
  <si>
    <t>PHONE NUMBER</t>
  </si>
  <si>
    <t>PERSON TO CONTACT</t>
  </si>
  <si>
    <t>POSITION</t>
  </si>
  <si>
    <t>AUDIT TIMELINE</t>
  </si>
  <si>
    <t>REQUEST DATE</t>
  </si>
  <si>
    <t>AMOUNT OF REQUEST</t>
  </si>
  <si>
    <t>ទឹកប្រាក់អនុញ្ញាត</t>
  </si>
  <si>
    <t>ស្ថានភាពអ្នកប្រើប្រាស់</t>
  </si>
  <si>
    <t>បានប្រកាស</t>
  </si>
  <si>
    <t>នៅខ្វះ</t>
  </si>
  <si>
    <t>ស្ថានភាពត្រួតពិនិត្យ</t>
  </si>
  <si>
    <t>មតិអ្នកប្រើប្រាស់</t>
  </si>
  <si>
    <t>ស្ថានភាពប្រព័ន្ធ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</si>
</sst>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000000"/>
    <numFmt numFmtId="167" formatCode="000000000"/>
    <numFmt numFmtId="168" formatCode="_-&quot;$&quot;* #,##0.00_-;\-&quot;$&quot;* #,##0.00_-;_-&quot;$&quot;* &quot;-&quot;??_-;_-@_-"/>
    <numFmt numFmtId="169" formatCode="[$-12000425]0"/>
    <numFmt numFmtId="170" formatCode="m/d/yy;@"/>
    <numFmt numFmtId="171" formatCode="\ &quot;Total Reil @&quot;\ #,###,#00"/>
    <numFmt numFmtId="172" formatCode="_ * #,##0.00_ ;_ * \-#,##0.00_ ;_ * &quot;-&quot;??_ ;_ @_ "/>
    <numFmt numFmtId="173" formatCode="_-* #,##0[$៛-453]_-;\-* #,##0[$៛-453]_-;_-* &quot;-&quot;[$៛-453]_-;_-@_-"/>
    <numFmt numFmtId="174" formatCode="d\-mmm\-yyyy"/>
    <numFmt numFmtId="175" formatCode="\I\ 00000"/>
  </numFmts>
  <fonts count="89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Limon S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Arial"/>
      <family val="2"/>
    </font>
    <font>
      <sz val="20"/>
      <name val="Limon S1"/>
    </font>
    <font>
      <sz val="10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b/>
      <sz val="8"/>
      <color indexed="81"/>
      <name val="Tahoma"/>
      <family val="2"/>
    </font>
    <font>
      <sz val="10"/>
      <name val="Limon S1"/>
    </font>
    <font>
      <sz val="10"/>
      <color indexed="8"/>
      <name val="Arial"/>
      <family val="2"/>
    </font>
    <font>
      <sz val="10"/>
      <name val="Khmer OS"/>
    </font>
    <font>
      <b/>
      <sz val="10"/>
      <name val="Khmer OS"/>
    </font>
    <font>
      <sz val="9"/>
      <name val="Khmer OS"/>
    </font>
    <font>
      <b/>
      <i/>
      <sz val="8"/>
      <name val="Arial"/>
      <family val="2"/>
    </font>
    <font>
      <sz val="14"/>
      <name val="Khmer MEF2"/>
    </font>
    <font>
      <sz val="10"/>
      <name val="Khmer MEF2"/>
    </font>
    <font>
      <b/>
      <sz val="10"/>
      <name val="Khmer MEF1"/>
    </font>
    <font>
      <sz val="10"/>
      <name val="Khmer MEF1"/>
    </font>
    <font>
      <sz val="8.5"/>
      <name val="Khmer OS"/>
    </font>
    <font>
      <b/>
      <sz val="9"/>
      <name val="Arial"/>
      <family val="2"/>
    </font>
    <font>
      <b/>
      <i/>
      <sz val="11"/>
      <name val="Arial"/>
      <family val="2"/>
    </font>
    <font>
      <sz val="9"/>
      <name val="Khmer MEF1"/>
    </font>
    <font>
      <sz val="7"/>
      <name val="Times New Roman"/>
      <family val="1"/>
    </font>
    <font>
      <sz val="10"/>
      <name val="Calibri"/>
      <family val="2"/>
      <scheme val="minor"/>
    </font>
    <font>
      <b/>
      <sz val="9"/>
      <name val="Limon S1"/>
    </font>
    <font>
      <sz val="22"/>
      <name val="Limon R1"/>
    </font>
    <font>
      <sz val="12"/>
      <name val="Limon R1"/>
    </font>
    <font>
      <b/>
      <sz val="8"/>
      <name val="Limon S1"/>
    </font>
    <font>
      <b/>
      <sz val="8"/>
      <name val="Times New Roman"/>
      <family val="1"/>
    </font>
    <font>
      <b/>
      <sz val="9"/>
      <name val="Cambria"/>
      <family val="1"/>
      <scheme val="major"/>
    </font>
    <font>
      <sz val="14"/>
      <name val="Limon S1"/>
    </font>
    <font>
      <sz val="8"/>
      <name val="Limon S1"/>
    </font>
    <font>
      <sz val="9"/>
      <name val="Limon S1"/>
    </font>
    <font>
      <b/>
      <sz val="7"/>
      <name val="Limon S1"/>
    </font>
    <font>
      <sz val="7"/>
      <name val="新細明體"/>
      <family val="1"/>
      <charset val="136"/>
    </font>
    <font>
      <sz val="7"/>
      <name val="Limon S1"/>
    </font>
    <font>
      <sz val="13"/>
      <name val="Limon S1"/>
    </font>
    <font>
      <b/>
      <sz val="7"/>
      <name val="Times New Roman"/>
      <family val="1"/>
    </font>
    <font>
      <sz val="7"/>
      <name val="Times New Roman"/>
      <family val="1"/>
      <charset val="134"/>
    </font>
    <font>
      <sz val="7"/>
      <name val="Arial"/>
      <family val="2"/>
    </font>
    <font>
      <sz val="7"/>
      <name val="Arial Narrow"/>
      <family val="2"/>
    </font>
    <font>
      <b/>
      <sz val="7"/>
      <name val="Times New Roman"/>
      <family val="1"/>
      <charset val="134"/>
    </font>
    <font>
      <sz val="8"/>
      <name val="Times New Roman"/>
      <family val="1"/>
      <charset val="134"/>
    </font>
    <font>
      <sz val="11"/>
      <name val="Times New Roman"/>
      <family val="1"/>
      <charset val="134"/>
    </font>
    <font>
      <b/>
      <sz val="7"/>
      <name val="Arial"/>
      <family val="2"/>
    </font>
    <font>
      <sz val="12"/>
      <name val="Times New Roman"/>
      <family val="1"/>
      <charset val="134"/>
    </font>
    <font>
      <b/>
      <sz val="8"/>
      <name val="Arial"/>
      <family val="2"/>
    </font>
    <font>
      <b/>
      <sz val="8"/>
      <name val="Arial"/>
      <family val="2"/>
      <charset val="134"/>
    </font>
    <font>
      <b/>
      <sz val="10"/>
      <name val="Arial"/>
      <family val="2"/>
      <charset val="134"/>
    </font>
    <font>
      <sz val="12"/>
      <name val="宋体"/>
      <charset val="134"/>
    </font>
    <font>
      <b/>
      <sz val="12"/>
      <name val="新細明體"/>
      <charset val="134"/>
    </font>
    <font>
      <b/>
      <sz val="14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11"/>
      <color indexed="8"/>
      <name val="Calibri"/>
      <family val="2"/>
      <charset val="134"/>
    </font>
    <font>
      <sz val="10"/>
      <name val="Times New Roman"/>
      <family val="1"/>
      <charset val="134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name val="Khmer OS Siemreap"/>
    </font>
    <font>
      <b/>
      <sz val="11"/>
      <name val="Khmer OS Siemreap"/>
    </font>
    <font>
      <sz val="10"/>
      <name val="Khmer OS Siemreap"/>
    </font>
    <font>
      <b/>
      <sz val="12"/>
      <name val="Khmer OS Siemreap"/>
    </font>
    <font>
      <sz val="22"/>
      <name val="Khmer OS Siemreap"/>
    </font>
    <font>
      <sz val="12"/>
      <name val="Khmer OS Siemreap"/>
    </font>
    <font>
      <sz val="8"/>
      <name val="Arial"/>
      <family val="2"/>
    </font>
    <font>
      <sz val="14"/>
      <name val="Calibri"/>
      <family val="2"/>
      <charset val="134"/>
    </font>
    <font>
      <sz val="8"/>
      <name val="Calibri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5"/>
      <color rgb="FF44546A"/>
      <name val="Calibri"/>
      <family val="2"/>
      <scheme val="minor"/>
    </font>
    <font>
      <b/>
      <sz val="13"/>
      <color rgb="FF44546A"/>
      <name val="Calibri"/>
      <family val="2"/>
      <scheme val="minor"/>
    </font>
    <font>
      <b/>
      <sz val="11"/>
      <color rgb="FF44546A"/>
      <name val="Calibri"/>
      <family val="2"/>
      <scheme val="minor"/>
    </font>
    <font>
      <sz val="18"/>
      <color rgb="FF44546A"/>
      <name val="Cambria"/>
      <family val="2"/>
      <scheme val="major"/>
    </font>
    <font>
      <b/>
      <sz val="11"/>
      <color rgb="FF00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color theme="1"/>
      <name val="Khmer OS Siemreap"/>
    </font>
    <font>
      <sz val="12"/>
      <color theme="1"/>
      <name val="Khmer OS Siemreap"/>
    </font>
    <font>
      <sz val="11"/>
      <color theme="1"/>
      <name val="Arial"/>
      <family val="2"/>
    </font>
    <font>
      <sz val="11"/>
      <color theme="1"/>
      <name val="Khmer OS Siemreap"/>
    </font>
    <font>
      <sz val="10"/>
      <color rgb="FFFF0000"/>
      <name val="Khmer OS Siemreap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</borders>
  <cellStyleXfs count="54">
    <xf numFmtId="0" fontId="0" fillId="0" borderId="0">
      <alignment vertical="top"/>
    </xf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>
      <alignment vertical="top"/>
    </xf>
    <xf numFmtId="0" fontId="11" fillId="0" borderId="0"/>
    <xf numFmtId="0" fontId="11" fillId="0" borderId="0"/>
    <xf numFmtId="0" fontId="16" fillId="0" borderId="0">
      <alignment vertical="top"/>
    </xf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/>
    <xf numFmtId="167" fontId="56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169" fontId="56" fillId="0" borderId="0" applyFont="0" applyFill="0" applyBorder="0" applyAlignment="0" applyProtection="0">
      <alignment vertical="center"/>
    </xf>
    <xf numFmtId="169" fontId="56" fillId="0" borderId="0" applyFont="0" applyFill="0" applyBorder="0" applyAlignment="0" applyProtection="0">
      <alignment vertical="center"/>
    </xf>
    <xf numFmtId="167" fontId="56" fillId="0" borderId="0" applyFont="0" applyFill="0" applyBorder="0" applyAlignment="0" applyProtection="0">
      <alignment vertical="center"/>
    </xf>
    <xf numFmtId="167" fontId="56" fillId="0" borderId="0" applyFont="0" applyFill="0" applyBorder="0" applyAlignment="0" applyProtection="0">
      <alignment vertical="center"/>
    </xf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63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5" fillId="0" borderId="0"/>
    <xf numFmtId="0" fontId="63" fillId="0" borderId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3" fillId="0" borderId="0"/>
    <xf numFmtId="0" fontId="2" fillId="0" borderId="0"/>
    <xf numFmtId="0" fontId="1" fillId="0" borderId="0"/>
    <xf numFmtId="43" fontId="5" fillId="0" borderId="0" applyFont="0" applyFill="0" applyBorder="0" applyAlignment="0" applyProtection="0"/>
    <xf numFmtId="0" fontId="5" fillId="0" borderId="0">
      <alignment vertical="top"/>
    </xf>
    <xf numFmtId="0" fontId="5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>
      <alignment vertical="top"/>
    </xf>
    <xf numFmtId="0" fontId="1" fillId="0" borderId="0"/>
    <xf numFmtId="0" fontId="81" fillId="0" borderId="0" applyNumberFormat="0" applyAlignment="0" applyProtection="0"/>
    <xf numFmtId="0" fontId="78" fillId="0" borderId="48" applyNumberFormat="0" applyAlignment="0" applyProtection="0"/>
    <xf numFmtId="0" fontId="79" fillId="0" borderId="49" applyNumberFormat="0" applyAlignment="0" applyProtection="0"/>
    <xf numFmtId="0" fontId="80" fillId="0" borderId="50" applyNumberFormat="0" applyAlignment="0" applyProtection="0"/>
    <xf numFmtId="0" fontId="80" fillId="0" borderId="0" applyNumberFormat="0" applyAlignment="0" applyProtection="0"/>
    <xf numFmtId="0" fontId="76" fillId="3" borderId="52" applyNumberFormat="0" applyAlignment="0" applyProtection="0"/>
    <xf numFmtId="0" fontId="83" fillId="0" borderId="52" applyNumberFormat="0" applyAlignment="0" applyProtection="0"/>
    <xf numFmtId="0" fontId="82" fillId="0" borderId="51" applyNumberFormat="0" applyAlignment="0" applyProtection="0"/>
  </cellStyleXfs>
  <cellXfs count="402">
    <xf numFmtId="0" fontId="0" fillId="0" borderId="0" xfId="0" applyAlignment="1"/>
    <xf numFmtId="168" fontId="19" fillId="0" borderId="4" xfId="3" applyNumberFormat="1" applyFont="1" applyFill="1" applyBorder="1" applyAlignment="1">
      <alignment horizontal="right" vertical="top"/>
    </xf>
    <xf numFmtId="164" fontId="17" fillId="0" borderId="10" xfId="1" applyNumberFormat="1" applyFont="1" applyFill="1" applyBorder="1" applyAlignment="1">
      <alignment horizontal="center" vertical="center" shrinkToFit="1"/>
    </xf>
    <xf numFmtId="43" fontId="42" fillId="0" borderId="4" xfId="9" applyFont="1" applyFill="1" applyBorder="1" applyAlignment="1"/>
    <xf numFmtId="164" fontId="29" fillId="0" borderId="14" xfId="9" applyNumberFormat="1" applyFont="1" applyFill="1" applyBorder="1" applyAlignment="1"/>
    <xf numFmtId="164" fontId="29" fillId="0" borderId="4" xfId="9" applyNumberFormat="1" applyFont="1" applyFill="1" applyBorder="1" applyAlignment="1">
      <alignment horizontal="center" vertical="center"/>
    </xf>
    <xf numFmtId="164" fontId="29" fillId="0" borderId="27" xfId="9" applyNumberFormat="1" applyFont="1" applyFill="1" applyBorder="1" applyAlignment="1">
      <alignment horizontal="center" vertical="center"/>
    </xf>
    <xf numFmtId="43" fontId="29" fillId="0" borderId="14" xfId="9" applyFont="1" applyFill="1" applyBorder="1" applyAlignment="1"/>
    <xf numFmtId="164" fontId="44" fillId="0" borderId="4" xfId="9" applyNumberFormat="1" applyFont="1" applyFill="1" applyBorder="1" applyAlignment="1">
      <alignment horizontal="center" vertical="center"/>
    </xf>
    <xf numFmtId="43" fontId="45" fillId="0" borderId="4" xfId="9" applyFont="1" applyFill="1" applyBorder="1" applyAlignment="1">
      <alignment horizontal="center" vertical="center"/>
    </xf>
    <xf numFmtId="164" fontId="48" fillId="0" borderId="27" xfId="9" applyNumberFormat="1" applyFont="1" applyFill="1" applyBorder="1" applyAlignment="1">
      <alignment horizontal="center" vertical="center"/>
    </xf>
    <xf numFmtId="164" fontId="48" fillId="0" borderId="30" xfId="9" applyNumberFormat="1" applyFont="1" applyFill="1" applyBorder="1" applyAlignment="1">
      <alignment vertical="center"/>
    </xf>
    <xf numFmtId="164" fontId="48" fillId="0" borderId="31" xfId="9" applyNumberFormat="1" applyFont="1" applyFill="1" applyBorder="1" applyAlignment="1">
      <alignment vertical="center"/>
    </xf>
    <xf numFmtId="43" fontId="44" fillId="0" borderId="32" xfId="9" applyFont="1" applyFill="1" applyBorder="1" applyAlignment="1">
      <alignment horizontal="center" vertical="center"/>
    </xf>
    <xf numFmtId="44" fontId="44" fillId="0" borderId="32" xfId="10" applyFont="1" applyFill="1" applyBorder="1" applyAlignment="1">
      <alignment horizontal="center" vertical="center"/>
    </xf>
    <xf numFmtId="44" fontId="45" fillId="0" borderId="32" xfId="10" applyFont="1" applyFill="1" applyBorder="1" applyAlignment="1">
      <alignment horizontal="center" vertical="center"/>
    </xf>
    <xf numFmtId="44" fontId="44" fillId="0" borderId="33" xfId="10" applyFont="1" applyFill="1" applyBorder="1" applyAlignment="1">
      <alignment horizontal="center" vertical="center"/>
    </xf>
    <xf numFmtId="164" fontId="45" fillId="0" borderId="0" xfId="9" applyNumberFormat="1" applyFont="1" applyFill="1" applyAlignment="1">
      <alignment horizontal="center"/>
    </xf>
    <xf numFmtId="43" fontId="45" fillId="0" borderId="0" xfId="9" applyFont="1" applyFill="1" applyAlignment="1">
      <alignment horizontal="center"/>
    </xf>
    <xf numFmtId="164" fontId="45" fillId="0" borderId="0" xfId="9" applyNumberFormat="1" applyFont="1" applyFill="1" applyAlignment="1"/>
    <xf numFmtId="164" fontId="52" fillId="0" borderId="0" xfId="9" applyNumberFormat="1" applyFont="1" applyFill="1" applyAlignment="1"/>
    <xf numFmtId="164" fontId="35" fillId="0" borderId="0" xfId="9" applyNumberFormat="1" applyFont="1" applyFill="1" applyAlignment="1">
      <alignment vertical="center"/>
    </xf>
    <xf numFmtId="172" fontId="57" fillId="0" borderId="0" xfId="12" applyNumberFormat="1" applyFont="1" applyFill="1">
      <alignment vertical="center"/>
    </xf>
    <xf numFmtId="43" fontId="0" fillId="0" borderId="0" xfId="9" applyFont="1" applyFill="1" applyAlignment="1">
      <alignment vertical="center"/>
    </xf>
    <xf numFmtId="164" fontId="0" fillId="0" borderId="0" xfId="9" applyNumberFormat="1" applyFont="1" applyFill="1" applyAlignment="1"/>
    <xf numFmtId="43" fontId="52" fillId="0" borderId="0" xfId="9" applyFont="1" applyFill="1" applyAlignment="1"/>
    <xf numFmtId="164" fontId="52" fillId="0" borderId="0" xfId="9" applyNumberFormat="1" applyFont="1" applyFill="1" applyBorder="1" applyAlignment="1"/>
    <xf numFmtId="43" fontId="49" fillId="0" borderId="0" xfId="9" applyFont="1" applyFill="1" applyBorder="1" applyAlignment="1">
      <alignment horizontal="right"/>
    </xf>
    <xf numFmtId="164" fontId="49" fillId="0" borderId="0" xfId="9" applyNumberFormat="1" applyFont="1" applyFill="1" applyBorder="1" applyAlignment="1"/>
    <xf numFmtId="43" fontId="49" fillId="0" borderId="0" xfId="9" applyFont="1" applyFill="1" applyAlignment="1"/>
    <xf numFmtId="164" fontId="49" fillId="0" borderId="0" xfId="9" applyNumberFormat="1" applyFont="1" applyFill="1" applyBorder="1" applyAlignment="1">
      <alignment horizontal="right"/>
    </xf>
    <xf numFmtId="3" fontId="13" fillId="0" borderId="0" xfId="9" applyNumberFormat="1" applyFont="1" applyFill="1" applyBorder="1" applyAlignment="1"/>
    <xf numFmtId="164" fontId="49" fillId="0" borderId="0" xfId="9" applyNumberFormat="1" applyFont="1" applyFill="1" applyBorder="1" applyAlignment="1">
      <alignment vertical="center"/>
    </xf>
    <xf numFmtId="164" fontId="49" fillId="0" borderId="0" xfId="9" applyNumberFormat="1" applyFont="1" applyFill="1" applyAlignment="1">
      <alignment horizontal="right"/>
    </xf>
    <xf numFmtId="164" fontId="49" fillId="0" borderId="0" xfId="9" applyNumberFormat="1" applyFont="1" applyFill="1" applyAlignment="1"/>
    <xf numFmtId="164" fontId="42" fillId="0" borderId="4" xfId="9" applyNumberFormat="1" applyFont="1" applyFill="1" applyBorder="1" applyAlignment="1"/>
    <xf numFmtId="164" fontId="42" fillId="0" borderId="3" xfId="9" applyNumberFormat="1" applyFont="1" applyFill="1" applyBorder="1" applyAlignment="1"/>
    <xf numFmtId="164" fontId="48" fillId="0" borderId="4" xfId="9" applyNumberFormat="1" applyFont="1" applyFill="1" applyBorder="1" applyAlignment="1">
      <alignment horizontal="center" vertical="center"/>
    </xf>
    <xf numFmtId="164" fontId="48" fillId="0" borderId="32" xfId="9" applyNumberFormat="1" applyFont="1" applyFill="1" applyBorder="1" applyAlignment="1">
      <alignment horizontal="center" vertical="center"/>
    </xf>
    <xf numFmtId="172" fontId="57" fillId="0" borderId="0" xfId="16" applyNumberFormat="1" applyFont="1" applyFill="1">
      <alignment vertical="center"/>
    </xf>
    <xf numFmtId="172" fontId="57" fillId="0" borderId="0" xfId="17" applyNumberFormat="1" applyFont="1" applyFill="1">
      <alignment vertical="center"/>
    </xf>
    <xf numFmtId="164" fontId="49" fillId="0" borderId="0" xfId="1" applyNumberFormat="1" applyFont="1" applyFill="1" applyAlignment="1"/>
    <xf numFmtId="164" fontId="49" fillId="0" borderId="0" xfId="1" applyNumberFormat="1" applyFont="1" applyFill="1" applyBorder="1" applyAlignment="1">
      <alignment vertical="center"/>
    </xf>
    <xf numFmtId="164" fontId="49" fillId="0" borderId="0" xfId="1" applyNumberFormat="1" applyFont="1" applyFill="1" applyBorder="1" applyAlignment="1">
      <alignment horizontal="right"/>
    </xf>
    <xf numFmtId="164" fontId="49" fillId="0" borderId="34" xfId="1" applyNumberFormat="1" applyFont="1" applyFill="1" applyBorder="1" applyAlignment="1">
      <alignment horizontal="right"/>
    </xf>
    <xf numFmtId="43" fontId="65" fillId="0" borderId="0" xfId="21" applyFont="1" applyFill="1" applyBorder="1" applyAlignment="1">
      <alignment horizontal="left" vertical="center"/>
    </xf>
    <xf numFmtId="43" fontId="65" fillId="0" borderId="0" xfId="22" applyFont="1" applyFill="1" applyBorder="1" applyAlignment="1">
      <alignment horizontal="left" vertical="center"/>
    </xf>
    <xf numFmtId="43" fontId="65" fillId="0" borderId="0" xfId="1" applyFont="1" applyFill="1" applyBorder="1" applyAlignment="1">
      <alignment vertical="center"/>
    </xf>
    <xf numFmtId="173" fontId="65" fillId="0" borderId="0" xfId="1" applyNumberFormat="1" applyFont="1" applyFill="1" applyBorder="1" applyAlignment="1">
      <alignment horizontal="center" vertical="center"/>
    </xf>
    <xf numFmtId="43" fontId="65" fillId="0" borderId="0" xfId="21" applyFont="1" applyFill="1" applyBorder="1" applyAlignment="1">
      <alignment horizontal="left" vertical="center" wrapText="1"/>
    </xf>
    <xf numFmtId="164" fontId="65" fillId="0" borderId="0" xfId="1" applyNumberFormat="1" applyFont="1" applyFill="1" applyBorder="1" applyAlignment="1">
      <alignment vertical="center"/>
    </xf>
    <xf numFmtId="0" fontId="67" fillId="0" borderId="4" xfId="0" applyFont="1" applyFill="1" applyBorder="1" applyAlignment="1">
      <alignment horizontal="center" vertical="center"/>
    </xf>
    <xf numFmtId="0" fontId="70" fillId="0" borderId="0" xfId="0" applyFont="1" applyFill="1" applyAlignment="1">
      <alignment horizontal="right" vertical="top"/>
    </xf>
    <xf numFmtId="0" fontId="70" fillId="0" borderId="0" xfId="0" applyFont="1" applyFill="1" applyAlignment="1">
      <alignment horizontal="left" vertical="center"/>
    </xf>
    <xf numFmtId="0" fontId="70" fillId="0" borderId="0" xfId="0" applyFont="1" applyFill="1" applyAlignment="1">
      <alignment vertical="center"/>
    </xf>
    <xf numFmtId="0" fontId="70" fillId="0" borderId="0" xfId="0" applyFont="1" applyFill="1">
      <alignment vertical="top"/>
    </xf>
    <xf numFmtId="164" fontId="70" fillId="0" borderId="0" xfId="1" applyNumberFormat="1" applyFont="1" applyFill="1" applyAlignment="1">
      <alignment vertical="top" wrapText="1"/>
    </xf>
    <xf numFmtId="164" fontId="70" fillId="0" borderId="0" xfId="1" applyNumberFormat="1" applyFont="1" applyFill="1" applyAlignment="1">
      <alignment horizontal="right" vertical="center"/>
    </xf>
    <xf numFmtId="0" fontId="0" fillId="0" borderId="0" xfId="0" applyFont="1" applyFill="1" applyAlignment="1"/>
    <xf numFmtId="0" fontId="24" fillId="0" borderId="0" xfId="0" applyFont="1" applyFill="1" applyAlignment="1"/>
    <xf numFmtId="0" fontId="67" fillId="0" borderId="0" xfId="0" applyFont="1" applyFill="1" applyAlignment="1"/>
    <xf numFmtId="0" fontId="0" fillId="0" borderId="0" xfId="0" applyFont="1" applyFill="1" applyAlignment="1">
      <alignment horizontal="left" vertical="center"/>
    </xf>
    <xf numFmtId="0" fontId="67" fillId="0" borderId="0" xfId="0" applyFont="1" applyFill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0" fontId="5" fillId="0" borderId="0" xfId="0" applyFont="1" applyFill="1" applyAlignment="1"/>
    <xf numFmtId="0" fontId="65" fillId="0" borderId="0" xfId="0" applyFont="1" applyFill="1" applyAlignment="1">
      <alignment horizontal="right" vertical="center"/>
    </xf>
    <xf numFmtId="0" fontId="65" fillId="0" borderId="0" xfId="0" applyFont="1" applyFill="1" applyAlignment="1">
      <alignment vertical="center"/>
    </xf>
    <xf numFmtId="0" fontId="65" fillId="0" borderId="0" xfId="26" applyFont="1" applyFill="1" applyAlignment="1">
      <alignment vertical="center"/>
    </xf>
    <xf numFmtId="0" fontId="65" fillId="0" borderId="0" xfId="0" applyFont="1" applyFill="1">
      <alignment vertical="top"/>
    </xf>
    <xf numFmtId="0" fontId="65" fillId="0" borderId="0" xfId="0" applyFont="1" applyFill="1" applyAlignment="1">
      <alignment horizontal="right" vertical="top"/>
    </xf>
    <xf numFmtId="0" fontId="65" fillId="0" borderId="0" xfId="0" applyFont="1" applyFill="1" applyAlignment="1"/>
    <xf numFmtId="164" fontId="65" fillId="0" borderId="0" xfId="1" applyNumberFormat="1" applyFont="1" applyFill="1" applyAlignment="1">
      <alignment horizontal="right" vertical="center" wrapText="1"/>
    </xf>
    <xf numFmtId="164" fontId="65" fillId="0" borderId="0" xfId="1" applyNumberFormat="1" applyFont="1" applyFill="1" applyAlignment="1">
      <alignment horizontal="right" vertical="center"/>
    </xf>
    <xf numFmtId="0" fontId="65" fillId="0" borderId="0" xfId="0" applyFont="1" applyFill="1" applyAlignment="1">
      <alignment horizontal="left" vertical="center"/>
    </xf>
    <xf numFmtId="174" fontId="65" fillId="0" borderId="0" xfId="0" applyNumberFormat="1" applyFont="1" applyFill="1" applyAlignment="1">
      <alignment horizontal="left"/>
    </xf>
    <xf numFmtId="164" fontId="65" fillId="0" borderId="1" xfId="1" applyNumberFormat="1" applyFont="1" applyFill="1" applyBorder="1" applyAlignment="1">
      <alignment horizontal="right" vertical="center"/>
    </xf>
    <xf numFmtId="173" fontId="65" fillId="0" borderId="0" xfId="1" applyNumberFormat="1" applyFont="1" applyFill="1" applyAlignment="1"/>
    <xf numFmtId="0" fontId="65" fillId="0" borderId="0" xfId="0" applyFont="1" applyFill="1" applyBorder="1" applyAlignment="1">
      <alignment horizontal="center" vertical="center"/>
    </xf>
    <xf numFmtId="165" fontId="65" fillId="0" borderId="0" xfId="0" applyNumberFormat="1" applyFont="1" applyFill="1" applyBorder="1" applyAlignment="1">
      <alignment horizontal="center" vertical="center"/>
    </xf>
    <xf numFmtId="166" fontId="65" fillId="0" borderId="0" xfId="24" quotePrefix="1" applyNumberFormat="1" applyFont="1" applyFill="1" applyBorder="1" applyAlignment="1">
      <alignment horizontal="right" vertical="center"/>
    </xf>
    <xf numFmtId="165" fontId="65" fillId="0" borderId="0" xfId="23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65" fillId="0" borderId="0" xfId="29" applyFont="1" applyFill="1" applyBorder="1" applyAlignment="1">
      <alignment horizontal="left" vertical="center"/>
    </xf>
    <xf numFmtId="175" fontId="65" fillId="0" borderId="0" xfId="29" applyNumberFormat="1" applyFont="1" applyFill="1" applyBorder="1" applyAlignment="1">
      <alignment horizontal="center" vertical="center"/>
    </xf>
    <xf numFmtId="165" fontId="65" fillId="0" borderId="0" xfId="29" applyNumberFormat="1" applyFont="1" applyFill="1" applyBorder="1" applyAlignment="1">
      <alignment horizontal="center" vertical="center"/>
    </xf>
    <xf numFmtId="166" fontId="65" fillId="0" borderId="0" xfId="24" quotePrefix="1" applyNumberFormat="1" applyFont="1" applyFill="1" applyBorder="1" applyAlignment="1">
      <alignment horizontal="center" vertical="center"/>
    </xf>
    <xf numFmtId="164" fontId="65" fillId="0" borderId="0" xfId="1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69" fillId="0" borderId="0" xfId="0" applyFont="1" applyFill="1" applyAlignment="1"/>
    <xf numFmtId="0" fontId="6" fillId="0" borderId="0" xfId="0" applyFont="1" applyFill="1" applyAlignment="1"/>
    <xf numFmtId="0" fontId="65" fillId="0" borderId="0" xfId="0" applyFont="1" applyFill="1" applyBorder="1" applyAlignment="1">
      <alignment horizontal="left" vertical="center"/>
    </xf>
    <xf numFmtId="0" fontId="65" fillId="0" borderId="0" xfId="0" applyFont="1" applyFill="1" applyBorder="1" applyAlignment="1">
      <alignment vertical="center"/>
    </xf>
    <xf numFmtId="0" fontId="67" fillId="0" borderId="0" xfId="0" applyFont="1" applyFill="1" applyBorder="1" applyAlignment="1"/>
    <xf numFmtId="0" fontId="65" fillId="0" borderId="0" xfId="0" applyFont="1" applyFill="1" applyBorder="1">
      <alignment vertical="top"/>
    </xf>
    <xf numFmtId="0" fontId="65" fillId="0" borderId="0" xfId="0" applyFont="1" applyFill="1" applyBorder="1" applyAlignment="1">
      <alignment horizontal="right" vertical="top"/>
    </xf>
    <xf numFmtId="0" fontId="65" fillId="0" borderId="0" xfId="0" applyFont="1" applyFill="1" applyBorder="1" applyAlignment="1"/>
    <xf numFmtId="164" fontId="65" fillId="0" borderId="0" xfId="1" applyNumberFormat="1" applyFont="1" applyFill="1" applyBorder="1" applyAlignment="1">
      <alignment horizontal="right" vertical="center" wrapText="1"/>
    </xf>
    <xf numFmtId="0" fontId="65" fillId="0" borderId="0" xfId="26" applyFont="1" applyFill="1" applyBorder="1" applyAlignment="1">
      <alignment vertical="center"/>
    </xf>
    <xf numFmtId="174" fontId="65" fillId="0" borderId="0" xfId="0" applyNumberFormat="1" applyFont="1" applyFill="1" applyBorder="1" applyAlignment="1">
      <alignment horizontal="left"/>
    </xf>
    <xf numFmtId="0" fontId="67" fillId="0" borderId="37" xfId="0" applyFont="1" applyFill="1" applyBorder="1" applyAlignment="1">
      <alignment horizontal="center" vertical="center"/>
    </xf>
    <xf numFmtId="164" fontId="70" fillId="0" borderId="0" xfId="1" applyNumberFormat="1" applyFont="1" applyFill="1" applyBorder="1" applyAlignment="1">
      <alignment vertical="center"/>
    </xf>
    <xf numFmtId="0" fontId="70" fillId="0" borderId="0" xfId="0" applyFont="1" applyFill="1" applyAlignment="1"/>
    <xf numFmtId="174" fontId="70" fillId="0" borderId="0" xfId="0" applyNumberFormat="1" applyFont="1" applyFill="1" applyAlignment="1">
      <alignment horizontal="left"/>
    </xf>
    <xf numFmtId="164" fontId="65" fillId="0" borderId="0" xfId="1" applyNumberFormat="1" applyFont="1" applyFill="1" applyAlignment="1">
      <alignment horizontal="center" vertical="center" wrapText="1"/>
    </xf>
    <xf numFmtId="0" fontId="70" fillId="0" borderId="0" xfId="4" applyFont="1" applyFill="1" applyAlignment="1">
      <alignment vertical="center"/>
    </xf>
    <xf numFmtId="164" fontId="70" fillId="0" borderId="0" xfId="1" applyNumberFormat="1" applyFont="1" applyFill="1" applyAlignment="1">
      <alignment horizontal="center" vertical="center" wrapText="1"/>
    </xf>
    <xf numFmtId="164" fontId="70" fillId="0" borderId="1" xfId="1" applyNumberFormat="1" applyFont="1" applyFill="1" applyBorder="1" applyAlignment="1">
      <alignment vertical="center"/>
    </xf>
    <xf numFmtId="173" fontId="70" fillId="0" borderId="0" xfId="1" applyNumberFormat="1" applyFont="1" applyFill="1" applyAlignment="1"/>
    <xf numFmtId="0" fontId="69" fillId="0" borderId="0" xfId="0" applyFont="1" applyFill="1" applyAlignment="1">
      <alignment horizontal="right"/>
    </xf>
    <xf numFmtId="15" fontId="69" fillId="0" borderId="0" xfId="0" applyNumberFormat="1" applyFont="1" applyFill="1" applyAlignment="1"/>
    <xf numFmtId="0" fontId="6" fillId="0" borderId="0" xfId="0" applyFont="1" applyFill="1" applyBorder="1" applyAlignment="1"/>
    <xf numFmtId="3" fontId="67" fillId="0" borderId="0" xfId="0" applyNumberFormat="1" applyFont="1" applyFill="1" applyBorder="1" applyAlignment="1">
      <alignment horizontal="right" vertical="center" wrapText="1" indent="1"/>
    </xf>
    <xf numFmtId="3" fontId="65" fillId="0" borderId="0" xfId="30" applyNumberFormat="1" applyFont="1" applyFill="1"/>
    <xf numFmtId="3" fontId="65" fillId="0" borderId="0" xfId="30" applyNumberFormat="1" applyFont="1" applyFill="1" applyAlignment="1">
      <alignment horizontal="right"/>
    </xf>
    <xf numFmtId="0" fontId="65" fillId="0" borderId="0" xfId="30" applyFont="1" applyFill="1"/>
    <xf numFmtId="0" fontId="65" fillId="0" borderId="0" xfId="30" applyFont="1" applyFill="1" applyAlignment="1">
      <alignment horizontal="right"/>
    </xf>
    <xf numFmtId="0" fontId="65" fillId="0" borderId="0" xfId="30" applyFont="1" applyFill="1" applyAlignment="1">
      <alignment horizontal="center"/>
    </xf>
    <xf numFmtId="0" fontId="65" fillId="0" borderId="0" xfId="30" applyFont="1" applyFill="1" applyAlignment="1">
      <alignment horizontal="right" vertical="center"/>
    </xf>
    <xf numFmtId="0" fontId="65" fillId="0" borderId="0" xfId="3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shrinkToFit="1"/>
    </xf>
    <xf numFmtId="0" fontId="24" fillId="0" borderId="3" xfId="0" applyFont="1" applyFill="1" applyBorder="1" applyAlignment="1">
      <alignment horizontal="center" vertical="center" shrinkToFit="1"/>
    </xf>
    <xf numFmtId="0" fontId="24" fillId="0" borderId="5" xfId="0" applyFont="1" applyFill="1" applyBorder="1" applyAlignment="1">
      <alignment horizontal="center" vertical="center"/>
    </xf>
    <xf numFmtId="49" fontId="19" fillId="0" borderId="4" xfId="0" applyNumberFormat="1" applyFont="1" applyFill="1" applyBorder="1" applyAlignment="1">
      <alignment horizontal="center" vertical="center" wrapText="1"/>
    </xf>
    <xf numFmtId="15" fontId="19" fillId="0" borderId="4" xfId="0" applyNumberFormat="1" applyFont="1" applyFill="1" applyBorder="1" applyAlignment="1">
      <alignment horizontal="center" vertical="center" wrapText="1"/>
    </xf>
    <xf numFmtId="168" fontId="19" fillId="0" borderId="4" xfId="3" applyNumberFormat="1" applyFont="1" applyFill="1" applyBorder="1" applyAlignment="1">
      <alignment horizontal="right" vertical="center"/>
    </xf>
    <xf numFmtId="0" fontId="19" fillId="0" borderId="4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shrinkToFit="1"/>
    </xf>
    <xf numFmtId="167" fontId="12" fillId="0" borderId="4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shrinkToFit="1"/>
    </xf>
    <xf numFmtId="164" fontId="12" fillId="0" borderId="4" xfId="1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49" fontId="19" fillId="0" borderId="4" xfId="0" applyNumberFormat="1" applyFont="1" applyFill="1" applyBorder="1" applyAlignment="1">
      <alignment horizontal="center" vertical="top" wrapText="1"/>
    </xf>
    <xf numFmtId="15" fontId="25" fillId="0" borderId="4" xfId="0" applyNumberFormat="1" applyFont="1" applyFill="1" applyBorder="1" applyAlignment="1">
      <alignment horizontal="center" vertical="top" wrapText="1"/>
    </xf>
    <xf numFmtId="15" fontId="19" fillId="0" borderId="4" xfId="0" applyNumberFormat="1" applyFont="1" applyFill="1" applyBorder="1" applyAlignment="1">
      <alignment horizontal="center" vertical="top" wrapText="1"/>
    </xf>
    <xf numFmtId="49" fontId="25" fillId="0" borderId="4" xfId="0" applyNumberFormat="1" applyFont="1" applyFill="1" applyBorder="1" applyAlignment="1">
      <alignment horizontal="center" vertical="top" wrapText="1"/>
    </xf>
    <xf numFmtId="164" fontId="26" fillId="0" borderId="4" xfId="1" applyNumberFormat="1" applyFont="1" applyFill="1" applyBorder="1" applyAlignment="1">
      <alignment horizontal="center" vertical="center"/>
    </xf>
    <xf numFmtId="49" fontId="17" fillId="0" borderId="4" xfId="4" applyNumberFormat="1" applyFont="1" applyFill="1" applyBorder="1" applyAlignment="1">
      <alignment horizontal="center" vertical="center" wrapText="1"/>
    </xf>
    <xf numFmtId="165" fontId="19" fillId="0" borderId="4" xfId="0" applyNumberFormat="1" applyFont="1" applyFill="1" applyBorder="1" applyAlignment="1">
      <alignment horizontal="center" vertical="center" wrapText="1"/>
    </xf>
    <xf numFmtId="49" fontId="19" fillId="0" borderId="4" xfId="4" applyNumberFormat="1" applyFont="1" applyFill="1" applyBorder="1" applyAlignment="1">
      <alignment horizontal="center" vertical="center" wrapText="1"/>
    </xf>
    <xf numFmtId="49" fontId="17" fillId="0" borderId="4" xfId="0" applyNumberFormat="1" applyFont="1" applyFill="1" applyBorder="1" applyAlignment="1">
      <alignment horizontal="center" vertical="center" wrapText="1"/>
    </xf>
    <xf numFmtId="49" fontId="17" fillId="0" borderId="10" xfId="0" applyNumberFormat="1" applyFont="1" applyFill="1" applyBorder="1" applyAlignment="1">
      <alignment horizontal="center" vertical="center" wrapText="1"/>
    </xf>
    <xf numFmtId="165" fontId="19" fillId="0" borderId="10" xfId="0" applyNumberFormat="1" applyFont="1" applyFill="1" applyBorder="1" applyAlignment="1">
      <alignment horizontal="center" vertical="center" wrapText="1"/>
    </xf>
    <xf numFmtId="168" fontId="19" fillId="0" borderId="10" xfId="3" applyNumberFormat="1" applyFont="1" applyFill="1" applyBorder="1" applyAlignment="1">
      <alignment horizontal="right" vertical="center"/>
    </xf>
    <xf numFmtId="0" fontId="18" fillId="0" borderId="10" xfId="0" applyFont="1" applyFill="1" applyBorder="1" applyAlignment="1">
      <alignment horizontal="center" vertical="center" shrinkToFit="1"/>
    </xf>
    <xf numFmtId="44" fontId="20" fillId="0" borderId="4" xfId="3" applyFont="1" applyFill="1" applyBorder="1" applyAlignment="1">
      <alignment horizontal="right" vertical="center"/>
    </xf>
    <xf numFmtId="166" fontId="8" fillId="0" borderId="4" xfId="0" applyNumberFormat="1" applyFont="1" applyFill="1" applyBorder="1" applyAlignment="1">
      <alignment horizontal="left" vertical="center"/>
    </xf>
    <xf numFmtId="166" fontId="8" fillId="0" borderId="4" xfId="0" applyNumberFormat="1" applyFont="1" applyFill="1" applyBorder="1" applyAlignment="1">
      <alignment horizontal="center" vertical="center"/>
    </xf>
    <xf numFmtId="44" fontId="27" fillId="0" borderId="4" xfId="3" applyFont="1" applyFill="1" applyBorder="1" applyAlignment="1">
      <alignment horizontal="right" vertical="center"/>
    </xf>
    <xf numFmtId="164" fontId="17" fillId="0" borderId="4" xfId="1" applyNumberFormat="1" applyFont="1" applyFill="1" applyBorder="1" applyAlignment="1">
      <alignment horizontal="center" vertical="center" shrinkToFit="1"/>
    </xf>
    <xf numFmtId="0" fontId="28" fillId="0" borderId="4" xfId="0" applyFont="1" applyFill="1" applyBorder="1" applyAlignment="1">
      <alignment horizontal="center" vertical="center" shrinkToFit="1"/>
    </xf>
    <xf numFmtId="3" fontId="5" fillId="0" borderId="4" xfId="0" applyNumberFormat="1" applyFont="1" applyFill="1" applyBorder="1" applyAlignment="1"/>
    <xf numFmtId="0" fontId="24" fillId="0" borderId="4" xfId="0" applyFont="1" applyFill="1" applyBorder="1" applyAlignment="1">
      <alignment horizontal="center" vertical="center"/>
    </xf>
    <xf numFmtId="164" fontId="5" fillId="0" borderId="4" xfId="1" applyNumberFormat="1" applyFont="1" applyFill="1" applyBorder="1" applyAlignment="1"/>
    <xf numFmtId="0" fontId="23" fillId="0" borderId="3" xfId="0" applyFont="1" applyFill="1" applyBorder="1" applyAlignment="1">
      <alignment horizontal="center" vertical="center" shrinkToFit="1"/>
    </xf>
    <xf numFmtId="0" fontId="24" fillId="0" borderId="2" xfId="0" applyFont="1" applyFill="1" applyBorder="1" applyAlignment="1">
      <alignment horizontal="center" vertical="center" shrinkToFit="1"/>
    </xf>
    <xf numFmtId="165" fontId="8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10" fillId="0" borderId="36" xfId="0" applyFont="1" applyFill="1" applyBorder="1" applyAlignment="1">
      <alignment horizontal="center" vertical="center" shrinkToFit="1"/>
    </xf>
    <xf numFmtId="0" fontId="24" fillId="0" borderId="42" xfId="0" applyFont="1" applyFill="1" applyBorder="1" applyAlignment="1">
      <alignment horizontal="center" vertical="center" shrinkToFit="1"/>
    </xf>
    <xf numFmtId="168" fontId="19" fillId="0" borderId="4" xfId="3" applyNumberFormat="1" applyFont="1" applyFill="1" applyBorder="1" applyAlignment="1">
      <alignment horizontal="center" vertical="center"/>
    </xf>
    <xf numFmtId="49" fontId="17" fillId="0" borderId="4" xfId="0" applyNumberFormat="1" applyFont="1" applyFill="1" applyBorder="1" applyAlignment="1">
      <alignment horizontal="center" wrapText="1"/>
    </xf>
    <xf numFmtId="165" fontId="8" fillId="0" borderId="44" xfId="0" applyNumberFormat="1" applyFont="1" applyFill="1" applyBorder="1" applyAlignment="1">
      <alignment horizontal="center" vertical="center"/>
    </xf>
    <xf numFmtId="44" fontId="20" fillId="0" borderId="44" xfId="3" applyFont="1" applyFill="1" applyBorder="1" applyAlignment="1">
      <alignment horizontal="right" vertical="center"/>
    </xf>
    <xf numFmtId="166" fontId="8" fillId="0" borderId="44" xfId="0" applyNumberFormat="1" applyFont="1" applyFill="1" applyBorder="1" applyAlignment="1">
      <alignment horizontal="left" vertical="center"/>
    </xf>
    <xf numFmtId="166" fontId="8" fillId="0" borderId="44" xfId="0" applyNumberFormat="1" applyFont="1" applyFill="1" applyBorder="1" applyAlignment="1">
      <alignment horizontal="center" vertical="center"/>
    </xf>
    <xf numFmtId="0" fontId="18" fillId="0" borderId="45" xfId="0" applyFont="1" applyFill="1" applyBorder="1" applyAlignment="1">
      <alignment horizontal="center" vertical="center" shrinkToFit="1"/>
    </xf>
    <xf numFmtId="0" fontId="18" fillId="0" borderId="2" xfId="0" applyFont="1" applyFill="1" applyBorder="1" applyAlignment="1">
      <alignment horizontal="center" vertical="center"/>
    </xf>
    <xf numFmtId="49" fontId="19" fillId="0" borderId="4" xfId="0" applyNumberFormat="1" applyFont="1" applyFill="1" applyBorder="1" applyAlignment="1">
      <alignment horizontal="center" wrapText="1"/>
    </xf>
    <xf numFmtId="0" fontId="18" fillId="0" borderId="46" xfId="0" applyFont="1" applyFill="1" applyBorder="1" applyAlignment="1">
      <alignment horizontal="center" vertical="center"/>
    </xf>
    <xf numFmtId="49" fontId="17" fillId="0" borderId="46" xfId="0" applyNumberFormat="1" applyFont="1" applyFill="1" applyBorder="1" applyAlignment="1">
      <alignment horizontal="center" vertical="center" wrapText="1"/>
    </xf>
    <xf numFmtId="165" fontId="19" fillId="0" borderId="46" xfId="0" applyNumberFormat="1" applyFont="1" applyFill="1" applyBorder="1" applyAlignment="1">
      <alignment horizontal="center" vertical="center" wrapText="1"/>
    </xf>
    <xf numFmtId="168" fontId="19" fillId="0" borderId="46" xfId="3" applyNumberFormat="1" applyFont="1" applyFill="1" applyBorder="1" applyAlignment="1">
      <alignment horizontal="right" vertical="center"/>
    </xf>
    <xf numFmtId="49" fontId="19" fillId="0" borderId="46" xfId="0" applyNumberFormat="1" applyFont="1" applyFill="1" applyBorder="1" applyAlignment="1">
      <alignment horizontal="center" vertical="center" wrapText="1"/>
    </xf>
    <xf numFmtId="0" fontId="24" fillId="0" borderId="47" xfId="0" applyFont="1" applyFill="1" applyBorder="1" applyAlignment="1">
      <alignment horizontal="center" vertical="center" shrinkToFit="1"/>
    </xf>
    <xf numFmtId="0" fontId="32" fillId="0" borderId="0" xfId="8" applyFont="1" applyFill="1" applyAlignment="1">
      <alignment horizontal="center"/>
    </xf>
    <xf numFmtId="0" fontId="33" fillId="0" borderId="0" xfId="8" applyFont="1" applyFill="1"/>
    <xf numFmtId="0" fontId="33" fillId="0" borderId="0" xfId="8" applyFont="1" applyFill="1" applyAlignment="1">
      <alignment vertical="center"/>
    </xf>
    <xf numFmtId="0" fontId="35" fillId="0" borderId="0" xfId="8" applyFont="1" applyFill="1" applyAlignment="1">
      <alignment horizontal="left"/>
    </xf>
    <xf numFmtId="0" fontId="34" fillId="0" borderId="0" xfId="8" applyFont="1" applyFill="1"/>
    <xf numFmtId="0" fontId="34" fillId="0" borderId="0" xfId="8" applyFont="1" applyFill="1" applyAlignment="1">
      <alignment horizontal="center"/>
    </xf>
    <xf numFmtId="0" fontId="31" fillId="0" borderId="0" xfId="8" applyFont="1" applyFill="1" applyAlignment="1">
      <alignment horizontal="center"/>
    </xf>
    <xf numFmtId="0" fontId="31" fillId="0" borderId="0" xfId="8" applyFont="1" applyFill="1" applyAlignment="1">
      <alignment vertical="center"/>
    </xf>
    <xf numFmtId="0" fontId="36" fillId="0" borderId="0" xfId="8" applyFont="1" applyFill="1" applyAlignment="1">
      <alignment horizontal="left" vertical="center"/>
    </xf>
    <xf numFmtId="0" fontId="8" fillId="0" borderId="0" xfId="8" applyFont="1" applyFill="1" applyAlignment="1">
      <alignment vertical="center"/>
    </xf>
    <xf numFmtId="0" fontId="9" fillId="0" borderId="0" xfId="8" applyFont="1" applyFill="1" applyAlignment="1">
      <alignment vertical="center"/>
    </xf>
    <xf numFmtId="0" fontId="72" fillId="0" borderId="0" xfId="8" applyFont="1" applyFill="1" applyAlignment="1">
      <alignment vertical="center"/>
    </xf>
    <xf numFmtId="0" fontId="37" fillId="0" borderId="0" xfId="8" applyFont="1" applyFill="1"/>
    <xf numFmtId="0" fontId="38" fillId="0" borderId="0" xfId="8" applyFont="1" applyFill="1" applyAlignment="1">
      <alignment vertical="center"/>
    </xf>
    <xf numFmtId="0" fontId="13" fillId="0" borderId="0" xfId="8" applyFont="1" applyFill="1" applyAlignment="1">
      <alignment vertical="center"/>
    </xf>
    <xf numFmtId="0" fontId="73" fillId="0" borderId="0" xfId="8" applyFont="1" applyFill="1" applyAlignment="1">
      <alignment horizontal="center" vertical="center"/>
    </xf>
    <xf numFmtId="0" fontId="73" fillId="0" borderId="0" xfId="8" applyFont="1" applyFill="1" applyAlignment="1">
      <alignment vertical="center"/>
    </xf>
    <xf numFmtId="0" fontId="74" fillId="0" borderId="0" xfId="8" applyFont="1" applyFill="1" applyAlignment="1">
      <alignment vertical="center"/>
    </xf>
    <xf numFmtId="0" fontId="39" fillId="0" borderId="0" xfId="8" applyFont="1" applyFill="1" applyAlignment="1">
      <alignment vertical="center"/>
    </xf>
    <xf numFmtId="0" fontId="13" fillId="0" borderId="0" xfId="8" applyFont="1" applyFill="1" applyAlignment="1">
      <alignment horizontal="center"/>
    </xf>
    <xf numFmtId="0" fontId="37" fillId="0" borderId="0" xfId="8" applyFont="1" applyFill="1" applyAlignment="1">
      <alignment horizontal="center"/>
    </xf>
    <xf numFmtId="0" fontId="37" fillId="0" borderId="0" xfId="8" applyFont="1" applyFill="1" applyAlignment="1">
      <alignment vertical="center"/>
    </xf>
    <xf numFmtId="0" fontId="41" fillId="0" borderId="23" xfId="8" applyFont="1" applyFill="1" applyBorder="1" applyAlignment="1">
      <alignment vertical="center"/>
    </xf>
    <xf numFmtId="0" fontId="42" fillId="0" borderId="24" xfId="8" applyFont="1" applyFill="1" applyBorder="1" applyAlignment="1">
      <alignment horizontal="center"/>
    </xf>
    <xf numFmtId="0" fontId="42" fillId="0" borderId="10" xfId="8" applyFont="1" applyFill="1" applyBorder="1" applyAlignment="1">
      <alignment horizontal="center"/>
    </xf>
    <xf numFmtId="0" fontId="42" fillId="0" borderId="15" xfId="8" applyFont="1" applyFill="1" applyBorder="1" applyAlignment="1">
      <alignment horizontal="center"/>
    </xf>
    <xf numFmtId="170" fontId="42" fillId="0" borderId="25" xfId="8" applyNumberFormat="1" applyFont="1" applyFill="1" applyBorder="1" applyAlignment="1">
      <alignment vertical="center"/>
    </xf>
    <xf numFmtId="0" fontId="42" fillId="0" borderId="5" xfId="8" applyFont="1" applyFill="1" applyBorder="1" applyAlignment="1">
      <alignment vertical="center"/>
    </xf>
    <xf numFmtId="0" fontId="44" fillId="0" borderId="5" xfId="8" applyFont="1" applyFill="1" applyBorder="1" applyAlignment="1">
      <alignment horizontal="center"/>
    </xf>
    <xf numFmtId="0" fontId="42" fillId="0" borderId="5" xfId="8" applyFont="1" applyFill="1" applyBorder="1"/>
    <xf numFmtId="0" fontId="42" fillId="0" borderId="4" xfId="8" applyFont="1" applyFill="1" applyBorder="1" applyAlignment="1">
      <alignment horizontal="center" vertical="center"/>
    </xf>
    <xf numFmtId="170" fontId="42" fillId="0" borderId="26" xfId="8" applyNumberFormat="1" applyFont="1" applyFill="1" applyBorder="1" applyAlignment="1">
      <alignment vertical="center"/>
    </xf>
    <xf numFmtId="0" fontId="42" fillId="0" borderId="3" xfId="8" applyFont="1" applyFill="1" applyBorder="1" applyAlignment="1">
      <alignment vertical="center"/>
    </xf>
    <xf numFmtId="0" fontId="45" fillId="0" borderId="3" xfId="8" applyFont="1" applyFill="1" applyBorder="1" applyAlignment="1">
      <alignment horizontal="center"/>
    </xf>
    <xf numFmtId="0" fontId="42" fillId="0" borderId="3" xfId="8" applyFont="1" applyFill="1" applyBorder="1"/>
    <xf numFmtId="0" fontId="42" fillId="0" borderId="3" xfId="8" applyFont="1" applyFill="1" applyBorder="1" applyAlignment="1">
      <alignment horizontal="center" vertical="center"/>
    </xf>
    <xf numFmtId="0" fontId="42" fillId="0" borderId="5" xfId="8" applyFont="1" applyFill="1" applyBorder="1" applyAlignment="1">
      <alignment horizontal="center" vertical="center"/>
    </xf>
    <xf numFmtId="0" fontId="42" fillId="0" borderId="4" xfId="8" applyFont="1" applyFill="1" applyBorder="1" applyAlignment="1">
      <alignment horizontal="center"/>
    </xf>
    <xf numFmtId="0" fontId="46" fillId="0" borderId="16" xfId="8" applyFont="1" applyFill="1" applyBorder="1" applyAlignment="1">
      <alignment horizontal="center"/>
    </xf>
    <xf numFmtId="165" fontId="29" fillId="0" borderId="13" xfId="8" applyNumberFormat="1" applyFont="1" applyFill="1" applyBorder="1" applyAlignment="1">
      <alignment horizontal="center"/>
    </xf>
    <xf numFmtId="49" fontId="29" fillId="0" borderId="4" xfId="8" applyNumberFormat="1" applyFont="1" applyFill="1" applyBorder="1" applyAlignment="1">
      <alignment horizontal="center" vertical="center"/>
    </xf>
    <xf numFmtId="0" fontId="29" fillId="0" borderId="4" xfId="8" applyFont="1" applyFill="1" applyBorder="1" applyAlignment="1">
      <alignment vertical="center"/>
    </xf>
    <xf numFmtId="0" fontId="29" fillId="0" borderId="4" xfId="8" applyFont="1" applyFill="1" applyBorder="1" applyAlignment="1">
      <alignment horizontal="left" vertical="center"/>
    </xf>
    <xf numFmtId="0" fontId="47" fillId="0" borderId="14" xfId="8" applyFont="1" applyFill="1" applyBorder="1" applyAlignment="1">
      <alignment horizontal="left" vertical="distributed"/>
    </xf>
    <xf numFmtId="0" fontId="42" fillId="0" borderId="4" xfId="8" applyFont="1" applyFill="1" applyBorder="1" applyAlignment="1">
      <alignment vertical="center"/>
    </xf>
    <xf numFmtId="0" fontId="48" fillId="0" borderId="4" xfId="8" applyFont="1" applyFill="1" applyBorder="1" applyAlignment="1">
      <alignment horizontal="center" vertical="center"/>
    </xf>
    <xf numFmtId="41" fontId="44" fillId="0" borderId="4" xfId="8" applyNumberFormat="1" applyFont="1" applyFill="1" applyBorder="1" applyAlignment="1">
      <alignment horizontal="center" vertical="center"/>
    </xf>
    <xf numFmtId="0" fontId="49" fillId="0" borderId="0" xfId="8" applyFont="1" applyFill="1" applyAlignment="1">
      <alignment vertical="center"/>
    </xf>
    <xf numFmtId="0" fontId="48" fillId="0" borderId="29" xfId="8" applyFont="1" applyFill="1" applyBorder="1" applyAlignment="1">
      <alignment horizontal="center" vertical="center"/>
    </xf>
    <xf numFmtId="170" fontId="45" fillId="0" borderId="0" xfId="8" applyNumberFormat="1" applyFont="1" applyFill="1" applyAlignment="1">
      <alignment horizontal="center"/>
    </xf>
    <xf numFmtId="0" fontId="45" fillId="0" borderId="0" xfId="8" applyFont="1" applyFill="1" applyAlignment="1">
      <alignment horizontal="center"/>
    </xf>
    <xf numFmtId="0" fontId="50" fillId="0" borderId="0" xfId="8" applyFont="1" applyFill="1" applyAlignment="1">
      <alignment horizontal="center"/>
    </xf>
    <xf numFmtId="170" fontId="45" fillId="0" borderId="0" xfId="8" applyNumberFormat="1" applyFont="1" applyFill="1" applyAlignment="1">
      <alignment vertical="center"/>
    </xf>
    <xf numFmtId="0" fontId="45" fillId="0" borderId="0" xfId="8" applyFont="1" applyFill="1" applyAlignment="1">
      <alignment vertical="center"/>
    </xf>
    <xf numFmtId="0" fontId="52" fillId="0" borderId="0" xfId="8" applyFont="1" applyFill="1" applyAlignment="1">
      <alignment vertical="center"/>
    </xf>
    <xf numFmtId="170" fontId="52" fillId="0" borderId="0" xfId="8" applyNumberFormat="1" applyFont="1" applyFill="1" applyAlignment="1">
      <alignment vertical="center"/>
    </xf>
    <xf numFmtId="164" fontId="54" fillId="0" borderId="0" xfId="11" applyNumberFormat="1" applyFont="1" applyFill="1"/>
    <xf numFmtId="0" fontId="55" fillId="0" borderId="0" xfId="11" applyFont="1" applyFill="1"/>
    <xf numFmtId="164" fontId="52" fillId="0" borderId="0" xfId="8" applyNumberFormat="1" applyFont="1" applyFill="1" applyAlignment="1">
      <alignment vertical="center"/>
    </xf>
    <xf numFmtId="0" fontId="55" fillId="0" borderId="0" xfId="11" applyFont="1" applyFill="1" applyAlignment="1">
      <alignment horizontal="center"/>
    </xf>
    <xf numFmtId="0" fontId="75" fillId="0" borderId="0" xfId="8" applyFont="1" applyFill="1" applyAlignment="1">
      <alignment vertical="center"/>
    </xf>
    <xf numFmtId="164" fontId="62" fillId="0" borderId="0" xfId="8" applyNumberFormat="1" applyFont="1" applyFill="1" applyAlignment="1">
      <alignment horizontal="left" vertical="center"/>
    </xf>
    <xf numFmtId="0" fontId="58" fillId="0" borderId="0" xfId="11" applyFont="1" applyFill="1"/>
    <xf numFmtId="0" fontId="59" fillId="0" borderId="0" xfId="11" applyFont="1" applyFill="1"/>
    <xf numFmtId="0" fontId="60" fillId="0" borderId="0" xfId="11" applyFont="1" applyFill="1"/>
    <xf numFmtId="164" fontId="49" fillId="0" borderId="0" xfId="8" applyNumberFormat="1" applyFont="1" applyFill="1" applyAlignment="1">
      <alignment vertical="center"/>
    </xf>
    <xf numFmtId="43" fontId="52" fillId="0" borderId="0" xfId="8" applyNumberFormat="1" applyFont="1" applyFill="1" applyAlignment="1">
      <alignment vertical="center"/>
    </xf>
    <xf numFmtId="0" fontId="29" fillId="0" borderId="9" xfId="8" applyFont="1" applyFill="1" applyBorder="1" applyAlignment="1">
      <alignment horizontal="center"/>
    </xf>
    <xf numFmtId="0" fontId="0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7" fillId="2" borderId="0" xfId="0" applyFont="1" applyFill="1" applyAlignment="1">
      <alignment horizontal="left" vertical="center"/>
    </xf>
    <xf numFmtId="0" fontId="67" fillId="0" borderId="4" xfId="0" applyFont="1" applyFill="1" applyBorder="1" applyAlignment="1">
      <alignment horizontal="left" vertical="center"/>
    </xf>
    <xf numFmtId="164" fontId="67" fillId="0" borderId="4" xfId="1" applyNumberFormat="1" applyFont="1" applyFill="1" applyBorder="1" applyAlignment="1">
      <alignment horizontal="left" vertical="center"/>
    </xf>
    <xf numFmtId="0" fontId="24" fillId="0" borderId="4" xfId="0" applyFont="1" applyFill="1" applyBorder="1" applyAlignment="1"/>
    <xf numFmtId="0" fontId="65" fillId="5" borderId="4" xfId="30" applyFont="1" applyFill="1" applyBorder="1" applyAlignment="1">
      <alignment horizontal="center" vertical="center"/>
    </xf>
    <xf numFmtId="0" fontId="65" fillId="5" borderId="4" xfId="30" applyFont="1" applyFill="1" applyBorder="1" applyAlignment="1">
      <alignment horizontal="right" vertical="center"/>
    </xf>
    <xf numFmtId="0" fontId="65" fillId="6" borderId="4" xfId="0" applyFont="1" applyFill="1" applyBorder="1" applyAlignment="1">
      <alignment horizontal="center" vertical="center"/>
    </xf>
    <xf numFmtId="0" fontId="67" fillId="6" borderId="4" xfId="0" applyFont="1" applyFill="1" applyBorder="1" applyAlignment="1">
      <alignment horizontal="center" vertical="center"/>
    </xf>
    <xf numFmtId="0" fontId="85" fillId="0" borderId="0" xfId="26" applyFont="1" applyFill="1" applyBorder="1" applyAlignment="1">
      <alignment vertical="center"/>
    </xf>
    <xf numFmtId="164" fontId="85" fillId="0" borderId="0" xfId="1" applyNumberFormat="1" applyFont="1" applyFill="1" applyBorder="1" applyAlignment="1">
      <alignment vertical="center"/>
    </xf>
    <xf numFmtId="0" fontId="85" fillId="0" borderId="35" xfId="26" applyFont="1" applyFill="1" applyBorder="1" applyAlignment="1">
      <alignment vertical="center"/>
    </xf>
    <xf numFmtId="0" fontId="77" fillId="0" borderId="0" xfId="0" applyFont="1" applyFill="1" applyAlignment="1"/>
    <xf numFmtId="0" fontId="85" fillId="0" borderId="0" xfId="0" applyFont="1" applyFill="1" applyBorder="1" applyAlignment="1">
      <alignment horizontal="right" vertical="center"/>
    </xf>
    <xf numFmtId="0" fontId="85" fillId="0" borderId="0" xfId="0" applyFont="1" applyFill="1" applyBorder="1" applyAlignment="1">
      <alignment vertical="center"/>
    </xf>
    <xf numFmtId="0" fontId="85" fillId="0" borderId="0" xfId="0" applyFont="1" applyFill="1" applyBorder="1">
      <alignment vertical="top"/>
    </xf>
    <xf numFmtId="0" fontId="85" fillId="0" borderId="0" xfId="0" applyFont="1" applyFill="1" applyBorder="1" applyAlignment="1">
      <alignment horizontal="right" vertical="top"/>
    </xf>
    <xf numFmtId="0" fontId="85" fillId="0" borderId="0" xfId="0" applyFont="1" applyFill="1" applyBorder="1" applyAlignment="1"/>
    <xf numFmtId="164" fontId="85" fillId="0" borderId="0" xfId="1" applyNumberFormat="1" applyFont="1" applyFill="1" applyBorder="1" applyAlignment="1">
      <alignment vertical="top" wrapText="1"/>
    </xf>
    <xf numFmtId="164" fontId="85" fillId="0" borderId="0" xfId="1" applyNumberFormat="1" applyFont="1" applyFill="1" applyBorder="1" applyAlignment="1">
      <alignment horizontal="right" vertical="center" wrapText="1"/>
    </xf>
    <xf numFmtId="164" fontId="85" fillId="0" borderId="0" xfId="1" applyNumberFormat="1" applyFont="1" applyFill="1" applyBorder="1" applyAlignment="1">
      <alignment horizontal="right" vertical="center"/>
    </xf>
    <xf numFmtId="0" fontId="85" fillId="0" borderId="0" xfId="26" applyFont="1" applyFill="1" applyAlignment="1">
      <alignment vertical="center"/>
    </xf>
    <xf numFmtId="0" fontId="85" fillId="0" borderId="0" xfId="0" applyFont="1" applyFill="1" applyBorder="1" applyAlignment="1">
      <alignment horizontal="left" vertical="center"/>
    </xf>
    <xf numFmtId="174" fontId="85" fillId="0" borderId="0" xfId="0" applyNumberFormat="1" applyFont="1" applyFill="1" applyBorder="1" applyAlignment="1">
      <alignment horizontal="left"/>
    </xf>
    <xf numFmtId="164" fontId="85" fillId="0" borderId="1" xfId="1" applyNumberFormat="1" applyFont="1" applyFill="1" applyBorder="1" applyAlignment="1">
      <alignment horizontal="right" vertical="center"/>
    </xf>
    <xf numFmtId="173" fontId="85" fillId="0" borderId="1" xfId="1" applyNumberFormat="1" applyFont="1" applyFill="1" applyBorder="1" applyAlignment="1">
      <alignment horizontal="center"/>
    </xf>
    <xf numFmtId="173" fontId="85" fillId="0" borderId="1" xfId="1" applyNumberFormat="1" applyFont="1" applyFill="1" applyBorder="1" applyAlignment="1"/>
    <xf numFmtId="0" fontId="87" fillId="6" borderId="4" xfId="26" applyFont="1" applyFill="1" applyBorder="1" applyAlignment="1">
      <alignment horizontal="center" vertical="center"/>
    </xf>
    <xf numFmtId="164" fontId="87" fillId="6" borderId="4" xfId="27" applyNumberFormat="1" applyFont="1" applyFill="1" applyBorder="1" applyAlignment="1">
      <alignment horizontal="center" vertical="center"/>
    </xf>
    <xf numFmtId="0" fontId="87" fillId="6" borderId="4" xfId="26" applyFont="1" applyFill="1" applyBorder="1" applyAlignment="1">
      <alignment horizontal="center" vertical="center" wrapText="1"/>
    </xf>
    <xf numFmtId="0" fontId="87" fillId="6" borderId="4" xfId="0" applyFont="1" applyFill="1" applyBorder="1" applyAlignment="1">
      <alignment horizontal="center" vertical="center"/>
    </xf>
    <xf numFmtId="0" fontId="88" fillId="0" borderId="0" xfId="0" applyFont="1" applyAlignment="1"/>
    <xf numFmtId="0" fontId="84" fillId="0" borderId="0" xfId="25" applyFont="1" applyFill="1" applyBorder="1" applyAlignment="1">
      <alignment vertical="center"/>
    </xf>
    <xf numFmtId="164" fontId="84" fillId="0" borderId="0" xfId="1" applyNumberFormat="1" applyFont="1" applyFill="1" applyBorder="1" applyAlignment="1">
      <alignment vertical="center"/>
    </xf>
    <xf numFmtId="164" fontId="65" fillId="0" borderId="0" xfId="1" applyNumberFormat="1" applyFont="1" applyFill="1" applyBorder="1" applyAlignment="1">
      <alignment horizontal="right" vertical="center"/>
    </xf>
    <xf numFmtId="0" fontId="67" fillId="6" borderId="4" xfId="0" applyFont="1" applyFill="1" applyBorder="1" applyAlignment="1">
      <alignment horizontal="center" vertical="center"/>
    </xf>
    <xf numFmtId="0" fontId="66" fillId="0" borderId="0" xfId="4" applyFont="1" applyFill="1" applyAlignment="1">
      <alignment horizontal="center" vertical="center"/>
    </xf>
    <xf numFmtId="0" fontId="65" fillId="6" borderId="4" xfId="0" applyFont="1" applyFill="1" applyBorder="1" applyAlignment="1">
      <alignment horizontal="center" vertical="center"/>
    </xf>
    <xf numFmtId="0" fontId="66" fillId="4" borderId="4" xfId="0" applyFont="1" applyFill="1" applyBorder="1" applyAlignment="1">
      <alignment horizontal="left" vertical="center"/>
    </xf>
    <xf numFmtId="0" fontId="0" fillId="0" borderId="4" xfId="0" applyBorder="1" applyAlignment="1"/>
    <xf numFmtId="0" fontId="66" fillId="0" borderId="0" xfId="4" applyFont="1" applyFill="1" applyBorder="1" applyAlignment="1">
      <alignment horizontal="center" vertical="center"/>
    </xf>
    <xf numFmtId="164" fontId="65" fillId="0" borderId="0" xfId="1" applyNumberFormat="1" applyFont="1" applyFill="1" applyBorder="1" applyAlignment="1">
      <alignment horizontal="right" vertical="center"/>
    </xf>
    <xf numFmtId="0" fontId="67" fillId="6" borderId="4" xfId="0" applyFont="1" applyFill="1" applyBorder="1" applyAlignment="1">
      <alignment horizontal="center" vertical="center"/>
    </xf>
    <xf numFmtId="0" fontId="67" fillId="6" borderId="4" xfId="0" applyFont="1" applyFill="1" applyBorder="1" applyAlignment="1">
      <alignment horizontal="center" vertical="center" wrapText="1"/>
    </xf>
    <xf numFmtId="0" fontId="67" fillId="6" borderId="14" xfId="0" applyFont="1" applyFill="1" applyBorder="1" applyAlignment="1">
      <alignment horizontal="center" vertical="center"/>
    </xf>
    <xf numFmtId="0" fontId="67" fillId="6" borderId="9" xfId="0" applyFont="1" applyFill="1" applyBorder="1" applyAlignment="1">
      <alignment horizontal="center" vertical="center"/>
    </xf>
    <xf numFmtId="0" fontId="67" fillId="6" borderId="10" xfId="0" applyFont="1" applyFill="1" applyBorder="1" applyAlignment="1">
      <alignment horizontal="center" vertical="center"/>
    </xf>
    <xf numFmtId="0" fontId="67" fillId="6" borderId="3" xfId="0" applyFont="1" applyFill="1" applyBorder="1" applyAlignment="1">
      <alignment horizontal="center" vertical="center"/>
    </xf>
    <xf numFmtId="0" fontId="87" fillId="6" borderId="4" xfId="26" applyFont="1" applyFill="1" applyBorder="1" applyAlignment="1">
      <alignment horizontal="center" vertical="center" wrapText="1"/>
    </xf>
    <xf numFmtId="0" fontId="87" fillId="6" borderId="4" xfId="0" applyFont="1" applyFill="1" applyBorder="1" applyAlignment="1">
      <alignment horizontal="center" vertical="center"/>
    </xf>
    <xf numFmtId="0" fontId="77" fillId="6" borderId="4" xfId="0" applyFont="1" applyFill="1" applyBorder="1" applyAlignment="1"/>
    <xf numFmtId="0" fontId="87" fillId="6" borderId="10" xfId="26" applyFont="1" applyFill="1" applyBorder="1" applyAlignment="1">
      <alignment horizontal="center" vertical="center" wrapText="1"/>
    </xf>
    <xf numFmtId="0" fontId="87" fillId="6" borderId="3" xfId="26" applyFont="1" applyFill="1" applyBorder="1" applyAlignment="1">
      <alignment horizontal="center" vertical="center" wrapText="1"/>
    </xf>
    <xf numFmtId="0" fontId="84" fillId="0" borderId="0" xfId="25" applyFont="1" applyFill="1" applyBorder="1" applyAlignment="1">
      <alignment horizontal="center" vertical="center"/>
    </xf>
    <xf numFmtId="0" fontId="85" fillId="0" borderId="4" xfId="26" applyFont="1" applyFill="1" applyBorder="1" applyAlignment="1">
      <alignment horizontal="center" vertical="center"/>
    </xf>
    <xf numFmtId="164" fontId="85" fillId="0" borderId="0" xfId="1" applyNumberFormat="1" applyFont="1" applyFill="1" applyBorder="1" applyAlignment="1">
      <alignment horizontal="center" vertical="center"/>
    </xf>
    <xf numFmtId="164" fontId="85" fillId="0" borderId="6" xfId="1" applyNumberFormat="1" applyFont="1" applyFill="1" applyBorder="1" applyAlignment="1">
      <alignment horizontal="center" vertical="center"/>
    </xf>
    <xf numFmtId="164" fontId="85" fillId="0" borderId="1" xfId="1" applyNumberFormat="1" applyFont="1" applyFill="1" applyBorder="1" applyAlignment="1">
      <alignment horizontal="center" vertical="center"/>
    </xf>
    <xf numFmtId="164" fontId="85" fillId="0" borderId="8" xfId="1" applyNumberFormat="1" applyFont="1" applyFill="1" applyBorder="1" applyAlignment="1">
      <alignment horizontal="center" vertical="center"/>
    </xf>
    <xf numFmtId="0" fontId="77" fillId="6" borderId="14" xfId="0" applyFont="1" applyFill="1" applyBorder="1" applyAlignment="1">
      <alignment horizontal="center"/>
    </xf>
    <xf numFmtId="0" fontId="77" fillId="6" borderId="17" xfId="0" applyFont="1" applyFill="1" applyBorder="1" applyAlignment="1">
      <alignment horizontal="center"/>
    </xf>
    <xf numFmtId="0" fontId="77" fillId="6" borderId="9" xfId="0" applyFont="1" applyFill="1" applyBorder="1" applyAlignment="1">
      <alignment horizontal="center"/>
    </xf>
    <xf numFmtId="164" fontId="84" fillId="0" borderId="4" xfId="1" applyNumberFormat="1" applyFont="1" applyFill="1" applyBorder="1" applyAlignment="1">
      <alignment horizontal="center" vertical="center"/>
    </xf>
    <xf numFmtId="0" fontId="87" fillId="6" borderId="4" xfId="26" applyFont="1" applyFill="1" applyBorder="1" applyAlignment="1">
      <alignment horizontal="center" vertical="center"/>
    </xf>
    <xf numFmtId="0" fontId="86" fillId="6" borderId="4" xfId="0" applyFont="1" applyFill="1" applyBorder="1" applyAlignment="1"/>
    <xf numFmtId="0" fontId="68" fillId="0" borderId="0" xfId="4" applyFont="1" applyFill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4" fillId="0" borderId="4" xfId="0" applyFont="1" applyFill="1" applyBorder="1" applyAlignment="1">
      <alignment horizontal="center"/>
    </xf>
    <xf numFmtId="0" fontId="24" fillId="0" borderId="18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top" shrinkToFit="1"/>
    </xf>
    <xf numFmtId="0" fontId="30" fillId="0" borderId="0" xfId="0" applyFont="1" applyFill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24" fillId="0" borderId="10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18" xfId="0" applyFont="1" applyFill="1" applyBorder="1" applyAlignment="1">
      <alignment horizontal="center" vertical="center" shrinkToFit="1"/>
    </xf>
    <xf numFmtId="0" fontId="24" fillId="0" borderId="12" xfId="0" applyFont="1" applyFill="1" applyBorder="1" applyAlignment="1">
      <alignment horizontal="center" vertical="center" shrinkToFit="1"/>
    </xf>
    <xf numFmtId="0" fontId="24" fillId="0" borderId="7" xfId="0" applyFont="1" applyFill="1" applyBorder="1" applyAlignment="1">
      <alignment horizontal="center" vertical="center" shrinkToFit="1"/>
    </xf>
    <xf numFmtId="0" fontId="24" fillId="0" borderId="9" xfId="0" applyFont="1" applyFill="1" applyBorder="1" applyAlignment="1">
      <alignment horizontal="center" shrinkToFit="1"/>
    </xf>
    <xf numFmtId="0" fontId="24" fillId="0" borderId="4" xfId="0" applyFont="1" applyFill="1" applyBorder="1" applyAlignment="1">
      <alignment horizontal="center" shrinkToFit="1"/>
    </xf>
    <xf numFmtId="0" fontId="24" fillId="0" borderId="10" xfId="0" applyFont="1" applyFill="1" applyBorder="1" applyAlignment="1">
      <alignment horizontal="center" vertical="center" shrinkToFit="1"/>
    </xf>
    <xf numFmtId="0" fontId="24" fillId="0" borderId="5" xfId="0" applyFont="1" applyFill="1" applyBorder="1" applyAlignment="1">
      <alignment horizontal="center" vertical="center" shrinkToFit="1"/>
    </xf>
    <xf numFmtId="0" fontId="24" fillId="0" borderId="3" xfId="0" applyFont="1" applyFill="1" applyBorder="1" applyAlignment="1">
      <alignment horizontal="center" vertical="center" shrinkToFit="1"/>
    </xf>
    <xf numFmtId="0" fontId="24" fillId="0" borderId="19" xfId="0" applyFont="1" applyFill="1" applyBorder="1" applyAlignment="1">
      <alignment horizontal="center" vertical="center" shrinkToFit="1"/>
    </xf>
    <xf numFmtId="0" fontId="24" fillId="0" borderId="1" xfId="0" applyFont="1" applyFill="1" applyBorder="1" applyAlignment="1">
      <alignment horizontal="center" vertical="center" shrinkToFit="1"/>
    </xf>
    <xf numFmtId="0" fontId="24" fillId="0" borderId="8" xfId="0" applyFont="1" applyFill="1" applyBorder="1" applyAlignment="1">
      <alignment horizontal="center" vertical="center" shrinkToFit="1"/>
    </xf>
    <xf numFmtId="0" fontId="24" fillId="0" borderId="9" xfId="0" applyFont="1" applyFill="1" applyBorder="1" applyAlignment="1">
      <alignment horizontal="center" vertical="center" shrinkToFit="1"/>
    </xf>
    <xf numFmtId="0" fontId="24" fillId="0" borderId="4" xfId="0" applyFont="1" applyFill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 shrinkToFit="1"/>
    </xf>
    <xf numFmtId="0" fontId="23" fillId="0" borderId="12" xfId="0" applyFont="1" applyFill="1" applyBorder="1" applyAlignment="1">
      <alignment horizontal="center" vertical="center" shrinkToFit="1"/>
    </xf>
    <xf numFmtId="0" fontId="23" fillId="0" borderId="7" xfId="0" applyFont="1" applyFill="1" applyBorder="1" applyAlignment="1">
      <alignment horizontal="center" vertical="center" shrinkToFit="1"/>
    </xf>
    <xf numFmtId="0" fontId="23" fillId="0" borderId="9" xfId="0" applyFont="1" applyFill="1" applyBorder="1" applyAlignment="1">
      <alignment horizontal="center" shrinkToFit="1"/>
    </xf>
    <xf numFmtId="0" fontId="23" fillId="0" borderId="4" xfId="0" applyFont="1" applyFill="1" applyBorder="1" applyAlignment="1">
      <alignment horizontal="center" shrinkToFit="1"/>
    </xf>
    <xf numFmtId="0" fontId="23" fillId="0" borderId="10" xfId="0" applyFont="1" applyFill="1" applyBorder="1" applyAlignment="1">
      <alignment horizontal="center" vertical="center" shrinkToFit="1"/>
    </xf>
    <xf numFmtId="0" fontId="23" fillId="0" borderId="5" xfId="0" applyFont="1" applyFill="1" applyBorder="1" applyAlignment="1">
      <alignment horizontal="center" vertical="center" shrinkToFit="1"/>
    </xf>
    <xf numFmtId="0" fontId="23" fillId="0" borderId="3" xfId="0" applyFont="1" applyFill="1" applyBorder="1" applyAlignment="1">
      <alignment horizontal="center" vertical="center" shrinkToFit="1"/>
    </xf>
    <xf numFmtId="0" fontId="23" fillId="0" borderId="19" xfId="0" applyFont="1" applyFill="1" applyBorder="1" applyAlignment="1">
      <alignment horizontal="center" vertical="center" shrinkToFit="1"/>
    </xf>
    <xf numFmtId="0" fontId="23" fillId="0" borderId="1" xfId="0" applyFont="1" applyFill="1" applyBorder="1" applyAlignment="1">
      <alignment horizontal="center" vertical="center" shrinkToFit="1"/>
    </xf>
    <xf numFmtId="0" fontId="23" fillId="0" borderId="8" xfId="0" applyFont="1" applyFill="1" applyBorder="1" applyAlignment="1">
      <alignment horizontal="center" vertical="center" shrinkToFit="1"/>
    </xf>
    <xf numFmtId="0" fontId="23" fillId="0" borderId="9" xfId="0" applyFont="1" applyFill="1" applyBorder="1" applyAlignment="1">
      <alignment horizontal="center" vertical="center" shrinkToFit="1"/>
    </xf>
    <xf numFmtId="0" fontId="23" fillId="0" borderId="4" xfId="0" applyFont="1" applyFill="1" applyBorder="1" applyAlignment="1">
      <alignment horizontal="center" vertical="center" shrinkToFit="1"/>
    </xf>
    <xf numFmtId="0" fontId="9" fillId="0" borderId="38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top" shrinkToFit="1"/>
    </xf>
    <xf numFmtId="0" fontId="21" fillId="0" borderId="36" xfId="0" applyFont="1" applyFill="1" applyBorder="1" applyAlignment="1">
      <alignment horizontal="center" vertical="top" shrinkToFit="1"/>
    </xf>
    <xf numFmtId="0" fontId="15" fillId="0" borderId="0" xfId="0" applyFont="1" applyFill="1" applyBorder="1" applyAlignment="1">
      <alignment horizontal="left" vertical="center"/>
    </xf>
    <xf numFmtId="0" fontId="23" fillId="0" borderId="39" xfId="0" applyFont="1" applyFill="1" applyBorder="1" applyAlignment="1">
      <alignment horizontal="center" vertical="center" shrinkToFit="1"/>
    </xf>
    <xf numFmtId="0" fontId="23" fillId="0" borderId="40" xfId="0" applyFont="1" applyFill="1" applyBorder="1" applyAlignment="1">
      <alignment horizontal="center" vertical="center" shrinkToFit="1"/>
    </xf>
    <xf numFmtId="0" fontId="23" fillId="0" borderId="41" xfId="0" applyFont="1" applyFill="1" applyBorder="1" applyAlignment="1">
      <alignment horizontal="center" vertical="center" shrinkToFit="1"/>
    </xf>
    <xf numFmtId="171" fontId="48" fillId="0" borderId="4" xfId="8" applyNumberFormat="1" applyFont="1" applyFill="1" applyBorder="1" applyAlignment="1">
      <alignment horizontal="center"/>
    </xf>
    <xf numFmtId="171" fontId="48" fillId="0" borderId="28" xfId="8" applyNumberFormat="1" applyFont="1" applyFill="1" applyBorder="1" applyAlignment="1">
      <alignment horizontal="center"/>
    </xf>
    <xf numFmtId="171" fontId="48" fillId="0" borderId="29" xfId="8" applyNumberFormat="1" applyFont="1" applyFill="1" applyBorder="1" applyAlignment="1">
      <alignment horizontal="center"/>
    </xf>
    <xf numFmtId="0" fontId="51" fillId="0" borderId="0" xfId="11" applyFont="1" applyFill="1" applyAlignment="1">
      <alignment horizontal="center"/>
    </xf>
    <xf numFmtId="0" fontId="53" fillId="0" borderId="0" xfId="11" applyFont="1" applyFill="1" applyAlignment="1">
      <alignment horizontal="center"/>
    </xf>
    <xf numFmtId="0" fontId="31" fillId="0" borderId="0" xfId="8" applyFont="1" applyFill="1" applyAlignment="1">
      <alignment horizontal="center"/>
    </xf>
    <xf numFmtId="0" fontId="34" fillId="0" borderId="0" xfId="8" applyFont="1" applyFill="1" applyAlignment="1">
      <alignment horizontal="center"/>
    </xf>
    <xf numFmtId="0" fontId="40" fillId="0" borderId="20" xfId="8" applyFont="1" applyFill="1" applyBorder="1" applyAlignment="1">
      <alignment horizontal="center"/>
    </xf>
    <xf numFmtId="0" fontId="40" fillId="0" borderId="21" xfId="8" applyFont="1" applyFill="1" applyBorder="1" applyAlignment="1">
      <alignment horizontal="center"/>
    </xf>
    <xf numFmtId="0" fontId="40" fillId="0" borderId="22" xfId="8" applyFont="1" applyFill="1" applyBorder="1" applyAlignment="1">
      <alignment horizontal="center"/>
    </xf>
    <xf numFmtId="0" fontId="42" fillId="0" borderId="4" xfId="8" applyFont="1" applyFill="1" applyBorder="1" applyAlignment="1">
      <alignment horizontal="center"/>
    </xf>
    <xf numFmtId="0" fontId="43" fillId="0" borderId="8" xfId="8" applyFont="1" applyFill="1" applyBorder="1" applyAlignment="1">
      <alignment horizontal="center"/>
    </xf>
    <xf numFmtId="0" fontId="43" fillId="0" borderId="3" xfId="8" applyFont="1" applyFill="1" applyBorder="1" applyAlignment="1">
      <alignment horizontal="center"/>
    </xf>
    <xf numFmtId="0" fontId="55" fillId="0" borderId="0" xfId="11" applyFont="1" applyFill="1" applyAlignment="1">
      <alignment horizontal="left"/>
    </xf>
    <xf numFmtId="164" fontId="49" fillId="0" borderId="0" xfId="9" applyNumberFormat="1" applyFont="1" applyFill="1" applyAlignment="1">
      <alignment horizontal="center"/>
    </xf>
    <xf numFmtId="164" fontId="52" fillId="0" borderId="0" xfId="9" applyNumberFormat="1" applyFont="1" applyFill="1" applyAlignment="1">
      <alignment horizontal="center"/>
    </xf>
    <xf numFmtId="0" fontId="43" fillId="0" borderId="4" xfId="8" applyFont="1" applyFill="1" applyBorder="1" applyAlignment="1">
      <alignment horizontal="center"/>
    </xf>
    <xf numFmtId="164" fontId="52" fillId="0" borderId="0" xfId="8" applyNumberFormat="1" applyFont="1" applyFill="1" applyAlignment="1">
      <alignment horizontal="center" vertical="center"/>
    </xf>
    <xf numFmtId="0" fontId="42" fillId="0" borderId="14" xfId="8" applyFont="1" applyFill="1" applyBorder="1" applyAlignment="1">
      <alignment horizontal="center" vertical="center"/>
    </xf>
    <xf numFmtId="0" fontId="42" fillId="0" borderId="17" xfId="8" applyFont="1" applyFill="1" applyBorder="1" applyAlignment="1">
      <alignment horizontal="center" vertical="center"/>
    </xf>
    <xf numFmtId="0" fontId="42" fillId="0" borderId="9" xfId="8" applyFont="1" applyFill="1" applyBorder="1" applyAlignment="1">
      <alignment horizontal="center" vertical="center"/>
    </xf>
    <xf numFmtId="173" fontId="65" fillId="0" borderId="0" xfId="1" applyNumberFormat="1" applyFont="1" applyFill="1" applyBorder="1" applyAlignment="1">
      <alignment horizontal="right"/>
    </xf>
  </cellXfs>
  <cellStyles count="54">
    <cellStyle name="%_WHT .Return" xfId="20" xr:uid="{00000000-0005-0000-0000-000000000000}"/>
    <cellStyle name="Comma" xfId="1" builtinId="3"/>
    <cellStyle name="Comma 10" xfId="19" xr:uid="{00000000-0005-0000-0000-000002000000}"/>
    <cellStyle name="Comma 10 3" xfId="22" xr:uid="{00000000-0005-0000-0000-000003000000}"/>
    <cellStyle name="Comma 2" xfId="2" xr:uid="{00000000-0005-0000-0000-000004000000}"/>
    <cellStyle name="Comma 2 2" xfId="32" xr:uid="{21A0663D-85DB-4829-AF3D-45B9C14CF355}"/>
    <cellStyle name="Comma 2 2 3" xfId="21" xr:uid="{00000000-0005-0000-0000-000005000000}"/>
    <cellStyle name="Comma 3" xfId="9" xr:uid="{00000000-0005-0000-0000-000006000000}"/>
    <cellStyle name="Comma 3 2" xfId="37" xr:uid="{266C1375-F4C7-4B57-9C17-B84BF74F14ED}"/>
    <cellStyle name="Comma 4" xfId="27" xr:uid="{00000000-0005-0000-0000-000007000000}"/>
    <cellStyle name="Comma 4 2" xfId="40" xr:uid="{B260779C-205E-4AFB-8EDD-D6DFA8D2EA36}"/>
    <cellStyle name="Currency" xfId="3" builtinId="4"/>
    <cellStyle name="Currency 2" xfId="10" xr:uid="{00000000-0005-0000-0000-000009000000}"/>
    <cellStyle name="Currency 2 2" xfId="38" xr:uid="{2F1BCE3A-39DC-494F-8083-F59AA87F6201}"/>
    <cellStyle name="Explanatory Text" xfId="52" builtinId="53" customBuiltin="1"/>
    <cellStyle name="Heading 1" xfId="47" builtinId="16" customBuiltin="1"/>
    <cellStyle name="Heading 2" xfId="48" builtinId="17" customBuiltin="1"/>
    <cellStyle name="Heading 3" xfId="49" builtinId="18" customBuiltin="1"/>
    <cellStyle name="Heading 4" xfId="50" builtinId="19" customBuiltin="1"/>
    <cellStyle name="Normal" xfId="0" builtinId="0" customBuiltin="1"/>
    <cellStyle name="Normal 18" xfId="18" xr:uid="{00000000-0005-0000-0000-00000B000000}"/>
    <cellStyle name="Normal 2" xfId="4" xr:uid="{00000000-0005-0000-0000-00000C000000}"/>
    <cellStyle name="Normal 2 2" xfId="25" xr:uid="{00000000-0005-0000-0000-00000D000000}"/>
    <cellStyle name="Normal 2 3" xfId="44" xr:uid="{1721F5D3-B949-48B4-979F-CF532B6529C3}"/>
    <cellStyle name="Normal 2 4" xfId="33" xr:uid="{82521499-D0F8-4CFD-A877-1C9A75B78D4C}"/>
    <cellStyle name="Normal 3" xfId="5" xr:uid="{00000000-0005-0000-0000-00000E000000}"/>
    <cellStyle name="Normal 3 2" xfId="6" xr:uid="{00000000-0005-0000-0000-00000F000000}"/>
    <cellStyle name="Normal 3 2 2" xfId="35" xr:uid="{4C9528B2-7E7A-4EB7-9B21-3ED567032C97}"/>
    <cellStyle name="Normal 3 3" xfId="34" xr:uid="{1C98ED50-A297-4EF7-9D73-954FE54670C1}"/>
    <cellStyle name="Normal 4" xfId="8" xr:uid="{00000000-0005-0000-0000-000010000000}"/>
    <cellStyle name="Normal 4 2" xfId="36" xr:uid="{42289D84-F200-47E8-A1B3-D493570F3F66}"/>
    <cellStyle name="Normal 5" xfId="26" xr:uid="{00000000-0005-0000-0000-000011000000}"/>
    <cellStyle name="Normal 5 2" xfId="45" xr:uid="{0DE87E82-8ADF-466E-919B-FB0B61E128B1}"/>
    <cellStyle name="Normal 5 3" xfId="39" xr:uid="{AE73E078-EE6D-4E48-9C1F-51D687F6C9A7}"/>
    <cellStyle name="Normal 6" xfId="30" xr:uid="{00000000-0005-0000-0000-000012000000}"/>
    <cellStyle name="Normal 6 2" xfId="42" xr:uid="{511C0F1A-A66F-48CE-9A28-ABDACC781885}"/>
    <cellStyle name="Normal 7" xfId="31" xr:uid="{F9B91439-CEBA-4659-B23E-600EC7E2F680}"/>
    <cellStyle name="Normal_Oct 04" xfId="29" xr:uid="{00000000-0005-0000-0000-000013000000}"/>
    <cellStyle name="Normal_PJ0406" xfId="23" xr:uid="{00000000-0005-0000-0000-000014000000}"/>
    <cellStyle name="Normal_PJ0506" xfId="24" xr:uid="{00000000-0005-0000-0000-000015000000}"/>
    <cellStyle name="Note" xfId="51" builtinId="10" customBuiltin="1"/>
    <cellStyle name="Percent 2" xfId="28" xr:uid="{00000000-0005-0000-0000-000017000000}"/>
    <cellStyle name="Percent 2 2" xfId="41" xr:uid="{1878A8F1-8816-4E75-A07E-DCABB34CF12F}"/>
    <cellStyle name="Percent 3" xfId="43" xr:uid="{230AF42F-D244-488A-87B2-099C507469C2}"/>
    <cellStyle name="Style 1" xfId="7" xr:uid="{00000000-0005-0000-0000-000018000000}"/>
    <cellStyle name="Title" xfId="46" builtinId="15" customBuiltin="1"/>
    <cellStyle name="Total" xfId="53" builtinId="25" customBuiltin="1"/>
    <cellStyle name="一般" xfId="13" xr:uid="{00000000-0005-0000-0000-000019000000}"/>
    <cellStyle name="千位分隔 30" xfId="14" xr:uid="{00000000-0005-0000-0000-00001A000000}"/>
    <cellStyle name="千位分隔 32" xfId="15" xr:uid="{00000000-0005-0000-0000-00001B000000}"/>
    <cellStyle name="千位分隔_Sheet1" xfId="12" xr:uid="{00000000-0005-0000-0000-00001C000000}"/>
    <cellStyle name="千位分隔_Sheet1 2" xfId="16" xr:uid="{00000000-0005-0000-0000-00001D000000}"/>
    <cellStyle name="千位分隔_Sheet1 3" xfId="17" xr:uid="{00000000-0005-0000-0000-00001E000000}"/>
    <cellStyle name="常规_Sheet1" xfId="11" xr:uid="{00000000-0005-0000-0000-00001F000000}"/>
  </cellStyles>
  <dxfs count="0"/>
  <tableStyles count="0" defaultTableStyle="TableStyleMedium9" defaultPivotStyle="PivotStyleLight16"/>
  <colors>
    <mruColors>
      <color rgb="FFDCE6F1"/>
      <color rgb="FFB2B2B2"/>
      <color rgb="FF2E3440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SOffice\Excel\ARBEIT\UPL\UPL-PLP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H-AUDIT\OLY017\DIAGNOST\ENGLISCH\OLYMPUS\ANLAGE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QA%20report\Financial\Sale%20report_for%20accounting_Version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C-A\SoF_UPL00\SoF%20Company\UPL-PLP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pauline.VN\Local%20Settings\Temp\KPMG05-Info%20require%20for%20preparing%20Sal%20tax-S1412-LP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S36"/>
  <sheetViews>
    <sheetView tabSelected="1" zoomScale="70" zoomScaleNormal="70" workbookViewId="0">
      <selection activeCell="F12" sqref="F12"/>
    </sheetView>
  </sheetViews>
  <sheetFormatPr defaultColWidth="8.77734375" defaultRowHeight="21.6"/>
  <cols>
    <col min="1" max="1" width="8.77734375" style="58"/>
    <col min="2" max="2" width="37" style="58" customWidth="1"/>
    <col min="3" max="3" width="7" style="58" customWidth="1"/>
    <col min="4" max="5" width="29" style="60" customWidth="1"/>
    <col min="6" max="6" width="29.6640625" style="58" customWidth="1"/>
    <col min="7" max="7" width="10.109375" style="58" customWidth="1"/>
    <col min="8" max="9" width="29" style="58" customWidth="1"/>
    <col min="10" max="10" width="8.77734375" style="58"/>
    <col min="11" max="11" width="18.44140625" style="58" customWidth="1"/>
    <col min="12" max="16384" width="8.77734375" style="58"/>
  </cols>
  <sheetData>
    <row r="1" spans="2:19" ht="25.2">
      <c r="C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2:19" ht="25.2">
      <c r="B2" s="245" t="s">
        <v>971</v>
      </c>
      <c r="C2" s="62"/>
      <c r="D2" s="248"/>
      <c r="E2" s="248"/>
      <c r="F2" s="246" t="s">
        <v>1045</v>
      </c>
      <c r="G2" s="62"/>
      <c r="H2" s="248"/>
      <c r="I2" s="62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2:19" ht="25.2">
      <c r="B3" s="245" t="s">
        <v>972</v>
      </c>
      <c r="C3" s="62"/>
      <c r="D3" s="248"/>
      <c r="E3" s="248"/>
      <c r="F3" s="61"/>
      <c r="G3" s="62"/>
      <c r="H3" s="62"/>
      <c r="I3" s="62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2:19" ht="25.2">
      <c r="B4" s="245" t="s">
        <v>973</v>
      </c>
      <c r="C4" s="62"/>
      <c r="D4" s="248"/>
      <c r="E4" s="248"/>
      <c r="F4" s="246" t="s">
        <v>976</v>
      </c>
      <c r="G4" s="62"/>
      <c r="H4" s="248"/>
      <c r="I4" s="62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pans="2:19" ht="25.2">
      <c r="B5" s="245" t="s">
        <v>1038</v>
      </c>
      <c r="C5" s="62"/>
      <c r="D5" s="248"/>
      <c r="E5" s="248"/>
      <c r="F5" s="246" t="s">
        <v>977</v>
      </c>
      <c r="G5" s="62"/>
      <c r="H5" s="248"/>
      <c r="I5" s="62"/>
      <c r="J5" s="59"/>
      <c r="K5" s="59"/>
      <c r="L5" s="59"/>
      <c r="M5" s="59"/>
      <c r="N5" s="59"/>
      <c r="O5" s="59"/>
      <c r="P5" s="59"/>
      <c r="Q5" s="59"/>
      <c r="R5" s="59"/>
      <c r="S5" s="59"/>
    </row>
    <row r="6" spans="2:19" ht="25.2">
      <c r="B6" s="245" t="s">
        <v>1039</v>
      </c>
      <c r="C6" s="62"/>
      <c r="D6" s="248"/>
      <c r="E6" s="248"/>
      <c r="F6" s="246" t="s">
        <v>978</v>
      </c>
      <c r="G6" s="62"/>
      <c r="H6" s="248"/>
      <c r="I6" s="247" t="s">
        <v>1037</v>
      </c>
      <c r="J6" s="59"/>
      <c r="K6" s="250"/>
      <c r="L6" s="59"/>
      <c r="M6" s="59"/>
      <c r="N6" s="59"/>
      <c r="O6" s="59"/>
      <c r="P6" s="59"/>
      <c r="Q6" s="59"/>
      <c r="R6" s="59"/>
      <c r="S6" s="59"/>
    </row>
    <row r="7" spans="2:19" ht="25.2">
      <c r="B7" s="245" t="s">
        <v>1040</v>
      </c>
      <c r="C7" s="62"/>
      <c r="D7" s="248"/>
      <c r="E7" s="248"/>
      <c r="F7" s="246" t="s">
        <v>979</v>
      </c>
      <c r="G7" s="62"/>
      <c r="H7" s="248"/>
      <c r="I7" s="62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spans="2:19" ht="25.2">
      <c r="B8" s="245" t="s">
        <v>1041</v>
      </c>
      <c r="C8" s="62"/>
      <c r="D8" s="248"/>
      <c r="E8" s="248"/>
      <c r="F8" s="246" t="s">
        <v>1046</v>
      </c>
      <c r="G8" s="62"/>
      <c r="H8" s="248"/>
      <c r="I8" s="62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spans="2:19" ht="25.2">
      <c r="B9" s="61"/>
      <c r="C9" s="62"/>
      <c r="D9" s="248"/>
      <c r="E9" s="248"/>
      <c r="F9" s="246" t="s">
        <v>1047</v>
      </c>
      <c r="G9" s="62"/>
      <c r="H9" s="249"/>
      <c r="I9" s="62"/>
      <c r="J9" s="59"/>
      <c r="K9" s="59"/>
      <c r="L9" s="59"/>
      <c r="M9" s="59"/>
      <c r="N9" s="59"/>
      <c r="O9" s="59"/>
      <c r="P9" s="59"/>
      <c r="Q9" s="59"/>
      <c r="R9" s="59"/>
      <c r="S9" s="59"/>
    </row>
    <row r="10" spans="2:19" ht="25.2">
      <c r="B10" s="245" t="s">
        <v>1042</v>
      </c>
      <c r="C10" s="63"/>
      <c r="D10" s="248"/>
      <c r="E10" s="248"/>
      <c r="F10" s="59"/>
      <c r="G10" s="63"/>
      <c r="H10" s="62"/>
      <c r="I10" s="62"/>
      <c r="J10" s="59"/>
      <c r="K10" s="59"/>
      <c r="L10" s="59"/>
      <c r="M10" s="59"/>
      <c r="N10" s="59"/>
      <c r="O10" s="59"/>
      <c r="P10" s="59"/>
      <c r="Q10" s="59"/>
      <c r="R10" s="59"/>
      <c r="S10" s="59"/>
    </row>
    <row r="11" spans="2:19" ht="25.2">
      <c r="B11" s="246" t="s">
        <v>975</v>
      </c>
      <c r="C11" s="63"/>
      <c r="D11" s="248"/>
      <c r="E11" s="248"/>
      <c r="F11" s="59"/>
      <c r="G11" s="63"/>
      <c r="H11" s="62"/>
      <c r="I11" s="62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spans="2:19" ht="25.2">
      <c r="B12" s="245" t="s">
        <v>974</v>
      </c>
      <c r="C12" s="63"/>
      <c r="D12" s="248"/>
      <c r="E12" s="248"/>
      <c r="F12" s="59"/>
      <c r="G12" s="63"/>
      <c r="H12" s="62"/>
      <c r="I12" s="62"/>
      <c r="J12" s="59"/>
      <c r="K12" s="59"/>
      <c r="L12" s="59"/>
      <c r="M12" s="59"/>
      <c r="N12" s="59"/>
      <c r="O12" s="59"/>
      <c r="P12" s="59"/>
      <c r="Q12" s="59"/>
      <c r="R12" s="59"/>
      <c r="S12" s="59"/>
    </row>
    <row r="13" spans="2:19" ht="25.2">
      <c r="B13" s="246" t="s">
        <v>1043</v>
      </c>
      <c r="C13" s="63"/>
      <c r="D13" s="248"/>
      <c r="E13" s="248"/>
      <c r="F13" s="59"/>
      <c r="G13" s="63"/>
      <c r="H13" s="62"/>
      <c r="I13" s="62"/>
      <c r="J13" s="59"/>
      <c r="K13" s="59"/>
      <c r="L13" s="59"/>
      <c r="M13" s="59"/>
      <c r="N13" s="59"/>
      <c r="O13" s="59"/>
      <c r="P13" s="59"/>
      <c r="Q13" s="59"/>
      <c r="R13" s="59"/>
      <c r="S13" s="59"/>
    </row>
    <row r="14" spans="2:19" ht="25.2">
      <c r="B14" s="246" t="s">
        <v>1044</v>
      </c>
      <c r="C14" s="63"/>
      <c r="D14" s="248"/>
      <c r="E14" s="248"/>
      <c r="F14" s="59"/>
      <c r="G14" s="63"/>
      <c r="H14" s="62"/>
      <c r="I14" s="62"/>
      <c r="J14" s="59"/>
      <c r="K14" s="59"/>
      <c r="L14" s="59"/>
      <c r="M14" s="59"/>
      <c r="N14" s="59"/>
      <c r="O14" s="59"/>
      <c r="P14" s="59"/>
      <c r="Q14" s="59"/>
      <c r="R14" s="59"/>
      <c r="S14" s="59"/>
    </row>
    <row r="15" spans="2:19" ht="25.2"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</row>
    <row r="16" spans="2:19" ht="25.2"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</row>
    <row r="17" spans="2:19" ht="25.2"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</row>
    <row r="18" spans="2:19" ht="25.2"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</row>
    <row r="19" spans="2:19" ht="25.2"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</row>
    <row r="20" spans="2:19" ht="25.2"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</row>
    <row r="21" spans="2:19" ht="25.2"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</row>
    <row r="22" spans="2:19" ht="25.2"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</row>
    <row r="23" spans="2:19" ht="25.2">
      <c r="B23" s="64"/>
      <c r="C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</row>
    <row r="24" spans="2:19" ht="25.2">
      <c r="C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</row>
    <row r="25" spans="2:19" ht="25.2">
      <c r="C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</row>
    <row r="26" spans="2:19" ht="25.2">
      <c r="C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</row>
    <row r="27" spans="2:19" ht="25.2">
      <c r="C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</row>
    <row r="28" spans="2:19" ht="25.2">
      <c r="C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</row>
    <row r="29" spans="2:19" ht="25.2">
      <c r="C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</row>
    <row r="30" spans="2:19" ht="25.2">
      <c r="C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</row>
    <row r="31" spans="2:19" ht="25.2">
      <c r="C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</row>
    <row r="32" spans="2:19" ht="25.2">
      <c r="C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</row>
    <row r="33" spans="3:19" ht="25.2">
      <c r="C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</row>
    <row r="34" spans="3:19" ht="25.2">
      <c r="C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</row>
    <row r="35" spans="3:19" ht="25.2">
      <c r="C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</row>
    <row r="36" spans="3:19" ht="25.2">
      <c r="C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</row>
  </sheetData>
  <phoneticPr fontId="7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14"/>
  <sheetViews>
    <sheetView zoomScale="70" zoomScaleNormal="70" zoomScaleSheetLayoutView="55" workbookViewId="0">
      <selection activeCell="G17" sqref="G17"/>
    </sheetView>
  </sheetViews>
  <sheetFormatPr defaultColWidth="9.109375" defaultRowHeight="30" customHeight="1"/>
  <cols>
    <col min="1" max="1" width="11.33203125" style="89" customWidth="1"/>
    <col min="2" max="2" width="35.33203125" style="89" customWidth="1"/>
    <col min="3" max="4" width="18.77734375" style="89" customWidth="1"/>
    <col min="5" max="5" width="8.6640625" style="89" hidden="1" customWidth="1"/>
    <col min="6" max="6" width="11.6640625" style="89" hidden="1" customWidth="1"/>
    <col min="7" max="7" width="25.21875" style="89" customWidth="1"/>
    <col min="8" max="8" width="25.33203125" style="89" customWidth="1"/>
    <col min="9" max="16384" width="9.109375" style="90"/>
  </cols>
  <sheetData>
    <row r="1" spans="1:9" s="60" customFormat="1" ht="30" customHeight="1">
      <c r="A1" s="282" t="s">
        <v>966</v>
      </c>
      <c r="B1" s="282"/>
      <c r="C1" s="282"/>
      <c r="D1" s="282"/>
      <c r="E1" s="282"/>
      <c r="F1" s="282"/>
      <c r="G1" s="282"/>
      <c r="H1" s="282"/>
    </row>
    <row r="2" spans="1:9" s="60" customFormat="1" ht="30" customHeight="1">
      <c r="A2" s="282" t="s">
        <v>989</v>
      </c>
      <c r="B2" s="282"/>
      <c r="C2" s="282"/>
      <c r="D2" s="282"/>
      <c r="E2" s="282"/>
      <c r="F2" s="282"/>
      <c r="G2" s="282"/>
      <c r="H2" s="282"/>
    </row>
    <row r="3" spans="1:9" s="60" customFormat="1" ht="30" customHeight="1">
      <c r="A3" s="282" t="s">
        <v>8</v>
      </c>
      <c r="B3" s="282"/>
      <c r="C3" s="282"/>
      <c r="D3" s="282"/>
      <c r="E3" s="282"/>
      <c r="F3" s="282"/>
      <c r="G3" s="282"/>
      <c r="H3" s="282"/>
    </row>
    <row r="4" spans="1:9" s="60" customFormat="1" ht="30" customHeight="1">
      <c r="A4" s="65" t="s">
        <v>969</v>
      </c>
      <c r="B4" s="66">
        <f>'Company information'!D2</f>
        <v>0</v>
      </c>
      <c r="C4" s="67"/>
      <c r="D4" s="68"/>
      <c r="E4" s="69"/>
      <c r="F4" s="70"/>
      <c r="G4" s="71" t="s">
        <v>967</v>
      </c>
      <c r="H4" s="72">
        <f>'Company information'!D8</f>
        <v>0</v>
      </c>
    </row>
    <row r="5" spans="1:9" s="60" customFormat="1" ht="30" customHeight="1">
      <c r="A5" s="73" t="s">
        <v>984</v>
      </c>
      <c r="B5" s="66">
        <f>'Company information'!D4</f>
        <v>0</v>
      </c>
      <c r="C5" s="67"/>
      <c r="D5" s="68"/>
      <c r="E5" s="69"/>
      <c r="F5" s="68"/>
      <c r="G5" s="67"/>
      <c r="H5" s="72">
        <f>'Company information'!E8</f>
        <v>0</v>
      </c>
    </row>
    <row r="6" spans="1:9" s="60" customFormat="1" ht="30" customHeight="1">
      <c r="A6" s="74">
        <f>'Company information'!H8</f>
        <v>0</v>
      </c>
      <c r="B6" s="66"/>
      <c r="D6" s="68"/>
      <c r="E6" s="69"/>
      <c r="F6" s="70"/>
      <c r="G6" s="75" t="s">
        <v>968</v>
      </c>
      <c r="H6" s="76">
        <f>'Company information'!H9</f>
        <v>0</v>
      </c>
    </row>
    <row r="7" spans="1:9" s="59" customFormat="1" ht="30" customHeight="1">
      <c r="A7" s="283" t="s">
        <v>2</v>
      </c>
      <c r="B7" s="283" t="s">
        <v>760</v>
      </c>
      <c r="C7" s="283" t="s">
        <v>993</v>
      </c>
      <c r="D7" s="283"/>
      <c r="E7" s="283" t="s">
        <v>9</v>
      </c>
      <c r="F7" s="283"/>
      <c r="G7" s="283" t="s">
        <v>962</v>
      </c>
      <c r="H7" s="283" t="s">
        <v>15</v>
      </c>
    </row>
    <row r="8" spans="1:9" s="59" customFormat="1" ht="30" customHeight="1">
      <c r="A8" s="283"/>
      <c r="B8" s="283"/>
      <c r="C8" s="253" t="s">
        <v>6</v>
      </c>
      <c r="D8" s="253" t="s">
        <v>7</v>
      </c>
      <c r="E8" s="253" t="s">
        <v>6</v>
      </c>
      <c r="F8" s="253" t="s">
        <v>958</v>
      </c>
      <c r="G8" s="283"/>
      <c r="H8" s="283"/>
    </row>
    <row r="9" spans="1:9" s="64" customFormat="1" ht="30" customHeight="1">
      <c r="A9" s="77"/>
      <c r="B9" s="45"/>
      <c r="C9" s="46"/>
      <c r="D9" s="78"/>
      <c r="E9" s="79"/>
      <c r="F9" s="80"/>
      <c r="G9" s="47"/>
      <c r="H9" s="50"/>
      <c r="I9" s="81"/>
    </row>
    <row r="10" spans="1:9" s="88" customFormat="1" ht="30" customHeight="1">
      <c r="A10" s="77"/>
      <c r="B10" s="82"/>
      <c r="C10" s="83"/>
      <c r="D10" s="84"/>
      <c r="E10" s="85"/>
      <c r="F10" s="80"/>
      <c r="G10" s="48"/>
      <c r="H10" s="86"/>
      <c r="I10" s="87"/>
    </row>
    <row r="11" spans="1:9" s="88" customFormat="1" ht="30" customHeight="1">
      <c r="A11" s="77"/>
      <c r="B11" s="82"/>
      <c r="C11" s="83"/>
      <c r="D11" s="84"/>
      <c r="E11" s="85"/>
      <c r="F11" s="80"/>
      <c r="G11" s="48"/>
      <c r="H11" s="86"/>
      <c r="I11" s="87"/>
    </row>
    <row r="12" spans="1:9" s="88" customFormat="1" ht="30" customHeight="1">
      <c r="A12" s="77"/>
      <c r="B12" s="82"/>
      <c r="C12" s="83"/>
      <c r="D12" s="84"/>
      <c r="E12" s="85"/>
      <c r="F12" s="80"/>
      <c r="G12" s="48"/>
      <c r="H12" s="86"/>
      <c r="I12" s="87"/>
    </row>
    <row r="13" spans="1:9" s="88" customFormat="1" ht="30" customHeight="1">
      <c r="A13" s="77"/>
      <c r="B13" s="82"/>
      <c r="C13" s="83"/>
      <c r="D13" s="84"/>
      <c r="E13" s="85"/>
      <c r="F13" s="80"/>
      <c r="G13" s="48"/>
      <c r="H13" s="86"/>
      <c r="I13" s="87"/>
    </row>
    <row r="14" spans="1:9" s="88" customFormat="1" ht="30" customHeight="1">
      <c r="A14" s="77"/>
      <c r="B14" s="82"/>
      <c r="C14" s="83"/>
      <c r="D14" s="84"/>
      <c r="E14" s="85"/>
      <c r="F14" s="80"/>
      <c r="G14" s="48"/>
      <c r="H14" s="86"/>
      <c r="I14" s="87"/>
    </row>
  </sheetData>
  <autoFilter ref="A9:I9" xr:uid="{00000000-0001-0000-0100-000000000000}"/>
  <mergeCells count="9">
    <mergeCell ref="A1:H1"/>
    <mergeCell ref="A2:H2"/>
    <mergeCell ref="A3:H3"/>
    <mergeCell ref="H7:H8"/>
    <mergeCell ref="G7:G8"/>
    <mergeCell ref="A7:A8"/>
    <mergeCell ref="B7:B8"/>
    <mergeCell ref="C7:D7"/>
    <mergeCell ref="E7:F7"/>
  </mergeCells>
  <phoneticPr fontId="0" type="noConversion"/>
  <printOptions horizontalCentered="1"/>
  <pageMargins left="0.196850393700787" right="0.196850393700787" top="0.16" bottom="0.45" header="0.51" footer="0.196850393700787"/>
  <pageSetup paperSize="9" scale="72" fitToHeight="0" orientation="portrait" horizontalDpi="1200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K10"/>
  <sheetViews>
    <sheetView zoomScale="70" zoomScaleNormal="70" zoomScaleSheetLayoutView="55" workbookViewId="0">
      <selection activeCell="J14" sqref="J14"/>
    </sheetView>
  </sheetViews>
  <sheetFormatPr defaultColWidth="9.109375" defaultRowHeight="30" customHeight="1"/>
  <cols>
    <col min="1" max="1" width="12.44140625" style="89" customWidth="1"/>
    <col min="2" max="2" width="39.77734375" style="89" customWidth="1"/>
    <col min="3" max="4" width="18.77734375" style="89" customWidth="1"/>
    <col min="5" max="5" width="11.6640625" style="89" hidden="1" customWidth="1"/>
    <col min="6" max="6" width="13.44140625" style="89" hidden="1" customWidth="1"/>
    <col min="7" max="7" width="33.109375" style="89" customWidth="1"/>
    <col min="8" max="8" width="42.44140625" style="89" customWidth="1"/>
    <col min="9" max="9" width="17.33203125" style="89" customWidth="1"/>
    <col min="10" max="10" width="18.77734375" style="90" customWidth="1"/>
    <col min="11" max="11" width="17.44140625" style="90" customWidth="1"/>
    <col min="12" max="16384" width="9.109375" style="90"/>
  </cols>
  <sheetData>
    <row r="1" spans="1:11" s="60" customFormat="1" ht="30" customHeight="1">
      <c r="A1" s="286" t="s">
        <v>988</v>
      </c>
      <c r="B1" s="286"/>
      <c r="C1" s="286"/>
      <c r="D1" s="286"/>
      <c r="E1" s="286"/>
      <c r="F1" s="286"/>
      <c r="G1" s="286"/>
      <c r="H1" s="286"/>
      <c r="I1" s="286"/>
    </row>
    <row r="2" spans="1:11" s="60" customFormat="1" ht="30" customHeight="1">
      <c r="A2" s="286" t="s">
        <v>983</v>
      </c>
      <c r="B2" s="286"/>
      <c r="C2" s="286"/>
      <c r="D2" s="286"/>
      <c r="E2" s="286"/>
      <c r="F2" s="286"/>
      <c r="G2" s="286"/>
      <c r="H2" s="286"/>
      <c r="I2" s="286"/>
    </row>
    <row r="3" spans="1:11" s="60" customFormat="1" ht="30" customHeight="1">
      <c r="A3" s="286" t="s">
        <v>1017</v>
      </c>
      <c r="B3" s="286"/>
      <c r="C3" s="286"/>
      <c r="D3" s="286"/>
      <c r="E3" s="286"/>
      <c r="F3" s="286"/>
      <c r="G3" s="286"/>
      <c r="H3" s="286"/>
      <c r="I3" s="286"/>
    </row>
    <row r="4" spans="1:11" s="60" customFormat="1" ht="30" customHeight="1">
      <c r="A4" s="91" t="s">
        <v>969</v>
      </c>
      <c r="B4" s="92">
        <f>'Company information'!D2</f>
        <v>0</v>
      </c>
      <c r="C4" s="93"/>
      <c r="D4" s="94"/>
      <c r="E4" s="95"/>
      <c r="F4" s="96"/>
      <c r="G4" s="97" t="s">
        <v>967</v>
      </c>
      <c r="H4" s="287">
        <f>'Company information'!D8</f>
        <v>0</v>
      </c>
      <c r="I4" s="287"/>
    </row>
    <row r="5" spans="1:11" s="60" customFormat="1" ht="30" customHeight="1">
      <c r="A5" s="91" t="s">
        <v>984</v>
      </c>
      <c r="B5" s="92">
        <f>'Company information'!D4</f>
        <v>0</v>
      </c>
      <c r="C5" s="98"/>
      <c r="D5" s="94"/>
      <c r="E5" s="95"/>
      <c r="F5" s="94"/>
      <c r="G5" s="98"/>
      <c r="H5" s="287">
        <f>'Company information'!E8</f>
        <v>0</v>
      </c>
      <c r="I5" s="287"/>
    </row>
    <row r="6" spans="1:11" s="60" customFormat="1" ht="30" customHeight="1">
      <c r="A6" s="99">
        <f>'Company information'!H8</f>
        <v>0</v>
      </c>
      <c r="B6" s="92"/>
      <c r="C6" s="93"/>
      <c r="D6" s="94"/>
      <c r="E6" s="95"/>
      <c r="F6" s="96"/>
      <c r="G6" s="280" t="s">
        <v>968</v>
      </c>
      <c r="H6" s="401">
        <f>'Company information'!H9</f>
        <v>0</v>
      </c>
      <c r="I6" s="401"/>
    </row>
    <row r="7" spans="1:11" s="59" customFormat="1" ht="30" customHeight="1">
      <c r="A7" s="288" t="s">
        <v>2</v>
      </c>
      <c r="B7" s="288" t="s">
        <v>760</v>
      </c>
      <c r="C7" s="288" t="s">
        <v>992</v>
      </c>
      <c r="D7" s="288"/>
      <c r="E7" s="288" t="s">
        <v>9</v>
      </c>
      <c r="F7" s="288"/>
      <c r="G7" s="288" t="s">
        <v>962</v>
      </c>
      <c r="H7" s="289" t="s">
        <v>1018</v>
      </c>
      <c r="I7" s="288" t="s">
        <v>1048</v>
      </c>
    </row>
    <row r="8" spans="1:11" s="59" customFormat="1" ht="30" customHeight="1">
      <c r="A8" s="288"/>
      <c r="B8" s="288"/>
      <c r="C8" s="281" t="s">
        <v>6</v>
      </c>
      <c r="D8" s="281" t="s">
        <v>7</v>
      </c>
      <c r="E8" s="281" t="s">
        <v>6</v>
      </c>
      <c r="F8" s="281" t="s">
        <v>958</v>
      </c>
      <c r="G8" s="288"/>
      <c r="H8" s="288"/>
      <c r="I8" s="288"/>
      <c r="J8" s="277"/>
      <c r="K8" s="277"/>
    </row>
    <row r="9" spans="1:11" s="59" customFormat="1" ht="30" customHeight="1">
      <c r="A9" s="51"/>
      <c r="B9" s="51"/>
      <c r="C9" s="51"/>
      <c r="D9" s="51"/>
      <c r="E9" s="51"/>
      <c r="F9" s="51"/>
      <c r="G9" s="51"/>
      <c r="H9" s="51"/>
      <c r="I9" s="100"/>
    </row>
    <row r="10" spans="1:11" s="64" customFormat="1" ht="30" customHeight="1">
      <c r="A10" s="284" t="s">
        <v>1020</v>
      </c>
      <c r="B10" s="285"/>
      <c r="C10" s="285"/>
      <c r="D10" s="285"/>
      <c r="E10" s="285"/>
      <c r="F10" s="285"/>
      <c r="G10" s="285"/>
      <c r="H10" s="285"/>
      <c r="I10" s="285"/>
    </row>
  </sheetData>
  <autoFilter ref="A9:K9" xr:uid="{00000000-0001-0000-0200-000000000000}"/>
  <mergeCells count="14">
    <mergeCell ref="A10:I10"/>
    <mergeCell ref="A1:I1"/>
    <mergeCell ref="A2:I2"/>
    <mergeCell ref="A3:I3"/>
    <mergeCell ref="I7:I8"/>
    <mergeCell ref="H4:I4"/>
    <mergeCell ref="H5:I5"/>
    <mergeCell ref="H6:I6"/>
    <mergeCell ref="A7:A8"/>
    <mergeCell ref="B7:B8"/>
    <mergeCell ref="H7:H8"/>
    <mergeCell ref="C7:D7"/>
    <mergeCell ref="E7:F7"/>
    <mergeCell ref="G7:G8"/>
  </mergeCells>
  <printOptions horizontalCentered="1"/>
  <pageMargins left="0.196850393700787" right="0.196850393700787" top="0.16" bottom="0.45" header="0.51" footer="0.196850393700787"/>
  <pageSetup paperSize="9" scale="80" fitToHeight="0" orientation="landscape" horizontalDpi="1200" r:id="rId1"/>
  <headerFooter alignWithMargins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F532-92EF-483A-99A9-EF9B2ABC7956}">
  <sheetPr codeName="Sheet4"/>
  <dimension ref="A1:AT9"/>
  <sheetViews>
    <sheetView zoomScale="70" zoomScaleNormal="70" workbookViewId="0">
      <selection activeCell="L16" sqref="L16"/>
    </sheetView>
  </sheetViews>
  <sheetFormatPr defaultRowHeight="13.2"/>
  <cols>
    <col min="1" max="1" width="12" style="258" customWidth="1"/>
    <col min="2" max="2" width="20.5546875" style="258" customWidth="1"/>
    <col min="3" max="3" width="22.33203125" style="258" customWidth="1"/>
    <col min="4" max="4" width="22.5546875" style="258" customWidth="1"/>
    <col min="5" max="5" width="22.21875" style="258" customWidth="1"/>
    <col min="6" max="6" width="16.21875" style="258" customWidth="1"/>
    <col min="7" max="7" width="16.109375" style="258" hidden="1" customWidth="1"/>
    <col min="8" max="8" width="7.77734375" style="258" hidden="1" customWidth="1"/>
    <col min="9" max="9" width="23.5546875" style="258" customWidth="1"/>
    <col min="10" max="11" width="22.33203125" style="258" customWidth="1"/>
    <col min="12" max="13" width="21.77734375" style="258" customWidth="1"/>
    <col min="14" max="14" width="15" style="258" customWidth="1"/>
    <col min="15" max="15" width="11.77734375" style="258" customWidth="1"/>
    <col min="16" max="16" width="12.5546875" style="258" customWidth="1"/>
    <col min="17" max="17" width="19.109375" style="258" customWidth="1"/>
    <col min="18" max="18" width="16.33203125" style="258" customWidth="1"/>
    <col min="19" max="19" width="15.109375" style="258" customWidth="1"/>
    <col min="20" max="20" width="18.109375" style="258" customWidth="1"/>
    <col min="21" max="21" width="16.33203125" style="258" customWidth="1"/>
    <col min="22" max="22" width="30.5546875" style="258" customWidth="1"/>
    <col min="23" max="23" width="19.33203125" style="258" customWidth="1"/>
    <col min="24" max="24" width="14" style="258" customWidth="1"/>
    <col min="25" max="25" width="14.109375" style="258" customWidth="1"/>
    <col min="26" max="26" width="26.109375" style="258" customWidth="1"/>
    <col min="27" max="27" width="27.109375" style="258" customWidth="1"/>
    <col min="28" max="28" width="15.33203125" style="258" customWidth="1"/>
    <col min="29" max="29" width="23" style="258" customWidth="1"/>
    <col min="30" max="30" width="22.109375" style="258" customWidth="1"/>
    <col min="31" max="31" width="20.109375" style="258" customWidth="1"/>
    <col min="32" max="32" width="14.21875" style="258" customWidth="1"/>
    <col min="33" max="33" width="18.44140625" style="258" customWidth="1"/>
    <col min="34" max="34" width="26.6640625" style="258" customWidth="1"/>
    <col min="35" max="35" width="14.77734375" style="258" customWidth="1"/>
    <col min="36" max="36" width="17.77734375" style="258" customWidth="1"/>
    <col min="37" max="37" width="26.44140625" style="258" customWidth="1"/>
    <col min="38" max="38" width="28.6640625" style="258" customWidth="1"/>
    <col min="39" max="39" width="17.6640625" style="258" customWidth="1"/>
    <col min="40" max="40" width="28" style="258" customWidth="1"/>
    <col min="41" max="41" width="27.21875" style="258" customWidth="1"/>
    <col min="42" max="42" width="18.33203125" style="258" customWidth="1"/>
    <col min="43" max="43" width="31.33203125" style="258" customWidth="1"/>
    <col min="44" max="44" width="17.88671875" style="258" customWidth="1"/>
    <col min="45" max="45" width="29.6640625" style="258" customWidth="1"/>
    <col min="46" max="46" width="18.21875" style="258" customWidth="1"/>
    <col min="47" max="16384" width="8.88671875" style="258"/>
  </cols>
  <sheetData>
    <row r="1" spans="1:46" ht="24.6">
      <c r="A1" s="299" t="s">
        <v>980</v>
      </c>
      <c r="B1" s="299"/>
      <c r="C1" s="299"/>
      <c r="D1" s="299"/>
      <c r="E1" s="299"/>
      <c r="F1" s="299"/>
      <c r="G1" s="299"/>
      <c r="H1" s="299"/>
      <c r="I1" s="299"/>
      <c r="J1" s="299"/>
      <c r="K1" s="278"/>
      <c r="L1" s="278"/>
      <c r="M1" s="278"/>
      <c r="N1" s="278"/>
      <c r="O1" s="278"/>
      <c r="P1" s="278"/>
      <c r="Q1" s="278"/>
      <c r="R1" s="278"/>
      <c r="S1" s="279"/>
      <c r="T1" s="255"/>
      <c r="U1" s="255"/>
      <c r="V1" s="255"/>
      <c r="W1" s="255"/>
      <c r="X1" s="255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5"/>
      <c r="AL1" s="255"/>
      <c r="AM1" s="255"/>
      <c r="AN1" s="255"/>
      <c r="AO1" s="255"/>
      <c r="AP1" s="255"/>
      <c r="AQ1" s="255"/>
      <c r="AR1" s="255"/>
      <c r="AS1" s="255"/>
      <c r="AT1" s="257"/>
    </row>
    <row r="2" spans="1:46" ht="24.6">
      <c r="A2" s="299" t="s">
        <v>983</v>
      </c>
      <c r="B2" s="299"/>
      <c r="C2" s="299"/>
      <c r="D2" s="299"/>
      <c r="E2" s="299"/>
      <c r="F2" s="299"/>
      <c r="G2" s="299"/>
      <c r="H2" s="299"/>
      <c r="I2" s="299"/>
      <c r="J2" s="299"/>
      <c r="K2" s="278"/>
      <c r="L2" s="278"/>
      <c r="M2" s="278"/>
      <c r="N2" s="278"/>
      <c r="O2" s="278"/>
      <c r="P2" s="278"/>
      <c r="Q2" s="278"/>
      <c r="R2" s="278"/>
      <c r="S2" s="279"/>
      <c r="T2" s="255"/>
      <c r="U2" s="255"/>
      <c r="V2" s="255"/>
      <c r="W2" s="255"/>
      <c r="X2" s="255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5"/>
      <c r="AL2" s="255"/>
      <c r="AM2" s="255"/>
      <c r="AN2" s="255"/>
      <c r="AO2" s="255"/>
      <c r="AP2" s="255"/>
      <c r="AQ2" s="255"/>
      <c r="AR2" s="255"/>
      <c r="AS2" s="255"/>
      <c r="AT2" s="257"/>
    </row>
    <row r="3" spans="1:46" ht="24.6">
      <c r="A3" s="299" t="s">
        <v>957</v>
      </c>
      <c r="B3" s="299"/>
      <c r="C3" s="299"/>
      <c r="D3" s="299"/>
      <c r="E3" s="299"/>
      <c r="F3" s="299"/>
      <c r="G3" s="299"/>
      <c r="H3" s="299"/>
      <c r="I3" s="299"/>
      <c r="J3" s="299"/>
      <c r="K3" s="278"/>
      <c r="L3" s="278"/>
      <c r="M3" s="278"/>
      <c r="N3" s="278"/>
      <c r="O3" s="278"/>
      <c r="P3" s="278"/>
      <c r="Q3" s="278"/>
      <c r="R3" s="278"/>
      <c r="S3" s="279"/>
      <c r="T3" s="255"/>
      <c r="U3" s="255"/>
      <c r="V3" s="255"/>
      <c r="W3" s="255"/>
      <c r="X3" s="255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5"/>
      <c r="AL3" s="255"/>
      <c r="AM3" s="255"/>
      <c r="AN3" s="255"/>
      <c r="AO3" s="255"/>
      <c r="AP3" s="255"/>
      <c r="AQ3" s="255"/>
      <c r="AR3" s="255"/>
      <c r="AS3" s="255"/>
      <c r="AT3" s="257"/>
    </row>
    <row r="4" spans="1:46" ht="24.6">
      <c r="A4" s="259" t="s">
        <v>969</v>
      </c>
      <c r="B4" s="260">
        <f>'Company information'!D2</f>
        <v>0</v>
      </c>
      <c r="C4" s="255"/>
      <c r="D4" s="261"/>
      <c r="E4" s="262"/>
      <c r="F4" s="263"/>
      <c r="G4" s="255"/>
      <c r="H4" s="264"/>
      <c r="I4" s="265" t="s">
        <v>967</v>
      </c>
      <c r="J4" s="266">
        <f>'Company information'!D8</f>
        <v>0</v>
      </c>
      <c r="K4" s="255"/>
      <c r="M4" s="266"/>
      <c r="N4" s="267"/>
      <c r="O4" s="266"/>
      <c r="P4" s="266"/>
      <c r="Q4" s="266"/>
      <c r="R4" s="266"/>
      <c r="S4" s="256"/>
      <c r="T4" s="255"/>
      <c r="U4" s="255"/>
      <c r="V4" s="255"/>
      <c r="W4" s="255"/>
      <c r="X4" s="255"/>
      <c r="Y4" s="256"/>
      <c r="Z4" s="256"/>
      <c r="AA4" s="256"/>
      <c r="AB4" s="256"/>
      <c r="AC4" s="256"/>
      <c r="AD4" s="256"/>
      <c r="AE4" s="256"/>
      <c r="AF4" s="256"/>
      <c r="AG4" s="256"/>
      <c r="AH4" s="256"/>
      <c r="AI4" s="256"/>
      <c r="AJ4" s="256"/>
      <c r="AK4" s="255"/>
      <c r="AL4" s="255"/>
      <c r="AM4" s="255"/>
      <c r="AN4" s="255"/>
      <c r="AO4" s="255"/>
      <c r="AP4" s="255"/>
      <c r="AQ4" s="255"/>
      <c r="AR4" s="255"/>
      <c r="AS4" s="255"/>
      <c r="AT4" s="257"/>
    </row>
    <row r="5" spans="1:46" ht="24.6">
      <c r="A5" s="268" t="s">
        <v>984</v>
      </c>
      <c r="B5" s="260">
        <f>'Company information'!D4</f>
        <v>0</v>
      </c>
      <c r="C5" s="255"/>
      <c r="D5" s="261"/>
      <c r="E5" s="262"/>
      <c r="F5" s="261"/>
      <c r="G5" s="264"/>
      <c r="H5" s="264"/>
      <c r="I5" s="255"/>
      <c r="J5" s="266">
        <f>'Company information'!E8</f>
        <v>0</v>
      </c>
      <c r="K5" s="255"/>
      <c r="M5" s="266"/>
      <c r="N5" s="267"/>
      <c r="O5" s="301" t="s">
        <v>1013</v>
      </c>
      <c r="P5" s="301"/>
      <c r="Q5" s="301"/>
      <c r="R5" s="301"/>
      <c r="S5" s="301"/>
      <c r="T5" s="301"/>
      <c r="U5" s="301"/>
      <c r="V5" s="302"/>
      <c r="W5" s="300" t="s">
        <v>1016</v>
      </c>
      <c r="X5" s="300"/>
      <c r="Y5" s="308" t="s">
        <v>1015</v>
      </c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308"/>
      <c r="AR5" s="308"/>
      <c r="AS5" s="308"/>
      <c r="AT5" s="308"/>
    </row>
    <row r="6" spans="1:46" ht="24.6">
      <c r="A6" s="269">
        <f>'Company information'!H8</f>
        <v>0</v>
      </c>
      <c r="B6" s="260"/>
      <c r="C6" s="255"/>
      <c r="D6" s="261"/>
      <c r="E6" s="262"/>
      <c r="F6" s="263"/>
      <c r="G6" s="255"/>
      <c r="H6" s="264"/>
      <c r="I6" s="270" t="s">
        <v>968</v>
      </c>
      <c r="J6" s="272">
        <f>'Company information'!H9</f>
        <v>0</v>
      </c>
      <c r="K6" s="272"/>
      <c r="L6" s="272"/>
      <c r="M6" s="271"/>
      <c r="N6" s="272"/>
      <c r="O6" s="303"/>
      <c r="P6" s="303"/>
      <c r="Q6" s="303"/>
      <c r="R6" s="303"/>
      <c r="S6" s="303"/>
      <c r="T6" s="303"/>
      <c r="U6" s="303"/>
      <c r="V6" s="304"/>
      <c r="W6" s="300"/>
      <c r="X6" s="300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308"/>
      <c r="AR6" s="308"/>
      <c r="AS6" s="308"/>
      <c r="AT6" s="308"/>
    </row>
    <row r="7" spans="1:46" ht="22.8">
      <c r="A7" s="309" t="s">
        <v>2</v>
      </c>
      <c r="B7" s="309" t="s">
        <v>760</v>
      </c>
      <c r="C7" s="309" t="s">
        <v>5</v>
      </c>
      <c r="D7" s="294" t="s">
        <v>759</v>
      </c>
      <c r="E7" s="309" t="s">
        <v>734</v>
      </c>
      <c r="F7" s="309"/>
      <c r="G7" s="309" t="s">
        <v>981</v>
      </c>
      <c r="H7" s="309"/>
      <c r="I7" s="309"/>
      <c r="J7" s="294" t="s">
        <v>995</v>
      </c>
      <c r="K7" s="297" t="s">
        <v>1054</v>
      </c>
      <c r="L7" s="297" t="s">
        <v>1049</v>
      </c>
      <c r="M7" s="297" t="s">
        <v>1053</v>
      </c>
      <c r="N7" s="294" t="s">
        <v>996</v>
      </c>
      <c r="O7" s="305"/>
      <c r="P7" s="306"/>
      <c r="Q7" s="307"/>
      <c r="R7" s="295" t="s">
        <v>1035</v>
      </c>
      <c r="S7" s="295" t="s">
        <v>1036</v>
      </c>
      <c r="T7" s="294" t="s">
        <v>1002</v>
      </c>
      <c r="U7" s="294" t="s">
        <v>1001</v>
      </c>
      <c r="V7" s="294" t="s">
        <v>1012</v>
      </c>
      <c r="W7" s="294" t="s">
        <v>1014</v>
      </c>
      <c r="X7" s="295" t="s">
        <v>1000</v>
      </c>
      <c r="Y7" s="295" t="s">
        <v>1022</v>
      </c>
      <c r="Z7" s="295" t="s">
        <v>1023</v>
      </c>
      <c r="AA7" s="295" t="s">
        <v>1003</v>
      </c>
      <c r="AB7" s="295" t="s">
        <v>758</v>
      </c>
      <c r="AC7" s="296"/>
      <c r="AD7" s="296"/>
      <c r="AE7" s="295" t="s">
        <v>1004</v>
      </c>
      <c r="AF7" s="295" t="s">
        <v>1005</v>
      </c>
      <c r="AG7" s="296"/>
      <c r="AH7" s="295" t="s">
        <v>1024</v>
      </c>
      <c r="AI7" s="295" t="s">
        <v>997</v>
      </c>
      <c r="AJ7" s="296"/>
      <c r="AK7" s="295" t="s">
        <v>1025</v>
      </c>
      <c r="AL7" s="295" t="s">
        <v>1026</v>
      </c>
      <c r="AM7" s="295" t="s">
        <v>1027</v>
      </c>
      <c r="AN7" s="295" t="s">
        <v>1028</v>
      </c>
      <c r="AO7" s="295" t="s">
        <v>1029</v>
      </c>
      <c r="AP7" s="295" t="s">
        <v>1030</v>
      </c>
      <c r="AQ7" s="295" t="s">
        <v>1031</v>
      </c>
      <c r="AR7" s="295" t="s">
        <v>1032</v>
      </c>
      <c r="AS7" s="295" t="s">
        <v>760</v>
      </c>
      <c r="AT7" s="295" t="s">
        <v>1033</v>
      </c>
    </row>
    <row r="8" spans="1:46" ht="22.8">
      <c r="A8" s="309"/>
      <c r="B8" s="309"/>
      <c r="C8" s="309"/>
      <c r="D8" s="294"/>
      <c r="E8" s="273" t="s">
        <v>6</v>
      </c>
      <c r="F8" s="273" t="s">
        <v>958</v>
      </c>
      <c r="G8" s="273" t="s">
        <v>982</v>
      </c>
      <c r="H8" s="274" t="s">
        <v>959</v>
      </c>
      <c r="I8" s="274" t="s">
        <v>960</v>
      </c>
      <c r="J8" s="294"/>
      <c r="K8" s="298"/>
      <c r="L8" s="298"/>
      <c r="M8" s="298"/>
      <c r="N8" s="294"/>
      <c r="O8" s="275" t="s">
        <v>1050</v>
      </c>
      <c r="P8" s="275" t="s">
        <v>1051</v>
      </c>
      <c r="Q8" s="275" t="s">
        <v>1052</v>
      </c>
      <c r="R8" s="296"/>
      <c r="S8" s="296"/>
      <c r="T8" s="294"/>
      <c r="U8" s="294"/>
      <c r="V8" s="294"/>
      <c r="W8" s="294"/>
      <c r="X8" s="310"/>
      <c r="Y8" s="296"/>
      <c r="Z8" s="296"/>
      <c r="AA8" s="296"/>
      <c r="AB8" s="276" t="s">
        <v>1006</v>
      </c>
      <c r="AC8" s="276" t="s">
        <v>1034</v>
      </c>
      <c r="AD8" s="276" t="s">
        <v>1007</v>
      </c>
      <c r="AE8" s="296"/>
      <c r="AF8" s="276" t="s">
        <v>1008</v>
      </c>
      <c r="AG8" s="276" t="s">
        <v>1009</v>
      </c>
      <c r="AH8" s="296"/>
      <c r="AI8" s="276" t="s">
        <v>1010</v>
      </c>
      <c r="AJ8" s="276" t="s">
        <v>1011</v>
      </c>
      <c r="AK8" s="296"/>
      <c r="AL8" s="296"/>
      <c r="AM8" s="296"/>
      <c r="AN8" s="296"/>
      <c r="AO8" s="296"/>
      <c r="AP8" s="296"/>
      <c r="AQ8" s="296"/>
      <c r="AR8" s="296"/>
      <c r="AS8" s="296"/>
      <c r="AT8" s="296"/>
    </row>
    <row r="9" spans="1:46" ht="24.6" customHeight="1"/>
  </sheetData>
  <autoFilter ref="A9:AT9" xr:uid="{8AB6F532-92EF-483A-99A9-EF9B2ABC7956}"/>
  <mergeCells count="43">
    <mergeCell ref="AQ7:AQ8"/>
    <mergeCell ref="AR7:AR8"/>
    <mergeCell ref="AN7:AN8"/>
    <mergeCell ref="AT7:AT8"/>
    <mergeCell ref="V7:V8"/>
    <mergeCell ref="W7:W8"/>
    <mergeCell ref="X7:X8"/>
    <mergeCell ref="AO7:AO8"/>
    <mergeCell ref="Z7:Z8"/>
    <mergeCell ref="AA7:AA8"/>
    <mergeCell ref="AB7:AD7"/>
    <mergeCell ref="AE7:AE8"/>
    <mergeCell ref="AF7:AG7"/>
    <mergeCell ref="AH7:AH8"/>
    <mergeCell ref="AI7:AJ7"/>
    <mergeCell ref="AK7:AK8"/>
    <mergeCell ref="J7:J8"/>
    <mergeCell ref="L7:L8"/>
    <mergeCell ref="R7:R8"/>
    <mergeCell ref="Y7:Y8"/>
    <mergeCell ref="N7:N8"/>
    <mergeCell ref="S7:S8"/>
    <mergeCell ref="B7:B8"/>
    <mergeCell ref="C7:C8"/>
    <mergeCell ref="D7:D8"/>
    <mergeCell ref="E7:F7"/>
    <mergeCell ref="G7:I7"/>
    <mergeCell ref="T7:T8"/>
    <mergeCell ref="U7:U8"/>
    <mergeCell ref="AS7:AS8"/>
    <mergeCell ref="K7:K8"/>
    <mergeCell ref="A1:J1"/>
    <mergeCell ref="A2:J2"/>
    <mergeCell ref="A3:J3"/>
    <mergeCell ref="W5:X6"/>
    <mergeCell ref="O5:V6"/>
    <mergeCell ref="O7:Q7"/>
    <mergeCell ref="M7:M8"/>
    <mergeCell ref="AL7:AL8"/>
    <mergeCell ref="AM7:AM8"/>
    <mergeCell ref="AP7:AP8"/>
    <mergeCell ref="Y5:AT6"/>
    <mergeCell ref="A7:A8"/>
  </mergeCells>
  <phoneticPr fontId="7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E21"/>
  <sheetViews>
    <sheetView zoomScale="70" zoomScaleNormal="70" zoomScaleSheetLayoutView="70" workbookViewId="0">
      <selection activeCell="G8" sqref="G8"/>
    </sheetView>
  </sheetViews>
  <sheetFormatPr defaultColWidth="9.109375" defaultRowHeight="30" customHeight="1"/>
  <cols>
    <col min="1" max="1" width="12.33203125" style="60" customWidth="1"/>
    <col min="2" max="2" width="41.44140625" style="60" customWidth="1"/>
    <col min="3" max="4" width="18.77734375" style="60" customWidth="1"/>
    <col min="5" max="5" width="28.6640625" style="60" customWidth="1"/>
    <col min="6" max="8" width="9.109375" style="59"/>
    <col min="9" max="9" width="17" style="59" customWidth="1"/>
    <col min="10" max="16384" width="9.109375" style="59"/>
  </cols>
  <sheetData>
    <row r="1" spans="1:5" s="70" customFormat="1" ht="30" customHeight="1">
      <c r="A1" s="282" t="s">
        <v>987</v>
      </c>
      <c r="B1" s="282"/>
      <c r="C1" s="282"/>
      <c r="D1" s="282"/>
      <c r="E1" s="282"/>
    </row>
    <row r="2" spans="1:5" s="70" customFormat="1" ht="30" customHeight="1">
      <c r="A2" s="282" t="s">
        <v>998</v>
      </c>
      <c r="B2" s="282"/>
      <c r="C2" s="282"/>
      <c r="D2" s="282"/>
      <c r="E2" s="282"/>
    </row>
    <row r="3" spans="1:5" s="70" customFormat="1" ht="30" customHeight="1">
      <c r="A3" s="282" t="s">
        <v>999</v>
      </c>
      <c r="B3" s="282"/>
      <c r="C3" s="282"/>
      <c r="D3" s="282"/>
      <c r="E3" s="282"/>
    </row>
    <row r="4" spans="1:5" s="70" customFormat="1" ht="30" customHeight="1">
      <c r="A4" s="73" t="s">
        <v>969</v>
      </c>
      <c r="B4" s="66">
        <f>'Company information'!D2</f>
        <v>0</v>
      </c>
      <c r="C4" s="68"/>
      <c r="D4" s="104" t="s">
        <v>967</v>
      </c>
      <c r="E4" s="72">
        <f>'Company information'!D8</f>
        <v>0</v>
      </c>
    </row>
    <row r="5" spans="1:5" s="70" customFormat="1" ht="30" customHeight="1">
      <c r="A5" s="73" t="s">
        <v>970</v>
      </c>
      <c r="B5" s="66">
        <f>'Company information'!D4</f>
        <v>0</v>
      </c>
      <c r="C5" s="68"/>
      <c r="D5" s="68"/>
      <c r="E5" s="72">
        <f>'Company information'!E8</f>
        <v>0</v>
      </c>
    </row>
    <row r="6" spans="1:5" s="70" customFormat="1" ht="30" customHeight="1">
      <c r="A6" s="74">
        <f>'Company information'!H8</f>
        <v>0</v>
      </c>
      <c r="B6" s="66"/>
      <c r="D6" s="50" t="s">
        <v>968</v>
      </c>
      <c r="E6" s="76">
        <f>'Company information'!H9</f>
        <v>0</v>
      </c>
    </row>
    <row r="7" spans="1:5" ht="30" customHeight="1">
      <c r="A7" s="283" t="s">
        <v>2</v>
      </c>
      <c r="B7" s="283" t="s">
        <v>760</v>
      </c>
      <c r="C7" s="283" t="s">
        <v>994</v>
      </c>
      <c r="D7" s="283"/>
      <c r="E7" s="283" t="s">
        <v>965</v>
      </c>
    </row>
    <row r="8" spans="1:5" ht="30" customHeight="1">
      <c r="A8" s="283"/>
      <c r="B8" s="283"/>
      <c r="C8" s="253" t="s">
        <v>6</v>
      </c>
      <c r="D8" s="253" t="s">
        <v>7</v>
      </c>
      <c r="E8" s="283"/>
    </row>
    <row r="9" spans="1:5" s="64" customFormat="1" ht="30" customHeight="1">
      <c r="A9" s="77"/>
      <c r="B9" s="49"/>
      <c r="C9" s="80"/>
      <c r="D9" s="78"/>
      <c r="E9" s="50"/>
    </row>
    <row r="10" spans="1:5" s="64" customFormat="1" ht="30" customHeight="1">
      <c r="A10" s="77"/>
      <c r="B10" s="45"/>
      <c r="C10" s="80"/>
      <c r="D10" s="78"/>
      <c r="E10" s="50"/>
    </row>
    <row r="11" spans="1:5" s="64" customFormat="1" ht="30" customHeight="1">
      <c r="A11" s="77"/>
      <c r="B11" s="45"/>
      <c r="C11" s="80"/>
      <c r="D11" s="78"/>
      <c r="E11" s="50"/>
    </row>
    <row r="12" spans="1:5" s="64" customFormat="1" ht="30" customHeight="1">
      <c r="A12" s="77"/>
      <c r="B12" s="45"/>
      <c r="C12" s="80"/>
      <c r="D12" s="78"/>
      <c r="E12" s="50"/>
    </row>
    <row r="13" spans="1:5" s="64" customFormat="1" ht="30" customHeight="1">
      <c r="A13" s="77"/>
      <c r="B13" s="45"/>
      <c r="C13" s="80"/>
      <c r="D13" s="78"/>
      <c r="E13" s="50"/>
    </row>
    <row r="14" spans="1:5" s="64" customFormat="1" ht="30" customHeight="1">
      <c r="A14" s="77"/>
      <c r="B14" s="45"/>
      <c r="C14" s="80"/>
      <c r="D14" s="78"/>
      <c r="E14" s="50"/>
    </row>
    <row r="15" spans="1:5" s="64" customFormat="1" ht="30" customHeight="1">
      <c r="A15" s="77"/>
      <c r="B15" s="45"/>
      <c r="C15" s="80"/>
      <c r="D15" s="78" t="s">
        <v>1019</v>
      </c>
      <c r="E15" s="50"/>
    </row>
    <row r="16" spans="1:5" s="64" customFormat="1" ht="30" customHeight="1">
      <c r="A16" s="77"/>
      <c r="B16" s="45"/>
      <c r="C16" s="80"/>
      <c r="D16" s="78"/>
      <c r="E16" s="50"/>
    </row>
    <row r="17" spans="1:5" s="64" customFormat="1" ht="30" customHeight="1">
      <c r="A17" s="77"/>
      <c r="B17" s="45"/>
      <c r="C17" s="80"/>
      <c r="D17" s="78"/>
      <c r="E17" s="50"/>
    </row>
    <row r="18" spans="1:5" s="64" customFormat="1" ht="30" customHeight="1">
      <c r="A18" s="77"/>
      <c r="B18" s="45"/>
      <c r="C18" s="80"/>
      <c r="D18" s="78"/>
      <c r="E18" s="50"/>
    </row>
    <row r="19" spans="1:5" s="64" customFormat="1" ht="30" customHeight="1">
      <c r="A19" s="77"/>
      <c r="B19" s="45"/>
      <c r="C19" s="80"/>
      <c r="D19" s="78"/>
      <c r="E19" s="50"/>
    </row>
    <row r="20" spans="1:5" s="64" customFormat="1" ht="30" customHeight="1">
      <c r="A20" s="77"/>
      <c r="B20" s="45"/>
      <c r="C20" s="80"/>
      <c r="D20" s="78"/>
      <c r="E20" s="50"/>
    </row>
    <row r="21" spans="1:5" s="64" customFormat="1" ht="30" customHeight="1">
      <c r="A21" s="77"/>
      <c r="B21" s="45"/>
      <c r="C21" s="80"/>
      <c r="D21" s="78"/>
      <c r="E21" s="50"/>
    </row>
  </sheetData>
  <autoFilter ref="A9:E9" xr:uid="{00000000-0001-0000-0600-000000000000}"/>
  <mergeCells count="7">
    <mergeCell ref="A1:E1"/>
    <mergeCell ref="C7:D7"/>
    <mergeCell ref="A2:E2"/>
    <mergeCell ref="A3:E3"/>
    <mergeCell ref="A7:A8"/>
    <mergeCell ref="B7:B8"/>
    <mergeCell ref="E7:E8"/>
  </mergeCells>
  <phoneticPr fontId="0" type="noConversion"/>
  <printOptions horizontalCentered="1"/>
  <pageMargins left="0.1" right="0.1" top="0.25" bottom="0.5" header="0.47" footer="0.3"/>
  <pageSetup paperSize="9" scale="73" fitToHeight="0" orientation="portrait" r:id="rId1"/>
  <headerFooter alignWithMargins="0"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N13"/>
  <sheetViews>
    <sheetView zoomScale="70" zoomScaleNormal="70" zoomScaleSheetLayoutView="55" workbookViewId="0">
      <selection activeCell="L12" sqref="L12"/>
    </sheetView>
  </sheetViews>
  <sheetFormatPr defaultColWidth="9.109375" defaultRowHeight="30" customHeight="1"/>
  <cols>
    <col min="1" max="1" width="13.44140625" style="109" customWidth="1"/>
    <col min="2" max="2" width="39.33203125" style="110" customWidth="1"/>
    <col min="3" max="4" width="18.77734375" style="89" customWidth="1"/>
    <col min="5" max="5" width="19.6640625" style="89" hidden="1" customWidth="1"/>
    <col min="6" max="6" width="18.6640625" style="89" hidden="1" customWidth="1"/>
    <col min="7" max="7" width="27.5546875" style="89" customWidth="1"/>
    <col min="8" max="8" width="22.109375" style="89" customWidth="1"/>
    <col min="9" max="12" width="9.109375" style="90"/>
    <col min="13" max="13" width="29.88671875" style="90" customWidth="1"/>
    <col min="14" max="16384" width="9.109375" style="90"/>
  </cols>
  <sheetData>
    <row r="1" spans="1:14" s="102" customFormat="1" ht="30" customHeight="1">
      <c r="A1" s="311" t="s">
        <v>986</v>
      </c>
      <c r="B1" s="311"/>
      <c r="C1" s="311"/>
      <c r="D1" s="311"/>
      <c r="E1" s="311"/>
      <c r="F1" s="311"/>
      <c r="G1" s="311"/>
      <c r="H1" s="311"/>
      <c r="I1" s="105"/>
      <c r="J1" s="105"/>
    </row>
    <row r="2" spans="1:14" s="102" customFormat="1" ht="30" customHeight="1">
      <c r="A2" s="311" t="s">
        <v>990</v>
      </c>
      <c r="B2" s="311"/>
      <c r="C2" s="311"/>
      <c r="D2" s="311"/>
      <c r="E2" s="311"/>
      <c r="F2" s="311"/>
      <c r="G2" s="311"/>
      <c r="H2" s="311"/>
      <c r="I2" s="105"/>
      <c r="J2" s="105"/>
    </row>
    <row r="3" spans="1:14" s="102" customFormat="1" ht="30" customHeight="1">
      <c r="A3" s="311" t="s">
        <v>985</v>
      </c>
      <c r="B3" s="311"/>
      <c r="C3" s="311"/>
      <c r="D3" s="311"/>
      <c r="E3" s="311"/>
      <c r="F3" s="311"/>
      <c r="G3" s="311"/>
      <c r="H3" s="311"/>
      <c r="I3" s="105"/>
      <c r="J3" s="105"/>
    </row>
    <row r="4" spans="1:14" s="102" customFormat="1" ht="30" customHeight="1">
      <c r="A4" s="53" t="s">
        <v>969</v>
      </c>
      <c r="B4" s="54">
        <f>'Company information'!D2</f>
        <v>0</v>
      </c>
      <c r="C4" s="55"/>
      <c r="D4" s="55"/>
      <c r="E4" s="52"/>
      <c r="G4" s="106" t="s">
        <v>967</v>
      </c>
      <c r="H4" s="57">
        <f>'Company information'!D8</f>
        <v>0</v>
      </c>
    </row>
    <row r="5" spans="1:14" s="102" customFormat="1" ht="30" customHeight="1">
      <c r="A5" s="53" t="s">
        <v>970</v>
      </c>
      <c r="B5" s="54">
        <f>'Company information'!D4</f>
        <v>0</v>
      </c>
      <c r="C5" s="55"/>
      <c r="D5" s="55"/>
      <c r="E5" s="52"/>
      <c r="F5" s="55"/>
      <c r="G5" s="56"/>
      <c r="H5" s="57">
        <f>'Company information'!E8</f>
        <v>0</v>
      </c>
    </row>
    <row r="6" spans="1:14" s="102" customFormat="1" ht="30" customHeight="1">
      <c r="A6" s="103">
        <f>'Company information'!H8</f>
        <v>0</v>
      </c>
      <c r="B6" s="54"/>
      <c r="D6" s="55"/>
      <c r="E6" s="52"/>
      <c r="F6" s="107" t="s">
        <v>968</v>
      </c>
      <c r="H6" s="108">
        <f>'Company information'!H9</f>
        <v>0</v>
      </c>
      <c r="J6" s="101"/>
    </row>
    <row r="7" spans="1:14" s="59" customFormat="1" ht="30" customHeight="1">
      <c r="A7" s="288" t="s">
        <v>2</v>
      </c>
      <c r="B7" s="288" t="s">
        <v>760</v>
      </c>
      <c r="C7" s="290" t="s">
        <v>734</v>
      </c>
      <c r="D7" s="291"/>
      <c r="E7" s="292" t="s">
        <v>963</v>
      </c>
      <c r="F7" s="292" t="s">
        <v>961</v>
      </c>
      <c r="G7" s="292" t="s">
        <v>964</v>
      </c>
      <c r="H7" s="288" t="s">
        <v>15</v>
      </c>
    </row>
    <row r="8" spans="1:14" s="59" customFormat="1" ht="30" customHeight="1">
      <c r="A8" s="288"/>
      <c r="B8" s="288"/>
      <c r="C8" s="254" t="s">
        <v>6</v>
      </c>
      <c r="D8" s="254" t="s">
        <v>958</v>
      </c>
      <c r="E8" s="293"/>
      <c r="F8" s="293"/>
      <c r="G8" s="293"/>
      <c r="H8" s="288"/>
    </row>
    <row r="9" spans="1:14" ht="30" customHeight="1">
      <c r="L9" s="111"/>
      <c r="M9" s="112"/>
      <c r="N9" s="111"/>
    </row>
    <row r="10" spans="1:14" ht="30" customHeight="1">
      <c r="L10" s="111"/>
      <c r="M10" s="112"/>
      <c r="N10" s="111"/>
    </row>
    <row r="11" spans="1:14" ht="30" customHeight="1">
      <c r="L11" s="111"/>
      <c r="M11" s="112"/>
      <c r="N11" s="111"/>
    </row>
    <row r="12" spans="1:14" ht="30" customHeight="1">
      <c r="L12" s="111"/>
      <c r="M12" s="111"/>
      <c r="N12" s="111"/>
    </row>
    <row r="13" spans="1:14" ht="30" customHeight="1">
      <c r="L13" s="111"/>
      <c r="M13" s="111"/>
      <c r="N13" s="111"/>
    </row>
  </sheetData>
  <autoFilter ref="A9:N9" xr:uid="{00000000-0001-0000-0700-000000000000}"/>
  <mergeCells count="10">
    <mergeCell ref="A1:H1"/>
    <mergeCell ref="A2:H2"/>
    <mergeCell ref="A3:H3"/>
    <mergeCell ref="F7:F8"/>
    <mergeCell ref="G7:G8"/>
    <mergeCell ref="H7:H8"/>
    <mergeCell ref="A7:A8"/>
    <mergeCell ref="B7:B8"/>
    <mergeCell ref="C7:D7"/>
    <mergeCell ref="E7:E8"/>
  </mergeCells>
  <printOptions horizontalCentered="1"/>
  <pageMargins left="0.2" right="0.2" top="0.25" bottom="0.45" header="0.3" footer="0.3"/>
  <pageSetup paperSize="9" scale="6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AO28"/>
  <sheetViews>
    <sheetView zoomScale="85" zoomScaleNormal="85" workbookViewId="0">
      <selection activeCell="F10" sqref="F10"/>
    </sheetView>
  </sheetViews>
  <sheetFormatPr defaultColWidth="8.88671875" defaultRowHeight="30" customHeight="1"/>
  <cols>
    <col min="1" max="2" width="8.88671875" style="115"/>
    <col min="3" max="3" width="48.33203125" style="116" customWidth="1"/>
    <col min="4" max="4" width="22.109375" style="116" customWidth="1"/>
    <col min="5" max="10" width="11" style="116" customWidth="1"/>
    <col min="11" max="11" width="12.44140625" style="116" customWidth="1"/>
    <col min="12" max="12" width="10.6640625" style="116" customWidth="1"/>
    <col min="13" max="13" width="10.44140625" style="116" customWidth="1"/>
    <col min="14" max="15" width="10.88671875" style="116" customWidth="1"/>
    <col min="16" max="16" width="11" style="116" customWidth="1"/>
    <col min="17" max="17" width="10.6640625" style="116" customWidth="1"/>
    <col min="18" max="18" width="11.88671875" style="116" customWidth="1"/>
    <col min="19" max="20" width="10.88671875" style="116" customWidth="1"/>
    <col min="21" max="24" width="10.6640625" style="116" customWidth="1"/>
    <col min="25" max="25" width="10.88671875" style="116" customWidth="1"/>
    <col min="26" max="26" width="10.44140625" style="116" customWidth="1"/>
    <col min="27" max="27" width="13.5546875" style="115" customWidth="1"/>
    <col min="28" max="28" width="10.5546875" style="115" customWidth="1"/>
    <col min="29" max="29" width="10.88671875" style="115" customWidth="1"/>
    <col min="30" max="31" width="10.6640625" style="115" customWidth="1"/>
    <col min="32" max="32" width="11" style="115" customWidth="1"/>
    <col min="33" max="33" width="10.5546875" style="115" customWidth="1"/>
    <col min="34" max="34" width="10.6640625" style="115" customWidth="1"/>
    <col min="35" max="35" width="11" style="115" customWidth="1"/>
    <col min="36" max="36" width="10.6640625" style="115" customWidth="1"/>
    <col min="37" max="37" width="11.88671875" style="115" customWidth="1"/>
    <col min="38" max="38" width="10.6640625" style="115" customWidth="1"/>
    <col min="39" max="39" width="10.5546875" style="115" customWidth="1"/>
    <col min="40" max="40" width="10.6640625" style="115" customWidth="1"/>
    <col min="41" max="41" width="11" style="115" customWidth="1"/>
    <col min="42" max="42" width="10.6640625" style="115" customWidth="1"/>
    <col min="43" max="43" width="10.88671875" style="115" customWidth="1"/>
    <col min="44" max="44" width="9" style="115" customWidth="1"/>
    <col min="45" max="64" width="8.88671875" style="115"/>
    <col min="65" max="65" width="10.88671875" style="115" customWidth="1"/>
    <col min="66" max="16384" width="8.88671875" style="115"/>
  </cols>
  <sheetData>
    <row r="1" spans="1:4" s="115" customFormat="1" ht="30" customHeight="1">
      <c r="A1" s="113"/>
      <c r="B1" s="113"/>
      <c r="C1" s="114"/>
    </row>
    <row r="2" spans="1:4" s="115" customFormat="1" ht="30" customHeight="1">
      <c r="C2" s="116"/>
    </row>
    <row r="3" spans="1:4" s="115" customFormat="1" ht="30" customHeight="1">
      <c r="C3" s="116"/>
    </row>
    <row r="4" spans="1:4" s="115" customFormat="1" ht="30" customHeight="1">
      <c r="B4" s="117"/>
      <c r="C4" s="116">
        <f>'Company information'!D7</f>
        <v>0</v>
      </c>
    </row>
    <row r="5" spans="1:4" s="118" customFormat="1" ht="30" customHeight="1">
      <c r="B5" s="251" t="s">
        <v>2</v>
      </c>
      <c r="C5" s="252" t="s">
        <v>991</v>
      </c>
      <c r="D5" s="252" t="s">
        <v>1021</v>
      </c>
    </row>
    <row r="6" spans="1:4" s="115" customFormat="1" ht="30" customHeight="1">
      <c r="B6" s="119"/>
      <c r="C6" s="116"/>
    </row>
    <row r="7" spans="1:4" s="115" customFormat="1" ht="30" customHeight="1">
      <c r="B7" s="119"/>
      <c r="C7" s="116"/>
    </row>
    <row r="8" spans="1:4" s="115" customFormat="1" ht="30" customHeight="1">
      <c r="B8" s="119"/>
      <c r="C8" s="116"/>
    </row>
    <row r="9" spans="1:4" s="115" customFormat="1" ht="30" customHeight="1">
      <c r="B9" s="119"/>
      <c r="C9" s="116"/>
    </row>
    <row r="10" spans="1:4" s="115" customFormat="1" ht="30" customHeight="1">
      <c r="B10" s="119"/>
      <c r="C10" s="116"/>
    </row>
    <row r="11" spans="1:4" s="115" customFormat="1" ht="30" customHeight="1">
      <c r="B11" s="119"/>
      <c r="C11" s="116"/>
    </row>
    <row r="12" spans="1:4" s="115" customFormat="1" ht="30" customHeight="1">
      <c r="B12" s="119"/>
      <c r="C12" s="116"/>
    </row>
    <row r="13" spans="1:4" s="115" customFormat="1" ht="30" customHeight="1">
      <c r="B13" s="119"/>
      <c r="C13" s="116"/>
    </row>
    <row r="14" spans="1:4" s="115" customFormat="1" ht="30" customHeight="1">
      <c r="B14" s="119"/>
      <c r="C14" s="116"/>
    </row>
    <row r="15" spans="1:4" s="115" customFormat="1" ht="30" customHeight="1">
      <c r="B15" s="119"/>
      <c r="C15" s="116"/>
    </row>
    <row r="16" spans="1:4" s="115" customFormat="1" ht="30" customHeight="1">
      <c r="B16" s="119"/>
      <c r="C16" s="116"/>
    </row>
    <row r="17" spans="2:41" ht="30" customHeight="1">
      <c r="B17" s="119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2:41" ht="30" customHeight="1">
      <c r="B18" s="119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spans="2:41" ht="30" customHeight="1">
      <c r="B19" s="119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2:41" ht="30" customHeight="1">
      <c r="B20" s="11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2:41" ht="30" customHeight="1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spans="2:41" ht="30" customHeight="1">
      <c r="E22" s="113"/>
      <c r="F22" s="113"/>
      <c r="G22" s="113"/>
      <c r="H22" s="113"/>
      <c r="I22" s="113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3"/>
      <c r="AB22" s="113"/>
      <c r="AO22" s="113"/>
    </row>
    <row r="23" spans="2:41" ht="30" customHeight="1">
      <c r="E23" s="113"/>
      <c r="F23" s="113"/>
      <c r="G23" s="113"/>
      <c r="H23" s="113"/>
      <c r="I23" s="113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3"/>
      <c r="AB23" s="113"/>
      <c r="AO23" s="113"/>
    </row>
    <row r="24" spans="2:41" ht="30" customHeight="1">
      <c r="E24" s="113"/>
      <c r="F24" s="113"/>
      <c r="G24" s="113"/>
      <c r="H24" s="113"/>
      <c r="I24" s="113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3"/>
      <c r="AB24" s="113"/>
      <c r="AO24" s="113"/>
    </row>
    <row r="25" spans="2:41" ht="30" customHeight="1">
      <c r="E25" s="113"/>
      <c r="J25" s="113"/>
      <c r="K25" s="114"/>
      <c r="O25" s="114"/>
      <c r="Q25" s="114"/>
      <c r="AA25" s="113"/>
      <c r="AB25" s="113"/>
      <c r="AO25" s="113"/>
    </row>
    <row r="26" spans="2:41" ht="30" customHeight="1">
      <c r="K26" s="114"/>
      <c r="Q26" s="114"/>
      <c r="AB26" s="113"/>
    </row>
    <row r="27" spans="2:41" ht="30" customHeight="1">
      <c r="Q27" s="114"/>
      <c r="AA27" s="113"/>
      <c r="AB27" s="113"/>
    </row>
    <row r="28" spans="2:41" ht="30" customHeight="1">
      <c r="Q28" s="114"/>
      <c r="AB28" s="1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J286"/>
  <sheetViews>
    <sheetView zoomScale="90" zoomScaleNormal="90" workbookViewId="0">
      <selection activeCell="E11" sqref="E11"/>
    </sheetView>
  </sheetViews>
  <sheetFormatPr defaultColWidth="9.109375" defaultRowHeight="13.2"/>
  <cols>
    <col min="1" max="1" width="5.88671875" style="64" customWidth="1"/>
    <col min="2" max="2" width="15.6640625" style="64" customWidth="1"/>
    <col min="3" max="3" width="11.6640625" style="64" customWidth="1"/>
    <col min="4" max="4" width="11.33203125" style="64" customWidth="1"/>
    <col min="5" max="5" width="33.109375" style="64" customWidth="1"/>
    <col min="6" max="6" width="10.5546875" style="64" customWidth="1"/>
    <col min="7" max="7" width="15.44140625" style="64" customWidth="1"/>
    <col min="8" max="8" width="11.6640625" style="64" customWidth="1"/>
    <col min="9" max="9" width="16.109375" style="64" customWidth="1"/>
    <col min="10" max="10" width="14.44140625" style="64" customWidth="1"/>
    <col min="11" max="16384" width="9.109375" style="64"/>
  </cols>
  <sheetData>
    <row r="1" spans="1:10" ht="27.75" customHeight="1">
      <c r="A1" s="334" t="s">
        <v>10</v>
      </c>
      <c r="B1" s="334"/>
      <c r="C1" s="334"/>
      <c r="D1" s="334"/>
      <c r="E1" s="334"/>
      <c r="F1" s="334"/>
      <c r="G1" s="334"/>
      <c r="H1" s="334"/>
      <c r="I1" s="334"/>
      <c r="J1" s="334"/>
    </row>
    <row r="2" spans="1:10" ht="32.25" customHeight="1">
      <c r="A2" s="334" t="s">
        <v>16</v>
      </c>
      <c r="B2" s="334"/>
      <c r="C2" s="334"/>
      <c r="D2" s="334"/>
      <c r="E2" s="334"/>
      <c r="F2" s="334"/>
      <c r="G2" s="334"/>
      <c r="H2" s="334"/>
      <c r="I2" s="334"/>
      <c r="J2" s="334"/>
    </row>
    <row r="3" spans="1:10" ht="22.5" customHeight="1">
      <c r="A3" s="335" t="e">
        <f>'Annex I-IM State Charge'!#REF!</f>
        <v>#REF!</v>
      </c>
      <c r="B3" s="335"/>
      <c r="C3" s="335"/>
      <c r="D3" s="335"/>
      <c r="E3" s="335"/>
      <c r="F3" s="120"/>
      <c r="G3" s="120"/>
      <c r="H3" s="120"/>
      <c r="I3" s="120"/>
      <c r="J3" s="120"/>
    </row>
    <row r="4" spans="1:10" ht="21" customHeight="1">
      <c r="A4" s="336" t="e">
        <f>'Annex I-IM State Charge'!#REF!</f>
        <v>#REF!</v>
      </c>
      <c r="B4" s="336"/>
      <c r="C4" s="336"/>
      <c r="D4" s="336"/>
      <c r="E4" s="120"/>
      <c r="F4" s="120"/>
      <c r="G4" s="120"/>
      <c r="H4" s="120"/>
      <c r="I4" s="120"/>
      <c r="J4" s="120"/>
    </row>
    <row r="5" spans="1:10" ht="24" customHeight="1">
      <c r="A5" s="337" t="s">
        <v>2</v>
      </c>
      <c r="B5" s="340" t="s">
        <v>11</v>
      </c>
      <c r="C5" s="341"/>
      <c r="D5" s="342"/>
      <c r="E5" s="343" t="s">
        <v>5</v>
      </c>
      <c r="F5" s="344"/>
      <c r="G5" s="344"/>
      <c r="H5" s="344"/>
      <c r="I5" s="344"/>
      <c r="J5" s="345" t="s">
        <v>15</v>
      </c>
    </row>
    <row r="6" spans="1:10" ht="24" customHeight="1">
      <c r="A6" s="338"/>
      <c r="B6" s="348" t="s">
        <v>734</v>
      </c>
      <c r="C6" s="349"/>
      <c r="D6" s="350"/>
      <c r="E6" s="351" t="s">
        <v>4</v>
      </c>
      <c r="F6" s="352" t="s">
        <v>14</v>
      </c>
      <c r="G6" s="348" t="s">
        <v>734</v>
      </c>
      <c r="H6" s="349"/>
      <c r="I6" s="350"/>
      <c r="J6" s="346"/>
    </row>
    <row r="7" spans="1:10" ht="21" customHeight="1">
      <c r="A7" s="339"/>
      <c r="B7" s="121" t="s">
        <v>6</v>
      </c>
      <c r="C7" s="121" t="s">
        <v>13</v>
      </c>
      <c r="D7" s="121" t="s">
        <v>3</v>
      </c>
      <c r="E7" s="352"/>
      <c r="F7" s="352"/>
      <c r="G7" s="121" t="s">
        <v>6</v>
      </c>
      <c r="H7" s="121" t="s">
        <v>13</v>
      </c>
      <c r="I7" s="121" t="s">
        <v>3</v>
      </c>
      <c r="J7" s="347"/>
    </row>
    <row r="8" spans="1:10" ht="24" customHeight="1">
      <c r="A8" s="122">
        <v>1</v>
      </c>
      <c r="B8" s="123" t="s">
        <v>54</v>
      </c>
      <c r="C8" s="124">
        <v>41246</v>
      </c>
      <c r="D8" s="125">
        <v>58.25</v>
      </c>
      <c r="E8" s="126" t="s">
        <v>50</v>
      </c>
      <c r="F8" s="123" t="s">
        <v>52</v>
      </c>
      <c r="G8" s="123" t="s">
        <v>54</v>
      </c>
      <c r="H8" s="124">
        <v>41246</v>
      </c>
      <c r="I8" s="125">
        <v>58.25</v>
      </c>
      <c r="J8" s="127" t="s">
        <v>735</v>
      </c>
    </row>
    <row r="9" spans="1:10" ht="24" customHeight="1">
      <c r="A9" s="122">
        <v>2</v>
      </c>
      <c r="B9" s="123" t="s">
        <v>57</v>
      </c>
      <c r="C9" s="124">
        <v>41248</v>
      </c>
      <c r="D9" s="125">
        <v>4</v>
      </c>
      <c r="E9" s="126" t="s">
        <v>50</v>
      </c>
      <c r="F9" s="123" t="s">
        <v>52</v>
      </c>
      <c r="G9" s="123" t="s">
        <v>57</v>
      </c>
      <c r="H9" s="124">
        <v>41248</v>
      </c>
      <c r="I9" s="125">
        <v>4</v>
      </c>
      <c r="J9" s="127" t="s">
        <v>735</v>
      </c>
    </row>
    <row r="10" spans="1:10" ht="24" customHeight="1">
      <c r="A10" s="122">
        <v>3</v>
      </c>
      <c r="B10" s="123" t="s">
        <v>58</v>
      </c>
      <c r="C10" s="124">
        <v>41254</v>
      </c>
      <c r="D10" s="125">
        <v>49.75</v>
      </c>
      <c r="E10" s="126" t="s">
        <v>50</v>
      </c>
      <c r="F10" s="123" t="s">
        <v>52</v>
      </c>
      <c r="G10" s="123" t="s">
        <v>58</v>
      </c>
      <c r="H10" s="124">
        <v>41254</v>
      </c>
      <c r="I10" s="125">
        <v>49.75</v>
      </c>
      <c r="J10" s="127" t="s">
        <v>735</v>
      </c>
    </row>
    <row r="11" spans="1:10" ht="18" customHeight="1">
      <c r="A11" s="122">
        <v>4</v>
      </c>
      <c r="B11" s="123" t="s">
        <v>59</v>
      </c>
      <c r="C11" s="124">
        <v>41254</v>
      </c>
      <c r="D11" s="125">
        <v>181.79</v>
      </c>
      <c r="E11" s="126" t="s">
        <v>50</v>
      </c>
      <c r="F11" s="123" t="s">
        <v>52</v>
      </c>
      <c r="G11" s="123" t="s">
        <v>59</v>
      </c>
      <c r="H11" s="124">
        <v>41254</v>
      </c>
      <c r="I11" s="125">
        <v>181.79</v>
      </c>
      <c r="J11" s="127" t="s">
        <v>735</v>
      </c>
    </row>
    <row r="12" spans="1:10" ht="18" customHeight="1">
      <c r="A12" s="122">
        <v>5</v>
      </c>
      <c r="B12" s="123" t="s">
        <v>65</v>
      </c>
      <c r="C12" s="124">
        <v>41260</v>
      </c>
      <c r="D12" s="125">
        <v>46.69</v>
      </c>
      <c r="E12" s="126" t="s">
        <v>50</v>
      </c>
      <c r="F12" s="123" t="s">
        <v>52</v>
      </c>
      <c r="G12" s="123" t="s">
        <v>65</v>
      </c>
      <c r="H12" s="124">
        <v>41260</v>
      </c>
      <c r="I12" s="125">
        <v>46.69</v>
      </c>
      <c r="J12" s="127" t="s">
        <v>735</v>
      </c>
    </row>
    <row r="13" spans="1:10" ht="18" customHeight="1">
      <c r="A13" s="122">
        <v>6</v>
      </c>
      <c r="B13" s="123" t="s">
        <v>66</v>
      </c>
      <c r="C13" s="124">
        <v>41260</v>
      </c>
      <c r="D13" s="125">
        <v>236.64</v>
      </c>
      <c r="E13" s="126" t="s">
        <v>50</v>
      </c>
      <c r="F13" s="123" t="s">
        <v>52</v>
      </c>
      <c r="G13" s="123" t="s">
        <v>66</v>
      </c>
      <c r="H13" s="124">
        <v>41260</v>
      </c>
      <c r="I13" s="125">
        <v>236.64</v>
      </c>
      <c r="J13" s="127" t="s">
        <v>735</v>
      </c>
    </row>
    <row r="14" spans="1:10" ht="18" customHeight="1">
      <c r="A14" s="122">
        <v>7</v>
      </c>
      <c r="B14" s="123" t="s">
        <v>67</v>
      </c>
      <c r="C14" s="124">
        <v>41261</v>
      </c>
      <c r="D14" s="125">
        <v>4</v>
      </c>
      <c r="E14" s="126" t="s">
        <v>50</v>
      </c>
      <c r="F14" s="123" t="s">
        <v>52</v>
      </c>
      <c r="G14" s="123" t="s">
        <v>67</v>
      </c>
      <c r="H14" s="124">
        <v>41261</v>
      </c>
      <c r="I14" s="125">
        <v>4</v>
      </c>
      <c r="J14" s="127" t="s">
        <v>735</v>
      </c>
    </row>
    <row r="15" spans="1:10" ht="18" customHeight="1">
      <c r="A15" s="122">
        <v>8</v>
      </c>
      <c r="B15" s="123" t="s">
        <v>68</v>
      </c>
      <c r="C15" s="124">
        <v>41261</v>
      </c>
      <c r="D15" s="125">
        <v>10</v>
      </c>
      <c r="E15" s="126" t="s">
        <v>50</v>
      </c>
      <c r="F15" s="123" t="s">
        <v>52</v>
      </c>
      <c r="G15" s="123" t="s">
        <v>68</v>
      </c>
      <c r="H15" s="124">
        <v>41261</v>
      </c>
      <c r="I15" s="125">
        <v>10</v>
      </c>
      <c r="J15" s="127" t="s">
        <v>735</v>
      </c>
    </row>
    <row r="16" spans="1:10" ht="18" customHeight="1">
      <c r="A16" s="122">
        <v>9</v>
      </c>
      <c r="B16" s="123" t="s">
        <v>72</v>
      </c>
      <c r="C16" s="124">
        <v>41274</v>
      </c>
      <c r="D16" s="125">
        <v>87.52</v>
      </c>
      <c r="E16" s="126" t="s">
        <v>50</v>
      </c>
      <c r="F16" s="123" t="s">
        <v>52</v>
      </c>
      <c r="G16" s="123" t="s">
        <v>72</v>
      </c>
      <c r="H16" s="124">
        <v>41274</v>
      </c>
      <c r="I16" s="125">
        <v>87.52</v>
      </c>
      <c r="J16" s="127" t="s">
        <v>735</v>
      </c>
    </row>
    <row r="17" spans="1:10" ht="18" customHeight="1">
      <c r="A17" s="122">
        <v>10</v>
      </c>
      <c r="B17" s="123" t="s">
        <v>73</v>
      </c>
      <c r="C17" s="124">
        <v>41274</v>
      </c>
      <c r="D17" s="125">
        <v>39.29</v>
      </c>
      <c r="E17" s="126" t="s">
        <v>50</v>
      </c>
      <c r="F17" s="123" t="s">
        <v>52</v>
      </c>
      <c r="G17" s="123" t="s">
        <v>73</v>
      </c>
      <c r="H17" s="124">
        <v>41274</v>
      </c>
      <c r="I17" s="125">
        <v>39.29</v>
      </c>
      <c r="J17" s="127" t="s">
        <v>735</v>
      </c>
    </row>
    <row r="18" spans="1:10" ht="18" customHeight="1">
      <c r="A18" s="333" t="s">
        <v>32</v>
      </c>
      <c r="B18" s="333"/>
      <c r="C18" s="333"/>
      <c r="D18" s="125">
        <f>SUM(D8:D17)</f>
        <v>717.92999999999984</v>
      </c>
      <c r="E18" s="126"/>
      <c r="F18" s="123"/>
      <c r="G18" s="123"/>
      <c r="H18" s="128" t="s">
        <v>0</v>
      </c>
      <c r="I18" s="125">
        <f>SUM(I8:I17)</f>
        <v>717.92999999999984</v>
      </c>
      <c r="J18" s="129"/>
    </row>
    <row r="19" spans="1:10" ht="21.9" customHeight="1">
      <c r="A19" s="333" t="s">
        <v>32</v>
      </c>
      <c r="B19" s="333"/>
      <c r="C19" s="333"/>
      <c r="D19" s="125"/>
      <c r="E19" s="126"/>
      <c r="F19" s="123"/>
      <c r="G19" s="130">
        <v>3995</v>
      </c>
      <c r="H19" s="128" t="s">
        <v>1</v>
      </c>
      <c r="I19" s="2">
        <f>I18*G19</f>
        <v>2868130.3499999992</v>
      </c>
      <c r="J19" s="129"/>
    </row>
    <row r="20" spans="1:10" ht="18" customHeight="1">
      <c r="A20" s="131">
        <v>1</v>
      </c>
      <c r="B20" s="123" t="s">
        <v>76</v>
      </c>
      <c r="C20" s="124">
        <v>41218</v>
      </c>
      <c r="D20" s="125">
        <v>77</v>
      </c>
      <c r="E20" s="126" t="s">
        <v>50</v>
      </c>
      <c r="F20" s="123" t="s">
        <v>52</v>
      </c>
      <c r="G20" s="123" t="s">
        <v>76</v>
      </c>
      <c r="H20" s="124">
        <v>41218</v>
      </c>
      <c r="I20" s="125">
        <v>77</v>
      </c>
      <c r="J20" s="127" t="s">
        <v>735</v>
      </c>
    </row>
    <row r="21" spans="1:10" ht="18" customHeight="1">
      <c r="A21" s="131">
        <v>2</v>
      </c>
      <c r="B21" s="123" t="s">
        <v>77</v>
      </c>
      <c r="C21" s="124">
        <v>41225</v>
      </c>
      <c r="D21" s="125">
        <v>115.89</v>
      </c>
      <c r="E21" s="126" t="s">
        <v>50</v>
      </c>
      <c r="F21" s="123" t="s">
        <v>52</v>
      </c>
      <c r="G21" s="123" t="s">
        <v>77</v>
      </c>
      <c r="H21" s="124">
        <v>41225</v>
      </c>
      <c r="I21" s="125">
        <v>115.89</v>
      </c>
      <c r="J21" s="127" t="s">
        <v>735</v>
      </c>
    </row>
    <row r="22" spans="1:10" ht="18" customHeight="1">
      <c r="A22" s="131">
        <v>3</v>
      </c>
      <c r="B22" s="123" t="s">
        <v>78</v>
      </c>
      <c r="C22" s="124">
        <v>41225</v>
      </c>
      <c r="D22" s="125">
        <v>82.91</v>
      </c>
      <c r="E22" s="126" t="s">
        <v>50</v>
      </c>
      <c r="F22" s="123" t="s">
        <v>52</v>
      </c>
      <c r="G22" s="123" t="s">
        <v>78</v>
      </c>
      <c r="H22" s="124">
        <v>41225</v>
      </c>
      <c r="I22" s="125">
        <v>82.91</v>
      </c>
      <c r="J22" s="127" t="s">
        <v>735</v>
      </c>
    </row>
    <row r="23" spans="1:10" ht="18" customHeight="1">
      <c r="A23" s="131">
        <v>4</v>
      </c>
      <c r="B23" s="123" t="s">
        <v>80</v>
      </c>
      <c r="C23" s="124">
        <v>41232</v>
      </c>
      <c r="D23" s="125">
        <v>55.32</v>
      </c>
      <c r="E23" s="126" t="s">
        <v>50</v>
      </c>
      <c r="F23" s="123" t="s">
        <v>52</v>
      </c>
      <c r="G23" s="123" t="s">
        <v>80</v>
      </c>
      <c r="H23" s="124">
        <v>41232</v>
      </c>
      <c r="I23" s="125">
        <v>55.32</v>
      </c>
      <c r="J23" s="127" t="s">
        <v>735</v>
      </c>
    </row>
    <row r="24" spans="1:10" ht="18" customHeight="1">
      <c r="A24" s="131">
        <v>5</v>
      </c>
      <c r="B24" s="123" t="s">
        <v>81</v>
      </c>
      <c r="C24" s="124">
        <v>41232</v>
      </c>
      <c r="D24" s="125">
        <v>32.03</v>
      </c>
      <c r="E24" s="126" t="s">
        <v>50</v>
      </c>
      <c r="F24" s="123" t="s">
        <v>52</v>
      </c>
      <c r="G24" s="123" t="s">
        <v>81</v>
      </c>
      <c r="H24" s="124">
        <v>41232</v>
      </c>
      <c r="I24" s="125">
        <v>32.03</v>
      </c>
      <c r="J24" s="127" t="s">
        <v>735</v>
      </c>
    </row>
    <row r="25" spans="1:10" ht="18" customHeight="1">
      <c r="A25" s="333" t="s">
        <v>27</v>
      </c>
      <c r="B25" s="333"/>
      <c r="C25" s="333"/>
      <c r="D25" s="125">
        <f>SUM(D20:D24)</f>
        <v>363.15</v>
      </c>
      <c r="E25" s="126"/>
      <c r="F25" s="123"/>
      <c r="G25" s="123"/>
      <c r="H25" s="128" t="s">
        <v>0</v>
      </c>
      <c r="I25" s="125">
        <f>SUM(I20:I24)</f>
        <v>363.15</v>
      </c>
      <c r="J25" s="129"/>
    </row>
    <row r="26" spans="1:10" ht="21.9" customHeight="1">
      <c r="A26" s="333" t="s">
        <v>27</v>
      </c>
      <c r="B26" s="333"/>
      <c r="C26" s="333"/>
      <c r="D26" s="125"/>
      <c r="E26" s="126"/>
      <c r="F26" s="123"/>
      <c r="G26" s="130">
        <v>3999</v>
      </c>
      <c r="H26" s="128" t="s">
        <v>1</v>
      </c>
      <c r="I26" s="2">
        <f>I25*G26</f>
        <v>1452236.8499999999</v>
      </c>
      <c r="J26" s="129"/>
    </row>
    <row r="27" spans="1:10" ht="18" customHeight="1">
      <c r="A27" s="131">
        <v>1</v>
      </c>
      <c r="B27" s="123" t="s">
        <v>83</v>
      </c>
      <c r="C27" s="124">
        <v>41183</v>
      </c>
      <c r="D27" s="125">
        <v>89.93</v>
      </c>
      <c r="E27" s="126" t="s">
        <v>50</v>
      </c>
      <c r="F27" s="123" t="s">
        <v>52</v>
      </c>
      <c r="G27" s="123" t="s">
        <v>83</v>
      </c>
      <c r="H27" s="124">
        <v>41183</v>
      </c>
      <c r="I27" s="125">
        <v>89.93</v>
      </c>
      <c r="J27" s="127" t="s">
        <v>735</v>
      </c>
    </row>
    <row r="28" spans="1:10" ht="18" customHeight="1">
      <c r="A28" s="131">
        <v>2</v>
      </c>
      <c r="B28" s="123" t="s">
        <v>84</v>
      </c>
      <c r="C28" s="124">
        <v>41190</v>
      </c>
      <c r="D28" s="125">
        <v>49.63</v>
      </c>
      <c r="E28" s="126" t="s">
        <v>50</v>
      </c>
      <c r="F28" s="123" t="s">
        <v>52</v>
      </c>
      <c r="G28" s="123" t="s">
        <v>84</v>
      </c>
      <c r="H28" s="124">
        <v>41190</v>
      </c>
      <c r="I28" s="125">
        <v>49.63</v>
      </c>
      <c r="J28" s="127" t="s">
        <v>735</v>
      </c>
    </row>
    <row r="29" spans="1:10" ht="18" customHeight="1">
      <c r="A29" s="131">
        <v>3</v>
      </c>
      <c r="B29" s="123" t="s">
        <v>89</v>
      </c>
      <c r="C29" s="124">
        <v>41197</v>
      </c>
      <c r="D29" s="125">
        <v>115.81</v>
      </c>
      <c r="E29" s="126" t="s">
        <v>50</v>
      </c>
      <c r="F29" s="123" t="s">
        <v>52</v>
      </c>
      <c r="G29" s="123" t="s">
        <v>89</v>
      </c>
      <c r="H29" s="124">
        <v>41197</v>
      </c>
      <c r="I29" s="125">
        <v>115.81</v>
      </c>
      <c r="J29" s="127" t="s">
        <v>735</v>
      </c>
    </row>
    <row r="30" spans="1:10" ht="18" customHeight="1">
      <c r="A30" s="131">
        <v>4</v>
      </c>
      <c r="B30" s="123" t="s">
        <v>91</v>
      </c>
      <c r="C30" s="124">
        <v>41204</v>
      </c>
      <c r="D30" s="125">
        <v>101.98</v>
      </c>
      <c r="E30" s="126" t="s">
        <v>50</v>
      </c>
      <c r="F30" s="123" t="s">
        <v>52</v>
      </c>
      <c r="G30" s="123" t="s">
        <v>91</v>
      </c>
      <c r="H30" s="124">
        <v>41204</v>
      </c>
      <c r="I30" s="125">
        <v>101.98</v>
      </c>
      <c r="J30" s="127" t="s">
        <v>735</v>
      </c>
    </row>
    <row r="31" spans="1:10" ht="18" customHeight="1">
      <c r="A31" s="131">
        <v>5</v>
      </c>
      <c r="B31" s="123" t="s">
        <v>93</v>
      </c>
      <c r="C31" s="124">
        <v>41211</v>
      </c>
      <c r="D31" s="125">
        <v>67.28</v>
      </c>
      <c r="E31" s="126" t="s">
        <v>50</v>
      </c>
      <c r="F31" s="123" t="s">
        <v>52</v>
      </c>
      <c r="G31" s="123" t="s">
        <v>93</v>
      </c>
      <c r="H31" s="124">
        <v>41211</v>
      </c>
      <c r="I31" s="125">
        <v>67.28</v>
      </c>
      <c r="J31" s="127" t="s">
        <v>735</v>
      </c>
    </row>
    <row r="32" spans="1:10" ht="18" customHeight="1">
      <c r="A32" s="333" t="s">
        <v>31</v>
      </c>
      <c r="B32" s="333"/>
      <c r="C32" s="333"/>
      <c r="D32" s="125">
        <f>SUM(D27:D31)</f>
        <v>424.63</v>
      </c>
      <c r="E32" s="126"/>
      <c r="F32" s="123"/>
      <c r="G32" s="123"/>
      <c r="H32" s="128" t="s">
        <v>0</v>
      </c>
      <c r="I32" s="125">
        <f>SUM(I27:I31)</f>
        <v>424.63</v>
      </c>
      <c r="J32" s="129"/>
    </row>
    <row r="33" spans="1:10" ht="21.9" customHeight="1">
      <c r="A33" s="333" t="s">
        <v>31</v>
      </c>
      <c r="B33" s="333"/>
      <c r="C33" s="333"/>
      <c r="D33" s="125"/>
      <c r="E33" s="126"/>
      <c r="F33" s="123"/>
      <c r="G33" s="130">
        <v>4028</v>
      </c>
      <c r="H33" s="128" t="s">
        <v>1</v>
      </c>
      <c r="I33" s="2">
        <f>I32*G33</f>
        <v>1710409.64</v>
      </c>
      <c r="J33" s="129"/>
    </row>
    <row r="34" spans="1:10" ht="18" customHeight="1">
      <c r="A34" s="131">
        <v>1</v>
      </c>
      <c r="B34" s="123" t="s">
        <v>97</v>
      </c>
      <c r="C34" s="124">
        <v>41162</v>
      </c>
      <c r="D34" s="125">
        <v>206.96</v>
      </c>
      <c r="E34" s="126" t="s">
        <v>50</v>
      </c>
      <c r="F34" s="123" t="s">
        <v>52</v>
      </c>
      <c r="G34" s="123" t="s">
        <v>97</v>
      </c>
      <c r="H34" s="124">
        <v>41162</v>
      </c>
      <c r="I34" s="125">
        <v>206.96</v>
      </c>
      <c r="J34" s="127" t="s">
        <v>735</v>
      </c>
    </row>
    <row r="35" spans="1:10" ht="18" customHeight="1">
      <c r="A35" s="131">
        <v>2</v>
      </c>
      <c r="B35" s="123" t="s">
        <v>100</v>
      </c>
      <c r="C35" s="124">
        <v>41169</v>
      </c>
      <c r="D35" s="125">
        <v>69.7</v>
      </c>
      <c r="E35" s="126" t="s">
        <v>50</v>
      </c>
      <c r="F35" s="123" t="s">
        <v>52</v>
      </c>
      <c r="G35" s="123" t="s">
        <v>100</v>
      </c>
      <c r="H35" s="124">
        <v>41169</v>
      </c>
      <c r="I35" s="125">
        <v>69.7</v>
      </c>
      <c r="J35" s="127" t="s">
        <v>735</v>
      </c>
    </row>
    <row r="36" spans="1:10" ht="18" customHeight="1">
      <c r="A36" s="131">
        <v>3</v>
      </c>
      <c r="B36" s="123" t="s">
        <v>103</v>
      </c>
      <c r="C36" s="124">
        <v>41176</v>
      </c>
      <c r="D36" s="125">
        <v>46.66</v>
      </c>
      <c r="E36" s="126" t="s">
        <v>50</v>
      </c>
      <c r="F36" s="123" t="s">
        <v>52</v>
      </c>
      <c r="G36" s="123" t="s">
        <v>103</v>
      </c>
      <c r="H36" s="124">
        <v>41176</v>
      </c>
      <c r="I36" s="125">
        <v>46.66</v>
      </c>
      <c r="J36" s="127" t="s">
        <v>735</v>
      </c>
    </row>
    <row r="37" spans="1:10" ht="18" customHeight="1">
      <c r="A37" s="333" t="s">
        <v>30</v>
      </c>
      <c r="B37" s="333"/>
      <c r="C37" s="333"/>
      <c r="D37" s="125">
        <f>SUM(D34:D36)</f>
        <v>323.32000000000005</v>
      </c>
      <c r="E37" s="126"/>
      <c r="F37" s="123"/>
      <c r="G37" s="123"/>
      <c r="H37" s="128" t="s">
        <v>0</v>
      </c>
      <c r="I37" s="125">
        <f>SUM(I34:I36)</f>
        <v>323.32000000000005</v>
      </c>
      <c r="J37" s="129"/>
    </row>
    <row r="38" spans="1:10" ht="21.9" customHeight="1">
      <c r="A38" s="333" t="s">
        <v>30</v>
      </c>
      <c r="B38" s="333"/>
      <c r="C38" s="333"/>
      <c r="D38" s="125"/>
      <c r="E38" s="126"/>
      <c r="F38" s="123"/>
      <c r="G38" s="130">
        <v>4044</v>
      </c>
      <c r="H38" s="128" t="s">
        <v>1</v>
      </c>
      <c r="I38" s="2">
        <f>I37*G38</f>
        <v>1307506.0800000003</v>
      </c>
      <c r="J38" s="129"/>
    </row>
    <row r="39" spans="1:10" ht="18" customHeight="1">
      <c r="A39" s="132">
        <v>1</v>
      </c>
      <c r="B39" s="123" t="s">
        <v>109</v>
      </c>
      <c r="C39" s="124">
        <v>41127</v>
      </c>
      <c r="D39" s="125">
        <v>37.840000000000003</v>
      </c>
      <c r="E39" s="126" t="s">
        <v>50</v>
      </c>
      <c r="F39" s="123" t="s">
        <v>52</v>
      </c>
      <c r="G39" s="123" t="s">
        <v>109</v>
      </c>
      <c r="H39" s="124">
        <v>41127</v>
      </c>
      <c r="I39" s="125">
        <v>37.840000000000003</v>
      </c>
      <c r="J39" s="127" t="s">
        <v>735</v>
      </c>
    </row>
    <row r="40" spans="1:10" ht="18" customHeight="1">
      <c r="A40" s="131">
        <v>2</v>
      </c>
      <c r="B40" s="123" t="s">
        <v>111</v>
      </c>
      <c r="C40" s="124">
        <v>41134</v>
      </c>
      <c r="D40" s="125">
        <v>95.46</v>
      </c>
      <c r="E40" s="126" t="s">
        <v>50</v>
      </c>
      <c r="F40" s="123" t="s">
        <v>52</v>
      </c>
      <c r="G40" s="123" t="s">
        <v>111</v>
      </c>
      <c r="H40" s="124">
        <v>41134</v>
      </c>
      <c r="I40" s="125">
        <v>95.46</v>
      </c>
      <c r="J40" s="127" t="s">
        <v>735</v>
      </c>
    </row>
    <row r="41" spans="1:10" ht="18" customHeight="1">
      <c r="A41" s="131">
        <v>3</v>
      </c>
      <c r="B41" s="123" t="s">
        <v>113</v>
      </c>
      <c r="C41" s="124">
        <v>41141</v>
      </c>
      <c r="D41" s="125">
        <v>106.66</v>
      </c>
      <c r="E41" s="126" t="s">
        <v>50</v>
      </c>
      <c r="F41" s="123" t="s">
        <v>52</v>
      </c>
      <c r="G41" s="123" t="s">
        <v>113</v>
      </c>
      <c r="H41" s="124">
        <v>41141</v>
      </c>
      <c r="I41" s="125">
        <v>106.66</v>
      </c>
      <c r="J41" s="127" t="s">
        <v>735</v>
      </c>
    </row>
    <row r="42" spans="1:10" ht="18" customHeight="1">
      <c r="A42" s="131">
        <v>4</v>
      </c>
      <c r="B42" s="123" t="s">
        <v>115</v>
      </c>
      <c r="C42" s="124">
        <v>41148</v>
      </c>
      <c r="D42" s="125">
        <v>32.799999999999997</v>
      </c>
      <c r="E42" s="126" t="s">
        <v>50</v>
      </c>
      <c r="F42" s="123" t="s">
        <v>52</v>
      </c>
      <c r="G42" s="123" t="s">
        <v>115</v>
      </c>
      <c r="H42" s="124">
        <v>41148</v>
      </c>
      <c r="I42" s="125">
        <v>32.799999999999997</v>
      </c>
      <c r="J42" s="127" t="s">
        <v>735</v>
      </c>
    </row>
    <row r="43" spans="1:10" ht="18" customHeight="1">
      <c r="A43" s="333" t="s">
        <v>29</v>
      </c>
      <c r="B43" s="333"/>
      <c r="C43" s="333"/>
      <c r="D43" s="125">
        <f>SUM(D39:D42)</f>
        <v>272.76</v>
      </c>
      <c r="E43" s="126"/>
      <c r="F43" s="123"/>
      <c r="G43" s="123"/>
      <c r="H43" s="128" t="s">
        <v>0</v>
      </c>
      <c r="I43" s="125">
        <f>SUM(I39:I42)</f>
        <v>272.76</v>
      </c>
      <c r="J43" s="129"/>
    </row>
    <row r="44" spans="1:10" ht="21.9" customHeight="1">
      <c r="A44" s="333" t="s">
        <v>29</v>
      </c>
      <c r="B44" s="333"/>
      <c r="C44" s="333"/>
      <c r="D44" s="125"/>
      <c r="E44" s="126"/>
      <c r="F44" s="123"/>
      <c r="G44" s="130">
        <v>4053</v>
      </c>
      <c r="H44" s="128" t="s">
        <v>1</v>
      </c>
      <c r="I44" s="2">
        <f>I43*G44</f>
        <v>1105496.28</v>
      </c>
      <c r="J44" s="129"/>
    </row>
    <row r="45" spans="1:10" ht="18" customHeight="1">
      <c r="A45" s="132">
        <v>1</v>
      </c>
      <c r="B45" s="123" t="s">
        <v>116</v>
      </c>
      <c r="C45" s="124">
        <v>41092</v>
      </c>
      <c r="D45" s="125">
        <v>29.26</v>
      </c>
      <c r="E45" s="126" t="s">
        <v>50</v>
      </c>
      <c r="F45" s="123" t="s">
        <v>52</v>
      </c>
      <c r="G45" s="123" t="s">
        <v>116</v>
      </c>
      <c r="H45" s="124">
        <v>41092</v>
      </c>
      <c r="I45" s="125">
        <v>29.26</v>
      </c>
      <c r="J45" s="127" t="s">
        <v>735</v>
      </c>
    </row>
    <row r="46" spans="1:10" ht="18" customHeight="1">
      <c r="A46" s="132">
        <v>2</v>
      </c>
      <c r="B46" s="123" t="s">
        <v>117</v>
      </c>
      <c r="C46" s="124">
        <v>41099</v>
      </c>
      <c r="D46" s="125">
        <v>24.66</v>
      </c>
      <c r="E46" s="126" t="s">
        <v>50</v>
      </c>
      <c r="F46" s="123" t="s">
        <v>52</v>
      </c>
      <c r="G46" s="123" t="s">
        <v>117</v>
      </c>
      <c r="H46" s="124">
        <v>41099</v>
      </c>
      <c r="I46" s="125">
        <v>24.66</v>
      </c>
      <c r="J46" s="127" t="s">
        <v>735</v>
      </c>
    </row>
    <row r="47" spans="1:10" ht="18" customHeight="1">
      <c r="A47" s="132">
        <v>3</v>
      </c>
      <c r="B47" s="123" t="s">
        <v>120</v>
      </c>
      <c r="C47" s="124">
        <v>41106</v>
      </c>
      <c r="D47" s="125">
        <v>31.02</v>
      </c>
      <c r="E47" s="126" t="s">
        <v>50</v>
      </c>
      <c r="F47" s="123" t="s">
        <v>52</v>
      </c>
      <c r="G47" s="123" t="s">
        <v>120</v>
      </c>
      <c r="H47" s="124">
        <v>41106</v>
      </c>
      <c r="I47" s="125">
        <v>31.02</v>
      </c>
      <c r="J47" s="127" t="s">
        <v>735</v>
      </c>
    </row>
    <row r="48" spans="1:10" ht="18" customHeight="1">
      <c r="A48" s="132">
        <v>4</v>
      </c>
      <c r="B48" s="123" t="s">
        <v>122</v>
      </c>
      <c r="C48" s="124">
        <v>41113</v>
      </c>
      <c r="D48" s="125">
        <v>209.58</v>
      </c>
      <c r="E48" s="126" t="s">
        <v>50</v>
      </c>
      <c r="F48" s="123" t="s">
        <v>52</v>
      </c>
      <c r="G48" s="123" t="s">
        <v>122</v>
      </c>
      <c r="H48" s="124">
        <v>41113</v>
      </c>
      <c r="I48" s="125">
        <v>209.58</v>
      </c>
      <c r="J48" s="127" t="s">
        <v>735</v>
      </c>
    </row>
    <row r="49" spans="1:10" ht="18" customHeight="1">
      <c r="A49" s="132">
        <v>5</v>
      </c>
      <c r="B49" s="123" t="s">
        <v>125</v>
      </c>
      <c r="C49" s="124">
        <v>41115</v>
      </c>
      <c r="D49" s="125">
        <v>66.92</v>
      </c>
      <c r="E49" s="126" t="s">
        <v>50</v>
      </c>
      <c r="F49" s="123" t="s">
        <v>52</v>
      </c>
      <c r="G49" s="123" t="s">
        <v>125</v>
      </c>
      <c r="H49" s="124">
        <v>41115</v>
      </c>
      <c r="I49" s="125">
        <v>66.92</v>
      </c>
      <c r="J49" s="127" t="s">
        <v>735</v>
      </c>
    </row>
    <row r="50" spans="1:10" ht="18" customHeight="1">
      <c r="A50" s="132">
        <v>6</v>
      </c>
      <c r="B50" s="123" t="s">
        <v>126</v>
      </c>
      <c r="C50" s="124">
        <v>41120</v>
      </c>
      <c r="D50" s="125">
        <v>73.23</v>
      </c>
      <c r="E50" s="126" t="s">
        <v>50</v>
      </c>
      <c r="F50" s="123" t="s">
        <v>52</v>
      </c>
      <c r="G50" s="123" t="s">
        <v>126</v>
      </c>
      <c r="H50" s="124">
        <v>41120</v>
      </c>
      <c r="I50" s="125">
        <v>73.23</v>
      </c>
      <c r="J50" s="127" t="s">
        <v>735</v>
      </c>
    </row>
    <row r="51" spans="1:10" ht="18" customHeight="1">
      <c r="A51" s="132">
        <v>7</v>
      </c>
      <c r="B51" s="123" t="s">
        <v>127</v>
      </c>
      <c r="C51" s="124">
        <v>41120</v>
      </c>
      <c r="D51" s="125">
        <v>27.84</v>
      </c>
      <c r="E51" s="126" t="s">
        <v>50</v>
      </c>
      <c r="F51" s="123" t="s">
        <v>52</v>
      </c>
      <c r="G51" s="123" t="s">
        <v>127</v>
      </c>
      <c r="H51" s="124">
        <v>41120</v>
      </c>
      <c r="I51" s="125">
        <v>27.84</v>
      </c>
      <c r="J51" s="127" t="s">
        <v>735</v>
      </c>
    </row>
    <row r="52" spans="1:10" ht="18" customHeight="1">
      <c r="A52" s="333" t="s">
        <v>28</v>
      </c>
      <c r="B52" s="333"/>
      <c r="C52" s="333"/>
      <c r="D52" s="125">
        <f>SUM(D45:D51)</f>
        <v>462.51</v>
      </c>
      <c r="E52" s="126"/>
      <c r="F52" s="123"/>
      <c r="G52" s="123"/>
      <c r="H52" s="128" t="s">
        <v>0</v>
      </c>
      <c r="I52" s="125">
        <f>SUM(I45:I51)</f>
        <v>462.51</v>
      </c>
      <c r="J52" s="129"/>
    </row>
    <row r="53" spans="1:10" ht="21.9" customHeight="1">
      <c r="A53" s="333" t="s">
        <v>28</v>
      </c>
      <c r="B53" s="333"/>
      <c r="C53" s="333"/>
      <c r="D53" s="125"/>
      <c r="E53" s="126"/>
      <c r="F53" s="123"/>
      <c r="G53" s="130">
        <v>4073</v>
      </c>
      <c r="H53" s="128" t="s">
        <v>1</v>
      </c>
      <c r="I53" s="2">
        <f>I52*G53</f>
        <v>1883803.23</v>
      </c>
      <c r="J53" s="129"/>
    </row>
    <row r="54" spans="1:10" ht="18" customHeight="1">
      <c r="A54" s="132">
        <v>1</v>
      </c>
      <c r="B54" s="133" t="s">
        <v>129</v>
      </c>
      <c r="C54" s="134">
        <v>41267</v>
      </c>
      <c r="D54" s="1">
        <v>53.34</v>
      </c>
      <c r="E54" s="126" t="s">
        <v>50</v>
      </c>
      <c r="F54" s="133" t="s">
        <v>52</v>
      </c>
      <c r="G54" s="133" t="s">
        <v>129</v>
      </c>
      <c r="H54" s="135">
        <v>41267</v>
      </c>
      <c r="I54" s="1">
        <v>53.34</v>
      </c>
      <c r="J54" s="127" t="s">
        <v>735</v>
      </c>
    </row>
    <row r="55" spans="1:10" ht="18" customHeight="1">
      <c r="A55" s="132">
        <v>2</v>
      </c>
      <c r="B55" s="133" t="s">
        <v>130</v>
      </c>
      <c r="C55" s="134">
        <v>41267</v>
      </c>
      <c r="D55" s="1">
        <v>63.05</v>
      </c>
      <c r="E55" s="126" t="s">
        <v>50</v>
      </c>
      <c r="F55" s="133" t="s">
        <v>52</v>
      </c>
      <c r="G55" s="133" t="s">
        <v>130</v>
      </c>
      <c r="H55" s="135">
        <v>41267</v>
      </c>
      <c r="I55" s="1">
        <v>63.05</v>
      </c>
      <c r="J55" s="127" t="s">
        <v>735</v>
      </c>
    </row>
    <row r="56" spans="1:10" ht="18" customHeight="1">
      <c r="A56" s="132">
        <v>3</v>
      </c>
      <c r="B56" s="133" t="s">
        <v>134</v>
      </c>
      <c r="C56" s="134">
        <v>41281</v>
      </c>
      <c r="D56" s="1">
        <v>81</v>
      </c>
      <c r="E56" s="126" t="s">
        <v>50</v>
      </c>
      <c r="F56" s="133" t="s">
        <v>52</v>
      </c>
      <c r="G56" s="133" t="s">
        <v>134</v>
      </c>
      <c r="H56" s="135">
        <v>41281</v>
      </c>
      <c r="I56" s="1">
        <v>81</v>
      </c>
      <c r="J56" s="127" t="s">
        <v>735</v>
      </c>
    </row>
    <row r="57" spans="1:10" ht="18" customHeight="1">
      <c r="A57" s="132">
        <v>4</v>
      </c>
      <c r="B57" s="133" t="s">
        <v>135</v>
      </c>
      <c r="C57" s="134">
        <v>41281</v>
      </c>
      <c r="D57" s="1">
        <v>335.98</v>
      </c>
      <c r="E57" s="126" t="s">
        <v>50</v>
      </c>
      <c r="F57" s="123" t="s">
        <v>52</v>
      </c>
      <c r="G57" s="133" t="s">
        <v>135</v>
      </c>
      <c r="H57" s="135">
        <v>41281</v>
      </c>
      <c r="I57" s="1">
        <v>335.98</v>
      </c>
      <c r="J57" s="127" t="s">
        <v>735</v>
      </c>
    </row>
    <row r="58" spans="1:10" ht="18" customHeight="1">
      <c r="A58" s="132">
        <v>5</v>
      </c>
      <c r="B58" s="133" t="s">
        <v>138</v>
      </c>
      <c r="C58" s="135">
        <v>41282</v>
      </c>
      <c r="D58" s="1">
        <v>10</v>
      </c>
      <c r="E58" s="126" t="s">
        <v>50</v>
      </c>
      <c r="F58" s="133" t="s">
        <v>52</v>
      </c>
      <c r="G58" s="133" t="s">
        <v>138</v>
      </c>
      <c r="H58" s="135">
        <v>41282</v>
      </c>
      <c r="I58" s="1">
        <v>10</v>
      </c>
      <c r="J58" s="127" t="s">
        <v>735</v>
      </c>
    </row>
    <row r="59" spans="1:10" ht="18" customHeight="1">
      <c r="A59" s="132">
        <v>6</v>
      </c>
      <c r="B59" s="133" t="s">
        <v>139</v>
      </c>
      <c r="C59" s="135">
        <v>41285</v>
      </c>
      <c r="D59" s="1">
        <v>7.2</v>
      </c>
      <c r="E59" s="126" t="s">
        <v>50</v>
      </c>
      <c r="F59" s="133" t="s">
        <v>52</v>
      </c>
      <c r="G59" s="133" t="s">
        <v>139</v>
      </c>
      <c r="H59" s="135">
        <v>41285</v>
      </c>
      <c r="I59" s="1">
        <v>7.2</v>
      </c>
      <c r="J59" s="127" t="s">
        <v>735</v>
      </c>
    </row>
    <row r="60" spans="1:10" ht="18" customHeight="1">
      <c r="A60" s="132">
        <v>7</v>
      </c>
      <c r="B60" s="133" t="s">
        <v>140</v>
      </c>
      <c r="C60" s="135">
        <v>41286</v>
      </c>
      <c r="D60" s="1">
        <v>217.03</v>
      </c>
      <c r="E60" s="126" t="s">
        <v>50</v>
      </c>
      <c r="F60" s="123" t="s">
        <v>52</v>
      </c>
      <c r="G60" s="133" t="s">
        <v>140</v>
      </c>
      <c r="H60" s="135">
        <v>41288</v>
      </c>
      <c r="I60" s="1">
        <v>217.03</v>
      </c>
      <c r="J60" s="127" t="s">
        <v>735</v>
      </c>
    </row>
    <row r="61" spans="1:10" ht="18" customHeight="1">
      <c r="A61" s="132">
        <v>8</v>
      </c>
      <c r="B61" s="133" t="s">
        <v>141</v>
      </c>
      <c r="C61" s="135">
        <v>41289</v>
      </c>
      <c r="D61" s="1">
        <v>10</v>
      </c>
      <c r="E61" s="126" t="s">
        <v>50</v>
      </c>
      <c r="F61" s="133" t="s">
        <v>52</v>
      </c>
      <c r="G61" s="133" t="s">
        <v>141</v>
      </c>
      <c r="H61" s="135">
        <v>41289</v>
      </c>
      <c r="I61" s="1">
        <v>10</v>
      </c>
      <c r="J61" s="127" t="s">
        <v>735</v>
      </c>
    </row>
    <row r="62" spans="1:10" ht="18" customHeight="1">
      <c r="A62" s="132">
        <v>9</v>
      </c>
      <c r="B62" s="133" t="s">
        <v>147</v>
      </c>
      <c r="C62" s="135">
        <v>41296</v>
      </c>
      <c r="D62" s="1">
        <v>25.25</v>
      </c>
      <c r="E62" s="126" t="s">
        <v>50</v>
      </c>
      <c r="F62" s="133" t="s">
        <v>52</v>
      </c>
      <c r="G62" s="133" t="s">
        <v>147</v>
      </c>
      <c r="H62" s="135">
        <v>41296</v>
      </c>
      <c r="I62" s="1">
        <v>25.25</v>
      </c>
      <c r="J62" s="127" t="s">
        <v>735</v>
      </c>
    </row>
    <row r="63" spans="1:10" ht="18" customHeight="1">
      <c r="A63" s="132">
        <v>10</v>
      </c>
      <c r="B63" s="133" t="s">
        <v>148</v>
      </c>
      <c r="C63" s="135">
        <v>41302</v>
      </c>
      <c r="D63" s="1">
        <v>357.23</v>
      </c>
      <c r="E63" s="126" t="s">
        <v>50</v>
      </c>
      <c r="F63" s="123" t="s">
        <v>52</v>
      </c>
      <c r="G63" s="133" t="s">
        <v>148</v>
      </c>
      <c r="H63" s="135">
        <v>41302</v>
      </c>
      <c r="I63" s="1">
        <v>357.23</v>
      </c>
      <c r="J63" s="127" t="s">
        <v>735</v>
      </c>
    </row>
    <row r="64" spans="1:10" ht="18" customHeight="1">
      <c r="A64" s="333" t="s">
        <v>33</v>
      </c>
      <c r="B64" s="333"/>
      <c r="C64" s="333"/>
      <c r="D64" s="1">
        <f>SUM(D54:D63)</f>
        <v>1160.08</v>
      </c>
      <c r="E64" s="126"/>
      <c r="F64" s="123"/>
      <c r="G64" s="136"/>
      <c r="H64" s="128" t="s">
        <v>0</v>
      </c>
      <c r="I64" s="1">
        <f>SUM(I54:I63)</f>
        <v>1160.08</v>
      </c>
      <c r="J64" s="129"/>
    </row>
    <row r="65" spans="1:10" ht="21.9" customHeight="1">
      <c r="A65" s="333" t="s">
        <v>33</v>
      </c>
      <c r="B65" s="333"/>
      <c r="C65" s="333"/>
      <c r="D65" s="1"/>
      <c r="E65" s="126"/>
      <c r="F65" s="123"/>
      <c r="G65" s="130">
        <v>3995</v>
      </c>
      <c r="H65" s="128" t="s">
        <v>1</v>
      </c>
      <c r="I65" s="2">
        <f>I64*G65</f>
        <v>4634519.5999999996</v>
      </c>
      <c r="J65" s="129"/>
    </row>
    <row r="66" spans="1:10" ht="18" customHeight="1">
      <c r="A66" s="132">
        <v>1</v>
      </c>
      <c r="B66" s="133" t="s">
        <v>157</v>
      </c>
      <c r="C66" s="135">
        <v>41310</v>
      </c>
      <c r="D66" s="1">
        <v>28.52</v>
      </c>
      <c r="E66" s="126" t="s">
        <v>50</v>
      </c>
      <c r="F66" s="133" t="s">
        <v>52</v>
      </c>
      <c r="G66" s="133" t="s">
        <v>157</v>
      </c>
      <c r="H66" s="135">
        <v>41310</v>
      </c>
      <c r="I66" s="1">
        <v>28.52</v>
      </c>
      <c r="J66" s="127" t="s">
        <v>735</v>
      </c>
    </row>
    <row r="67" spans="1:10" ht="18" customHeight="1">
      <c r="A67" s="131">
        <v>2</v>
      </c>
      <c r="B67" s="133" t="s">
        <v>158</v>
      </c>
      <c r="C67" s="135">
        <v>41310</v>
      </c>
      <c r="D67" s="1">
        <v>374.87</v>
      </c>
      <c r="E67" s="126" t="s">
        <v>50</v>
      </c>
      <c r="F67" s="123" t="s">
        <v>52</v>
      </c>
      <c r="G67" s="133" t="s">
        <v>158</v>
      </c>
      <c r="H67" s="135">
        <v>41310</v>
      </c>
      <c r="I67" s="1">
        <v>374.87</v>
      </c>
      <c r="J67" s="127" t="s">
        <v>735</v>
      </c>
    </row>
    <row r="68" spans="1:10" ht="18" customHeight="1">
      <c r="A68" s="132">
        <v>3</v>
      </c>
      <c r="B68" s="133" t="s">
        <v>162</v>
      </c>
      <c r="C68" s="135">
        <v>41312</v>
      </c>
      <c r="D68" s="1">
        <v>10</v>
      </c>
      <c r="E68" s="126" t="s">
        <v>50</v>
      </c>
      <c r="F68" s="133" t="s">
        <v>52</v>
      </c>
      <c r="G68" s="133" t="s">
        <v>162</v>
      </c>
      <c r="H68" s="135">
        <v>41312</v>
      </c>
      <c r="I68" s="1">
        <v>10</v>
      </c>
      <c r="J68" s="127" t="s">
        <v>735</v>
      </c>
    </row>
    <row r="69" spans="1:10" ht="18" customHeight="1">
      <c r="A69" s="131">
        <v>4</v>
      </c>
      <c r="B69" s="133" t="s">
        <v>163</v>
      </c>
      <c r="C69" s="135">
        <v>41316</v>
      </c>
      <c r="D69" s="1">
        <v>115</v>
      </c>
      <c r="E69" s="126" t="s">
        <v>50</v>
      </c>
      <c r="F69" s="123" t="s">
        <v>52</v>
      </c>
      <c r="G69" s="133" t="s">
        <v>163</v>
      </c>
      <c r="H69" s="135">
        <v>41316</v>
      </c>
      <c r="I69" s="1">
        <v>115</v>
      </c>
      <c r="J69" s="127" t="s">
        <v>735</v>
      </c>
    </row>
    <row r="70" spans="1:10" ht="18" customHeight="1">
      <c r="A70" s="132">
        <v>5</v>
      </c>
      <c r="B70" s="133" t="s">
        <v>164</v>
      </c>
      <c r="C70" s="135">
        <v>41317</v>
      </c>
      <c r="D70" s="1">
        <v>4</v>
      </c>
      <c r="E70" s="126" t="s">
        <v>50</v>
      </c>
      <c r="F70" s="133" t="s">
        <v>52</v>
      </c>
      <c r="G70" s="133" t="s">
        <v>164</v>
      </c>
      <c r="H70" s="135">
        <v>41317</v>
      </c>
      <c r="I70" s="1">
        <v>4</v>
      </c>
      <c r="J70" s="127" t="s">
        <v>735</v>
      </c>
    </row>
    <row r="71" spans="1:10" ht="18" customHeight="1">
      <c r="A71" s="131">
        <v>6</v>
      </c>
      <c r="B71" s="133" t="s">
        <v>166</v>
      </c>
      <c r="C71" s="135">
        <v>41323</v>
      </c>
      <c r="D71" s="1">
        <v>266.83</v>
      </c>
      <c r="E71" s="126" t="s">
        <v>50</v>
      </c>
      <c r="F71" s="123" t="s">
        <v>52</v>
      </c>
      <c r="G71" s="133" t="s">
        <v>166</v>
      </c>
      <c r="H71" s="135">
        <v>41323</v>
      </c>
      <c r="I71" s="1">
        <v>266.83</v>
      </c>
      <c r="J71" s="127" t="s">
        <v>735</v>
      </c>
    </row>
    <row r="72" spans="1:10" ht="18" customHeight="1">
      <c r="A72" s="132">
        <v>7</v>
      </c>
      <c r="B72" s="133" t="s">
        <v>171</v>
      </c>
      <c r="C72" s="135">
        <v>41326</v>
      </c>
      <c r="D72" s="1">
        <v>20</v>
      </c>
      <c r="E72" s="126" t="s">
        <v>50</v>
      </c>
      <c r="F72" s="133" t="s">
        <v>52</v>
      </c>
      <c r="G72" s="133" t="s">
        <v>171</v>
      </c>
      <c r="H72" s="135">
        <v>41326</v>
      </c>
      <c r="I72" s="1">
        <v>20</v>
      </c>
      <c r="J72" s="127" t="s">
        <v>735</v>
      </c>
    </row>
    <row r="73" spans="1:10" ht="18" customHeight="1">
      <c r="A73" s="131">
        <v>8</v>
      </c>
      <c r="B73" s="133" t="s">
        <v>175</v>
      </c>
      <c r="C73" s="135">
        <v>41331</v>
      </c>
      <c r="D73" s="1">
        <v>142.19</v>
      </c>
      <c r="E73" s="126" t="s">
        <v>50</v>
      </c>
      <c r="F73" s="123" t="s">
        <v>52</v>
      </c>
      <c r="G73" s="133" t="s">
        <v>175</v>
      </c>
      <c r="H73" s="135">
        <v>41331</v>
      </c>
      <c r="I73" s="1">
        <v>142.19</v>
      </c>
      <c r="J73" s="127" t="s">
        <v>735</v>
      </c>
    </row>
    <row r="74" spans="1:10" ht="18" customHeight="1">
      <c r="A74" s="333" t="s">
        <v>34</v>
      </c>
      <c r="B74" s="333"/>
      <c r="C74" s="333"/>
      <c r="D74" s="1">
        <f>SUM(D66:D73)</f>
        <v>961.41000000000008</v>
      </c>
      <c r="E74" s="126"/>
      <c r="F74" s="123"/>
      <c r="G74" s="136"/>
      <c r="H74" s="128" t="s">
        <v>0</v>
      </c>
      <c r="I74" s="1">
        <f>SUM(I66:I73)</f>
        <v>961.41000000000008</v>
      </c>
      <c r="J74" s="129"/>
    </row>
    <row r="75" spans="1:10" ht="21.9" customHeight="1">
      <c r="A75" s="333" t="s">
        <v>34</v>
      </c>
      <c r="B75" s="333"/>
      <c r="C75" s="333"/>
      <c r="D75" s="1"/>
      <c r="E75" s="126"/>
      <c r="F75" s="123"/>
      <c r="G75" s="137">
        <v>3995</v>
      </c>
      <c r="H75" s="128" t="s">
        <v>1</v>
      </c>
      <c r="I75" s="2">
        <f>I74*G75</f>
        <v>3840832.95</v>
      </c>
      <c r="J75" s="129"/>
    </row>
    <row r="76" spans="1:10" ht="18" customHeight="1">
      <c r="A76" s="131">
        <v>1</v>
      </c>
      <c r="B76" s="133" t="s">
        <v>178</v>
      </c>
      <c r="C76" s="135">
        <v>41337</v>
      </c>
      <c r="D76" s="1">
        <v>115.18</v>
      </c>
      <c r="E76" s="126" t="s">
        <v>50</v>
      </c>
      <c r="F76" s="123" t="s">
        <v>52</v>
      </c>
      <c r="G76" s="133" t="s">
        <v>178</v>
      </c>
      <c r="H76" s="135">
        <v>41337</v>
      </c>
      <c r="I76" s="1">
        <v>115.18</v>
      </c>
      <c r="J76" s="127" t="s">
        <v>735</v>
      </c>
    </row>
    <row r="77" spans="1:10" ht="18" customHeight="1">
      <c r="A77" s="131">
        <v>2</v>
      </c>
      <c r="B77" s="133" t="s">
        <v>179</v>
      </c>
      <c r="C77" s="135">
        <v>41337</v>
      </c>
      <c r="D77" s="1">
        <v>107.71</v>
      </c>
      <c r="E77" s="126" t="s">
        <v>50</v>
      </c>
      <c r="F77" s="123" t="s">
        <v>52</v>
      </c>
      <c r="G77" s="133" t="s">
        <v>179</v>
      </c>
      <c r="H77" s="135">
        <v>41337</v>
      </c>
      <c r="I77" s="1">
        <v>107.71</v>
      </c>
      <c r="J77" s="127" t="s">
        <v>735</v>
      </c>
    </row>
    <row r="78" spans="1:10" ht="18" customHeight="1">
      <c r="A78" s="131">
        <v>3</v>
      </c>
      <c r="B78" s="133" t="s">
        <v>181</v>
      </c>
      <c r="C78" s="135">
        <v>41344</v>
      </c>
      <c r="D78" s="1">
        <v>109.81</v>
      </c>
      <c r="E78" s="126" t="s">
        <v>50</v>
      </c>
      <c r="F78" s="123" t="s">
        <v>52</v>
      </c>
      <c r="G78" s="133" t="s">
        <v>181</v>
      </c>
      <c r="H78" s="135">
        <v>41344</v>
      </c>
      <c r="I78" s="1">
        <v>109.81</v>
      </c>
      <c r="J78" s="127" t="s">
        <v>735</v>
      </c>
    </row>
    <row r="79" spans="1:10" ht="18" customHeight="1">
      <c r="A79" s="131">
        <v>4</v>
      </c>
      <c r="B79" s="133" t="s">
        <v>725</v>
      </c>
      <c r="C79" s="135">
        <v>41351</v>
      </c>
      <c r="D79" s="1">
        <v>307.83999999999997</v>
      </c>
      <c r="E79" s="126" t="s">
        <v>50</v>
      </c>
      <c r="F79" s="123" t="s">
        <v>52</v>
      </c>
      <c r="G79" s="133" t="s">
        <v>725</v>
      </c>
      <c r="H79" s="135">
        <v>41351</v>
      </c>
      <c r="I79" s="1">
        <v>307.83999999999997</v>
      </c>
      <c r="J79" s="127" t="s">
        <v>735</v>
      </c>
    </row>
    <row r="80" spans="1:10" ht="18" customHeight="1">
      <c r="A80" s="131">
        <v>5</v>
      </c>
      <c r="B80" s="133" t="s">
        <v>189</v>
      </c>
      <c r="C80" s="135">
        <v>41354</v>
      </c>
      <c r="D80" s="1">
        <v>8</v>
      </c>
      <c r="E80" s="126" t="s">
        <v>177</v>
      </c>
      <c r="F80" s="133" t="s">
        <v>52</v>
      </c>
      <c r="G80" s="133" t="s">
        <v>189</v>
      </c>
      <c r="H80" s="135">
        <v>41354</v>
      </c>
      <c r="I80" s="1">
        <v>8</v>
      </c>
      <c r="J80" s="127" t="s">
        <v>735</v>
      </c>
    </row>
    <row r="81" spans="1:10" ht="18" customHeight="1">
      <c r="A81" s="131">
        <v>6</v>
      </c>
      <c r="B81" s="133" t="s">
        <v>190</v>
      </c>
      <c r="C81" s="135">
        <v>41354</v>
      </c>
      <c r="D81" s="1">
        <v>10</v>
      </c>
      <c r="E81" s="126" t="s">
        <v>177</v>
      </c>
      <c r="F81" s="133" t="s">
        <v>52</v>
      </c>
      <c r="G81" s="133" t="s">
        <v>190</v>
      </c>
      <c r="H81" s="135">
        <v>41354</v>
      </c>
      <c r="I81" s="1">
        <v>10</v>
      </c>
      <c r="J81" s="127" t="s">
        <v>735</v>
      </c>
    </row>
    <row r="82" spans="1:10" ht="18" customHeight="1">
      <c r="A82" s="131">
        <v>7</v>
      </c>
      <c r="B82" s="133" t="s">
        <v>194</v>
      </c>
      <c r="C82" s="135">
        <v>41358</v>
      </c>
      <c r="D82" s="1">
        <v>190.8</v>
      </c>
      <c r="E82" s="126" t="s">
        <v>50</v>
      </c>
      <c r="F82" s="123" t="s">
        <v>52</v>
      </c>
      <c r="G82" s="133" t="s">
        <v>194</v>
      </c>
      <c r="H82" s="135">
        <v>41358</v>
      </c>
      <c r="I82" s="1">
        <v>190.8</v>
      </c>
      <c r="J82" s="127" t="s">
        <v>735</v>
      </c>
    </row>
    <row r="83" spans="1:10" ht="18" customHeight="1">
      <c r="A83" s="131">
        <v>8</v>
      </c>
      <c r="B83" s="133" t="s">
        <v>726</v>
      </c>
      <c r="C83" s="135">
        <v>41360</v>
      </c>
      <c r="D83" s="1">
        <v>8</v>
      </c>
      <c r="E83" s="126" t="s">
        <v>177</v>
      </c>
      <c r="F83" s="133" t="s">
        <v>52</v>
      </c>
      <c r="G83" s="133" t="s">
        <v>726</v>
      </c>
      <c r="H83" s="135">
        <v>41360</v>
      </c>
      <c r="I83" s="1">
        <v>8</v>
      </c>
      <c r="J83" s="127" t="s">
        <v>735</v>
      </c>
    </row>
    <row r="84" spans="1:10" ht="18" customHeight="1">
      <c r="A84" s="131">
        <v>9</v>
      </c>
      <c r="B84" s="133" t="s">
        <v>727</v>
      </c>
      <c r="C84" s="135">
        <v>41360</v>
      </c>
      <c r="D84" s="1">
        <v>10</v>
      </c>
      <c r="E84" s="126" t="s">
        <v>177</v>
      </c>
      <c r="F84" s="133" t="s">
        <v>52</v>
      </c>
      <c r="G84" s="133" t="s">
        <v>727</v>
      </c>
      <c r="H84" s="135">
        <v>41360</v>
      </c>
      <c r="I84" s="1">
        <v>10</v>
      </c>
      <c r="J84" s="127" t="s">
        <v>735</v>
      </c>
    </row>
    <row r="85" spans="1:10" ht="18" customHeight="1">
      <c r="A85" s="333" t="s">
        <v>35</v>
      </c>
      <c r="B85" s="333"/>
      <c r="C85" s="333"/>
      <c r="D85" s="1">
        <f>SUM(D76:D84)</f>
        <v>867.33999999999992</v>
      </c>
      <c r="E85" s="126"/>
      <c r="F85" s="123"/>
      <c r="G85" s="136"/>
      <c r="H85" s="128" t="s">
        <v>0</v>
      </c>
      <c r="I85" s="1">
        <f>SUM(I76:I84)</f>
        <v>867.33999999999992</v>
      </c>
      <c r="J85" s="129"/>
    </row>
    <row r="86" spans="1:10" ht="21.9" customHeight="1">
      <c r="A86" s="333" t="s">
        <v>35</v>
      </c>
      <c r="B86" s="333"/>
      <c r="C86" s="333"/>
      <c r="D86" s="1"/>
      <c r="E86" s="126"/>
      <c r="F86" s="123"/>
      <c r="G86" s="130">
        <v>3995</v>
      </c>
      <c r="H86" s="128" t="s">
        <v>1</v>
      </c>
      <c r="I86" s="2">
        <f>I85*G86</f>
        <v>3465023.3</v>
      </c>
      <c r="J86" s="129"/>
    </row>
    <row r="87" spans="1:10" ht="18" customHeight="1">
      <c r="A87" s="132">
        <v>1</v>
      </c>
      <c r="B87" s="133" t="s">
        <v>200</v>
      </c>
      <c r="C87" s="135">
        <v>41365</v>
      </c>
      <c r="D87" s="1">
        <v>40.32</v>
      </c>
      <c r="E87" s="126" t="s">
        <v>177</v>
      </c>
      <c r="F87" s="133" t="s">
        <v>176</v>
      </c>
      <c r="G87" s="133" t="s">
        <v>200</v>
      </c>
      <c r="H87" s="135">
        <v>41365</v>
      </c>
      <c r="I87" s="1">
        <v>40.32</v>
      </c>
      <c r="J87" s="127" t="s">
        <v>735</v>
      </c>
    </row>
    <row r="88" spans="1:10" ht="18" customHeight="1">
      <c r="A88" s="131">
        <v>2</v>
      </c>
      <c r="B88" s="133" t="s">
        <v>201</v>
      </c>
      <c r="C88" s="135">
        <v>41366</v>
      </c>
      <c r="D88" s="1">
        <v>168.98</v>
      </c>
      <c r="E88" s="126" t="s">
        <v>50</v>
      </c>
      <c r="F88" s="123" t="s">
        <v>52</v>
      </c>
      <c r="G88" s="133" t="s">
        <v>201</v>
      </c>
      <c r="H88" s="135">
        <v>41366</v>
      </c>
      <c r="I88" s="1">
        <v>168.98</v>
      </c>
      <c r="J88" s="127" t="s">
        <v>735</v>
      </c>
    </row>
    <row r="89" spans="1:10" ht="18" customHeight="1">
      <c r="A89" s="132">
        <v>3</v>
      </c>
      <c r="B89" s="133" t="s">
        <v>203</v>
      </c>
      <c r="C89" s="135">
        <v>41372</v>
      </c>
      <c r="D89" s="1">
        <v>104.23</v>
      </c>
      <c r="E89" s="126" t="s">
        <v>50</v>
      </c>
      <c r="F89" s="123" t="s">
        <v>52</v>
      </c>
      <c r="G89" s="133" t="s">
        <v>203</v>
      </c>
      <c r="H89" s="135">
        <v>41372</v>
      </c>
      <c r="I89" s="1">
        <v>104.23</v>
      </c>
      <c r="J89" s="127" t="s">
        <v>735</v>
      </c>
    </row>
    <row r="90" spans="1:10" ht="18" customHeight="1">
      <c r="A90" s="131">
        <v>4</v>
      </c>
      <c r="B90" s="133" t="s">
        <v>204</v>
      </c>
      <c r="C90" s="135">
        <v>41372</v>
      </c>
      <c r="D90" s="1">
        <v>222.39</v>
      </c>
      <c r="E90" s="126" t="s">
        <v>50</v>
      </c>
      <c r="F90" s="123" t="s">
        <v>52</v>
      </c>
      <c r="G90" s="133" t="s">
        <v>204</v>
      </c>
      <c r="H90" s="135">
        <v>41372</v>
      </c>
      <c r="I90" s="1">
        <v>222.39</v>
      </c>
      <c r="J90" s="127" t="s">
        <v>735</v>
      </c>
    </row>
    <row r="91" spans="1:10" ht="18" customHeight="1">
      <c r="A91" s="132">
        <v>5</v>
      </c>
      <c r="B91" s="133" t="s">
        <v>208</v>
      </c>
      <c r="C91" s="135">
        <v>41374</v>
      </c>
      <c r="D91" s="1">
        <v>10</v>
      </c>
      <c r="E91" s="126" t="s">
        <v>177</v>
      </c>
      <c r="F91" s="133" t="s">
        <v>176</v>
      </c>
      <c r="G91" s="133" t="s">
        <v>208</v>
      </c>
      <c r="H91" s="135">
        <v>41374</v>
      </c>
      <c r="I91" s="1">
        <v>10</v>
      </c>
      <c r="J91" s="127" t="s">
        <v>735</v>
      </c>
    </row>
    <row r="92" spans="1:10" ht="18" customHeight="1">
      <c r="A92" s="131">
        <v>6</v>
      </c>
      <c r="B92" s="133" t="s">
        <v>728</v>
      </c>
      <c r="C92" s="135">
        <v>41382</v>
      </c>
      <c r="D92" s="1">
        <v>149.76</v>
      </c>
      <c r="E92" s="126" t="s">
        <v>50</v>
      </c>
      <c r="F92" s="123" t="s">
        <v>52</v>
      </c>
      <c r="G92" s="133" t="s">
        <v>728</v>
      </c>
      <c r="H92" s="135">
        <v>41382</v>
      </c>
      <c r="I92" s="1">
        <v>149.76</v>
      </c>
      <c r="J92" s="127" t="s">
        <v>735</v>
      </c>
    </row>
    <row r="93" spans="1:10" ht="18" customHeight="1">
      <c r="A93" s="132">
        <v>7</v>
      </c>
      <c r="B93" s="133" t="s">
        <v>736</v>
      </c>
      <c r="C93" s="135">
        <v>41386</v>
      </c>
      <c r="D93" s="1">
        <v>144.43</v>
      </c>
      <c r="E93" s="126" t="s">
        <v>50</v>
      </c>
      <c r="F93" s="123" t="s">
        <v>52</v>
      </c>
      <c r="G93" s="133" t="s">
        <v>736</v>
      </c>
      <c r="H93" s="135">
        <v>41386</v>
      </c>
      <c r="I93" s="1">
        <v>144.43</v>
      </c>
      <c r="J93" s="127" t="s">
        <v>735</v>
      </c>
    </row>
    <row r="94" spans="1:10" ht="18" customHeight="1">
      <c r="A94" s="131">
        <v>8</v>
      </c>
      <c r="B94" s="133" t="s">
        <v>729</v>
      </c>
      <c r="C94" s="135">
        <v>41387</v>
      </c>
      <c r="D94" s="1">
        <v>8</v>
      </c>
      <c r="E94" s="126" t="s">
        <v>177</v>
      </c>
      <c r="F94" s="133" t="s">
        <v>176</v>
      </c>
      <c r="G94" s="133" t="s">
        <v>729</v>
      </c>
      <c r="H94" s="135">
        <v>41387</v>
      </c>
      <c r="I94" s="1">
        <v>8</v>
      </c>
      <c r="J94" s="127" t="s">
        <v>735</v>
      </c>
    </row>
    <row r="95" spans="1:10" ht="18" customHeight="1">
      <c r="A95" s="132">
        <v>9</v>
      </c>
      <c r="B95" s="133" t="s">
        <v>217</v>
      </c>
      <c r="C95" s="135">
        <v>41394</v>
      </c>
      <c r="D95" s="1">
        <v>134.76</v>
      </c>
      <c r="E95" s="126" t="s">
        <v>50</v>
      </c>
      <c r="F95" s="123" t="s">
        <v>52</v>
      </c>
      <c r="G95" s="133" t="s">
        <v>217</v>
      </c>
      <c r="H95" s="135">
        <v>41394</v>
      </c>
      <c r="I95" s="1">
        <v>134.76</v>
      </c>
      <c r="J95" s="127" t="s">
        <v>735</v>
      </c>
    </row>
    <row r="96" spans="1:10" ht="18" customHeight="1">
      <c r="A96" s="131">
        <v>10</v>
      </c>
      <c r="B96" s="133" t="s">
        <v>730</v>
      </c>
      <c r="C96" s="135">
        <v>41394</v>
      </c>
      <c r="D96" s="1">
        <v>155.38</v>
      </c>
      <c r="E96" s="126" t="s">
        <v>50</v>
      </c>
      <c r="F96" s="123" t="s">
        <v>52</v>
      </c>
      <c r="G96" s="133" t="s">
        <v>730</v>
      </c>
      <c r="H96" s="135">
        <v>41394</v>
      </c>
      <c r="I96" s="1">
        <v>155.38</v>
      </c>
      <c r="J96" s="127" t="s">
        <v>735</v>
      </c>
    </row>
    <row r="97" spans="1:10" ht="18" customHeight="1">
      <c r="A97" s="333" t="s">
        <v>20</v>
      </c>
      <c r="B97" s="333"/>
      <c r="C97" s="333"/>
      <c r="D97" s="1">
        <f>SUM(D87:D96)</f>
        <v>1138.25</v>
      </c>
      <c r="E97" s="126"/>
      <c r="F97" s="123"/>
      <c r="G97" s="136"/>
      <c r="H97" s="128" t="s">
        <v>0</v>
      </c>
      <c r="I97" s="1">
        <f>SUM(I87:I96)</f>
        <v>1138.25</v>
      </c>
      <c r="J97" s="129"/>
    </row>
    <row r="98" spans="1:10" ht="21.9" customHeight="1">
      <c r="A98" s="333" t="s">
        <v>20</v>
      </c>
      <c r="B98" s="333"/>
      <c r="C98" s="333"/>
      <c r="D98" s="1"/>
      <c r="E98" s="126"/>
      <c r="F98" s="123"/>
      <c r="G98" s="130">
        <v>4000</v>
      </c>
      <c r="H98" s="128" t="s">
        <v>1</v>
      </c>
      <c r="I98" s="2">
        <f>I97*G98</f>
        <v>4553000</v>
      </c>
      <c r="J98" s="129"/>
    </row>
    <row r="99" spans="1:10" ht="18" customHeight="1">
      <c r="A99" s="132">
        <v>1</v>
      </c>
      <c r="B99" s="133" t="s">
        <v>733</v>
      </c>
      <c r="C99" s="135">
        <v>41397</v>
      </c>
      <c r="D99" s="1">
        <v>20</v>
      </c>
      <c r="E99" s="126" t="s">
        <v>177</v>
      </c>
      <c r="F99" s="133" t="s">
        <v>176</v>
      </c>
      <c r="G99" s="133" t="s">
        <v>733</v>
      </c>
      <c r="H99" s="135">
        <v>41397</v>
      </c>
      <c r="I99" s="1">
        <v>20</v>
      </c>
      <c r="J99" s="127" t="s">
        <v>735</v>
      </c>
    </row>
    <row r="100" spans="1:10" ht="18" customHeight="1">
      <c r="A100" s="132">
        <v>2</v>
      </c>
      <c r="B100" s="133" t="s">
        <v>220</v>
      </c>
      <c r="C100" s="135">
        <v>41400</v>
      </c>
      <c r="D100" s="1">
        <v>25</v>
      </c>
      <c r="E100" s="126" t="s">
        <v>177</v>
      </c>
      <c r="F100" s="133" t="s">
        <v>176</v>
      </c>
      <c r="G100" s="133" t="s">
        <v>220</v>
      </c>
      <c r="H100" s="135">
        <v>41400</v>
      </c>
      <c r="I100" s="1">
        <v>25</v>
      </c>
      <c r="J100" s="127" t="s">
        <v>735</v>
      </c>
    </row>
    <row r="101" spans="1:10" ht="18" customHeight="1">
      <c r="A101" s="132">
        <v>3</v>
      </c>
      <c r="B101" s="133" t="s">
        <v>221</v>
      </c>
      <c r="C101" s="135">
        <v>41400</v>
      </c>
      <c r="D101" s="1">
        <v>157.30000000000001</v>
      </c>
      <c r="E101" s="126" t="s">
        <v>50</v>
      </c>
      <c r="F101" s="123" t="s">
        <v>52</v>
      </c>
      <c r="G101" s="133" t="s">
        <v>221</v>
      </c>
      <c r="H101" s="135">
        <v>41400</v>
      </c>
      <c r="I101" s="1">
        <v>157.30000000000001</v>
      </c>
      <c r="J101" s="127" t="s">
        <v>735</v>
      </c>
    </row>
    <row r="102" spans="1:10" ht="18" customHeight="1">
      <c r="A102" s="132">
        <v>4</v>
      </c>
      <c r="B102" s="133" t="s">
        <v>731</v>
      </c>
      <c r="C102" s="135">
        <v>41410</v>
      </c>
      <c r="D102" s="1">
        <v>140.63</v>
      </c>
      <c r="E102" s="126" t="s">
        <v>50</v>
      </c>
      <c r="F102" s="123" t="s">
        <v>52</v>
      </c>
      <c r="G102" s="133" t="s">
        <v>731</v>
      </c>
      <c r="H102" s="135">
        <v>41410</v>
      </c>
      <c r="I102" s="1">
        <v>140.63</v>
      </c>
      <c r="J102" s="127" t="s">
        <v>735</v>
      </c>
    </row>
    <row r="103" spans="1:10" ht="18" customHeight="1">
      <c r="A103" s="132">
        <v>5</v>
      </c>
      <c r="B103" s="133" t="s">
        <v>732</v>
      </c>
      <c r="C103" s="135">
        <v>41414</v>
      </c>
      <c r="D103" s="1">
        <v>82.47</v>
      </c>
      <c r="E103" s="126" t="s">
        <v>50</v>
      </c>
      <c r="F103" s="123" t="s">
        <v>52</v>
      </c>
      <c r="G103" s="133" t="s">
        <v>732</v>
      </c>
      <c r="H103" s="135">
        <v>41414</v>
      </c>
      <c r="I103" s="1">
        <v>82.47</v>
      </c>
      <c r="J103" s="127" t="s">
        <v>735</v>
      </c>
    </row>
    <row r="104" spans="1:10" ht="18" customHeight="1">
      <c r="A104" s="132">
        <v>6</v>
      </c>
      <c r="B104" s="133" t="s">
        <v>234</v>
      </c>
      <c r="C104" s="135">
        <v>41415</v>
      </c>
      <c r="D104" s="1">
        <v>92.5</v>
      </c>
      <c r="E104" s="126" t="s">
        <v>50</v>
      </c>
      <c r="F104" s="123" t="s">
        <v>52</v>
      </c>
      <c r="G104" s="133" t="s">
        <v>234</v>
      </c>
      <c r="H104" s="135">
        <v>41415</v>
      </c>
      <c r="I104" s="1">
        <v>92.5</v>
      </c>
      <c r="J104" s="127" t="s">
        <v>735</v>
      </c>
    </row>
    <row r="105" spans="1:10" ht="18" customHeight="1">
      <c r="A105" s="132">
        <v>7</v>
      </c>
      <c r="B105" s="133" t="s">
        <v>235</v>
      </c>
      <c r="C105" s="135">
        <v>41415</v>
      </c>
      <c r="D105" s="1">
        <v>4</v>
      </c>
      <c r="E105" s="126" t="s">
        <v>177</v>
      </c>
      <c r="F105" s="133" t="s">
        <v>176</v>
      </c>
      <c r="G105" s="133" t="s">
        <v>235</v>
      </c>
      <c r="H105" s="135">
        <v>41415</v>
      </c>
      <c r="I105" s="1">
        <v>4</v>
      </c>
      <c r="J105" s="127" t="s">
        <v>735</v>
      </c>
    </row>
    <row r="106" spans="1:10" ht="18" customHeight="1">
      <c r="A106" s="132">
        <v>8</v>
      </c>
      <c r="B106" s="133" t="s">
        <v>239</v>
      </c>
      <c r="C106" s="135">
        <v>41421</v>
      </c>
      <c r="D106" s="1">
        <v>63.52</v>
      </c>
      <c r="E106" s="126" t="s">
        <v>177</v>
      </c>
      <c r="F106" s="133" t="s">
        <v>176</v>
      </c>
      <c r="G106" s="133" t="s">
        <v>239</v>
      </c>
      <c r="H106" s="135">
        <v>41421</v>
      </c>
      <c r="I106" s="1">
        <v>63.52</v>
      </c>
      <c r="J106" s="127" t="s">
        <v>735</v>
      </c>
    </row>
    <row r="107" spans="1:10" ht="18" customHeight="1">
      <c r="A107" s="333" t="s">
        <v>19</v>
      </c>
      <c r="B107" s="333"/>
      <c r="C107" s="333"/>
      <c r="D107" s="1">
        <f>SUM(D99:D106)</f>
        <v>585.41999999999996</v>
      </c>
      <c r="E107" s="126"/>
      <c r="F107" s="123"/>
      <c r="G107" s="133"/>
      <c r="H107" s="128" t="s">
        <v>0</v>
      </c>
      <c r="I107" s="1">
        <f>SUM(I99:I106)</f>
        <v>585.41999999999996</v>
      </c>
      <c r="J107" s="129"/>
    </row>
    <row r="108" spans="1:10" ht="21.9" customHeight="1">
      <c r="A108" s="333" t="s">
        <v>19</v>
      </c>
      <c r="B108" s="333"/>
      <c r="C108" s="333"/>
      <c r="D108" s="1"/>
      <c r="E108" s="126"/>
      <c r="F108" s="123"/>
      <c r="G108" s="130">
        <v>4034</v>
      </c>
      <c r="H108" s="128" t="s">
        <v>1</v>
      </c>
      <c r="I108" s="2">
        <f>I107*G108</f>
        <v>2361584.2799999998</v>
      </c>
      <c r="J108" s="129"/>
    </row>
    <row r="109" spans="1:10" ht="18" customHeight="1">
      <c r="A109" s="131">
        <v>1</v>
      </c>
      <c r="B109" s="133" t="s">
        <v>242</v>
      </c>
      <c r="C109" s="135">
        <v>41428</v>
      </c>
      <c r="D109" s="1">
        <v>148.71</v>
      </c>
      <c r="E109" s="126" t="s">
        <v>50</v>
      </c>
      <c r="F109" s="123" t="s">
        <v>52</v>
      </c>
      <c r="G109" s="133" t="s">
        <v>242</v>
      </c>
      <c r="H109" s="135">
        <v>41428</v>
      </c>
      <c r="I109" s="1">
        <v>148.71</v>
      </c>
      <c r="J109" s="127" t="s">
        <v>735</v>
      </c>
    </row>
    <row r="110" spans="1:10" ht="18" customHeight="1">
      <c r="A110" s="131">
        <v>2</v>
      </c>
      <c r="B110" s="133" t="s">
        <v>245</v>
      </c>
      <c r="C110" s="135">
        <v>41435</v>
      </c>
      <c r="D110" s="1">
        <v>52.58</v>
      </c>
      <c r="E110" s="126" t="s">
        <v>50</v>
      </c>
      <c r="F110" s="133" t="s">
        <v>52</v>
      </c>
      <c r="G110" s="133" t="s">
        <v>245</v>
      </c>
      <c r="H110" s="135">
        <v>41435</v>
      </c>
      <c r="I110" s="1">
        <v>52.58</v>
      </c>
      <c r="J110" s="127" t="s">
        <v>735</v>
      </c>
    </row>
    <row r="111" spans="1:10" ht="18" customHeight="1">
      <c r="A111" s="131">
        <v>3</v>
      </c>
      <c r="B111" s="133" t="s">
        <v>246</v>
      </c>
      <c r="C111" s="135">
        <v>41435</v>
      </c>
      <c r="D111" s="1">
        <v>70.709999999999994</v>
      </c>
      <c r="E111" s="126" t="s">
        <v>50</v>
      </c>
      <c r="F111" s="133" t="s">
        <v>52</v>
      </c>
      <c r="G111" s="133" t="s">
        <v>246</v>
      </c>
      <c r="H111" s="135">
        <v>41435</v>
      </c>
      <c r="I111" s="1">
        <v>70.709999999999994</v>
      </c>
      <c r="J111" s="127" t="s">
        <v>735</v>
      </c>
    </row>
    <row r="112" spans="1:10" ht="18" customHeight="1">
      <c r="A112" s="131">
        <v>4</v>
      </c>
      <c r="B112" s="133" t="s">
        <v>248</v>
      </c>
      <c r="C112" s="135">
        <v>41442</v>
      </c>
      <c r="D112" s="1">
        <v>207.09</v>
      </c>
      <c r="E112" s="126" t="s">
        <v>50</v>
      </c>
      <c r="F112" s="123" t="s">
        <v>52</v>
      </c>
      <c r="G112" s="133" t="s">
        <v>248</v>
      </c>
      <c r="H112" s="135">
        <v>41442</v>
      </c>
      <c r="I112" s="1">
        <v>207.09</v>
      </c>
      <c r="J112" s="127" t="s">
        <v>735</v>
      </c>
    </row>
    <row r="113" spans="1:10" ht="18" customHeight="1">
      <c r="A113" s="131">
        <v>5</v>
      </c>
      <c r="B113" s="133" t="s">
        <v>256</v>
      </c>
      <c r="C113" s="135">
        <v>41449</v>
      </c>
      <c r="D113" s="1">
        <v>79.11</v>
      </c>
      <c r="E113" s="126" t="s">
        <v>50</v>
      </c>
      <c r="F113" s="123" t="s">
        <v>52</v>
      </c>
      <c r="G113" s="133" t="s">
        <v>256</v>
      </c>
      <c r="H113" s="135">
        <v>41449</v>
      </c>
      <c r="I113" s="1">
        <v>79.11</v>
      </c>
      <c r="J113" s="127" t="s">
        <v>735</v>
      </c>
    </row>
    <row r="114" spans="1:10" ht="18" customHeight="1">
      <c r="A114" s="131">
        <v>6</v>
      </c>
      <c r="B114" s="133" t="s">
        <v>257</v>
      </c>
      <c r="C114" s="135">
        <v>41449</v>
      </c>
      <c r="D114" s="1">
        <v>182.92</v>
      </c>
      <c r="E114" s="126" t="s">
        <v>50</v>
      </c>
      <c r="F114" s="123" t="s">
        <v>52</v>
      </c>
      <c r="G114" s="133" t="s">
        <v>257</v>
      </c>
      <c r="H114" s="135">
        <v>41449</v>
      </c>
      <c r="I114" s="1">
        <v>182.92</v>
      </c>
      <c r="J114" s="127" t="s">
        <v>735</v>
      </c>
    </row>
    <row r="115" spans="1:10" ht="18" customHeight="1">
      <c r="A115" s="131">
        <v>7</v>
      </c>
      <c r="B115" s="133" t="s">
        <v>252</v>
      </c>
      <c r="C115" s="135">
        <v>41453</v>
      </c>
      <c r="D115" s="1">
        <v>3.6</v>
      </c>
      <c r="E115" s="126" t="s">
        <v>50</v>
      </c>
      <c r="F115" s="133" t="s">
        <v>52</v>
      </c>
      <c r="G115" s="133" t="s">
        <v>252</v>
      </c>
      <c r="H115" s="135">
        <v>41453</v>
      </c>
      <c r="I115" s="1">
        <v>3.6</v>
      </c>
      <c r="J115" s="127" t="s">
        <v>735</v>
      </c>
    </row>
    <row r="116" spans="1:10" ht="18" customHeight="1">
      <c r="A116" s="333" t="s">
        <v>18</v>
      </c>
      <c r="B116" s="333"/>
      <c r="C116" s="333"/>
      <c r="D116" s="1">
        <f>SUM(D109:D115)</f>
        <v>744.72</v>
      </c>
      <c r="E116" s="126"/>
      <c r="F116" s="123"/>
      <c r="G116" s="133"/>
      <c r="H116" s="128" t="s">
        <v>0</v>
      </c>
      <c r="I116" s="1">
        <f>SUM(I109:I115)</f>
        <v>744.72</v>
      </c>
      <c r="J116" s="129"/>
    </row>
    <row r="117" spans="1:10" ht="21.9" customHeight="1">
      <c r="A117" s="333" t="s">
        <v>18</v>
      </c>
      <c r="B117" s="333"/>
      <c r="C117" s="333"/>
      <c r="D117" s="1"/>
      <c r="E117" s="126"/>
      <c r="F117" s="123"/>
      <c r="G117" s="130">
        <v>4063</v>
      </c>
      <c r="H117" s="128" t="s">
        <v>1</v>
      </c>
      <c r="I117" s="2">
        <f>I116*G117</f>
        <v>3025797.3600000003</v>
      </c>
      <c r="J117" s="129"/>
    </row>
    <row r="118" spans="1:10" ht="18" customHeight="1">
      <c r="A118" s="132">
        <v>1</v>
      </c>
      <c r="B118" s="133" t="s">
        <v>261</v>
      </c>
      <c r="C118" s="135">
        <v>41452</v>
      </c>
      <c r="D118" s="1">
        <v>76.8</v>
      </c>
      <c r="E118" s="126" t="s">
        <v>50</v>
      </c>
      <c r="F118" s="133" t="s">
        <v>52</v>
      </c>
      <c r="G118" s="133" t="s">
        <v>261</v>
      </c>
      <c r="H118" s="135">
        <v>41452</v>
      </c>
      <c r="I118" s="1">
        <v>76.8</v>
      </c>
      <c r="J118" s="127" t="s">
        <v>735</v>
      </c>
    </row>
    <row r="119" spans="1:10" ht="18" customHeight="1">
      <c r="A119" s="131">
        <v>2</v>
      </c>
      <c r="B119" s="133" t="s">
        <v>262</v>
      </c>
      <c r="C119" s="135">
        <v>41456</v>
      </c>
      <c r="D119" s="1">
        <v>305.89</v>
      </c>
      <c r="E119" s="126" t="s">
        <v>50</v>
      </c>
      <c r="F119" s="123" t="s">
        <v>52</v>
      </c>
      <c r="G119" s="133" t="s">
        <v>262</v>
      </c>
      <c r="H119" s="135">
        <v>41456</v>
      </c>
      <c r="I119" s="1">
        <v>305.89</v>
      </c>
      <c r="J119" s="127" t="s">
        <v>735</v>
      </c>
    </row>
    <row r="120" spans="1:10" ht="18" customHeight="1">
      <c r="A120" s="132">
        <v>3</v>
      </c>
      <c r="B120" s="133" t="s">
        <v>263</v>
      </c>
      <c r="C120" s="135">
        <v>41463</v>
      </c>
      <c r="D120" s="1">
        <v>34.86</v>
      </c>
      <c r="E120" s="126" t="s">
        <v>50</v>
      </c>
      <c r="F120" s="133" t="s">
        <v>52</v>
      </c>
      <c r="G120" s="133" t="s">
        <v>263</v>
      </c>
      <c r="H120" s="135">
        <v>41463</v>
      </c>
      <c r="I120" s="1">
        <v>34.86</v>
      </c>
      <c r="J120" s="127" t="s">
        <v>735</v>
      </c>
    </row>
    <row r="121" spans="1:10" ht="18" customHeight="1">
      <c r="A121" s="131">
        <v>4</v>
      </c>
      <c r="B121" s="133" t="s">
        <v>264</v>
      </c>
      <c r="C121" s="135">
        <v>41463</v>
      </c>
      <c r="D121" s="1">
        <v>450.81</v>
      </c>
      <c r="E121" s="126" t="s">
        <v>50</v>
      </c>
      <c r="F121" s="123" t="s">
        <v>52</v>
      </c>
      <c r="G121" s="133" t="s">
        <v>264</v>
      </c>
      <c r="H121" s="135">
        <v>41463</v>
      </c>
      <c r="I121" s="1">
        <v>450.81</v>
      </c>
      <c r="J121" s="127" t="s">
        <v>735</v>
      </c>
    </row>
    <row r="122" spans="1:10" ht="18" customHeight="1">
      <c r="A122" s="132">
        <v>5</v>
      </c>
      <c r="B122" s="133" t="s">
        <v>274</v>
      </c>
      <c r="C122" s="135">
        <v>41470</v>
      </c>
      <c r="D122" s="1">
        <v>54.3</v>
      </c>
      <c r="E122" s="126" t="s">
        <v>50</v>
      </c>
      <c r="F122" s="133" t="s">
        <v>52</v>
      </c>
      <c r="G122" s="133" t="s">
        <v>274</v>
      </c>
      <c r="H122" s="135">
        <v>41470</v>
      </c>
      <c r="I122" s="1">
        <v>54.3</v>
      </c>
      <c r="J122" s="127" t="s">
        <v>735</v>
      </c>
    </row>
    <row r="123" spans="1:10" ht="18" customHeight="1">
      <c r="A123" s="131">
        <v>6</v>
      </c>
      <c r="B123" s="133" t="s">
        <v>273</v>
      </c>
      <c r="C123" s="135">
        <v>41470</v>
      </c>
      <c r="D123" s="1">
        <v>379.69</v>
      </c>
      <c r="E123" s="126" t="s">
        <v>50</v>
      </c>
      <c r="F123" s="123" t="s">
        <v>52</v>
      </c>
      <c r="G123" s="133" t="s">
        <v>273</v>
      </c>
      <c r="H123" s="135">
        <v>41470</v>
      </c>
      <c r="I123" s="1">
        <v>379.69</v>
      </c>
      <c r="J123" s="127" t="s">
        <v>735</v>
      </c>
    </row>
    <row r="124" spans="1:10" ht="18" customHeight="1">
      <c r="A124" s="132">
        <v>7</v>
      </c>
      <c r="B124" s="133" t="s">
        <v>283</v>
      </c>
      <c r="C124" s="135">
        <v>41477</v>
      </c>
      <c r="D124" s="1">
        <v>48.72</v>
      </c>
      <c r="E124" s="126" t="s">
        <v>50</v>
      </c>
      <c r="F124" s="133" t="s">
        <v>52</v>
      </c>
      <c r="G124" s="133" t="s">
        <v>283</v>
      </c>
      <c r="H124" s="135">
        <v>41477</v>
      </c>
      <c r="I124" s="1">
        <v>48.72</v>
      </c>
      <c r="J124" s="127" t="s">
        <v>735</v>
      </c>
    </row>
    <row r="125" spans="1:10" ht="18" customHeight="1">
      <c r="A125" s="131">
        <v>8</v>
      </c>
      <c r="B125" s="133" t="s">
        <v>284</v>
      </c>
      <c r="C125" s="135">
        <v>41478</v>
      </c>
      <c r="D125" s="1">
        <v>175.1</v>
      </c>
      <c r="E125" s="126" t="s">
        <v>50</v>
      </c>
      <c r="F125" s="123" t="s">
        <v>52</v>
      </c>
      <c r="G125" s="133" t="s">
        <v>284</v>
      </c>
      <c r="H125" s="135">
        <v>41478</v>
      </c>
      <c r="I125" s="1">
        <v>175.1</v>
      </c>
      <c r="J125" s="127" t="s">
        <v>735</v>
      </c>
    </row>
    <row r="126" spans="1:10" ht="18" customHeight="1">
      <c r="A126" s="132">
        <v>9</v>
      </c>
      <c r="B126" s="133" t="s">
        <v>289</v>
      </c>
      <c r="C126" s="135">
        <v>41484</v>
      </c>
      <c r="D126" s="1">
        <v>64.260000000000005</v>
      </c>
      <c r="E126" s="126" t="s">
        <v>50</v>
      </c>
      <c r="F126" s="133" t="s">
        <v>52</v>
      </c>
      <c r="G126" s="133" t="s">
        <v>289</v>
      </c>
      <c r="H126" s="135">
        <v>41484</v>
      </c>
      <c r="I126" s="1">
        <v>64.260000000000005</v>
      </c>
      <c r="J126" s="127" t="s">
        <v>735</v>
      </c>
    </row>
    <row r="127" spans="1:10" ht="18" customHeight="1">
      <c r="A127" s="131">
        <v>10</v>
      </c>
      <c r="B127" s="133" t="s">
        <v>290</v>
      </c>
      <c r="C127" s="135">
        <v>41484</v>
      </c>
      <c r="D127" s="1">
        <v>134.24</v>
      </c>
      <c r="E127" s="126" t="s">
        <v>50</v>
      </c>
      <c r="F127" s="123" t="s">
        <v>52</v>
      </c>
      <c r="G127" s="133" t="s">
        <v>290</v>
      </c>
      <c r="H127" s="135">
        <v>41484</v>
      </c>
      <c r="I127" s="1">
        <v>134.24</v>
      </c>
      <c r="J127" s="127" t="s">
        <v>735</v>
      </c>
    </row>
    <row r="128" spans="1:10" ht="18" customHeight="1">
      <c r="A128" s="333" t="s">
        <v>17</v>
      </c>
      <c r="B128" s="333"/>
      <c r="C128" s="333"/>
      <c r="D128" s="1">
        <f>SUM(D118:D127)</f>
        <v>1724.6699999999998</v>
      </c>
      <c r="E128" s="126"/>
      <c r="F128" s="123"/>
      <c r="G128" s="133"/>
      <c r="H128" s="128" t="s">
        <v>0</v>
      </c>
      <c r="I128" s="1">
        <f>SUM(I118:I127)</f>
        <v>1724.6699999999998</v>
      </c>
      <c r="J128" s="129"/>
    </row>
    <row r="129" spans="1:10" ht="21.9" customHeight="1">
      <c r="A129" s="333" t="s">
        <v>17</v>
      </c>
      <c r="B129" s="333"/>
      <c r="C129" s="333"/>
      <c r="D129" s="1"/>
      <c r="E129" s="126"/>
      <c r="F129" s="123"/>
      <c r="G129" s="130">
        <v>4062</v>
      </c>
      <c r="H129" s="128" t="s">
        <v>1</v>
      </c>
      <c r="I129" s="2">
        <f>I128*G129</f>
        <v>7005609.5399999991</v>
      </c>
      <c r="J129" s="129"/>
    </row>
    <row r="130" spans="1:10" ht="18" customHeight="1">
      <c r="A130" s="131">
        <v>1</v>
      </c>
      <c r="B130" s="133" t="s">
        <v>292</v>
      </c>
      <c r="C130" s="135">
        <v>41491</v>
      </c>
      <c r="D130" s="1">
        <v>152.80000000000001</v>
      </c>
      <c r="E130" s="126" t="s">
        <v>50</v>
      </c>
      <c r="F130" s="123" t="s">
        <v>52</v>
      </c>
      <c r="G130" s="133" t="s">
        <v>292</v>
      </c>
      <c r="H130" s="135">
        <v>41491</v>
      </c>
      <c r="I130" s="1">
        <v>152.80000000000001</v>
      </c>
      <c r="J130" s="127" t="s">
        <v>735</v>
      </c>
    </row>
    <row r="131" spans="1:10" ht="18" customHeight="1">
      <c r="A131" s="131">
        <v>2</v>
      </c>
      <c r="B131" s="133" t="s">
        <v>299</v>
      </c>
      <c r="C131" s="135">
        <v>41498</v>
      </c>
      <c r="D131" s="1">
        <v>219.25</v>
      </c>
      <c r="E131" s="126" t="s">
        <v>50</v>
      </c>
      <c r="F131" s="123" t="s">
        <v>52</v>
      </c>
      <c r="G131" s="133" t="s">
        <v>299</v>
      </c>
      <c r="H131" s="135">
        <v>41498</v>
      </c>
      <c r="I131" s="1">
        <v>219.25</v>
      </c>
      <c r="J131" s="127" t="s">
        <v>735</v>
      </c>
    </row>
    <row r="132" spans="1:10" ht="18" customHeight="1">
      <c r="A132" s="131">
        <v>3</v>
      </c>
      <c r="B132" s="133" t="s">
        <v>304</v>
      </c>
      <c r="C132" s="135">
        <v>41505</v>
      </c>
      <c r="D132" s="1">
        <v>43.04</v>
      </c>
      <c r="E132" s="126" t="s">
        <v>50</v>
      </c>
      <c r="F132" s="133" t="s">
        <v>52</v>
      </c>
      <c r="G132" s="133" t="s">
        <v>304</v>
      </c>
      <c r="H132" s="135">
        <v>41505</v>
      </c>
      <c r="I132" s="1">
        <v>43.04</v>
      </c>
      <c r="J132" s="127" t="s">
        <v>735</v>
      </c>
    </row>
    <row r="133" spans="1:10" ht="18" customHeight="1">
      <c r="A133" s="131">
        <v>4</v>
      </c>
      <c r="B133" s="133" t="s">
        <v>305</v>
      </c>
      <c r="C133" s="135">
        <v>41505</v>
      </c>
      <c r="D133" s="1">
        <v>129.59</v>
      </c>
      <c r="E133" s="126" t="s">
        <v>50</v>
      </c>
      <c r="F133" s="123" t="s">
        <v>52</v>
      </c>
      <c r="G133" s="133" t="s">
        <v>305</v>
      </c>
      <c r="H133" s="135">
        <v>41505</v>
      </c>
      <c r="I133" s="1">
        <v>129.59</v>
      </c>
      <c r="J133" s="127" t="s">
        <v>735</v>
      </c>
    </row>
    <row r="134" spans="1:10" ht="18" customHeight="1">
      <c r="A134" s="131">
        <v>5</v>
      </c>
      <c r="B134" s="133" t="s">
        <v>311</v>
      </c>
      <c r="C134" s="135">
        <v>41512</v>
      </c>
      <c r="D134" s="1">
        <v>67.12</v>
      </c>
      <c r="E134" s="126" t="s">
        <v>50</v>
      </c>
      <c r="F134" s="133" t="s">
        <v>52</v>
      </c>
      <c r="G134" s="133" t="s">
        <v>311</v>
      </c>
      <c r="H134" s="135">
        <v>41512</v>
      </c>
      <c r="I134" s="1">
        <v>67.12</v>
      </c>
      <c r="J134" s="127" t="s">
        <v>735</v>
      </c>
    </row>
    <row r="135" spans="1:10" ht="18" customHeight="1">
      <c r="A135" s="333" t="s">
        <v>21</v>
      </c>
      <c r="B135" s="333"/>
      <c r="C135" s="333"/>
      <c r="D135" s="1">
        <f>SUM(D130:D134)</f>
        <v>611.80000000000007</v>
      </c>
      <c r="E135" s="126"/>
      <c r="F135" s="123"/>
      <c r="G135" s="133"/>
      <c r="H135" s="128" t="s">
        <v>0</v>
      </c>
      <c r="I135" s="1">
        <f>SUM(I130:I134)</f>
        <v>611.80000000000007</v>
      </c>
      <c r="J135" s="129"/>
    </row>
    <row r="136" spans="1:10" ht="21.9" customHeight="1">
      <c r="A136" s="333" t="s">
        <v>21</v>
      </c>
      <c r="B136" s="333"/>
      <c r="C136" s="333"/>
      <c r="D136" s="1"/>
      <c r="E136" s="126"/>
      <c r="F136" s="123"/>
      <c r="G136" s="130">
        <v>4062</v>
      </c>
      <c r="H136" s="128" t="s">
        <v>1</v>
      </c>
      <c r="I136" s="2">
        <f>I135*G136</f>
        <v>2485131.6</v>
      </c>
      <c r="J136" s="129"/>
    </row>
    <row r="137" spans="1:10" ht="18" customHeight="1">
      <c r="A137" s="131">
        <v>1</v>
      </c>
      <c r="B137" s="133" t="s">
        <v>316</v>
      </c>
      <c r="C137" s="135">
        <v>41519</v>
      </c>
      <c r="D137" s="1">
        <v>145.02000000000001</v>
      </c>
      <c r="E137" s="126" t="s">
        <v>50</v>
      </c>
      <c r="F137" s="123" t="s">
        <v>52</v>
      </c>
      <c r="G137" s="133" t="s">
        <v>316</v>
      </c>
      <c r="H137" s="135">
        <v>41519</v>
      </c>
      <c r="I137" s="1">
        <v>145.02000000000001</v>
      </c>
      <c r="J137" s="127" t="s">
        <v>735</v>
      </c>
    </row>
    <row r="138" spans="1:10" ht="18" customHeight="1">
      <c r="A138" s="131">
        <v>2</v>
      </c>
      <c r="B138" s="133" t="s">
        <v>317</v>
      </c>
      <c r="C138" s="135">
        <v>41519</v>
      </c>
      <c r="D138" s="1">
        <v>3.6</v>
      </c>
      <c r="E138" s="126" t="s">
        <v>50</v>
      </c>
      <c r="F138" s="133" t="s">
        <v>52</v>
      </c>
      <c r="G138" s="133" t="s">
        <v>317</v>
      </c>
      <c r="H138" s="135">
        <v>41519</v>
      </c>
      <c r="I138" s="1">
        <v>3.6</v>
      </c>
      <c r="J138" s="127" t="s">
        <v>735</v>
      </c>
    </row>
    <row r="139" spans="1:10" ht="18" customHeight="1">
      <c r="A139" s="131">
        <v>3</v>
      </c>
      <c r="B139" s="133" t="s">
        <v>318</v>
      </c>
      <c r="C139" s="135">
        <v>41519</v>
      </c>
      <c r="D139" s="1">
        <v>352.48</v>
      </c>
      <c r="E139" s="126" t="s">
        <v>50</v>
      </c>
      <c r="F139" s="123" t="s">
        <v>52</v>
      </c>
      <c r="G139" s="133" t="s">
        <v>318</v>
      </c>
      <c r="H139" s="135">
        <v>41519</v>
      </c>
      <c r="I139" s="1">
        <v>352.48</v>
      </c>
      <c r="J139" s="127" t="s">
        <v>735</v>
      </c>
    </row>
    <row r="140" spans="1:10" ht="18" customHeight="1">
      <c r="A140" s="131">
        <v>4</v>
      </c>
      <c r="B140" s="133" t="s">
        <v>319</v>
      </c>
      <c r="C140" s="135">
        <v>41526</v>
      </c>
      <c r="D140" s="1">
        <v>37.97</v>
      </c>
      <c r="E140" s="126" t="s">
        <v>50</v>
      </c>
      <c r="F140" s="133" t="s">
        <v>52</v>
      </c>
      <c r="G140" s="133" t="s">
        <v>319</v>
      </c>
      <c r="H140" s="135">
        <v>41526</v>
      </c>
      <c r="I140" s="1">
        <v>37.97</v>
      </c>
      <c r="J140" s="127" t="s">
        <v>735</v>
      </c>
    </row>
    <row r="141" spans="1:10" ht="18" customHeight="1">
      <c r="A141" s="131">
        <v>5</v>
      </c>
      <c r="B141" s="133" t="s">
        <v>323</v>
      </c>
      <c r="C141" s="135">
        <v>41526</v>
      </c>
      <c r="D141" s="1">
        <v>319.7</v>
      </c>
      <c r="E141" s="126" t="s">
        <v>50</v>
      </c>
      <c r="F141" s="123" t="s">
        <v>52</v>
      </c>
      <c r="G141" s="133" t="s">
        <v>323</v>
      </c>
      <c r="H141" s="135">
        <v>41526</v>
      </c>
      <c r="I141" s="1">
        <v>319.7</v>
      </c>
      <c r="J141" s="127" t="s">
        <v>735</v>
      </c>
    </row>
    <row r="142" spans="1:10" ht="18" customHeight="1">
      <c r="A142" s="131">
        <v>6</v>
      </c>
      <c r="B142" s="133" t="s">
        <v>334</v>
      </c>
      <c r="C142" s="135">
        <v>41533</v>
      </c>
      <c r="D142" s="1">
        <v>35.729999999999997</v>
      </c>
      <c r="E142" s="126" t="s">
        <v>50</v>
      </c>
      <c r="F142" s="133" t="s">
        <v>52</v>
      </c>
      <c r="G142" s="133" t="s">
        <v>334</v>
      </c>
      <c r="H142" s="135">
        <v>41533</v>
      </c>
      <c r="I142" s="1">
        <v>35.729999999999997</v>
      </c>
      <c r="J142" s="127" t="s">
        <v>735</v>
      </c>
    </row>
    <row r="143" spans="1:10" ht="18" customHeight="1">
      <c r="A143" s="131">
        <v>7</v>
      </c>
      <c r="B143" s="133" t="s">
        <v>333</v>
      </c>
      <c r="C143" s="135">
        <v>41533</v>
      </c>
      <c r="D143" s="1">
        <v>104.03</v>
      </c>
      <c r="E143" s="126" t="s">
        <v>50</v>
      </c>
      <c r="F143" s="123" t="s">
        <v>52</v>
      </c>
      <c r="G143" s="133" t="s">
        <v>333</v>
      </c>
      <c r="H143" s="135">
        <v>41533</v>
      </c>
      <c r="I143" s="1">
        <v>104.03</v>
      </c>
      <c r="J143" s="127" t="s">
        <v>735</v>
      </c>
    </row>
    <row r="144" spans="1:10" ht="18" customHeight="1">
      <c r="A144" s="131">
        <v>8</v>
      </c>
      <c r="B144" s="133" t="s">
        <v>340</v>
      </c>
      <c r="C144" s="135">
        <v>41540</v>
      </c>
      <c r="D144" s="1">
        <v>61.27</v>
      </c>
      <c r="E144" s="126" t="s">
        <v>50</v>
      </c>
      <c r="F144" s="133" t="s">
        <v>52</v>
      </c>
      <c r="G144" s="133" t="s">
        <v>340</v>
      </c>
      <c r="H144" s="135">
        <v>41540</v>
      </c>
      <c r="I144" s="1">
        <v>61.27</v>
      </c>
      <c r="J144" s="127" t="s">
        <v>735</v>
      </c>
    </row>
    <row r="145" spans="1:10" ht="18" customHeight="1">
      <c r="A145" s="131">
        <v>9</v>
      </c>
      <c r="B145" s="133" t="s">
        <v>341</v>
      </c>
      <c r="C145" s="135">
        <v>41541</v>
      </c>
      <c r="D145" s="1">
        <v>61.8</v>
      </c>
      <c r="E145" s="126" t="s">
        <v>50</v>
      </c>
      <c r="F145" s="133" t="s">
        <v>52</v>
      </c>
      <c r="G145" s="133" t="s">
        <v>341</v>
      </c>
      <c r="H145" s="135">
        <v>41541</v>
      </c>
      <c r="I145" s="1">
        <v>61.8</v>
      </c>
      <c r="J145" s="127" t="s">
        <v>735</v>
      </c>
    </row>
    <row r="146" spans="1:10" ht="18" customHeight="1">
      <c r="A146" s="131">
        <v>10</v>
      </c>
      <c r="B146" s="133" t="s">
        <v>349</v>
      </c>
      <c r="C146" s="135">
        <v>41547</v>
      </c>
      <c r="D146" s="1">
        <v>215.54</v>
      </c>
      <c r="E146" s="126" t="s">
        <v>50</v>
      </c>
      <c r="F146" s="123" t="s">
        <v>52</v>
      </c>
      <c r="G146" s="133" t="s">
        <v>349</v>
      </c>
      <c r="H146" s="135">
        <v>41547</v>
      </c>
      <c r="I146" s="1">
        <v>215.54</v>
      </c>
      <c r="J146" s="127" t="s">
        <v>735</v>
      </c>
    </row>
    <row r="147" spans="1:10" ht="18" customHeight="1">
      <c r="A147" s="333" t="s">
        <v>22</v>
      </c>
      <c r="B147" s="333"/>
      <c r="C147" s="333"/>
      <c r="D147" s="1">
        <f>SUM(D137:D146)</f>
        <v>1337.1399999999999</v>
      </c>
      <c r="E147" s="126"/>
      <c r="F147" s="123"/>
      <c r="G147" s="133"/>
      <c r="H147" s="128" t="s">
        <v>0</v>
      </c>
      <c r="I147" s="1">
        <f>SUM(I137:I146)</f>
        <v>1337.1399999999999</v>
      </c>
      <c r="J147" s="129"/>
    </row>
    <row r="148" spans="1:10" ht="21.9" customHeight="1">
      <c r="A148" s="333" t="s">
        <v>22</v>
      </c>
      <c r="B148" s="333"/>
      <c r="C148" s="333"/>
      <c r="D148" s="1"/>
      <c r="E148" s="126"/>
      <c r="F148" s="123"/>
      <c r="G148" s="130">
        <v>4062</v>
      </c>
      <c r="H148" s="128" t="s">
        <v>1</v>
      </c>
      <c r="I148" s="2">
        <f>I147*G148</f>
        <v>5431462.6799999997</v>
      </c>
      <c r="J148" s="129"/>
    </row>
    <row r="149" spans="1:10" ht="18" customHeight="1">
      <c r="A149" s="131">
        <v>1</v>
      </c>
      <c r="B149" s="133" t="s">
        <v>350</v>
      </c>
      <c r="C149" s="135">
        <v>41554</v>
      </c>
      <c r="D149" s="1">
        <v>214.95</v>
      </c>
      <c r="E149" s="126" t="s">
        <v>50</v>
      </c>
      <c r="F149" s="123" t="s">
        <v>52</v>
      </c>
      <c r="G149" s="133" t="s">
        <v>350</v>
      </c>
      <c r="H149" s="135">
        <v>41554</v>
      </c>
      <c r="I149" s="1">
        <v>214.95</v>
      </c>
      <c r="J149" s="127" t="s">
        <v>735</v>
      </c>
    </row>
    <row r="150" spans="1:10" ht="18" customHeight="1">
      <c r="A150" s="131">
        <v>2</v>
      </c>
      <c r="B150" s="133" t="s">
        <v>358</v>
      </c>
      <c r="C150" s="135">
        <v>41561</v>
      </c>
      <c r="D150" s="1">
        <v>127.3</v>
      </c>
      <c r="E150" s="126" t="s">
        <v>50</v>
      </c>
      <c r="F150" s="123" t="s">
        <v>52</v>
      </c>
      <c r="G150" s="133" t="s">
        <v>358</v>
      </c>
      <c r="H150" s="135">
        <v>41561</v>
      </c>
      <c r="I150" s="1">
        <v>127.3</v>
      </c>
      <c r="J150" s="127" t="s">
        <v>735</v>
      </c>
    </row>
    <row r="151" spans="1:10" ht="18" customHeight="1">
      <c r="A151" s="131">
        <v>3</v>
      </c>
      <c r="B151" s="133" t="s">
        <v>359</v>
      </c>
      <c r="C151" s="135">
        <v>41561</v>
      </c>
      <c r="D151" s="1">
        <v>51.4</v>
      </c>
      <c r="E151" s="126" t="s">
        <v>50</v>
      </c>
      <c r="F151" s="133" t="s">
        <v>52</v>
      </c>
      <c r="G151" s="133" t="s">
        <v>359</v>
      </c>
      <c r="H151" s="135">
        <v>41561</v>
      </c>
      <c r="I151" s="1">
        <v>51.4</v>
      </c>
      <c r="J151" s="127" t="s">
        <v>735</v>
      </c>
    </row>
    <row r="152" spans="1:10" ht="18" customHeight="1">
      <c r="A152" s="131">
        <v>4</v>
      </c>
      <c r="B152" s="133" t="s">
        <v>368</v>
      </c>
      <c r="C152" s="135">
        <v>41568</v>
      </c>
      <c r="D152" s="1">
        <v>30</v>
      </c>
      <c r="E152" s="126" t="s">
        <v>50</v>
      </c>
      <c r="F152" s="133" t="s">
        <v>52</v>
      </c>
      <c r="G152" s="133" t="s">
        <v>368</v>
      </c>
      <c r="H152" s="135">
        <v>41568</v>
      </c>
      <c r="I152" s="1">
        <v>30</v>
      </c>
      <c r="J152" s="127" t="s">
        <v>735</v>
      </c>
    </row>
    <row r="153" spans="1:10" ht="18" customHeight="1">
      <c r="A153" s="131">
        <v>5</v>
      </c>
      <c r="B153" s="133" t="s">
        <v>367</v>
      </c>
      <c r="C153" s="135">
        <v>41568</v>
      </c>
      <c r="D153" s="1">
        <v>121.12</v>
      </c>
      <c r="E153" s="126" t="s">
        <v>50</v>
      </c>
      <c r="F153" s="123" t="s">
        <v>52</v>
      </c>
      <c r="G153" s="133" t="s">
        <v>367</v>
      </c>
      <c r="H153" s="135">
        <v>41568</v>
      </c>
      <c r="I153" s="1">
        <v>121.12</v>
      </c>
      <c r="J153" s="127" t="s">
        <v>735</v>
      </c>
    </row>
    <row r="154" spans="1:10" ht="18" customHeight="1">
      <c r="A154" s="131">
        <v>6</v>
      </c>
      <c r="B154" s="133" t="s">
        <v>375</v>
      </c>
      <c r="C154" s="135">
        <v>41575</v>
      </c>
      <c r="D154" s="1">
        <v>239.21</v>
      </c>
      <c r="E154" s="126" t="s">
        <v>50</v>
      </c>
      <c r="F154" s="123" t="s">
        <v>52</v>
      </c>
      <c r="G154" s="133" t="s">
        <v>375</v>
      </c>
      <c r="H154" s="135">
        <v>41575</v>
      </c>
      <c r="I154" s="1">
        <v>239.21</v>
      </c>
      <c r="J154" s="127" t="s">
        <v>735</v>
      </c>
    </row>
    <row r="155" spans="1:10" ht="18" customHeight="1">
      <c r="A155" s="131">
        <v>7</v>
      </c>
      <c r="B155" s="133" t="s">
        <v>376</v>
      </c>
      <c r="C155" s="135">
        <v>41575</v>
      </c>
      <c r="D155" s="1">
        <v>84.98</v>
      </c>
      <c r="E155" s="126" t="s">
        <v>50</v>
      </c>
      <c r="F155" s="123" t="s">
        <v>52</v>
      </c>
      <c r="G155" s="133" t="s">
        <v>376</v>
      </c>
      <c r="H155" s="135">
        <v>41575</v>
      </c>
      <c r="I155" s="1">
        <v>84.98</v>
      </c>
      <c r="J155" s="127" t="s">
        <v>735</v>
      </c>
    </row>
    <row r="156" spans="1:10" ht="18" customHeight="1">
      <c r="A156" s="333" t="s">
        <v>23</v>
      </c>
      <c r="B156" s="333"/>
      <c r="C156" s="333"/>
      <c r="D156" s="1">
        <f>SUM(D149:D155)</f>
        <v>868.96</v>
      </c>
      <c r="E156" s="126"/>
      <c r="F156" s="123"/>
      <c r="G156" s="133"/>
      <c r="H156" s="128" t="s">
        <v>0</v>
      </c>
      <c r="I156" s="1">
        <f>SUM(I149:I155)</f>
        <v>868.96</v>
      </c>
      <c r="J156" s="129"/>
    </row>
    <row r="157" spans="1:10" ht="21.9" customHeight="1">
      <c r="A157" s="333" t="s">
        <v>23</v>
      </c>
      <c r="B157" s="333"/>
      <c r="C157" s="333"/>
      <c r="D157" s="1"/>
      <c r="E157" s="126"/>
      <c r="F157" s="123"/>
      <c r="G157" s="137">
        <v>4058</v>
      </c>
      <c r="H157" s="128" t="s">
        <v>1</v>
      </c>
      <c r="I157" s="2">
        <f>I156*G157</f>
        <v>3526239.68</v>
      </c>
      <c r="J157" s="129"/>
    </row>
    <row r="158" spans="1:10" ht="18" customHeight="1">
      <c r="A158" s="131">
        <v>1</v>
      </c>
      <c r="B158" s="133" t="s">
        <v>378</v>
      </c>
      <c r="C158" s="135">
        <v>41582</v>
      </c>
      <c r="D158" s="1">
        <v>214.67</v>
      </c>
      <c r="E158" s="126" t="s">
        <v>50</v>
      </c>
      <c r="F158" s="123" t="s">
        <v>52</v>
      </c>
      <c r="G158" s="133" t="s">
        <v>378</v>
      </c>
      <c r="H158" s="135">
        <v>41582</v>
      </c>
      <c r="I158" s="1">
        <v>214.67</v>
      </c>
      <c r="J158" s="127" t="s">
        <v>735</v>
      </c>
    </row>
    <row r="159" spans="1:10" ht="18" customHeight="1">
      <c r="A159" s="131">
        <v>2</v>
      </c>
      <c r="B159" s="133" t="s">
        <v>377</v>
      </c>
      <c r="C159" s="135">
        <v>41589</v>
      </c>
      <c r="D159" s="1">
        <v>52.7</v>
      </c>
      <c r="E159" s="126" t="s">
        <v>50</v>
      </c>
      <c r="F159" s="133" t="s">
        <v>52</v>
      </c>
      <c r="G159" s="133" t="s">
        <v>377</v>
      </c>
      <c r="H159" s="135">
        <v>41589</v>
      </c>
      <c r="I159" s="1">
        <v>52.7</v>
      </c>
      <c r="J159" s="127" t="s">
        <v>735</v>
      </c>
    </row>
    <row r="160" spans="1:10" ht="18" customHeight="1">
      <c r="A160" s="131">
        <v>3</v>
      </c>
      <c r="B160" s="133" t="s">
        <v>386</v>
      </c>
      <c r="C160" s="135">
        <v>41603</v>
      </c>
      <c r="D160" s="1">
        <v>41.07</v>
      </c>
      <c r="E160" s="126" t="s">
        <v>50</v>
      </c>
      <c r="F160" s="133" t="s">
        <v>52</v>
      </c>
      <c r="G160" s="133" t="s">
        <v>386</v>
      </c>
      <c r="H160" s="135">
        <v>41603</v>
      </c>
      <c r="I160" s="1">
        <v>41.07</v>
      </c>
      <c r="J160" s="127" t="s">
        <v>735</v>
      </c>
    </row>
    <row r="161" spans="1:10" ht="18" customHeight="1">
      <c r="A161" s="333" t="s">
        <v>24</v>
      </c>
      <c r="B161" s="333"/>
      <c r="C161" s="333"/>
      <c r="D161" s="1">
        <f>SUM(D158:D160)</f>
        <v>308.44</v>
      </c>
      <c r="E161" s="126"/>
      <c r="F161" s="133"/>
      <c r="G161" s="133"/>
      <c r="H161" s="128" t="s">
        <v>0</v>
      </c>
      <c r="I161" s="1">
        <f>SUM(I158:I160)</f>
        <v>308.44</v>
      </c>
      <c r="J161" s="129"/>
    </row>
    <row r="162" spans="1:10" ht="21.9" customHeight="1">
      <c r="A162" s="333" t="s">
        <v>24</v>
      </c>
      <c r="B162" s="333"/>
      <c r="C162" s="333"/>
      <c r="D162" s="1"/>
      <c r="E162" s="126"/>
      <c r="F162" s="133"/>
      <c r="G162" s="130">
        <v>4006</v>
      </c>
      <c r="H162" s="128" t="s">
        <v>1</v>
      </c>
      <c r="I162" s="2">
        <f>I161*G162</f>
        <v>1235610.6399999999</v>
      </c>
      <c r="J162" s="129"/>
    </row>
    <row r="163" spans="1:10" ht="18" customHeight="1">
      <c r="A163" s="132">
        <v>1</v>
      </c>
      <c r="B163" s="133" t="s">
        <v>389</v>
      </c>
      <c r="C163" s="135">
        <v>41610</v>
      </c>
      <c r="D163" s="1">
        <v>32.29</v>
      </c>
      <c r="E163" s="126" t="s">
        <v>50</v>
      </c>
      <c r="F163" s="133" t="s">
        <v>52</v>
      </c>
      <c r="G163" s="133" t="s">
        <v>389</v>
      </c>
      <c r="H163" s="135">
        <v>41610</v>
      </c>
      <c r="I163" s="1">
        <v>32.29</v>
      </c>
      <c r="J163" s="127" t="s">
        <v>735</v>
      </c>
    </row>
    <row r="164" spans="1:10" ht="18" customHeight="1">
      <c r="A164" s="131">
        <v>2</v>
      </c>
      <c r="B164" s="133" t="s">
        <v>392</v>
      </c>
      <c r="C164" s="135">
        <v>41617</v>
      </c>
      <c r="D164" s="1">
        <v>330.27</v>
      </c>
      <c r="E164" s="126" t="s">
        <v>50</v>
      </c>
      <c r="F164" s="123" t="s">
        <v>52</v>
      </c>
      <c r="G164" s="133" t="s">
        <v>392</v>
      </c>
      <c r="H164" s="135">
        <v>41617</v>
      </c>
      <c r="I164" s="1">
        <v>330.27</v>
      </c>
      <c r="J164" s="127" t="s">
        <v>735</v>
      </c>
    </row>
    <row r="165" spans="1:10" ht="18" customHeight="1">
      <c r="A165" s="132">
        <v>3</v>
      </c>
      <c r="B165" s="133" t="s">
        <v>393</v>
      </c>
      <c r="C165" s="135">
        <v>41617</v>
      </c>
      <c r="D165" s="1">
        <v>122.13</v>
      </c>
      <c r="E165" s="126" t="s">
        <v>50</v>
      </c>
      <c r="F165" s="123" t="s">
        <v>52</v>
      </c>
      <c r="G165" s="133" t="s">
        <v>393</v>
      </c>
      <c r="H165" s="135">
        <v>41617</v>
      </c>
      <c r="I165" s="1">
        <v>122.13</v>
      </c>
      <c r="J165" s="127" t="s">
        <v>735</v>
      </c>
    </row>
    <row r="166" spans="1:10" ht="18" customHeight="1">
      <c r="A166" s="131">
        <v>4</v>
      </c>
      <c r="B166" s="133" t="s">
        <v>401</v>
      </c>
      <c r="C166" s="135">
        <v>41624</v>
      </c>
      <c r="D166" s="1">
        <v>180.09</v>
      </c>
      <c r="E166" s="126" t="s">
        <v>50</v>
      </c>
      <c r="F166" s="123" t="s">
        <v>52</v>
      </c>
      <c r="G166" s="133" t="s">
        <v>401</v>
      </c>
      <c r="H166" s="135">
        <v>41624</v>
      </c>
      <c r="I166" s="1">
        <v>180.09</v>
      </c>
      <c r="J166" s="127" t="s">
        <v>735</v>
      </c>
    </row>
    <row r="167" spans="1:10" ht="18" customHeight="1">
      <c r="A167" s="132">
        <v>5</v>
      </c>
      <c r="B167" s="133" t="s">
        <v>408</v>
      </c>
      <c r="C167" s="135">
        <v>41631</v>
      </c>
      <c r="D167" s="1">
        <v>60.45</v>
      </c>
      <c r="E167" s="126" t="s">
        <v>50</v>
      </c>
      <c r="F167" s="133" t="s">
        <v>52</v>
      </c>
      <c r="G167" s="133" t="s">
        <v>408</v>
      </c>
      <c r="H167" s="135">
        <v>41631</v>
      </c>
      <c r="I167" s="1">
        <v>60.45</v>
      </c>
      <c r="J167" s="127" t="s">
        <v>735</v>
      </c>
    </row>
    <row r="168" spans="1:10" ht="18" customHeight="1">
      <c r="A168" s="131">
        <v>6</v>
      </c>
      <c r="B168" s="133" t="s">
        <v>413</v>
      </c>
      <c r="C168" s="135">
        <v>41639</v>
      </c>
      <c r="D168" s="1">
        <v>120.68</v>
      </c>
      <c r="E168" s="126" t="s">
        <v>50</v>
      </c>
      <c r="F168" s="123" t="s">
        <v>52</v>
      </c>
      <c r="G168" s="133" t="s">
        <v>413</v>
      </c>
      <c r="H168" s="135">
        <v>41639</v>
      </c>
      <c r="I168" s="1">
        <v>120.68</v>
      </c>
      <c r="J168" s="127" t="s">
        <v>735</v>
      </c>
    </row>
    <row r="169" spans="1:10" ht="18" customHeight="1">
      <c r="A169" s="333" t="s">
        <v>25</v>
      </c>
      <c r="B169" s="333"/>
      <c r="C169" s="333"/>
      <c r="D169" s="1">
        <f>SUM(D163:D168)</f>
        <v>845.91000000000008</v>
      </c>
      <c r="E169" s="126"/>
      <c r="F169" s="123"/>
      <c r="G169" s="133"/>
      <c r="H169" s="128" t="s">
        <v>0</v>
      </c>
      <c r="I169" s="1">
        <f>SUM(I163:I168)</f>
        <v>845.91000000000008</v>
      </c>
      <c r="J169" s="129"/>
    </row>
    <row r="170" spans="1:10" ht="21.9" customHeight="1">
      <c r="A170" s="333" t="s">
        <v>25</v>
      </c>
      <c r="B170" s="333"/>
      <c r="C170" s="333"/>
      <c r="D170" s="1"/>
      <c r="E170" s="126"/>
      <c r="F170" s="123"/>
      <c r="G170" s="130">
        <v>3995</v>
      </c>
      <c r="H170" s="128" t="s">
        <v>1</v>
      </c>
      <c r="I170" s="2">
        <f>I169*G170</f>
        <v>3379410.45</v>
      </c>
      <c r="J170" s="129"/>
    </row>
    <row r="171" spans="1:10" ht="18" customHeight="1">
      <c r="A171" s="132">
        <v>1</v>
      </c>
      <c r="B171" s="138" t="s">
        <v>414</v>
      </c>
      <c r="C171" s="139">
        <v>41645</v>
      </c>
      <c r="D171" s="125">
        <v>36.200000000000003</v>
      </c>
      <c r="E171" s="140" t="s">
        <v>50</v>
      </c>
      <c r="F171" s="138" t="s">
        <v>52</v>
      </c>
      <c r="G171" s="138" t="s">
        <v>414</v>
      </c>
      <c r="H171" s="139">
        <v>41645</v>
      </c>
      <c r="I171" s="125">
        <v>36.200000000000003</v>
      </c>
      <c r="J171" s="127" t="s">
        <v>735</v>
      </c>
    </row>
    <row r="172" spans="1:10" ht="18" customHeight="1">
      <c r="A172" s="131">
        <v>2</v>
      </c>
      <c r="B172" s="138" t="s">
        <v>415</v>
      </c>
      <c r="C172" s="139">
        <v>41645</v>
      </c>
      <c r="D172" s="125">
        <v>212.17</v>
      </c>
      <c r="E172" s="126" t="s">
        <v>50</v>
      </c>
      <c r="F172" s="123" t="s">
        <v>52</v>
      </c>
      <c r="G172" s="138" t="s">
        <v>415</v>
      </c>
      <c r="H172" s="139">
        <v>41645</v>
      </c>
      <c r="I172" s="125">
        <v>212.17</v>
      </c>
      <c r="J172" s="127" t="s">
        <v>735</v>
      </c>
    </row>
    <row r="173" spans="1:10" ht="18" customHeight="1">
      <c r="A173" s="132">
        <v>3</v>
      </c>
      <c r="B173" s="138" t="s">
        <v>418</v>
      </c>
      <c r="C173" s="139">
        <v>41646</v>
      </c>
      <c r="D173" s="125">
        <v>4</v>
      </c>
      <c r="E173" s="140" t="s">
        <v>50</v>
      </c>
      <c r="F173" s="138" t="s">
        <v>52</v>
      </c>
      <c r="G173" s="138" t="s">
        <v>418</v>
      </c>
      <c r="H173" s="139">
        <v>41646</v>
      </c>
      <c r="I173" s="125">
        <v>4</v>
      </c>
      <c r="J173" s="127" t="s">
        <v>735</v>
      </c>
    </row>
    <row r="174" spans="1:10" ht="18" customHeight="1">
      <c r="A174" s="131">
        <v>4</v>
      </c>
      <c r="B174" s="138" t="s">
        <v>419</v>
      </c>
      <c r="C174" s="139">
        <v>41652</v>
      </c>
      <c r="D174" s="125">
        <v>239.84</v>
      </c>
      <c r="E174" s="126" t="s">
        <v>50</v>
      </c>
      <c r="F174" s="123" t="s">
        <v>52</v>
      </c>
      <c r="G174" s="138" t="s">
        <v>419</v>
      </c>
      <c r="H174" s="139">
        <v>41652</v>
      </c>
      <c r="I174" s="125">
        <v>239.84</v>
      </c>
      <c r="J174" s="127" t="s">
        <v>735</v>
      </c>
    </row>
    <row r="175" spans="1:10" ht="18" customHeight="1">
      <c r="A175" s="132">
        <v>5</v>
      </c>
      <c r="B175" s="138" t="s">
        <v>420</v>
      </c>
      <c r="C175" s="139">
        <v>41653</v>
      </c>
      <c r="D175" s="125">
        <v>65.94</v>
      </c>
      <c r="E175" s="140" t="s">
        <v>50</v>
      </c>
      <c r="F175" s="138" t="s">
        <v>52</v>
      </c>
      <c r="G175" s="138" t="s">
        <v>420</v>
      </c>
      <c r="H175" s="139">
        <v>41653</v>
      </c>
      <c r="I175" s="125">
        <v>65.94</v>
      </c>
      <c r="J175" s="127" t="s">
        <v>735</v>
      </c>
    </row>
    <row r="176" spans="1:10" ht="18" customHeight="1">
      <c r="A176" s="131">
        <v>6</v>
      </c>
      <c r="B176" s="138" t="s">
        <v>427</v>
      </c>
      <c r="C176" s="139">
        <v>41659</v>
      </c>
      <c r="D176" s="125">
        <v>125.78</v>
      </c>
      <c r="E176" s="140" t="s">
        <v>50</v>
      </c>
      <c r="F176" s="138" t="s">
        <v>52</v>
      </c>
      <c r="G176" s="138" t="s">
        <v>427</v>
      </c>
      <c r="H176" s="139">
        <v>41659</v>
      </c>
      <c r="I176" s="125">
        <v>125.78</v>
      </c>
      <c r="J176" s="127" t="s">
        <v>735</v>
      </c>
    </row>
    <row r="177" spans="1:10" ht="18" customHeight="1">
      <c r="A177" s="132">
        <v>7</v>
      </c>
      <c r="B177" s="138" t="s">
        <v>435</v>
      </c>
      <c r="C177" s="139">
        <v>41666</v>
      </c>
      <c r="D177" s="125">
        <v>73.14</v>
      </c>
      <c r="E177" s="140" t="s">
        <v>50</v>
      </c>
      <c r="F177" s="138" t="s">
        <v>52</v>
      </c>
      <c r="G177" s="138" t="s">
        <v>435</v>
      </c>
      <c r="H177" s="139">
        <v>41666</v>
      </c>
      <c r="I177" s="125">
        <v>73.14</v>
      </c>
      <c r="J177" s="127" t="s">
        <v>735</v>
      </c>
    </row>
    <row r="178" spans="1:10" ht="18" customHeight="1">
      <c r="A178" s="333" t="s">
        <v>26</v>
      </c>
      <c r="B178" s="333"/>
      <c r="C178" s="333"/>
      <c r="D178" s="125">
        <f>SUM(D171:D177)</f>
        <v>757.07</v>
      </c>
      <c r="E178" s="126"/>
      <c r="F178" s="123"/>
      <c r="G178" s="138"/>
      <c r="H178" s="128" t="s">
        <v>0</v>
      </c>
      <c r="I178" s="125">
        <f>SUM(I171:I177)</f>
        <v>757.07</v>
      </c>
      <c r="J178" s="129"/>
    </row>
    <row r="179" spans="1:10" ht="21.9" customHeight="1">
      <c r="A179" s="333" t="s">
        <v>26</v>
      </c>
      <c r="B179" s="333"/>
      <c r="C179" s="333"/>
      <c r="D179" s="125"/>
      <c r="E179" s="126"/>
      <c r="F179" s="123"/>
      <c r="G179" s="130">
        <v>3995</v>
      </c>
      <c r="H179" s="128" t="s">
        <v>1</v>
      </c>
      <c r="I179" s="2">
        <f>I178*G179</f>
        <v>3024494.6500000004</v>
      </c>
      <c r="J179" s="129"/>
    </row>
    <row r="180" spans="1:10" ht="18" customHeight="1">
      <c r="A180" s="131">
        <v>1</v>
      </c>
      <c r="B180" s="138" t="s">
        <v>438</v>
      </c>
      <c r="C180" s="139">
        <v>41674</v>
      </c>
      <c r="D180" s="125">
        <v>174.58</v>
      </c>
      <c r="E180" s="126" t="s">
        <v>50</v>
      </c>
      <c r="F180" s="123" t="s">
        <v>52</v>
      </c>
      <c r="G180" s="138" t="s">
        <v>438</v>
      </c>
      <c r="H180" s="139">
        <v>41674</v>
      </c>
      <c r="I180" s="125">
        <v>174.58</v>
      </c>
      <c r="J180" s="127" t="s">
        <v>735</v>
      </c>
    </row>
    <row r="181" spans="1:10" ht="18" customHeight="1">
      <c r="A181" s="131">
        <v>2</v>
      </c>
      <c r="B181" s="138" t="s">
        <v>444</v>
      </c>
      <c r="C181" s="139">
        <v>41680</v>
      </c>
      <c r="D181" s="125">
        <v>415.68</v>
      </c>
      <c r="E181" s="126" t="s">
        <v>50</v>
      </c>
      <c r="F181" s="123" t="s">
        <v>52</v>
      </c>
      <c r="G181" s="138" t="s">
        <v>444</v>
      </c>
      <c r="H181" s="139">
        <v>41680</v>
      </c>
      <c r="I181" s="125">
        <v>415.68</v>
      </c>
      <c r="J181" s="127" t="s">
        <v>735</v>
      </c>
    </row>
    <row r="182" spans="1:10" ht="18" customHeight="1">
      <c r="A182" s="131">
        <v>3</v>
      </c>
      <c r="B182" s="138" t="s">
        <v>448</v>
      </c>
      <c r="C182" s="139">
        <v>41687</v>
      </c>
      <c r="D182" s="125">
        <v>40.6</v>
      </c>
      <c r="E182" s="140" t="s">
        <v>50</v>
      </c>
      <c r="F182" s="138" t="s">
        <v>52</v>
      </c>
      <c r="G182" s="138" t="s">
        <v>448</v>
      </c>
      <c r="H182" s="139">
        <v>41687</v>
      </c>
      <c r="I182" s="125">
        <v>40.6</v>
      </c>
      <c r="J182" s="127" t="s">
        <v>735</v>
      </c>
    </row>
    <row r="183" spans="1:10" ht="18" customHeight="1">
      <c r="A183" s="131">
        <v>4</v>
      </c>
      <c r="B183" s="138" t="s">
        <v>449</v>
      </c>
      <c r="C183" s="139">
        <v>41687</v>
      </c>
      <c r="D183" s="125">
        <v>304.44</v>
      </c>
      <c r="E183" s="126" t="s">
        <v>50</v>
      </c>
      <c r="F183" s="123" t="s">
        <v>52</v>
      </c>
      <c r="G183" s="138" t="s">
        <v>449</v>
      </c>
      <c r="H183" s="139">
        <v>41687</v>
      </c>
      <c r="I183" s="125">
        <v>304.44</v>
      </c>
      <c r="J183" s="127" t="s">
        <v>735</v>
      </c>
    </row>
    <row r="184" spans="1:10" ht="18" customHeight="1">
      <c r="A184" s="131">
        <v>5</v>
      </c>
      <c r="B184" s="138" t="s">
        <v>455</v>
      </c>
      <c r="C184" s="139">
        <v>41688</v>
      </c>
      <c r="D184" s="125">
        <v>104.76</v>
      </c>
      <c r="E184" s="126" t="s">
        <v>50</v>
      </c>
      <c r="F184" s="123" t="s">
        <v>52</v>
      </c>
      <c r="G184" s="138" t="s">
        <v>455</v>
      </c>
      <c r="H184" s="139">
        <v>41688</v>
      </c>
      <c r="I184" s="125">
        <v>104.76</v>
      </c>
      <c r="J184" s="127" t="s">
        <v>735</v>
      </c>
    </row>
    <row r="185" spans="1:10" ht="18" customHeight="1">
      <c r="A185" s="131">
        <v>6</v>
      </c>
      <c r="B185" s="138" t="s">
        <v>456</v>
      </c>
      <c r="C185" s="139">
        <v>41689</v>
      </c>
      <c r="D185" s="125">
        <v>4</v>
      </c>
      <c r="E185" s="140" t="s">
        <v>50</v>
      </c>
      <c r="F185" s="138" t="s">
        <v>52</v>
      </c>
      <c r="G185" s="138" t="s">
        <v>456</v>
      </c>
      <c r="H185" s="139">
        <v>41689</v>
      </c>
      <c r="I185" s="125">
        <v>4</v>
      </c>
      <c r="J185" s="127" t="s">
        <v>735</v>
      </c>
    </row>
    <row r="186" spans="1:10" ht="18" customHeight="1">
      <c r="A186" s="131">
        <v>7</v>
      </c>
      <c r="B186" s="138" t="s">
        <v>457</v>
      </c>
      <c r="C186" s="139">
        <v>41694</v>
      </c>
      <c r="D186" s="125">
        <v>85.78</v>
      </c>
      <c r="E186" s="126" t="s">
        <v>50</v>
      </c>
      <c r="F186" s="123" t="s">
        <v>52</v>
      </c>
      <c r="G186" s="138" t="s">
        <v>457</v>
      </c>
      <c r="H186" s="139">
        <v>41694</v>
      </c>
      <c r="I186" s="125">
        <v>85.78</v>
      </c>
      <c r="J186" s="127" t="s">
        <v>735</v>
      </c>
    </row>
    <row r="187" spans="1:10" ht="18" customHeight="1">
      <c r="A187" s="131">
        <v>8</v>
      </c>
      <c r="B187" s="138" t="s">
        <v>458</v>
      </c>
      <c r="C187" s="139">
        <v>41694</v>
      </c>
      <c r="D187" s="125">
        <v>270.20999999999998</v>
      </c>
      <c r="E187" s="126" t="s">
        <v>50</v>
      </c>
      <c r="F187" s="123" t="s">
        <v>52</v>
      </c>
      <c r="G187" s="138" t="s">
        <v>458</v>
      </c>
      <c r="H187" s="139">
        <v>41694</v>
      </c>
      <c r="I187" s="125">
        <v>270.20999999999998</v>
      </c>
      <c r="J187" s="127" t="s">
        <v>735</v>
      </c>
    </row>
    <row r="188" spans="1:10" ht="18" customHeight="1">
      <c r="A188" s="333" t="s">
        <v>36</v>
      </c>
      <c r="B188" s="333"/>
      <c r="C188" s="333"/>
      <c r="D188" s="125">
        <f>SUM(D180:D187)</f>
        <v>1400.05</v>
      </c>
      <c r="E188" s="126"/>
      <c r="F188" s="123"/>
      <c r="G188" s="138"/>
      <c r="H188" s="128" t="s">
        <v>0</v>
      </c>
      <c r="I188" s="125">
        <f>SUM(I180:I187)</f>
        <v>1400.05</v>
      </c>
      <c r="J188" s="129"/>
    </row>
    <row r="189" spans="1:10" ht="21.9" customHeight="1">
      <c r="A189" s="333" t="s">
        <v>36</v>
      </c>
      <c r="B189" s="333"/>
      <c r="C189" s="333"/>
      <c r="D189" s="125"/>
      <c r="E189" s="126"/>
      <c r="F189" s="123"/>
      <c r="G189" s="130">
        <v>3984</v>
      </c>
      <c r="H189" s="128" t="s">
        <v>1</v>
      </c>
      <c r="I189" s="2">
        <f>I188*G189</f>
        <v>5577799.2000000002</v>
      </c>
      <c r="J189" s="129"/>
    </row>
    <row r="190" spans="1:10" ht="18" customHeight="1">
      <c r="A190" s="131">
        <v>1</v>
      </c>
      <c r="B190" s="138" t="s">
        <v>462</v>
      </c>
      <c r="C190" s="139">
        <v>41701</v>
      </c>
      <c r="D190" s="125">
        <v>83.61</v>
      </c>
      <c r="E190" s="126" t="s">
        <v>50</v>
      </c>
      <c r="F190" s="123" t="s">
        <v>52</v>
      </c>
      <c r="G190" s="138" t="s">
        <v>462</v>
      </c>
      <c r="H190" s="139">
        <v>41701</v>
      </c>
      <c r="I190" s="125">
        <v>83.61</v>
      </c>
      <c r="J190" s="127" t="s">
        <v>735</v>
      </c>
    </row>
    <row r="191" spans="1:10" ht="18" customHeight="1">
      <c r="A191" s="131">
        <v>2</v>
      </c>
      <c r="B191" s="138" t="s">
        <v>464</v>
      </c>
      <c r="C191" s="139">
        <v>41708</v>
      </c>
      <c r="D191" s="125">
        <v>103.64</v>
      </c>
      <c r="E191" s="126" t="s">
        <v>50</v>
      </c>
      <c r="F191" s="123" t="s">
        <v>52</v>
      </c>
      <c r="G191" s="138" t="s">
        <v>464</v>
      </c>
      <c r="H191" s="139">
        <v>41708</v>
      </c>
      <c r="I191" s="125">
        <v>103.64</v>
      </c>
      <c r="J191" s="127" t="s">
        <v>735</v>
      </c>
    </row>
    <row r="192" spans="1:10" ht="18" customHeight="1">
      <c r="A192" s="131">
        <v>3</v>
      </c>
      <c r="B192" s="138" t="s">
        <v>465</v>
      </c>
      <c r="C192" s="139">
        <v>41709</v>
      </c>
      <c r="D192" s="125">
        <v>440.98</v>
      </c>
      <c r="E192" s="126" t="s">
        <v>50</v>
      </c>
      <c r="F192" s="123" t="s">
        <v>52</v>
      </c>
      <c r="G192" s="138" t="s">
        <v>465</v>
      </c>
      <c r="H192" s="139">
        <v>41709</v>
      </c>
      <c r="I192" s="125">
        <v>440.98</v>
      </c>
      <c r="J192" s="127" t="s">
        <v>735</v>
      </c>
    </row>
    <row r="193" spans="1:10" ht="18" customHeight="1">
      <c r="A193" s="131">
        <v>4</v>
      </c>
      <c r="B193" s="138" t="s">
        <v>474</v>
      </c>
      <c r="C193" s="139">
        <v>41715</v>
      </c>
      <c r="D193" s="125">
        <v>381.77</v>
      </c>
      <c r="E193" s="126" t="s">
        <v>50</v>
      </c>
      <c r="F193" s="123" t="s">
        <v>52</v>
      </c>
      <c r="G193" s="138" t="s">
        <v>474</v>
      </c>
      <c r="H193" s="139">
        <v>41715</v>
      </c>
      <c r="I193" s="125">
        <v>381.77</v>
      </c>
      <c r="J193" s="127" t="s">
        <v>735</v>
      </c>
    </row>
    <row r="194" spans="1:10" ht="18" customHeight="1">
      <c r="A194" s="131">
        <v>5</v>
      </c>
      <c r="B194" s="138" t="s">
        <v>479</v>
      </c>
      <c r="C194" s="139">
        <v>41717</v>
      </c>
      <c r="D194" s="125">
        <v>16</v>
      </c>
      <c r="E194" s="140" t="s">
        <v>50</v>
      </c>
      <c r="F194" s="138" t="s">
        <v>52</v>
      </c>
      <c r="G194" s="138" t="s">
        <v>479</v>
      </c>
      <c r="H194" s="139">
        <v>41717</v>
      </c>
      <c r="I194" s="125">
        <v>16</v>
      </c>
      <c r="J194" s="127" t="s">
        <v>735</v>
      </c>
    </row>
    <row r="195" spans="1:10" ht="18" customHeight="1">
      <c r="A195" s="131">
        <v>6</v>
      </c>
      <c r="B195" s="138" t="s">
        <v>480</v>
      </c>
      <c r="C195" s="139">
        <v>41722</v>
      </c>
      <c r="D195" s="125">
        <v>107.59</v>
      </c>
      <c r="E195" s="126" t="s">
        <v>50</v>
      </c>
      <c r="F195" s="123" t="s">
        <v>52</v>
      </c>
      <c r="G195" s="138" t="s">
        <v>480</v>
      </c>
      <c r="H195" s="139">
        <v>41722</v>
      </c>
      <c r="I195" s="125">
        <v>107.59</v>
      </c>
      <c r="J195" s="127" t="s">
        <v>735</v>
      </c>
    </row>
    <row r="196" spans="1:10" ht="18" customHeight="1">
      <c r="A196" s="131">
        <v>7</v>
      </c>
      <c r="B196" s="138" t="s">
        <v>486</v>
      </c>
      <c r="C196" s="139">
        <v>41729</v>
      </c>
      <c r="D196" s="125">
        <v>139.13999999999999</v>
      </c>
      <c r="E196" s="140" t="s">
        <v>50</v>
      </c>
      <c r="F196" s="138" t="s">
        <v>52</v>
      </c>
      <c r="G196" s="138" t="s">
        <v>486</v>
      </c>
      <c r="H196" s="139">
        <v>41729</v>
      </c>
      <c r="I196" s="125">
        <v>139.13999999999999</v>
      </c>
      <c r="J196" s="127" t="s">
        <v>735</v>
      </c>
    </row>
    <row r="197" spans="1:10" ht="18" customHeight="1">
      <c r="A197" s="333" t="s">
        <v>37</v>
      </c>
      <c r="B197" s="333"/>
      <c r="C197" s="333"/>
      <c r="D197" s="125">
        <f>SUM(D190:D196)</f>
        <v>1272.73</v>
      </c>
      <c r="E197" s="126"/>
      <c r="F197" s="123"/>
      <c r="G197" s="138"/>
      <c r="H197" s="128" t="s">
        <v>0</v>
      </c>
      <c r="I197" s="125">
        <f>SUM(I190:I196)</f>
        <v>1272.73</v>
      </c>
      <c r="J197" s="129"/>
    </row>
    <row r="198" spans="1:10" ht="21.9" customHeight="1">
      <c r="A198" s="333" t="s">
        <v>37</v>
      </c>
      <c r="B198" s="333"/>
      <c r="C198" s="333"/>
      <c r="D198" s="125"/>
      <c r="E198" s="126"/>
      <c r="F198" s="123"/>
      <c r="G198" s="130">
        <v>4002</v>
      </c>
      <c r="H198" s="128" t="s">
        <v>1</v>
      </c>
      <c r="I198" s="2">
        <f>I197*G198</f>
        <v>5093465.46</v>
      </c>
      <c r="J198" s="129"/>
    </row>
    <row r="199" spans="1:10" ht="18" customHeight="1">
      <c r="A199" s="131">
        <v>1</v>
      </c>
      <c r="B199" s="138" t="s">
        <v>488</v>
      </c>
      <c r="C199" s="139">
        <v>41736</v>
      </c>
      <c r="D199" s="125">
        <v>295.52</v>
      </c>
      <c r="E199" s="126" t="s">
        <v>50</v>
      </c>
      <c r="F199" s="123" t="s">
        <v>52</v>
      </c>
      <c r="G199" s="138" t="s">
        <v>488</v>
      </c>
      <c r="H199" s="139">
        <v>41736</v>
      </c>
      <c r="I199" s="125">
        <v>295.52</v>
      </c>
      <c r="J199" s="127" t="s">
        <v>735</v>
      </c>
    </row>
    <row r="200" spans="1:10" ht="18" customHeight="1">
      <c r="A200" s="131">
        <v>2</v>
      </c>
      <c r="B200" s="138" t="s">
        <v>487</v>
      </c>
      <c r="C200" s="139">
        <v>41731</v>
      </c>
      <c r="D200" s="125">
        <v>4</v>
      </c>
      <c r="E200" s="140" t="s">
        <v>50</v>
      </c>
      <c r="F200" s="138" t="s">
        <v>52</v>
      </c>
      <c r="G200" s="138" t="s">
        <v>487</v>
      </c>
      <c r="H200" s="139">
        <v>41731</v>
      </c>
      <c r="I200" s="125">
        <v>4</v>
      </c>
      <c r="J200" s="127" t="s">
        <v>735</v>
      </c>
    </row>
    <row r="201" spans="1:10" ht="18" customHeight="1">
      <c r="A201" s="131">
        <v>3</v>
      </c>
      <c r="B201" s="138" t="s">
        <v>495</v>
      </c>
      <c r="C201" s="139">
        <v>41744</v>
      </c>
      <c r="D201" s="125">
        <v>242.83</v>
      </c>
      <c r="E201" s="126" t="s">
        <v>50</v>
      </c>
      <c r="F201" s="123" t="s">
        <v>52</v>
      </c>
      <c r="G201" s="138" t="s">
        <v>495</v>
      </c>
      <c r="H201" s="139">
        <v>41744</v>
      </c>
      <c r="I201" s="125">
        <v>242.83</v>
      </c>
      <c r="J201" s="127" t="s">
        <v>735</v>
      </c>
    </row>
    <row r="202" spans="1:10" ht="18" customHeight="1">
      <c r="A202" s="131">
        <v>4</v>
      </c>
      <c r="B202" s="138" t="s">
        <v>502</v>
      </c>
      <c r="C202" s="139">
        <v>41750</v>
      </c>
      <c r="D202" s="125">
        <v>130.46</v>
      </c>
      <c r="E202" s="126" t="s">
        <v>50</v>
      </c>
      <c r="F202" s="123" t="s">
        <v>52</v>
      </c>
      <c r="G202" s="138" t="s">
        <v>502</v>
      </c>
      <c r="H202" s="139">
        <v>41750</v>
      </c>
      <c r="I202" s="125">
        <v>130.46</v>
      </c>
      <c r="J202" s="127" t="s">
        <v>735</v>
      </c>
    </row>
    <row r="203" spans="1:10" ht="18" customHeight="1">
      <c r="A203" s="131">
        <v>5</v>
      </c>
      <c r="B203" s="138" t="s">
        <v>509</v>
      </c>
      <c r="C203" s="139">
        <v>41757</v>
      </c>
      <c r="D203" s="125">
        <v>113.27</v>
      </c>
      <c r="E203" s="126" t="s">
        <v>50</v>
      </c>
      <c r="F203" s="123" t="s">
        <v>52</v>
      </c>
      <c r="G203" s="138" t="s">
        <v>509</v>
      </c>
      <c r="H203" s="139">
        <v>41757</v>
      </c>
      <c r="I203" s="125">
        <v>113.27</v>
      </c>
      <c r="J203" s="127" t="s">
        <v>735</v>
      </c>
    </row>
    <row r="204" spans="1:10" ht="18" customHeight="1">
      <c r="A204" s="333" t="s">
        <v>38</v>
      </c>
      <c r="B204" s="333"/>
      <c r="C204" s="333"/>
      <c r="D204" s="125">
        <f>SUM(D199:D203)</f>
        <v>786.08</v>
      </c>
      <c r="E204" s="126"/>
      <c r="F204" s="123"/>
      <c r="G204" s="138"/>
      <c r="H204" s="128" t="s">
        <v>0</v>
      </c>
      <c r="I204" s="125">
        <f>SUM(I199:I203)</f>
        <v>786.08</v>
      </c>
      <c r="J204" s="129"/>
    </row>
    <row r="205" spans="1:10" ht="21.9" customHeight="1">
      <c r="A205" s="333" t="s">
        <v>38</v>
      </c>
      <c r="B205" s="333"/>
      <c r="C205" s="333"/>
      <c r="D205" s="125"/>
      <c r="E205" s="126"/>
      <c r="F205" s="123"/>
      <c r="G205" s="130">
        <v>4015</v>
      </c>
      <c r="H205" s="128" t="s">
        <v>1</v>
      </c>
      <c r="I205" s="2">
        <f>I204*G205</f>
        <v>3156111.2</v>
      </c>
      <c r="J205" s="129"/>
    </row>
    <row r="206" spans="1:10" ht="18" customHeight="1">
      <c r="A206" s="131">
        <v>1</v>
      </c>
      <c r="B206" s="141" t="s">
        <v>512</v>
      </c>
      <c r="C206" s="139">
        <v>41764</v>
      </c>
      <c r="D206" s="125">
        <v>237.93</v>
      </c>
      <c r="E206" s="126" t="s">
        <v>50</v>
      </c>
      <c r="F206" s="123" t="s">
        <v>52</v>
      </c>
      <c r="G206" s="141" t="s">
        <v>512</v>
      </c>
      <c r="H206" s="139">
        <v>41764</v>
      </c>
      <c r="I206" s="125">
        <v>237.93</v>
      </c>
      <c r="J206" s="127" t="s">
        <v>735</v>
      </c>
    </row>
    <row r="207" spans="1:10" ht="18" customHeight="1">
      <c r="A207" s="131">
        <v>2</v>
      </c>
      <c r="B207" s="141" t="s">
        <v>520</v>
      </c>
      <c r="C207" s="139">
        <v>41772</v>
      </c>
      <c r="D207" s="125">
        <v>188.08</v>
      </c>
      <c r="E207" s="126" t="s">
        <v>50</v>
      </c>
      <c r="F207" s="123" t="s">
        <v>52</v>
      </c>
      <c r="G207" s="141" t="s">
        <v>520</v>
      </c>
      <c r="H207" s="139">
        <v>41772</v>
      </c>
      <c r="I207" s="125">
        <v>188.08</v>
      </c>
      <c r="J207" s="127" t="s">
        <v>735</v>
      </c>
    </row>
    <row r="208" spans="1:10" ht="18" customHeight="1">
      <c r="A208" s="131">
        <v>3</v>
      </c>
      <c r="B208" s="141" t="s">
        <v>522</v>
      </c>
      <c r="C208" s="139">
        <v>41778</v>
      </c>
      <c r="D208" s="125">
        <v>119.01</v>
      </c>
      <c r="E208" s="126" t="s">
        <v>50</v>
      </c>
      <c r="F208" s="123" t="s">
        <v>52</v>
      </c>
      <c r="G208" s="141" t="s">
        <v>522</v>
      </c>
      <c r="H208" s="139">
        <v>41778</v>
      </c>
      <c r="I208" s="125">
        <v>119.01</v>
      </c>
      <c r="J208" s="127" t="s">
        <v>735</v>
      </c>
    </row>
    <row r="209" spans="1:10" ht="18" customHeight="1">
      <c r="A209" s="131">
        <v>4</v>
      </c>
      <c r="B209" s="141" t="s">
        <v>526</v>
      </c>
      <c r="C209" s="139">
        <v>41782</v>
      </c>
      <c r="D209" s="125">
        <v>30</v>
      </c>
      <c r="E209" s="123" t="s">
        <v>50</v>
      </c>
      <c r="F209" s="141" t="s">
        <v>52</v>
      </c>
      <c r="G209" s="141" t="s">
        <v>526</v>
      </c>
      <c r="H209" s="139">
        <v>41782</v>
      </c>
      <c r="I209" s="125">
        <v>30</v>
      </c>
      <c r="J209" s="127" t="s">
        <v>735</v>
      </c>
    </row>
    <row r="210" spans="1:10" ht="18" customHeight="1">
      <c r="A210" s="131">
        <v>5</v>
      </c>
      <c r="B210" s="141" t="s">
        <v>527</v>
      </c>
      <c r="C210" s="139">
        <v>41785</v>
      </c>
      <c r="D210" s="125">
        <v>100.65</v>
      </c>
      <c r="E210" s="123" t="s">
        <v>50</v>
      </c>
      <c r="F210" s="141" t="s">
        <v>52</v>
      </c>
      <c r="G210" s="141" t="s">
        <v>527</v>
      </c>
      <c r="H210" s="139">
        <v>41785</v>
      </c>
      <c r="I210" s="125">
        <v>100.65</v>
      </c>
      <c r="J210" s="127" t="s">
        <v>735</v>
      </c>
    </row>
    <row r="211" spans="1:10" ht="18" customHeight="1">
      <c r="A211" s="333" t="s">
        <v>39</v>
      </c>
      <c r="B211" s="333"/>
      <c r="C211" s="333"/>
      <c r="D211" s="125">
        <f>SUM(D206:D210)</f>
        <v>675.67</v>
      </c>
      <c r="E211" s="126"/>
      <c r="F211" s="123"/>
      <c r="G211" s="141"/>
      <c r="H211" s="128" t="s">
        <v>0</v>
      </c>
      <c r="I211" s="125">
        <f>SUM(I206:I210)</f>
        <v>675.67</v>
      </c>
      <c r="J211" s="129"/>
    </row>
    <row r="212" spans="1:10" ht="21.9" customHeight="1">
      <c r="A212" s="333" t="s">
        <v>39</v>
      </c>
      <c r="B212" s="333"/>
      <c r="C212" s="333"/>
      <c r="D212" s="125"/>
      <c r="E212" s="126"/>
      <c r="F212" s="123"/>
      <c r="G212" s="130">
        <v>4025</v>
      </c>
      <c r="H212" s="128" t="s">
        <v>1</v>
      </c>
      <c r="I212" s="2">
        <f>I211*G212</f>
        <v>2719571.75</v>
      </c>
      <c r="J212" s="129"/>
    </row>
    <row r="213" spans="1:10" ht="18" customHeight="1">
      <c r="A213" s="131">
        <v>1</v>
      </c>
      <c r="B213" s="141" t="s">
        <v>529</v>
      </c>
      <c r="C213" s="139">
        <v>41792</v>
      </c>
      <c r="D213" s="125">
        <v>209.57</v>
      </c>
      <c r="E213" s="126" t="s">
        <v>50</v>
      </c>
      <c r="F213" s="123" t="s">
        <v>52</v>
      </c>
      <c r="G213" s="141" t="s">
        <v>529</v>
      </c>
      <c r="H213" s="139">
        <v>41792</v>
      </c>
      <c r="I213" s="125">
        <v>209.57</v>
      </c>
      <c r="J213" s="127" t="s">
        <v>735</v>
      </c>
    </row>
    <row r="214" spans="1:10" ht="18" customHeight="1">
      <c r="A214" s="131">
        <v>2</v>
      </c>
      <c r="B214" s="141" t="s">
        <v>533</v>
      </c>
      <c r="C214" s="139">
        <v>41799</v>
      </c>
      <c r="D214" s="125">
        <v>188.93</v>
      </c>
      <c r="E214" s="126" t="s">
        <v>50</v>
      </c>
      <c r="F214" s="123" t="s">
        <v>52</v>
      </c>
      <c r="G214" s="141" t="s">
        <v>533</v>
      </c>
      <c r="H214" s="139">
        <v>41799</v>
      </c>
      <c r="I214" s="125">
        <v>188.93</v>
      </c>
      <c r="J214" s="127" t="s">
        <v>735</v>
      </c>
    </row>
    <row r="215" spans="1:10" ht="18" customHeight="1">
      <c r="A215" s="131">
        <v>3</v>
      </c>
      <c r="B215" s="141" t="s">
        <v>541</v>
      </c>
      <c r="C215" s="139">
        <v>41806</v>
      </c>
      <c r="D215" s="125">
        <v>26.87</v>
      </c>
      <c r="E215" s="126" t="s">
        <v>50</v>
      </c>
      <c r="F215" s="141" t="s">
        <v>52</v>
      </c>
      <c r="G215" s="141" t="s">
        <v>541</v>
      </c>
      <c r="H215" s="139">
        <v>41806</v>
      </c>
      <c r="I215" s="125">
        <v>26.87</v>
      </c>
      <c r="J215" s="127" t="s">
        <v>735</v>
      </c>
    </row>
    <row r="216" spans="1:10" ht="18" customHeight="1">
      <c r="A216" s="131">
        <v>4</v>
      </c>
      <c r="B216" s="141" t="s">
        <v>551</v>
      </c>
      <c r="C216" s="139">
        <v>41813</v>
      </c>
      <c r="D216" s="125">
        <v>173.82</v>
      </c>
      <c r="E216" s="123" t="s">
        <v>50</v>
      </c>
      <c r="F216" s="141" t="s">
        <v>52</v>
      </c>
      <c r="G216" s="141" t="s">
        <v>551</v>
      </c>
      <c r="H216" s="139">
        <v>41813</v>
      </c>
      <c r="I216" s="125">
        <v>173.82</v>
      </c>
      <c r="J216" s="127" t="s">
        <v>735</v>
      </c>
    </row>
    <row r="217" spans="1:10" ht="18" customHeight="1">
      <c r="A217" s="131">
        <v>5</v>
      </c>
      <c r="B217" s="141" t="s">
        <v>555</v>
      </c>
      <c r="C217" s="139">
        <v>41820</v>
      </c>
      <c r="D217" s="125">
        <v>139.37</v>
      </c>
      <c r="E217" s="126" t="s">
        <v>50</v>
      </c>
      <c r="F217" s="123" t="s">
        <v>52</v>
      </c>
      <c r="G217" s="141" t="s">
        <v>555</v>
      </c>
      <c r="H217" s="139">
        <v>41820</v>
      </c>
      <c r="I217" s="125">
        <v>139.37</v>
      </c>
      <c r="J217" s="127" t="s">
        <v>735</v>
      </c>
    </row>
    <row r="218" spans="1:10" ht="18" customHeight="1">
      <c r="A218" s="333" t="s">
        <v>40</v>
      </c>
      <c r="B218" s="333"/>
      <c r="C218" s="333"/>
      <c r="D218" s="125">
        <f>SUM(D213:D217)</f>
        <v>738.56000000000006</v>
      </c>
      <c r="E218" s="126"/>
      <c r="F218" s="123"/>
      <c r="G218" s="141"/>
      <c r="H218" s="128" t="s">
        <v>0</v>
      </c>
      <c r="I218" s="125">
        <f>SUM(I213:I217)</f>
        <v>738.56000000000006</v>
      </c>
      <c r="J218" s="129"/>
    </row>
    <row r="219" spans="1:10" ht="21.9" customHeight="1">
      <c r="A219" s="333" t="s">
        <v>40</v>
      </c>
      <c r="B219" s="333"/>
      <c r="C219" s="333"/>
      <c r="D219" s="125"/>
      <c r="E219" s="126"/>
      <c r="F219" s="123"/>
      <c r="G219" s="130">
        <v>4039</v>
      </c>
      <c r="H219" s="128" t="s">
        <v>1</v>
      </c>
      <c r="I219" s="2">
        <f>I218*G219</f>
        <v>2983043.8400000003</v>
      </c>
      <c r="J219" s="129"/>
    </row>
    <row r="220" spans="1:10" ht="18" customHeight="1">
      <c r="A220" s="131">
        <v>1</v>
      </c>
      <c r="B220" s="141" t="s">
        <v>556</v>
      </c>
      <c r="C220" s="139">
        <v>41827</v>
      </c>
      <c r="D220" s="125">
        <v>84.54</v>
      </c>
      <c r="E220" s="126" t="s">
        <v>50</v>
      </c>
      <c r="F220" s="123" t="s">
        <v>52</v>
      </c>
      <c r="G220" s="141" t="s">
        <v>556</v>
      </c>
      <c r="H220" s="139">
        <v>41827</v>
      </c>
      <c r="I220" s="125">
        <v>84.54</v>
      </c>
      <c r="J220" s="127" t="s">
        <v>735</v>
      </c>
    </row>
    <row r="221" spans="1:10" ht="18" customHeight="1">
      <c r="A221" s="131">
        <v>2</v>
      </c>
      <c r="B221" s="141" t="s">
        <v>560</v>
      </c>
      <c r="C221" s="139">
        <v>41834</v>
      </c>
      <c r="D221" s="125">
        <v>55.59</v>
      </c>
      <c r="E221" s="123" t="s">
        <v>50</v>
      </c>
      <c r="F221" s="141" t="s">
        <v>52</v>
      </c>
      <c r="G221" s="141" t="s">
        <v>560</v>
      </c>
      <c r="H221" s="139">
        <v>41834</v>
      </c>
      <c r="I221" s="125">
        <v>55.59</v>
      </c>
      <c r="J221" s="127" t="s">
        <v>735</v>
      </c>
    </row>
    <row r="222" spans="1:10" ht="18" customHeight="1">
      <c r="A222" s="131">
        <v>3</v>
      </c>
      <c r="B222" s="141" t="s">
        <v>572</v>
      </c>
      <c r="C222" s="139">
        <v>41848</v>
      </c>
      <c r="D222" s="125">
        <v>24.98</v>
      </c>
      <c r="E222" s="123" t="s">
        <v>50</v>
      </c>
      <c r="F222" s="141" t="s">
        <v>52</v>
      </c>
      <c r="G222" s="141" t="s">
        <v>572</v>
      </c>
      <c r="H222" s="139">
        <v>41848</v>
      </c>
      <c r="I222" s="125">
        <v>24.98</v>
      </c>
      <c r="J222" s="127" t="s">
        <v>735</v>
      </c>
    </row>
    <row r="223" spans="1:10" ht="18" customHeight="1">
      <c r="A223" s="333" t="s">
        <v>41</v>
      </c>
      <c r="B223" s="333"/>
      <c r="C223" s="333"/>
      <c r="D223" s="125">
        <f>SUM(D220:D222)</f>
        <v>165.10999999999999</v>
      </c>
      <c r="E223" s="123"/>
      <c r="F223" s="141"/>
      <c r="G223" s="141"/>
      <c r="H223" s="128" t="s">
        <v>0</v>
      </c>
      <c r="I223" s="125">
        <f>SUM(I220:I222)</f>
        <v>165.10999999999999</v>
      </c>
      <c r="J223" s="129"/>
    </row>
    <row r="224" spans="1:10" ht="21.9" customHeight="1">
      <c r="A224" s="333" t="s">
        <v>41</v>
      </c>
      <c r="B224" s="333"/>
      <c r="C224" s="333"/>
      <c r="D224" s="125"/>
      <c r="E224" s="126"/>
      <c r="F224" s="123"/>
      <c r="G224" s="130">
        <v>4045</v>
      </c>
      <c r="H224" s="128" t="s">
        <v>1</v>
      </c>
      <c r="I224" s="2">
        <f>I223*G224</f>
        <v>667869.94999999995</v>
      </c>
      <c r="J224" s="129"/>
    </row>
    <row r="225" spans="1:10" ht="18" customHeight="1">
      <c r="A225" s="131">
        <v>1</v>
      </c>
      <c r="B225" s="141" t="s">
        <v>574</v>
      </c>
      <c r="C225" s="139">
        <v>41855</v>
      </c>
      <c r="D225" s="125">
        <v>105</v>
      </c>
      <c r="E225" s="126" t="s">
        <v>50</v>
      </c>
      <c r="F225" s="123" t="s">
        <v>52</v>
      </c>
      <c r="G225" s="141" t="s">
        <v>574</v>
      </c>
      <c r="H225" s="139">
        <v>41855</v>
      </c>
      <c r="I225" s="125">
        <v>105</v>
      </c>
      <c r="J225" s="127" t="s">
        <v>735</v>
      </c>
    </row>
    <row r="226" spans="1:10" ht="18" customHeight="1">
      <c r="A226" s="131">
        <v>2</v>
      </c>
      <c r="B226" s="141" t="s">
        <v>584</v>
      </c>
      <c r="C226" s="139">
        <v>41862</v>
      </c>
      <c r="D226" s="125">
        <v>132.69</v>
      </c>
      <c r="E226" s="126" t="s">
        <v>50</v>
      </c>
      <c r="F226" s="123" t="s">
        <v>52</v>
      </c>
      <c r="G226" s="141" t="s">
        <v>584</v>
      </c>
      <c r="H226" s="139">
        <v>41862</v>
      </c>
      <c r="I226" s="125">
        <v>132.69</v>
      </c>
      <c r="J226" s="127" t="s">
        <v>735</v>
      </c>
    </row>
    <row r="227" spans="1:10" ht="18" customHeight="1">
      <c r="A227" s="131">
        <v>3</v>
      </c>
      <c r="B227" s="141" t="s">
        <v>592</v>
      </c>
      <c r="C227" s="139">
        <v>41869</v>
      </c>
      <c r="D227" s="125">
        <v>91.69</v>
      </c>
      <c r="E227" s="126" t="s">
        <v>50</v>
      </c>
      <c r="F227" s="123" t="s">
        <v>52</v>
      </c>
      <c r="G227" s="141" t="s">
        <v>592</v>
      </c>
      <c r="H227" s="139">
        <v>41869</v>
      </c>
      <c r="I227" s="125">
        <v>91.69</v>
      </c>
      <c r="J227" s="127" t="s">
        <v>735</v>
      </c>
    </row>
    <row r="228" spans="1:10" ht="18" customHeight="1">
      <c r="A228" s="131">
        <v>4</v>
      </c>
      <c r="B228" s="141" t="s">
        <v>599</v>
      </c>
      <c r="C228" s="139">
        <v>41876</v>
      </c>
      <c r="D228" s="125">
        <v>65.319999999999993</v>
      </c>
      <c r="E228" s="123" t="s">
        <v>50</v>
      </c>
      <c r="F228" s="141" t="s">
        <v>52</v>
      </c>
      <c r="G228" s="141" t="s">
        <v>599</v>
      </c>
      <c r="H228" s="139">
        <v>41876</v>
      </c>
      <c r="I228" s="125">
        <v>65.319999999999993</v>
      </c>
      <c r="J228" s="127" t="s">
        <v>735</v>
      </c>
    </row>
    <row r="229" spans="1:10" ht="18" customHeight="1">
      <c r="A229" s="333" t="s">
        <v>42</v>
      </c>
      <c r="B229" s="333"/>
      <c r="C229" s="333"/>
      <c r="D229" s="125">
        <f>SUM(D225:D228)</f>
        <v>394.7</v>
      </c>
      <c r="E229" s="126"/>
      <c r="F229" s="123"/>
      <c r="G229" s="141"/>
      <c r="H229" s="128" t="s">
        <v>0</v>
      </c>
      <c r="I229" s="125">
        <f>SUM(I225:I228)</f>
        <v>394.7</v>
      </c>
      <c r="J229" s="129"/>
    </row>
    <row r="230" spans="1:10" ht="21.9" customHeight="1">
      <c r="A230" s="333" t="s">
        <v>42</v>
      </c>
      <c r="B230" s="333"/>
      <c r="C230" s="333"/>
      <c r="D230" s="125"/>
      <c r="E230" s="126"/>
      <c r="F230" s="123"/>
      <c r="G230" s="130">
        <v>4058</v>
      </c>
      <c r="H230" s="128" t="s">
        <v>1</v>
      </c>
      <c r="I230" s="2">
        <f>I229*G230</f>
        <v>1601692.5999999999</v>
      </c>
      <c r="J230" s="129"/>
    </row>
    <row r="231" spans="1:10" ht="18" customHeight="1">
      <c r="A231" s="131">
        <v>1</v>
      </c>
      <c r="B231" s="141" t="s">
        <v>610</v>
      </c>
      <c r="C231" s="139">
        <v>41884</v>
      </c>
      <c r="D231" s="125">
        <v>144.47</v>
      </c>
      <c r="E231" s="126" t="s">
        <v>50</v>
      </c>
      <c r="F231" s="123" t="s">
        <v>52</v>
      </c>
      <c r="G231" s="141" t="s">
        <v>610</v>
      </c>
      <c r="H231" s="139">
        <v>41884</v>
      </c>
      <c r="I231" s="125">
        <v>144.47</v>
      </c>
      <c r="J231" s="127" t="s">
        <v>735</v>
      </c>
    </row>
    <row r="232" spans="1:10" ht="18" customHeight="1">
      <c r="A232" s="131">
        <v>2</v>
      </c>
      <c r="B232" s="141" t="s">
        <v>611</v>
      </c>
      <c r="C232" s="139">
        <v>41890</v>
      </c>
      <c r="D232" s="125">
        <v>230.41</v>
      </c>
      <c r="E232" s="126" t="s">
        <v>50</v>
      </c>
      <c r="F232" s="123" t="s">
        <v>52</v>
      </c>
      <c r="G232" s="141" t="s">
        <v>611</v>
      </c>
      <c r="H232" s="139">
        <v>41890</v>
      </c>
      <c r="I232" s="125">
        <v>230.41</v>
      </c>
      <c r="J232" s="127" t="s">
        <v>735</v>
      </c>
    </row>
    <row r="233" spans="1:10" ht="18" customHeight="1">
      <c r="A233" s="131">
        <v>3</v>
      </c>
      <c r="B233" s="141" t="s">
        <v>621</v>
      </c>
      <c r="C233" s="139">
        <v>41897</v>
      </c>
      <c r="D233" s="125">
        <v>81.2</v>
      </c>
      <c r="E233" s="126" t="s">
        <v>50</v>
      </c>
      <c r="F233" s="123" t="s">
        <v>52</v>
      </c>
      <c r="G233" s="141" t="s">
        <v>621</v>
      </c>
      <c r="H233" s="139">
        <v>41897</v>
      </c>
      <c r="I233" s="125">
        <v>81.2</v>
      </c>
      <c r="J233" s="127" t="s">
        <v>735</v>
      </c>
    </row>
    <row r="234" spans="1:10" ht="18" customHeight="1">
      <c r="A234" s="131">
        <v>4</v>
      </c>
      <c r="B234" s="141" t="s">
        <v>630</v>
      </c>
      <c r="C234" s="139">
        <v>41903</v>
      </c>
      <c r="D234" s="125">
        <v>49.75</v>
      </c>
      <c r="E234" s="123" t="s">
        <v>50</v>
      </c>
      <c r="F234" s="141" t="s">
        <v>52</v>
      </c>
      <c r="G234" s="141" t="s">
        <v>630</v>
      </c>
      <c r="H234" s="139">
        <v>41903</v>
      </c>
      <c r="I234" s="125">
        <v>49.75</v>
      </c>
      <c r="J234" s="127" t="s">
        <v>735</v>
      </c>
    </row>
    <row r="235" spans="1:10" ht="18" customHeight="1">
      <c r="A235" s="131">
        <v>5</v>
      </c>
      <c r="B235" s="141" t="s">
        <v>634</v>
      </c>
      <c r="C235" s="139">
        <v>41911</v>
      </c>
      <c r="D235" s="125">
        <v>136.72</v>
      </c>
      <c r="E235" s="126" t="s">
        <v>50</v>
      </c>
      <c r="F235" s="123" t="s">
        <v>52</v>
      </c>
      <c r="G235" s="141" t="s">
        <v>634</v>
      </c>
      <c r="H235" s="139">
        <v>41911</v>
      </c>
      <c r="I235" s="125">
        <v>136.72</v>
      </c>
      <c r="J235" s="127" t="s">
        <v>735</v>
      </c>
    </row>
    <row r="236" spans="1:10" ht="18" customHeight="1">
      <c r="A236" s="333" t="s">
        <v>43</v>
      </c>
      <c r="B236" s="333"/>
      <c r="C236" s="333"/>
      <c r="D236" s="125">
        <f>SUM(D231:D235)</f>
        <v>642.54999999999995</v>
      </c>
      <c r="E236" s="126"/>
      <c r="F236" s="123"/>
      <c r="G236" s="141"/>
      <c r="H236" s="128" t="s">
        <v>0</v>
      </c>
      <c r="I236" s="125">
        <f>SUM(I231:I235)</f>
        <v>642.54999999999995</v>
      </c>
      <c r="J236" s="129"/>
    </row>
    <row r="237" spans="1:10" ht="21.9" customHeight="1">
      <c r="A237" s="333" t="s">
        <v>43</v>
      </c>
      <c r="B237" s="333"/>
      <c r="C237" s="333"/>
      <c r="D237" s="125"/>
      <c r="E237" s="126"/>
      <c r="F237" s="123"/>
      <c r="G237" s="130">
        <v>4076</v>
      </c>
      <c r="H237" s="128" t="s">
        <v>1</v>
      </c>
      <c r="I237" s="2">
        <f>I236*G237</f>
        <v>2619033.7999999998</v>
      </c>
      <c r="J237" s="129"/>
    </row>
    <row r="238" spans="1:10" ht="18" customHeight="1">
      <c r="A238" s="131">
        <v>1</v>
      </c>
      <c r="B238" s="141" t="s">
        <v>640</v>
      </c>
      <c r="C238" s="139">
        <v>41918</v>
      </c>
      <c r="D238" s="125">
        <v>188.11</v>
      </c>
      <c r="E238" s="126" t="s">
        <v>50</v>
      </c>
      <c r="F238" s="123" t="s">
        <v>52</v>
      </c>
      <c r="G238" s="141" t="s">
        <v>640</v>
      </c>
      <c r="H238" s="139">
        <v>41918</v>
      </c>
      <c r="I238" s="125">
        <v>188.11</v>
      </c>
      <c r="J238" s="127" t="s">
        <v>735</v>
      </c>
    </row>
    <row r="239" spans="1:10" ht="18" customHeight="1">
      <c r="A239" s="131">
        <v>2</v>
      </c>
      <c r="B239" s="141" t="s">
        <v>648</v>
      </c>
      <c r="C239" s="139">
        <v>41925</v>
      </c>
      <c r="D239" s="125">
        <v>139.83000000000001</v>
      </c>
      <c r="E239" s="126" t="s">
        <v>50</v>
      </c>
      <c r="F239" s="123" t="s">
        <v>52</v>
      </c>
      <c r="G239" s="141" t="s">
        <v>648</v>
      </c>
      <c r="H239" s="139">
        <v>41925</v>
      </c>
      <c r="I239" s="125">
        <v>139.83000000000001</v>
      </c>
      <c r="J239" s="127" t="s">
        <v>735</v>
      </c>
    </row>
    <row r="240" spans="1:10" ht="18" customHeight="1">
      <c r="A240" s="131">
        <v>3</v>
      </c>
      <c r="B240" s="141" t="s">
        <v>654</v>
      </c>
      <c r="C240" s="139">
        <v>41932</v>
      </c>
      <c r="D240" s="125">
        <v>129.9</v>
      </c>
      <c r="E240" s="126" t="s">
        <v>50</v>
      </c>
      <c r="F240" s="123" t="s">
        <v>52</v>
      </c>
      <c r="G240" s="141" t="s">
        <v>654</v>
      </c>
      <c r="H240" s="139">
        <v>41932</v>
      </c>
      <c r="I240" s="125">
        <v>129.9</v>
      </c>
      <c r="J240" s="127" t="s">
        <v>735</v>
      </c>
    </row>
    <row r="241" spans="1:10" ht="18" customHeight="1">
      <c r="A241" s="131">
        <v>4</v>
      </c>
      <c r="B241" s="141" t="s">
        <v>658</v>
      </c>
      <c r="C241" s="139">
        <v>41939</v>
      </c>
      <c r="D241" s="125">
        <v>145.83000000000001</v>
      </c>
      <c r="E241" s="126" t="s">
        <v>50</v>
      </c>
      <c r="F241" s="123" t="s">
        <v>52</v>
      </c>
      <c r="G241" s="141" t="s">
        <v>658</v>
      </c>
      <c r="H241" s="139">
        <v>41939</v>
      </c>
      <c r="I241" s="125">
        <v>145.83000000000001</v>
      </c>
      <c r="J241" s="127" t="s">
        <v>735</v>
      </c>
    </row>
    <row r="242" spans="1:10" ht="18" customHeight="1">
      <c r="A242" s="333" t="s">
        <v>44</v>
      </c>
      <c r="B242" s="333"/>
      <c r="C242" s="333"/>
      <c r="D242" s="125">
        <f>SUM(D238:D241)</f>
        <v>603.67000000000007</v>
      </c>
      <c r="E242" s="126"/>
      <c r="F242" s="123"/>
      <c r="G242" s="141"/>
      <c r="H242" s="128" t="s">
        <v>0</v>
      </c>
      <c r="I242" s="125">
        <f>SUM(I238:I241)</f>
        <v>603.67000000000007</v>
      </c>
      <c r="J242" s="129"/>
    </row>
    <row r="243" spans="1:10" ht="21.9" customHeight="1">
      <c r="A243" s="333" t="s">
        <v>44</v>
      </c>
      <c r="B243" s="333"/>
      <c r="C243" s="333"/>
      <c r="D243" s="125"/>
      <c r="E243" s="126"/>
      <c r="F243" s="123"/>
      <c r="G243" s="130">
        <v>4081</v>
      </c>
      <c r="H243" s="128" t="s">
        <v>1</v>
      </c>
      <c r="I243" s="2">
        <f>I242*G243</f>
        <v>2463577.2700000005</v>
      </c>
      <c r="J243" s="129"/>
    </row>
    <row r="244" spans="1:10" ht="18" customHeight="1">
      <c r="A244" s="131">
        <v>1</v>
      </c>
      <c r="B244" s="141" t="s">
        <v>661</v>
      </c>
      <c r="C244" s="139">
        <v>41946</v>
      </c>
      <c r="D244" s="125">
        <v>173.73</v>
      </c>
      <c r="E244" s="126" t="s">
        <v>50</v>
      </c>
      <c r="F244" s="123" t="s">
        <v>52</v>
      </c>
      <c r="G244" s="141" t="s">
        <v>661</v>
      </c>
      <c r="H244" s="139">
        <v>41946</v>
      </c>
      <c r="I244" s="125">
        <v>173.73</v>
      </c>
      <c r="J244" s="127" t="s">
        <v>735</v>
      </c>
    </row>
    <row r="245" spans="1:10" ht="18" customHeight="1">
      <c r="A245" s="131">
        <v>2</v>
      </c>
      <c r="B245" s="141" t="s">
        <v>482</v>
      </c>
      <c r="C245" s="139">
        <v>41946</v>
      </c>
      <c r="D245" s="125">
        <v>1.5</v>
      </c>
      <c r="E245" s="123" t="s">
        <v>241</v>
      </c>
      <c r="F245" s="141" t="s">
        <v>52</v>
      </c>
      <c r="G245" s="141" t="s">
        <v>482</v>
      </c>
      <c r="H245" s="139">
        <v>41946</v>
      </c>
      <c r="I245" s="125">
        <v>1.5</v>
      </c>
      <c r="J245" s="127" t="s">
        <v>735</v>
      </c>
    </row>
    <row r="246" spans="1:10" ht="18" customHeight="1">
      <c r="A246" s="131">
        <v>3</v>
      </c>
      <c r="B246" s="141" t="s">
        <v>666</v>
      </c>
      <c r="C246" s="139">
        <v>41953</v>
      </c>
      <c r="D246" s="125">
        <v>35.450000000000003</v>
      </c>
      <c r="E246" s="123" t="s">
        <v>50</v>
      </c>
      <c r="F246" s="141" t="s">
        <v>52</v>
      </c>
      <c r="G246" s="141" t="s">
        <v>666</v>
      </c>
      <c r="H246" s="139">
        <v>41953</v>
      </c>
      <c r="I246" s="125">
        <v>35.450000000000003</v>
      </c>
      <c r="J246" s="127" t="s">
        <v>735</v>
      </c>
    </row>
    <row r="247" spans="1:10" ht="18" customHeight="1">
      <c r="A247" s="131">
        <v>4</v>
      </c>
      <c r="B247" s="141" t="s">
        <v>670</v>
      </c>
      <c r="C247" s="139">
        <v>41960</v>
      </c>
      <c r="D247" s="125">
        <v>24.26</v>
      </c>
      <c r="E247" s="123" t="s">
        <v>50</v>
      </c>
      <c r="F247" s="141" t="s">
        <v>52</v>
      </c>
      <c r="G247" s="141" t="s">
        <v>670</v>
      </c>
      <c r="H247" s="139">
        <v>41960</v>
      </c>
      <c r="I247" s="125">
        <v>24.26</v>
      </c>
      <c r="J247" s="127" t="s">
        <v>735</v>
      </c>
    </row>
    <row r="248" spans="1:10" ht="18" customHeight="1">
      <c r="A248" s="131">
        <v>5</v>
      </c>
      <c r="B248" s="141" t="s">
        <v>675</v>
      </c>
      <c r="C248" s="139">
        <v>41967</v>
      </c>
      <c r="D248" s="125">
        <v>24.9</v>
      </c>
      <c r="E248" s="123" t="s">
        <v>50</v>
      </c>
      <c r="F248" s="141" t="s">
        <v>52</v>
      </c>
      <c r="G248" s="141" t="s">
        <v>675</v>
      </c>
      <c r="H248" s="139">
        <v>41967</v>
      </c>
      <c r="I248" s="125">
        <v>24.9</v>
      </c>
      <c r="J248" s="127" t="s">
        <v>735</v>
      </c>
    </row>
    <row r="249" spans="1:10" ht="18" customHeight="1">
      <c r="A249" s="333" t="s">
        <v>45</v>
      </c>
      <c r="B249" s="333"/>
      <c r="C249" s="333"/>
      <c r="D249" s="125">
        <f>SUM(D244:D248)</f>
        <v>259.83999999999997</v>
      </c>
      <c r="E249" s="123"/>
      <c r="F249" s="141"/>
      <c r="G249" s="141"/>
      <c r="H249" s="128" t="s">
        <v>0</v>
      </c>
      <c r="I249" s="125">
        <f>SUM(I244:I248)</f>
        <v>259.83999999999997</v>
      </c>
      <c r="J249" s="129"/>
    </row>
    <row r="250" spans="1:10" ht="21.9" customHeight="1">
      <c r="A250" s="333" t="s">
        <v>45</v>
      </c>
      <c r="B250" s="333"/>
      <c r="C250" s="333"/>
      <c r="D250" s="125"/>
      <c r="E250" s="123"/>
      <c r="F250" s="141"/>
      <c r="G250" s="130">
        <v>4068</v>
      </c>
      <c r="H250" s="128" t="s">
        <v>1</v>
      </c>
      <c r="I250" s="2">
        <f>I249*G250</f>
        <v>1057029.1199999999</v>
      </c>
      <c r="J250" s="129"/>
    </row>
    <row r="251" spans="1:10" ht="18" customHeight="1">
      <c r="A251" s="131">
        <v>1</v>
      </c>
      <c r="B251" s="141" t="s">
        <v>679</v>
      </c>
      <c r="C251" s="139">
        <v>41974</v>
      </c>
      <c r="D251" s="125">
        <v>163.69</v>
      </c>
      <c r="E251" s="126" t="s">
        <v>50</v>
      </c>
      <c r="F251" s="123" t="s">
        <v>52</v>
      </c>
      <c r="G251" s="141" t="s">
        <v>679</v>
      </c>
      <c r="H251" s="139">
        <v>41974</v>
      </c>
      <c r="I251" s="125">
        <v>163.69</v>
      </c>
      <c r="J251" s="127" t="s">
        <v>735</v>
      </c>
    </row>
    <row r="252" spans="1:10" ht="18" customHeight="1">
      <c r="A252" s="131">
        <v>2</v>
      </c>
      <c r="B252" s="141" t="s">
        <v>680</v>
      </c>
      <c r="C252" s="139">
        <v>41979</v>
      </c>
      <c r="D252" s="125">
        <v>340.66</v>
      </c>
      <c r="E252" s="126" t="s">
        <v>50</v>
      </c>
      <c r="F252" s="123" t="s">
        <v>52</v>
      </c>
      <c r="G252" s="141" t="s">
        <v>680</v>
      </c>
      <c r="H252" s="139">
        <v>41979</v>
      </c>
      <c r="I252" s="125">
        <v>340.66</v>
      </c>
      <c r="J252" s="127" t="s">
        <v>735</v>
      </c>
    </row>
    <row r="253" spans="1:10" ht="18" customHeight="1">
      <c r="A253" s="131">
        <v>3</v>
      </c>
      <c r="B253" s="141" t="s">
        <v>691</v>
      </c>
      <c r="C253" s="139">
        <v>41988</v>
      </c>
      <c r="D253" s="125">
        <v>232.83</v>
      </c>
      <c r="E253" s="126" t="s">
        <v>50</v>
      </c>
      <c r="F253" s="123" t="s">
        <v>52</v>
      </c>
      <c r="G253" s="141" t="s">
        <v>691</v>
      </c>
      <c r="H253" s="139">
        <v>41988</v>
      </c>
      <c r="I253" s="125">
        <v>232.83</v>
      </c>
      <c r="J253" s="127" t="s">
        <v>735</v>
      </c>
    </row>
    <row r="254" spans="1:10" ht="18" customHeight="1">
      <c r="A254" s="131">
        <v>4</v>
      </c>
      <c r="B254" s="141" t="s">
        <v>696</v>
      </c>
      <c r="C254" s="139">
        <v>41995</v>
      </c>
      <c r="D254" s="125">
        <v>78.95</v>
      </c>
      <c r="E254" s="123" t="s">
        <v>50</v>
      </c>
      <c r="F254" s="141" t="s">
        <v>52</v>
      </c>
      <c r="G254" s="141" t="s">
        <v>696</v>
      </c>
      <c r="H254" s="139">
        <v>41995</v>
      </c>
      <c r="I254" s="125">
        <v>78.95</v>
      </c>
      <c r="J254" s="127" t="s">
        <v>735</v>
      </c>
    </row>
    <row r="255" spans="1:10" ht="18" customHeight="1">
      <c r="A255" s="131">
        <v>5</v>
      </c>
      <c r="B255" s="141" t="s">
        <v>706</v>
      </c>
      <c r="C255" s="139">
        <v>42002</v>
      </c>
      <c r="D255" s="125">
        <v>304.68</v>
      </c>
      <c r="E255" s="126" t="s">
        <v>50</v>
      </c>
      <c r="F255" s="123" t="s">
        <v>52</v>
      </c>
      <c r="G255" s="141" t="s">
        <v>706</v>
      </c>
      <c r="H255" s="139">
        <v>42002</v>
      </c>
      <c r="I255" s="125">
        <v>304.68</v>
      </c>
      <c r="J255" s="127" t="s">
        <v>735</v>
      </c>
    </row>
    <row r="256" spans="1:10" ht="18" customHeight="1">
      <c r="A256" s="333" t="s">
        <v>46</v>
      </c>
      <c r="B256" s="333"/>
      <c r="C256" s="333"/>
      <c r="D256" s="125">
        <f>SUM(D251:D255)</f>
        <v>1120.8100000000002</v>
      </c>
      <c r="E256" s="126"/>
      <c r="F256" s="123"/>
      <c r="G256" s="141"/>
      <c r="H256" s="128" t="s">
        <v>0</v>
      </c>
      <c r="I256" s="125">
        <f>SUM(I251:I255)</f>
        <v>1120.8100000000002</v>
      </c>
      <c r="J256" s="129"/>
    </row>
    <row r="257" spans="1:10" ht="21.9" customHeight="1">
      <c r="A257" s="333" t="s">
        <v>46</v>
      </c>
      <c r="B257" s="333"/>
      <c r="C257" s="333"/>
      <c r="D257" s="125"/>
      <c r="E257" s="126"/>
      <c r="F257" s="123"/>
      <c r="G257" s="130">
        <v>4062</v>
      </c>
      <c r="H257" s="128" t="s">
        <v>1</v>
      </c>
      <c r="I257" s="2">
        <f>I256*G257</f>
        <v>4552730.2200000007</v>
      </c>
      <c r="J257" s="129"/>
    </row>
    <row r="258" spans="1:10" ht="18" customHeight="1">
      <c r="A258" s="131">
        <v>1</v>
      </c>
      <c r="B258" s="141" t="s">
        <v>716</v>
      </c>
      <c r="C258" s="139">
        <v>42009</v>
      </c>
      <c r="D258" s="125">
        <v>339.54</v>
      </c>
      <c r="E258" s="126" t="s">
        <v>50</v>
      </c>
      <c r="F258" s="123" t="s">
        <v>52</v>
      </c>
      <c r="G258" s="141" t="s">
        <v>716</v>
      </c>
      <c r="H258" s="139">
        <v>42009</v>
      </c>
      <c r="I258" s="125">
        <v>339.54</v>
      </c>
      <c r="J258" s="127" t="s">
        <v>735</v>
      </c>
    </row>
    <row r="259" spans="1:10" ht="18" customHeight="1">
      <c r="A259" s="131">
        <v>2</v>
      </c>
      <c r="B259" s="141" t="s">
        <v>718</v>
      </c>
      <c r="C259" s="139">
        <v>42016</v>
      </c>
      <c r="D259" s="125">
        <v>301.45</v>
      </c>
      <c r="E259" s="126" t="s">
        <v>50</v>
      </c>
      <c r="F259" s="123" t="s">
        <v>52</v>
      </c>
      <c r="G259" s="141" t="s">
        <v>718</v>
      </c>
      <c r="H259" s="139">
        <v>42016</v>
      </c>
      <c r="I259" s="125">
        <v>301.45</v>
      </c>
      <c r="J259" s="127" t="s">
        <v>735</v>
      </c>
    </row>
    <row r="260" spans="1:10" ht="18" customHeight="1">
      <c r="A260" s="131">
        <v>3</v>
      </c>
      <c r="B260" s="141" t="s">
        <v>720</v>
      </c>
      <c r="C260" s="139">
        <v>42024</v>
      </c>
      <c r="D260" s="125">
        <v>446.06</v>
      </c>
      <c r="E260" s="126" t="s">
        <v>50</v>
      </c>
      <c r="F260" s="123" t="s">
        <v>52</v>
      </c>
      <c r="G260" s="141" t="s">
        <v>720</v>
      </c>
      <c r="H260" s="139">
        <v>42024</v>
      </c>
      <c r="I260" s="125">
        <v>446.06</v>
      </c>
      <c r="J260" s="127" t="s">
        <v>735</v>
      </c>
    </row>
    <row r="261" spans="1:10" ht="18" customHeight="1">
      <c r="A261" s="131">
        <v>4</v>
      </c>
      <c r="B261" s="141" t="s">
        <v>721</v>
      </c>
      <c r="C261" s="139">
        <v>42030</v>
      </c>
      <c r="D261" s="125">
        <v>614.58000000000004</v>
      </c>
      <c r="E261" s="126" t="s">
        <v>50</v>
      </c>
      <c r="F261" s="123" t="s">
        <v>52</v>
      </c>
      <c r="G261" s="141" t="s">
        <v>721</v>
      </c>
      <c r="H261" s="139">
        <v>42030</v>
      </c>
      <c r="I261" s="125">
        <v>614.58000000000004</v>
      </c>
      <c r="J261" s="127" t="s">
        <v>735</v>
      </c>
    </row>
    <row r="262" spans="1:10" ht="18" customHeight="1">
      <c r="A262" s="333" t="s">
        <v>47</v>
      </c>
      <c r="B262" s="333"/>
      <c r="C262" s="333"/>
      <c r="D262" s="125">
        <f>SUM(D258:D261)</f>
        <v>1701.63</v>
      </c>
      <c r="E262" s="126"/>
      <c r="F262" s="123"/>
      <c r="G262" s="141"/>
      <c r="H262" s="128" t="s">
        <v>0</v>
      </c>
      <c r="I262" s="125">
        <f>SUM(I258:I261)</f>
        <v>1701.63</v>
      </c>
      <c r="J262" s="129"/>
    </row>
    <row r="263" spans="1:10" ht="21.9" customHeight="1">
      <c r="A263" s="333" t="s">
        <v>47</v>
      </c>
      <c r="B263" s="333"/>
      <c r="C263" s="333"/>
      <c r="D263" s="125"/>
      <c r="E263" s="126"/>
      <c r="F263" s="123"/>
      <c r="G263" s="130">
        <v>4066</v>
      </c>
      <c r="H263" s="128" t="s">
        <v>1</v>
      </c>
      <c r="I263" s="2">
        <f>I262*G263</f>
        <v>6918827.5800000001</v>
      </c>
      <c r="J263" s="129"/>
    </row>
    <row r="264" spans="1:10" ht="18" customHeight="1">
      <c r="A264" s="131">
        <v>1</v>
      </c>
      <c r="B264" s="141" t="s">
        <v>708</v>
      </c>
      <c r="C264" s="139">
        <v>42037</v>
      </c>
      <c r="D264" s="125">
        <v>314.24</v>
      </c>
      <c r="E264" s="126" t="s">
        <v>50</v>
      </c>
      <c r="F264" s="123" t="s">
        <v>52</v>
      </c>
      <c r="G264" s="141" t="s">
        <v>708</v>
      </c>
      <c r="H264" s="139">
        <v>42037</v>
      </c>
      <c r="I264" s="125">
        <v>314.24</v>
      </c>
      <c r="J264" s="127" t="s">
        <v>735</v>
      </c>
    </row>
    <row r="265" spans="1:10" ht="18" customHeight="1">
      <c r="A265" s="131">
        <v>2</v>
      </c>
      <c r="B265" s="141" t="s">
        <v>710</v>
      </c>
      <c r="C265" s="139">
        <v>42044</v>
      </c>
      <c r="D265" s="125">
        <v>61.89</v>
      </c>
      <c r="E265" s="123" t="s">
        <v>50</v>
      </c>
      <c r="F265" s="141" t="s">
        <v>52</v>
      </c>
      <c r="G265" s="141" t="s">
        <v>710</v>
      </c>
      <c r="H265" s="139">
        <v>42044</v>
      </c>
      <c r="I265" s="125">
        <v>61.89</v>
      </c>
      <c r="J265" s="127" t="s">
        <v>735</v>
      </c>
    </row>
    <row r="266" spans="1:10" ht="18" customHeight="1">
      <c r="A266" s="131">
        <v>3</v>
      </c>
      <c r="B266" s="141" t="s">
        <v>712</v>
      </c>
      <c r="C266" s="139">
        <v>42051</v>
      </c>
      <c r="D266" s="125">
        <v>228.53</v>
      </c>
      <c r="E266" s="126" t="s">
        <v>50</v>
      </c>
      <c r="F266" s="123" t="s">
        <v>52</v>
      </c>
      <c r="G266" s="141" t="s">
        <v>712</v>
      </c>
      <c r="H266" s="139">
        <v>42051</v>
      </c>
      <c r="I266" s="125">
        <v>228.53</v>
      </c>
      <c r="J266" s="127" t="s">
        <v>735</v>
      </c>
    </row>
    <row r="267" spans="1:10" ht="18" customHeight="1">
      <c r="A267" s="131">
        <v>4</v>
      </c>
      <c r="B267" s="142" t="s">
        <v>714</v>
      </c>
      <c r="C267" s="143">
        <v>42059</v>
      </c>
      <c r="D267" s="144">
        <v>177.34</v>
      </c>
      <c r="E267" s="126" t="s">
        <v>50</v>
      </c>
      <c r="F267" s="123" t="s">
        <v>52</v>
      </c>
      <c r="G267" s="142" t="s">
        <v>714</v>
      </c>
      <c r="H267" s="143">
        <v>42059</v>
      </c>
      <c r="I267" s="144">
        <v>177.34</v>
      </c>
      <c r="J267" s="127" t="s">
        <v>735</v>
      </c>
    </row>
    <row r="268" spans="1:10" ht="18" customHeight="1">
      <c r="A268" s="333" t="s">
        <v>48</v>
      </c>
      <c r="B268" s="333"/>
      <c r="C268" s="333"/>
      <c r="D268" s="144">
        <f>SUM(D264:D267)</f>
        <v>782</v>
      </c>
      <c r="E268" s="126"/>
      <c r="F268" s="123"/>
      <c r="G268" s="142"/>
      <c r="H268" s="128" t="s">
        <v>0</v>
      </c>
      <c r="I268" s="144">
        <f>SUM(I264:I267)</f>
        <v>782</v>
      </c>
      <c r="J268" s="2"/>
    </row>
    <row r="269" spans="1:10" ht="21.9" customHeight="1">
      <c r="A269" s="333" t="s">
        <v>48</v>
      </c>
      <c r="B269" s="333"/>
      <c r="C269" s="333"/>
      <c r="D269" s="144"/>
      <c r="E269" s="126"/>
      <c r="F269" s="123"/>
      <c r="G269" s="130">
        <v>4046</v>
      </c>
      <c r="H269" s="128" t="s">
        <v>1</v>
      </c>
      <c r="I269" s="2">
        <f>I268*G269</f>
        <v>3163972</v>
      </c>
      <c r="J269" s="145"/>
    </row>
    <row r="270" spans="1:10" ht="23.4">
      <c r="A270" s="312" t="s">
        <v>724</v>
      </c>
      <c r="B270" s="313"/>
      <c r="C270" s="314"/>
      <c r="D270" s="146"/>
      <c r="E270" s="147"/>
      <c r="F270" s="147"/>
      <c r="G270" s="148"/>
      <c r="H270" s="128" t="s">
        <v>0</v>
      </c>
      <c r="I270" s="149">
        <f>I18+I25+I32+I37+I43+I52+I64+I74+I85+I97+I107+I116+I128+I135+I147+I156+I161+I169+I178+I188+I197+I204+I211+I218+I223+I229+I236+I242+I249+I256+I262+I268</f>
        <v>25018.910000000007</v>
      </c>
      <c r="J270" s="127" t="s">
        <v>735</v>
      </c>
    </row>
    <row r="271" spans="1:10" ht="24">
      <c r="A271" s="312" t="s">
        <v>724</v>
      </c>
      <c r="B271" s="313"/>
      <c r="C271" s="314"/>
      <c r="D271" s="146"/>
      <c r="E271" s="147"/>
      <c r="F271" s="147"/>
      <c r="G271" s="148"/>
      <c r="H271" s="128" t="s">
        <v>1</v>
      </c>
      <c r="I271" s="150">
        <f>I19+I26+I33+I38+I44+I53+I65+I75+I86+I98+I108+I117+I129+I136+I148+I157+I162+I170+I179+I189+I198+I205+I212+I219+I224+I230+I237+I243+I250+I257+I263+I269</f>
        <v>100871023.15000001</v>
      </c>
      <c r="J271" s="151" t="s">
        <v>735</v>
      </c>
    </row>
    <row r="272" spans="1:10" ht="25.2">
      <c r="A272" s="317" t="s">
        <v>739</v>
      </c>
      <c r="B272" s="317"/>
      <c r="C272" s="317"/>
      <c r="D272" s="317" t="s">
        <v>738</v>
      </c>
      <c r="E272" s="317"/>
      <c r="F272" s="317"/>
      <c r="G272" s="317"/>
      <c r="H272" s="317"/>
      <c r="I272" s="152">
        <v>100871023</v>
      </c>
      <c r="J272" s="153" t="s">
        <v>737</v>
      </c>
    </row>
    <row r="273" spans="1:10" ht="46.5" customHeight="1">
      <c r="A273" s="317" t="s">
        <v>741</v>
      </c>
      <c r="B273" s="317"/>
      <c r="C273" s="317"/>
      <c r="D273" s="330" t="s">
        <v>742</v>
      </c>
      <c r="E273" s="331"/>
      <c r="F273" s="331"/>
      <c r="G273" s="331"/>
      <c r="H273" s="332"/>
      <c r="I273" s="154">
        <v>194826746</v>
      </c>
      <c r="J273" s="153" t="s">
        <v>737</v>
      </c>
    </row>
    <row r="274" spans="1:10" ht="25.2">
      <c r="A274" s="318" t="s">
        <v>740</v>
      </c>
      <c r="B274" s="319"/>
      <c r="C274" s="320"/>
      <c r="D274" s="327" t="s">
        <v>743</v>
      </c>
      <c r="E274" s="328"/>
      <c r="F274" s="328"/>
      <c r="G274" s="328"/>
      <c r="H274" s="329"/>
      <c r="I274" s="154">
        <v>295697769</v>
      </c>
      <c r="J274" s="153" t="s">
        <v>737</v>
      </c>
    </row>
    <row r="275" spans="1:10" ht="25.2">
      <c r="A275" s="321"/>
      <c r="B275" s="322"/>
      <c r="C275" s="323"/>
      <c r="D275" s="327" t="s">
        <v>744</v>
      </c>
      <c r="E275" s="328"/>
      <c r="F275" s="328"/>
      <c r="G275" s="328"/>
      <c r="H275" s="329"/>
      <c r="I275" s="154">
        <v>297231546</v>
      </c>
      <c r="J275" s="153" t="s">
        <v>737</v>
      </c>
    </row>
    <row r="276" spans="1:10" ht="25.2">
      <c r="A276" s="321"/>
      <c r="B276" s="322"/>
      <c r="C276" s="323"/>
      <c r="D276" s="327" t="s">
        <v>745</v>
      </c>
      <c r="E276" s="328"/>
      <c r="F276" s="328"/>
      <c r="G276" s="328"/>
      <c r="H276" s="329"/>
      <c r="I276" s="154">
        <v>1533777</v>
      </c>
      <c r="J276" s="153" t="s">
        <v>737</v>
      </c>
    </row>
    <row r="277" spans="1:10" ht="25.2">
      <c r="A277" s="324"/>
      <c r="B277" s="325"/>
      <c r="C277" s="326"/>
      <c r="D277" s="327" t="s">
        <v>743</v>
      </c>
      <c r="E277" s="328"/>
      <c r="F277" s="328"/>
      <c r="G277" s="328"/>
      <c r="H277" s="329"/>
      <c r="I277" s="154">
        <v>295697769</v>
      </c>
      <c r="J277" s="153" t="s">
        <v>737</v>
      </c>
    </row>
    <row r="278" spans="1:10" ht="25.2">
      <c r="H278" s="315" t="s">
        <v>748</v>
      </c>
      <c r="I278" s="315"/>
      <c r="J278" s="315"/>
    </row>
    <row r="279" spans="1:10" ht="25.2">
      <c r="H279" s="316" t="s">
        <v>746</v>
      </c>
      <c r="I279" s="316"/>
      <c r="J279" s="316"/>
    </row>
    <row r="286" spans="1:10" ht="25.2">
      <c r="H286" s="316" t="s">
        <v>747</v>
      </c>
      <c r="I286" s="316"/>
      <c r="J286" s="316"/>
    </row>
  </sheetData>
  <mergeCells count="90">
    <mergeCell ref="A53:C53"/>
    <mergeCell ref="A64:C64"/>
    <mergeCell ref="A65:C65"/>
    <mergeCell ref="A74:C74"/>
    <mergeCell ref="A75:C75"/>
    <mergeCell ref="A37:C37"/>
    <mergeCell ref="A38:C38"/>
    <mergeCell ref="A43:C43"/>
    <mergeCell ref="A44:C44"/>
    <mergeCell ref="A52:C52"/>
    <mergeCell ref="A19:C19"/>
    <mergeCell ref="E6:E7"/>
    <mergeCell ref="F6:F7"/>
    <mergeCell ref="A32:C32"/>
    <mergeCell ref="A33:C33"/>
    <mergeCell ref="A108:C108"/>
    <mergeCell ref="A116:C116"/>
    <mergeCell ref="A117:C117"/>
    <mergeCell ref="A1:J1"/>
    <mergeCell ref="A2:J2"/>
    <mergeCell ref="A3:E3"/>
    <mergeCell ref="A4:D4"/>
    <mergeCell ref="A5:A7"/>
    <mergeCell ref="B5:D5"/>
    <mergeCell ref="E5:I5"/>
    <mergeCell ref="J5:J7"/>
    <mergeCell ref="B6:D6"/>
    <mergeCell ref="G6:I6"/>
    <mergeCell ref="A25:C25"/>
    <mergeCell ref="A26:C26"/>
    <mergeCell ref="A18:C18"/>
    <mergeCell ref="A85:C85"/>
    <mergeCell ref="A86:C86"/>
    <mergeCell ref="A97:C97"/>
    <mergeCell ref="A98:C98"/>
    <mergeCell ref="A107:C107"/>
    <mergeCell ref="A223:C223"/>
    <mergeCell ref="A128:C128"/>
    <mergeCell ref="A129:C129"/>
    <mergeCell ref="A135:C135"/>
    <mergeCell ref="A136:C136"/>
    <mergeCell ref="A178:C178"/>
    <mergeCell ref="A156:C156"/>
    <mergeCell ref="A157:C157"/>
    <mergeCell ref="A161:C161"/>
    <mergeCell ref="A162:C162"/>
    <mergeCell ref="A147:C147"/>
    <mergeCell ref="A148:C148"/>
    <mergeCell ref="A169:C169"/>
    <mergeCell ref="A170:C170"/>
    <mergeCell ref="A205:C205"/>
    <mergeCell ref="A211:C211"/>
    <mergeCell ref="A212:C212"/>
    <mergeCell ref="A218:C218"/>
    <mergeCell ref="A219:C219"/>
    <mergeCell ref="A188:C188"/>
    <mergeCell ref="A189:C189"/>
    <mergeCell ref="A197:C197"/>
    <mergeCell ref="A198:C198"/>
    <mergeCell ref="A204:C204"/>
    <mergeCell ref="A179:C179"/>
    <mergeCell ref="A269:C269"/>
    <mergeCell ref="A229:C229"/>
    <mergeCell ref="A230:C230"/>
    <mergeCell ref="A242:C242"/>
    <mergeCell ref="A243:C243"/>
    <mergeCell ref="A249:C249"/>
    <mergeCell ref="A250:C250"/>
    <mergeCell ref="A236:C236"/>
    <mergeCell ref="A237:C237"/>
    <mergeCell ref="A256:C256"/>
    <mergeCell ref="A257:C257"/>
    <mergeCell ref="A262:C262"/>
    <mergeCell ref="A263:C263"/>
    <mergeCell ref="A268:C268"/>
    <mergeCell ref="A224:C224"/>
    <mergeCell ref="A270:C270"/>
    <mergeCell ref="A271:C271"/>
    <mergeCell ref="H278:J278"/>
    <mergeCell ref="H279:J279"/>
    <mergeCell ref="H286:J286"/>
    <mergeCell ref="D272:H272"/>
    <mergeCell ref="A272:C272"/>
    <mergeCell ref="A273:C273"/>
    <mergeCell ref="A274:C277"/>
    <mergeCell ref="D274:H274"/>
    <mergeCell ref="D275:H275"/>
    <mergeCell ref="D276:H276"/>
    <mergeCell ref="D277:H277"/>
    <mergeCell ref="D273:H273"/>
  </mergeCells>
  <printOptions horizontalCentered="1"/>
  <pageMargins left="0.2" right="0.2" top="0.35" bottom="0.5" header="0.5" footer="0.3"/>
  <pageSetup paperSize="9" scale="70" orientation="portrait" r:id="rId1"/>
  <headerFooter alignWithMargins="0"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K44"/>
  <sheetViews>
    <sheetView workbookViewId="0">
      <selection activeCell="C8" sqref="C8"/>
    </sheetView>
  </sheetViews>
  <sheetFormatPr defaultColWidth="8.77734375" defaultRowHeight="13.2"/>
  <cols>
    <col min="1" max="1" width="7" style="58" customWidth="1"/>
    <col min="2" max="2" width="14.33203125" style="58" customWidth="1"/>
    <col min="3" max="3" width="10.6640625" style="58" customWidth="1"/>
    <col min="4" max="4" width="11.109375" style="58" customWidth="1"/>
    <col min="5" max="5" width="20.33203125" style="58" customWidth="1"/>
    <col min="6" max="6" width="13.109375" style="58" customWidth="1"/>
    <col min="7" max="7" width="10.6640625" style="58" customWidth="1"/>
    <col min="8" max="8" width="11.5546875" style="58" customWidth="1"/>
    <col min="9" max="9" width="12.6640625" style="58" customWidth="1"/>
    <col min="10" max="10" width="10.88671875" style="58" customWidth="1"/>
    <col min="11" max="16384" width="8.77734375" style="58"/>
  </cols>
  <sheetData>
    <row r="1" spans="1:10" ht="33.6">
      <c r="A1" s="334" t="s">
        <v>10</v>
      </c>
      <c r="B1" s="334"/>
      <c r="C1" s="334"/>
      <c r="D1" s="334"/>
      <c r="E1" s="334"/>
      <c r="F1" s="334"/>
      <c r="G1" s="334"/>
      <c r="H1" s="334"/>
      <c r="I1" s="334"/>
      <c r="J1" s="334"/>
    </row>
    <row r="2" spans="1:10" ht="33.6">
      <c r="A2" s="334" t="s">
        <v>16</v>
      </c>
      <c r="B2" s="334"/>
      <c r="C2" s="334"/>
      <c r="D2" s="334"/>
      <c r="E2" s="334"/>
      <c r="F2" s="334"/>
      <c r="G2" s="334"/>
      <c r="H2" s="334"/>
      <c r="I2" s="334"/>
      <c r="J2" s="334"/>
    </row>
    <row r="3" spans="1:10" ht="27">
      <c r="A3" s="355" t="s">
        <v>723</v>
      </c>
      <c r="B3" s="355"/>
      <c r="C3" s="355"/>
      <c r="D3" s="355"/>
      <c r="E3" s="355"/>
      <c r="F3" s="120"/>
      <c r="G3" s="120"/>
      <c r="H3" s="120"/>
      <c r="I3" s="120"/>
      <c r="J3" s="120"/>
    </row>
    <row r="4" spans="1:10" ht="27">
      <c r="A4" s="336" t="s">
        <v>49</v>
      </c>
      <c r="B4" s="336"/>
      <c r="C4" s="336"/>
      <c r="D4" s="336"/>
      <c r="E4" s="120"/>
      <c r="F4" s="120"/>
      <c r="G4" s="120"/>
      <c r="H4" s="120"/>
      <c r="I4" s="120"/>
      <c r="J4" s="120"/>
    </row>
    <row r="5" spans="1:10" ht="25.2">
      <c r="A5" s="356" t="s">
        <v>2</v>
      </c>
      <c r="B5" s="359" t="s">
        <v>11</v>
      </c>
      <c r="C5" s="360"/>
      <c r="D5" s="361"/>
      <c r="E5" s="362" t="s">
        <v>5</v>
      </c>
      <c r="F5" s="363"/>
      <c r="G5" s="363"/>
      <c r="H5" s="363"/>
      <c r="I5" s="363"/>
      <c r="J5" s="364" t="s">
        <v>15</v>
      </c>
    </row>
    <row r="6" spans="1:10" ht="25.2">
      <c r="A6" s="357"/>
      <c r="B6" s="367" t="s">
        <v>12</v>
      </c>
      <c r="C6" s="368"/>
      <c r="D6" s="369"/>
      <c r="E6" s="370" t="s">
        <v>4</v>
      </c>
      <c r="F6" s="371" t="s">
        <v>14</v>
      </c>
      <c r="G6" s="367" t="s">
        <v>12</v>
      </c>
      <c r="H6" s="368"/>
      <c r="I6" s="369"/>
      <c r="J6" s="365"/>
    </row>
    <row r="7" spans="1:10" ht="25.2">
      <c r="A7" s="358"/>
      <c r="B7" s="155" t="s">
        <v>6</v>
      </c>
      <c r="C7" s="155" t="s">
        <v>13</v>
      </c>
      <c r="D7" s="155" t="s">
        <v>3</v>
      </c>
      <c r="E7" s="371"/>
      <c r="F7" s="371"/>
      <c r="G7" s="155" t="s">
        <v>6</v>
      </c>
      <c r="H7" s="155" t="s">
        <v>13</v>
      </c>
      <c r="I7" s="155" t="s">
        <v>3</v>
      </c>
      <c r="J7" s="366"/>
    </row>
    <row r="8" spans="1:10" ht="18" customHeight="1">
      <c r="A8" s="131">
        <v>1</v>
      </c>
      <c r="B8" s="141" t="s">
        <v>567</v>
      </c>
      <c r="C8" s="139">
        <v>41842</v>
      </c>
      <c r="D8" s="125">
        <v>41.5</v>
      </c>
      <c r="E8" s="123" t="s">
        <v>387</v>
      </c>
      <c r="F8" s="141" t="s">
        <v>388</v>
      </c>
      <c r="G8" s="141" t="s">
        <v>567</v>
      </c>
      <c r="H8" s="139">
        <v>41842</v>
      </c>
      <c r="I8" s="125">
        <v>41.5</v>
      </c>
      <c r="J8" s="156"/>
    </row>
    <row r="9" spans="1:10" ht="18" customHeight="1">
      <c r="A9" s="131">
        <v>2</v>
      </c>
      <c r="B9" s="141" t="s">
        <v>568</v>
      </c>
      <c r="C9" s="139">
        <v>41842</v>
      </c>
      <c r="D9" s="125">
        <v>64.569999999999993</v>
      </c>
      <c r="E9" s="123" t="s">
        <v>387</v>
      </c>
      <c r="F9" s="141" t="s">
        <v>388</v>
      </c>
      <c r="G9" s="141" t="s">
        <v>568</v>
      </c>
      <c r="H9" s="139">
        <v>41842</v>
      </c>
      <c r="I9" s="125">
        <v>64.569999999999993</v>
      </c>
      <c r="J9" s="156"/>
    </row>
    <row r="10" spans="1:10" ht="18" customHeight="1">
      <c r="A10" s="131">
        <v>3</v>
      </c>
      <c r="B10" s="141" t="s">
        <v>569</v>
      </c>
      <c r="C10" s="139">
        <v>41842</v>
      </c>
      <c r="D10" s="125">
        <v>59.11</v>
      </c>
      <c r="E10" s="123" t="s">
        <v>387</v>
      </c>
      <c r="F10" s="141" t="s">
        <v>388</v>
      </c>
      <c r="G10" s="141" t="s">
        <v>569</v>
      </c>
      <c r="H10" s="139">
        <v>41842</v>
      </c>
      <c r="I10" s="125">
        <v>59.11</v>
      </c>
      <c r="J10" s="156"/>
    </row>
    <row r="11" spans="1:10" ht="18" customHeight="1">
      <c r="A11" s="131">
        <v>4</v>
      </c>
      <c r="B11" s="141" t="s">
        <v>573</v>
      </c>
      <c r="C11" s="139">
        <v>41849</v>
      </c>
      <c r="D11" s="125">
        <v>75.930000000000007</v>
      </c>
      <c r="E11" s="123" t="s">
        <v>387</v>
      </c>
      <c r="F11" s="141" t="s">
        <v>388</v>
      </c>
      <c r="G11" s="141" t="s">
        <v>573</v>
      </c>
      <c r="H11" s="139">
        <v>41849</v>
      </c>
      <c r="I11" s="125">
        <v>75.930000000000007</v>
      </c>
      <c r="J11" s="156"/>
    </row>
    <row r="12" spans="1:10" ht="18" customHeight="1">
      <c r="A12" s="131">
        <v>5</v>
      </c>
      <c r="B12" s="141" t="s">
        <v>575</v>
      </c>
      <c r="C12" s="139">
        <v>41856</v>
      </c>
      <c r="D12" s="125">
        <v>46.05</v>
      </c>
      <c r="E12" s="123" t="s">
        <v>387</v>
      </c>
      <c r="F12" s="141" t="s">
        <v>388</v>
      </c>
      <c r="G12" s="141" t="s">
        <v>575</v>
      </c>
      <c r="H12" s="139">
        <v>41856</v>
      </c>
      <c r="I12" s="125">
        <v>46.05</v>
      </c>
      <c r="J12" s="156"/>
    </row>
    <row r="13" spans="1:10" ht="18" customHeight="1">
      <c r="A13" s="131">
        <v>6</v>
      </c>
      <c r="B13" s="141" t="s">
        <v>576</v>
      </c>
      <c r="C13" s="139">
        <v>41856</v>
      </c>
      <c r="D13" s="125">
        <v>41.5</v>
      </c>
      <c r="E13" s="123" t="s">
        <v>387</v>
      </c>
      <c r="F13" s="141" t="s">
        <v>388</v>
      </c>
      <c r="G13" s="141" t="s">
        <v>576</v>
      </c>
      <c r="H13" s="139">
        <v>41856</v>
      </c>
      <c r="I13" s="125">
        <v>41.5</v>
      </c>
      <c r="J13" s="156"/>
    </row>
    <row r="14" spans="1:10" ht="18" customHeight="1">
      <c r="A14" s="131">
        <v>7</v>
      </c>
      <c r="B14" s="141" t="s">
        <v>591</v>
      </c>
      <c r="C14" s="139">
        <v>41864</v>
      </c>
      <c r="D14" s="125">
        <v>27.9</v>
      </c>
      <c r="E14" s="123" t="s">
        <v>387</v>
      </c>
      <c r="F14" s="141" t="s">
        <v>388</v>
      </c>
      <c r="G14" s="141" t="s">
        <v>591</v>
      </c>
      <c r="H14" s="139">
        <v>41864</v>
      </c>
      <c r="I14" s="125">
        <v>27.9</v>
      </c>
      <c r="J14" s="156"/>
    </row>
    <row r="15" spans="1:10" ht="18" customHeight="1">
      <c r="A15" s="131">
        <v>8</v>
      </c>
      <c r="B15" s="141" t="s">
        <v>606</v>
      </c>
      <c r="C15" s="139">
        <v>41882</v>
      </c>
      <c r="D15" s="125">
        <v>143</v>
      </c>
      <c r="E15" s="123" t="s">
        <v>387</v>
      </c>
      <c r="F15" s="141" t="s">
        <v>388</v>
      </c>
      <c r="G15" s="141" t="s">
        <v>606</v>
      </c>
      <c r="H15" s="139">
        <v>41882</v>
      </c>
      <c r="I15" s="125">
        <v>143</v>
      </c>
      <c r="J15" s="156"/>
    </row>
    <row r="16" spans="1:10" ht="18" customHeight="1">
      <c r="A16" s="131">
        <v>9</v>
      </c>
      <c r="B16" s="141" t="s">
        <v>607</v>
      </c>
      <c r="C16" s="139">
        <v>41882</v>
      </c>
      <c r="D16" s="125">
        <v>60.33</v>
      </c>
      <c r="E16" s="123" t="s">
        <v>387</v>
      </c>
      <c r="F16" s="141" t="s">
        <v>388</v>
      </c>
      <c r="G16" s="141" t="s">
        <v>607</v>
      </c>
      <c r="H16" s="139">
        <v>41882</v>
      </c>
      <c r="I16" s="125">
        <v>60.33</v>
      </c>
      <c r="J16" s="156"/>
    </row>
    <row r="17" spans="1:11" ht="18" customHeight="1">
      <c r="A17" s="131">
        <v>10</v>
      </c>
      <c r="B17" s="141" t="s">
        <v>618</v>
      </c>
      <c r="C17" s="139">
        <v>41892</v>
      </c>
      <c r="D17" s="125">
        <v>27.53</v>
      </c>
      <c r="E17" s="123" t="s">
        <v>387</v>
      </c>
      <c r="F17" s="141" t="s">
        <v>388</v>
      </c>
      <c r="G17" s="141" t="s">
        <v>618</v>
      </c>
      <c r="H17" s="139">
        <v>41892</v>
      </c>
      <c r="I17" s="125">
        <v>27.53</v>
      </c>
      <c r="J17" s="156"/>
    </row>
    <row r="18" spans="1:11" ht="18" customHeight="1">
      <c r="A18" s="131">
        <v>11</v>
      </c>
      <c r="B18" s="141" t="s">
        <v>619</v>
      </c>
      <c r="C18" s="139">
        <v>41892</v>
      </c>
      <c r="D18" s="125">
        <v>53.64</v>
      </c>
      <c r="E18" s="123" t="s">
        <v>387</v>
      </c>
      <c r="F18" s="141" t="s">
        <v>388</v>
      </c>
      <c r="G18" s="141" t="s">
        <v>619</v>
      </c>
      <c r="H18" s="139">
        <v>41892</v>
      </c>
      <c r="I18" s="125">
        <v>53.64</v>
      </c>
      <c r="J18" s="156"/>
    </row>
    <row r="19" spans="1:11" ht="18" customHeight="1">
      <c r="A19" s="131">
        <v>12</v>
      </c>
      <c r="B19" s="141" t="s">
        <v>628</v>
      </c>
      <c r="C19" s="139">
        <v>41898</v>
      </c>
      <c r="D19" s="125">
        <v>34.770000000000003</v>
      </c>
      <c r="E19" s="123" t="s">
        <v>387</v>
      </c>
      <c r="F19" s="141" t="s">
        <v>388</v>
      </c>
      <c r="G19" s="141" t="s">
        <v>628</v>
      </c>
      <c r="H19" s="139">
        <v>41898</v>
      </c>
      <c r="I19" s="125">
        <v>34.770000000000003</v>
      </c>
      <c r="J19" s="156"/>
    </row>
    <row r="20" spans="1:11" ht="18" customHeight="1">
      <c r="A20" s="131">
        <v>13</v>
      </c>
      <c r="B20" s="141" t="s">
        <v>632</v>
      </c>
      <c r="C20" s="139">
        <v>41908</v>
      </c>
      <c r="D20" s="125">
        <v>68.5</v>
      </c>
      <c r="E20" s="123" t="s">
        <v>387</v>
      </c>
      <c r="F20" s="141" t="s">
        <v>388</v>
      </c>
      <c r="G20" s="141" t="s">
        <v>632</v>
      </c>
      <c r="H20" s="139">
        <v>41908</v>
      </c>
      <c r="I20" s="125">
        <v>68.5</v>
      </c>
      <c r="J20" s="156"/>
    </row>
    <row r="21" spans="1:11" ht="18" customHeight="1">
      <c r="A21" s="131">
        <v>14</v>
      </c>
      <c r="B21" s="141" t="s">
        <v>637</v>
      </c>
      <c r="C21" s="139">
        <v>41912</v>
      </c>
      <c r="D21" s="125">
        <v>32</v>
      </c>
      <c r="E21" s="123" t="s">
        <v>387</v>
      </c>
      <c r="F21" s="141" t="s">
        <v>388</v>
      </c>
      <c r="G21" s="141" t="s">
        <v>637</v>
      </c>
      <c r="H21" s="139">
        <v>41912</v>
      </c>
      <c r="I21" s="125">
        <v>32</v>
      </c>
      <c r="J21" s="156"/>
    </row>
    <row r="22" spans="1:11" ht="18" customHeight="1">
      <c r="A22" s="131">
        <v>15</v>
      </c>
      <c r="B22" s="141" t="s">
        <v>638</v>
      </c>
      <c r="C22" s="139">
        <v>41912</v>
      </c>
      <c r="D22" s="125">
        <v>26.65</v>
      </c>
      <c r="E22" s="123" t="s">
        <v>387</v>
      </c>
      <c r="F22" s="141" t="s">
        <v>388</v>
      </c>
      <c r="G22" s="141" t="s">
        <v>638</v>
      </c>
      <c r="H22" s="139">
        <v>41912</v>
      </c>
      <c r="I22" s="125">
        <v>26.65</v>
      </c>
      <c r="J22" s="156"/>
    </row>
    <row r="23" spans="1:11" ht="18" customHeight="1">
      <c r="A23" s="131">
        <v>16</v>
      </c>
      <c r="B23" s="141" t="s">
        <v>639</v>
      </c>
      <c r="C23" s="139">
        <v>41912</v>
      </c>
      <c r="D23" s="125">
        <v>34.86</v>
      </c>
      <c r="E23" s="123" t="s">
        <v>387</v>
      </c>
      <c r="F23" s="141" t="s">
        <v>388</v>
      </c>
      <c r="G23" s="141" t="s">
        <v>639</v>
      </c>
      <c r="H23" s="139">
        <v>41912</v>
      </c>
      <c r="I23" s="125">
        <v>34.86</v>
      </c>
      <c r="J23" s="156"/>
    </row>
    <row r="24" spans="1:11" ht="18" customHeight="1">
      <c r="A24" s="131">
        <v>17</v>
      </c>
      <c r="B24" s="141" t="s">
        <v>643</v>
      </c>
      <c r="C24" s="139">
        <v>41919</v>
      </c>
      <c r="D24" s="125">
        <v>26.44</v>
      </c>
      <c r="E24" s="123" t="s">
        <v>387</v>
      </c>
      <c r="F24" s="141" t="s">
        <v>388</v>
      </c>
      <c r="G24" s="141" t="s">
        <v>643</v>
      </c>
      <c r="H24" s="139">
        <v>41919</v>
      </c>
      <c r="I24" s="125">
        <v>26.44</v>
      </c>
      <c r="J24" s="156"/>
    </row>
    <row r="25" spans="1:11" ht="18" customHeight="1">
      <c r="A25" s="131">
        <v>18</v>
      </c>
      <c r="B25" s="141" t="s">
        <v>653</v>
      </c>
      <c r="C25" s="139">
        <v>41928</v>
      </c>
      <c r="D25" s="125">
        <v>44.22</v>
      </c>
      <c r="E25" s="123" t="s">
        <v>387</v>
      </c>
      <c r="F25" s="141" t="s">
        <v>388</v>
      </c>
      <c r="G25" s="141" t="s">
        <v>653</v>
      </c>
      <c r="H25" s="139">
        <v>41928</v>
      </c>
      <c r="I25" s="125">
        <v>44.22</v>
      </c>
      <c r="J25" s="156"/>
    </row>
    <row r="26" spans="1:11" ht="18" customHeight="1">
      <c r="A26" s="131">
        <v>19</v>
      </c>
      <c r="B26" s="141" t="s">
        <v>657</v>
      </c>
      <c r="C26" s="139">
        <v>41939</v>
      </c>
      <c r="D26" s="125">
        <v>27.75</v>
      </c>
      <c r="E26" s="123" t="s">
        <v>387</v>
      </c>
      <c r="F26" s="141" t="s">
        <v>388</v>
      </c>
      <c r="G26" s="141" t="s">
        <v>657</v>
      </c>
      <c r="H26" s="139">
        <v>41939</v>
      </c>
      <c r="I26" s="125">
        <v>27.75</v>
      </c>
      <c r="J26" s="156"/>
    </row>
    <row r="27" spans="1:11" ht="18" customHeight="1">
      <c r="A27" s="131">
        <v>20</v>
      </c>
      <c r="B27" s="141" t="s">
        <v>660</v>
      </c>
      <c r="C27" s="139">
        <v>41946</v>
      </c>
      <c r="D27" s="125">
        <v>90.92</v>
      </c>
      <c r="E27" s="123" t="s">
        <v>387</v>
      </c>
      <c r="F27" s="141" t="s">
        <v>388</v>
      </c>
      <c r="G27" s="141" t="s">
        <v>660</v>
      </c>
      <c r="H27" s="139">
        <v>41946</v>
      </c>
      <c r="I27" s="125">
        <v>90.92</v>
      </c>
      <c r="J27" s="156"/>
    </row>
    <row r="28" spans="1:11" ht="18" customHeight="1">
      <c r="A28" s="131">
        <v>21</v>
      </c>
      <c r="B28" s="141" t="s">
        <v>669</v>
      </c>
      <c r="C28" s="139">
        <v>41956</v>
      </c>
      <c r="D28" s="125">
        <v>110.34</v>
      </c>
      <c r="E28" s="123" t="s">
        <v>387</v>
      </c>
      <c r="F28" s="141" t="s">
        <v>388</v>
      </c>
      <c r="G28" s="141" t="s">
        <v>669</v>
      </c>
      <c r="H28" s="139">
        <v>41956</v>
      </c>
      <c r="I28" s="125">
        <v>110.34</v>
      </c>
      <c r="J28" s="156"/>
    </row>
    <row r="29" spans="1:11" ht="18" customHeight="1">
      <c r="A29" s="131">
        <v>22</v>
      </c>
      <c r="B29" s="141" t="s">
        <v>674</v>
      </c>
      <c r="C29" s="139">
        <v>41967</v>
      </c>
      <c r="D29" s="125">
        <v>26.98</v>
      </c>
      <c r="E29" s="123" t="s">
        <v>387</v>
      </c>
      <c r="F29" s="141" t="s">
        <v>388</v>
      </c>
      <c r="G29" s="141" t="s">
        <v>674</v>
      </c>
      <c r="H29" s="139">
        <v>41967</v>
      </c>
      <c r="I29" s="125">
        <v>26.98</v>
      </c>
      <c r="J29" s="156"/>
    </row>
    <row r="30" spans="1:11" ht="18" customHeight="1">
      <c r="A30" s="131">
        <v>23</v>
      </c>
      <c r="B30" s="141" t="s">
        <v>678</v>
      </c>
      <c r="C30" s="139">
        <v>41973</v>
      </c>
      <c r="D30" s="125">
        <v>36.35</v>
      </c>
      <c r="E30" s="123" t="s">
        <v>387</v>
      </c>
      <c r="F30" s="141" t="s">
        <v>388</v>
      </c>
      <c r="G30" s="141" t="s">
        <v>678</v>
      </c>
      <c r="H30" s="139">
        <v>41973</v>
      </c>
      <c r="I30" s="125">
        <v>36.35</v>
      </c>
      <c r="J30" s="139"/>
      <c r="K30" s="125"/>
    </row>
    <row r="31" spans="1:11" ht="18" customHeight="1">
      <c r="A31" s="131">
        <v>24</v>
      </c>
      <c r="B31" s="141" t="s">
        <v>692</v>
      </c>
      <c r="C31" s="139">
        <v>41988</v>
      </c>
      <c r="D31" s="125">
        <v>61.63</v>
      </c>
      <c r="E31" s="123" t="s">
        <v>387</v>
      </c>
      <c r="F31" s="141" t="s">
        <v>388</v>
      </c>
      <c r="G31" s="141" t="s">
        <v>692</v>
      </c>
      <c r="H31" s="139">
        <v>41988</v>
      </c>
      <c r="I31" s="125">
        <v>61.63</v>
      </c>
      <c r="J31" s="156"/>
    </row>
    <row r="32" spans="1:11" ht="18" customHeight="1">
      <c r="A32" s="131">
        <v>25</v>
      </c>
      <c r="B32" s="141" t="s">
        <v>697</v>
      </c>
      <c r="C32" s="139">
        <v>41995</v>
      </c>
      <c r="D32" s="125">
        <v>47.71</v>
      </c>
      <c r="E32" s="123" t="s">
        <v>387</v>
      </c>
      <c r="F32" s="141" t="s">
        <v>388</v>
      </c>
      <c r="G32" s="141" t="s">
        <v>697</v>
      </c>
      <c r="H32" s="139">
        <v>41995</v>
      </c>
      <c r="I32" s="125">
        <v>47.71</v>
      </c>
      <c r="J32" s="156"/>
    </row>
    <row r="33" spans="1:10" ht="18" customHeight="1">
      <c r="A33" s="131">
        <v>26</v>
      </c>
      <c r="B33" s="141" t="s">
        <v>707</v>
      </c>
      <c r="C33" s="139">
        <v>42003</v>
      </c>
      <c r="D33" s="125">
        <v>54.5</v>
      </c>
      <c r="E33" s="123" t="s">
        <v>387</v>
      </c>
      <c r="F33" s="141" t="s">
        <v>388</v>
      </c>
      <c r="G33" s="141" t="s">
        <v>707</v>
      </c>
      <c r="H33" s="139">
        <v>42003</v>
      </c>
      <c r="I33" s="125">
        <v>54.5</v>
      </c>
      <c r="J33" s="156"/>
    </row>
    <row r="34" spans="1:10" ht="18" customHeight="1">
      <c r="A34" s="131">
        <v>27</v>
      </c>
      <c r="B34" s="141" t="s">
        <v>715</v>
      </c>
      <c r="C34" s="139">
        <v>42009</v>
      </c>
      <c r="D34" s="125">
        <v>73.5</v>
      </c>
      <c r="E34" s="123" t="s">
        <v>387</v>
      </c>
      <c r="F34" s="141" t="s">
        <v>388</v>
      </c>
      <c r="G34" s="141" t="s">
        <v>715</v>
      </c>
      <c r="H34" s="139">
        <v>42009</v>
      </c>
      <c r="I34" s="125">
        <v>73.5</v>
      </c>
      <c r="J34" s="156"/>
    </row>
    <row r="35" spans="1:10" ht="18" customHeight="1">
      <c r="A35" s="131">
        <v>28</v>
      </c>
      <c r="B35" s="141" t="s">
        <v>717</v>
      </c>
      <c r="C35" s="139">
        <v>42016</v>
      </c>
      <c r="D35" s="125">
        <v>102.28</v>
      </c>
      <c r="E35" s="123" t="s">
        <v>387</v>
      </c>
      <c r="F35" s="141" t="s">
        <v>388</v>
      </c>
      <c r="G35" s="141" t="s">
        <v>717</v>
      </c>
      <c r="H35" s="139">
        <v>42016</v>
      </c>
      <c r="I35" s="125">
        <v>102.28</v>
      </c>
      <c r="J35" s="156"/>
    </row>
    <row r="36" spans="1:10" ht="18" customHeight="1">
      <c r="A36" s="131">
        <v>29</v>
      </c>
      <c r="B36" s="141" t="s">
        <v>719</v>
      </c>
      <c r="C36" s="139">
        <v>42024</v>
      </c>
      <c r="D36" s="125">
        <v>39.92</v>
      </c>
      <c r="E36" s="123" t="s">
        <v>387</v>
      </c>
      <c r="F36" s="141" t="s">
        <v>388</v>
      </c>
      <c r="G36" s="141" t="s">
        <v>719</v>
      </c>
      <c r="H36" s="139">
        <v>42024</v>
      </c>
      <c r="I36" s="125">
        <v>39.92</v>
      </c>
      <c r="J36" s="156"/>
    </row>
    <row r="37" spans="1:10" ht="18" customHeight="1">
      <c r="A37" s="131">
        <v>30</v>
      </c>
      <c r="B37" s="141" t="s">
        <v>722</v>
      </c>
      <c r="C37" s="139">
        <v>42031</v>
      </c>
      <c r="D37" s="125">
        <v>62.39</v>
      </c>
      <c r="E37" s="123" t="s">
        <v>387</v>
      </c>
      <c r="F37" s="141" t="s">
        <v>388</v>
      </c>
      <c r="G37" s="141" t="s">
        <v>722</v>
      </c>
      <c r="H37" s="139">
        <v>42031</v>
      </c>
      <c r="I37" s="125">
        <v>62.39</v>
      </c>
      <c r="J37" s="156"/>
    </row>
    <row r="38" spans="1:10" ht="18" customHeight="1">
      <c r="A38" s="131">
        <v>31</v>
      </c>
      <c r="B38" s="141" t="s">
        <v>709</v>
      </c>
      <c r="C38" s="139">
        <v>42040</v>
      </c>
      <c r="D38" s="125">
        <v>56.55</v>
      </c>
      <c r="E38" s="123" t="s">
        <v>387</v>
      </c>
      <c r="F38" s="141" t="s">
        <v>388</v>
      </c>
      <c r="G38" s="141" t="s">
        <v>709</v>
      </c>
      <c r="H38" s="139">
        <v>42040</v>
      </c>
      <c r="I38" s="125">
        <v>56.55</v>
      </c>
      <c r="J38" s="156"/>
    </row>
    <row r="39" spans="1:10" ht="18" customHeight="1">
      <c r="A39" s="131">
        <v>32</v>
      </c>
      <c r="B39" s="141" t="s">
        <v>711</v>
      </c>
      <c r="C39" s="139">
        <v>42045</v>
      </c>
      <c r="D39" s="125">
        <v>29.21</v>
      </c>
      <c r="E39" s="123" t="s">
        <v>387</v>
      </c>
      <c r="F39" s="141" t="s">
        <v>388</v>
      </c>
      <c r="G39" s="141" t="s">
        <v>711</v>
      </c>
      <c r="H39" s="139">
        <v>42045</v>
      </c>
      <c r="I39" s="125">
        <v>29.21</v>
      </c>
      <c r="J39" s="156"/>
    </row>
    <row r="40" spans="1:10" ht="18" customHeight="1">
      <c r="A40" s="131">
        <v>33</v>
      </c>
      <c r="B40" s="141" t="s">
        <v>713</v>
      </c>
      <c r="C40" s="139">
        <v>42059</v>
      </c>
      <c r="D40" s="125">
        <v>102.92</v>
      </c>
      <c r="E40" s="123" t="s">
        <v>387</v>
      </c>
      <c r="F40" s="141" t="s">
        <v>388</v>
      </c>
      <c r="G40" s="141" t="s">
        <v>713</v>
      </c>
      <c r="H40" s="139">
        <v>42059</v>
      </c>
      <c r="I40" s="125">
        <v>102.92</v>
      </c>
      <c r="J40" s="156"/>
    </row>
    <row r="41" spans="1:10" ht="24">
      <c r="A41" s="353" t="s">
        <v>724</v>
      </c>
      <c r="B41" s="354"/>
      <c r="C41" s="157"/>
      <c r="D41" s="146">
        <f>SUM(D8:D40)</f>
        <v>1831.4500000000003</v>
      </c>
      <c r="E41" s="147"/>
      <c r="F41" s="147"/>
      <c r="G41" s="148"/>
      <c r="H41" s="157"/>
      <c r="I41" s="146">
        <f>SUM(I8:I40)</f>
        <v>1831.4500000000003</v>
      </c>
      <c r="J41" s="158"/>
    </row>
    <row r="44" spans="1:10" ht="21">
      <c r="E44" s="126" t="s">
        <v>387</v>
      </c>
      <c r="F44" s="133" t="s">
        <v>388</v>
      </c>
      <c r="G44" s="136" t="s">
        <v>400</v>
      </c>
      <c r="H44" s="134">
        <v>41619</v>
      </c>
      <c r="I44" s="1">
        <v>5</v>
      </c>
    </row>
  </sheetData>
  <mergeCells count="13">
    <mergeCell ref="A41:B41"/>
    <mergeCell ref="A1:J1"/>
    <mergeCell ref="A2:J2"/>
    <mergeCell ref="A3:E3"/>
    <mergeCell ref="A4:D4"/>
    <mergeCell ref="A5:A7"/>
    <mergeCell ref="B5:D5"/>
    <mergeCell ref="E5:I5"/>
    <mergeCell ref="J5:J7"/>
    <mergeCell ref="B6:D6"/>
    <mergeCell ref="E6:E7"/>
    <mergeCell ref="F6:F7"/>
    <mergeCell ref="G6:I6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J459"/>
  <sheetViews>
    <sheetView workbookViewId="0">
      <selection activeCell="A11" sqref="A11"/>
    </sheetView>
  </sheetViews>
  <sheetFormatPr defaultColWidth="8.77734375" defaultRowHeight="13.2"/>
  <cols>
    <col min="1" max="1" width="6.6640625" style="58" customWidth="1"/>
    <col min="2" max="2" width="12.33203125" style="58" customWidth="1"/>
    <col min="3" max="3" width="12.44140625" style="58" customWidth="1"/>
    <col min="4" max="4" width="13.33203125" style="58" customWidth="1"/>
    <col min="5" max="5" width="16.88671875" style="58" customWidth="1"/>
    <col min="6" max="6" width="14" style="58" customWidth="1"/>
    <col min="7" max="7" width="11" style="58" customWidth="1"/>
    <col min="8" max="8" width="8.77734375" style="58"/>
    <col min="9" max="9" width="12.88671875" style="58" customWidth="1"/>
    <col min="10" max="16384" width="8.77734375" style="58"/>
  </cols>
  <sheetData>
    <row r="1" spans="1:10" ht="33.6">
      <c r="A1" s="374" t="s">
        <v>10</v>
      </c>
      <c r="B1" s="374"/>
      <c r="C1" s="374"/>
      <c r="D1" s="374"/>
      <c r="E1" s="374"/>
      <c r="F1" s="374"/>
      <c r="G1" s="374"/>
      <c r="H1" s="374"/>
      <c r="I1" s="374"/>
      <c r="J1" s="375"/>
    </row>
    <row r="2" spans="1:10" ht="33.6">
      <c r="A2" s="374" t="s">
        <v>16</v>
      </c>
      <c r="B2" s="374"/>
      <c r="C2" s="374"/>
      <c r="D2" s="374"/>
      <c r="E2" s="374"/>
      <c r="F2" s="374"/>
      <c r="G2" s="374"/>
      <c r="H2" s="374"/>
      <c r="I2" s="374"/>
      <c r="J2" s="375"/>
    </row>
    <row r="3" spans="1:10" ht="27">
      <c r="A3" s="376" t="s">
        <v>723</v>
      </c>
      <c r="B3" s="376"/>
      <c r="C3" s="376"/>
      <c r="D3" s="376"/>
      <c r="E3" s="376"/>
      <c r="F3" s="159"/>
      <c r="G3" s="159"/>
      <c r="H3" s="159"/>
      <c r="I3" s="159"/>
      <c r="J3" s="160"/>
    </row>
    <row r="4" spans="1:10" ht="27">
      <c r="A4" s="336" t="s">
        <v>49</v>
      </c>
      <c r="B4" s="336"/>
      <c r="C4" s="336"/>
      <c r="D4" s="336"/>
      <c r="E4" s="159"/>
      <c r="F4" s="159"/>
      <c r="G4" s="159"/>
      <c r="H4" s="159"/>
      <c r="I4" s="159"/>
      <c r="J4" s="160"/>
    </row>
    <row r="5" spans="1:10" ht="25.2">
      <c r="A5" s="356" t="s">
        <v>2</v>
      </c>
      <c r="B5" s="359" t="s">
        <v>11</v>
      </c>
      <c r="C5" s="360"/>
      <c r="D5" s="361"/>
      <c r="E5" s="362" t="s">
        <v>5</v>
      </c>
      <c r="F5" s="363"/>
      <c r="G5" s="363"/>
      <c r="H5" s="363"/>
      <c r="I5" s="363"/>
      <c r="J5" s="377" t="s">
        <v>15</v>
      </c>
    </row>
    <row r="6" spans="1:10" ht="25.2">
      <c r="A6" s="357"/>
      <c r="B6" s="367" t="s">
        <v>12</v>
      </c>
      <c r="C6" s="368"/>
      <c r="D6" s="369"/>
      <c r="E6" s="370" t="s">
        <v>4</v>
      </c>
      <c r="F6" s="371" t="s">
        <v>14</v>
      </c>
      <c r="G6" s="367" t="s">
        <v>12</v>
      </c>
      <c r="H6" s="368"/>
      <c r="I6" s="369"/>
      <c r="J6" s="378"/>
    </row>
    <row r="7" spans="1:10" ht="25.2">
      <c r="A7" s="358"/>
      <c r="B7" s="155" t="s">
        <v>6</v>
      </c>
      <c r="C7" s="155" t="s">
        <v>13</v>
      </c>
      <c r="D7" s="155" t="s">
        <v>3</v>
      </c>
      <c r="E7" s="371"/>
      <c r="F7" s="371"/>
      <c r="G7" s="155" t="s">
        <v>6</v>
      </c>
      <c r="H7" s="155" t="s">
        <v>13</v>
      </c>
      <c r="I7" s="155" t="s">
        <v>3</v>
      </c>
      <c r="J7" s="379"/>
    </row>
    <row r="8" spans="1:10" ht="18" customHeight="1">
      <c r="A8" s="131">
        <v>1</v>
      </c>
      <c r="B8" s="123" t="s">
        <v>55</v>
      </c>
      <c r="C8" s="124">
        <v>41246</v>
      </c>
      <c r="D8" s="125">
        <v>8.5</v>
      </c>
      <c r="E8" s="126" t="s">
        <v>51</v>
      </c>
      <c r="F8" s="123" t="s">
        <v>53</v>
      </c>
      <c r="G8" s="123" t="s">
        <v>55</v>
      </c>
      <c r="H8" s="124">
        <v>41246</v>
      </c>
      <c r="I8" s="125">
        <v>8.5</v>
      </c>
      <c r="J8" s="161"/>
    </row>
    <row r="9" spans="1:10" ht="18" customHeight="1">
      <c r="A9" s="131">
        <v>2</v>
      </c>
      <c r="B9" s="123" t="s">
        <v>56</v>
      </c>
      <c r="C9" s="124">
        <v>41246</v>
      </c>
      <c r="D9" s="125">
        <v>52.36</v>
      </c>
      <c r="E9" s="126" t="s">
        <v>51</v>
      </c>
      <c r="F9" s="123" t="s">
        <v>53</v>
      </c>
      <c r="G9" s="123" t="s">
        <v>56</v>
      </c>
      <c r="H9" s="124">
        <v>41246</v>
      </c>
      <c r="I9" s="125">
        <v>52.36</v>
      </c>
      <c r="J9" s="161"/>
    </row>
    <row r="10" spans="1:10" ht="18" customHeight="1">
      <c r="A10" s="131">
        <v>3</v>
      </c>
      <c r="B10" s="123" t="s">
        <v>60</v>
      </c>
      <c r="C10" s="124">
        <v>41255</v>
      </c>
      <c r="D10" s="125">
        <v>21.2</v>
      </c>
      <c r="E10" s="126" t="s">
        <v>51</v>
      </c>
      <c r="F10" s="123" t="s">
        <v>53</v>
      </c>
      <c r="G10" s="123" t="s">
        <v>60</v>
      </c>
      <c r="H10" s="124">
        <v>41255</v>
      </c>
      <c r="I10" s="125">
        <v>21.2</v>
      </c>
      <c r="J10" s="161"/>
    </row>
    <row r="11" spans="1:10" ht="18" customHeight="1">
      <c r="A11" s="131">
        <v>4</v>
      </c>
      <c r="B11" s="123" t="s">
        <v>61</v>
      </c>
      <c r="C11" s="124">
        <v>41255</v>
      </c>
      <c r="D11" s="125">
        <v>29.57</v>
      </c>
      <c r="E11" s="126" t="s">
        <v>51</v>
      </c>
      <c r="F11" s="123" t="s">
        <v>53</v>
      </c>
      <c r="G11" s="123" t="s">
        <v>61</v>
      </c>
      <c r="H11" s="124">
        <v>41255</v>
      </c>
      <c r="I11" s="125">
        <v>29.57</v>
      </c>
      <c r="J11" s="161"/>
    </row>
    <row r="12" spans="1:10" ht="18" customHeight="1">
      <c r="A12" s="131">
        <v>5</v>
      </c>
      <c r="B12" s="123" t="s">
        <v>62</v>
      </c>
      <c r="C12" s="124">
        <v>41260</v>
      </c>
      <c r="D12" s="125">
        <v>34.24</v>
      </c>
      <c r="E12" s="126" t="s">
        <v>51</v>
      </c>
      <c r="F12" s="123" t="s">
        <v>53</v>
      </c>
      <c r="G12" s="123" t="s">
        <v>62</v>
      </c>
      <c r="H12" s="124">
        <v>41260</v>
      </c>
      <c r="I12" s="125">
        <v>34.24</v>
      </c>
      <c r="J12" s="161"/>
    </row>
    <row r="13" spans="1:10" ht="18" customHeight="1">
      <c r="A13" s="131">
        <v>6</v>
      </c>
      <c r="B13" s="123" t="s">
        <v>63</v>
      </c>
      <c r="C13" s="124">
        <v>41260</v>
      </c>
      <c r="D13" s="125">
        <v>8.93</v>
      </c>
      <c r="E13" s="126" t="s">
        <v>51</v>
      </c>
      <c r="F13" s="123" t="s">
        <v>53</v>
      </c>
      <c r="G13" s="123" t="s">
        <v>63</v>
      </c>
      <c r="H13" s="124">
        <v>41260</v>
      </c>
      <c r="I13" s="125">
        <v>8.93</v>
      </c>
      <c r="J13" s="161"/>
    </row>
    <row r="14" spans="1:10" ht="18" customHeight="1">
      <c r="A14" s="131">
        <v>7</v>
      </c>
      <c r="B14" s="123" t="s">
        <v>64</v>
      </c>
      <c r="C14" s="124">
        <v>41260</v>
      </c>
      <c r="D14" s="125">
        <v>27.62</v>
      </c>
      <c r="E14" s="126" t="s">
        <v>51</v>
      </c>
      <c r="F14" s="123" t="s">
        <v>53</v>
      </c>
      <c r="G14" s="123" t="s">
        <v>64</v>
      </c>
      <c r="H14" s="124">
        <v>41260</v>
      </c>
      <c r="I14" s="125">
        <v>27.62</v>
      </c>
      <c r="J14" s="161"/>
    </row>
    <row r="15" spans="1:10" ht="18" customHeight="1">
      <c r="A15" s="131">
        <v>8</v>
      </c>
      <c r="B15" s="123" t="s">
        <v>69</v>
      </c>
      <c r="C15" s="124">
        <v>41261</v>
      </c>
      <c r="D15" s="125">
        <v>57.77</v>
      </c>
      <c r="E15" s="126" t="s">
        <v>51</v>
      </c>
      <c r="F15" s="123" t="s">
        <v>53</v>
      </c>
      <c r="G15" s="123" t="s">
        <v>69</v>
      </c>
      <c r="H15" s="124">
        <v>41261</v>
      </c>
      <c r="I15" s="125">
        <v>57.77</v>
      </c>
      <c r="J15" s="161"/>
    </row>
    <row r="16" spans="1:10" ht="18" customHeight="1">
      <c r="A16" s="131">
        <v>9</v>
      </c>
      <c r="B16" s="123" t="s">
        <v>70</v>
      </c>
      <c r="C16" s="124">
        <v>41261</v>
      </c>
      <c r="D16" s="125">
        <v>24</v>
      </c>
      <c r="E16" s="126" t="s">
        <v>51</v>
      </c>
      <c r="F16" s="123" t="s">
        <v>53</v>
      </c>
      <c r="G16" s="123" t="s">
        <v>70</v>
      </c>
      <c r="H16" s="124">
        <v>41261</v>
      </c>
      <c r="I16" s="125">
        <v>24</v>
      </c>
      <c r="J16" s="161"/>
    </row>
    <row r="17" spans="1:10" ht="18" customHeight="1">
      <c r="A17" s="131">
        <v>10</v>
      </c>
      <c r="B17" s="123" t="s">
        <v>71</v>
      </c>
      <c r="C17" s="124">
        <v>41261</v>
      </c>
      <c r="D17" s="125">
        <v>28.88</v>
      </c>
      <c r="E17" s="126" t="s">
        <v>51</v>
      </c>
      <c r="F17" s="123" t="s">
        <v>53</v>
      </c>
      <c r="G17" s="123" t="s">
        <v>71</v>
      </c>
      <c r="H17" s="124">
        <v>41261</v>
      </c>
      <c r="I17" s="125">
        <v>28.88</v>
      </c>
      <c r="J17" s="161"/>
    </row>
    <row r="18" spans="1:10" ht="18" customHeight="1">
      <c r="A18" s="131">
        <v>11</v>
      </c>
      <c r="B18" s="123" t="s">
        <v>74</v>
      </c>
      <c r="C18" s="124">
        <v>41274</v>
      </c>
      <c r="D18" s="125">
        <v>24</v>
      </c>
      <c r="E18" s="126" t="s">
        <v>51</v>
      </c>
      <c r="F18" s="123" t="s">
        <v>53</v>
      </c>
      <c r="G18" s="123" t="s">
        <v>74</v>
      </c>
      <c r="H18" s="124">
        <v>41274</v>
      </c>
      <c r="I18" s="125">
        <v>24</v>
      </c>
      <c r="J18" s="161"/>
    </row>
    <row r="19" spans="1:10" ht="18" customHeight="1">
      <c r="A19" s="131">
        <v>12</v>
      </c>
      <c r="B19" s="123" t="s">
        <v>75</v>
      </c>
      <c r="C19" s="124">
        <v>41274</v>
      </c>
      <c r="D19" s="125">
        <v>36.26</v>
      </c>
      <c r="E19" s="126" t="s">
        <v>51</v>
      </c>
      <c r="F19" s="123" t="s">
        <v>53</v>
      </c>
      <c r="G19" s="123" t="s">
        <v>75</v>
      </c>
      <c r="H19" s="124">
        <v>41274</v>
      </c>
      <c r="I19" s="125">
        <v>36.26</v>
      </c>
      <c r="J19" s="161"/>
    </row>
    <row r="20" spans="1:10" ht="18" customHeight="1">
      <c r="A20" s="131">
        <v>13</v>
      </c>
      <c r="B20" s="123" t="s">
        <v>79</v>
      </c>
      <c r="C20" s="124">
        <v>41225</v>
      </c>
      <c r="D20" s="125">
        <v>24.64</v>
      </c>
      <c r="E20" s="126" t="s">
        <v>51</v>
      </c>
      <c r="F20" s="123" t="s">
        <v>53</v>
      </c>
      <c r="G20" s="123" t="s">
        <v>79</v>
      </c>
      <c r="H20" s="124">
        <v>41225</v>
      </c>
      <c r="I20" s="125">
        <v>24.64</v>
      </c>
      <c r="J20" s="161"/>
    </row>
    <row r="21" spans="1:10" ht="18" customHeight="1">
      <c r="A21" s="131">
        <v>14</v>
      </c>
      <c r="B21" s="123" t="s">
        <v>82</v>
      </c>
      <c r="C21" s="124">
        <v>41237</v>
      </c>
      <c r="D21" s="125">
        <v>49.82</v>
      </c>
      <c r="E21" s="126" t="s">
        <v>51</v>
      </c>
      <c r="F21" s="123" t="s">
        <v>53</v>
      </c>
      <c r="G21" s="123" t="s">
        <v>82</v>
      </c>
      <c r="H21" s="124">
        <v>41237</v>
      </c>
      <c r="I21" s="125">
        <v>49.82</v>
      </c>
      <c r="J21" s="161"/>
    </row>
    <row r="22" spans="1:10" ht="18" customHeight="1">
      <c r="A22" s="131">
        <v>15</v>
      </c>
      <c r="B22" s="123" t="s">
        <v>85</v>
      </c>
      <c r="C22" s="124">
        <v>41190</v>
      </c>
      <c r="D22" s="125">
        <v>26.3</v>
      </c>
      <c r="E22" s="126" t="s">
        <v>51</v>
      </c>
      <c r="F22" s="123" t="s">
        <v>53</v>
      </c>
      <c r="G22" s="123" t="s">
        <v>85</v>
      </c>
      <c r="H22" s="124">
        <v>41190</v>
      </c>
      <c r="I22" s="125">
        <v>26.3</v>
      </c>
      <c r="J22" s="161"/>
    </row>
    <row r="23" spans="1:10" ht="18" customHeight="1">
      <c r="A23" s="131">
        <v>16</v>
      </c>
      <c r="B23" s="123" t="s">
        <v>86</v>
      </c>
      <c r="C23" s="124">
        <v>41190</v>
      </c>
      <c r="D23" s="125">
        <v>26.01</v>
      </c>
      <c r="E23" s="126" t="s">
        <v>51</v>
      </c>
      <c r="F23" s="123" t="s">
        <v>53</v>
      </c>
      <c r="G23" s="123" t="s">
        <v>86</v>
      </c>
      <c r="H23" s="124">
        <v>41190</v>
      </c>
      <c r="I23" s="125">
        <v>26.01</v>
      </c>
      <c r="J23" s="161"/>
    </row>
    <row r="24" spans="1:10" ht="18" customHeight="1">
      <c r="A24" s="131">
        <v>18</v>
      </c>
      <c r="B24" s="123" t="s">
        <v>87</v>
      </c>
      <c r="C24" s="124">
        <v>41194</v>
      </c>
      <c r="D24" s="125">
        <v>31.78</v>
      </c>
      <c r="E24" s="126" t="s">
        <v>51</v>
      </c>
      <c r="F24" s="123" t="s">
        <v>53</v>
      </c>
      <c r="G24" s="123" t="s">
        <v>87</v>
      </c>
      <c r="H24" s="124">
        <v>41194</v>
      </c>
      <c r="I24" s="125">
        <v>31.78</v>
      </c>
      <c r="J24" s="161"/>
    </row>
    <row r="25" spans="1:10" ht="18" customHeight="1">
      <c r="A25" s="131">
        <v>19</v>
      </c>
      <c r="B25" s="123" t="s">
        <v>88</v>
      </c>
      <c r="C25" s="124">
        <v>41194</v>
      </c>
      <c r="D25" s="125">
        <v>5</v>
      </c>
      <c r="E25" s="126" t="s">
        <v>51</v>
      </c>
      <c r="F25" s="123" t="s">
        <v>53</v>
      </c>
      <c r="G25" s="123" t="s">
        <v>88</v>
      </c>
      <c r="H25" s="124">
        <v>41194</v>
      </c>
      <c r="I25" s="125">
        <v>5</v>
      </c>
      <c r="J25" s="161"/>
    </row>
    <row r="26" spans="1:10" ht="18" customHeight="1">
      <c r="A26" s="131">
        <v>20</v>
      </c>
      <c r="B26" s="123" t="s">
        <v>90</v>
      </c>
      <c r="C26" s="124">
        <v>41204</v>
      </c>
      <c r="D26" s="125">
        <v>22.41</v>
      </c>
      <c r="E26" s="126" t="s">
        <v>51</v>
      </c>
      <c r="F26" s="123" t="s">
        <v>53</v>
      </c>
      <c r="G26" s="123" t="s">
        <v>90</v>
      </c>
      <c r="H26" s="124">
        <v>41204</v>
      </c>
      <c r="I26" s="125">
        <v>22.41</v>
      </c>
      <c r="J26" s="161"/>
    </row>
    <row r="27" spans="1:10" ht="18" customHeight="1">
      <c r="A27" s="131">
        <v>21</v>
      </c>
      <c r="B27" s="123" t="s">
        <v>92</v>
      </c>
      <c r="C27" s="124">
        <v>41204</v>
      </c>
      <c r="D27" s="125">
        <v>21.7</v>
      </c>
      <c r="E27" s="126" t="s">
        <v>51</v>
      </c>
      <c r="F27" s="123" t="s">
        <v>53</v>
      </c>
      <c r="G27" s="123" t="s">
        <v>92</v>
      </c>
      <c r="H27" s="124">
        <v>41204</v>
      </c>
      <c r="I27" s="125">
        <v>21.7</v>
      </c>
      <c r="J27" s="161"/>
    </row>
    <row r="28" spans="1:10" ht="18" customHeight="1">
      <c r="A28" s="131">
        <v>22</v>
      </c>
      <c r="B28" s="123" t="s">
        <v>94</v>
      </c>
      <c r="C28" s="124">
        <v>41212</v>
      </c>
      <c r="D28" s="125">
        <v>25.12</v>
      </c>
      <c r="E28" s="126" t="s">
        <v>51</v>
      </c>
      <c r="F28" s="123" t="s">
        <v>53</v>
      </c>
      <c r="G28" s="123" t="s">
        <v>94</v>
      </c>
      <c r="H28" s="124">
        <v>41212</v>
      </c>
      <c r="I28" s="125">
        <v>25.12</v>
      </c>
      <c r="J28" s="161"/>
    </row>
    <row r="29" spans="1:10" ht="18" customHeight="1">
      <c r="A29" s="131">
        <v>23</v>
      </c>
      <c r="B29" s="123" t="s">
        <v>95</v>
      </c>
      <c r="C29" s="124">
        <v>41212</v>
      </c>
      <c r="D29" s="125">
        <v>33.19</v>
      </c>
      <c r="E29" s="126" t="s">
        <v>51</v>
      </c>
      <c r="F29" s="123" t="s">
        <v>53</v>
      </c>
      <c r="G29" s="123" t="s">
        <v>95</v>
      </c>
      <c r="H29" s="124">
        <v>41212</v>
      </c>
      <c r="I29" s="125">
        <v>33.19</v>
      </c>
      <c r="J29" s="161"/>
    </row>
    <row r="30" spans="1:10" ht="18" customHeight="1">
      <c r="A30" s="131">
        <v>24</v>
      </c>
      <c r="B30" s="123" t="s">
        <v>96</v>
      </c>
      <c r="C30" s="124">
        <v>41156</v>
      </c>
      <c r="D30" s="125">
        <v>15.08</v>
      </c>
      <c r="E30" s="126" t="s">
        <v>51</v>
      </c>
      <c r="F30" s="123" t="s">
        <v>53</v>
      </c>
      <c r="G30" s="123" t="s">
        <v>96</v>
      </c>
      <c r="H30" s="124">
        <v>41156</v>
      </c>
      <c r="I30" s="125">
        <v>15.08</v>
      </c>
      <c r="J30" s="161"/>
    </row>
    <row r="31" spans="1:10" ht="18" customHeight="1">
      <c r="A31" s="131">
        <v>25</v>
      </c>
      <c r="B31" s="123" t="s">
        <v>98</v>
      </c>
      <c r="C31" s="124">
        <v>41163</v>
      </c>
      <c r="D31" s="125">
        <v>9.6199999999999992</v>
      </c>
      <c r="E31" s="126" t="s">
        <v>51</v>
      </c>
      <c r="F31" s="123" t="s">
        <v>53</v>
      </c>
      <c r="G31" s="123" t="s">
        <v>98</v>
      </c>
      <c r="H31" s="124">
        <v>41163</v>
      </c>
      <c r="I31" s="125">
        <v>9.6199999999999992</v>
      </c>
      <c r="J31" s="161"/>
    </row>
    <row r="32" spans="1:10" ht="18" customHeight="1">
      <c r="A32" s="131">
        <v>26</v>
      </c>
      <c r="B32" s="123" t="s">
        <v>99</v>
      </c>
      <c r="C32" s="124">
        <v>41164</v>
      </c>
      <c r="D32" s="125">
        <v>9.24</v>
      </c>
      <c r="E32" s="126" t="s">
        <v>51</v>
      </c>
      <c r="F32" s="123" t="s">
        <v>53</v>
      </c>
      <c r="G32" s="123" t="s">
        <v>99</v>
      </c>
      <c r="H32" s="124">
        <v>41164</v>
      </c>
      <c r="I32" s="125">
        <v>9.24</v>
      </c>
      <c r="J32" s="161"/>
    </row>
    <row r="33" spans="1:10" ht="18" customHeight="1">
      <c r="A33" s="131">
        <v>27</v>
      </c>
      <c r="B33" s="123" t="s">
        <v>101</v>
      </c>
      <c r="C33" s="124">
        <v>41170</v>
      </c>
      <c r="D33" s="125">
        <v>26.71</v>
      </c>
      <c r="E33" s="126" t="s">
        <v>51</v>
      </c>
      <c r="F33" s="123" t="s">
        <v>53</v>
      </c>
      <c r="G33" s="123" t="s">
        <v>101</v>
      </c>
      <c r="H33" s="124">
        <v>41170</v>
      </c>
      <c r="I33" s="125">
        <v>26.71</v>
      </c>
      <c r="J33" s="161"/>
    </row>
    <row r="34" spans="1:10" ht="18" customHeight="1">
      <c r="A34" s="131">
        <v>28</v>
      </c>
      <c r="B34" s="123" t="s">
        <v>102</v>
      </c>
      <c r="C34" s="124">
        <v>41170</v>
      </c>
      <c r="D34" s="125">
        <v>34.479999999999997</v>
      </c>
      <c r="E34" s="126" t="s">
        <v>51</v>
      </c>
      <c r="F34" s="123" t="s">
        <v>53</v>
      </c>
      <c r="G34" s="123" t="s">
        <v>102</v>
      </c>
      <c r="H34" s="124">
        <v>41170</v>
      </c>
      <c r="I34" s="125">
        <v>34.479999999999997</v>
      </c>
      <c r="J34" s="161"/>
    </row>
    <row r="35" spans="1:10" ht="18" customHeight="1">
      <c r="A35" s="131">
        <v>29</v>
      </c>
      <c r="B35" s="123" t="s">
        <v>104</v>
      </c>
      <c r="C35" s="124">
        <v>41177</v>
      </c>
      <c r="D35" s="125">
        <v>48.74</v>
      </c>
      <c r="E35" s="126" t="s">
        <v>51</v>
      </c>
      <c r="F35" s="123" t="s">
        <v>53</v>
      </c>
      <c r="G35" s="123" t="s">
        <v>104</v>
      </c>
      <c r="H35" s="124">
        <v>41177</v>
      </c>
      <c r="I35" s="125">
        <v>48.74</v>
      </c>
      <c r="J35" s="161"/>
    </row>
    <row r="36" spans="1:10" ht="18" customHeight="1">
      <c r="A36" s="131">
        <v>30</v>
      </c>
      <c r="B36" s="123" t="s">
        <v>105</v>
      </c>
      <c r="C36" s="124">
        <v>41178</v>
      </c>
      <c r="D36" s="125">
        <v>23.06</v>
      </c>
      <c r="E36" s="126" t="s">
        <v>51</v>
      </c>
      <c r="F36" s="123" t="s">
        <v>53</v>
      </c>
      <c r="G36" s="123" t="s">
        <v>105</v>
      </c>
      <c r="H36" s="124">
        <v>41178</v>
      </c>
      <c r="I36" s="125">
        <v>23.06</v>
      </c>
      <c r="J36" s="161"/>
    </row>
    <row r="37" spans="1:10" ht="18" customHeight="1">
      <c r="A37" s="131">
        <v>31</v>
      </c>
      <c r="B37" s="123" t="s">
        <v>106</v>
      </c>
      <c r="C37" s="124">
        <v>41182</v>
      </c>
      <c r="D37" s="125">
        <v>22.2</v>
      </c>
      <c r="E37" s="126" t="s">
        <v>51</v>
      </c>
      <c r="F37" s="123" t="s">
        <v>53</v>
      </c>
      <c r="G37" s="123" t="s">
        <v>106</v>
      </c>
      <c r="H37" s="124">
        <v>41182</v>
      </c>
      <c r="I37" s="125">
        <v>22.2</v>
      </c>
      <c r="J37" s="161"/>
    </row>
    <row r="38" spans="1:10" ht="18" customHeight="1">
      <c r="A38" s="131">
        <v>32</v>
      </c>
      <c r="B38" s="123" t="s">
        <v>107</v>
      </c>
      <c r="C38" s="124">
        <v>41182</v>
      </c>
      <c r="D38" s="125">
        <v>2.5</v>
      </c>
      <c r="E38" s="126" t="s">
        <v>51</v>
      </c>
      <c r="F38" s="123" t="s">
        <v>53</v>
      </c>
      <c r="G38" s="123" t="s">
        <v>107</v>
      </c>
      <c r="H38" s="124">
        <v>41182</v>
      </c>
      <c r="I38" s="125">
        <v>2.5</v>
      </c>
      <c r="J38" s="161"/>
    </row>
    <row r="39" spans="1:10" ht="18" customHeight="1">
      <c r="A39" s="131">
        <v>33</v>
      </c>
      <c r="B39" s="123" t="s">
        <v>108</v>
      </c>
      <c r="C39" s="124">
        <v>41182</v>
      </c>
      <c r="D39" s="125">
        <v>18.09</v>
      </c>
      <c r="E39" s="126" t="s">
        <v>51</v>
      </c>
      <c r="F39" s="123" t="s">
        <v>53</v>
      </c>
      <c r="G39" s="123" t="s">
        <v>108</v>
      </c>
      <c r="H39" s="124">
        <v>41182</v>
      </c>
      <c r="I39" s="125">
        <v>18.09</v>
      </c>
      <c r="J39" s="161"/>
    </row>
    <row r="40" spans="1:10" ht="18" customHeight="1">
      <c r="A40" s="131">
        <v>34</v>
      </c>
      <c r="B40" s="123" t="s">
        <v>110</v>
      </c>
      <c r="C40" s="124">
        <v>41128</v>
      </c>
      <c r="D40" s="125">
        <v>2.7</v>
      </c>
      <c r="E40" s="126" t="s">
        <v>51</v>
      </c>
      <c r="F40" s="123" t="s">
        <v>53</v>
      </c>
      <c r="G40" s="123" t="s">
        <v>110</v>
      </c>
      <c r="H40" s="124">
        <v>41128</v>
      </c>
      <c r="I40" s="125">
        <v>2.7</v>
      </c>
      <c r="J40" s="161"/>
    </row>
    <row r="41" spans="1:10" ht="18" customHeight="1">
      <c r="A41" s="131">
        <v>35</v>
      </c>
      <c r="B41" s="123" t="s">
        <v>112</v>
      </c>
      <c r="C41" s="124">
        <v>41135</v>
      </c>
      <c r="D41" s="125">
        <v>3.87</v>
      </c>
      <c r="E41" s="126" t="s">
        <v>51</v>
      </c>
      <c r="F41" s="123" t="s">
        <v>53</v>
      </c>
      <c r="G41" s="123" t="s">
        <v>112</v>
      </c>
      <c r="H41" s="124">
        <v>41135</v>
      </c>
      <c r="I41" s="125">
        <v>3.87</v>
      </c>
      <c r="J41" s="161"/>
    </row>
    <row r="42" spans="1:10" ht="18" customHeight="1">
      <c r="A42" s="131">
        <v>36</v>
      </c>
      <c r="B42" s="123" t="s">
        <v>114</v>
      </c>
      <c r="C42" s="124">
        <v>41142</v>
      </c>
      <c r="D42" s="125">
        <v>11.58</v>
      </c>
      <c r="E42" s="126" t="s">
        <v>51</v>
      </c>
      <c r="F42" s="123" t="s">
        <v>53</v>
      </c>
      <c r="G42" s="123" t="s">
        <v>114</v>
      </c>
      <c r="H42" s="124">
        <v>41142</v>
      </c>
      <c r="I42" s="125">
        <v>11.58</v>
      </c>
      <c r="J42" s="161"/>
    </row>
    <row r="43" spans="1:10" ht="18" customHeight="1">
      <c r="A43" s="131">
        <v>37</v>
      </c>
      <c r="B43" s="123" t="s">
        <v>118</v>
      </c>
      <c r="C43" s="124">
        <v>41100</v>
      </c>
      <c r="D43" s="125">
        <v>5.09</v>
      </c>
      <c r="E43" s="126" t="s">
        <v>51</v>
      </c>
      <c r="F43" s="123" t="s">
        <v>53</v>
      </c>
      <c r="G43" s="123" t="s">
        <v>118</v>
      </c>
      <c r="H43" s="124">
        <v>41100</v>
      </c>
      <c r="I43" s="125">
        <v>5.09</v>
      </c>
      <c r="J43" s="161"/>
    </row>
    <row r="44" spans="1:10" ht="18" customHeight="1">
      <c r="A44" s="131">
        <v>38</v>
      </c>
      <c r="B44" s="123" t="s">
        <v>119</v>
      </c>
      <c r="C44" s="124">
        <v>41106</v>
      </c>
      <c r="D44" s="125">
        <v>8.14</v>
      </c>
      <c r="E44" s="126" t="s">
        <v>51</v>
      </c>
      <c r="F44" s="123" t="s">
        <v>53</v>
      </c>
      <c r="G44" s="123" t="s">
        <v>119</v>
      </c>
      <c r="H44" s="124">
        <v>41106</v>
      </c>
      <c r="I44" s="125">
        <v>8.14</v>
      </c>
      <c r="J44" s="161"/>
    </row>
    <row r="45" spans="1:10" ht="18" customHeight="1">
      <c r="A45" s="131">
        <v>39</v>
      </c>
      <c r="B45" s="123" t="s">
        <v>121</v>
      </c>
      <c r="C45" s="124">
        <v>41107</v>
      </c>
      <c r="D45" s="125">
        <v>21.57</v>
      </c>
      <c r="E45" s="126" t="s">
        <v>51</v>
      </c>
      <c r="F45" s="123" t="s">
        <v>53</v>
      </c>
      <c r="G45" s="123" t="s">
        <v>121</v>
      </c>
      <c r="H45" s="124">
        <v>41107</v>
      </c>
      <c r="I45" s="125">
        <v>21.57</v>
      </c>
      <c r="J45" s="161"/>
    </row>
    <row r="46" spans="1:10" ht="18" customHeight="1">
      <c r="A46" s="131">
        <v>40</v>
      </c>
      <c r="B46" s="123" t="s">
        <v>123</v>
      </c>
      <c r="C46" s="124">
        <v>41113</v>
      </c>
      <c r="D46" s="125">
        <v>8.8699999999999992</v>
      </c>
      <c r="E46" s="126" t="s">
        <v>51</v>
      </c>
      <c r="F46" s="123" t="s">
        <v>53</v>
      </c>
      <c r="G46" s="123" t="s">
        <v>123</v>
      </c>
      <c r="H46" s="124">
        <v>41113</v>
      </c>
      <c r="I46" s="125">
        <v>8.8699999999999992</v>
      </c>
      <c r="J46" s="161"/>
    </row>
    <row r="47" spans="1:10" ht="18" customHeight="1">
      <c r="A47" s="131">
        <v>41</v>
      </c>
      <c r="B47" s="123" t="s">
        <v>124</v>
      </c>
      <c r="C47" s="124">
        <v>41113</v>
      </c>
      <c r="D47" s="125">
        <v>3.88</v>
      </c>
      <c r="E47" s="126" t="s">
        <v>51</v>
      </c>
      <c r="F47" s="123" t="s">
        <v>53</v>
      </c>
      <c r="G47" s="123" t="s">
        <v>124</v>
      </c>
      <c r="H47" s="124">
        <v>41113</v>
      </c>
      <c r="I47" s="125">
        <v>3.88</v>
      </c>
      <c r="J47" s="161"/>
    </row>
    <row r="48" spans="1:10" ht="18" customHeight="1">
      <c r="A48" s="131">
        <v>42</v>
      </c>
      <c r="B48" s="123" t="s">
        <v>128</v>
      </c>
      <c r="C48" s="124">
        <v>41121</v>
      </c>
      <c r="D48" s="125">
        <v>23.99</v>
      </c>
      <c r="E48" s="126" t="s">
        <v>51</v>
      </c>
      <c r="F48" s="123" t="s">
        <v>53</v>
      </c>
      <c r="G48" s="123" t="s">
        <v>128</v>
      </c>
      <c r="H48" s="124">
        <v>41121</v>
      </c>
      <c r="I48" s="125">
        <v>23.99</v>
      </c>
      <c r="J48" s="161"/>
    </row>
    <row r="49" spans="1:10" ht="18" customHeight="1">
      <c r="A49" s="131">
        <v>43</v>
      </c>
      <c r="B49" s="136" t="s">
        <v>131</v>
      </c>
      <c r="C49" s="134">
        <v>41267</v>
      </c>
      <c r="D49" s="1">
        <v>86.04</v>
      </c>
      <c r="E49" s="126" t="s">
        <v>51</v>
      </c>
      <c r="F49" s="123" t="s">
        <v>53</v>
      </c>
      <c r="G49" s="136" t="s">
        <v>131</v>
      </c>
      <c r="H49" s="134">
        <v>41267</v>
      </c>
      <c r="I49" s="1">
        <v>86.04</v>
      </c>
      <c r="J49" s="161"/>
    </row>
    <row r="50" spans="1:10" ht="18" customHeight="1">
      <c r="A50" s="131">
        <v>44</v>
      </c>
      <c r="B50" s="136" t="s">
        <v>132</v>
      </c>
      <c r="C50" s="134">
        <v>41268</v>
      </c>
      <c r="D50" s="1">
        <v>21.2</v>
      </c>
      <c r="E50" s="126" t="s">
        <v>51</v>
      </c>
      <c r="F50" s="123" t="s">
        <v>53</v>
      </c>
      <c r="G50" s="136" t="s">
        <v>132</v>
      </c>
      <c r="H50" s="134">
        <v>41268</v>
      </c>
      <c r="I50" s="1">
        <v>21.2</v>
      </c>
      <c r="J50" s="161"/>
    </row>
    <row r="51" spans="1:10" ht="18" customHeight="1">
      <c r="A51" s="131">
        <v>45</v>
      </c>
      <c r="B51" s="136" t="s">
        <v>133</v>
      </c>
      <c r="C51" s="134">
        <v>41281</v>
      </c>
      <c r="D51" s="1">
        <v>23.7</v>
      </c>
      <c r="E51" s="126" t="s">
        <v>51</v>
      </c>
      <c r="F51" s="123" t="s">
        <v>53</v>
      </c>
      <c r="G51" s="136" t="s">
        <v>133</v>
      </c>
      <c r="H51" s="134">
        <v>41281</v>
      </c>
      <c r="I51" s="1">
        <v>23.7</v>
      </c>
      <c r="J51" s="161"/>
    </row>
    <row r="52" spans="1:10" ht="18" customHeight="1">
      <c r="A52" s="131">
        <v>46</v>
      </c>
      <c r="B52" s="136" t="s">
        <v>136</v>
      </c>
      <c r="C52" s="134">
        <v>41281</v>
      </c>
      <c r="D52" s="1">
        <v>28.45</v>
      </c>
      <c r="E52" s="126" t="s">
        <v>51</v>
      </c>
      <c r="F52" s="123" t="s">
        <v>53</v>
      </c>
      <c r="G52" s="136" t="s">
        <v>136</v>
      </c>
      <c r="H52" s="134">
        <v>41281</v>
      </c>
      <c r="I52" s="1">
        <v>28.45</v>
      </c>
      <c r="J52" s="161"/>
    </row>
    <row r="53" spans="1:10" ht="18" customHeight="1">
      <c r="A53" s="131">
        <v>47</v>
      </c>
      <c r="B53" s="136" t="s">
        <v>133</v>
      </c>
      <c r="C53" s="134">
        <v>41281</v>
      </c>
      <c r="D53" s="1">
        <v>23.7</v>
      </c>
      <c r="E53" s="126" t="s">
        <v>51</v>
      </c>
      <c r="F53" s="123" t="s">
        <v>53</v>
      </c>
      <c r="G53" s="136" t="s">
        <v>133</v>
      </c>
      <c r="H53" s="134">
        <v>41281</v>
      </c>
      <c r="I53" s="1">
        <v>23.7</v>
      </c>
      <c r="J53" s="161"/>
    </row>
    <row r="54" spans="1:10" ht="18" customHeight="1">
      <c r="A54" s="131">
        <v>48</v>
      </c>
      <c r="B54" s="136" t="s">
        <v>137</v>
      </c>
      <c r="C54" s="134">
        <v>41282</v>
      </c>
      <c r="D54" s="1">
        <v>28.76</v>
      </c>
      <c r="E54" s="126" t="s">
        <v>51</v>
      </c>
      <c r="F54" s="123" t="s">
        <v>53</v>
      </c>
      <c r="G54" s="136" t="s">
        <v>137</v>
      </c>
      <c r="H54" s="134">
        <v>41282</v>
      </c>
      <c r="I54" s="1">
        <v>28.76</v>
      </c>
      <c r="J54" s="161"/>
    </row>
    <row r="55" spans="1:10" ht="18" customHeight="1">
      <c r="A55" s="131">
        <v>49</v>
      </c>
      <c r="B55" s="136" t="s">
        <v>142</v>
      </c>
      <c r="C55" s="134">
        <v>41289</v>
      </c>
      <c r="D55" s="1">
        <v>27.42</v>
      </c>
      <c r="E55" s="126" t="s">
        <v>51</v>
      </c>
      <c r="F55" s="123" t="s">
        <v>53</v>
      </c>
      <c r="G55" s="136" t="s">
        <v>142</v>
      </c>
      <c r="H55" s="134">
        <v>41289</v>
      </c>
      <c r="I55" s="1">
        <v>27.42</v>
      </c>
      <c r="J55" s="161"/>
    </row>
    <row r="56" spans="1:10" ht="18" customHeight="1">
      <c r="A56" s="131">
        <v>50</v>
      </c>
      <c r="B56" s="136" t="s">
        <v>143</v>
      </c>
      <c r="C56" s="134">
        <v>41289</v>
      </c>
      <c r="D56" s="1">
        <v>21.46</v>
      </c>
      <c r="E56" s="126" t="s">
        <v>51</v>
      </c>
      <c r="F56" s="123" t="s">
        <v>53</v>
      </c>
      <c r="G56" s="136" t="s">
        <v>143</v>
      </c>
      <c r="H56" s="134">
        <v>41289</v>
      </c>
      <c r="I56" s="1">
        <v>21.46</v>
      </c>
      <c r="J56" s="161"/>
    </row>
    <row r="57" spans="1:10" ht="18" customHeight="1">
      <c r="A57" s="131">
        <v>51</v>
      </c>
      <c r="B57" s="136" t="s">
        <v>144</v>
      </c>
      <c r="C57" s="134">
        <v>41289</v>
      </c>
      <c r="D57" s="1">
        <v>35.64</v>
      </c>
      <c r="E57" s="126" t="s">
        <v>51</v>
      </c>
      <c r="F57" s="123" t="s">
        <v>53</v>
      </c>
      <c r="G57" s="136" t="s">
        <v>144</v>
      </c>
      <c r="H57" s="134">
        <v>41289</v>
      </c>
      <c r="I57" s="1">
        <v>35.64</v>
      </c>
      <c r="J57" s="161"/>
    </row>
    <row r="58" spans="1:10" ht="18" customHeight="1">
      <c r="A58" s="131">
        <v>52</v>
      </c>
      <c r="B58" s="136" t="s">
        <v>145</v>
      </c>
      <c r="C58" s="134">
        <v>41295</v>
      </c>
      <c r="D58" s="1">
        <v>21</v>
      </c>
      <c r="E58" s="126" t="s">
        <v>51</v>
      </c>
      <c r="F58" s="123" t="s">
        <v>53</v>
      </c>
      <c r="G58" s="136" t="s">
        <v>145</v>
      </c>
      <c r="H58" s="134">
        <v>41295</v>
      </c>
      <c r="I58" s="1">
        <v>21</v>
      </c>
      <c r="J58" s="161"/>
    </row>
    <row r="59" spans="1:10" ht="18" customHeight="1">
      <c r="A59" s="131">
        <v>53</v>
      </c>
      <c r="B59" s="136" t="s">
        <v>146</v>
      </c>
      <c r="C59" s="134">
        <v>41296</v>
      </c>
      <c r="D59" s="1">
        <v>36.19</v>
      </c>
      <c r="E59" s="126" t="s">
        <v>51</v>
      </c>
      <c r="F59" s="123" t="s">
        <v>53</v>
      </c>
      <c r="G59" s="136" t="s">
        <v>146</v>
      </c>
      <c r="H59" s="134">
        <v>41296</v>
      </c>
      <c r="I59" s="1">
        <v>36.19</v>
      </c>
      <c r="J59" s="161"/>
    </row>
    <row r="60" spans="1:10" ht="18" customHeight="1">
      <c r="A60" s="131">
        <v>54</v>
      </c>
      <c r="B60" s="136" t="s">
        <v>149</v>
      </c>
      <c r="C60" s="134">
        <v>41302</v>
      </c>
      <c r="D60" s="1">
        <v>2.7</v>
      </c>
      <c r="E60" s="126" t="s">
        <v>51</v>
      </c>
      <c r="F60" s="123" t="s">
        <v>53</v>
      </c>
      <c r="G60" s="136" t="s">
        <v>149</v>
      </c>
      <c r="H60" s="134">
        <v>41302</v>
      </c>
      <c r="I60" s="1">
        <v>2.7</v>
      </c>
      <c r="J60" s="161"/>
    </row>
    <row r="61" spans="1:10" ht="18" customHeight="1">
      <c r="A61" s="131">
        <v>55</v>
      </c>
      <c r="B61" s="136" t="s">
        <v>150</v>
      </c>
      <c r="C61" s="134">
        <v>41302</v>
      </c>
      <c r="D61" s="1">
        <v>24.92</v>
      </c>
      <c r="E61" s="126" t="s">
        <v>51</v>
      </c>
      <c r="F61" s="123" t="s">
        <v>53</v>
      </c>
      <c r="G61" s="136" t="s">
        <v>150</v>
      </c>
      <c r="H61" s="134">
        <v>41302</v>
      </c>
      <c r="I61" s="1">
        <v>24.92</v>
      </c>
      <c r="J61" s="161"/>
    </row>
    <row r="62" spans="1:10" ht="18" customHeight="1">
      <c r="A62" s="131">
        <v>56</v>
      </c>
      <c r="B62" s="136" t="s">
        <v>151</v>
      </c>
      <c r="C62" s="134">
        <v>41302</v>
      </c>
      <c r="D62" s="1">
        <v>40.06</v>
      </c>
      <c r="E62" s="126" t="s">
        <v>51</v>
      </c>
      <c r="F62" s="123" t="s">
        <v>53</v>
      </c>
      <c r="G62" s="136" t="s">
        <v>151</v>
      </c>
      <c r="H62" s="134">
        <v>41302</v>
      </c>
      <c r="I62" s="1">
        <v>40.06</v>
      </c>
      <c r="J62" s="161"/>
    </row>
    <row r="63" spans="1:10" ht="18" customHeight="1">
      <c r="A63" s="131">
        <v>57</v>
      </c>
      <c r="B63" s="136" t="s">
        <v>152</v>
      </c>
      <c r="C63" s="134">
        <v>41303</v>
      </c>
      <c r="D63" s="1">
        <v>25.36</v>
      </c>
      <c r="E63" s="126" t="s">
        <v>51</v>
      </c>
      <c r="F63" s="123" t="s">
        <v>53</v>
      </c>
      <c r="G63" s="136" t="s">
        <v>152</v>
      </c>
      <c r="H63" s="134">
        <v>41303</v>
      </c>
      <c r="I63" s="1">
        <v>25.36</v>
      </c>
      <c r="J63" s="161"/>
    </row>
    <row r="64" spans="1:10" ht="18" customHeight="1">
      <c r="A64" s="131">
        <v>58</v>
      </c>
      <c r="B64" s="136" t="s">
        <v>153</v>
      </c>
      <c r="C64" s="134">
        <v>41303</v>
      </c>
      <c r="D64" s="1">
        <v>5.8</v>
      </c>
      <c r="E64" s="126" t="s">
        <v>51</v>
      </c>
      <c r="F64" s="123" t="s">
        <v>53</v>
      </c>
      <c r="G64" s="136" t="s">
        <v>153</v>
      </c>
      <c r="H64" s="134">
        <v>41303</v>
      </c>
      <c r="I64" s="1">
        <v>5.8</v>
      </c>
      <c r="J64" s="161"/>
    </row>
    <row r="65" spans="1:10" ht="18" customHeight="1">
      <c r="A65" s="131">
        <v>59</v>
      </c>
      <c r="B65" s="136" t="s">
        <v>154</v>
      </c>
      <c r="C65" s="134">
        <v>41310</v>
      </c>
      <c r="D65" s="1">
        <v>41.05</v>
      </c>
      <c r="E65" s="126" t="s">
        <v>51</v>
      </c>
      <c r="F65" s="123" t="s">
        <v>53</v>
      </c>
      <c r="G65" s="136" t="s">
        <v>154</v>
      </c>
      <c r="H65" s="134">
        <v>41310</v>
      </c>
      <c r="I65" s="1">
        <v>41.05</v>
      </c>
      <c r="J65" s="161"/>
    </row>
    <row r="66" spans="1:10" ht="18" customHeight="1">
      <c r="A66" s="131">
        <v>60</v>
      </c>
      <c r="B66" s="136" t="s">
        <v>155</v>
      </c>
      <c r="C66" s="134">
        <v>41310</v>
      </c>
      <c r="D66" s="1">
        <v>29.35</v>
      </c>
      <c r="E66" s="126" t="s">
        <v>51</v>
      </c>
      <c r="F66" s="123" t="s">
        <v>53</v>
      </c>
      <c r="G66" s="136" t="s">
        <v>155</v>
      </c>
      <c r="H66" s="134">
        <v>41310</v>
      </c>
      <c r="I66" s="1">
        <v>29.35</v>
      </c>
      <c r="J66" s="161"/>
    </row>
    <row r="67" spans="1:10" ht="18" customHeight="1">
      <c r="A67" s="131">
        <v>61</v>
      </c>
      <c r="B67" s="136" t="s">
        <v>156</v>
      </c>
      <c r="C67" s="134">
        <v>41310</v>
      </c>
      <c r="D67" s="1">
        <v>5</v>
      </c>
      <c r="E67" s="126" t="s">
        <v>51</v>
      </c>
      <c r="F67" s="123" t="s">
        <v>53</v>
      </c>
      <c r="G67" s="136" t="s">
        <v>156</v>
      </c>
      <c r="H67" s="134">
        <v>41310</v>
      </c>
      <c r="I67" s="1">
        <v>5</v>
      </c>
      <c r="J67" s="161"/>
    </row>
    <row r="68" spans="1:10" ht="18" customHeight="1">
      <c r="A68" s="131">
        <v>62</v>
      </c>
      <c r="B68" s="136" t="s">
        <v>159</v>
      </c>
      <c r="C68" s="134">
        <v>41311</v>
      </c>
      <c r="D68" s="1">
        <v>38.020000000000003</v>
      </c>
      <c r="E68" s="126" t="s">
        <v>51</v>
      </c>
      <c r="F68" s="123" t="s">
        <v>53</v>
      </c>
      <c r="G68" s="136" t="s">
        <v>159</v>
      </c>
      <c r="H68" s="134">
        <v>41311</v>
      </c>
      <c r="I68" s="1">
        <v>38.020000000000003</v>
      </c>
      <c r="J68" s="161"/>
    </row>
    <row r="69" spans="1:10" ht="18" customHeight="1">
      <c r="A69" s="131">
        <v>63</v>
      </c>
      <c r="B69" s="136" t="s">
        <v>160</v>
      </c>
      <c r="C69" s="134">
        <v>41311</v>
      </c>
      <c r="D69" s="1">
        <v>27.42</v>
      </c>
      <c r="E69" s="126" t="s">
        <v>51</v>
      </c>
      <c r="F69" s="123" t="s">
        <v>53</v>
      </c>
      <c r="G69" s="136" t="s">
        <v>160</v>
      </c>
      <c r="H69" s="134">
        <v>41311</v>
      </c>
      <c r="I69" s="1">
        <v>27.42</v>
      </c>
      <c r="J69" s="161"/>
    </row>
    <row r="70" spans="1:10" ht="18" customHeight="1">
      <c r="A70" s="131">
        <v>64</v>
      </c>
      <c r="B70" s="136" t="s">
        <v>161</v>
      </c>
      <c r="C70" s="134">
        <v>41311</v>
      </c>
      <c r="D70" s="1">
        <v>65.599999999999994</v>
      </c>
      <c r="E70" s="126" t="s">
        <v>51</v>
      </c>
      <c r="F70" s="123" t="s">
        <v>53</v>
      </c>
      <c r="G70" s="136" t="s">
        <v>161</v>
      </c>
      <c r="H70" s="134">
        <v>41311</v>
      </c>
      <c r="I70" s="1">
        <v>65.599999999999994</v>
      </c>
      <c r="J70" s="161"/>
    </row>
    <row r="71" spans="1:10" ht="18" customHeight="1">
      <c r="A71" s="131">
        <v>65</v>
      </c>
      <c r="B71" s="136" t="s">
        <v>165</v>
      </c>
      <c r="C71" s="134">
        <v>41317</v>
      </c>
      <c r="D71" s="1">
        <v>21.5</v>
      </c>
      <c r="E71" s="126" t="s">
        <v>51</v>
      </c>
      <c r="F71" s="123" t="s">
        <v>53</v>
      </c>
      <c r="G71" s="136" t="s">
        <v>165</v>
      </c>
      <c r="H71" s="134">
        <v>41317</v>
      </c>
      <c r="I71" s="1">
        <v>21.5</v>
      </c>
      <c r="J71" s="161"/>
    </row>
    <row r="72" spans="1:10" ht="18" customHeight="1">
      <c r="A72" s="131">
        <v>66</v>
      </c>
      <c r="B72" s="136" t="s">
        <v>167</v>
      </c>
      <c r="C72" s="134">
        <v>41323</v>
      </c>
      <c r="D72" s="1">
        <v>72.52</v>
      </c>
      <c r="E72" s="126" t="s">
        <v>51</v>
      </c>
      <c r="F72" s="123" t="s">
        <v>53</v>
      </c>
      <c r="G72" s="136" t="s">
        <v>167</v>
      </c>
      <c r="H72" s="134">
        <v>41323</v>
      </c>
      <c r="I72" s="1">
        <v>72.52</v>
      </c>
      <c r="J72" s="161"/>
    </row>
    <row r="73" spans="1:10" ht="18" customHeight="1">
      <c r="A73" s="131">
        <v>67</v>
      </c>
      <c r="B73" s="136" t="s">
        <v>168</v>
      </c>
      <c r="C73" s="134">
        <v>41323</v>
      </c>
      <c r="D73" s="1">
        <v>35.5</v>
      </c>
      <c r="E73" s="126" t="s">
        <v>51</v>
      </c>
      <c r="F73" s="123" t="s">
        <v>53</v>
      </c>
      <c r="G73" s="136" t="s">
        <v>168</v>
      </c>
      <c r="H73" s="134">
        <v>41323</v>
      </c>
      <c r="I73" s="1">
        <v>35.5</v>
      </c>
      <c r="J73" s="161"/>
    </row>
    <row r="74" spans="1:10" ht="18" customHeight="1">
      <c r="A74" s="131">
        <v>68</v>
      </c>
      <c r="B74" s="136" t="s">
        <v>169</v>
      </c>
      <c r="C74" s="134">
        <v>41324</v>
      </c>
      <c r="D74" s="1">
        <v>33.53</v>
      </c>
      <c r="E74" s="126" t="s">
        <v>51</v>
      </c>
      <c r="F74" s="123" t="s">
        <v>53</v>
      </c>
      <c r="G74" s="136" t="s">
        <v>169</v>
      </c>
      <c r="H74" s="134">
        <v>41324</v>
      </c>
      <c r="I74" s="1">
        <v>33.53</v>
      </c>
      <c r="J74" s="161"/>
    </row>
    <row r="75" spans="1:10" ht="18" customHeight="1">
      <c r="A75" s="131">
        <v>69</v>
      </c>
      <c r="B75" s="136" t="s">
        <v>170</v>
      </c>
      <c r="C75" s="134">
        <v>41324</v>
      </c>
      <c r="D75" s="1">
        <v>5.8</v>
      </c>
      <c r="E75" s="126" t="s">
        <v>51</v>
      </c>
      <c r="F75" s="123" t="s">
        <v>53</v>
      </c>
      <c r="G75" s="136" t="s">
        <v>170</v>
      </c>
      <c r="H75" s="134">
        <v>41324</v>
      </c>
      <c r="I75" s="1">
        <v>5.8</v>
      </c>
      <c r="J75" s="161"/>
    </row>
    <row r="76" spans="1:10" ht="18" customHeight="1">
      <c r="A76" s="131">
        <v>70</v>
      </c>
      <c r="B76" s="136" t="s">
        <v>172</v>
      </c>
      <c r="C76" s="134">
        <v>41330</v>
      </c>
      <c r="D76" s="1">
        <v>24.95</v>
      </c>
      <c r="E76" s="126" t="s">
        <v>51</v>
      </c>
      <c r="F76" s="123" t="s">
        <v>53</v>
      </c>
      <c r="G76" s="136" t="s">
        <v>172</v>
      </c>
      <c r="H76" s="134">
        <v>41330</v>
      </c>
      <c r="I76" s="1">
        <v>24.95</v>
      </c>
      <c r="J76" s="161"/>
    </row>
    <row r="77" spans="1:10" ht="18" customHeight="1">
      <c r="A77" s="131">
        <v>71</v>
      </c>
      <c r="B77" s="136" t="s">
        <v>173</v>
      </c>
      <c r="C77" s="134">
        <v>41330</v>
      </c>
      <c r="D77" s="1">
        <v>24.2</v>
      </c>
      <c r="E77" s="126" t="s">
        <v>51</v>
      </c>
      <c r="F77" s="123" t="s">
        <v>53</v>
      </c>
      <c r="G77" s="136" t="s">
        <v>173</v>
      </c>
      <c r="H77" s="134">
        <v>41330</v>
      </c>
      <c r="I77" s="1">
        <v>24.2</v>
      </c>
      <c r="J77" s="161"/>
    </row>
    <row r="78" spans="1:10" ht="18" customHeight="1">
      <c r="A78" s="131">
        <v>72</v>
      </c>
      <c r="B78" s="136" t="s">
        <v>174</v>
      </c>
      <c r="C78" s="134">
        <v>41330</v>
      </c>
      <c r="D78" s="1">
        <v>76.52</v>
      </c>
      <c r="E78" s="126" t="s">
        <v>51</v>
      </c>
      <c r="F78" s="123" t="s">
        <v>53</v>
      </c>
      <c r="G78" s="136" t="s">
        <v>174</v>
      </c>
      <c r="H78" s="134">
        <v>41330</v>
      </c>
      <c r="I78" s="1">
        <v>76.52</v>
      </c>
      <c r="J78" s="161"/>
    </row>
    <row r="79" spans="1:10" ht="18" customHeight="1">
      <c r="A79" s="131">
        <v>73</v>
      </c>
      <c r="B79" s="136" t="s">
        <v>180</v>
      </c>
      <c r="C79" s="134">
        <v>41337</v>
      </c>
      <c r="D79" s="1">
        <v>55.26</v>
      </c>
      <c r="E79" s="126" t="s">
        <v>51</v>
      </c>
      <c r="F79" s="123" t="s">
        <v>53</v>
      </c>
      <c r="G79" s="136" t="s">
        <v>180</v>
      </c>
      <c r="H79" s="134">
        <v>41337</v>
      </c>
      <c r="I79" s="1">
        <v>55.26</v>
      </c>
      <c r="J79" s="161"/>
    </row>
    <row r="80" spans="1:10" ht="18" customHeight="1">
      <c r="A80" s="131">
        <v>74</v>
      </c>
      <c r="B80" s="136" t="s">
        <v>182</v>
      </c>
      <c r="C80" s="134">
        <v>41345</v>
      </c>
      <c r="D80" s="1">
        <v>24.57</v>
      </c>
      <c r="E80" s="126" t="s">
        <v>51</v>
      </c>
      <c r="F80" s="123" t="s">
        <v>53</v>
      </c>
      <c r="G80" s="136" t="s">
        <v>182</v>
      </c>
      <c r="H80" s="134">
        <v>41345</v>
      </c>
      <c r="I80" s="1">
        <v>24.57</v>
      </c>
      <c r="J80" s="161"/>
    </row>
    <row r="81" spans="1:10" ht="18" customHeight="1">
      <c r="A81" s="131">
        <v>75</v>
      </c>
      <c r="B81" s="136" t="s">
        <v>183</v>
      </c>
      <c r="C81" s="134">
        <v>41345</v>
      </c>
      <c r="D81" s="1">
        <v>32.299999999999997</v>
      </c>
      <c r="E81" s="126" t="s">
        <v>51</v>
      </c>
      <c r="F81" s="123" t="s">
        <v>53</v>
      </c>
      <c r="G81" s="136" t="s">
        <v>183</v>
      </c>
      <c r="H81" s="134">
        <v>41345</v>
      </c>
      <c r="I81" s="1">
        <v>32.299999999999997</v>
      </c>
      <c r="J81" s="161"/>
    </row>
    <row r="82" spans="1:10" ht="18" customHeight="1">
      <c r="A82" s="131">
        <v>76</v>
      </c>
      <c r="B82" s="136" t="s">
        <v>184</v>
      </c>
      <c r="C82" s="134">
        <v>41345</v>
      </c>
      <c r="D82" s="1">
        <v>21.2</v>
      </c>
      <c r="E82" s="126" t="s">
        <v>51</v>
      </c>
      <c r="F82" s="123" t="s">
        <v>53</v>
      </c>
      <c r="G82" s="136" t="s">
        <v>184</v>
      </c>
      <c r="H82" s="134">
        <v>41345</v>
      </c>
      <c r="I82" s="1">
        <v>21.2</v>
      </c>
      <c r="J82" s="161"/>
    </row>
    <row r="83" spans="1:10" ht="18" customHeight="1">
      <c r="A83" s="131">
        <v>77</v>
      </c>
      <c r="B83" s="136" t="s">
        <v>185</v>
      </c>
      <c r="C83" s="134">
        <v>41345</v>
      </c>
      <c r="D83" s="1">
        <v>28.04</v>
      </c>
      <c r="E83" s="126" t="s">
        <v>51</v>
      </c>
      <c r="F83" s="123" t="s">
        <v>53</v>
      </c>
      <c r="G83" s="136" t="s">
        <v>185</v>
      </c>
      <c r="H83" s="134">
        <v>41345</v>
      </c>
      <c r="I83" s="1">
        <v>28.04</v>
      </c>
      <c r="J83" s="161"/>
    </row>
    <row r="84" spans="1:10" ht="18" customHeight="1">
      <c r="A84" s="131">
        <v>78</v>
      </c>
      <c r="B84" s="136" t="s">
        <v>186</v>
      </c>
      <c r="C84" s="134">
        <v>41352</v>
      </c>
      <c r="D84" s="1">
        <v>65.72</v>
      </c>
      <c r="E84" s="126" t="s">
        <v>51</v>
      </c>
      <c r="F84" s="123" t="s">
        <v>53</v>
      </c>
      <c r="G84" s="136" t="s">
        <v>186</v>
      </c>
      <c r="H84" s="134">
        <v>41352</v>
      </c>
      <c r="I84" s="1">
        <v>65.72</v>
      </c>
      <c r="J84" s="161"/>
    </row>
    <row r="85" spans="1:10" ht="18" customHeight="1">
      <c r="A85" s="131">
        <v>79</v>
      </c>
      <c r="B85" s="136" t="s">
        <v>187</v>
      </c>
      <c r="C85" s="134">
        <v>41352</v>
      </c>
      <c r="D85" s="1">
        <v>25.46</v>
      </c>
      <c r="E85" s="126" t="s">
        <v>51</v>
      </c>
      <c r="F85" s="123" t="s">
        <v>53</v>
      </c>
      <c r="G85" s="136" t="s">
        <v>187</v>
      </c>
      <c r="H85" s="134">
        <v>41352</v>
      </c>
      <c r="I85" s="1">
        <v>25.46</v>
      </c>
      <c r="J85" s="161"/>
    </row>
    <row r="86" spans="1:10" ht="18" customHeight="1">
      <c r="A86" s="131">
        <v>80</v>
      </c>
      <c r="B86" s="136" t="s">
        <v>188</v>
      </c>
      <c r="C86" s="134">
        <v>41352</v>
      </c>
      <c r="D86" s="1">
        <v>26.96</v>
      </c>
      <c r="E86" s="126" t="s">
        <v>51</v>
      </c>
      <c r="F86" s="123" t="s">
        <v>53</v>
      </c>
      <c r="G86" s="136" t="s">
        <v>188</v>
      </c>
      <c r="H86" s="134">
        <v>41352</v>
      </c>
      <c r="I86" s="1">
        <v>26.96</v>
      </c>
      <c r="J86" s="161"/>
    </row>
    <row r="87" spans="1:10" ht="18" customHeight="1">
      <c r="A87" s="131">
        <v>81</v>
      </c>
      <c r="B87" s="136" t="s">
        <v>191</v>
      </c>
      <c r="C87" s="134">
        <v>41358</v>
      </c>
      <c r="D87" s="1">
        <v>21.2</v>
      </c>
      <c r="E87" s="126" t="s">
        <v>51</v>
      </c>
      <c r="F87" s="123" t="s">
        <v>53</v>
      </c>
      <c r="G87" s="136" t="s">
        <v>191</v>
      </c>
      <c r="H87" s="134">
        <v>41358</v>
      </c>
      <c r="I87" s="1">
        <v>21.2</v>
      </c>
      <c r="J87" s="161"/>
    </row>
    <row r="88" spans="1:10" ht="18" customHeight="1">
      <c r="A88" s="131">
        <v>82</v>
      </c>
      <c r="B88" s="136" t="s">
        <v>192</v>
      </c>
      <c r="C88" s="134">
        <v>41358</v>
      </c>
      <c r="D88" s="1">
        <v>29.84</v>
      </c>
      <c r="E88" s="126" t="s">
        <v>51</v>
      </c>
      <c r="F88" s="123" t="s">
        <v>53</v>
      </c>
      <c r="G88" s="136" t="s">
        <v>192</v>
      </c>
      <c r="H88" s="134">
        <v>41358</v>
      </c>
      <c r="I88" s="1">
        <v>29.84</v>
      </c>
      <c r="J88" s="161"/>
    </row>
    <row r="89" spans="1:10" ht="18" customHeight="1">
      <c r="A89" s="131">
        <v>83</v>
      </c>
      <c r="B89" s="136" t="s">
        <v>193</v>
      </c>
      <c r="C89" s="134">
        <v>41358</v>
      </c>
      <c r="D89" s="1">
        <v>3</v>
      </c>
      <c r="E89" s="126" t="s">
        <v>51</v>
      </c>
      <c r="F89" s="123" t="s">
        <v>53</v>
      </c>
      <c r="G89" s="136" t="s">
        <v>193</v>
      </c>
      <c r="H89" s="134">
        <v>41358</v>
      </c>
      <c r="I89" s="1">
        <v>3</v>
      </c>
      <c r="J89" s="161"/>
    </row>
    <row r="90" spans="1:10" ht="18" customHeight="1">
      <c r="A90" s="131">
        <v>84</v>
      </c>
      <c r="B90" s="136" t="s">
        <v>195</v>
      </c>
      <c r="C90" s="134">
        <v>41359</v>
      </c>
      <c r="D90" s="1">
        <v>36.25</v>
      </c>
      <c r="E90" s="126" t="s">
        <v>51</v>
      </c>
      <c r="F90" s="123" t="s">
        <v>53</v>
      </c>
      <c r="G90" s="136" t="s">
        <v>195</v>
      </c>
      <c r="H90" s="134">
        <v>41359</v>
      </c>
      <c r="I90" s="1">
        <v>36.25</v>
      </c>
      <c r="J90" s="161"/>
    </row>
    <row r="91" spans="1:10" ht="18" customHeight="1">
      <c r="A91" s="131">
        <v>85</v>
      </c>
      <c r="B91" s="136" t="s">
        <v>196</v>
      </c>
      <c r="C91" s="134">
        <v>41363</v>
      </c>
      <c r="D91" s="1">
        <v>41.6</v>
      </c>
      <c r="E91" s="126" t="s">
        <v>51</v>
      </c>
      <c r="F91" s="123" t="s">
        <v>53</v>
      </c>
      <c r="G91" s="136" t="s">
        <v>196</v>
      </c>
      <c r="H91" s="134">
        <v>41363</v>
      </c>
      <c r="I91" s="1">
        <v>41.6</v>
      </c>
      <c r="J91" s="161"/>
    </row>
    <row r="92" spans="1:10" ht="18" customHeight="1">
      <c r="A92" s="131">
        <v>86</v>
      </c>
      <c r="B92" s="136" t="s">
        <v>197</v>
      </c>
      <c r="C92" s="134">
        <v>41363</v>
      </c>
      <c r="D92" s="1">
        <v>26.76</v>
      </c>
      <c r="E92" s="126" t="s">
        <v>51</v>
      </c>
      <c r="F92" s="123" t="s">
        <v>53</v>
      </c>
      <c r="G92" s="136" t="s">
        <v>197</v>
      </c>
      <c r="H92" s="134">
        <v>41363</v>
      </c>
      <c r="I92" s="1">
        <v>26.76</v>
      </c>
      <c r="J92" s="161"/>
    </row>
    <row r="93" spans="1:10" ht="18" customHeight="1">
      <c r="A93" s="131">
        <v>87</v>
      </c>
      <c r="B93" s="136" t="s">
        <v>198</v>
      </c>
      <c r="C93" s="134">
        <v>41364</v>
      </c>
      <c r="D93" s="1">
        <v>21.2</v>
      </c>
      <c r="E93" s="126" t="s">
        <v>51</v>
      </c>
      <c r="F93" s="123" t="s">
        <v>53</v>
      </c>
      <c r="G93" s="136" t="s">
        <v>198</v>
      </c>
      <c r="H93" s="134">
        <v>41364</v>
      </c>
      <c r="I93" s="1">
        <v>21.2</v>
      </c>
      <c r="J93" s="161"/>
    </row>
    <row r="94" spans="1:10" ht="18" customHeight="1">
      <c r="A94" s="131">
        <v>88</v>
      </c>
      <c r="B94" s="136" t="s">
        <v>199</v>
      </c>
      <c r="C94" s="134">
        <v>41364</v>
      </c>
      <c r="D94" s="1">
        <v>25.14</v>
      </c>
      <c r="E94" s="126" t="s">
        <v>51</v>
      </c>
      <c r="F94" s="123" t="s">
        <v>53</v>
      </c>
      <c r="G94" s="136" t="s">
        <v>199</v>
      </c>
      <c r="H94" s="134">
        <v>41364</v>
      </c>
      <c r="I94" s="1">
        <v>25.14</v>
      </c>
      <c r="J94" s="161"/>
    </row>
    <row r="95" spans="1:10" ht="18" customHeight="1">
      <c r="A95" s="131">
        <v>89</v>
      </c>
      <c r="B95" s="136" t="s">
        <v>202</v>
      </c>
      <c r="C95" s="134">
        <v>41372</v>
      </c>
      <c r="D95" s="1">
        <v>58.4</v>
      </c>
      <c r="E95" s="126" t="s">
        <v>51</v>
      </c>
      <c r="F95" s="123" t="s">
        <v>53</v>
      </c>
      <c r="G95" s="136" t="s">
        <v>202</v>
      </c>
      <c r="H95" s="134">
        <v>41372</v>
      </c>
      <c r="I95" s="1">
        <v>58.4</v>
      </c>
      <c r="J95" s="161"/>
    </row>
    <row r="96" spans="1:10" ht="18" customHeight="1">
      <c r="A96" s="131">
        <v>90</v>
      </c>
      <c r="B96" s="136" t="s">
        <v>205</v>
      </c>
      <c r="C96" s="134">
        <v>41373</v>
      </c>
      <c r="D96" s="1">
        <v>58.49</v>
      </c>
      <c r="E96" s="126" t="s">
        <v>51</v>
      </c>
      <c r="F96" s="123" t="s">
        <v>53</v>
      </c>
      <c r="G96" s="136" t="s">
        <v>205</v>
      </c>
      <c r="H96" s="134">
        <v>41373</v>
      </c>
      <c r="I96" s="1">
        <v>58.49</v>
      </c>
      <c r="J96" s="161"/>
    </row>
    <row r="97" spans="1:10" ht="18" customHeight="1">
      <c r="A97" s="131">
        <v>91</v>
      </c>
      <c r="B97" s="136" t="s">
        <v>206</v>
      </c>
      <c r="C97" s="134">
        <v>41373</v>
      </c>
      <c r="D97" s="1">
        <v>21.27</v>
      </c>
      <c r="E97" s="126" t="s">
        <v>51</v>
      </c>
      <c r="F97" s="123" t="s">
        <v>53</v>
      </c>
      <c r="G97" s="136" t="s">
        <v>206</v>
      </c>
      <c r="H97" s="134">
        <v>41373</v>
      </c>
      <c r="I97" s="1">
        <v>21.27</v>
      </c>
      <c r="J97" s="161"/>
    </row>
    <row r="98" spans="1:10" ht="18" customHeight="1">
      <c r="A98" s="131">
        <v>92</v>
      </c>
      <c r="B98" s="136" t="s">
        <v>207</v>
      </c>
      <c r="C98" s="134">
        <v>41373</v>
      </c>
      <c r="D98" s="1">
        <v>29.03</v>
      </c>
      <c r="E98" s="126" t="s">
        <v>51</v>
      </c>
      <c r="F98" s="123" t="s">
        <v>53</v>
      </c>
      <c r="G98" s="136" t="s">
        <v>207</v>
      </c>
      <c r="H98" s="134">
        <v>41373</v>
      </c>
      <c r="I98" s="1">
        <v>29.03</v>
      </c>
      <c r="J98" s="161"/>
    </row>
    <row r="99" spans="1:10" ht="18" customHeight="1">
      <c r="A99" s="131">
        <v>93</v>
      </c>
      <c r="B99" s="136" t="s">
        <v>209</v>
      </c>
      <c r="C99" s="134">
        <v>41382</v>
      </c>
      <c r="D99" s="1">
        <v>42.92</v>
      </c>
      <c r="E99" s="126" t="s">
        <v>51</v>
      </c>
      <c r="F99" s="123" t="s">
        <v>53</v>
      </c>
      <c r="G99" s="136" t="s">
        <v>209</v>
      </c>
      <c r="H99" s="134">
        <v>41382</v>
      </c>
      <c r="I99" s="1">
        <v>42.92</v>
      </c>
      <c r="J99" s="161"/>
    </row>
    <row r="100" spans="1:10" ht="18" customHeight="1">
      <c r="A100" s="131">
        <v>94</v>
      </c>
      <c r="B100" s="136" t="s">
        <v>210</v>
      </c>
      <c r="C100" s="134">
        <v>41382</v>
      </c>
      <c r="D100" s="1">
        <v>28.46</v>
      </c>
      <c r="E100" s="126" t="s">
        <v>51</v>
      </c>
      <c r="F100" s="123" t="s">
        <v>53</v>
      </c>
      <c r="G100" s="136" t="s">
        <v>210</v>
      </c>
      <c r="H100" s="134">
        <v>41382</v>
      </c>
      <c r="I100" s="1">
        <v>28.46</v>
      </c>
      <c r="J100" s="161"/>
    </row>
    <row r="101" spans="1:10" ht="18" customHeight="1">
      <c r="A101" s="131">
        <v>95</v>
      </c>
      <c r="B101" s="136" t="s">
        <v>211</v>
      </c>
      <c r="C101" s="134">
        <v>41382</v>
      </c>
      <c r="D101" s="1">
        <v>51.42</v>
      </c>
      <c r="E101" s="126" t="s">
        <v>51</v>
      </c>
      <c r="F101" s="123" t="s">
        <v>53</v>
      </c>
      <c r="G101" s="136" t="s">
        <v>211</v>
      </c>
      <c r="H101" s="134">
        <v>41382</v>
      </c>
      <c r="I101" s="1">
        <v>51.42</v>
      </c>
      <c r="J101" s="161"/>
    </row>
    <row r="102" spans="1:10" ht="18" customHeight="1">
      <c r="A102" s="131">
        <v>96</v>
      </c>
      <c r="B102" s="136" t="s">
        <v>212</v>
      </c>
      <c r="C102" s="134">
        <v>41382</v>
      </c>
      <c r="D102" s="1">
        <v>31.56</v>
      </c>
      <c r="E102" s="126" t="s">
        <v>51</v>
      </c>
      <c r="F102" s="123" t="s">
        <v>53</v>
      </c>
      <c r="G102" s="136" t="s">
        <v>212</v>
      </c>
      <c r="H102" s="134">
        <v>41382</v>
      </c>
      <c r="I102" s="1">
        <v>31.56</v>
      </c>
      <c r="J102" s="161"/>
    </row>
    <row r="103" spans="1:10" ht="18" customHeight="1">
      <c r="A103" s="131">
        <v>97</v>
      </c>
      <c r="B103" s="136" t="s">
        <v>213</v>
      </c>
      <c r="C103" s="134">
        <v>41387</v>
      </c>
      <c r="D103" s="1">
        <v>21.2</v>
      </c>
      <c r="E103" s="126" t="s">
        <v>51</v>
      </c>
      <c r="F103" s="123" t="s">
        <v>53</v>
      </c>
      <c r="G103" s="136" t="s">
        <v>213</v>
      </c>
      <c r="H103" s="134">
        <v>41387</v>
      </c>
      <c r="I103" s="1">
        <v>21.2</v>
      </c>
      <c r="J103" s="161"/>
    </row>
    <row r="104" spans="1:10" ht="18" customHeight="1">
      <c r="A104" s="131">
        <v>98</v>
      </c>
      <c r="B104" s="136" t="s">
        <v>214</v>
      </c>
      <c r="C104" s="134">
        <v>41387</v>
      </c>
      <c r="D104" s="1">
        <v>44.78</v>
      </c>
      <c r="E104" s="126" t="s">
        <v>51</v>
      </c>
      <c r="F104" s="123" t="s">
        <v>53</v>
      </c>
      <c r="G104" s="136" t="s">
        <v>214</v>
      </c>
      <c r="H104" s="134">
        <v>41387</v>
      </c>
      <c r="I104" s="1">
        <v>44.78</v>
      </c>
      <c r="J104" s="161"/>
    </row>
    <row r="105" spans="1:10" ht="18" customHeight="1">
      <c r="A105" s="131">
        <v>99</v>
      </c>
      <c r="B105" s="136" t="s">
        <v>215</v>
      </c>
      <c r="C105" s="134">
        <v>41393</v>
      </c>
      <c r="D105" s="1">
        <v>21.5</v>
      </c>
      <c r="E105" s="126" t="s">
        <v>51</v>
      </c>
      <c r="F105" s="123" t="s">
        <v>53</v>
      </c>
      <c r="G105" s="136" t="s">
        <v>215</v>
      </c>
      <c r="H105" s="134">
        <v>41393</v>
      </c>
      <c r="I105" s="1">
        <v>21.5</v>
      </c>
      <c r="J105" s="161"/>
    </row>
    <row r="106" spans="1:10" ht="18" customHeight="1">
      <c r="A106" s="131">
        <v>100</v>
      </c>
      <c r="B106" s="136" t="s">
        <v>216</v>
      </c>
      <c r="C106" s="134">
        <v>41393</v>
      </c>
      <c r="D106" s="1">
        <v>33.090000000000003</v>
      </c>
      <c r="E106" s="126" t="s">
        <v>51</v>
      </c>
      <c r="F106" s="123" t="s">
        <v>53</v>
      </c>
      <c r="G106" s="136" t="s">
        <v>216</v>
      </c>
      <c r="H106" s="134">
        <v>41393</v>
      </c>
      <c r="I106" s="1">
        <v>33.090000000000003</v>
      </c>
      <c r="J106" s="161"/>
    </row>
    <row r="107" spans="1:10" ht="18" customHeight="1">
      <c r="A107" s="131">
        <v>101</v>
      </c>
      <c r="B107" s="136" t="s">
        <v>218</v>
      </c>
      <c r="C107" s="134">
        <v>41394</v>
      </c>
      <c r="D107" s="1">
        <v>26.31</v>
      </c>
      <c r="E107" s="126" t="s">
        <v>51</v>
      </c>
      <c r="F107" s="123" t="s">
        <v>53</v>
      </c>
      <c r="G107" s="136" t="s">
        <v>218</v>
      </c>
      <c r="H107" s="134">
        <v>41394</v>
      </c>
      <c r="I107" s="1">
        <v>26.31</v>
      </c>
      <c r="J107" s="161"/>
    </row>
    <row r="108" spans="1:10" ht="18" customHeight="1">
      <c r="A108" s="131">
        <v>102</v>
      </c>
      <c r="B108" s="136" t="s">
        <v>219</v>
      </c>
      <c r="C108" s="134">
        <v>41394</v>
      </c>
      <c r="D108" s="1">
        <v>5</v>
      </c>
      <c r="E108" s="126" t="s">
        <v>51</v>
      </c>
      <c r="F108" s="123" t="s">
        <v>53</v>
      </c>
      <c r="G108" s="136" t="s">
        <v>219</v>
      </c>
      <c r="H108" s="134">
        <v>41394</v>
      </c>
      <c r="I108" s="1">
        <v>5</v>
      </c>
      <c r="J108" s="161"/>
    </row>
    <row r="109" spans="1:10" ht="18" customHeight="1">
      <c r="A109" s="131">
        <v>103</v>
      </c>
      <c r="B109" s="136" t="s">
        <v>222</v>
      </c>
      <c r="C109" s="134">
        <v>41400</v>
      </c>
      <c r="D109" s="1">
        <v>107.97</v>
      </c>
      <c r="E109" s="126" t="s">
        <v>51</v>
      </c>
      <c r="F109" s="123" t="s">
        <v>53</v>
      </c>
      <c r="G109" s="136" t="s">
        <v>222</v>
      </c>
      <c r="H109" s="134">
        <v>41400</v>
      </c>
      <c r="I109" s="1">
        <v>107.97</v>
      </c>
      <c r="J109" s="161"/>
    </row>
    <row r="110" spans="1:10" ht="18" customHeight="1">
      <c r="A110" s="131">
        <v>104</v>
      </c>
      <c r="B110" s="136" t="s">
        <v>223</v>
      </c>
      <c r="C110" s="134">
        <v>41400</v>
      </c>
      <c r="D110" s="1">
        <v>27.28</v>
      </c>
      <c r="E110" s="126" t="s">
        <v>51</v>
      </c>
      <c r="F110" s="123" t="s">
        <v>53</v>
      </c>
      <c r="G110" s="136" t="s">
        <v>223</v>
      </c>
      <c r="H110" s="134">
        <v>41400</v>
      </c>
      <c r="I110" s="1">
        <v>27.28</v>
      </c>
      <c r="J110" s="161"/>
    </row>
    <row r="111" spans="1:10" ht="18" customHeight="1">
      <c r="A111" s="131">
        <v>105</v>
      </c>
      <c r="B111" s="136" t="s">
        <v>224</v>
      </c>
      <c r="C111" s="134">
        <v>41401</v>
      </c>
      <c r="D111" s="1">
        <v>26.6</v>
      </c>
      <c r="E111" s="126" t="s">
        <v>51</v>
      </c>
      <c r="F111" s="123" t="s">
        <v>53</v>
      </c>
      <c r="G111" s="136" t="s">
        <v>224</v>
      </c>
      <c r="H111" s="134">
        <v>41401</v>
      </c>
      <c r="I111" s="1">
        <v>26.6</v>
      </c>
      <c r="J111" s="161"/>
    </row>
    <row r="112" spans="1:10" ht="18" customHeight="1">
      <c r="A112" s="131">
        <v>106</v>
      </c>
      <c r="B112" s="136" t="s">
        <v>225</v>
      </c>
      <c r="C112" s="134">
        <v>41401</v>
      </c>
      <c r="D112" s="1">
        <v>100.61</v>
      </c>
      <c r="E112" s="126" t="s">
        <v>51</v>
      </c>
      <c r="F112" s="123" t="s">
        <v>53</v>
      </c>
      <c r="G112" s="136" t="s">
        <v>225</v>
      </c>
      <c r="H112" s="134">
        <v>41401</v>
      </c>
      <c r="I112" s="1">
        <v>100.61</v>
      </c>
      <c r="J112" s="161"/>
    </row>
    <row r="113" spans="1:10" ht="18" customHeight="1">
      <c r="A113" s="131">
        <v>107</v>
      </c>
      <c r="B113" s="136" t="s">
        <v>226</v>
      </c>
      <c r="C113" s="134">
        <v>41405</v>
      </c>
      <c r="D113" s="1">
        <v>36.590000000000003</v>
      </c>
      <c r="E113" s="126" t="s">
        <v>51</v>
      </c>
      <c r="F113" s="123" t="s">
        <v>53</v>
      </c>
      <c r="G113" s="136" t="s">
        <v>226</v>
      </c>
      <c r="H113" s="134">
        <v>41405</v>
      </c>
      <c r="I113" s="1">
        <v>36.590000000000003</v>
      </c>
      <c r="J113" s="161"/>
    </row>
    <row r="114" spans="1:10" ht="18" customHeight="1">
      <c r="A114" s="131">
        <v>108</v>
      </c>
      <c r="B114" s="136" t="s">
        <v>227</v>
      </c>
      <c r="C114" s="134">
        <v>41409</v>
      </c>
      <c r="D114" s="1">
        <v>53.83</v>
      </c>
      <c r="E114" s="126" t="s">
        <v>51</v>
      </c>
      <c r="F114" s="123" t="s">
        <v>53</v>
      </c>
      <c r="G114" s="136" t="s">
        <v>227</v>
      </c>
      <c r="H114" s="134">
        <v>41409</v>
      </c>
      <c r="I114" s="1">
        <v>53.83</v>
      </c>
      <c r="J114" s="161"/>
    </row>
    <row r="115" spans="1:10" ht="18" customHeight="1">
      <c r="A115" s="131">
        <v>109</v>
      </c>
      <c r="B115" s="136" t="s">
        <v>228</v>
      </c>
      <c r="C115" s="134">
        <v>41409</v>
      </c>
      <c r="D115" s="1">
        <v>25.46</v>
      </c>
      <c r="E115" s="126" t="s">
        <v>51</v>
      </c>
      <c r="F115" s="123" t="s">
        <v>53</v>
      </c>
      <c r="G115" s="136" t="s">
        <v>228</v>
      </c>
      <c r="H115" s="134">
        <v>41409</v>
      </c>
      <c r="I115" s="1">
        <v>25.46</v>
      </c>
      <c r="J115" s="161"/>
    </row>
    <row r="116" spans="1:10" ht="18" customHeight="1">
      <c r="A116" s="131">
        <v>110</v>
      </c>
      <c r="B116" s="136" t="s">
        <v>229</v>
      </c>
      <c r="C116" s="134">
        <v>41410</v>
      </c>
      <c r="D116" s="1">
        <v>5</v>
      </c>
      <c r="E116" s="126" t="s">
        <v>51</v>
      </c>
      <c r="F116" s="123" t="s">
        <v>53</v>
      </c>
      <c r="G116" s="136" t="s">
        <v>229</v>
      </c>
      <c r="H116" s="134">
        <v>41410</v>
      </c>
      <c r="I116" s="1">
        <v>5</v>
      </c>
      <c r="J116" s="161"/>
    </row>
    <row r="117" spans="1:10" ht="18" customHeight="1">
      <c r="A117" s="131">
        <v>111</v>
      </c>
      <c r="B117" s="136" t="s">
        <v>230</v>
      </c>
      <c r="C117" s="134">
        <v>41410</v>
      </c>
      <c r="D117" s="1">
        <v>5</v>
      </c>
      <c r="E117" s="126" t="s">
        <v>51</v>
      </c>
      <c r="F117" s="123" t="s">
        <v>53</v>
      </c>
      <c r="G117" s="136" t="s">
        <v>230</v>
      </c>
      <c r="H117" s="134">
        <v>41410</v>
      </c>
      <c r="I117" s="1">
        <v>5</v>
      </c>
      <c r="J117" s="161"/>
    </row>
    <row r="118" spans="1:10" ht="18" customHeight="1">
      <c r="A118" s="131">
        <v>112</v>
      </c>
      <c r="B118" s="136" t="s">
        <v>231</v>
      </c>
      <c r="C118" s="134">
        <v>41410</v>
      </c>
      <c r="D118" s="1">
        <v>5</v>
      </c>
      <c r="E118" s="126" t="s">
        <v>51</v>
      </c>
      <c r="F118" s="123" t="s">
        <v>53</v>
      </c>
      <c r="G118" s="136" t="s">
        <v>231</v>
      </c>
      <c r="H118" s="134">
        <v>41410</v>
      </c>
      <c r="I118" s="1">
        <v>5</v>
      </c>
      <c r="J118" s="161"/>
    </row>
    <row r="119" spans="1:10" ht="18" customHeight="1">
      <c r="A119" s="131">
        <v>113</v>
      </c>
      <c r="B119" s="136" t="s">
        <v>232</v>
      </c>
      <c r="C119" s="134">
        <v>41410</v>
      </c>
      <c r="D119" s="1">
        <v>5</v>
      </c>
      <c r="E119" s="126" t="s">
        <v>51</v>
      </c>
      <c r="F119" s="123" t="s">
        <v>53</v>
      </c>
      <c r="G119" s="136" t="s">
        <v>232</v>
      </c>
      <c r="H119" s="134">
        <v>41410</v>
      </c>
      <c r="I119" s="1">
        <v>5</v>
      </c>
      <c r="J119" s="161"/>
    </row>
    <row r="120" spans="1:10" ht="18" customHeight="1">
      <c r="A120" s="131">
        <v>114</v>
      </c>
      <c r="B120" s="136" t="s">
        <v>233</v>
      </c>
      <c r="C120" s="134">
        <v>41414</v>
      </c>
      <c r="D120" s="1">
        <v>26.62</v>
      </c>
      <c r="E120" s="126" t="s">
        <v>51</v>
      </c>
      <c r="F120" s="123" t="s">
        <v>53</v>
      </c>
      <c r="G120" s="136" t="s">
        <v>233</v>
      </c>
      <c r="H120" s="134">
        <v>41414</v>
      </c>
      <c r="I120" s="1">
        <v>26.62</v>
      </c>
      <c r="J120" s="161"/>
    </row>
    <row r="121" spans="1:10" ht="18" customHeight="1">
      <c r="A121" s="131">
        <v>115</v>
      </c>
      <c r="B121" s="136" t="s">
        <v>236</v>
      </c>
      <c r="C121" s="134">
        <v>41415</v>
      </c>
      <c r="D121" s="1">
        <v>60.4</v>
      </c>
      <c r="E121" s="126" t="s">
        <v>51</v>
      </c>
      <c r="F121" s="123" t="s">
        <v>53</v>
      </c>
      <c r="G121" s="136" t="s">
        <v>236</v>
      </c>
      <c r="H121" s="134">
        <v>41415</v>
      </c>
      <c r="I121" s="1">
        <v>60.4</v>
      </c>
      <c r="J121" s="161"/>
    </row>
    <row r="122" spans="1:10" ht="18" customHeight="1">
      <c r="A122" s="131">
        <v>116</v>
      </c>
      <c r="B122" s="136" t="s">
        <v>237</v>
      </c>
      <c r="C122" s="134">
        <v>41419</v>
      </c>
      <c r="D122" s="1">
        <v>5.8</v>
      </c>
      <c r="E122" s="126" t="s">
        <v>51</v>
      </c>
      <c r="F122" s="123" t="s">
        <v>53</v>
      </c>
      <c r="G122" s="136" t="s">
        <v>237</v>
      </c>
      <c r="H122" s="134">
        <v>41419</v>
      </c>
      <c r="I122" s="1">
        <v>5.8</v>
      </c>
      <c r="J122" s="161"/>
    </row>
    <row r="123" spans="1:10" ht="18" customHeight="1">
      <c r="A123" s="131">
        <v>117</v>
      </c>
      <c r="B123" s="136" t="s">
        <v>238</v>
      </c>
      <c r="C123" s="134">
        <v>41421</v>
      </c>
      <c r="D123" s="1">
        <v>22.59</v>
      </c>
      <c r="E123" s="126" t="s">
        <v>51</v>
      </c>
      <c r="F123" s="123" t="s">
        <v>53</v>
      </c>
      <c r="G123" s="136" t="s">
        <v>238</v>
      </c>
      <c r="H123" s="134">
        <v>41421</v>
      </c>
      <c r="I123" s="1">
        <v>22.59</v>
      </c>
      <c r="J123" s="161"/>
    </row>
    <row r="124" spans="1:10" ht="18" customHeight="1">
      <c r="A124" s="131">
        <v>118</v>
      </c>
      <c r="B124" s="136" t="s">
        <v>240</v>
      </c>
      <c r="C124" s="134">
        <v>41422</v>
      </c>
      <c r="D124" s="1">
        <v>35.24</v>
      </c>
      <c r="E124" s="126" t="s">
        <v>51</v>
      </c>
      <c r="F124" s="123" t="s">
        <v>53</v>
      </c>
      <c r="G124" s="136" t="s">
        <v>240</v>
      </c>
      <c r="H124" s="134">
        <v>41422</v>
      </c>
      <c r="I124" s="1">
        <v>35.24</v>
      </c>
      <c r="J124" s="161"/>
    </row>
    <row r="125" spans="1:10" ht="18" customHeight="1">
      <c r="A125" s="131">
        <v>120</v>
      </c>
      <c r="B125" s="136" t="s">
        <v>243</v>
      </c>
      <c r="C125" s="134">
        <v>41429</v>
      </c>
      <c r="D125" s="1">
        <v>48.59</v>
      </c>
      <c r="E125" s="126" t="s">
        <v>51</v>
      </c>
      <c r="F125" s="123" t="s">
        <v>53</v>
      </c>
      <c r="G125" s="136" t="s">
        <v>243</v>
      </c>
      <c r="H125" s="134">
        <v>41429</v>
      </c>
      <c r="I125" s="1">
        <v>48.59</v>
      </c>
      <c r="J125" s="161"/>
    </row>
    <row r="126" spans="1:10" ht="18" customHeight="1">
      <c r="A126" s="131">
        <v>121</v>
      </c>
      <c r="B126" s="136" t="s">
        <v>244</v>
      </c>
      <c r="C126" s="134">
        <v>41430</v>
      </c>
      <c r="D126" s="1">
        <v>22.73</v>
      </c>
      <c r="E126" s="126" t="s">
        <v>51</v>
      </c>
      <c r="F126" s="123" t="s">
        <v>53</v>
      </c>
      <c r="G126" s="136" t="s">
        <v>244</v>
      </c>
      <c r="H126" s="134">
        <v>41430</v>
      </c>
      <c r="I126" s="1">
        <v>22.73</v>
      </c>
      <c r="J126" s="161"/>
    </row>
    <row r="127" spans="1:10" ht="18" customHeight="1">
      <c r="A127" s="131">
        <v>122</v>
      </c>
      <c r="B127" s="136" t="s">
        <v>247</v>
      </c>
      <c r="C127" s="134">
        <v>41436</v>
      </c>
      <c r="D127" s="1">
        <v>64.430000000000007</v>
      </c>
      <c r="E127" s="126" t="s">
        <v>51</v>
      </c>
      <c r="F127" s="123" t="s">
        <v>53</v>
      </c>
      <c r="G127" s="136" t="s">
        <v>247</v>
      </c>
      <c r="H127" s="134">
        <v>41436</v>
      </c>
      <c r="I127" s="1">
        <v>64.430000000000007</v>
      </c>
      <c r="J127" s="161"/>
    </row>
    <row r="128" spans="1:10" ht="18" customHeight="1">
      <c r="A128" s="131">
        <v>123</v>
      </c>
      <c r="B128" s="136" t="s">
        <v>249</v>
      </c>
      <c r="C128" s="134">
        <v>41444</v>
      </c>
      <c r="D128" s="1">
        <v>80.61</v>
      </c>
      <c r="E128" s="126" t="s">
        <v>51</v>
      </c>
      <c r="F128" s="123" t="s">
        <v>53</v>
      </c>
      <c r="G128" s="136" t="s">
        <v>249</v>
      </c>
      <c r="H128" s="134">
        <v>41444</v>
      </c>
      <c r="I128" s="1">
        <v>80.61</v>
      </c>
      <c r="J128" s="161"/>
    </row>
    <row r="129" spans="1:10" ht="18" customHeight="1">
      <c r="A129" s="131">
        <v>124</v>
      </c>
      <c r="B129" s="136" t="s">
        <v>250</v>
      </c>
      <c r="C129" s="134">
        <v>41444</v>
      </c>
      <c r="D129" s="1">
        <v>22.1</v>
      </c>
      <c r="E129" s="126" t="s">
        <v>51</v>
      </c>
      <c r="F129" s="123" t="s">
        <v>53</v>
      </c>
      <c r="G129" s="136" t="s">
        <v>250</v>
      </c>
      <c r="H129" s="134">
        <v>41444</v>
      </c>
      <c r="I129" s="1">
        <v>22.1</v>
      </c>
      <c r="J129" s="161"/>
    </row>
    <row r="130" spans="1:10" ht="18" customHeight="1">
      <c r="A130" s="131">
        <v>125</v>
      </c>
      <c r="B130" s="136" t="s">
        <v>251</v>
      </c>
      <c r="C130" s="134">
        <v>41444</v>
      </c>
      <c r="D130" s="1">
        <v>52.61</v>
      </c>
      <c r="E130" s="126" t="s">
        <v>51</v>
      </c>
      <c r="F130" s="123" t="s">
        <v>53</v>
      </c>
      <c r="G130" s="136" t="s">
        <v>251</v>
      </c>
      <c r="H130" s="134">
        <v>41444</v>
      </c>
      <c r="I130" s="1">
        <v>52.61</v>
      </c>
      <c r="J130" s="161"/>
    </row>
    <row r="131" spans="1:10" ht="18" customHeight="1">
      <c r="A131" s="131">
        <v>126</v>
      </c>
      <c r="B131" s="136" t="s">
        <v>253</v>
      </c>
      <c r="C131" s="134">
        <v>41454</v>
      </c>
      <c r="D131" s="1">
        <v>69.87</v>
      </c>
      <c r="E131" s="126" t="s">
        <v>51</v>
      </c>
      <c r="F131" s="123" t="s">
        <v>53</v>
      </c>
      <c r="G131" s="136" t="s">
        <v>253</v>
      </c>
      <c r="H131" s="134">
        <v>41454</v>
      </c>
      <c r="I131" s="1">
        <v>69.87</v>
      </c>
      <c r="J131" s="161"/>
    </row>
    <row r="132" spans="1:10" ht="18" customHeight="1">
      <c r="A132" s="131">
        <v>127</v>
      </c>
      <c r="B132" s="136" t="s">
        <v>254</v>
      </c>
      <c r="C132" s="134">
        <v>41454</v>
      </c>
      <c r="D132" s="1">
        <v>82.29</v>
      </c>
      <c r="E132" s="126" t="s">
        <v>51</v>
      </c>
      <c r="F132" s="123" t="s">
        <v>53</v>
      </c>
      <c r="G132" s="136" t="s">
        <v>254</v>
      </c>
      <c r="H132" s="134">
        <v>41454</v>
      </c>
      <c r="I132" s="1">
        <v>82.29</v>
      </c>
      <c r="J132" s="161"/>
    </row>
    <row r="133" spans="1:10" ht="18" customHeight="1">
      <c r="A133" s="131">
        <v>128</v>
      </c>
      <c r="B133" s="136" t="s">
        <v>255</v>
      </c>
      <c r="C133" s="134">
        <v>41455</v>
      </c>
      <c r="D133" s="1">
        <v>33.950000000000003</v>
      </c>
      <c r="E133" s="126" t="s">
        <v>51</v>
      </c>
      <c r="F133" s="123" t="s">
        <v>53</v>
      </c>
      <c r="G133" s="136" t="s">
        <v>255</v>
      </c>
      <c r="H133" s="134">
        <v>41455</v>
      </c>
      <c r="I133" s="1">
        <v>33.950000000000003</v>
      </c>
      <c r="J133" s="161"/>
    </row>
    <row r="134" spans="1:10" ht="18" customHeight="1">
      <c r="A134" s="131">
        <v>129</v>
      </c>
      <c r="B134" s="136" t="s">
        <v>258</v>
      </c>
      <c r="C134" s="134">
        <v>41449</v>
      </c>
      <c r="D134" s="1">
        <v>72.59</v>
      </c>
      <c r="E134" s="126" t="s">
        <v>51</v>
      </c>
      <c r="F134" s="123" t="s">
        <v>53</v>
      </c>
      <c r="G134" s="136" t="s">
        <v>258</v>
      </c>
      <c r="H134" s="134">
        <v>41449</v>
      </c>
      <c r="I134" s="1">
        <v>72.59</v>
      </c>
      <c r="J134" s="161"/>
    </row>
    <row r="135" spans="1:10" ht="18" customHeight="1">
      <c r="A135" s="131">
        <v>130</v>
      </c>
      <c r="B135" s="136" t="s">
        <v>259</v>
      </c>
      <c r="C135" s="134">
        <v>41449</v>
      </c>
      <c r="D135" s="1">
        <v>22.1</v>
      </c>
      <c r="E135" s="126" t="s">
        <v>51</v>
      </c>
      <c r="F135" s="123" t="s">
        <v>53</v>
      </c>
      <c r="G135" s="136" t="s">
        <v>259</v>
      </c>
      <c r="H135" s="134">
        <v>41449</v>
      </c>
      <c r="I135" s="1">
        <v>22.1</v>
      </c>
      <c r="J135" s="161"/>
    </row>
    <row r="136" spans="1:10" ht="18" customHeight="1">
      <c r="A136" s="131">
        <v>131</v>
      </c>
      <c r="B136" s="136" t="s">
        <v>260</v>
      </c>
      <c r="C136" s="134">
        <v>41450</v>
      </c>
      <c r="D136" s="1">
        <v>32.51</v>
      </c>
      <c r="E136" s="126" t="s">
        <v>51</v>
      </c>
      <c r="F136" s="123" t="s">
        <v>53</v>
      </c>
      <c r="G136" s="136" t="s">
        <v>260</v>
      </c>
      <c r="H136" s="134">
        <v>41450</v>
      </c>
      <c r="I136" s="1">
        <v>32.51</v>
      </c>
      <c r="J136" s="161"/>
    </row>
    <row r="137" spans="1:10" ht="18" customHeight="1">
      <c r="A137" s="131">
        <v>132</v>
      </c>
      <c r="B137" s="136" t="s">
        <v>265</v>
      </c>
      <c r="C137" s="134">
        <v>41464</v>
      </c>
      <c r="D137" s="1">
        <v>34.42</v>
      </c>
      <c r="E137" s="126" t="s">
        <v>51</v>
      </c>
      <c r="F137" s="123" t="s">
        <v>53</v>
      </c>
      <c r="G137" s="136" t="s">
        <v>265</v>
      </c>
      <c r="H137" s="134">
        <v>41464</v>
      </c>
      <c r="I137" s="1">
        <v>34.42</v>
      </c>
      <c r="J137" s="161"/>
    </row>
    <row r="138" spans="1:10" ht="18" customHeight="1">
      <c r="A138" s="131">
        <v>133</v>
      </c>
      <c r="B138" s="136" t="s">
        <v>266</v>
      </c>
      <c r="C138" s="134">
        <v>41464</v>
      </c>
      <c r="D138" s="1">
        <v>47.83</v>
      </c>
      <c r="E138" s="126" t="s">
        <v>51</v>
      </c>
      <c r="F138" s="123" t="s">
        <v>53</v>
      </c>
      <c r="G138" s="136" t="s">
        <v>266</v>
      </c>
      <c r="H138" s="134">
        <v>41464</v>
      </c>
      <c r="I138" s="1">
        <v>47.83</v>
      </c>
      <c r="J138" s="161"/>
    </row>
    <row r="139" spans="1:10" ht="18" customHeight="1">
      <c r="A139" s="131">
        <v>134</v>
      </c>
      <c r="B139" s="136" t="s">
        <v>267</v>
      </c>
      <c r="C139" s="134">
        <v>41464</v>
      </c>
      <c r="D139" s="1">
        <v>26.89</v>
      </c>
      <c r="E139" s="126" t="s">
        <v>51</v>
      </c>
      <c r="F139" s="123" t="s">
        <v>53</v>
      </c>
      <c r="G139" s="136" t="s">
        <v>267</v>
      </c>
      <c r="H139" s="134">
        <v>41464</v>
      </c>
      <c r="I139" s="1">
        <v>26.89</v>
      </c>
      <c r="J139" s="161"/>
    </row>
    <row r="140" spans="1:10" ht="18" customHeight="1">
      <c r="A140" s="131">
        <v>135</v>
      </c>
      <c r="B140" s="136" t="s">
        <v>268</v>
      </c>
      <c r="C140" s="134">
        <v>41464</v>
      </c>
      <c r="D140" s="1">
        <v>44.67</v>
      </c>
      <c r="E140" s="126" t="s">
        <v>51</v>
      </c>
      <c r="F140" s="123" t="s">
        <v>53</v>
      </c>
      <c r="G140" s="136" t="s">
        <v>268</v>
      </c>
      <c r="H140" s="134">
        <v>41464</v>
      </c>
      <c r="I140" s="1">
        <v>44.67</v>
      </c>
      <c r="J140" s="161"/>
    </row>
    <row r="141" spans="1:10" ht="18" customHeight="1">
      <c r="A141" s="131">
        <v>136</v>
      </c>
      <c r="B141" s="136" t="s">
        <v>269</v>
      </c>
      <c r="C141" s="134">
        <v>41464</v>
      </c>
      <c r="D141" s="1">
        <v>39.33</v>
      </c>
      <c r="E141" s="126" t="s">
        <v>51</v>
      </c>
      <c r="F141" s="123" t="s">
        <v>53</v>
      </c>
      <c r="G141" s="136" t="s">
        <v>269</v>
      </c>
      <c r="H141" s="134">
        <v>41464</v>
      </c>
      <c r="I141" s="1">
        <v>39.33</v>
      </c>
      <c r="J141" s="161"/>
    </row>
    <row r="142" spans="1:10" ht="18" customHeight="1">
      <c r="A142" s="131">
        <v>137</v>
      </c>
      <c r="B142" s="136" t="s">
        <v>270</v>
      </c>
      <c r="C142" s="134">
        <v>41465</v>
      </c>
      <c r="D142" s="1">
        <v>62.7</v>
      </c>
      <c r="E142" s="126" t="s">
        <v>51</v>
      </c>
      <c r="F142" s="123" t="s">
        <v>53</v>
      </c>
      <c r="G142" s="136" t="s">
        <v>270</v>
      </c>
      <c r="H142" s="134">
        <v>41465</v>
      </c>
      <c r="I142" s="1">
        <v>62.7</v>
      </c>
      <c r="J142" s="161"/>
    </row>
    <row r="143" spans="1:10" ht="18" customHeight="1">
      <c r="A143" s="131">
        <v>138</v>
      </c>
      <c r="B143" s="136" t="s">
        <v>271</v>
      </c>
      <c r="C143" s="134">
        <v>41465</v>
      </c>
      <c r="D143" s="1">
        <v>101.07</v>
      </c>
      <c r="E143" s="126" t="s">
        <v>51</v>
      </c>
      <c r="F143" s="123" t="s">
        <v>53</v>
      </c>
      <c r="G143" s="136" t="s">
        <v>271</v>
      </c>
      <c r="H143" s="134">
        <v>41465</v>
      </c>
      <c r="I143" s="1">
        <v>101.07</v>
      </c>
      <c r="J143" s="161"/>
    </row>
    <row r="144" spans="1:10" ht="18" customHeight="1">
      <c r="A144" s="131">
        <v>139</v>
      </c>
      <c r="B144" s="136" t="s">
        <v>272</v>
      </c>
      <c r="C144" s="134">
        <v>41465</v>
      </c>
      <c r="D144" s="1">
        <v>129.26</v>
      </c>
      <c r="E144" s="126" t="s">
        <v>51</v>
      </c>
      <c r="F144" s="123" t="s">
        <v>53</v>
      </c>
      <c r="G144" s="136" t="s">
        <v>272</v>
      </c>
      <c r="H144" s="134">
        <v>41465</v>
      </c>
      <c r="I144" s="1">
        <v>129.26</v>
      </c>
      <c r="J144" s="161"/>
    </row>
    <row r="145" spans="1:10" ht="18" customHeight="1">
      <c r="A145" s="131">
        <v>140</v>
      </c>
      <c r="B145" s="136" t="s">
        <v>275</v>
      </c>
      <c r="C145" s="134">
        <v>41471</v>
      </c>
      <c r="D145" s="1">
        <v>22.3</v>
      </c>
      <c r="E145" s="126" t="s">
        <v>51</v>
      </c>
      <c r="F145" s="123" t="s">
        <v>53</v>
      </c>
      <c r="G145" s="136" t="s">
        <v>275</v>
      </c>
      <c r="H145" s="134">
        <v>41471</v>
      </c>
      <c r="I145" s="1">
        <v>22.3</v>
      </c>
      <c r="J145" s="161"/>
    </row>
    <row r="146" spans="1:10" ht="18" customHeight="1">
      <c r="A146" s="131">
        <v>141</v>
      </c>
      <c r="B146" s="136" t="s">
        <v>276</v>
      </c>
      <c r="C146" s="134">
        <v>41471</v>
      </c>
      <c r="D146" s="1">
        <v>26.2</v>
      </c>
      <c r="E146" s="126" t="s">
        <v>51</v>
      </c>
      <c r="F146" s="123" t="s">
        <v>53</v>
      </c>
      <c r="G146" s="136" t="s">
        <v>276</v>
      </c>
      <c r="H146" s="134">
        <v>41471</v>
      </c>
      <c r="I146" s="1">
        <v>26.2</v>
      </c>
      <c r="J146" s="161"/>
    </row>
    <row r="147" spans="1:10" ht="18" customHeight="1">
      <c r="A147" s="131">
        <v>142</v>
      </c>
      <c r="B147" s="136" t="s">
        <v>277</v>
      </c>
      <c r="C147" s="134">
        <v>41471</v>
      </c>
      <c r="D147" s="1">
        <v>113.51</v>
      </c>
      <c r="E147" s="126" t="s">
        <v>51</v>
      </c>
      <c r="F147" s="123" t="s">
        <v>53</v>
      </c>
      <c r="G147" s="136" t="s">
        <v>277</v>
      </c>
      <c r="H147" s="134">
        <v>41471</v>
      </c>
      <c r="I147" s="1">
        <v>113.51</v>
      </c>
      <c r="J147" s="161"/>
    </row>
    <row r="148" spans="1:10" ht="18" customHeight="1">
      <c r="A148" s="131">
        <v>143</v>
      </c>
      <c r="B148" s="136" t="s">
        <v>278</v>
      </c>
      <c r="C148" s="134">
        <v>41471</v>
      </c>
      <c r="D148" s="1">
        <v>35.22</v>
      </c>
      <c r="E148" s="126" t="s">
        <v>51</v>
      </c>
      <c r="F148" s="123" t="s">
        <v>53</v>
      </c>
      <c r="G148" s="136" t="s">
        <v>278</v>
      </c>
      <c r="H148" s="134">
        <v>41471</v>
      </c>
      <c r="I148" s="1">
        <v>35.22</v>
      </c>
      <c r="J148" s="161"/>
    </row>
    <row r="149" spans="1:10" ht="18" customHeight="1">
      <c r="A149" s="131">
        <v>144</v>
      </c>
      <c r="B149" s="136" t="s">
        <v>279</v>
      </c>
      <c r="C149" s="134">
        <v>41471</v>
      </c>
      <c r="D149" s="1">
        <v>72.790000000000006</v>
      </c>
      <c r="E149" s="126" t="s">
        <v>51</v>
      </c>
      <c r="F149" s="123" t="s">
        <v>53</v>
      </c>
      <c r="G149" s="136" t="s">
        <v>279</v>
      </c>
      <c r="H149" s="134">
        <v>41471</v>
      </c>
      <c r="I149" s="1">
        <v>72.790000000000006</v>
      </c>
      <c r="J149" s="161"/>
    </row>
    <row r="150" spans="1:10" ht="18" customHeight="1">
      <c r="A150" s="131">
        <v>145</v>
      </c>
      <c r="B150" s="136" t="s">
        <v>280</v>
      </c>
      <c r="C150" s="134">
        <v>41471</v>
      </c>
      <c r="D150" s="1">
        <v>26.6</v>
      </c>
      <c r="E150" s="126" t="s">
        <v>51</v>
      </c>
      <c r="F150" s="123" t="s">
        <v>53</v>
      </c>
      <c r="G150" s="136" t="s">
        <v>280</v>
      </c>
      <c r="H150" s="134">
        <v>41471</v>
      </c>
      <c r="I150" s="1">
        <v>26.6</v>
      </c>
      <c r="J150" s="161"/>
    </row>
    <row r="151" spans="1:10" ht="18" customHeight="1">
      <c r="A151" s="131">
        <v>146</v>
      </c>
      <c r="B151" s="136" t="s">
        <v>281</v>
      </c>
      <c r="C151" s="134">
        <v>41471</v>
      </c>
      <c r="D151" s="1">
        <v>26.55</v>
      </c>
      <c r="E151" s="126" t="s">
        <v>51</v>
      </c>
      <c r="F151" s="123" t="s">
        <v>53</v>
      </c>
      <c r="G151" s="136" t="s">
        <v>281</v>
      </c>
      <c r="H151" s="134">
        <v>41471</v>
      </c>
      <c r="I151" s="1">
        <v>26.55</v>
      </c>
      <c r="J151" s="161"/>
    </row>
    <row r="152" spans="1:10" ht="18" customHeight="1">
      <c r="A152" s="131">
        <v>147</v>
      </c>
      <c r="B152" s="136" t="s">
        <v>282</v>
      </c>
      <c r="C152" s="134">
        <v>41477</v>
      </c>
      <c r="D152" s="1">
        <v>51.32</v>
      </c>
      <c r="E152" s="126" t="s">
        <v>51</v>
      </c>
      <c r="F152" s="123" t="s">
        <v>53</v>
      </c>
      <c r="G152" s="136" t="s">
        <v>282</v>
      </c>
      <c r="H152" s="134">
        <v>41477</v>
      </c>
      <c r="I152" s="1">
        <v>51.32</v>
      </c>
      <c r="J152" s="161"/>
    </row>
    <row r="153" spans="1:10" ht="18" customHeight="1">
      <c r="A153" s="131">
        <v>148</v>
      </c>
      <c r="B153" s="136" t="s">
        <v>285</v>
      </c>
      <c r="C153" s="134">
        <v>41478</v>
      </c>
      <c r="D153" s="1">
        <v>26.96</v>
      </c>
      <c r="E153" s="126" t="s">
        <v>51</v>
      </c>
      <c r="F153" s="123" t="s">
        <v>53</v>
      </c>
      <c r="G153" s="136" t="s">
        <v>285</v>
      </c>
      <c r="H153" s="134">
        <v>41478</v>
      </c>
      <c r="I153" s="1">
        <v>26.96</v>
      </c>
      <c r="J153" s="161"/>
    </row>
    <row r="154" spans="1:10" ht="18" customHeight="1">
      <c r="A154" s="131">
        <v>149</v>
      </c>
      <c r="B154" s="136" t="s">
        <v>286</v>
      </c>
      <c r="C154" s="134">
        <v>41478</v>
      </c>
      <c r="D154" s="1">
        <v>52.06</v>
      </c>
      <c r="E154" s="126" t="s">
        <v>51</v>
      </c>
      <c r="F154" s="123" t="s">
        <v>53</v>
      </c>
      <c r="G154" s="136" t="s">
        <v>286</v>
      </c>
      <c r="H154" s="134">
        <v>41478</v>
      </c>
      <c r="I154" s="1">
        <v>52.06</v>
      </c>
      <c r="J154" s="161"/>
    </row>
    <row r="155" spans="1:10" ht="18" customHeight="1">
      <c r="A155" s="131">
        <v>150</v>
      </c>
      <c r="B155" s="136" t="s">
        <v>287</v>
      </c>
      <c r="C155" s="134">
        <v>41484</v>
      </c>
      <c r="D155" s="1">
        <v>26.2</v>
      </c>
      <c r="E155" s="126" t="s">
        <v>51</v>
      </c>
      <c r="F155" s="123" t="s">
        <v>53</v>
      </c>
      <c r="G155" s="136" t="s">
        <v>287</v>
      </c>
      <c r="H155" s="134">
        <v>41484</v>
      </c>
      <c r="I155" s="1">
        <v>26.2</v>
      </c>
      <c r="J155" s="161"/>
    </row>
    <row r="156" spans="1:10" ht="18" customHeight="1">
      <c r="A156" s="131">
        <v>151</v>
      </c>
      <c r="B156" s="136" t="s">
        <v>288</v>
      </c>
      <c r="C156" s="134">
        <v>41484</v>
      </c>
      <c r="D156" s="1">
        <v>5</v>
      </c>
      <c r="E156" s="126" t="s">
        <v>51</v>
      </c>
      <c r="F156" s="123" t="s">
        <v>53</v>
      </c>
      <c r="G156" s="136" t="s">
        <v>288</v>
      </c>
      <c r="H156" s="134">
        <v>41484</v>
      </c>
      <c r="I156" s="1">
        <v>5</v>
      </c>
      <c r="J156" s="161"/>
    </row>
    <row r="157" spans="1:10" ht="18" customHeight="1">
      <c r="A157" s="131">
        <v>152</v>
      </c>
      <c r="B157" s="136" t="s">
        <v>291</v>
      </c>
      <c r="C157" s="134">
        <v>41485</v>
      </c>
      <c r="D157" s="1">
        <v>29.73</v>
      </c>
      <c r="E157" s="126" t="s">
        <v>51</v>
      </c>
      <c r="F157" s="123" t="s">
        <v>53</v>
      </c>
      <c r="G157" s="136" t="s">
        <v>291</v>
      </c>
      <c r="H157" s="134">
        <v>41485</v>
      </c>
      <c r="I157" s="1">
        <v>29.73</v>
      </c>
      <c r="J157" s="161"/>
    </row>
    <row r="158" spans="1:10" ht="18" customHeight="1">
      <c r="A158" s="131">
        <v>153</v>
      </c>
      <c r="B158" s="136" t="s">
        <v>293</v>
      </c>
      <c r="C158" s="134">
        <v>41491</v>
      </c>
      <c r="D158" s="1">
        <v>26.32</v>
      </c>
      <c r="E158" s="126" t="s">
        <v>51</v>
      </c>
      <c r="F158" s="123" t="s">
        <v>53</v>
      </c>
      <c r="G158" s="136" t="s">
        <v>293</v>
      </c>
      <c r="H158" s="134">
        <v>41491</v>
      </c>
      <c r="I158" s="1">
        <v>26.32</v>
      </c>
      <c r="J158" s="161"/>
    </row>
    <row r="159" spans="1:10" ht="18" customHeight="1">
      <c r="A159" s="131">
        <v>154</v>
      </c>
      <c r="B159" s="136" t="s">
        <v>294</v>
      </c>
      <c r="C159" s="134">
        <v>41491</v>
      </c>
      <c r="D159" s="1">
        <v>30.9</v>
      </c>
      <c r="E159" s="126" t="s">
        <v>51</v>
      </c>
      <c r="F159" s="123" t="s">
        <v>53</v>
      </c>
      <c r="G159" s="136" t="s">
        <v>294</v>
      </c>
      <c r="H159" s="134">
        <v>41491</v>
      </c>
      <c r="I159" s="1">
        <v>30.9</v>
      </c>
      <c r="J159" s="161"/>
    </row>
    <row r="160" spans="1:10" ht="18" customHeight="1">
      <c r="A160" s="131">
        <v>155</v>
      </c>
      <c r="B160" s="136" t="s">
        <v>295</v>
      </c>
      <c r="C160" s="134">
        <v>41492</v>
      </c>
      <c r="D160" s="1">
        <v>48.13</v>
      </c>
      <c r="E160" s="126" t="s">
        <v>51</v>
      </c>
      <c r="F160" s="123" t="s">
        <v>53</v>
      </c>
      <c r="G160" s="136" t="s">
        <v>295</v>
      </c>
      <c r="H160" s="134">
        <v>41492</v>
      </c>
      <c r="I160" s="1">
        <v>48.13</v>
      </c>
      <c r="J160" s="161"/>
    </row>
    <row r="161" spans="1:10" ht="18" customHeight="1">
      <c r="A161" s="131">
        <v>156</v>
      </c>
      <c r="B161" s="136" t="s">
        <v>296</v>
      </c>
      <c r="C161" s="134">
        <v>41492</v>
      </c>
      <c r="D161" s="1">
        <v>25.81</v>
      </c>
      <c r="E161" s="126" t="s">
        <v>51</v>
      </c>
      <c r="F161" s="123" t="s">
        <v>53</v>
      </c>
      <c r="G161" s="136" t="s">
        <v>296</v>
      </c>
      <c r="H161" s="134">
        <v>41492</v>
      </c>
      <c r="I161" s="1">
        <v>25.81</v>
      </c>
      <c r="J161" s="161"/>
    </row>
    <row r="162" spans="1:10" ht="18" customHeight="1">
      <c r="A162" s="131">
        <v>157</v>
      </c>
      <c r="B162" s="136" t="s">
        <v>297</v>
      </c>
      <c r="C162" s="134">
        <v>41492</v>
      </c>
      <c r="D162" s="1">
        <v>39.69</v>
      </c>
      <c r="E162" s="126" t="s">
        <v>51</v>
      </c>
      <c r="F162" s="123" t="s">
        <v>53</v>
      </c>
      <c r="G162" s="136" t="s">
        <v>297</v>
      </c>
      <c r="H162" s="134">
        <v>41492</v>
      </c>
      <c r="I162" s="1">
        <v>39.69</v>
      </c>
      <c r="J162" s="161"/>
    </row>
    <row r="163" spans="1:10" ht="18" customHeight="1">
      <c r="A163" s="131">
        <v>158</v>
      </c>
      <c r="B163" s="136" t="s">
        <v>298</v>
      </c>
      <c r="C163" s="134">
        <v>41492</v>
      </c>
      <c r="D163" s="1">
        <v>75.8</v>
      </c>
      <c r="E163" s="126" t="s">
        <v>51</v>
      </c>
      <c r="F163" s="123" t="s">
        <v>53</v>
      </c>
      <c r="G163" s="136" t="s">
        <v>298</v>
      </c>
      <c r="H163" s="134">
        <v>41492</v>
      </c>
      <c r="I163" s="1">
        <v>75.8</v>
      </c>
      <c r="J163" s="161"/>
    </row>
    <row r="164" spans="1:10" ht="18" customHeight="1">
      <c r="A164" s="131">
        <v>159</v>
      </c>
      <c r="B164" s="136" t="s">
        <v>300</v>
      </c>
      <c r="C164" s="134">
        <v>41499</v>
      </c>
      <c r="D164" s="1">
        <v>61.05</v>
      </c>
      <c r="E164" s="126" t="s">
        <v>51</v>
      </c>
      <c r="F164" s="123" t="s">
        <v>53</v>
      </c>
      <c r="G164" s="136" t="s">
        <v>300</v>
      </c>
      <c r="H164" s="134">
        <v>41499</v>
      </c>
      <c r="I164" s="1">
        <v>61.05</v>
      </c>
      <c r="J164" s="161"/>
    </row>
    <row r="165" spans="1:10" ht="18" customHeight="1">
      <c r="A165" s="131">
        <v>160</v>
      </c>
      <c r="B165" s="136" t="s">
        <v>301</v>
      </c>
      <c r="C165" s="134">
        <v>41499</v>
      </c>
      <c r="D165" s="1">
        <v>35.53</v>
      </c>
      <c r="E165" s="126" t="s">
        <v>51</v>
      </c>
      <c r="F165" s="123" t="s">
        <v>53</v>
      </c>
      <c r="G165" s="136" t="s">
        <v>301</v>
      </c>
      <c r="H165" s="134">
        <v>41499</v>
      </c>
      <c r="I165" s="1">
        <v>35.53</v>
      </c>
      <c r="J165" s="161"/>
    </row>
    <row r="166" spans="1:10" ht="18" customHeight="1">
      <c r="A166" s="131">
        <v>161</v>
      </c>
      <c r="B166" s="136" t="s">
        <v>302</v>
      </c>
      <c r="C166" s="134">
        <v>41499</v>
      </c>
      <c r="D166" s="1">
        <v>63.41</v>
      </c>
      <c r="E166" s="126" t="s">
        <v>51</v>
      </c>
      <c r="F166" s="123" t="s">
        <v>53</v>
      </c>
      <c r="G166" s="136" t="s">
        <v>302</v>
      </c>
      <c r="H166" s="134">
        <v>41499</v>
      </c>
      <c r="I166" s="1">
        <v>63.41</v>
      </c>
      <c r="J166" s="161"/>
    </row>
    <row r="167" spans="1:10" ht="18" customHeight="1">
      <c r="A167" s="131">
        <v>162</v>
      </c>
      <c r="B167" s="136" t="s">
        <v>303</v>
      </c>
      <c r="C167" s="134">
        <v>41499</v>
      </c>
      <c r="D167" s="1">
        <v>35.31</v>
      </c>
      <c r="E167" s="126" t="s">
        <v>51</v>
      </c>
      <c r="F167" s="123" t="s">
        <v>53</v>
      </c>
      <c r="G167" s="136" t="s">
        <v>303</v>
      </c>
      <c r="H167" s="134">
        <v>41499</v>
      </c>
      <c r="I167" s="1">
        <v>35.31</v>
      </c>
      <c r="J167" s="161"/>
    </row>
    <row r="168" spans="1:10" ht="18" customHeight="1">
      <c r="A168" s="131">
        <v>163</v>
      </c>
      <c r="B168" s="136" t="s">
        <v>306</v>
      </c>
      <c r="C168" s="134">
        <v>41506</v>
      </c>
      <c r="D168" s="1">
        <v>22.3</v>
      </c>
      <c r="E168" s="126" t="s">
        <v>51</v>
      </c>
      <c r="F168" s="123" t="s">
        <v>53</v>
      </c>
      <c r="G168" s="136" t="s">
        <v>306</v>
      </c>
      <c r="H168" s="134">
        <v>41506</v>
      </c>
      <c r="I168" s="1">
        <v>22.3</v>
      </c>
      <c r="J168" s="161"/>
    </row>
    <row r="169" spans="1:10" ht="18" customHeight="1">
      <c r="A169" s="131">
        <v>164</v>
      </c>
      <c r="B169" s="136" t="s">
        <v>307</v>
      </c>
      <c r="C169" s="134">
        <v>41506</v>
      </c>
      <c r="D169" s="1">
        <v>22.74</v>
      </c>
      <c r="E169" s="126" t="s">
        <v>51</v>
      </c>
      <c r="F169" s="123" t="s">
        <v>53</v>
      </c>
      <c r="G169" s="136" t="s">
        <v>307</v>
      </c>
      <c r="H169" s="134">
        <v>41506</v>
      </c>
      <c r="I169" s="1">
        <v>22.74</v>
      </c>
      <c r="J169" s="161"/>
    </row>
    <row r="170" spans="1:10" ht="18" customHeight="1">
      <c r="A170" s="131">
        <v>165</v>
      </c>
      <c r="B170" s="136" t="s">
        <v>308</v>
      </c>
      <c r="C170" s="134">
        <v>41506</v>
      </c>
      <c r="D170" s="1">
        <v>38.68</v>
      </c>
      <c r="E170" s="126" t="s">
        <v>51</v>
      </c>
      <c r="F170" s="123" t="s">
        <v>53</v>
      </c>
      <c r="G170" s="136" t="s">
        <v>308</v>
      </c>
      <c r="H170" s="134">
        <v>41506</v>
      </c>
      <c r="I170" s="1">
        <v>38.68</v>
      </c>
      <c r="J170" s="161"/>
    </row>
    <row r="171" spans="1:10" ht="18" customHeight="1">
      <c r="A171" s="131">
        <v>166</v>
      </c>
      <c r="B171" s="136" t="s">
        <v>309</v>
      </c>
      <c r="C171" s="134">
        <v>41506</v>
      </c>
      <c r="D171" s="1">
        <v>95.64</v>
      </c>
      <c r="E171" s="126" t="s">
        <v>51</v>
      </c>
      <c r="F171" s="123" t="s">
        <v>53</v>
      </c>
      <c r="G171" s="136" t="s">
        <v>309</v>
      </c>
      <c r="H171" s="134">
        <v>41506</v>
      </c>
      <c r="I171" s="1">
        <v>95.64</v>
      </c>
      <c r="J171" s="161"/>
    </row>
    <row r="172" spans="1:10" ht="18" customHeight="1">
      <c r="A172" s="131">
        <v>167</v>
      </c>
      <c r="B172" s="136" t="s">
        <v>310</v>
      </c>
      <c r="C172" s="134">
        <v>41506</v>
      </c>
      <c r="D172" s="1">
        <v>22.34</v>
      </c>
      <c r="E172" s="126" t="s">
        <v>51</v>
      </c>
      <c r="F172" s="123" t="s">
        <v>53</v>
      </c>
      <c r="G172" s="136" t="s">
        <v>310</v>
      </c>
      <c r="H172" s="134">
        <v>41506</v>
      </c>
      <c r="I172" s="1">
        <v>22.34</v>
      </c>
      <c r="J172" s="161"/>
    </row>
    <row r="173" spans="1:10" ht="18" customHeight="1">
      <c r="A173" s="131">
        <v>168</v>
      </c>
      <c r="B173" s="136" t="s">
        <v>312</v>
      </c>
      <c r="C173" s="134">
        <v>41512</v>
      </c>
      <c r="D173" s="1">
        <v>27.28</v>
      </c>
      <c r="E173" s="126" t="s">
        <v>51</v>
      </c>
      <c r="F173" s="123" t="s">
        <v>53</v>
      </c>
      <c r="G173" s="136" t="s">
        <v>312</v>
      </c>
      <c r="H173" s="134">
        <v>41512</v>
      </c>
      <c r="I173" s="1">
        <v>27.28</v>
      </c>
      <c r="J173" s="161"/>
    </row>
    <row r="174" spans="1:10" ht="18" customHeight="1">
      <c r="A174" s="131">
        <v>169</v>
      </c>
      <c r="B174" s="136" t="s">
        <v>313</v>
      </c>
      <c r="C174" s="134">
        <v>41512</v>
      </c>
      <c r="D174" s="1">
        <v>86.19</v>
      </c>
      <c r="E174" s="126" t="s">
        <v>51</v>
      </c>
      <c r="F174" s="123" t="s">
        <v>53</v>
      </c>
      <c r="G174" s="136" t="s">
        <v>313</v>
      </c>
      <c r="H174" s="134">
        <v>41512</v>
      </c>
      <c r="I174" s="1">
        <v>86.19</v>
      </c>
      <c r="J174" s="161"/>
    </row>
    <row r="175" spans="1:10" ht="18" customHeight="1">
      <c r="A175" s="131">
        <v>170</v>
      </c>
      <c r="B175" s="136" t="s">
        <v>314</v>
      </c>
      <c r="C175" s="134">
        <v>41513</v>
      </c>
      <c r="D175" s="1">
        <v>33.75</v>
      </c>
      <c r="E175" s="126" t="s">
        <v>51</v>
      </c>
      <c r="F175" s="123" t="s">
        <v>53</v>
      </c>
      <c r="G175" s="136" t="s">
        <v>314</v>
      </c>
      <c r="H175" s="134">
        <v>41513</v>
      </c>
      <c r="I175" s="1">
        <v>33.75</v>
      </c>
      <c r="J175" s="161"/>
    </row>
    <row r="176" spans="1:10" ht="18" customHeight="1">
      <c r="A176" s="131">
        <v>171</v>
      </c>
      <c r="B176" s="136" t="s">
        <v>315</v>
      </c>
      <c r="C176" s="134">
        <v>41519</v>
      </c>
      <c r="D176" s="1">
        <v>24.84</v>
      </c>
      <c r="E176" s="126" t="s">
        <v>51</v>
      </c>
      <c r="F176" s="123" t="s">
        <v>53</v>
      </c>
      <c r="G176" s="136" t="s">
        <v>315</v>
      </c>
      <c r="H176" s="134">
        <v>41519</v>
      </c>
      <c r="I176" s="1">
        <v>24.84</v>
      </c>
      <c r="J176" s="161"/>
    </row>
    <row r="177" spans="1:10" ht="18" customHeight="1">
      <c r="A177" s="131">
        <v>172</v>
      </c>
      <c r="B177" s="136" t="s">
        <v>320</v>
      </c>
      <c r="C177" s="134">
        <v>41520</v>
      </c>
      <c r="D177" s="1">
        <v>26.6</v>
      </c>
      <c r="E177" s="126" t="s">
        <v>51</v>
      </c>
      <c r="F177" s="123" t="s">
        <v>53</v>
      </c>
      <c r="G177" s="136" t="s">
        <v>320</v>
      </c>
      <c r="H177" s="134">
        <v>41520</v>
      </c>
      <c r="I177" s="1">
        <v>26.6</v>
      </c>
      <c r="J177" s="161"/>
    </row>
    <row r="178" spans="1:10" ht="18" customHeight="1">
      <c r="A178" s="131">
        <v>173</v>
      </c>
      <c r="B178" s="136" t="s">
        <v>321</v>
      </c>
      <c r="C178" s="134">
        <v>41520</v>
      </c>
      <c r="D178" s="1">
        <v>51.81</v>
      </c>
      <c r="E178" s="126" t="s">
        <v>51</v>
      </c>
      <c r="F178" s="123" t="s">
        <v>53</v>
      </c>
      <c r="G178" s="136" t="s">
        <v>321</v>
      </c>
      <c r="H178" s="134">
        <v>41520</v>
      </c>
      <c r="I178" s="1">
        <v>51.81</v>
      </c>
      <c r="J178" s="161"/>
    </row>
    <row r="179" spans="1:10" ht="18" customHeight="1">
      <c r="A179" s="131">
        <v>174</v>
      </c>
      <c r="B179" s="136" t="s">
        <v>322</v>
      </c>
      <c r="C179" s="134">
        <v>41520</v>
      </c>
      <c r="D179" s="1">
        <v>36.479999999999997</v>
      </c>
      <c r="E179" s="126" t="s">
        <v>51</v>
      </c>
      <c r="F179" s="123" t="s">
        <v>53</v>
      </c>
      <c r="G179" s="136" t="s">
        <v>322</v>
      </c>
      <c r="H179" s="134">
        <v>41520</v>
      </c>
      <c r="I179" s="1">
        <v>36.479999999999997</v>
      </c>
      <c r="J179" s="161"/>
    </row>
    <row r="180" spans="1:10" ht="18" customHeight="1">
      <c r="A180" s="131">
        <v>175</v>
      </c>
      <c r="B180" s="136" t="s">
        <v>324</v>
      </c>
      <c r="C180" s="134">
        <v>41526</v>
      </c>
      <c r="D180" s="1">
        <v>5</v>
      </c>
      <c r="E180" s="126" t="s">
        <v>51</v>
      </c>
      <c r="F180" s="123" t="s">
        <v>53</v>
      </c>
      <c r="G180" s="136" t="s">
        <v>324</v>
      </c>
      <c r="H180" s="134">
        <v>41526</v>
      </c>
      <c r="I180" s="1">
        <v>5</v>
      </c>
      <c r="J180" s="161"/>
    </row>
    <row r="181" spans="1:10" ht="18" customHeight="1">
      <c r="A181" s="131">
        <v>176</v>
      </c>
      <c r="B181" s="136" t="s">
        <v>325</v>
      </c>
      <c r="C181" s="134">
        <v>41527</v>
      </c>
      <c r="D181" s="1">
        <v>44.95</v>
      </c>
      <c r="E181" s="126" t="s">
        <v>51</v>
      </c>
      <c r="F181" s="123" t="s">
        <v>53</v>
      </c>
      <c r="G181" s="136" t="s">
        <v>325</v>
      </c>
      <c r="H181" s="134">
        <v>41527</v>
      </c>
      <c r="I181" s="1">
        <v>44.95</v>
      </c>
      <c r="J181" s="161"/>
    </row>
    <row r="182" spans="1:10" ht="18" customHeight="1">
      <c r="A182" s="131">
        <v>177</v>
      </c>
      <c r="B182" s="136" t="s">
        <v>326</v>
      </c>
      <c r="C182" s="134">
        <v>41527</v>
      </c>
      <c r="D182" s="1">
        <v>33.31</v>
      </c>
      <c r="E182" s="126" t="s">
        <v>51</v>
      </c>
      <c r="F182" s="123" t="s">
        <v>53</v>
      </c>
      <c r="G182" s="136" t="s">
        <v>326</v>
      </c>
      <c r="H182" s="134">
        <v>41527</v>
      </c>
      <c r="I182" s="1">
        <v>33.31</v>
      </c>
      <c r="J182" s="161"/>
    </row>
    <row r="183" spans="1:10" ht="18" customHeight="1">
      <c r="A183" s="131">
        <v>178</v>
      </c>
      <c r="B183" s="136" t="s">
        <v>327</v>
      </c>
      <c r="C183" s="134">
        <v>41527</v>
      </c>
      <c r="D183" s="1">
        <v>22.51</v>
      </c>
      <c r="E183" s="126" t="s">
        <v>51</v>
      </c>
      <c r="F183" s="123" t="s">
        <v>53</v>
      </c>
      <c r="G183" s="136" t="s">
        <v>327</v>
      </c>
      <c r="H183" s="134">
        <v>41527</v>
      </c>
      <c r="I183" s="1">
        <v>22.51</v>
      </c>
      <c r="J183" s="161"/>
    </row>
    <row r="184" spans="1:10" ht="18" customHeight="1">
      <c r="A184" s="131">
        <v>179</v>
      </c>
      <c r="B184" s="136" t="s">
        <v>328</v>
      </c>
      <c r="C184" s="134">
        <v>41528</v>
      </c>
      <c r="D184" s="1">
        <v>28.01</v>
      </c>
      <c r="E184" s="126" t="s">
        <v>51</v>
      </c>
      <c r="F184" s="123" t="s">
        <v>53</v>
      </c>
      <c r="G184" s="136" t="s">
        <v>328</v>
      </c>
      <c r="H184" s="134">
        <v>41528</v>
      </c>
      <c r="I184" s="1">
        <v>28.01</v>
      </c>
      <c r="J184" s="161"/>
    </row>
    <row r="185" spans="1:10" ht="18" customHeight="1">
      <c r="A185" s="131">
        <v>180</v>
      </c>
      <c r="B185" s="136" t="s">
        <v>329</v>
      </c>
      <c r="C185" s="134">
        <v>41528</v>
      </c>
      <c r="D185" s="1">
        <v>86.57</v>
      </c>
      <c r="E185" s="126" t="s">
        <v>51</v>
      </c>
      <c r="F185" s="123" t="s">
        <v>53</v>
      </c>
      <c r="G185" s="136" t="s">
        <v>329</v>
      </c>
      <c r="H185" s="134">
        <v>41528</v>
      </c>
      <c r="I185" s="1">
        <v>86.57</v>
      </c>
      <c r="J185" s="161"/>
    </row>
    <row r="186" spans="1:10" ht="18" customHeight="1">
      <c r="A186" s="131">
        <v>181</v>
      </c>
      <c r="B186" s="136" t="s">
        <v>330</v>
      </c>
      <c r="C186" s="134">
        <v>41528</v>
      </c>
      <c r="D186" s="1">
        <v>36.700000000000003</v>
      </c>
      <c r="E186" s="126" t="s">
        <v>51</v>
      </c>
      <c r="F186" s="123" t="s">
        <v>53</v>
      </c>
      <c r="G186" s="136" t="s">
        <v>330</v>
      </c>
      <c r="H186" s="134">
        <v>41528</v>
      </c>
      <c r="I186" s="1">
        <v>36.700000000000003</v>
      </c>
      <c r="J186" s="161"/>
    </row>
    <row r="187" spans="1:10" ht="18" customHeight="1">
      <c r="A187" s="131">
        <v>182</v>
      </c>
      <c r="B187" s="136" t="s">
        <v>331</v>
      </c>
      <c r="C187" s="134">
        <v>41528</v>
      </c>
      <c r="D187" s="1">
        <v>59.52</v>
      </c>
      <c r="E187" s="126" t="s">
        <v>51</v>
      </c>
      <c r="F187" s="123" t="s">
        <v>53</v>
      </c>
      <c r="G187" s="136" t="s">
        <v>331</v>
      </c>
      <c r="H187" s="134">
        <v>41528</v>
      </c>
      <c r="I187" s="1">
        <v>59.52</v>
      </c>
      <c r="J187" s="161"/>
    </row>
    <row r="188" spans="1:10" ht="18" customHeight="1">
      <c r="A188" s="131">
        <v>183</v>
      </c>
      <c r="B188" s="136" t="s">
        <v>332</v>
      </c>
      <c r="C188" s="134">
        <v>41528</v>
      </c>
      <c r="D188" s="1">
        <v>195.16</v>
      </c>
      <c r="E188" s="126" t="s">
        <v>51</v>
      </c>
      <c r="F188" s="123" t="s">
        <v>53</v>
      </c>
      <c r="G188" s="136" t="s">
        <v>332</v>
      </c>
      <c r="H188" s="134">
        <v>41528</v>
      </c>
      <c r="I188" s="1">
        <v>195.16</v>
      </c>
      <c r="J188" s="161"/>
    </row>
    <row r="189" spans="1:10" ht="18" customHeight="1">
      <c r="A189" s="131">
        <v>184</v>
      </c>
      <c r="B189" s="136" t="s">
        <v>335</v>
      </c>
      <c r="C189" s="134">
        <v>41533</v>
      </c>
      <c r="D189" s="1">
        <v>28.82</v>
      </c>
      <c r="E189" s="126" t="s">
        <v>51</v>
      </c>
      <c r="F189" s="123" t="s">
        <v>53</v>
      </c>
      <c r="G189" s="136" t="s">
        <v>335</v>
      </c>
      <c r="H189" s="134">
        <v>41533</v>
      </c>
      <c r="I189" s="1">
        <v>28.82</v>
      </c>
      <c r="J189" s="161"/>
    </row>
    <row r="190" spans="1:10" ht="18" customHeight="1">
      <c r="A190" s="131">
        <v>185</v>
      </c>
      <c r="B190" s="136" t="s">
        <v>336</v>
      </c>
      <c r="C190" s="134">
        <v>41534</v>
      </c>
      <c r="D190" s="1">
        <v>22.3</v>
      </c>
      <c r="E190" s="126" t="s">
        <v>51</v>
      </c>
      <c r="F190" s="123" t="s">
        <v>53</v>
      </c>
      <c r="G190" s="136" t="s">
        <v>336</v>
      </c>
      <c r="H190" s="134">
        <v>41534</v>
      </c>
      <c r="I190" s="1">
        <v>22.3</v>
      </c>
      <c r="J190" s="161"/>
    </row>
    <row r="191" spans="1:10" ht="18" customHeight="1">
      <c r="A191" s="131">
        <v>186</v>
      </c>
      <c r="B191" s="136" t="s">
        <v>337</v>
      </c>
      <c r="C191" s="134">
        <v>41534</v>
      </c>
      <c r="D191" s="1">
        <v>39.630000000000003</v>
      </c>
      <c r="E191" s="126" t="s">
        <v>51</v>
      </c>
      <c r="F191" s="123" t="s">
        <v>53</v>
      </c>
      <c r="G191" s="136" t="s">
        <v>337</v>
      </c>
      <c r="H191" s="134">
        <v>41534</v>
      </c>
      <c r="I191" s="1">
        <v>39.630000000000003</v>
      </c>
      <c r="J191" s="161"/>
    </row>
    <row r="192" spans="1:10" ht="18" customHeight="1">
      <c r="A192" s="131">
        <v>187</v>
      </c>
      <c r="B192" s="136" t="s">
        <v>338</v>
      </c>
      <c r="C192" s="134">
        <v>41534</v>
      </c>
      <c r="D192" s="1">
        <v>37.340000000000003</v>
      </c>
      <c r="E192" s="126" t="s">
        <v>51</v>
      </c>
      <c r="F192" s="123" t="s">
        <v>53</v>
      </c>
      <c r="G192" s="136" t="s">
        <v>338</v>
      </c>
      <c r="H192" s="134">
        <v>41534</v>
      </c>
      <c r="I192" s="1">
        <v>37.340000000000003</v>
      </c>
      <c r="J192" s="161"/>
    </row>
    <row r="193" spans="1:10" ht="18" customHeight="1">
      <c r="A193" s="131">
        <v>188</v>
      </c>
      <c r="B193" s="136" t="s">
        <v>339</v>
      </c>
      <c r="C193" s="134">
        <v>41534</v>
      </c>
      <c r="D193" s="1">
        <v>22.1</v>
      </c>
      <c r="E193" s="126" t="s">
        <v>51</v>
      </c>
      <c r="F193" s="123" t="s">
        <v>53</v>
      </c>
      <c r="G193" s="136" t="s">
        <v>339</v>
      </c>
      <c r="H193" s="134">
        <v>41534</v>
      </c>
      <c r="I193" s="1">
        <v>22.1</v>
      </c>
      <c r="J193" s="161"/>
    </row>
    <row r="194" spans="1:10" ht="18" customHeight="1">
      <c r="A194" s="131">
        <v>189</v>
      </c>
      <c r="B194" s="136" t="s">
        <v>342</v>
      </c>
      <c r="C194" s="134">
        <v>41542</v>
      </c>
      <c r="D194" s="1">
        <v>37</v>
      </c>
      <c r="E194" s="126" t="s">
        <v>51</v>
      </c>
      <c r="F194" s="123" t="s">
        <v>53</v>
      </c>
      <c r="G194" s="136" t="s">
        <v>342</v>
      </c>
      <c r="H194" s="134">
        <v>41542</v>
      </c>
      <c r="I194" s="1">
        <v>37</v>
      </c>
      <c r="J194" s="161"/>
    </row>
    <row r="195" spans="1:10" ht="18" customHeight="1">
      <c r="A195" s="131">
        <v>190</v>
      </c>
      <c r="B195" s="136" t="s">
        <v>343</v>
      </c>
      <c r="C195" s="134">
        <v>41542</v>
      </c>
      <c r="D195" s="1">
        <v>22.3</v>
      </c>
      <c r="E195" s="126" t="s">
        <v>51</v>
      </c>
      <c r="F195" s="123" t="s">
        <v>53</v>
      </c>
      <c r="G195" s="136" t="s">
        <v>343</v>
      </c>
      <c r="H195" s="134">
        <v>41542</v>
      </c>
      <c r="I195" s="1">
        <v>22.3</v>
      </c>
      <c r="J195" s="161"/>
    </row>
    <row r="196" spans="1:10" ht="18" customHeight="1">
      <c r="A196" s="131">
        <v>191</v>
      </c>
      <c r="B196" s="136" t="s">
        <v>344</v>
      </c>
      <c r="C196" s="134">
        <v>41542</v>
      </c>
      <c r="D196" s="1">
        <v>66.61</v>
      </c>
      <c r="E196" s="126" t="s">
        <v>51</v>
      </c>
      <c r="F196" s="123" t="s">
        <v>53</v>
      </c>
      <c r="G196" s="136" t="s">
        <v>344</v>
      </c>
      <c r="H196" s="134">
        <v>41542</v>
      </c>
      <c r="I196" s="1">
        <v>66.61</v>
      </c>
      <c r="J196" s="161"/>
    </row>
    <row r="197" spans="1:10" ht="18" customHeight="1">
      <c r="A197" s="131">
        <v>192</v>
      </c>
      <c r="B197" s="136" t="s">
        <v>345</v>
      </c>
      <c r="C197" s="134">
        <v>41547</v>
      </c>
      <c r="D197" s="1">
        <v>22.3</v>
      </c>
      <c r="E197" s="126" t="s">
        <v>51</v>
      </c>
      <c r="F197" s="123" t="s">
        <v>53</v>
      </c>
      <c r="G197" s="136" t="s">
        <v>345</v>
      </c>
      <c r="H197" s="134">
        <v>41547</v>
      </c>
      <c r="I197" s="1">
        <v>22.3</v>
      </c>
      <c r="J197" s="161"/>
    </row>
    <row r="198" spans="1:10" ht="18" customHeight="1">
      <c r="A198" s="131">
        <v>193</v>
      </c>
      <c r="B198" s="136" t="s">
        <v>346</v>
      </c>
      <c r="C198" s="134">
        <v>41547</v>
      </c>
      <c r="D198" s="1">
        <v>34.020000000000003</v>
      </c>
      <c r="E198" s="126" t="s">
        <v>51</v>
      </c>
      <c r="F198" s="123" t="s">
        <v>53</v>
      </c>
      <c r="G198" s="136" t="s">
        <v>346</v>
      </c>
      <c r="H198" s="134">
        <v>41547</v>
      </c>
      <c r="I198" s="1">
        <v>34.020000000000003</v>
      </c>
      <c r="J198" s="161"/>
    </row>
    <row r="199" spans="1:10" ht="18" customHeight="1">
      <c r="A199" s="131">
        <v>194</v>
      </c>
      <c r="B199" s="136" t="s">
        <v>347</v>
      </c>
      <c r="C199" s="134">
        <v>41547</v>
      </c>
      <c r="D199" s="1">
        <v>23.38</v>
      </c>
      <c r="E199" s="126" t="s">
        <v>51</v>
      </c>
      <c r="F199" s="123" t="s">
        <v>53</v>
      </c>
      <c r="G199" s="136" t="s">
        <v>347</v>
      </c>
      <c r="H199" s="134">
        <v>41547</v>
      </c>
      <c r="I199" s="1">
        <v>23.38</v>
      </c>
      <c r="J199" s="161"/>
    </row>
    <row r="200" spans="1:10" ht="18" customHeight="1">
      <c r="A200" s="131">
        <v>195</v>
      </c>
      <c r="B200" s="136" t="s">
        <v>348</v>
      </c>
      <c r="C200" s="134">
        <v>41547</v>
      </c>
      <c r="D200" s="1">
        <v>23.87</v>
      </c>
      <c r="E200" s="126" t="s">
        <v>51</v>
      </c>
      <c r="F200" s="123" t="s">
        <v>53</v>
      </c>
      <c r="G200" s="136" t="s">
        <v>348</v>
      </c>
      <c r="H200" s="134">
        <v>41547</v>
      </c>
      <c r="I200" s="1">
        <v>23.87</v>
      </c>
      <c r="J200" s="161"/>
    </row>
    <row r="201" spans="1:10" ht="18" customHeight="1">
      <c r="A201" s="131">
        <v>196</v>
      </c>
      <c r="B201" s="136" t="s">
        <v>351</v>
      </c>
      <c r="C201" s="134">
        <v>41555</v>
      </c>
      <c r="D201" s="1">
        <v>26.6</v>
      </c>
      <c r="E201" s="126" t="s">
        <v>51</v>
      </c>
      <c r="F201" s="123" t="s">
        <v>53</v>
      </c>
      <c r="G201" s="136" t="s">
        <v>351</v>
      </c>
      <c r="H201" s="134">
        <v>41555</v>
      </c>
      <c r="I201" s="1">
        <v>26.6</v>
      </c>
      <c r="J201" s="161"/>
    </row>
    <row r="202" spans="1:10" ht="18" customHeight="1">
      <c r="A202" s="131">
        <v>197</v>
      </c>
      <c r="B202" s="136" t="s">
        <v>352</v>
      </c>
      <c r="C202" s="134">
        <v>41555</v>
      </c>
      <c r="D202" s="1">
        <v>22.1</v>
      </c>
      <c r="E202" s="126" t="s">
        <v>51</v>
      </c>
      <c r="F202" s="123" t="s">
        <v>53</v>
      </c>
      <c r="G202" s="136" t="s">
        <v>352</v>
      </c>
      <c r="H202" s="134">
        <v>41555</v>
      </c>
      <c r="I202" s="1">
        <v>22.1</v>
      </c>
      <c r="J202" s="161"/>
    </row>
    <row r="203" spans="1:10" ht="18" customHeight="1">
      <c r="A203" s="131">
        <v>198</v>
      </c>
      <c r="B203" s="136" t="s">
        <v>353</v>
      </c>
      <c r="C203" s="134">
        <v>41555</v>
      </c>
      <c r="D203" s="1">
        <v>23.74</v>
      </c>
      <c r="E203" s="126" t="s">
        <v>51</v>
      </c>
      <c r="F203" s="123" t="s">
        <v>53</v>
      </c>
      <c r="G203" s="136" t="s">
        <v>353</v>
      </c>
      <c r="H203" s="134">
        <v>41555</v>
      </c>
      <c r="I203" s="1">
        <v>23.74</v>
      </c>
      <c r="J203" s="161"/>
    </row>
    <row r="204" spans="1:10" ht="18" customHeight="1">
      <c r="A204" s="131">
        <v>199</v>
      </c>
      <c r="B204" s="136" t="s">
        <v>354</v>
      </c>
      <c r="C204" s="134">
        <v>41555</v>
      </c>
      <c r="D204" s="1">
        <v>27.52</v>
      </c>
      <c r="E204" s="126" t="s">
        <v>51</v>
      </c>
      <c r="F204" s="123" t="s">
        <v>53</v>
      </c>
      <c r="G204" s="136" t="s">
        <v>354</v>
      </c>
      <c r="H204" s="134">
        <v>41555</v>
      </c>
      <c r="I204" s="1">
        <v>27.52</v>
      </c>
      <c r="J204" s="161"/>
    </row>
    <row r="205" spans="1:10" ht="18" customHeight="1">
      <c r="A205" s="131">
        <v>200</v>
      </c>
      <c r="B205" s="136" t="s">
        <v>355</v>
      </c>
      <c r="C205" s="134">
        <v>41555</v>
      </c>
      <c r="D205" s="1">
        <v>43.05</v>
      </c>
      <c r="E205" s="126" t="s">
        <v>51</v>
      </c>
      <c r="F205" s="123" t="s">
        <v>53</v>
      </c>
      <c r="G205" s="136" t="s">
        <v>355</v>
      </c>
      <c r="H205" s="134">
        <v>41555</v>
      </c>
      <c r="I205" s="1">
        <v>43.05</v>
      </c>
      <c r="J205" s="161"/>
    </row>
    <row r="206" spans="1:10" ht="18" customHeight="1">
      <c r="A206" s="131">
        <v>201</v>
      </c>
      <c r="B206" s="136" t="s">
        <v>356</v>
      </c>
      <c r="C206" s="134">
        <v>41555</v>
      </c>
      <c r="D206" s="1">
        <v>57.65</v>
      </c>
      <c r="E206" s="126" t="s">
        <v>51</v>
      </c>
      <c r="F206" s="123" t="s">
        <v>53</v>
      </c>
      <c r="G206" s="136" t="s">
        <v>356</v>
      </c>
      <c r="H206" s="134">
        <v>41555</v>
      </c>
      <c r="I206" s="1">
        <v>57.65</v>
      </c>
      <c r="J206" s="161"/>
    </row>
    <row r="207" spans="1:10" ht="18" customHeight="1">
      <c r="A207" s="131">
        <v>202</v>
      </c>
      <c r="B207" s="136" t="s">
        <v>357</v>
      </c>
      <c r="C207" s="134">
        <v>41556</v>
      </c>
      <c r="D207" s="1">
        <v>35.94</v>
      </c>
      <c r="E207" s="126" t="s">
        <v>51</v>
      </c>
      <c r="F207" s="123" t="s">
        <v>53</v>
      </c>
      <c r="G207" s="136" t="s">
        <v>357</v>
      </c>
      <c r="H207" s="134">
        <v>41556</v>
      </c>
      <c r="I207" s="1">
        <v>35.94</v>
      </c>
      <c r="J207" s="161"/>
    </row>
    <row r="208" spans="1:10" ht="18" customHeight="1">
      <c r="A208" s="131">
        <v>203</v>
      </c>
      <c r="B208" s="136" t="s">
        <v>360</v>
      </c>
      <c r="C208" s="134">
        <v>41558</v>
      </c>
      <c r="D208" s="1">
        <v>69.25</v>
      </c>
      <c r="E208" s="126" t="s">
        <v>51</v>
      </c>
      <c r="F208" s="123" t="s">
        <v>53</v>
      </c>
      <c r="G208" s="136" t="s">
        <v>360</v>
      </c>
      <c r="H208" s="134">
        <v>41558</v>
      </c>
      <c r="I208" s="1">
        <v>69.25</v>
      </c>
      <c r="J208" s="161"/>
    </row>
    <row r="209" spans="1:10" ht="18" customHeight="1">
      <c r="A209" s="131">
        <v>204</v>
      </c>
      <c r="B209" s="136" t="s">
        <v>361</v>
      </c>
      <c r="C209" s="134">
        <v>41558</v>
      </c>
      <c r="D209" s="1">
        <v>26.81</v>
      </c>
      <c r="E209" s="126" t="s">
        <v>51</v>
      </c>
      <c r="F209" s="123" t="s">
        <v>53</v>
      </c>
      <c r="G209" s="136" t="s">
        <v>361</v>
      </c>
      <c r="H209" s="134">
        <v>41558</v>
      </c>
      <c r="I209" s="1">
        <v>26.81</v>
      </c>
      <c r="J209" s="161"/>
    </row>
    <row r="210" spans="1:10" ht="18" customHeight="1">
      <c r="A210" s="131">
        <v>205</v>
      </c>
      <c r="B210" s="136" t="s">
        <v>362</v>
      </c>
      <c r="C210" s="134">
        <v>41558</v>
      </c>
      <c r="D210" s="1">
        <v>55.79</v>
      </c>
      <c r="E210" s="126" t="s">
        <v>51</v>
      </c>
      <c r="F210" s="123" t="s">
        <v>53</v>
      </c>
      <c r="G210" s="136" t="s">
        <v>362</v>
      </c>
      <c r="H210" s="134">
        <v>41558</v>
      </c>
      <c r="I210" s="1">
        <v>55.79</v>
      </c>
      <c r="J210" s="161"/>
    </row>
    <row r="211" spans="1:10" ht="18" customHeight="1">
      <c r="A211" s="131">
        <v>206</v>
      </c>
      <c r="B211" s="136" t="s">
        <v>363</v>
      </c>
      <c r="C211" s="134">
        <v>41563</v>
      </c>
      <c r="D211" s="1">
        <v>30.39</v>
      </c>
      <c r="E211" s="126" t="s">
        <v>51</v>
      </c>
      <c r="F211" s="123" t="s">
        <v>53</v>
      </c>
      <c r="G211" s="136" t="s">
        <v>363</v>
      </c>
      <c r="H211" s="134">
        <v>41563</v>
      </c>
      <c r="I211" s="1">
        <v>30.39</v>
      </c>
      <c r="J211" s="161"/>
    </row>
    <row r="212" spans="1:10" ht="18" customHeight="1">
      <c r="A212" s="131">
        <v>207</v>
      </c>
      <c r="B212" s="136" t="s">
        <v>364</v>
      </c>
      <c r="C212" s="134">
        <v>41568</v>
      </c>
      <c r="D212" s="1">
        <v>25.7</v>
      </c>
      <c r="E212" s="126" t="s">
        <v>51</v>
      </c>
      <c r="F212" s="123" t="s">
        <v>53</v>
      </c>
      <c r="G212" s="136" t="s">
        <v>364</v>
      </c>
      <c r="H212" s="134">
        <v>41568</v>
      </c>
      <c r="I212" s="1">
        <v>25.7</v>
      </c>
      <c r="J212" s="161"/>
    </row>
    <row r="213" spans="1:10" ht="18" customHeight="1">
      <c r="A213" s="131">
        <v>208</v>
      </c>
      <c r="B213" s="136" t="s">
        <v>365</v>
      </c>
      <c r="C213" s="134">
        <v>41568</v>
      </c>
      <c r="D213" s="1">
        <v>25.14</v>
      </c>
      <c r="E213" s="126" t="s">
        <v>51</v>
      </c>
      <c r="F213" s="123" t="s">
        <v>53</v>
      </c>
      <c r="G213" s="136" t="s">
        <v>365</v>
      </c>
      <c r="H213" s="134">
        <v>41568</v>
      </c>
      <c r="I213" s="1">
        <v>25.14</v>
      </c>
      <c r="J213" s="161"/>
    </row>
    <row r="214" spans="1:10" ht="18" customHeight="1">
      <c r="A214" s="131">
        <v>209</v>
      </c>
      <c r="B214" s="136" t="s">
        <v>366</v>
      </c>
      <c r="C214" s="134">
        <v>41568</v>
      </c>
      <c r="D214" s="1">
        <v>39.39</v>
      </c>
      <c r="E214" s="126" t="s">
        <v>51</v>
      </c>
      <c r="F214" s="123" t="s">
        <v>53</v>
      </c>
      <c r="G214" s="136" t="s">
        <v>366</v>
      </c>
      <c r="H214" s="134">
        <v>41568</v>
      </c>
      <c r="I214" s="1">
        <v>39.39</v>
      </c>
      <c r="J214" s="161"/>
    </row>
    <row r="215" spans="1:10" ht="18" customHeight="1">
      <c r="A215" s="131">
        <v>210</v>
      </c>
      <c r="B215" s="136" t="s">
        <v>369</v>
      </c>
      <c r="C215" s="134">
        <v>41569</v>
      </c>
      <c r="D215" s="1">
        <v>30.9</v>
      </c>
      <c r="E215" s="126" t="s">
        <v>51</v>
      </c>
      <c r="F215" s="123" t="s">
        <v>53</v>
      </c>
      <c r="G215" s="136" t="s">
        <v>369</v>
      </c>
      <c r="H215" s="134">
        <v>41569</v>
      </c>
      <c r="I215" s="1">
        <v>30.9</v>
      </c>
      <c r="J215" s="161"/>
    </row>
    <row r="216" spans="1:10" ht="18" customHeight="1">
      <c r="A216" s="131">
        <v>211</v>
      </c>
      <c r="B216" s="136" t="s">
        <v>370</v>
      </c>
      <c r="C216" s="134">
        <v>41575</v>
      </c>
      <c r="D216" s="1">
        <v>26.81</v>
      </c>
      <c r="E216" s="126" t="s">
        <v>51</v>
      </c>
      <c r="F216" s="123" t="s">
        <v>53</v>
      </c>
      <c r="G216" s="136" t="s">
        <v>370</v>
      </c>
      <c r="H216" s="134">
        <v>41575</v>
      </c>
      <c r="I216" s="1">
        <v>26.81</v>
      </c>
      <c r="J216" s="161"/>
    </row>
    <row r="217" spans="1:10" ht="18" customHeight="1">
      <c r="A217" s="131">
        <v>212</v>
      </c>
      <c r="B217" s="136" t="s">
        <v>371</v>
      </c>
      <c r="C217" s="134">
        <v>41575</v>
      </c>
      <c r="D217" s="1">
        <v>26.76</v>
      </c>
      <c r="E217" s="126" t="s">
        <v>51</v>
      </c>
      <c r="F217" s="123" t="s">
        <v>53</v>
      </c>
      <c r="G217" s="136" t="s">
        <v>371</v>
      </c>
      <c r="H217" s="134">
        <v>41575</v>
      </c>
      <c r="I217" s="1">
        <v>26.76</v>
      </c>
      <c r="J217" s="161"/>
    </row>
    <row r="218" spans="1:10" ht="18" customHeight="1">
      <c r="A218" s="131">
        <v>213</v>
      </c>
      <c r="B218" s="136" t="s">
        <v>372</v>
      </c>
      <c r="C218" s="134">
        <v>41575</v>
      </c>
      <c r="D218" s="1">
        <v>36.049999999999997</v>
      </c>
      <c r="E218" s="126" t="s">
        <v>51</v>
      </c>
      <c r="F218" s="123" t="s">
        <v>53</v>
      </c>
      <c r="G218" s="136" t="s">
        <v>372</v>
      </c>
      <c r="H218" s="134">
        <v>41575</v>
      </c>
      <c r="I218" s="1">
        <v>36.049999999999997</v>
      </c>
      <c r="J218" s="161"/>
    </row>
    <row r="219" spans="1:10" ht="18" customHeight="1">
      <c r="A219" s="131">
        <v>214</v>
      </c>
      <c r="B219" s="136" t="s">
        <v>373</v>
      </c>
      <c r="C219" s="134">
        <v>41575</v>
      </c>
      <c r="D219" s="1">
        <v>31.7</v>
      </c>
      <c r="E219" s="126" t="s">
        <v>51</v>
      </c>
      <c r="F219" s="123" t="s">
        <v>53</v>
      </c>
      <c r="G219" s="136" t="s">
        <v>373</v>
      </c>
      <c r="H219" s="134">
        <v>41575</v>
      </c>
      <c r="I219" s="1">
        <v>31.7</v>
      </c>
      <c r="J219" s="161"/>
    </row>
    <row r="220" spans="1:10" ht="18" customHeight="1">
      <c r="A220" s="131">
        <v>215</v>
      </c>
      <c r="B220" s="136" t="s">
        <v>374</v>
      </c>
      <c r="C220" s="134">
        <v>41575</v>
      </c>
      <c r="D220" s="1">
        <v>52.45</v>
      </c>
      <c r="E220" s="126" t="s">
        <v>51</v>
      </c>
      <c r="F220" s="123" t="s">
        <v>53</v>
      </c>
      <c r="G220" s="136" t="s">
        <v>374</v>
      </c>
      <c r="H220" s="134">
        <v>41575</v>
      </c>
      <c r="I220" s="1">
        <v>52.45</v>
      </c>
      <c r="J220" s="161"/>
    </row>
    <row r="221" spans="1:10" ht="18" customHeight="1">
      <c r="A221" s="131">
        <v>216</v>
      </c>
      <c r="B221" s="136" t="s">
        <v>379</v>
      </c>
      <c r="C221" s="134">
        <v>41582</v>
      </c>
      <c r="D221" s="1">
        <v>22.1</v>
      </c>
      <c r="E221" s="126" t="s">
        <v>51</v>
      </c>
      <c r="F221" s="123" t="s">
        <v>53</v>
      </c>
      <c r="G221" s="136" t="s">
        <v>379</v>
      </c>
      <c r="H221" s="134">
        <v>41582</v>
      </c>
      <c r="I221" s="1">
        <v>22.1</v>
      </c>
      <c r="J221" s="161"/>
    </row>
    <row r="222" spans="1:10" ht="18" customHeight="1">
      <c r="A222" s="131">
        <v>217</v>
      </c>
      <c r="B222" s="136" t="s">
        <v>380</v>
      </c>
      <c r="C222" s="134">
        <v>41583</v>
      </c>
      <c r="D222" s="1">
        <v>29.5</v>
      </c>
      <c r="E222" s="126" t="s">
        <v>51</v>
      </c>
      <c r="F222" s="123" t="s">
        <v>53</v>
      </c>
      <c r="G222" s="136" t="s">
        <v>380</v>
      </c>
      <c r="H222" s="134">
        <v>41583</v>
      </c>
      <c r="I222" s="1">
        <v>29.5</v>
      </c>
      <c r="J222" s="161"/>
    </row>
    <row r="223" spans="1:10" ht="18" customHeight="1">
      <c r="A223" s="131">
        <v>218</v>
      </c>
      <c r="B223" s="136" t="s">
        <v>381</v>
      </c>
      <c r="C223" s="134">
        <v>41583</v>
      </c>
      <c r="D223" s="1">
        <v>5</v>
      </c>
      <c r="E223" s="126" t="s">
        <v>51</v>
      </c>
      <c r="F223" s="123" t="s">
        <v>53</v>
      </c>
      <c r="G223" s="136" t="s">
        <v>381</v>
      </c>
      <c r="H223" s="134">
        <v>41583</v>
      </c>
      <c r="I223" s="1">
        <v>5</v>
      </c>
      <c r="J223" s="161"/>
    </row>
    <row r="224" spans="1:10" ht="18" customHeight="1">
      <c r="A224" s="131">
        <v>219</v>
      </c>
      <c r="B224" s="136" t="s">
        <v>382</v>
      </c>
      <c r="C224" s="134">
        <v>41583</v>
      </c>
      <c r="D224" s="1">
        <v>117.01</v>
      </c>
      <c r="E224" s="126" t="s">
        <v>51</v>
      </c>
      <c r="F224" s="123" t="s">
        <v>53</v>
      </c>
      <c r="G224" s="136" t="s">
        <v>382</v>
      </c>
      <c r="H224" s="134">
        <v>41583</v>
      </c>
      <c r="I224" s="1">
        <v>117.01</v>
      </c>
      <c r="J224" s="161"/>
    </row>
    <row r="225" spans="1:10" ht="18" customHeight="1">
      <c r="A225" s="131">
        <v>220</v>
      </c>
      <c r="B225" s="136" t="s">
        <v>383</v>
      </c>
      <c r="C225" s="134">
        <v>41589</v>
      </c>
      <c r="D225" s="1">
        <v>28.02</v>
      </c>
      <c r="E225" s="126" t="s">
        <v>51</v>
      </c>
      <c r="F225" s="123" t="s">
        <v>53</v>
      </c>
      <c r="G225" s="136" t="s">
        <v>383</v>
      </c>
      <c r="H225" s="134">
        <v>41589</v>
      </c>
      <c r="I225" s="1">
        <v>28.02</v>
      </c>
      <c r="J225" s="161"/>
    </row>
    <row r="226" spans="1:10" ht="18" customHeight="1">
      <c r="A226" s="131">
        <v>221</v>
      </c>
      <c r="B226" s="136" t="s">
        <v>384</v>
      </c>
      <c r="C226" s="134">
        <v>41589</v>
      </c>
      <c r="D226" s="1">
        <v>24.8</v>
      </c>
      <c r="E226" s="126" t="s">
        <v>51</v>
      </c>
      <c r="F226" s="123" t="s">
        <v>53</v>
      </c>
      <c r="G226" s="136" t="s">
        <v>384</v>
      </c>
      <c r="H226" s="134">
        <v>41589</v>
      </c>
      <c r="I226" s="1">
        <v>24.8</v>
      </c>
      <c r="J226" s="161"/>
    </row>
    <row r="227" spans="1:10" ht="18" customHeight="1">
      <c r="A227" s="131">
        <v>222</v>
      </c>
      <c r="B227" s="136" t="s">
        <v>385</v>
      </c>
      <c r="C227" s="134">
        <v>41593</v>
      </c>
      <c r="D227" s="1">
        <v>27.56</v>
      </c>
      <c r="E227" s="126" t="s">
        <v>51</v>
      </c>
      <c r="F227" s="123" t="s">
        <v>53</v>
      </c>
      <c r="G227" s="136" t="s">
        <v>385</v>
      </c>
      <c r="H227" s="134">
        <v>41593</v>
      </c>
      <c r="I227" s="1">
        <v>27.56</v>
      </c>
      <c r="J227" s="161"/>
    </row>
    <row r="228" spans="1:10" ht="18" customHeight="1">
      <c r="A228" s="131">
        <v>223</v>
      </c>
      <c r="B228" s="136" t="s">
        <v>390</v>
      </c>
      <c r="C228" s="134">
        <v>41610</v>
      </c>
      <c r="D228" s="1">
        <v>30.96</v>
      </c>
      <c r="E228" s="126" t="s">
        <v>51</v>
      </c>
      <c r="F228" s="123" t="s">
        <v>53</v>
      </c>
      <c r="G228" s="136" t="s">
        <v>390</v>
      </c>
      <c r="H228" s="134">
        <v>41610</v>
      </c>
      <c r="I228" s="1">
        <v>30.96</v>
      </c>
      <c r="J228" s="161"/>
    </row>
    <row r="229" spans="1:10" ht="18" customHeight="1">
      <c r="A229" s="131">
        <v>224</v>
      </c>
      <c r="B229" s="136" t="s">
        <v>391</v>
      </c>
      <c r="C229" s="134">
        <v>41611</v>
      </c>
      <c r="D229" s="1">
        <v>59.29</v>
      </c>
      <c r="E229" s="126" t="s">
        <v>51</v>
      </c>
      <c r="F229" s="123" t="s">
        <v>53</v>
      </c>
      <c r="G229" s="136" t="s">
        <v>391</v>
      </c>
      <c r="H229" s="134">
        <v>41611</v>
      </c>
      <c r="I229" s="1">
        <v>59.29</v>
      </c>
      <c r="J229" s="161"/>
    </row>
    <row r="230" spans="1:10" ht="18" customHeight="1">
      <c r="A230" s="131">
        <v>225</v>
      </c>
      <c r="B230" s="136" t="s">
        <v>394</v>
      </c>
      <c r="C230" s="134">
        <v>41618</v>
      </c>
      <c r="D230" s="1">
        <v>22.52</v>
      </c>
      <c r="E230" s="126" t="s">
        <v>51</v>
      </c>
      <c r="F230" s="123" t="s">
        <v>53</v>
      </c>
      <c r="G230" s="136" t="s">
        <v>394</v>
      </c>
      <c r="H230" s="134">
        <v>41618</v>
      </c>
      <c r="I230" s="1">
        <v>22.52</v>
      </c>
      <c r="J230" s="161"/>
    </row>
    <row r="231" spans="1:10" ht="18" customHeight="1">
      <c r="A231" s="131">
        <v>226</v>
      </c>
      <c r="B231" s="136" t="s">
        <v>395</v>
      </c>
      <c r="C231" s="134">
        <v>41619</v>
      </c>
      <c r="D231" s="1">
        <v>149.28</v>
      </c>
      <c r="E231" s="126" t="s">
        <v>51</v>
      </c>
      <c r="F231" s="123" t="s">
        <v>53</v>
      </c>
      <c r="G231" s="136" t="s">
        <v>395</v>
      </c>
      <c r="H231" s="134">
        <v>41619</v>
      </c>
      <c r="I231" s="1">
        <v>149.28</v>
      </c>
      <c r="J231" s="161"/>
    </row>
    <row r="232" spans="1:10" ht="18" customHeight="1">
      <c r="A232" s="131">
        <v>227</v>
      </c>
      <c r="B232" s="136" t="s">
        <v>396</v>
      </c>
      <c r="C232" s="134">
        <v>41619</v>
      </c>
      <c r="D232" s="1">
        <v>75.19</v>
      </c>
      <c r="E232" s="126" t="s">
        <v>51</v>
      </c>
      <c r="F232" s="123" t="s">
        <v>53</v>
      </c>
      <c r="G232" s="136" t="s">
        <v>396</v>
      </c>
      <c r="H232" s="134">
        <v>41619</v>
      </c>
      <c r="I232" s="1">
        <v>75.19</v>
      </c>
      <c r="J232" s="161"/>
    </row>
    <row r="233" spans="1:10" ht="18" customHeight="1">
      <c r="A233" s="131">
        <v>228</v>
      </c>
      <c r="B233" s="136" t="s">
        <v>397</v>
      </c>
      <c r="C233" s="134">
        <v>41619</v>
      </c>
      <c r="D233" s="1">
        <v>23.89</v>
      </c>
      <c r="E233" s="126" t="s">
        <v>51</v>
      </c>
      <c r="F233" s="123" t="s">
        <v>53</v>
      </c>
      <c r="G233" s="136" t="s">
        <v>397</v>
      </c>
      <c r="H233" s="134">
        <v>41619</v>
      </c>
      <c r="I233" s="1">
        <v>23.89</v>
      </c>
      <c r="J233" s="161"/>
    </row>
    <row r="234" spans="1:10" ht="18" customHeight="1">
      <c r="A234" s="131">
        <v>229</v>
      </c>
      <c r="B234" s="136" t="s">
        <v>398</v>
      </c>
      <c r="C234" s="134">
        <v>41619</v>
      </c>
      <c r="D234" s="1">
        <v>60.08</v>
      </c>
      <c r="E234" s="126" t="s">
        <v>51</v>
      </c>
      <c r="F234" s="123" t="s">
        <v>53</v>
      </c>
      <c r="G234" s="136" t="s">
        <v>398</v>
      </c>
      <c r="H234" s="134">
        <v>41619</v>
      </c>
      <c r="I234" s="1">
        <v>60.08</v>
      </c>
      <c r="J234" s="161"/>
    </row>
    <row r="235" spans="1:10" ht="18" customHeight="1">
      <c r="A235" s="131">
        <v>230</v>
      </c>
      <c r="B235" s="136" t="s">
        <v>399</v>
      </c>
      <c r="C235" s="134">
        <v>41619</v>
      </c>
      <c r="D235" s="1">
        <v>31.16</v>
      </c>
      <c r="E235" s="126" t="s">
        <v>51</v>
      </c>
      <c r="F235" s="123" t="s">
        <v>53</v>
      </c>
      <c r="G235" s="136" t="s">
        <v>399</v>
      </c>
      <c r="H235" s="134">
        <v>41619</v>
      </c>
      <c r="I235" s="1">
        <v>31.16</v>
      </c>
      <c r="J235" s="161"/>
    </row>
    <row r="236" spans="1:10" ht="18" customHeight="1">
      <c r="A236" s="131">
        <v>231</v>
      </c>
      <c r="B236" s="136" t="s">
        <v>402</v>
      </c>
      <c r="C236" s="134">
        <v>41624</v>
      </c>
      <c r="D236" s="1">
        <v>45.38</v>
      </c>
      <c r="E236" s="126" t="s">
        <v>51</v>
      </c>
      <c r="F236" s="123" t="s">
        <v>53</v>
      </c>
      <c r="G236" s="136" t="s">
        <v>402</v>
      </c>
      <c r="H236" s="134">
        <v>41624</v>
      </c>
      <c r="I236" s="1">
        <v>45.38</v>
      </c>
      <c r="J236" s="161"/>
    </row>
    <row r="237" spans="1:10" ht="18" customHeight="1">
      <c r="A237" s="131">
        <v>232</v>
      </c>
      <c r="B237" s="136" t="s">
        <v>403</v>
      </c>
      <c r="C237" s="134">
        <v>41625</v>
      </c>
      <c r="D237" s="1">
        <v>22.3</v>
      </c>
      <c r="E237" s="126" t="s">
        <v>51</v>
      </c>
      <c r="F237" s="123" t="s">
        <v>53</v>
      </c>
      <c r="G237" s="136" t="s">
        <v>403</v>
      </c>
      <c r="H237" s="134">
        <v>41625</v>
      </c>
      <c r="I237" s="1">
        <v>22.3</v>
      </c>
      <c r="J237" s="161"/>
    </row>
    <row r="238" spans="1:10" ht="18" customHeight="1">
      <c r="A238" s="131">
        <v>233</v>
      </c>
      <c r="B238" s="136" t="s">
        <v>404</v>
      </c>
      <c r="C238" s="134">
        <v>41625</v>
      </c>
      <c r="D238" s="1">
        <v>22.3</v>
      </c>
      <c r="E238" s="126" t="s">
        <v>51</v>
      </c>
      <c r="F238" s="123" t="s">
        <v>53</v>
      </c>
      <c r="G238" s="136" t="s">
        <v>404</v>
      </c>
      <c r="H238" s="134">
        <v>41625</v>
      </c>
      <c r="I238" s="1">
        <v>22.3</v>
      </c>
      <c r="J238" s="161"/>
    </row>
    <row r="239" spans="1:10" ht="18" customHeight="1">
      <c r="A239" s="131">
        <v>234</v>
      </c>
      <c r="B239" s="136" t="s">
        <v>405</v>
      </c>
      <c r="C239" s="134">
        <v>41625</v>
      </c>
      <c r="D239" s="1">
        <v>26.79</v>
      </c>
      <c r="E239" s="126" t="s">
        <v>51</v>
      </c>
      <c r="F239" s="123" t="s">
        <v>53</v>
      </c>
      <c r="G239" s="136" t="s">
        <v>405</v>
      </c>
      <c r="H239" s="134">
        <v>41625</v>
      </c>
      <c r="I239" s="1">
        <v>26.79</v>
      </c>
      <c r="J239" s="161"/>
    </row>
    <row r="240" spans="1:10" ht="18" customHeight="1">
      <c r="A240" s="131">
        <v>235</v>
      </c>
      <c r="B240" s="136" t="s">
        <v>406</v>
      </c>
      <c r="C240" s="134">
        <v>41631</v>
      </c>
      <c r="D240" s="1">
        <v>39.28</v>
      </c>
      <c r="E240" s="126" t="s">
        <v>51</v>
      </c>
      <c r="F240" s="123" t="s">
        <v>53</v>
      </c>
      <c r="G240" s="136" t="s">
        <v>406</v>
      </c>
      <c r="H240" s="134">
        <v>41631</v>
      </c>
      <c r="I240" s="1">
        <v>39.28</v>
      </c>
      <c r="J240" s="161"/>
    </row>
    <row r="241" spans="1:10" ht="18" customHeight="1">
      <c r="A241" s="131">
        <v>236</v>
      </c>
      <c r="B241" s="136" t="s">
        <v>407</v>
      </c>
      <c r="C241" s="134">
        <v>41631</v>
      </c>
      <c r="D241" s="1">
        <v>25.73</v>
      </c>
      <c r="E241" s="126" t="s">
        <v>51</v>
      </c>
      <c r="F241" s="123" t="s">
        <v>53</v>
      </c>
      <c r="G241" s="136" t="s">
        <v>407</v>
      </c>
      <c r="H241" s="134">
        <v>41631</v>
      </c>
      <c r="I241" s="1">
        <v>25.73</v>
      </c>
      <c r="J241" s="161"/>
    </row>
    <row r="242" spans="1:10" ht="18" customHeight="1">
      <c r="A242" s="131">
        <v>237</v>
      </c>
      <c r="B242" s="136" t="s">
        <v>409</v>
      </c>
      <c r="C242" s="134">
        <v>41638</v>
      </c>
      <c r="D242" s="1">
        <v>28.56</v>
      </c>
      <c r="E242" s="126" t="s">
        <v>51</v>
      </c>
      <c r="F242" s="123" t="s">
        <v>53</v>
      </c>
      <c r="G242" s="136" t="s">
        <v>409</v>
      </c>
      <c r="H242" s="134">
        <v>41638</v>
      </c>
      <c r="I242" s="1">
        <v>28.56</v>
      </c>
      <c r="J242" s="161"/>
    </row>
    <row r="243" spans="1:10" ht="18" customHeight="1">
      <c r="A243" s="131">
        <v>238</v>
      </c>
      <c r="B243" s="136" t="s">
        <v>409</v>
      </c>
      <c r="C243" s="134">
        <v>41638</v>
      </c>
      <c r="D243" s="1">
        <v>28.56</v>
      </c>
      <c r="E243" s="126" t="s">
        <v>51</v>
      </c>
      <c r="F243" s="123" t="s">
        <v>53</v>
      </c>
      <c r="G243" s="136" t="s">
        <v>409</v>
      </c>
      <c r="H243" s="134">
        <v>41638</v>
      </c>
      <c r="I243" s="1">
        <v>28.56</v>
      </c>
      <c r="J243" s="161"/>
    </row>
    <row r="244" spans="1:10" ht="18" customHeight="1">
      <c r="A244" s="131">
        <v>239</v>
      </c>
      <c r="B244" s="136" t="s">
        <v>410</v>
      </c>
      <c r="C244" s="134">
        <v>41639</v>
      </c>
      <c r="D244" s="1">
        <v>22.3</v>
      </c>
      <c r="E244" s="126" t="s">
        <v>51</v>
      </c>
      <c r="F244" s="123" t="s">
        <v>53</v>
      </c>
      <c r="G244" s="136" t="s">
        <v>410</v>
      </c>
      <c r="H244" s="134">
        <v>41639</v>
      </c>
      <c r="I244" s="1">
        <v>22.3</v>
      </c>
      <c r="J244" s="161"/>
    </row>
    <row r="245" spans="1:10" ht="18" customHeight="1">
      <c r="A245" s="131">
        <v>240</v>
      </c>
      <c r="B245" s="136" t="s">
        <v>411</v>
      </c>
      <c r="C245" s="134">
        <v>41639</v>
      </c>
      <c r="D245" s="1">
        <v>50.47</v>
      </c>
      <c r="E245" s="126" t="s">
        <v>51</v>
      </c>
      <c r="F245" s="123" t="s">
        <v>53</v>
      </c>
      <c r="G245" s="136" t="s">
        <v>411</v>
      </c>
      <c r="H245" s="134">
        <v>41639</v>
      </c>
      <c r="I245" s="1">
        <v>50.47</v>
      </c>
      <c r="J245" s="161"/>
    </row>
    <row r="246" spans="1:10" ht="18" customHeight="1">
      <c r="A246" s="131">
        <v>241</v>
      </c>
      <c r="B246" s="136" t="s">
        <v>412</v>
      </c>
      <c r="C246" s="134">
        <v>41639</v>
      </c>
      <c r="D246" s="1">
        <v>5</v>
      </c>
      <c r="E246" s="126" t="s">
        <v>51</v>
      </c>
      <c r="F246" s="123" t="s">
        <v>53</v>
      </c>
      <c r="G246" s="136" t="s">
        <v>412</v>
      </c>
      <c r="H246" s="134">
        <v>41639</v>
      </c>
      <c r="I246" s="1">
        <v>5</v>
      </c>
      <c r="J246" s="161"/>
    </row>
    <row r="247" spans="1:10" ht="18" customHeight="1">
      <c r="A247" s="131">
        <v>242</v>
      </c>
      <c r="B247" s="136" t="s">
        <v>410</v>
      </c>
      <c r="C247" s="134">
        <v>41639</v>
      </c>
      <c r="D247" s="1">
        <v>22.3</v>
      </c>
      <c r="E247" s="126" t="s">
        <v>51</v>
      </c>
      <c r="F247" s="123" t="s">
        <v>53</v>
      </c>
      <c r="G247" s="136" t="s">
        <v>410</v>
      </c>
      <c r="H247" s="134">
        <v>41639</v>
      </c>
      <c r="I247" s="1">
        <v>22.3</v>
      </c>
      <c r="J247" s="161"/>
    </row>
    <row r="248" spans="1:10" ht="18" customHeight="1">
      <c r="A248" s="131">
        <v>243</v>
      </c>
      <c r="B248" s="136" t="s">
        <v>411</v>
      </c>
      <c r="C248" s="134">
        <v>41639</v>
      </c>
      <c r="D248" s="1">
        <v>50.47</v>
      </c>
      <c r="E248" s="126" t="s">
        <v>51</v>
      </c>
      <c r="F248" s="123" t="s">
        <v>53</v>
      </c>
      <c r="G248" s="136" t="s">
        <v>411</v>
      </c>
      <c r="H248" s="134">
        <v>41639</v>
      </c>
      <c r="I248" s="1">
        <v>50.47</v>
      </c>
      <c r="J248" s="161"/>
    </row>
    <row r="249" spans="1:10" ht="18" customHeight="1">
      <c r="A249" s="131">
        <v>244</v>
      </c>
      <c r="B249" s="136" t="s">
        <v>412</v>
      </c>
      <c r="C249" s="134">
        <v>41639</v>
      </c>
      <c r="D249" s="1">
        <v>5</v>
      </c>
      <c r="E249" s="126" t="s">
        <v>51</v>
      </c>
      <c r="F249" s="123" t="s">
        <v>53</v>
      </c>
      <c r="G249" s="136" t="s">
        <v>412</v>
      </c>
      <c r="H249" s="134">
        <v>41639</v>
      </c>
      <c r="I249" s="1">
        <v>5</v>
      </c>
      <c r="J249" s="161"/>
    </row>
    <row r="250" spans="1:10" ht="18" customHeight="1">
      <c r="A250" s="131">
        <v>245</v>
      </c>
      <c r="B250" s="138" t="s">
        <v>416</v>
      </c>
      <c r="C250" s="139">
        <v>41646</v>
      </c>
      <c r="D250" s="125">
        <v>36.07</v>
      </c>
      <c r="E250" s="126" t="s">
        <v>51</v>
      </c>
      <c r="F250" s="123" t="s">
        <v>53</v>
      </c>
      <c r="G250" s="138" t="s">
        <v>416</v>
      </c>
      <c r="H250" s="139">
        <v>41646</v>
      </c>
      <c r="I250" s="125">
        <v>36.07</v>
      </c>
      <c r="J250" s="161"/>
    </row>
    <row r="251" spans="1:10" ht="18" customHeight="1">
      <c r="A251" s="131">
        <v>246</v>
      </c>
      <c r="B251" s="138" t="s">
        <v>417</v>
      </c>
      <c r="C251" s="139">
        <v>41646</v>
      </c>
      <c r="D251" s="125">
        <v>100.41</v>
      </c>
      <c r="E251" s="126" t="s">
        <v>51</v>
      </c>
      <c r="F251" s="123" t="s">
        <v>53</v>
      </c>
      <c r="G251" s="138" t="s">
        <v>417</v>
      </c>
      <c r="H251" s="139">
        <v>41646</v>
      </c>
      <c r="I251" s="125">
        <v>100.41</v>
      </c>
      <c r="J251" s="161"/>
    </row>
    <row r="252" spans="1:10" ht="18" customHeight="1">
      <c r="A252" s="131">
        <v>247</v>
      </c>
      <c r="B252" s="138" t="s">
        <v>421</v>
      </c>
      <c r="C252" s="139">
        <v>41653</v>
      </c>
      <c r="D252" s="125">
        <v>43.29</v>
      </c>
      <c r="E252" s="126" t="s">
        <v>51</v>
      </c>
      <c r="F252" s="123" t="s">
        <v>53</v>
      </c>
      <c r="G252" s="138" t="s">
        <v>421</v>
      </c>
      <c r="H252" s="139">
        <v>41653</v>
      </c>
      <c r="I252" s="125">
        <v>43.29</v>
      </c>
      <c r="J252" s="161"/>
    </row>
    <row r="253" spans="1:10" ht="18" customHeight="1">
      <c r="A253" s="131">
        <v>248</v>
      </c>
      <c r="B253" s="138" t="s">
        <v>422</v>
      </c>
      <c r="C253" s="139">
        <v>41653</v>
      </c>
      <c r="D253" s="125">
        <v>34.049999999999997</v>
      </c>
      <c r="E253" s="126" t="s">
        <v>51</v>
      </c>
      <c r="F253" s="123" t="s">
        <v>53</v>
      </c>
      <c r="G253" s="138" t="s">
        <v>422</v>
      </c>
      <c r="H253" s="139">
        <v>41653</v>
      </c>
      <c r="I253" s="125">
        <v>34.049999999999997</v>
      </c>
      <c r="J253" s="161"/>
    </row>
    <row r="254" spans="1:10" ht="18" customHeight="1">
      <c r="A254" s="131">
        <v>249</v>
      </c>
      <c r="B254" s="138" t="s">
        <v>423</v>
      </c>
      <c r="C254" s="139">
        <v>41653</v>
      </c>
      <c r="D254" s="125">
        <v>109.52</v>
      </c>
      <c r="E254" s="126" t="s">
        <v>51</v>
      </c>
      <c r="F254" s="123" t="s">
        <v>53</v>
      </c>
      <c r="G254" s="138" t="s">
        <v>423</v>
      </c>
      <c r="H254" s="139">
        <v>41653</v>
      </c>
      <c r="I254" s="125">
        <v>109.52</v>
      </c>
      <c r="J254" s="161"/>
    </row>
    <row r="255" spans="1:10" ht="18" customHeight="1">
      <c r="A255" s="131">
        <v>250</v>
      </c>
      <c r="B255" s="138" t="s">
        <v>424</v>
      </c>
      <c r="C255" s="139">
        <v>41653</v>
      </c>
      <c r="D255" s="125">
        <v>56.94</v>
      </c>
      <c r="E255" s="126" t="s">
        <v>51</v>
      </c>
      <c r="F255" s="123" t="s">
        <v>53</v>
      </c>
      <c r="G255" s="138" t="s">
        <v>424</v>
      </c>
      <c r="H255" s="139">
        <v>41653</v>
      </c>
      <c r="I255" s="125">
        <v>56.94</v>
      </c>
      <c r="J255" s="161"/>
    </row>
    <row r="256" spans="1:10" ht="18" customHeight="1">
      <c r="A256" s="131">
        <v>251</v>
      </c>
      <c r="B256" s="138" t="s">
        <v>425</v>
      </c>
      <c r="C256" s="139">
        <v>41654</v>
      </c>
      <c r="D256" s="125">
        <v>48</v>
      </c>
      <c r="E256" s="126" t="s">
        <v>51</v>
      </c>
      <c r="F256" s="123" t="s">
        <v>53</v>
      </c>
      <c r="G256" s="138" t="s">
        <v>425</v>
      </c>
      <c r="H256" s="139">
        <v>41654</v>
      </c>
      <c r="I256" s="125">
        <v>48</v>
      </c>
      <c r="J256" s="161"/>
    </row>
    <row r="257" spans="1:10" ht="18" customHeight="1">
      <c r="A257" s="131">
        <v>252</v>
      </c>
      <c r="B257" s="138" t="s">
        <v>426</v>
      </c>
      <c r="C257" s="139">
        <v>41654</v>
      </c>
      <c r="D257" s="125">
        <v>22.51</v>
      </c>
      <c r="E257" s="126" t="s">
        <v>51</v>
      </c>
      <c r="F257" s="123" t="s">
        <v>53</v>
      </c>
      <c r="G257" s="138" t="s">
        <v>426</v>
      </c>
      <c r="H257" s="139">
        <v>41654</v>
      </c>
      <c r="I257" s="125">
        <v>22.51</v>
      </c>
      <c r="J257" s="161"/>
    </row>
    <row r="258" spans="1:10" ht="18" customHeight="1">
      <c r="A258" s="131">
        <v>253</v>
      </c>
      <c r="B258" s="138" t="s">
        <v>428</v>
      </c>
      <c r="C258" s="139">
        <v>41660</v>
      </c>
      <c r="D258" s="125">
        <v>23.18</v>
      </c>
      <c r="E258" s="126" t="s">
        <v>51</v>
      </c>
      <c r="F258" s="123" t="s">
        <v>53</v>
      </c>
      <c r="G258" s="138" t="s">
        <v>428</v>
      </c>
      <c r="H258" s="139">
        <v>41660</v>
      </c>
      <c r="I258" s="125">
        <v>23.18</v>
      </c>
      <c r="J258" s="161"/>
    </row>
    <row r="259" spans="1:10" ht="18" customHeight="1">
      <c r="A259" s="131">
        <v>254</v>
      </c>
      <c r="B259" s="138" t="s">
        <v>429</v>
      </c>
      <c r="C259" s="139">
        <v>41660</v>
      </c>
      <c r="D259" s="125">
        <v>55.08</v>
      </c>
      <c r="E259" s="126" t="s">
        <v>51</v>
      </c>
      <c r="F259" s="123" t="s">
        <v>53</v>
      </c>
      <c r="G259" s="138" t="s">
        <v>429</v>
      </c>
      <c r="H259" s="139">
        <v>41660</v>
      </c>
      <c r="I259" s="125">
        <v>55.08</v>
      </c>
      <c r="J259" s="161"/>
    </row>
    <row r="260" spans="1:10" ht="18" customHeight="1">
      <c r="A260" s="131">
        <v>255</v>
      </c>
      <c r="B260" s="138" t="s">
        <v>430</v>
      </c>
      <c r="C260" s="139">
        <v>41660</v>
      </c>
      <c r="D260" s="125">
        <v>23.63</v>
      </c>
      <c r="E260" s="126" t="s">
        <v>51</v>
      </c>
      <c r="F260" s="123" t="s">
        <v>53</v>
      </c>
      <c r="G260" s="138" t="s">
        <v>430</v>
      </c>
      <c r="H260" s="139">
        <v>41660</v>
      </c>
      <c r="I260" s="125">
        <v>23.63</v>
      </c>
      <c r="J260" s="161"/>
    </row>
    <row r="261" spans="1:10" ht="18" customHeight="1">
      <c r="A261" s="131">
        <v>256</v>
      </c>
      <c r="B261" s="138" t="s">
        <v>431</v>
      </c>
      <c r="C261" s="139">
        <v>41660</v>
      </c>
      <c r="D261" s="125">
        <v>46.83</v>
      </c>
      <c r="E261" s="126" t="s">
        <v>51</v>
      </c>
      <c r="F261" s="123" t="s">
        <v>53</v>
      </c>
      <c r="G261" s="138" t="s">
        <v>431</v>
      </c>
      <c r="H261" s="139">
        <v>41660</v>
      </c>
      <c r="I261" s="125">
        <v>46.83</v>
      </c>
      <c r="J261" s="161"/>
    </row>
    <row r="262" spans="1:10" ht="18" customHeight="1">
      <c r="A262" s="131">
        <v>257</v>
      </c>
      <c r="B262" s="138" t="s">
        <v>432</v>
      </c>
      <c r="C262" s="139">
        <v>41660</v>
      </c>
      <c r="D262" s="125">
        <v>79.760000000000005</v>
      </c>
      <c r="E262" s="126" t="s">
        <v>51</v>
      </c>
      <c r="F262" s="123" t="s">
        <v>53</v>
      </c>
      <c r="G262" s="138" t="s">
        <v>432</v>
      </c>
      <c r="H262" s="139">
        <v>41660</v>
      </c>
      <c r="I262" s="125">
        <v>79.760000000000005</v>
      </c>
      <c r="J262" s="161"/>
    </row>
    <row r="263" spans="1:10" ht="18" customHeight="1">
      <c r="A263" s="131">
        <v>258</v>
      </c>
      <c r="B263" s="138" t="s">
        <v>433</v>
      </c>
      <c r="C263" s="139">
        <v>41660</v>
      </c>
      <c r="D263" s="125">
        <v>42.45</v>
      </c>
      <c r="E263" s="126" t="s">
        <v>51</v>
      </c>
      <c r="F263" s="123" t="s">
        <v>53</v>
      </c>
      <c r="G263" s="138" t="s">
        <v>433</v>
      </c>
      <c r="H263" s="139">
        <v>41660</v>
      </c>
      <c r="I263" s="125">
        <v>42.45</v>
      </c>
      <c r="J263" s="161"/>
    </row>
    <row r="264" spans="1:10" ht="18" customHeight="1">
      <c r="A264" s="131">
        <v>259</v>
      </c>
      <c r="B264" s="138" t="s">
        <v>434</v>
      </c>
      <c r="C264" s="139">
        <v>21</v>
      </c>
      <c r="D264" s="125">
        <v>28.6</v>
      </c>
      <c r="E264" s="126" t="s">
        <v>51</v>
      </c>
      <c r="F264" s="123" t="s">
        <v>53</v>
      </c>
      <c r="G264" s="138" t="s">
        <v>434</v>
      </c>
      <c r="H264" s="139">
        <v>21</v>
      </c>
      <c r="I264" s="125">
        <v>28.6</v>
      </c>
      <c r="J264" s="161"/>
    </row>
    <row r="265" spans="1:10" ht="18" customHeight="1">
      <c r="A265" s="131">
        <v>260</v>
      </c>
      <c r="B265" s="138" t="s">
        <v>436</v>
      </c>
      <c r="C265" s="139">
        <v>41666</v>
      </c>
      <c r="D265" s="125">
        <v>27.97</v>
      </c>
      <c r="E265" s="126" t="s">
        <v>51</v>
      </c>
      <c r="F265" s="123" t="s">
        <v>53</v>
      </c>
      <c r="G265" s="138" t="s">
        <v>436</v>
      </c>
      <c r="H265" s="139">
        <v>41666</v>
      </c>
      <c r="I265" s="125">
        <v>27.97</v>
      </c>
      <c r="J265" s="161"/>
    </row>
    <row r="266" spans="1:10" ht="18" customHeight="1">
      <c r="A266" s="131">
        <v>261</v>
      </c>
      <c r="B266" s="138" t="s">
        <v>437</v>
      </c>
      <c r="C266" s="139">
        <v>41668</v>
      </c>
      <c r="D266" s="125">
        <v>22.3</v>
      </c>
      <c r="E266" s="126" t="s">
        <v>51</v>
      </c>
      <c r="F266" s="123" t="s">
        <v>53</v>
      </c>
      <c r="G266" s="138" t="s">
        <v>437</v>
      </c>
      <c r="H266" s="139">
        <v>41668</v>
      </c>
      <c r="I266" s="125">
        <v>22.3</v>
      </c>
      <c r="J266" s="161"/>
    </row>
    <row r="267" spans="1:10" ht="18" customHeight="1">
      <c r="A267" s="131">
        <v>262</v>
      </c>
      <c r="B267" s="138" t="s">
        <v>439</v>
      </c>
      <c r="C267" s="139">
        <v>41674</v>
      </c>
      <c r="D267" s="125">
        <v>71.040000000000006</v>
      </c>
      <c r="E267" s="126" t="s">
        <v>51</v>
      </c>
      <c r="F267" s="123" t="s">
        <v>53</v>
      </c>
      <c r="G267" s="138" t="s">
        <v>439</v>
      </c>
      <c r="H267" s="139">
        <v>41674</v>
      </c>
      <c r="I267" s="125">
        <v>71.040000000000006</v>
      </c>
      <c r="J267" s="161"/>
    </row>
    <row r="268" spans="1:10" ht="18" customHeight="1">
      <c r="A268" s="131">
        <v>263</v>
      </c>
      <c r="B268" s="138" t="s">
        <v>440</v>
      </c>
      <c r="C268" s="139">
        <v>41674</v>
      </c>
      <c r="D268" s="125">
        <v>35.49</v>
      </c>
      <c r="E268" s="126" t="s">
        <v>51</v>
      </c>
      <c r="F268" s="123" t="s">
        <v>53</v>
      </c>
      <c r="G268" s="138" t="s">
        <v>440</v>
      </c>
      <c r="H268" s="139">
        <v>41674</v>
      </c>
      <c r="I268" s="125">
        <v>35.49</v>
      </c>
      <c r="J268" s="161"/>
    </row>
    <row r="269" spans="1:10" ht="18" customHeight="1">
      <c r="A269" s="131">
        <v>264</v>
      </c>
      <c r="B269" s="138" t="s">
        <v>441</v>
      </c>
      <c r="C269" s="139">
        <v>41674</v>
      </c>
      <c r="D269" s="125">
        <v>22.1</v>
      </c>
      <c r="E269" s="126" t="s">
        <v>51</v>
      </c>
      <c r="F269" s="123" t="s">
        <v>53</v>
      </c>
      <c r="G269" s="138" t="s">
        <v>441</v>
      </c>
      <c r="H269" s="139">
        <v>41674</v>
      </c>
      <c r="I269" s="125">
        <v>22.1</v>
      </c>
      <c r="J269" s="161"/>
    </row>
    <row r="270" spans="1:10" ht="18" customHeight="1">
      <c r="A270" s="131">
        <v>265</v>
      </c>
      <c r="B270" s="138" t="s">
        <v>442</v>
      </c>
      <c r="C270" s="139">
        <v>41674</v>
      </c>
      <c r="D270" s="125">
        <v>27.57</v>
      </c>
      <c r="E270" s="126" t="s">
        <v>51</v>
      </c>
      <c r="F270" s="123" t="s">
        <v>53</v>
      </c>
      <c r="G270" s="138" t="s">
        <v>442</v>
      </c>
      <c r="H270" s="139">
        <v>41674</v>
      </c>
      <c r="I270" s="125">
        <v>27.57</v>
      </c>
      <c r="J270" s="161"/>
    </row>
    <row r="271" spans="1:10" ht="18" customHeight="1">
      <c r="A271" s="131">
        <v>266</v>
      </c>
      <c r="B271" s="138" t="s">
        <v>443</v>
      </c>
      <c r="C271" s="139">
        <v>41674</v>
      </c>
      <c r="D271" s="125">
        <v>32.04</v>
      </c>
      <c r="E271" s="126" t="s">
        <v>51</v>
      </c>
      <c r="F271" s="123" t="s">
        <v>53</v>
      </c>
      <c r="G271" s="138" t="s">
        <v>443</v>
      </c>
      <c r="H271" s="139">
        <v>41674</v>
      </c>
      <c r="I271" s="125">
        <v>32.04</v>
      </c>
      <c r="J271" s="161"/>
    </row>
    <row r="272" spans="1:10" ht="18" customHeight="1">
      <c r="A272" s="131">
        <v>267</v>
      </c>
      <c r="B272" s="138" t="s">
        <v>445</v>
      </c>
      <c r="C272" s="139">
        <v>41681</v>
      </c>
      <c r="D272" s="125">
        <v>53.23</v>
      </c>
      <c r="E272" s="126" t="s">
        <v>51</v>
      </c>
      <c r="F272" s="123" t="s">
        <v>53</v>
      </c>
      <c r="G272" s="138" t="s">
        <v>445</v>
      </c>
      <c r="H272" s="139">
        <v>41681</v>
      </c>
      <c r="I272" s="125">
        <v>53.23</v>
      </c>
      <c r="J272" s="161"/>
    </row>
    <row r="273" spans="1:10" ht="18" customHeight="1">
      <c r="A273" s="131">
        <v>268</v>
      </c>
      <c r="B273" s="138" t="s">
        <v>446</v>
      </c>
      <c r="C273" s="139">
        <v>41681</v>
      </c>
      <c r="D273" s="125">
        <v>39.89</v>
      </c>
      <c r="E273" s="126" t="s">
        <v>51</v>
      </c>
      <c r="F273" s="123" t="s">
        <v>53</v>
      </c>
      <c r="G273" s="138" t="s">
        <v>446</v>
      </c>
      <c r="H273" s="139">
        <v>41681</v>
      </c>
      <c r="I273" s="125">
        <v>39.89</v>
      </c>
      <c r="J273" s="161"/>
    </row>
    <row r="274" spans="1:10" ht="18" customHeight="1">
      <c r="A274" s="131">
        <v>269</v>
      </c>
      <c r="B274" s="138" t="s">
        <v>447</v>
      </c>
      <c r="C274" s="139">
        <v>41681</v>
      </c>
      <c r="D274" s="125">
        <v>71.63</v>
      </c>
      <c r="E274" s="126" t="s">
        <v>51</v>
      </c>
      <c r="F274" s="123" t="s">
        <v>53</v>
      </c>
      <c r="G274" s="138" t="s">
        <v>447</v>
      </c>
      <c r="H274" s="139">
        <v>41681</v>
      </c>
      <c r="I274" s="125">
        <v>71.63</v>
      </c>
      <c r="J274" s="161"/>
    </row>
    <row r="275" spans="1:10" ht="18" customHeight="1">
      <c r="A275" s="131">
        <v>270</v>
      </c>
      <c r="B275" s="138" t="s">
        <v>450</v>
      </c>
      <c r="C275" s="139">
        <v>41687</v>
      </c>
      <c r="D275" s="125">
        <v>81.22</v>
      </c>
      <c r="E275" s="126" t="s">
        <v>51</v>
      </c>
      <c r="F275" s="123" t="s">
        <v>53</v>
      </c>
      <c r="G275" s="138" t="s">
        <v>450</v>
      </c>
      <c r="H275" s="139">
        <v>41687</v>
      </c>
      <c r="I275" s="125">
        <v>81.22</v>
      </c>
      <c r="J275" s="161"/>
    </row>
    <row r="276" spans="1:10" ht="18" customHeight="1">
      <c r="A276" s="131">
        <v>271</v>
      </c>
      <c r="B276" s="138" t="s">
        <v>451</v>
      </c>
      <c r="C276" s="139">
        <v>41687</v>
      </c>
      <c r="D276" s="125">
        <v>71.16</v>
      </c>
      <c r="E276" s="126" t="s">
        <v>51</v>
      </c>
      <c r="F276" s="123" t="s">
        <v>53</v>
      </c>
      <c r="G276" s="138" t="s">
        <v>451</v>
      </c>
      <c r="H276" s="139">
        <v>41687</v>
      </c>
      <c r="I276" s="125">
        <v>71.16</v>
      </c>
      <c r="J276" s="161"/>
    </row>
    <row r="277" spans="1:10" ht="18" customHeight="1">
      <c r="A277" s="131">
        <v>272</v>
      </c>
      <c r="B277" s="138" t="s">
        <v>452</v>
      </c>
      <c r="C277" s="139">
        <v>41688</v>
      </c>
      <c r="D277" s="125">
        <v>22.3</v>
      </c>
      <c r="E277" s="126" t="s">
        <v>51</v>
      </c>
      <c r="F277" s="123" t="s">
        <v>53</v>
      </c>
      <c r="G277" s="138" t="s">
        <v>452</v>
      </c>
      <c r="H277" s="139">
        <v>41688</v>
      </c>
      <c r="I277" s="125">
        <v>22.3</v>
      </c>
      <c r="J277" s="161"/>
    </row>
    <row r="278" spans="1:10" ht="18" customHeight="1">
      <c r="A278" s="131">
        <v>273</v>
      </c>
      <c r="B278" s="138" t="s">
        <v>453</v>
      </c>
      <c r="C278" s="139">
        <v>41688</v>
      </c>
      <c r="D278" s="125">
        <v>60.23</v>
      </c>
      <c r="E278" s="126" t="s">
        <v>51</v>
      </c>
      <c r="F278" s="123" t="s">
        <v>53</v>
      </c>
      <c r="G278" s="138" t="s">
        <v>453</v>
      </c>
      <c r="H278" s="139">
        <v>41688</v>
      </c>
      <c r="I278" s="125">
        <v>60.23</v>
      </c>
      <c r="J278" s="161"/>
    </row>
    <row r="279" spans="1:10" ht="18" customHeight="1">
      <c r="A279" s="131">
        <v>274</v>
      </c>
      <c r="B279" s="138" t="s">
        <v>454</v>
      </c>
      <c r="C279" s="139">
        <v>41688</v>
      </c>
      <c r="D279" s="125">
        <v>24.8</v>
      </c>
      <c r="E279" s="126" t="s">
        <v>51</v>
      </c>
      <c r="F279" s="123" t="s">
        <v>53</v>
      </c>
      <c r="G279" s="138" t="s">
        <v>454</v>
      </c>
      <c r="H279" s="139">
        <v>41688</v>
      </c>
      <c r="I279" s="125">
        <v>24.8</v>
      </c>
      <c r="J279" s="161"/>
    </row>
    <row r="280" spans="1:10" ht="18" customHeight="1">
      <c r="A280" s="131">
        <v>275</v>
      </c>
      <c r="B280" s="138" t="s">
        <v>459</v>
      </c>
      <c r="C280" s="139">
        <v>41695</v>
      </c>
      <c r="D280" s="125">
        <v>124.82</v>
      </c>
      <c r="E280" s="126" t="s">
        <v>51</v>
      </c>
      <c r="F280" s="123" t="s">
        <v>53</v>
      </c>
      <c r="G280" s="138" t="s">
        <v>459</v>
      </c>
      <c r="H280" s="139">
        <v>41695</v>
      </c>
      <c r="I280" s="125">
        <v>124.82</v>
      </c>
      <c r="J280" s="161"/>
    </row>
    <row r="281" spans="1:10" ht="18" customHeight="1">
      <c r="A281" s="131">
        <v>276</v>
      </c>
      <c r="B281" s="138" t="s">
        <v>460</v>
      </c>
      <c r="C281" s="139">
        <v>41695</v>
      </c>
      <c r="D281" s="125">
        <v>58.99</v>
      </c>
      <c r="E281" s="126" t="s">
        <v>51</v>
      </c>
      <c r="F281" s="123" t="s">
        <v>53</v>
      </c>
      <c r="G281" s="138" t="s">
        <v>460</v>
      </c>
      <c r="H281" s="139">
        <v>41695</v>
      </c>
      <c r="I281" s="125">
        <v>58.99</v>
      </c>
      <c r="J281" s="161"/>
    </row>
    <row r="282" spans="1:10" ht="18" customHeight="1">
      <c r="A282" s="131">
        <v>277</v>
      </c>
      <c r="B282" s="138" t="s">
        <v>461</v>
      </c>
      <c r="C282" s="139">
        <v>41695</v>
      </c>
      <c r="D282" s="125">
        <v>29.35</v>
      </c>
      <c r="E282" s="126" t="s">
        <v>51</v>
      </c>
      <c r="F282" s="123" t="s">
        <v>53</v>
      </c>
      <c r="G282" s="138" t="s">
        <v>461</v>
      </c>
      <c r="H282" s="139">
        <v>41695</v>
      </c>
      <c r="I282" s="125">
        <v>29.35</v>
      </c>
      <c r="J282" s="161"/>
    </row>
    <row r="283" spans="1:10" ht="18" customHeight="1">
      <c r="A283" s="131">
        <v>278</v>
      </c>
      <c r="B283" s="138" t="s">
        <v>463</v>
      </c>
      <c r="C283" s="139">
        <v>41702</v>
      </c>
      <c r="D283" s="125">
        <v>22.3</v>
      </c>
      <c r="E283" s="126" t="s">
        <v>51</v>
      </c>
      <c r="F283" s="123" t="s">
        <v>53</v>
      </c>
      <c r="G283" s="138" t="s">
        <v>463</v>
      </c>
      <c r="H283" s="139">
        <v>41702</v>
      </c>
      <c r="I283" s="125">
        <v>22.3</v>
      </c>
      <c r="J283" s="161"/>
    </row>
    <row r="284" spans="1:10" ht="18" customHeight="1">
      <c r="A284" s="131">
        <v>279</v>
      </c>
      <c r="B284" s="138" t="s">
        <v>466</v>
      </c>
      <c r="C284" s="139">
        <v>41709</v>
      </c>
      <c r="D284" s="125">
        <v>32.520000000000003</v>
      </c>
      <c r="E284" s="126" t="s">
        <v>51</v>
      </c>
      <c r="F284" s="123" t="s">
        <v>53</v>
      </c>
      <c r="G284" s="138" t="s">
        <v>466</v>
      </c>
      <c r="H284" s="139">
        <v>41709</v>
      </c>
      <c r="I284" s="125">
        <v>32.520000000000003</v>
      </c>
      <c r="J284" s="161"/>
    </row>
    <row r="285" spans="1:10" ht="18" customHeight="1">
      <c r="A285" s="131">
        <v>280</v>
      </c>
      <c r="B285" s="138" t="s">
        <v>467</v>
      </c>
      <c r="C285" s="139">
        <v>41710</v>
      </c>
      <c r="D285" s="125">
        <v>38.630000000000003</v>
      </c>
      <c r="E285" s="126" t="s">
        <v>51</v>
      </c>
      <c r="F285" s="123" t="s">
        <v>53</v>
      </c>
      <c r="G285" s="138" t="s">
        <v>467</v>
      </c>
      <c r="H285" s="139">
        <v>41710</v>
      </c>
      <c r="I285" s="125">
        <v>38.630000000000003</v>
      </c>
      <c r="J285" s="161"/>
    </row>
    <row r="286" spans="1:10" ht="18" customHeight="1">
      <c r="A286" s="131">
        <v>281</v>
      </c>
      <c r="B286" s="138" t="s">
        <v>468</v>
      </c>
      <c r="C286" s="139">
        <v>41710</v>
      </c>
      <c r="D286" s="125">
        <v>42.61</v>
      </c>
      <c r="E286" s="126" t="s">
        <v>51</v>
      </c>
      <c r="F286" s="123" t="s">
        <v>53</v>
      </c>
      <c r="G286" s="138" t="s">
        <v>468</v>
      </c>
      <c r="H286" s="139">
        <v>41710</v>
      </c>
      <c r="I286" s="125">
        <v>42.61</v>
      </c>
      <c r="J286" s="161"/>
    </row>
    <row r="287" spans="1:10" ht="18" customHeight="1">
      <c r="A287" s="131">
        <v>282</v>
      </c>
      <c r="B287" s="138" t="s">
        <v>469</v>
      </c>
      <c r="C287" s="139">
        <v>41710</v>
      </c>
      <c r="D287" s="162">
        <v>56.46</v>
      </c>
      <c r="E287" s="126" t="s">
        <v>51</v>
      </c>
      <c r="F287" s="123" t="s">
        <v>53</v>
      </c>
      <c r="G287" s="138" t="s">
        <v>469</v>
      </c>
      <c r="H287" s="139">
        <v>41710</v>
      </c>
      <c r="I287" s="162">
        <v>56.46</v>
      </c>
      <c r="J287" s="161"/>
    </row>
    <row r="288" spans="1:10" ht="18" customHeight="1">
      <c r="A288" s="131">
        <v>283</v>
      </c>
      <c r="B288" s="138" t="s">
        <v>470</v>
      </c>
      <c r="C288" s="139">
        <v>41710</v>
      </c>
      <c r="D288" s="125">
        <v>50.1</v>
      </c>
      <c r="E288" s="126" t="s">
        <v>51</v>
      </c>
      <c r="F288" s="123" t="s">
        <v>53</v>
      </c>
      <c r="G288" s="138" t="s">
        <v>470</v>
      </c>
      <c r="H288" s="139">
        <v>41710</v>
      </c>
      <c r="I288" s="125">
        <v>50.1</v>
      </c>
      <c r="J288" s="161"/>
    </row>
    <row r="289" spans="1:10" ht="18" customHeight="1">
      <c r="A289" s="131">
        <v>284</v>
      </c>
      <c r="B289" s="138" t="s">
        <v>471</v>
      </c>
      <c r="C289" s="139">
        <v>41710</v>
      </c>
      <c r="D289" s="125">
        <v>27.97</v>
      </c>
      <c r="E289" s="126" t="s">
        <v>51</v>
      </c>
      <c r="F289" s="123" t="s">
        <v>53</v>
      </c>
      <c r="G289" s="138" t="s">
        <v>471</v>
      </c>
      <c r="H289" s="139">
        <v>41710</v>
      </c>
      <c r="I289" s="125">
        <v>27.97</v>
      </c>
      <c r="J289" s="161"/>
    </row>
    <row r="290" spans="1:10" ht="18" customHeight="1">
      <c r="A290" s="131">
        <v>285</v>
      </c>
      <c r="B290" s="138" t="s">
        <v>472</v>
      </c>
      <c r="C290" s="139">
        <v>41710</v>
      </c>
      <c r="D290" s="125">
        <v>37.9</v>
      </c>
      <c r="E290" s="126" t="s">
        <v>51</v>
      </c>
      <c r="F290" s="123" t="s">
        <v>53</v>
      </c>
      <c r="G290" s="138" t="s">
        <v>472</v>
      </c>
      <c r="H290" s="139">
        <v>41710</v>
      </c>
      <c r="I290" s="125">
        <v>37.9</v>
      </c>
      <c r="J290" s="161"/>
    </row>
    <row r="291" spans="1:10" ht="18" customHeight="1">
      <c r="A291" s="131">
        <v>286</v>
      </c>
      <c r="B291" s="138" t="s">
        <v>473</v>
      </c>
      <c r="C291" s="139">
        <v>41710</v>
      </c>
      <c r="D291" s="125">
        <v>26.66</v>
      </c>
      <c r="E291" s="126" t="s">
        <v>51</v>
      </c>
      <c r="F291" s="123" t="s">
        <v>53</v>
      </c>
      <c r="G291" s="138" t="s">
        <v>473</v>
      </c>
      <c r="H291" s="139">
        <v>41710</v>
      </c>
      <c r="I291" s="125">
        <v>26.66</v>
      </c>
      <c r="J291" s="161"/>
    </row>
    <row r="292" spans="1:10" ht="18" customHeight="1">
      <c r="A292" s="131">
        <v>287</v>
      </c>
      <c r="B292" s="138" t="s">
        <v>475</v>
      </c>
      <c r="C292" s="139">
        <v>41716</v>
      </c>
      <c r="D292" s="125">
        <v>45.05</v>
      </c>
      <c r="E292" s="126" t="s">
        <v>51</v>
      </c>
      <c r="F292" s="123" t="s">
        <v>53</v>
      </c>
      <c r="G292" s="138" t="s">
        <v>475</v>
      </c>
      <c r="H292" s="139">
        <v>41716</v>
      </c>
      <c r="I292" s="125">
        <v>45.05</v>
      </c>
      <c r="J292" s="161"/>
    </row>
    <row r="293" spans="1:10" ht="18" customHeight="1">
      <c r="A293" s="131">
        <v>288</v>
      </c>
      <c r="B293" s="138" t="s">
        <v>476</v>
      </c>
      <c r="C293" s="139">
        <v>41716</v>
      </c>
      <c r="D293" s="125">
        <v>101.57</v>
      </c>
      <c r="E293" s="126" t="s">
        <v>51</v>
      </c>
      <c r="F293" s="123" t="s">
        <v>53</v>
      </c>
      <c r="G293" s="138" t="s">
        <v>476</v>
      </c>
      <c r="H293" s="139">
        <v>41716</v>
      </c>
      <c r="I293" s="125">
        <v>101.57</v>
      </c>
      <c r="J293" s="161"/>
    </row>
    <row r="294" spans="1:10" ht="18" customHeight="1">
      <c r="A294" s="131">
        <v>289</v>
      </c>
      <c r="B294" s="138" t="s">
        <v>477</v>
      </c>
      <c r="C294" s="139">
        <v>41716</v>
      </c>
      <c r="D294" s="125">
        <v>69.010000000000005</v>
      </c>
      <c r="E294" s="126" t="s">
        <v>51</v>
      </c>
      <c r="F294" s="123" t="s">
        <v>53</v>
      </c>
      <c r="G294" s="138" t="s">
        <v>477</v>
      </c>
      <c r="H294" s="139">
        <v>41716</v>
      </c>
      <c r="I294" s="125">
        <v>69.010000000000005</v>
      </c>
      <c r="J294" s="161"/>
    </row>
    <row r="295" spans="1:10" ht="18" customHeight="1">
      <c r="A295" s="131">
        <v>290</v>
      </c>
      <c r="B295" s="138" t="s">
        <v>478</v>
      </c>
      <c r="C295" s="139">
        <v>41716</v>
      </c>
      <c r="D295" s="125">
        <v>29.48</v>
      </c>
      <c r="E295" s="126" t="s">
        <v>51</v>
      </c>
      <c r="F295" s="123" t="s">
        <v>53</v>
      </c>
      <c r="G295" s="138" t="s">
        <v>478</v>
      </c>
      <c r="H295" s="139">
        <v>41716</v>
      </c>
      <c r="I295" s="125">
        <v>29.48</v>
      </c>
      <c r="J295" s="161"/>
    </row>
    <row r="296" spans="1:10" ht="18" customHeight="1">
      <c r="A296" s="131">
        <v>291</v>
      </c>
      <c r="B296" s="138" t="s">
        <v>481</v>
      </c>
      <c r="C296" s="139">
        <v>41723</v>
      </c>
      <c r="D296" s="125">
        <v>28.65</v>
      </c>
      <c r="E296" s="126" t="s">
        <v>51</v>
      </c>
      <c r="F296" s="123" t="s">
        <v>53</v>
      </c>
      <c r="G296" s="138" t="s">
        <v>481</v>
      </c>
      <c r="H296" s="139">
        <v>41723</v>
      </c>
      <c r="I296" s="125">
        <v>28.65</v>
      </c>
      <c r="J296" s="161"/>
    </row>
    <row r="297" spans="1:10" ht="18" customHeight="1">
      <c r="A297" s="131">
        <v>292</v>
      </c>
      <c r="B297" s="138" t="s">
        <v>483</v>
      </c>
      <c r="C297" s="139">
        <v>41729</v>
      </c>
      <c r="D297" s="125">
        <v>23.85</v>
      </c>
      <c r="E297" s="126" t="s">
        <v>51</v>
      </c>
      <c r="F297" s="123" t="s">
        <v>53</v>
      </c>
      <c r="G297" s="138" t="s">
        <v>483</v>
      </c>
      <c r="H297" s="139">
        <v>41729</v>
      </c>
      <c r="I297" s="125">
        <v>23.85</v>
      </c>
      <c r="J297" s="161"/>
    </row>
    <row r="298" spans="1:10" ht="18" customHeight="1">
      <c r="A298" s="131">
        <v>293</v>
      </c>
      <c r="B298" s="138" t="s">
        <v>484</v>
      </c>
      <c r="C298" s="139">
        <v>41729</v>
      </c>
      <c r="D298" s="125">
        <v>27</v>
      </c>
      <c r="E298" s="126" t="s">
        <v>51</v>
      </c>
      <c r="F298" s="123" t="s">
        <v>53</v>
      </c>
      <c r="G298" s="138" t="s">
        <v>484</v>
      </c>
      <c r="H298" s="139">
        <v>41729</v>
      </c>
      <c r="I298" s="125">
        <v>27</v>
      </c>
      <c r="J298" s="161"/>
    </row>
    <row r="299" spans="1:10" ht="18" customHeight="1">
      <c r="A299" s="131">
        <v>294</v>
      </c>
      <c r="B299" s="138" t="s">
        <v>485</v>
      </c>
      <c r="C299" s="139">
        <v>41729</v>
      </c>
      <c r="D299" s="125">
        <v>40.090000000000003</v>
      </c>
      <c r="E299" s="126" t="s">
        <v>51</v>
      </c>
      <c r="F299" s="123" t="s">
        <v>53</v>
      </c>
      <c r="G299" s="138" t="s">
        <v>485</v>
      </c>
      <c r="H299" s="139">
        <v>41729</v>
      </c>
      <c r="I299" s="125">
        <v>40.090000000000003</v>
      </c>
      <c r="J299" s="161"/>
    </row>
    <row r="300" spans="1:10" ht="18" customHeight="1">
      <c r="A300" s="131">
        <v>295</v>
      </c>
      <c r="B300" s="138" t="s">
        <v>489</v>
      </c>
      <c r="C300" s="139">
        <v>41737</v>
      </c>
      <c r="D300" s="125">
        <v>85.06</v>
      </c>
      <c r="E300" s="126" t="s">
        <v>51</v>
      </c>
      <c r="F300" s="123" t="s">
        <v>53</v>
      </c>
      <c r="G300" s="138" t="s">
        <v>489</v>
      </c>
      <c r="H300" s="139">
        <v>41737</v>
      </c>
      <c r="I300" s="125">
        <v>85.06</v>
      </c>
      <c r="J300" s="161"/>
    </row>
    <row r="301" spans="1:10" ht="18" customHeight="1">
      <c r="A301" s="131">
        <v>296</v>
      </c>
      <c r="B301" s="138" t="s">
        <v>490</v>
      </c>
      <c r="C301" s="139">
        <v>41737</v>
      </c>
      <c r="D301" s="125">
        <v>51.16</v>
      </c>
      <c r="E301" s="126" t="s">
        <v>51</v>
      </c>
      <c r="F301" s="123" t="s">
        <v>53</v>
      </c>
      <c r="G301" s="138" t="s">
        <v>490</v>
      </c>
      <c r="H301" s="139">
        <v>41737</v>
      </c>
      <c r="I301" s="125">
        <v>51.16</v>
      </c>
      <c r="J301" s="161"/>
    </row>
    <row r="302" spans="1:10" ht="18" customHeight="1">
      <c r="A302" s="131">
        <v>297</v>
      </c>
      <c r="B302" s="138" t="s">
        <v>491</v>
      </c>
      <c r="C302" s="139">
        <v>41737</v>
      </c>
      <c r="D302" s="125">
        <v>77.349999999999994</v>
      </c>
      <c r="E302" s="126" t="s">
        <v>51</v>
      </c>
      <c r="F302" s="123" t="s">
        <v>53</v>
      </c>
      <c r="G302" s="138" t="s">
        <v>491</v>
      </c>
      <c r="H302" s="139">
        <v>41737</v>
      </c>
      <c r="I302" s="125">
        <v>77.349999999999994</v>
      </c>
      <c r="J302" s="161"/>
    </row>
    <row r="303" spans="1:10" ht="18" customHeight="1">
      <c r="A303" s="131">
        <v>298</v>
      </c>
      <c r="B303" s="138" t="s">
        <v>492</v>
      </c>
      <c r="C303" s="139">
        <v>41737</v>
      </c>
      <c r="D303" s="125">
        <v>30.9</v>
      </c>
      <c r="E303" s="126" t="s">
        <v>51</v>
      </c>
      <c r="F303" s="123" t="s">
        <v>53</v>
      </c>
      <c r="G303" s="138" t="s">
        <v>492</v>
      </c>
      <c r="H303" s="139">
        <v>41737</v>
      </c>
      <c r="I303" s="125">
        <v>30.9</v>
      </c>
      <c r="J303" s="161"/>
    </row>
    <row r="304" spans="1:10" ht="18" customHeight="1">
      <c r="A304" s="131">
        <v>299</v>
      </c>
      <c r="B304" s="138" t="s">
        <v>493</v>
      </c>
      <c r="C304" s="139">
        <v>41737</v>
      </c>
      <c r="D304" s="125">
        <v>22.3</v>
      </c>
      <c r="E304" s="126" t="s">
        <v>51</v>
      </c>
      <c r="F304" s="123" t="s">
        <v>53</v>
      </c>
      <c r="G304" s="138" t="s">
        <v>493</v>
      </c>
      <c r="H304" s="139">
        <v>41737</v>
      </c>
      <c r="I304" s="125">
        <v>22.3</v>
      </c>
      <c r="J304" s="161"/>
    </row>
    <row r="305" spans="1:10" ht="18" customHeight="1">
      <c r="A305" s="131">
        <v>300</v>
      </c>
      <c r="B305" s="138" t="s">
        <v>494</v>
      </c>
      <c r="C305" s="139">
        <v>41737</v>
      </c>
      <c r="D305" s="125">
        <v>29.07</v>
      </c>
      <c r="E305" s="126" t="s">
        <v>51</v>
      </c>
      <c r="F305" s="123" t="s">
        <v>53</v>
      </c>
      <c r="G305" s="138" t="s">
        <v>494</v>
      </c>
      <c r="H305" s="139">
        <v>41737</v>
      </c>
      <c r="I305" s="125">
        <v>29.07</v>
      </c>
      <c r="J305" s="161"/>
    </row>
    <row r="306" spans="1:10" ht="18" customHeight="1">
      <c r="A306" s="131">
        <v>301</v>
      </c>
      <c r="B306" s="138" t="s">
        <v>496</v>
      </c>
      <c r="C306" s="139">
        <v>41746</v>
      </c>
      <c r="D306" s="125">
        <v>24.8</v>
      </c>
      <c r="E306" s="126" t="s">
        <v>51</v>
      </c>
      <c r="F306" s="123" t="s">
        <v>53</v>
      </c>
      <c r="G306" s="138" t="s">
        <v>496</v>
      </c>
      <c r="H306" s="139">
        <v>41746</v>
      </c>
      <c r="I306" s="125">
        <v>24.8</v>
      </c>
      <c r="J306" s="161"/>
    </row>
    <row r="307" spans="1:10" ht="18" customHeight="1">
      <c r="A307" s="131">
        <v>302</v>
      </c>
      <c r="B307" s="138" t="s">
        <v>497</v>
      </c>
      <c r="C307" s="139">
        <v>41746</v>
      </c>
      <c r="D307" s="125">
        <v>39.869999999999997</v>
      </c>
      <c r="E307" s="126" t="s">
        <v>51</v>
      </c>
      <c r="F307" s="123" t="s">
        <v>53</v>
      </c>
      <c r="G307" s="138" t="s">
        <v>497</v>
      </c>
      <c r="H307" s="139">
        <v>41746</v>
      </c>
      <c r="I307" s="125">
        <v>39.869999999999997</v>
      </c>
      <c r="J307" s="161"/>
    </row>
    <row r="308" spans="1:10" ht="18" customHeight="1">
      <c r="A308" s="131">
        <v>303</v>
      </c>
      <c r="B308" s="138" t="s">
        <v>498</v>
      </c>
      <c r="C308" s="139">
        <v>41746</v>
      </c>
      <c r="D308" s="125">
        <v>68.849999999999994</v>
      </c>
      <c r="E308" s="126" t="s">
        <v>51</v>
      </c>
      <c r="F308" s="123" t="s">
        <v>53</v>
      </c>
      <c r="G308" s="138" t="s">
        <v>498</v>
      </c>
      <c r="H308" s="139">
        <v>41746</v>
      </c>
      <c r="I308" s="125">
        <v>68.849999999999994</v>
      </c>
      <c r="J308" s="161"/>
    </row>
    <row r="309" spans="1:10" ht="18" customHeight="1">
      <c r="A309" s="131">
        <v>304</v>
      </c>
      <c r="B309" s="138" t="s">
        <v>499</v>
      </c>
      <c r="C309" s="139">
        <v>41746</v>
      </c>
      <c r="D309" s="125">
        <v>58.6</v>
      </c>
      <c r="E309" s="126" t="s">
        <v>51</v>
      </c>
      <c r="F309" s="123" t="s">
        <v>53</v>
      </c>
      <c r="G309" s="138" t="s">
        <v>499</v>
      </c>
      <c r="H309" s="139">
        <v>41746</v>
      </c>
      <c r="I309" s="125">
        <v>58.6</v>
      </c>
      <c r="J309" s="161"/>
    </row>
    <row r="310" spans="1:10" ht="18" customHeight="1">
      <c r="A310" s="131">
        <v>305</v>
      </c>
      <c r="B310" s="138" t="s">
        <v>500</v>
      </c>
      <c r="C310" s="139">
        <v>41746</v>
      </c>
      <c r="D310" s="125">
        <v>31.67</v>
      </c>
      <c r="E310" s="126" t="s">
        <v>51</v>
      </c>
      <c r="F310" s="123" t="s">
        <v>53</v>
      </c>
      <c r="G310" s="138" t="s">
        <v>500</v>
      </c>
      <c r="H310" s="139">
        <v>41746</v>
      </c>
      <c r="I310" s="125">
        <v>31.67</v>
      </c>
      <c r="J310" s="161"/>
    </row>
    <row r="311" spans="1:10" ht="18" customHeight="1">
      <c r="A311" s="131">
        <v>306</v>
      </c>
      <c r="B311" s="138" t="s">
        <v>501</v>
      </c>
      <c r="C311" s="139">
        <v>41746</v>
      </c>
      <c r="D311" s="125">
        <v>63.52</v>
      </c>
      <c r="E311" s="126" t="s">
        <v>51</v>
      </c>
      <c r="F311" s="123" t="s">
        <v>53</v>
      </c>
      <c r="G311" s="138" t="s">
        <v>501</v>
      </c>
      <c r="H311" s="139">
        <v>41746</v>
      </c>
      <c r="I311" s="125">
        <v>63.52</v>
      </c>
      <c r="J311" s="161"/>
    </row>
    <row r="312" spans="1:10" ht="18" customHeight="1">
      <c r="A312" s="131">
        <v>307</v>
      </c>
      <c r="B312" s="138" t="s">
        <v>503</v>
      </c>
      <c r="C312" s="139">
        <v>41750</v>
      </c>
      <c r="D312" s="125">
        <v>5.8</v>
      </c>
      <c r="E312" s="126" t="s">
        <v>51</v>
      </c>
      <c r="F312" s="123" t="s">
        <v>53</v>
      </c>
      <c r="G312" s="138" t="s">
        <v>503</v>
      </c>
      <c r="H312" s="139">
        <v>41750</v>
      </c>
      <c r="I312" s="125">
        <v>5.8</v>
      </c>
      <c r="J312" s="161"/>
    </row>
    <row r="313" spans="1:10" ht="18" customHeight="1">
      <c r="A313" s="131">
        <v>308</v>
      </c>
      <c r="B313" s="138" t="s">
        <v>504</v>
      </c>
      <c r="C313" s="139">
        <v>41750</v>
      </c>
      <c r="D313" s="125">
        <v>24.38</v>
      </c>
      <c r="E313" s="126" t="s">
        <v>51</v>
      </c>
      <c r="F313" s="123" t="s">
        <v>53</v>
      </c>
      <c r="G313" s="138" t="s">
        <v>504</v>
      </c>
      <c r="H313" s="139">
        <v>41750</v>
      </c>
      <c r="I313" s="125">
        <v>24.38</v>
      </c>
      <c r="J313" s="161"/>
    </row>
    <row r="314" spans="1:10" ht="18" customHeight="1">
      <c r="A314" s="131">
        <v>309</v>
      </c>
      <c r="B314" s="138" t="s">
        <v>505</v>
      </c>
      <c r="C314" s="139">
        <v>41750</v>
      </c>
      <c r="D314" s="125">
        <v>33.020000000000003</v>
      </c>
      <c r="E314" s="126" t="s">
        <v>51</v>
      </c>
      <c r="F314" s="123" t="s">
        <v>53</v>
      </c>
      <c r="G314" s="138" t="s">
        <v>505</v>
      </c>
      <c r="H314" s="139">
        <v>41750</v>
      </c>
      <c r="I314" s="125">
        <v>33.020000000000003</v>
      </c>
      <c r="J314" s="161"/>
    </row>
    <row r="315" spans="1:10" ht="18" customHeight="1">
      <c r="A315" s="131">
        <v>310</v>
      </c>
      <c r="B315" s="138" t="s">
        <v>506</v>
      </c>
      <c r="C315" s="139">
        <v>41750</v>
      </c>
      <c r="D315" s="125">
        <v>35.47</v>
      </c>
      <c r="E315" s="126" t="s">
        <v>51</v>
      </c>
      <c r="F315" s="123" t="s">
        <v>53</v>
      </c>
      <c r="G315" s="138" t="s">
        <v>506</v>
      </c>
      <c r="H315" s="139">
        <v>41750</v>
      </c>
      <c r="I315" s="125">
        <v>35.47</v>
      </c>
      <c r="J315" s="161"/>
    </row>
    <row r="316" spans="1:10" ht="18" customHeight="1">
      <c r="A316" s="131">
        <v>311</v>
      </c>
      <c r="B316" s="138" t="s">
        <v>507</v>
      </c>
      <c r="C316" s="139">
        <v>41757</v>
      </c>
      <c r="D316" s="125">
        <v>24.67</v>
      </c>
      <c r="E316" s="126" t="s">
        <v>51</v>
      </c>
      <c r="F316" s="123" t="s">
        <v>53</v>
      </c>
      <c r="G316" s="138" t="s">
        <v>507</v>
      </c>
      <c r="H316" s="139">
        <v>41757</v>
      </c>
      <c r="I316" s="125">
        <v>24.67</v>
      </c>
      <c r="J316" s="161"/>
    </row>
    <row r="317" spans="1:10" ht="18" customHeight="1">
      <c r="A317" s="131">
        <v>312</v>
      </c>
      <c r="B317" s="138" t="s">
        <v>508</v>
      </c>
      <c r="C317" s="139">
        <v>41757</v>
      </c>
      <c r="D317" s="125">
        <v>36.380000000000003</v>
      </c>
      <c r="E317" s="126" t="s">
        <v>51</v>
      </c>
      <c r="F317" s="123" t="s">
        <v>53</v>
      </c>
      <c r="G317" s="138" t="s">
        <v>508</v>
      </c>
      <c r="H317" s="139">
        <v>41757</v>
      </c>
      <c r="I317" s="125">
        <v>36.380000000000003</v>
      </c>
      <c r="J317" s="161"/>
    </row>
    <row r="318" spans="1:10" ht="18" customHeight="1">
      <c r="A318" s="131">
        <v>313</v>
      </c>
      <c r="B318" s="138" t="s">
        <v>510</v>
      </c>
      <c r="C318" s="139">
        <v>41757</v>
      </c>
      <c r="D318" s="125">
        <v>26.29</v>
      </c>
      <c r="E318" s="126" t="s">
        <v>51</v>
      </c>
      <c r="F318" s="123" t="s">
        <v>53</v>
      </c>
      <c r="G318" s="138" t="s">
        <v>510</v>
      </c>
      <c r="H318" s="139">
        <v>41757</v>
      </c>
      <c r="I318" s="125">
        <v>26.29</v>
      </c>
      <c r="J318" s="161"/>
    </row>
    <row r="319" spans="1:10" ht="18" customHeight="1">
      <c r="A319" s="131">
        <v>314</v>
      </c>
      <c r="B319" s="138" t="s">
        <v>511</v>
      </c>
      <c r="C319" s="139">
        <v>41759</v>
      </c>
      <c r="D319" s="125">
        <v>5</v>
      </c>
      <c r="E319" s="126" t="s">
        <v>51</v>
      </c>
      <c r="F319" s="123" t="s">
        <v>53</v>
      </c>
      <c r="G319" s="138" t="s">
        <v>511</v>
      </c>
      <c r="H319" s="139">
        <v>41759</v>
      </c>
      <c r="I319" s="125">
        <v>5</v>
      </c>
      <c r="J319" s="161"/>
    </row>
    <row r="320" spans="1:10" ht="18" customHeight="1">
      <c r="A320" s="131">
        <v>315</v>
      </c>
      <c r="B320" s="163" t="s">
        <v>513</v>
      </c>
      <c r="C320" s="139">
        <v>41765</v>
      </c>
      <c r="D320" s="125">
        <v>22.99</v>
      </c>
      <c r="E320" s="126" t="s">
        <v>51</v>
      </c>
      <c r="F320" s="123" t="s">
        <v>53</v>
      </c>
      <c r="G320" s="163" t="s">
        <v>513</v>
      </c>
      <c r="H320" s="139">
        <v>41765</v>
      </c>
      <c r="I320" s="125">
        <v>22.99</v>
      </c>
      <c r="J320" s="161"/>
    </row>
    <row r="321" spans="1:10" ht="18" customHeight="1">
      <c r="A321" s="131">
        <v>316</v>
      </c>
      <c r="B321" s="163" t="s">
        <v>514</v>
      </c>
      <c r="C321" s="139">
        <v>41765</v>
      </c>
      <c r="D321" s="125">
        <v>41.9</v>
      </c>
      <c r="E321" s="126" t="s">
        <v>51</v>
      </c>
      <c r="F321" s="123" t="s">
        <v>53</v>
      </c>
      <c r="G321" s="163" t="s">
        <v>514</v>
      </c>
      <c r="H321" s="139">
        <v>41765</v>
      </c>
      <c r="I321" s="125">
        <v>41.9</v>
      </c>
      <c r="J321" s="161"/>
    </row>
    <row r="322" spans="1:10" ht="18" customHeight="1">
      <c r="A322" s="131">
        <v>317</v>
      </c>
      <c r="B322" s="163" t="s">
        <v>515</v>
      </c>
      <c r="C322" s="139">
        <v>41765</v>
      </c>
      <c r="D322" s="125">
        <v>27.55</v>
      </c>
      <c r="E322" s="126" t="s">
        <v>51</v>
      </c>
      <c r="F322" s="123" t="s">
        <v>53</v>
      </c>
      <c r="G322" s="163" t="s">
        <v>515</v>
      </c>
      <c r="H322" s="139">
        <v>41765</v>
      </c>
      <c r="I322" s="125">
        <v>27.55</v>
      </c>
      <c r="J322" s="161"/>
    </row>
    <row r="323" spans="1:10" ht="18" customHeight="1">
      <c r="A323" s="131">
        <v>318</v>
      </c>
      <c r="B323" s="163" t="s">
        <v>516</v>
      </c>
      <c r="C323" s="139">
        <v>41766</v>
      </c>
      <c r="D323" s="125">
        <v>82.68</v>
      </c>
      <c r="E323" s="126" t="s">
        <v>51</v>
      </c>
      <c r="F323" s="123" t="s">
        <v>53</v>
      </c>
      <c r="G323" s="163" t="s">
        <v>516</v>
      </c>
      <c r="H323" s="139">
        <v>41766</v>
      </c>
      <c r="I323" s="125">
        <v>82.68</v>
      </c>
      <c r="J323" s="161"/>
    </row>
    <row r="324" spans="1:10" ht="18" customHeight="1">
      <c r="A324" s="131">
        <v>319</v>
      </c>
      <c r="B324" s="163" t="s">
        <v>517</v>
      </c>
      <c r="C324" s="139">
        <v>41771</v>
      </c>
      <c r="D324" s="125">
        <v>50.65</v>
      </c>
      <c r="E324" s="126" t="s">
        <v>51</v>
      </c>
      <c r="F324" s="123" t="s">
        <v>53</v>
      </c>
      <c r="G324" s="163" t="s">
        <v>517</v>
      </c>
      <c r="H324" s="139">
        <v>41771</v>
      </c>
      <c r="I324" s="125">
        <v>50.65</v>
      </c>
      <c r="J324" s="161"/>
    </row>
    <row r="325" spans="1:10" ht="18" customHeight="1">
      <c r="A325" s="131">
        <v>320</v>
      </c>
      <c r="B325" s="163" t="s">
        <v>518</v>
      </c>
      <c r="C325" s="139">
        <v>41771</v>
      </c>
      <c r="D325" s="125">
        <v>22.3</v>
      </c>
      <c r="E325" s="126" t="s">
        <v>51</v>
      </c>
      <c r="F325" s="123" t="s">
        <v>53</v>
      </c>
      <c r="G325" s="163" t="s">
        <v>518</v>
      </c>
      <c r="H325" s="139">
        <v>41771</v>
      </c>
      <c r="I325" s="125">
        <v>22.3</v>
      </c>
      <c r="J325" s="161"/>
    </row>
    <row r="326" spans="1:10" ht="18" customHeight="1">
      <c r="A326" s="131">
        <v>321</v>
      </c>
      <c r="B326" s="163" t="s">
        <v>519</v>
      </c>
      <c r="C326" s="139">
        <v>41772</v>
      </c>
      <c r="D326" s="125">
        <v>22.3</v>
      </c>
      <c r="E326" s="126" t="s">
        <v>51</v>
      </c>
      <c r="F326" s="123" t="s">
        <v>53</v>
      </c>
      <c r="G326" s="163" t="s">
        <v>519</v>
      </c>
      <c r="H326" s="139">
        <v>41772</v>
      </c>
      <c r="I326" s="125">
        <v>22.3</v>
      </c>
      <c r="J326" s="161"/>
    </row>
    <row r="327" spans="1:10" ht="18" customHeight="1">
      <c r="A327" s="131">
        <v>322</v>
      </c>
      <c r="B327" s="163" t="s">
        <v>521</v>
      </c>
      <c r="C327" s="139">
        <v>41772</v>
      </c>
      <c r="D327" s="125">
        <v>22.32</v>
      </c>
      <c r="E327" s="126" t="s">
        <v>51</v>
      </c>
      <c r="F327" s="123" t="s">
        <v>53</v>
      </c>
      <c r="G327" s="163" t="s">
        <v>521</v>
      </c>
      <c r="H327" s="139">
        <v>41772</v>
      </c>
      <c r="I327" s="125">
        <v>22.32</v>
      </c>
      <c r="J327" s="161"/>
    </row>
    <row r="328" spans="1:10" ht="18" customHeight="1">
      <c r="A328" s="131">
        <v>323</v>
      </c>
      <c r="B328" s="163" t="s">
        <v>523</v>
      </c>
      <c r="C328" s="139">
        <v>41778</v>
      </c>
      <c r="D328" s="125">
        <v>22.3</v>
      </c>
      <c r="E328" s="126" t="s">
        <v>51</v>
      </c>
      <c r="F328" s="123" t="s">
        <v>53</v>
      </c>
      <c r="G328" s="163" t="s">
        <v>523</v>
      </c>
      <c r="H328" s="139">
        <v>41778</v>
      </c>
      <c r="I328" s="125">
        <v>22.3</v>
      </c>
      <c r="J328" s="161"/>
    </row>
    <row r="329" spans="1:10" ht="18" customHeight="1">
      <c r="A329" s="131">
        <v>324</v>
      </c>
      <c r="B329" s="163" t="s">
        <v>524</v>
      </c>
      <c r="C329" s="139">
        <v>41779</v>
      </c>
      <c r="D329" s="125">
        <v>27.35</v>
      </c>
      <c r="E329" s="126" t="s">
        <v>51</v>
      </c>
      <c r="F329" s="123" t="s">
        <v>53</v>
      </c>
      <c r="G329" s="163" t="s">
        <v>524</v>
      </c>
      <c r="H329" s="139">
        <v>41779</v>
      </c>
      <c r="I329" s="125">
        <v>27.35</v>
      </c>
      <c r="J329" s="161"/>
    </row>
    <row r="330" spans="1:10" ht="18" customHeight="1">
      <c r="A330" s="131">
        <v>325</v>
      </c>
      <c r="B330" s="163" t="s">
        <v>525</v>
      </c>
      <c r="C330" s="139">
        <v>41779</v>
      </c>
      <c r="D330" s="125">
        <v>29.44</v>
      </c>
      <c r="E330" s="126" t="s">
        <v>51</v>
      </c>
      <c r="F330" s="123" t="s">
        <v>53</v>
      </c>
      <c r="G330" s="163" t="s">
        <v>525</v>
      </c>
      <c r="H330" s="139">
        <v>41779</v>
      </c>
      <c r="I330" s="125">
        <v>29.44</v>
      </c>
      <c r="J330" s="161"/>
    </row>
    <row r="331" spans="1:10" ht="18" customHeight="1">
      <c r="A331" s="131">
        <v>326</v>
      </c>
      <c r="B331" s="163" t="s">
        <v>528</v>
      </c>
      <c r="C331" s="139">
        <v>41786</v>
      </c>
      <c r="D331" s="125">
        <v>28.01</v>
      </c>
      <c r="E331" s="126" t="s">
        <v>51</v>
      </c>
      <c r="F331" s="123" t="s">
        <v>53</v>
      </c>
      <c r="G331" s="163" t="s">
        <v>528</v>
      </c>
      <c r="H331" s="139">
        <v>41786</v>
      </c>
      <c r="I331" s="125">
        <v>28.01</v>
      </c>
      <c r="J331" s="161"/>
    </row>
    <row r="332" spans="1:10" ht="18" customHeight="1">
      <c r="A332" s="131">
        <v>327</v>
      </c>
      <c r="B332" s="141" t="s">
        <v>530</v>
      </c>
      <c r="C332" s="139">
        <v>41793</v>
      </c>
      <c r="D332" s="125">
        <v>22.1</v>
      </c>
      <c r="E332" s="126" t="s">
        <v>51</v>
      </c>
      <c r="F332" s="123" t="s">
        <v>53</v>
      </c>
      <c r="G332" s="141" t="s">
        <v>530</v>
      </c>
      <c r="H332" s="139">
        <v>41793</v>
      </c>
      <c r="I332" s="125">
        <v>22.1</v>
      </c>
      <c r="J332" s="161"/>
    </row>
    <row r="333" spans="1:10" ht="18" customHeight="1">
      <c r="A333" s="131">
        <v>328</v>
      </c>
      <c r="B333" s="141" t="s">
        <v>531</v>
      </c>
      <c r="C333" s="139">
        <v>41793</v>
      </c>
      <c r="D333" s="125">
        <v>30.9</v>
      </c>
      <c r="E333" s="126" t="s">
        <v>51</v>
      </c>
      <c r="F333" s="123" t="s">
        <v>53</v>
      </c>
      <c r="G333" s="141" t="s">
        <v>531</v>
      </c>
      <c r="H333" s="139">
        <v>41793</v>
      </c>
      <c r="I333" s="125">
        <v>30.9</v>
      </c>
      <c r="J333" s="161"/>
    </row>
    <row r="334" spans="1:10" ht="18" customHeight="1">
      <c r="A334" s="131">
        <v>329</v>
      </c>
      <c r="B334" s="141" t="s">
        <v>532</v>
      </c>
      <c r="C334" s="139">
        <v>41793</v>
      </c>
      <c r="D334" s="125">
        <v>45.25</v>
      </c>
      <c r="E334" s="126" t="s">
        <v>51</v>
      </c>
      <c r="F334" s="123" t="s">
        <v>53</v>
      </c>
      <c r="G334" s="141" t="s">
        <v>532</v>
      </c>
      <c r="H334" s="139">
        <v>41793</v>
      </c>
      <c r="I334" s="125">
        <v>45.25</v>
      </c>
      <c r="J334" s="161"/>
    </row>
    <row r="335" spans="1:10" ht="18" customHeight="1">
      <c r="A335" s="131">
        <v>330</v>
      </c>
      <c r="B335" s="141" t="s">
        <v>534</v>
      </c>
      <c r="C335" s="139">
        <v>41799</v>
      </c>
      <c r="D335" s="125">
        <v>31.74</v>
      </c>
      <c r="E335" s="126" t="s">
        <v>51</v>
      </c>
      <c r="F335" s="123" t="s">
        <v>53</v>
      </c>
      <c r="G335" s="141" t="s">
        <v>534</v>
      </c>
      <c r="H335" s="139">
        <v>41799</v>
      </c>
      <c r="I335" s="125">
        <v>31.74</v>
      </c>
      <c r="J335" s="161"/>
    </row>
    <row r="336" spans="1:10" ht="18" customHeight="1">
      <c r="A336" s="131">
        <v>331</v>
      </c>
      <c r="B336" s="141" t="s">
        <v>535</v>
      </c>
      <c r="C336" s="139">
        <v>41799</v>
      </c>
      <c r="D336" s="125">
        <v>104.78</v>
      </c>
      <c r="E336" s="126" t="s">
        <v>51</v>
      </c>
      <c r="F336" s="123" t="s">
        <v>53</v>
      </c>
      <c r="G336" s="141" t="s">
        <v>535</v>
      </c>
      <c r="H336" s="139">
        <v>41799</v>
      </c>
      <c r="I336" s="125">
        <v>104.78</v>
      </c>
      <c r="J336" s="161"/>
    </row>
    <row r="337" spans="1:10" ht="18" customHeight="1">
      <c r="A337" s="131">
        <v>332</v>
      </c>
      <c r="B337" s="141" t="s">
        <v>536</v>
      </c>
      <c r="C337" s="139">
        <v>41800</v>
      </c>
      <c r="D337" s="125">
        <v>32.6</v>
      </c>
      <c r="E337" s="126" t="s">
        <v>51</v>
      </c>
      <c r="F337" s="123" t="s">
        <v>53</v>
      </c>
      <c r="G337" s="141" t="s">
        <v>536</v>
      </c>
      <c r="H337" s="139">
        <v>41800</v>
      </c>
      <c r="I337" s="125">
        <v>32.6</v>
      </c>
      <c r="J337" s="161"/>
    </row>
    <row r="338" spans="1:10" ht="18" customHeight="1">
      <c r="A338" s="131">
        <v>333</v>
      </c>
      <c r="B338" s="141" t="s">
        <v>537</v>
      </c>
      <c r="C338" s="139">
        <v>41800</v>
      </c>
      <c r="D338" s="125">
        <v>42.96</v>
      </c>
      <c r="E338" s="126" t="s">
        <v>51</v>
      </c>
      <c r="F338" s="123" t="s">
        <v>53</v>
      </c>
      <c r="G338" s="141" t="s">
        <v>537</v>
      </c>
      <c r="H338" s="139">
        <v>41800</v>
      </c>
      <c r="I338" s="125">
        <v>42.96</v>
      </c>
      <c r="J338" s="161"/>
    </row>
    <row r="339" spans="1:10" ht="18" customHeight="1">
      <c r="A339" s="131">
        <v>334</v>
      </c>
      <c r="B339" s="141" t="s">
        <v>538</v>
      </c>
      <c r="C339" s="139">
        <v>41800</v>
      </c>
      <c r="D339" s="125">
        <v>112.27</v>
      </c>
      <c r="E339" s="126" t="s">
        <v>51</v>
      </c>
      <c r="F339" s="123" t="s">
        <v>53</v>
      </c>
      <c r="G339" s="141" t="s">
        <v>538</v>
      </c>
      <c r="H339" s="139">
        <v>41800</v>
      </c>
      <c r="I339" s="125">
        <v>112.27</v>
      </c>
      <c r="J339" s="161"/>
    </row>
    <row r="340" spans="1:10" ht="18" customHeight="1">
      <c r="A340" s="131">
        <v>335</v>
      </c>
      <c r="B340" s="141" t="s">
        <v>539</v>
      </c>
      <c r="C340" s="139">
        <v>41800</v>
      </c>
      <c r="D340" s="125">
        <v>31.53</v>
      </c>
      <c r="E340" s="126" t="s">
        <v>51</v>
      </c>
      <c r="F340" s="123" t="s">
        <v>53</v>
      </c>
      <c r="G340" s="141" t="s">
        <v>539</v>
      </c>
      <c r="H340" s="139">
        <v>41800</v>
      </c>
      <c r="I340" s="125">
        <v>31.53</v>
      </c>
      <c r="J340" s="161"/>
    </row>
    <row r="341" spans="1:10" ht="18" customHeight="1">
      <c r="A341" s="131">
        <v>336</v>
      </c>
      <c r="B341" s="141" t="s">
        <v>540</v>
      </c>
      <c r="C341" s="139">
        <v>41800</v>
      </c>
      <c r="D341" s="125">
        <v>35.450000000000003</v>
      </c>
      <c r="E341" s="126" t="s">
        <v>51</v>
      </c>
      <c r="F341" s="123" t="s">
        <v>53</v>
      </c>
      <c r="G341" s="141" t="s">
        <v>540</v>
      </c>
      <c r="H341" s="139">
        <v>41800</v>
      </c>
      <c r="I341" s="125">
        <v>35.450000000000003</v>
      </c>
      <c r="J341" s="161"/>
    </row>
    <row r="342" spans="1:10" ht="18" customHeight="1">
      <c r="A342" s="131">
        <v>337</v>
      </c>
      <c r="B342" s="141" t="s">
        <v>542</v>
      </c>
      <c r="C342" s="139">
        <v>41806</v>
      </c>
      <c r="D342" s="125">
        <v>29.64</v>
      </c>
      <c r="E342" s="126" t="s">
        <v>51</v>
      </c>
      <c r="F342" s="123" t="s">
        <v>53</v>
      </c>
      <c r="G342" s="141" t="s">
        <v>542</v>
      </c>
      <c r="H342" s="139">
        <v>41806</v>
      </c>
      <c r="I342" s="125">
        <v>29.64</v>
      </c>
      <c r="J342" s="161"/>
    </row>
    <row r="343" spans="1:10" ht="18" customHeight="1">
      <c r="A343" s="131">
        <v>338</v>
      </c>
      <c r="B343" s="141" t="s">
        <v>543</v>
      </c>
      <c r="C343" s="139">
        <v>41806</v>
      </c>
      <c r="D343" s="125">
        <v>63.68</v>
      </c>
      <c r="E343" s="126" t="s">
        <v>51</v>
      </c>
      <c r="F343" s="123" t="s">
        <v>53</v>
      </c>
      <c r="G343" s="141" t="s">
        <v>543</v>
      </c>
      <c r="H343" s="139">
        <v>41806</v>
      </c>
      <c r="I343" s="125">
        <v>63.68</v>
      </c>
      <c r="J343" s="161"/>
    </row>
    <row r="344" spans="1:10" ht="18" customHeight="1">
      <c r="A344" s="131">
        <v>341</v>
      </c>
      <c r="B344" s="141" t="s">
        <v>544</v>
      </c>
      <c r="C344" s="139">
        <v>41807</v>
      </c>
      <c r="D344" s="125">
        <v>77.8</v>
      </c>
      <c r="E344" s="126" t="s">
        <v>51</v>
      </c>
      <c r="F344" s="123" t="s">
        <v>53</v>
      </c>
      <c r="G344" s="141" t="s">
        <v>544</v>
      </c>
      <c r="H344" s="139">
        <v>41807</v>
      </c>
      <c r="I344" s="125">
        <v>77.8</v>
      </c>
      <c r="J344" s="161"/>
    </row>
    <row r="345" spans="1:10" ht="18" customHeight="1">
      <c r="A345" s="131">
        <v>342</v>
      </c>
      <c r="B345" s="141" t="s">
        <v>545</v>
      </c>
      <c r="C345" s="139">
        <v>41807</v>
      </c>
      <c r="D345" s="125">
        <v>36.520000000000003</v>
      </c>
      <c r="E345" s="126" t="s">
        <v>51</v>
      </c>
      <c r="F345" s="123" t="s">
        <v>53</v>
      </c>
      <c r="G345" s="141" t="s">
        <v>545</v>
      </c>
      <c r="H345" s="139">
        <v>41807</v>
      </c>
      <c r="I345" s="125">
        <v>36.520000000000003</v>
      </c>
      <c r="J345" s="161"/>
    </row>
    <row r="346" spans="1:10" ht="18" customHeight="1">
      <c r="A346" s="131">
        <v>343</v>
      </c>
      <c r="B346" s="141" t="s">
        <v>546</v>
      </c>
      <c r="C346" s="139">
        <v>41807</v>
      </c>
      <c r="D346" s="125">
        <v>6.5</v>
      </c>
      <c r="E346" s="126" t="s">
        <v>51</v>
      </c>
      <c r="F346" s="123" t="s">
        <v>53</v>
      </c>
      <c r="G346" s="141" t="s">
        <v>546</v>
      </c>
      <c r="H346" s="139">
        <v>41807</v>
      </c>
      <c r="I346" s="125">
        <v>6.5</v>
      </c>
      <c r="J346" s="161"/>
    </row>
    <row r="347" spans="1:10" ht="18" customHeight="1">
      <c r="A347" s="131">
        <v>344</v>
      </c>
      <c r="B347" s="141" t="s">
        <v>547</v>
      </c>
      <c r="C347" s="139">
        <v>41807</v>
      </c>
      <c r="D347" s="125">
        <v>27.35</v>
      </c>
      <c r="E347" s="126" t="s">
        <v>51</v>
      </c>
      <c r="F347" s="123" t="s">
        <v>53</v>
      </c>
      <c r="G347" s="141" t="s">
        <v>547</v>
      </c>
      <c r="H347" s="139">
        <v>41807</v>
      </c>
      <c r="I347" s="125">
        <v>27.35</v>
      </c>
      <c r="J347" s="161"/>
    </row>
    <row r="348" spans="1:10" ht="18" customHeight="1">
      <c r="A348" s="131">
        <v>345</v>
      </c>
      <c r="B348" s="141" t="s">
        <v>548</v>
      </c>
      <c r="C348" s="139">
        <v>41809</v>
      </c>
      <c r="D348" s="125">
        <v>6.5</v>
      </c>
      <c r="E348" s="126" t="s">
        <v>51</v>
      </c>
      <c r="F348" s="123" t="s">
        <v>53</v>
      </c>
      <c r="G348" s="141" t="s">
        <v>548</v>
      </c>
      <c r="H348" s="139">
        <v>41809</v>
      </c>
      <c r="I348" s="125">
        <v>6.5</v>
      </c>
      <c r="J348" s="161"/>
    </row>
    <row r="349" spans="1:10" ht="18" customHeight="1">
      <c r="A349" s="131">
        <v>346</v>
      </c>
      <c r="B349" s="141" t="s">
        <v>549</v>
      </c>
      <c r="C349" s="139">
        <v>41810</v>
      </c>
      <c r="D349" s="125">
        <v>6.5</v>
      </c>
      <c r="E349" s="126" t="s">
        <v>51</v>
      </c>
      <c r="F349" s="123" t="s">
        <v>53</v>
      </c>
      <c r="G349" s="141" t="s">
        <v>549</v>
      </c>
      <c r="H349" s="139">
        <v>41810</v>
      </c>
      <c r="I349" s="125">
        <v>6.5</v>
      </c>
      <c r="J349" s="161"/>
    </row>
    <row r="350" spans="1:10" ht="18" customHeight="1">
      <c r="A350" s="131">
        <v>347</v>
      </c>
      <c r="B350" s="141" t="s">
        <v>550</v>
      </c>
      <c r="C350" s="139">
        <v>41813</v>
      </c>
      <c r="D350" s="125">
        <v>31.41</v>
      </c>
      <c r="E350" s="126" t="s">
        <v>51</v>
      </c>
      <c r="F350" s="123" t="s">
        <v>53</v>
      </c>
      <c r="G350" s="141" t="s">
        <v>550</v>
      </c>
      <c r="H350" s="139">
        <v>41813</v>
      </c>
      <c r="I350" s="125">
        <v>31.41</v>
      </c>
      <c r="J350" s="161"/>
    </row>
    <row r="351" spans="1:10" ht="18" customHeight="1">
      <c r="A351" s="131">
        <v>348</v>
      </c>
      <c r="B351" s="141" t="s">
        <v>552</v>
      </c>
      <c r="C351" s="139">
        <v>41814</v>
      </c>
      <c r="D351" s="125">
        <v>62.52</v>
      </c>
      <c r="E351" s="126" t="s">
        <v>51</v>
      </c>
      <c r="F351" s="123" t="s">
        <v>53</v>
      </c>
      <c r="G351" s="141" t="s">
        <v>552</v>
      </c>
      <c r="H351" s="139">
        <v>41814</v>
      </c>
      <c r="I351" s="125">
        <v>62.52</v>
      </c>
      <c r="J351" s="161"/>
    </row>
    <row r="352" spans="1:10" ht="18" customHeight="1">
      <c r="A352" s="131">
        <v>349</v>
      </c>
      <c r="B352" s="141" t="s">
        <v>553</v>
      </c>
      <c r="C352" s="139">
        <v>41820</v>
      </c>
      <c r="D352" s="125">
        <v>30.38</v>
      </c>
      <c r="E352" s="126" t="s">
        <v>51</v>
      </c>
      <c r="F352" s="123" t="s">
        <v>53</v>
      </c>
      <c r="G352" s="141" t="s">
        <v>553</v>
      </c>
      <c r="H352" s="139">
        <v>41820</v>
      </c>
      <c r="I352" s="125">
        <v>30.38</v>
      </c>
      <c r="J352" s="161"/>
    </row>
    <row r="353" spans="1:10" ht="18" customHeight="1">
      <c r="A353" s="131">
        <v>350</v>
      </c>
      <c r="B353" s="141" t="s">
        <v>554</v>
      </c>
      <c r="C353" s="139">
        <v>41820</v>
      </c>
      <c r="D353" s="125">
        <v>23.41</v>
      </c>
      <c r="E353" s="126" t="s">
        <v>51</v>
      </c>
      <c r="F353" s="123" t="s">
        <v>53</v>
      </c>
      <c r="G353" s="141" t="s">
        <v>554</v>
      </c>
      <c r="H353" s="139">
        <v>41820</v>
      </c>
      <c r="I353" s="125">
        <v>23.41</v>
      </c>
      <c r="J353" s="161"/>
    </row>
    <row r="354" spans="1:10" ht="18" customHeight="1">
      <c r="A354" s="131">
        <v>351</v>
      </c>
      <c r="B354" s="141" t="s">
        <v>557</v>
      </c>
      <c r="C354" s="139">
        <v>41828</v>
      </c>
      <c r="D354" s="125">
        <v>37.200000000000003</v>
      </c>
      <c r="E354" s="126" t="s">
        <v>51</v>
      </c>
      <c r="F354" s="123" t="s">
        <v>53</v>
      </c>
      <c r="G354" s="141" t="s">
        <v>557</v>
      </c>
      <c r="H354" s="139">
        <v>41828</v>
      </c>
      <c r="I354" s="125">
        <v>37.200000000000003</v>
      </c>
      <c r="J354" s="161"/>
    </row>
    <row r="355" spans="1:10" ht="18" customHeight="1">
      <c r="A355" s="131">
        <v>352</v>
      </c>
      <c r="B355" s="141" t="s">
        <v>558</v>
      </c>
      <c r="C355" s="139">
        <v>41828</v>
      </c>
      <c r="D355" s="125">
        <v>22.3</v>
      </c>
      <c r="E355" s="126" t="s">
        <v>51</v>
      </c>
      <c r="F355" s="123" t="s">
        <v>53</v>
      </c>
      <c r="G355" s="141" t="s">
        <v>558</v>
      </c>
      <c r="H355" s="139">
        <v>41828</v>
      </c>
      <c r="I355" s="125">
        <v>22.3</v>
      </c>
      <c r="J355" s="161"/>
    </row>
    <row r="356" spans="1:10" ht="18" customHeight="1">
      <c r="A356" s="131">
        <v>353</v>
      </c>
      <c r="B356" s="141" t="s">
        <v>559</v>
      </c>
      <c r="C356" s="139">
        <v>41828</v>
      </c>
      <c r="D356" s="125">
        <v>38.53</v>
      </c>
      <c r="E356" s="126" t="s">
        <v>51</v>
      </c>
      <c r="F356" s="123" t="s">
        <v>53</v>
      </c>
      <c r="G356" s="141" t="s">
        <v>559</v>
      </c>
      <c r="H356" s="139">
        <v>41828</v>
      </c>
      <c r="I356" s="125">
        <v>38.53</v>
      </c>
      <c r="J356" s="161"/>
    </row>
    <row r="357" spans="1:10" ht="18" customHeight="1">
      <c r="A357" s="131">
        <v>354</v>
      </c>
      <c r="B357" s="141" t="s">
        <v>561</v>
      </c>
      <c r="C357" s="139">
        <v>41835</v>
      </c>
      <c r="D357" s="125">
        <v>88.75</v>
      </c>
      <c r="E357" s="126" t="s">
        <v>51</v>
      </c>
      <c r="F357" s="123" t="s">
        <v>53</v>
      </c>
      <c r="G357" s="141" t="s">
        <v>561</v>
      </c>
      <c r="H357" s="139">
        <v>41835</v>
      </c>
      <c r="I357" s="125">
        <v>88.75</v>
      </c>
      <c r="J357" s="161"/>
    </row>
    <row r="358" spans="1:10" ht="18" customHeight="1">
      <c r="A358" s="131">
        <v>355</v>
      </c>
      <c r="B358" s="141" t="s">
        <v>562</v>
      </c>
      <c r="C358" s="139">
        <v>41835</v>
      </c>
      <c r="D358" s="125">
        <v>142.72999999999999</v>
      </c>
      <c r="E358" s="126" t="s">
        <v>51</v>
      </c>
      <c r="F358" s="123" t="s">
        <v>53</v>
      </c>
      <c r="G358" s="141" t="s">
        <v>562</v>
      </c>
      <c r="H358" s="139">
        <v>41835</v>
      </c>
      <c r="I358" s="125">
        <v>142.72999999999999</v>
      </c>
      <c r="J358" s="161"/>
    </row>
    <row r="359" spans="1:10" ht="18" customHeight="1">
      <c r="A359" s="131">
        <v>356</v>
      </c>
      <c r="B359" s="141" t="s">
        <v>563</v>
      </c>
      <c r="C359" s="139">
        <v>41835</v>
      </c>
      <c r="D359" s="125">
        <v>22.3</v>
      </c>
      <c r="E359" s="126" t="s">
        <v>51</v>
      </c>
      <c r="F359" s="123" t="s">
        <v>53</v>
      </c>
      <c r="G359" s="141" t="s">
        <v>563</v>
      </c>
      <c r="H359" s="139">
        <v>41835</v>
      </c>
      <c r="I359" s="125">
        <v>22.3</v>
      </c>
      <c r="J359" s="161"/>
    </row>
    <row r="360" spans="1:10" ht="18" customHeight="1">
      <c r="A360" s="131">
        <v>357</v>
      </c>
      <c r="B360" s="141" t="s">
        <v>564</v>
      </c>
      <c r="C360" s="139">
        <v>41835</v>
      </c>
      <c r="D360" s="125">
        <v>5</v>
      </c>
      <c r="E360" s="126" t="s">
        <v>51</v>
      </c>
      <c r="F360" s="123" t="s">
        <v>53</v>
      </c>
      <c r="G360" s="141" t="s">
        <v>564</v>
      </c>
      <c r="H360" s="139">
        <v>41835</v>
      </c>
      <c r="I360" s="125">
        <v>5</v>
      </c>
      <c r="J360" s="161"/>
    </row>
    <row r="361" spans="1:10" ht="18" customHeight="1">
      <c r="A361" s="131">
        <v>358</v>
      </c>
      <c r="B361" s="141" t="s">
        <v>565</v>
      </c>
      <c r="C361" s="139">
        <v>41837</v>
      </c>
      <c r="D361" s="125">
        <v>5</v>
      </c>
      <c r="E361" s="126" t="s">
        <v>51</v>
      </c>
      <c r="F361" s="123" t="s">
        <v>53</v>
      </c>
      <c r="G361" s="141" t="s">
        <v>565</v>
      </c>
      <c r="H361" s="139">
        <v>41837</v>
      </c>
      <c r="I361" s="125">
        <v>5</v>
      </c>
      <c r="J361" s="161"/>
    </row>
    <row r="362" spans="1:10" ht="18" customHeight="1">
      <c r="A362" s="131">
        <v>359</v>
      </c>
      <c r="B362" s="141" t="s">
        <v>566</v>
      </c>
      <c r="C362" s="139">
        <v>41837</v>
      </c>
      <c r="D362" s="125">
        <v>5</v>
      </c>
      <c r="E362" s="126" t="s">
        <v>51</v>
      </c>
      <c r="F362" s="123" t="s">
        <v>53</v>
      </c>
      <c r="G362" s="141" t="s">
        <v>566</v>
      </c>
      <c r="H362" s="139">
        <v>41837</v>
      </c>
      <c r="I362" s="125">
        <v>5</v>
      </c>
      <c r="J362" s="161"/>
    </row>
    <row r="363" spans="1:10" ht="18" customHeight="1">
      <c r="A363" s="131">
        <v>360</v>
      </c>
      <c r="B363" s="141" t="s">
        <v>570</v>
      </c>
      <c r="C363" s="139">
        <v>41842</v>
      </c>
      <c r="D363" s="125">
        <v>59.41</v>
      </c>
      <c r="E363" s="126" t="s">
        <v>51</v>
      </c>
      <c r="F363" s="123" t="s">
        <v>53</v>
      </c>
      <c r="G363" s="141" t="s">
        <v>570</v>
      </c>
      <c r="H363" s="139">
        <v>41842</v>
      </c>
      <c r="I363" s="125">
        <v>59.41</v>
      </c>
      <c r="J363" s="161"/>
    </row>
    <row r="364" spans="1:10" ht="18" customHeight="1">
      <c r="A364" s="131">
        <v>361</v>
      </c>
      <c r="B364" s="141" t="s">
        <v>571</v>
      </c>
      <c r="C364" s="139">
        <v>41848</v>
      </c>
      <c r="D364" s="125">
        <v>5</v>
      </c>
      <c r="E364" s="126" t="s">
        <v>51</v>
      </c>
      <c r="F364" s="123" t="s">
        <v>53</v>
      </c>
      <c r="G364" s="141" t="s">
        <v>571</v>
      </c>
      <c r="H364" s="139">
        <v>41848</v>
      </c>
      <c r="I364" s="125">
        <v>5</v>
      </c>
      <c r="J364" s="161"/>
    </row>
    <row r="365" spans="1:10" ht="18" customHeight="1">
      <c r="A365" s="131">
        <v>362</v>
      </c>
      <c r="B365" s="141" t="s">
        <v>513</v>
      </c>
      <c r="C365" s="139">
        <v>41765</v>
      </c>
      <c r="D365" s="125">
        <v>22.99</v>
      </c>
      <c r="E365" s="126" t="s">
        <v>51</v>
      </c>
      <c r="F365" s="123" t="s">
        <v>53</v>
      </c>
      <c r="G365" s="141" t="s">
        <v>513</v>
      </c>
      <c r="H365" s="139">
        <v>41765</v>
      </c>
      <c r="I365" s="125">
        <v>22.99</v>
      </c>
      <c r="J365" s="161"/>
    </row>
    <row r="366" spans="1:10" ht="18" customHeight="1">
      <c r="A366" s="131">
        <v>363</v>
      </c>
      <c r="B366" s="141" t="s">
        <v>514</v>
      </c>
      <c r="C366" s="139">
        <v>41765</v>
      </c>
      <c r="D366" s="125">
        <v>41.9</v>
      </c>
      <c r="E366" s="126" t="s">
        <v>51</v>
      </c>
      <c r="F366" s="123" t="s">
        <v>53</v>
      </c>
      <c r="G366" s="141" t="s">
        <v>514</v>
      </c>
      <c r="H366" s="139">
        <v>41765</v>
      </c>
      <c r="I366" s="125">
        <v>41.9</v>
      </c>
      <c r="J366" s="161"/>
    </row>
    <row r="367" spans="1:10" ht="18" customHeight="1">
      <c r="A367" s="131">
        <v>364</v>
      </c>
      <c r="B367" s="141" t="s">
        <v>515</v>
      </c>
      <c r="C367" s="139">
        <v>41765</v>
      </c>
      <c r="D367" s="125">
        <v>27.55</v>
      </c>
      <c r="E367" s="126" t="s">
        <v>51</v>
      </c>
      <c r="F367" s="123" t="s">
        <v>53</v>
      </c>
      <c r="G367" s="141" t="s">
        <v>515</v>
      </c>
      <c r="H367" s="139">
        <v>41765</v>
      </c>
      <c r="I367" s="125">
        <v>27.55</v>
      </c>
      <c r="J367" s="161"/>
    </row>
    <row r="368" spans="1:10" ht="18" customHeight="1">
      <c r="A368" s="131">
        <v>365</v>
      </c>
      <c r="B368" s="141" t="s">
        <v>516</v>
      </c>
      <c r="C368" s="139">
        <v>41766</v>
      </c>
      <c r="D368" s="125">
        <v>82.68</v>
      </c>
      <c r="E368" s="126" t="s">
        <v>51</v>
      </c>
      <c r="F368" s="123" t="s">
        <v>53</v>
      </c>
      <c r="G368" s="141" t="s">
        <v>516</v>
      </c>
      <c r="H368" s="139">
        <v>41766</v>
      </c>
      <c r="I368" s="125">
        <v>82.68</v>
      </c>
      <c r="J368" s="161"/>
    </row>
    <row r="369" spans="1:10" ht="18" customHeight="1">
      <c r="A369" s="131">
        <v>366</v>
      </c>
      <c r="B369" s="141" t="s">
        <v>577</v>
      </c>
      <c r="C369" s="139">
        <v>41856</v>
      </c>
      <c r="D369" s="125">
        <v>54.09</v>
      </c>
      <c r="E369" s="126" t="s">
        <v>51</v>
      </c>
      <c r="F369" s="123" t="s">
        <v>53</v>
      </c>
      <c r="G369" s="141" t="s">
        <v>577</v>
      </c>
      <c r="H369" s="139">
        <v>41856</v>
      </c>
      <c r="I369" s="125">
        <v>54.09</v>
      </c>
      <c r="J369" s="161"/>
    </row>
    <row r="370" spans="1:10" ht="18" customHeight="1">
      <c r="A370" s="131">
        <v>367</v>
      </c>
      <c r="B370" s="141" t="s">
        <v>578</v>
      </c>
      <c r="C370" s="139">
        <v>41856</v>
      </c>
      <c r="D370" s="125">
        <v>30.93</v>
      </c>
      <c r="E370" s="126" t="s">
        <v>51</v>
      </c>
      <c r="F370" s="123" t="s">
        <v>53</v>
      </c>
      <c r="G370" s="141" t="s">
        <v>578</v>
      </c>
      <c r="H370" s="139">
        <v>41856</v>
      </c>
      <c r="I370" s="125">
        <v>30.93</v>
      </c>
      <c r="J370" s="161"/>
    </row>
    <row r="371" spans="1:10" ht="18" customHeight="1">
      <c r="A371" s="131">
        <v>368</v>
      </c>
      <c r="B371" s="141" t="s">
        <v>579</v>
      </c>
      <c r="C371" s="139">
        <v>41856</v>
      </c>
      <c r="D371" s="125">
        <v>31.94</v>
      </c>
      <c r="E371" s="126" t="s">
        <v>51</v>
      </c>
      <c r="F371" s="123" t="s">
        <v>53</v>
      </c>
      <c r="G371" s="141" t="s">
        <v>579</v>
      </c>
      <c r="H371" s="139">
        <v>41856</v>
      </c>
      <c r="I371" s="125">
        <v>31.94</v>
      </c>
      <c r="J371" s="161"/>
    </row>
    <row r="372" spans="1:10" ht="18" customHeight="1">
      <c r="A372" s="131">
        <v>369</v>
      </c>
      <c r="B372" s="141" t="s">
        <v>580</v>
      </c>
      <c r="C372" s="139">
        <v>41856</v>
      </c>
      <c r="D372" s="125">
        <v>22.3</v>
      </c>
      <c r="E372" s="126" t="s">
        <v>51</v>
      </c>
      <c r="F372" s="123" t="s">
        <v>53</v>
      </c>
      <c r="G372" s="141" t="s">
        <v>580</v>
      </c>
      <c r="H372" s="139">
        <v>41856</v>
      </c>
      <c r="I372" s="125">
        <v>22.3</v>
      </c>
      <c r="J372" s="161"/>
    </row>
    <row r="373" spans="1:10" ht="18" customHeight="1">
      <c r="A373" s="131">
        <v>370</v>
      </c>
      <c r="B373" s="141" t="s">
        <v>581</v>
      </c>
      <c r="C373" s="139">
        <v>41856</v>
      </c>
      <c r="D373" s="125">
        <v>30.36</v>
      </c>
      <c r="E373" s="126" t="s">
        <v>51</v>
      </c>
      <c r="F373" s="123" t="s">
        <v>53</v>
      </c>
      <c r="G373" s="141" t="s">
        <v>581</v>
      </c>
      <c r="H373" s="139">
        <v>41856</v>
      </c>
      <c r="I373" s="125">
        <v>30.36</v>
      </c>
      <c r="J373" s="161"/>
    </row>
    <row r="374" spans="1:10" ht="18" customHeight="1">
      <c r="A374" s="131">
        <v>371</v>
      </c>
      <c r="B374" s="141" t="s">
        <v>582</v>
      </c>
      <c r="C374" s="139">
        <v>41858</v>
      </c>
      <c r="D374" s="125">
        <v>5</v>
      </c>
      <c r="E374" s="126" t="s">
        <v>51</v>
      </c>
      <c r="F374" s="123" t="s">
        <v>53</v>
      </c>
      <c r="G374" s="141" t="s">
        <v>582</v>
      </c>
      <c r="H374" s="139">
        <v>41858</v>
      </c>
      <c r="I374" s="125">
        <v>5</v>
      </c>
      <c r="J374" s="161"/>
    </row>
    <row r="375" spans="1:10" ht="18" customHeight="1">
      <c r="A375" s="131">
        <v>372</v>
      </c>
      <c r="B375" s="141" t="s">
        <v>583</v>
      </c>
      <c r="C375" s="139">
        <v>41862</v>
      </c>
      <c r="D375" s="125">
        <v>5</v>
      </c>
      <c r="E375" s="126" t="s">
        <v>51</v>
      </c>
      <c r="F375" s="123" t="s">
        <v>53</v>
      </c>
      <c r="G375" s="141" t="s">
        <v>583</v>
      </c>
      <c r="H375" s="139">
        <v>41862</v>
      </c>
      <c r="I375" s="125">
        <v>5</v>
      </c>
      <c r="J375" s="161"/>
    </row>
    <row r="376" spans="1:10" ht="18" customHeight="1">
      <c r="A376" s="131">
        <v>373</v>
      </c>
      <c r="B376" s="141" t="s">
        <v>585</v>
      </c>
      <c r="C376" s="139">
        <v>41863</v>
      </c>
      <c r="D376" s="125">
        <v>26.6</v>
      </c>
      <c r="E376" s="126" t="s">
        <v>51</v>
      </c>
      <c r="F376" s="123" t="s">
        <v>53</v>
      </c>
      <c r="G376" s="141" t="s">
        <v>585</v>
      </c>
      <c r="H376" s="139">
        <v>41863</v>
      </c>
      <c r="I376" s="125">
        <v>26.6</v>
      </c>
      <c r="J376" s="161"/>
    </row>
    <row r="377" spans="1:10" ht="18" customHeight="1">
      <c r="A377" s="131">
        <v>374</v>
      </c>
      <c r="B377" s="141" t="s">
        <v>586</v>
      </c>
      <c r="C377" s="139">
        <v>41863</v>
      </c>
      <c r="D377" s="125">
        <v>25.27</v>
      </c>
      <c r="E377" s="126" t="s">
        <v>51</v>
      </c>
      <c r="F377" s="123" t="s">
        <v>53</v>
      </c>
      <c r="G377" s="141" t="s">
        <v>586</v>
      </c>
      <c r="H377" s="139">
        <v>41863</v>
      </c>
      <c r="I377" s="125">
        <v>25.27</v>
      </c>
      <c r="J377" s="161"/>
    </row>
    <row r="378" spans="1:10" ht="18" customHeight="1">
      <c r="A378" s="131">
        <v>375</v>
      </c>
      <c r="B378" s="141" t="s">
        <v>587</v>
      </c>
      <c r="C378" s="139">
        <v>41863</v>
      </c>
      <c r="D378" s="125">
        <v>64.75</v>
      </c>
      <c r="E378" s="126" t="s">
        <v>51</v>
      </c>
      <c r="F378" s="123" t="s">
        <v>53</v>
      </c>
      <c r="G378" s="141" t="s">
        <v>587</v>
      </c>
      <c r="H378" s="139">
        <v>41863</v>
      </c>
      <c r="I378" s="125">
        <v>64.75</v>
      </c>
      <c r="J378" s="161"/>
    </row>
    <row r="379" spans="1:10" ht="18" customHeight="1">
      <c r="A379" s="131">
        <v>376</v>
      </c>
      <c r="B379" s="141" t="s">
        <v>588</v>
      </c>
      <c r="C379" s="139">
        <v>41863</v>
      </c>
      <c r="D379" s="125">
        <v>84.08</v>
      </c>
      <c r="E379" s="126" t="s">
        <v>51</v>
      </c>
      <c r="F379" s="123" t="s">
        <v>53</v>
      </c>
      <c r="G379" s="141" t="s">
        <v>588</v>
      </c>
      <c r="H379" s="139">
        <v>41863</v>
      </c>
      <c r="I379" s="125">
        <v>84.08</v>
      </c>
      <c r="J379" s="161"/>
    </row>
    <row r="380" spans="1:10" ht="18" customHeight="1">
      <c r="A380" s="131">
        <v>377</v>
      </c>
      <c r="B380" s="141" t="s">
        <v>589</v>
      </c>
      <c r="C380" s="139">
        <v>41863</v>
      </c>
      <c r="D380" s="125">
        <v>28.4</v>
      </c>
      <c r="E380" s="126" t="s">
        <v>51</v>
      </c>
      <c r="F380" s="123" t="s">
        <v>53</v>
      </c>
      <c r="G380" s="141" t="s">
        <v>589</v>
      </c>
      <c r="H380" s="139">
        <v>41863</v>
      </c>
      <c r="I380" s="125">
        <v>28.4</v>
      </c>
      <c r="J380" s="161"/>
    </row>
    <row r="381" spans="1:10" ht="18" customHeight="1">
      <c r="A381" s="131">
        <v>378</v>
      </c>
      <c r="B381" s="141" t="s">
        <v>590</v>
      </c>
      <c r="C381" s="139">
        <v>41863</v>
      </c>
      <c r="D381" s="125">
        <v>23.09</v>
      </c>
      <c r="E381" s="126" t="s">
        <v>51</v>
      </c>
      <c r="F381" s="123" t="s">
        <v>53</v>
      </c>
      <c r="G381" s="141" t="s">
        <v>590</v>
      </c>
      <c r="H381" s="139">
        <v>41863</v>
      </c>
      <c r="I381" s="125">
        <v>23.09</v>
      </c>
      <c r="J381" s="161"/>
    </row>
    <row r="382" spans="1:10" ht="18" customHeight="1">
      <c r="A382" s="131">
        <v>379</v>
      </c>
      <c r="B382" s="141" t="s">
        <v>593</v>
      </c>
      <c r="C382" s="139">
        <v>41869</v>
      </c>
      <c r="D382" s="125">
        <v>33.19</v>
      </c>
      <c r="E382" s="126" t="s">
        <v>51</v>
      </c>
      <c r="F382" s="123" t="s">
        <v>53</v>
      </c>
      <c r="G382" s="141" t="s">
        <v>593</v>
      </c>
      <c r="H382" s="139">
        <v>41869</v>
      </c>
      <c r="I382" s="125">
        <v>33.19</v>
      </c>
      <c r="J382" s="161"/>
    </row>
    <row r="383" spans="1:10" ht="18" customHeight="1">
      <c r="A383" s="131">
        <v>380</v>
      </c>
      <c r="B383" s="141" t="s">
        <v>594</v>
      </c>
      <c r="C383" s="139">
        <v>41869</v>
      </c>
      <c r="D383" s="125">
        <v>35.99</v>
      </c>
      <c r="E383" s="126" t="s">
        <v>51</v>
      </c>
      <c r="F383" s="123" t="s">
        <v>53</v>
      </c>
      <c r="G383" s="141" t="s">
        <v>594</v>
      </c>
      <c r="H383" s="139">
        <v>41869</v>
      </c>
      <c r="I383" s="125">
        <v>35.99</v>
      </c>
      <c r="J383" s="161"/>
    </row>
    <row r="384" spans="1:10" ht="18" customHeight="1">
      <c r="A384" s="131">
        <v>381</v>
      </c>
      <c r="B384" s="141" t="s">
        <v>595</v>
      </c>
      <c r="C384" s="139">
        <v>41876</v>
      </c>
      <c r="D384" s="125">
        <v>33.26</v>
      </c>
      <c r="E384" s="126" t="s">
        <v>51</v>
      </c>
      <c r="F384" s="123" t="s">
        <v>53</v>
      </c>
      <c r="G384" s="141" t="s">
        <v>595</v>
      </c>
      <c r="H384" s="139">
        <v>41876</v>
      </c>
      <c r="I384" s="125">
        <v>33.26</v>
      </c>
      <c r="J384" s="161"/>
    </row>
    <row r="385" spans="1:10" ht="18" customHeight="1">
      <c r="A385" s="131">
        <v>382</v>
      </c>
      <c r="B385" s="141" t="s">
        <v>596</v>
      </c>
      <c r="C385" s="139">
        <v>41876</v>
      </c>
      <c r="D385" s="125">
        <v>22.3</v>
      </c>
      <c r="E385" s="126" t="s">
        <v>51</v>
      </c>
      <c r="F385" s="123" t="s">
        <v>53</v>
      </c>
      <c r="G385" s="141" t="s">
        <v>596</v>
      </c>
      <c r="H385" s="139">
        <v>41876</v>
      </c>
      <c r="I385" s="125">
        <v>22.3</v>
      </c>
      <c r="J385" s="161"/>
    </row>
    <row r="386" spans="1:10" ht="18" customHeight="1">
      <c r="A386" s="131">
        <v>383</v>
      </c>
      <c r="B386" s="141" t="s">
        <v>597</v>
      </c>
      <c r="C386" s="139">
        <v>41876</v>
      </c>
      <c r="D386" s="125">
        <v>5</v>
      </c>
      <c r="E386" s="126" t="s">
        <v>51</v>
      </c>
      <c r="F386" s="123" t="s">
        <v>53</v>
      </c>
      <c r="G386" s="141" t="s">
        <v>597</v>
      </c>
      <c r="H386" s="139">
        <v>41876</v>
      </c>
      <c r="I386" s="125">
        <v>5</v>
      </c>
      <c r="J386" s="161"/>
    </row>
    <row r="387" spans="1:10" ht="18" customHeight="1">
      <c r="A387" s="131">
        <v>384</v>
      </c>
      <c r="B387" s="141" t="s">
        <v>598</v>
      </c>
      <c r="C387" s="139">
        <v>41876</v>
      </c>
      <c r="D387" s="125">
        <v>5</v>
      </c>
      <c r="E387" s="126" t="s">
        <v>51</v>
      </c>
      <c r="F387" s="123" t="s">
        <v>53</v>
      </c>
      <c r="G387" s="141" t="s">
        <v>598</v>
      </c>
      <c r="H387" s="139">
        <v>41876</v>
      </c>
      <c r="I387" s="125">
        <v>5</v>
      </c>
      <c r="J387" s="161"/>
    </row>
    <row r="388" spans="1:10" ht="18" customHeight="1">
      <c r="A388" s="131">
        <v>385</v>
      </c>
      <c r="B388" s="141" t="s">
        <v>600</v>
      </c>
      <c r="C388" s="139">
        <v>41877</v>
      </c>
      <c r="D388" s="125">
        <v>38.770000000000003</v>
      </c>
      <c r="E388" s="126" t="s">
        <v>51</v>
      </c>
      <c r="F388" s="123" t="s">
        <v>53</v>
      </c>
      <c r="G388" s="141" t="s">
        <v>600</v>
      </c>
      <c r="H388" s="139">
        <v>41877</v>
      </c>
      <c r="I388" s="125">
        <v>38.770000000000003</v>
      </c>
      <c r="J388" s="161"/>
    </row>
    <row r="389" spans="1:10" ht="18" customHeight="1">
      <c r="A389" s="131">
        <v>386</v>
      </c>
      <c r="B389" s="141" t="s">
        <v>601</v>
      </c>
      <c r="C389" s="139">
        <v>41877</v>
      </c>
      <c r="D389" s="125">
        <v>5</v>
      </c>
      <c r="E389" s="126" t="s">
        <v>51</v>
      </c>
      <c r="F389" s="123" t="s">
        <v>53</v>
      </c>
      <c r="G389" s="141" t="s">
        <v>601</v>
      </c>
      <c r="H389" s="139">
        <v>41877</v>
      </c>
      <c r="I389" s="125">
        <v>5</v>
      </c>
      <c r="J389" s="161"/>
    </row>
    <row r="390" spans="1:10" ht="18" customHeight="1">
      <c r="A390" s="131">
        <v>387</v>
      </c>
      <c r="B390" s="141" t="s">
        <v>602</v>
      </c>
      <c r="C390" s="139">
        <v>41881</v>
      </c>
      <c r="D390" s="125">
        <v>42.84</v>
      </c>
      <c r="E390" s="126" t="s">
        <v>51</v>
      </c>
      <c r="F390" s="123" t="s">
        <v>53</v>
      </c>
      <c r="G390" s="141" t="s">
        <v>602</v>
      </c>
      <c r="H390" s="139">
        <v>41881</v>
      </c>
      <c r="I390" s="125">
        <v>42.84</v>
      </c>
      <c r="J390" s="161"/>
    </row>
    <row r="391" spans="1:10" ht="18" customHeight="1">
      <c r="A391" s="131">
        <v>388</v>
      </c>
      <c r="B391" s="141" t="s">
        <v>603</v>
      </c>
      <c r="C391" s="139">
        <v>41881</v>
      </c>
      <c r="D391" s="125">
        <v>5</v>
      </c>
      <c r="E391" s="126" t="s">
        <v>51</v>
      </c>
      <c r="F391" s="123" t="s">
        <v>53</v>
      </c>
      <c r="G391" s="141" t="s">
        <v>603</v>
      </c>
      <c r="H391" s="139">
        <v>41881</v>
      </c>
      <c r="I391" s="125">
        <v>5</v>
      </c>
      <c r="J391" s="161"/>
    </row>
    <row r="392" spans="1:10" ht="18" customHeight="1">
      <c r="A392" s="131">
        <v>389</v>
      </c>
      <c r="B392" s="141" t="s">
        <v>604</v>
      </c>
      <c r="C392" s="139">
        <v>41881</v>
      </c>
      <c r="D392" s="125">
        <v>5</v>
      </c>
      <c r="E392" s="126" t="s">
        <v>51</v>
      </c>
      <c r="F392" s="123" t="s">
        <v>53</v>
      </c>
      <c r="G392" s="141" t="s">
        <v>604</v>
      </c>
      <c r="H392" s="139">
        <v>41881</v>
      </c>
      <c r="I392" s="125">
        <v>5</v>
      </c>
      <c r="J392" s="161"/>
    </row>
    <row r="393" spans="1:10" ht="18" customHeight="1">
      <c r="A393" s="131">
        <v>390</v>
      </c>
      <c r="B393" s="141" t="s">
        <v>605</v>
      </c>
      <c r="C393" s="139">
        <v>41881</v>
      </c>
      <c r="D393" s="125">
        <v>5</v>
      </c>
      <c r="E393" s="126" t="s">
        <v>51</v>
      </c>
      <c r="F393" s="123" t="s">
        <v>53</v>
      </c>
      <c r="G393" s="141" t="s">
        <v>605</v>
      </c>
      <c r="H393" s="139">
        <v>41881</v>
      </c>
      <c r="I393" s="125">
        <v>5</v>
      </c>
      <c r="J393" s="161"/>
    </row>
    <row r="394" spans="1:10" ht="18" customHeight="1">
      <c r="A394" s="131">
        <v>391</v>
      </c>
      <c r="B394" s="141" t="s">
        <v>608</v>
      </c>
      <c r="C394" s="139">
        <v>41882</v>
      </c>
      <c r="D394" s="125">
        <v>23.84</v>
      </c>
      <c r="E394" s="126" t="s">
        <v>51</v>
      </c>
      <c r="F394" s="123" t="s">
        <v>53</v>
      </c>
      <c r="G394" s="141" t="s">
        <v>608</v>
      </c>
      <c r="H394" s="139">
        <v>41882</v>
      </c>
      <c r="I394" s="125">
        <v>23.84</v>
      </c>
      <c r="J394" s="161"/>
    </row>
    <row r="395" spans="1:10" ht="18" customHeight="1">
      <c r="A395" s="131">
        <v>392</v>
      </c>
      <c r="B395" s="141" t="s">
        <v>609</v>
      </c>
      <c r="C395" s="139">
        <v>41882</v>
      </c>
      <c r="D395" s="125">
        <v>40.29</v>
      </c>
      <c r="E395" s="126" t="s">
        <v>51</v>
      </c>
      <c r="F395" s="123" t="s">
        <v>53</v>
      </c>
      <c r="G395" s="141" t="s">
        <v>609</v>
      </c>
      <c r="H395" s="139">
        <v>41882</v>
      </c>
      <c r="I395" s="125">
        <v>40.29</v>
      </c>
      <c r="J395" s="161"/>
    </row>
    <row r="396" spans="1:10" ht="18" customHeight="1">
      <c r="A396" s="131">
        <v>393</v>
      </c>
      <c r="B396" s="141" t="s">
        <v>612</v>
      </c>
      <c r="C396" s="139">
        <v>41890</v>
      </c>
      <c r="D396" s="125">
        <v>29.84</v>
      </c>
      <c r="E396" s="126" t="s">
        <v>51</v>
      </c>
      <c r="F396" s="123" t="s">
        <v>53</v>
      </c>
      <c r="G396" s="141" t="s">
        <v>612</v>
      </c>
      <c r="H396" s="139">
        <v>41890</v>
      </c>
      <c r="I396" s="125">
        <v>29.84</v>
      </c>
      <c r="J396" s="161"/>
    </row>
    <row r="397" spans="1:10" ht="18" customHeight="1">
      <c r="A397" s="131">
        <v>394</v>
      </c>
      <c r="B397" s="141" t="s">
        <v>613</v>
      </c>
      <c r="C397" s="139">
        <v>41891</v>
      </c>
      <c r="D397" s="125">
        <v>25.19</v>
      </c>
      <c r="E397" s="126" t="s">
        <v>51</v>
      </c>
      <c r="F397" s="123" t="s">
        <v>53</v>
      </c>
      <c r="G397" s="141" t="s">
        <v>613</v>
      </c>
      <c r="H397" s="139">
        <v>41891</v>
      </c>
      <c r="I397" s="125">
        <v>25.19</v>
      </c>
      <c r="J397" s="161"/>
    </row>
    <row r="398" spans="1:10" ht="18" customHeight="1">
      <c r="A398" s="131">
        <v>395</v>
      </c>
      <c r="B398" s="141" t="s">
        <v>614</v>
      </c>
      <c r="C398" s="139">
        <v>41891</v>
      </c>
      <c r="D398" s="125">
        <v>22.58</v>
      </c>
      <c r="E398" s="126" t="s">
        <v>51</v>
      </c>
      <c r="F398" s="123" t="s">
        <v>53</v>
      </c>
      <c r="G398" s="141" t="s">
        <v>614</v>
      </c>
      <c r="H398" s="139">
        <v>41891</v>
      </c>
      <c r="I398" s="125">
        <v>22.58</v>
      </c>
      <c r="J398" s="161"/>
    </row>
    <row r="399" spans="1:10" ht="18" customHeight="1">
      <c r="A399" s="131">
        <v>396</v>
      </c>
      <c r="B399" s="141" t="s">
        <v>615</v>
      </c>
      <c r="C399" s="139">
        <v>41891</v>
      </c>
      <c r="D399" s="125">
        <v>55.57</v>
      </c>
      <c r="E399" s="126" t="s">
        <v>51</v>
      </c>
      <c r="F399" s="123" t="s">
        <v>53</v>
      </c>
      <c r="G399" s="141" t="s">
        <v>615</v>
      </c>
      <c r="H399" s="139">
        <v>41891</v>
      </c>
      <c r="I399" s="125">
        <v>55.57</v>
      </c>
      <c r="J399" s="161"/>
    </row>
    <row r="400" spans="1:10" ht="18" customHeight="1">
      <c r="A400" s="131">
        <v>397</v>
      </c>
      <c r="B400" s="141" t="s">
        <v>616</v>
      </c>
      <c r="C400" s="139">
        <v>41891</v>
      </c>
      <c r="D400" s="125">
        <v>41.18</v>
      </c>
      <c r="E400" s="126" t="s">
        <v>51</v>
      </c>
      <c r="F400" s="123" t="s">
        <v>53</v>
      </c>
      <c r="G400" s="141" t="s">
        <v>616</v>
      </c>
      <c r="H400" s="139">
        <v>41891</v>
      </c>
      <c r="I400" s="125">
        <v>41.18</v>
      </c>
      <c r="J400" s="161"/>
    </row>
    <row r="401" spans="1:10" ht="18" customHeight="1">
      <c r="A401" s="131">
        <v>398</v>
      </c>
      <c r="B401" s="141" t="s">
        <v>617</v>
      </c>
      <c r="C401" s="139">
        <v>41891</v>
      </c>
      <c r="D401" s="125">
        <v>28.4</v>
      </c>
      <c r="E401" s="126" t="s">
        <v>51</v>
      </c>
      <c r="F401" s="123" t="s">
        <v>53</v>
      </c>
      <c r="G401" s="141" t="s">
        <v>617</v>
      </c>
      <c r="H401" s="139">
        <v>41891</v>
      </c>
      <c r="I401" s="125">
        <v>28.4</v>
      </c>
      <c r="J401" s="161"/>
    </row>
    <row r="402" spans="1:10" ht="18" customHeight="1">
      <c r="A402" s="131">
        <v>399</v>
      </c>
      <c r="B402" s="141" t="s">
        <v>620</v>
      </c>
      <c r="C402" s="139">
        <v>41896</v>
      </c>
      <c r="D402" s="125">
        <v>24.08</v>
      </c>
      <c r="E402" s="126" t="s">
        <v>51</v>
      </c>
      <c r="F402" s="123" t="s">
        <v>53</v>
      </c>
      <c r="G402" s="141" t="s">
        <v>620</v>
      </c>
      <c r="H402" s="139">
        <v>41896</v>
      </c>
      <c r="I402" s="125">
        <v>24.08</v>
      </c>
      <c r="J402" s="161"/>
    </row>
    <row r="403" spans="1:10" ht="18" customHeight="1">
      <c r="A403" s="131">
        <v>400</v>
      </c>
      <c r="B403" s="141" t="s">
        <v>622</v>
      </c>
      <c r="C403" s="139">
        <v>41897</v>
      </c>
      <c r="D403" s="125">
        <v>26.6</v>
      </c>
      <c r="E403" s="126" t="s">
        <v>51</v>
      </c>
      <c r="F403" s="123" t="s">
        <v>53</v>
      </c>
      <c r="G403" s="141" t="s">
        <v>622</v>
      </c>
      <c r="H403" s="139">
        <v>41897</v>
      </c>
      <c r="I403" s="125">
        <v>26.6</v>
      </c>
      <c r="J403" s="161"/>
    </row>
    <row r="404" spans="1:10" ht="18" customHeight="1">
      <c r="A404" s="131">
        <v>401</v>
      </c>
      <c r="B404" s="141" t="s">
        <v>623</v>
      </c>
      <c r="C404" s="139">
        <v>41898</v>
      </c>
      <c r="D404" s="125">
        <v>5</v>
      </c>
      <c r="E404" s="126" t="s">
        <v>51</v>
      </c>
      <c r="F404" s="123" t="s">
        <v>53</v>
      </c>
      <c r="G404" s="141" t="s">
        <v>623</v>
      </c>
      <c r="H404" s="139">
        <v>41898</v>
      </c>
      <c r="I404" s="125">
        <v>5</v>
      </c>
      <c r="J404" s="161"/>
    </row>
    <row r="405" spans="1:10" ht="18" customHeight="1">
      <c r="A405" s="131">
        <v>402</v>
      </c>
      <c r="B405" s="141" t="s">
        <v>624</v>
      </c>
      <c r="C405" s="139">
        <v>41898</v>
      </c>
      <c r="D405" s="125">
        <v>5</v>
      </c>
      <c r="E405" s="126" t="s">
        <v>51</v>
      </c>
      <c r="F405" s="123" t="s">
        <v>53</v>
      </c>
      <c r="G405" s="141" t="s">
        <v>624</v>
      </c>
      <c r="H405" s="139">
        <v>41898</v>
      </c>
      <c r="I405" s="125">
        <v>5</v>
      </c>
      <c r="J405" s="161"/>
    </row>
    <row r="406" spans="1:10" ht="18" customHeight="1">
      <c r="A406" s="131">
        <v>403</v>
      </c>
      <c r="B406" s="141" t="s">
        <v>625</v>
      </c>
      <c r="C406" s="139">
        <v>41898</v>
      </c>
      <c r="D406" s="125">
        <v>37.96</v>
      </c>
      <c r="E406" s="126" t="s">
        <v>51</v>
      </c>
      <c r="F406" s="123" t="s">
        <v>53</v>
      </c>
      <c r="G406" s="141" t="s">
        <v>625</v>
      </c>
      <c r="H406" s="139">
        <v>41898</v>
      </c>
      <c r="I406" s="125">
        <v>37.96</v>
      </c>
      <c r="J406" s="161"/>
    </row>
    <row r="407" spans="1:10" ht="18" customHeight="1">
      <c r="A407" s="131">
        <v>404</v>
      </c>
      <c r="B407" s="141" t="s">
        <v>626</v>
      </c>
      <c r="C407" s="139">
        <v>41898</v>
      </c>
      <c r="D407" s="125">
        <v>34.93</v>
      </c>
      <c r="E407" s="126" t="s">
        <v>51</v>
      </c>
      <c r="F407" s="123" t="s">
        <v>53</v>
      </c>
      <c r="G407" s="141" t="s">
        <v>626</v>
      </c>
      <c r="H407" s="139">
        <v>41898</v>
      </c>
      <c r="I407" s="125">
        <v>34.93</v>
      </c>
      <c r="J407" s="161"/>
    </row>
    <row r="408" spans="1:10" ht="18" customHeight="1">
      <c r="A408" s="131">
        <v>405</v>
      </c>
      <c r="B408" s="141" t="s">
        <v>627</v>
      </c>
      <c r="C408" s="139">
        <v>41898</v>
      </c>
      <c r="D408" s="125">
        <v>22.3</v>
      </c>
      <c r="E408" s="126" t="s">
        <v>51</v>
      </c>
      <c r="F408" s="123" t="s">
        <v>53</v>
      </c>
      <c r="G408" s="141" t="s">
        <v>627</v>
      </c>
      <c r="H408" s="139">
        <v>41898</v>
      </c>
      <c r="I408" s="125">
        <v>22.3</v>
      </c>
      <c r="J408" s="161"/>
    </row>
    <row r="409" spans="1:10" ht="18" customHeight="1">
      <c r="A409" s="131">
        <v>406</v>
      </c>
      <c r="B409" s="141" t="s">
        <v>629</v>
      </c>
      <c r="C409" s="139">
        <v>41899</v>
      </c>
      <c r="D409" s="125">
        <v>5</v>
      </c>
      <c r="E409" s="126" t="s">
        <v>51</v>
      </c>
      <c r="F409" s="123" t="s">
        <v>53</v>
      </c>
      <c r="G409" s="141" t="s">
        <v>629</v>
      </c>
      <c r="H409" s="139">
        <v>41899</v>
      </c>
      <c r="I409" s="125">
        <v>5</v>
      </c>
      <c r="J409" s="161"/>
    </row>
    <row r="410" spans="1:10" ht="18" customHeight="1">
      <c r="A410" s="131">
        <v>407</v>
      </c>
      <c r="B410" s="141" t="s">
        <v>631</v>
      </c>
      <c r="C410" s="139">
        <v>41907</v>
      </c>
      <c r="D410" s="125">
        <v>25.55</v>
      </c>
      <c r="E410" s="126" t="s">
        <v>51</v>
      </c>
      <c r="F410" s="123" t="s">
        <v>53</v>
      </c>
      <c r="G410" s="141" t="s">
        <v>631</v>
      </c>
      <c r="H410" s="139">
        <v>41907</v>
      </c>
      <c r="I410" s="125">
        <v>25.55</v>
      </c>
      <c r="J410" s="161"/>
    </row>
    <row r="411" spans="1:10" ht="18" customHeight="1">
      <c r="A411" s="131">
        <v>408</v>
      </c>
      <c r="B411" s="141" t="s">
        <v>633</v>
      </c>
      <c r="C411" s="139">
        <v>41911</v>
      </c>
      <c r="D411" s="125">
        <v>5</v>
      </c>
      <c r="E411" s="126" t="s">
        <v>51</v>
      </c>
      <c r="F411" s="123" t="s">
        <v>53</v>
      </c>
      <c r="G411" s="141" t="s">
        <v>633</v>
      </c>
      <c r="H411" s="139">
        <v>41911</v>
      </c>
      <c r="I411" s="125">
        <v>5</v>
      </c>
      <c r="J411" s="161"/>
    </row>
    <row r="412" spans="1:10" ht="18" customHeight="1">
      <c r="A412" s="131">
        <v>409</v>
      </c>
      <c r="B412" s="141" t="s">
        <v>635</v>
      </c>
      <c r="C412" s="139">
        <v>41912</v>
      </c>
      <c r="D412" s="125">
        <v>22.3</v>
      </c>
      <c r="E412" s="126" t="s">
        <v>51</v>
      </c>
      <c r="F412" s="123" t="s">
        <v>53</v>
      </c>
      <c r="G412" s="141" t="s">
        <v>635</v>
      </c>
      <c r="H412" s="139">
        <v>41912</v>
      </c>
      <c r="I412" s="125">
        <v>22.3</v>
      </c>
      <c r="J412" s="161"/>
    </row>
    <row r="413" spans="1:10" ht="18" customHeight="1">
      <c r="A413" s="131">
        <v>410</v>
      </c>
      <c r="B413" s="141" t="s">
        <v>636</v>
      </c>
      <c r="C413" s="139">
        <v>41912</v>
      </c>
      <c r="D413" s="125">
        <v>22.3</v>
      </c>
      <c r="E413" s="126" t="s">
        <v>51</v>
      </c>
      <c r="F413" s="123" t="s">
        <v>53</v>
      </c>
      <c r="G413" s="141" t="s">
        <v>636</v>
      </c>
      <c r="H413" s="139">
        <v>41912</v>
      </c>
      <c r="I413" s="125">
        <v>22.3</v>
      </c>
      <c r="J413" s="161"/>
    </row>
    <row r="414" spans="1:10" ht="18" customHeight="1">
      <c r="A414" s="131">
        <v>411</v>
      </c>
      <c r="B414" s="141" t="s">
        <v>641</v>
      </c>
      <c r="C414" s="139">
        <v>41919</v>
      </c>
      <c r="D414" s="125">
        <v>5</v>
      </c>
      <c r="E414" s="126" t="s">
        <v>51</v>
      </c>
      <c r="F414" s="123" t="s">
        <v>53</v>
      </c>
      <c r="G414" s="141" t="s">
        <v>641</v>
      </c>
      <c r="H414" s="139">
        <v>41919</v>
      </c>
      <c r="I414" s="125">
        <v>5</v>
      </c>
      <c r="J414" s="161"/>
    </row>
    <row r="415" spans="1:10" ht="18" customHeight="1">
      <c r="A415" s="131">
        <v>412</v>
      </c>
      <c r="B415" s="141" t="s">
        <v>642</v>
      </c>
      <c r="C415" s="139">
        <v>41919</v>
      </c>
      <c r="D415" s="125">
        <v>63.66</v>
      </c>
      <c r="E415" s="126" t="s">
        <v>51</v>
      </c>
      <c r="F415" s="123" t="s">
        <v>53</v>
      </c>
      <c r="G415" s="141" t="s">
        <v>642</v>
      </c>
      <c r="H415" s="139">
        <v>41919</v>
      </c>
      <c r="I415" s="125">
        <v>63.66</v>
      </c>
      <c r="J415" s="161"/>
    </row>
    <row r="416" spans="1:10" ht="18" customHeight="1">
      <c r="A416" s="131">
        <v>413</v>
      </c>
      <c r="B416" s="141" t="s">
        <v>644</v>
      </c>
      <c r="C416" s="139">
        <v>41920</v>
      </c>
      <c r="D416" s="125">
        <v>34.369999999999997</v>
      </c>
      <c r="E416" s="126" t="s">
        <v>51</v>
      </c>
      <c r="F416" s="123" t="s">
        <v>53</v>
      </c>
      <c r="G416" s="141" t="s">
        <v>644</v>
      </c>
      <c r="H416" s="139">
        <v>41920</v>
      </c>
      <c r="I416" s="125">
        <v>34.369999999999997</v>
      </c>
      <c r="J416" s="161"/>
    </row>
    <row r="417" spans="1:10" ht="18" customHeight="1">
      <c r="A417" s="131">
        <v>414</v>
      </c>
      <c r="B417" s="141" t="s">
        <v>645</v>
      </c>
      <c r="C417" s="139">
        <v>41921</v>
      </c>
      <c r="D417" s="125">
        <v>26.6</v>
      </c>
      <c r="E417" s="126" t="s">
        <v>51</v>
      </c>
      <c r="F417" s="123" t="s">
        <v>53</v>
      </c>
      <c r="G417" s="141" t="s">
        <v>645</v>
      </c>
      <c r="H417" s="139">
        <v>41921</v>
      </c>
      <c r="I417" s="125">
        <v>26.6</v>
      </c>
      <c r="J417" s="161"/>
    </row>
    <row r="418" spans="1:10" ht="18" customHeight="1">
      <c r="A418" s="131">
        <v>415</v>
      </c>
      <c r="B418" s="141" t="s">
        <v>646</v>
      </c>
      <c r="C418" s="139">
        <v>41921</v>
      </c>
      <c r="D418" s="125">
        <v>52.59</v>
      </c>
      <c r="E418" s="126" t="s">
        <v>51</v>
      </c>
      <c r="F418" s="123" t="s">
        <v>53</v>
      </c>
      <c r="G418" s="141" t="s">
        <v>646</v>
      </c>
      <c r="H418" s="139">
        <v>41921</v>
      </c>
      <c r="I418" s="125">
        <v>52.59</v>
      </c>
      <c r="J418" s="161"/>
    </row>
    <row r="419" spans="1:10" ht="18" customHeight="1">
      <c r="A419" s="131">
        <v>416</v>
      </c>
      <c r="B419" s="141" t="s">
        <v>647</v>
      </c>
      <c r="C419" s="139">
        <v>41925</v>
      </c>
      <c r="D419" s="125">
        <v>27.43</v>
      </c>
      <c r="E419" s="126" t="s">
        <v>51</v>
      </c>
      <c r="F419" s="123" t="s">
        <v>53</v>
      </c>
      <c r="G419" s="141" t="s">
        <v>647</v>
      </c>
      <c r="H419" s="139">
        <v>41925</v>
      </c>
      <c r="I419" s="125">
        <v>27.43</v>
      </c>
      <c r="J419" s="161"/>
    </row>
    <row r="420" spans="1:10" ht="18" customHeight="1">
      <c r="A420" s="131">
        <v>417</v>
      </c>
      <c r="B420" s="141" t="s">
        <v>649</v>
      </c>
      <c r="C420" s="139">
        <v>41925</v>
      </c>
      <c r="D420" s="125">
        <v>32.57</v>
      </c>
      <c r="E420" s="126" t="s">
        <v>51</v>
      </c>
      <c r="F420" s="123" t="s">
        <v>53</v>
      </c>
      <c r="G420" s="141" t="s">
        <v>649</v>
      </c>
      <c r="H420" s="139">
        <v>41925</v>
      </c>
      <c r="I420" s="125">
        <v>32.57</v>
      </c>
      <c r="J420" s="161"/>
    </row>
    <row r="421" spans="1:10" ht="18" customHeight="1">
      <c r="A421" s="131">
        <v>418</v>
      </c>
      <c r="B421" s="141" t="s">
        <v>650</v>
      </c>
      <c r="C421" s="139">
        <v>41926</v>
      </c>
      <c r="D421" s="125">
        <v>29.73</v>
      </c>
      <c r="E421" s="126" t="s">
        <v>51</v>
      </c>
      <c r="F421" s="123" t="s">
        <v>53</v>
      </c>
      <c r="G421" s="141" t="s">
        <v>650</v>
      </c>
      <c r="H421" s="139">
        <v>41926</v>
      </c>
      <c r="I421" s="125">
        <v>29.73</v>
      </c>
      <c r="J421" s="161"/>
    </row>
    <row r="422" spans="1:10" ht="18" customHeight="1">
      <c r="A422" s="131">
        <v>419</v>
      </c>
      <c r="B422" s="141" t="s">
        <v>651</v>
      </c>
      <c r="C422" s="139">
        <v>41926</v>
      </c>
      <c r="D422" s="125">
        <v>24.2</v>
      </c>
      <c r="E422" s="126" t="s">
        <v>51</v>
      </c>
      <c r="F422" s="123" t="s">
        <v>53</v>
      </c>
      <c r="G422" s="141" t="s">
        <v>651</v>
      </c>
      <c r="H422" s="139">
        <v>41926</v>
      </c>
      <c r="I422" s="125">
        <v>24.2</v>
      </c>
      <c r="J422" s="161"/>
    </row>
    <row r="423" spans="1:10" ht="18" customHeight="1">
      <c r="A423" s="131">
        <v>420</v>
      </c>
      <c r="B423" s="141" t="s">
        <v>652</v>
      </c>
      <c r="C423" s="139">
        <v>41926</v>
      </c>
      <c r="D423" s="125">
        <v>52.82</v>
      </c>
      <c r="E423" s="126" t="s">
        <v>51</v>
      </c>
      <c r="F423" s="123" t="s">
        <v>53</v>
      </c>
      <c r="G423" s="141" t="s">
        <v>652</v>
      </c>
      <c r="H423" s="139">
        <v>41926</v>
      </c>
      <c r="I423" s="125">
        <v>52.82</v>
      </c>
      <c r="J423" s="161"/>
    </row>
    <row r="424" spans="1:10" ht="18" customHeight="1">
      <c r="A424" s="131">
        <v>421</v>
      </c>
      <c r="B424" s="141" t="s">
        <v>655</v>
      </c>
      <c r="C424" s="139">
        <v>41933</v>
      </c>
      <c r="D424" s="125">
        <v>29.71</v>
      </c>
      <c r="E424" s="126" t="s">
        <v>51</v>
      </c>
      <c r="F424" s="123" t="s">
        <v>53</v>
      </c>
      <c r="G424" s="141" t="s">
        <v>655</v>
      </c>
      <c r="H424" s="139">
        <v>41933</v>
      </c>
      <c r="I424" s="125">
        <v>29.71</v>
      </c>
      <c r="J424" s="161"/>
    </row>
    <row r="425" spans="1:10" ht="18" customHeight="1">
      <c r="A425" s="131">
        <v>422</v>
      </c>
      <c r="B425" s="141" t="s">
        <v>656</v>
      </c>
      <c r="C425" s="139">
        <v>41933</v>
      </c>
      <c r="D425" s="125">
        <v>39.18</v>
      </c>
      <c r="E425" s="126" t="s">
        <v>51</v>
      </c>
      <c r="F425" s="123" t="s">
        <v>53</v>
      </c>
      <c r="G425" s="141" t="s">
        <v>656</v>
      </c>
      <c r="H425" s="139">
        <v>41933</v>
      </c>
      <c r="I425" s="125">
        <v>39.18</v>
      </c>
      <c r="J425" s="161"/>
    </row>
    <row r="426" spans="1:10" ht="18" customHeight="1">
      <c r="A426" s="131">
        <v>423</v>
      </c>
      <c r="B426" s="141" t="s">
        <v>659</v>
      </c>
      <c r="C426" s="139">
        <v>41940</v>
      </c>
      <c r="D426" s="125">
        <v>23.89</v>
      </c>
      <c r="E426" s="126" t="s">
        <v>51</v>
      </c>
      <c r="F426" s="123" t="s">
        <v>53</v>
      </c>
      <c r="G426" s="141" t="s">
        <v>659</v>
      </c>
      <c r="H426" s="139">
        <v>41940</v>
      </c>
      <c r="I426" s="125">
        <v>23.89</v>
      </c>
      <c r="J426" s="161"/>
    </row>
    <row r="427" spans="1:10" ht="18" customHeight="1">
      <c r="A427" s="131">
        <v>424</v>
      </c>
      <c r="B427" s="141" t="s">
        <v>662</v>
      </c>
      <c r="C427" s="139">
        <v>41946</v>
      </c>
      <c r="D427" s="125">
        <v>22.3</v>
      </c>
      <c r="E427" s="126" t="s">
        <v>51</v>
      </c>
      <c r="F427" s="123" t="s">
        <v>53</v>
      </c>
      <c r="G427" s="141" t="s">
        <v>662</v>
      </c>
      <c r="H427" s="139">
        <v>41946</v>
      </c>
      <c r="I427" s="125">
        <v>22.3</v>
      </c>
      <c r="J427" s="161"/>
    </row>
    <row r="428" spans="1:10" ht="18" customHeight="1">
      <c r="A428" s="131">
        <v>425</v>
      </c>
      <c r="B428" s="141" t="s">
        <v>663</v>
      </c>
      <c r="C428" s="139">
        <v>41947</v>
      </c>
      <c r="D428" s="125">
        <v>27.35</v>
      </c>
      <c r="E428" s="126" t="s">
        <v>51</v>
      </c>
      <c r="F428" s="123" t="s">
        <v>53</v>
      </c>
      <c r="G428" s="141" t="s">
        <v>663</v>
      </c>
      <c r="H428" s="139">
        <v>41947</v>
      </c>
      <c r="I428" s="125">
        <v>27.35</v>
      </c>
      <c r="J428" s="161"/>
    </row>
    <row r="429" spans="1:10" ht="18" customHeight="1">
      <c r="A429" s="131">
        <v>426</v>
      </c>
      <c r="B429" s="141" t="s">
        <v>664</v>
      </c>
      <c r="C429" s="139">
        <v>41947</v>
      </c>
      <c r="D429" s="125">
        <v>52.29</v>
      </c>
      <c r="E429" s="126" t="s">
        <v>51</v>
      </c>
      <c r="F429" s="123" t="s">
        <v>53</v>
      </c>
      <c r="G429" s="141" t="s">
        <v>664</v>
      </c>
      <c r="H429" s="139">
        <v>41947</v>
      </c>
      <c r="I429" s="125">
        <v>52.29</v>
      </c>
      <c r="J429" s="161"/>
    </row>
    <row r="430" spans="1:10" ht="18" customHeight="1">
      <c r="A430" s="131">
        <v>427</v>
      </c>
      <c r="B430" s="141" t="s">
        <v>665</v>
      </c>
      <c r="C430" s="139">
        <v>41947</v>
      </c>
      <c r="D430" s="125">
        <v>35.229999999999997</v>
      </c>
      <c r="E430" s="126" t="s">
        <v>51</v>
      </c>
      <c r="F430" s="123" t="s">
        <v>53</v>
      </c>
      <c r="G430" s="141" t="s">
        <v>665</v>
      </c>
      <c r="H430" s="139">
        <v>41947</v>
      </c>
      <c r="I430" s="125">
        <v>35.229999999999997</v>
      </c>
      <c r="J430" s="161"/>
    </row>
    <row r="431" spans="1:10" ht="18" customHeight="1">
      <c r="A431" s="131">
        <v>428</v>
      </c>
      <c r="B431" s="141" t="s">
        <v>667</v>
      </c>
      <c r="C431" s="139">
        <v>41954</v>
      </c>
      <c r="D431" s="125">
        <v>26.96</v>
      </c>
      <c r="E431" s="126" t="s">
        <v>51</v>
      </c>
      <c r="F431" s="123" t="s">
        <v>53</v>
      </c>
      <c r="G431" s="141" t="s">
        <v>667</v>
      </c>
      <c r="H431" s="139">
        <v>41954</v>
      </c>
      <c r="I431" s="125">
        <v>26.96</v>
      </c>
      <c r="J431" s="161"/>
    </row>
    <row r="432" spans="1:10" ht="18" customHeight="1">
      <c r="A432" s="131">
        <v>429</v>
      </c>
      <c r="B432" s="141" t="s">
        <v>668</v>
      </c>
      <c r="C432" s="139">
        <v>41955</v>
      </c>
      <c r="D432" s="125">
        <v>27.26</v>
      </c>
      <c r="E432" s="126" t="s">
        <v>51</v>
      </c>
      <c r="F432" s="123" t="s">
        <v>53</v>
      </c>
      <c r="G432" s="141" t="s">
        <v>668</v>
      </c>
      <c r="H432" s="139">
        <v>41955</v>
      </c>
      <c r="I432" s="125">
        <v>27.26</v>
      </c>
      <c r="J432" s="161"/>
    </row>
    <row r="433" spans="1:10" ht="18" customHeight="1">
      <c r="A433" s="131">
        <v>430</v>
      </c>
      <c r="B433" s="141" t="s">
        <v>671</v>
      </c>
      <c r="C433" s="139">
        <v>41961</v>
      </c>
      <c r="D433" s="125">
        <v>26.23</v>
      </c>
      <c r="E433" s="126" t="s">
        <v>51</v>
      </c>
      <c r="F433" s="123" t="s">
        <v>53</v>
      </c>
      <c r="G433" s="141" t="s">
        <v>671</v>
      </c>
      <c r="H433" s="139">
        <v>41961</v>
      </c>
      <c r="I433" s="125">
        <v>26.23</v>
      </c>
      <c r="J433" s="161"/>
    </row>
    <row r="434" spans="1:10" ht="18" customHeight="1">
      <c r="A434" s="131">
        <v>431</v>
      </c>
      <c r="B434" s="141" t="s">
        <v>672</v>
      </c>
      <c r="C434" s="139">
        <v>41961</v>
      </c>
      <c r="D434" s="125">
        <v>22.3</v>
      </c>
      <c r="E434" s="126" t="s">
        <v>51</v>
      </c>
      <c r="F434" s="123" t="s">
        <v>53</v>
      </c>
      <c r="G434" s="141" t="s">
        <v>672</v>
      </c>
      <c r="H434" s="139">
        <v>41961</v>
      </c>
      <c r="I434" s="125">
        <v>22.3</v>
      </c>
      <c r="J434" s="161"/>
    </row>
    <row r="435" spans="1:10" ht="18" customHeight="1">
      <c r="A435" s="131">
        <v>432</v>
      </c>
      <c r="B435" s="141" t="s">
        <v>673</v>
      </c>
      <c r="C435" s="139">
        <v>41967</v>
      </c>
      <c r="D435" s="125">
        <v>5</v>
      </c>
      <c r="E435" s="126" t="s">
        <v>51</v>
      </c>
      <c r="F435" s="123" t="s">
        <v>53</v>
      </c>
      <c r="G435" s="141" t="s">
        <v>673</v>
      </c>
      <c r="H435" s="139">
        <v>41967</v>
      </c>
      <c r="I435" s="125">
        <v>5</v>
      </c>
      <c r="J435" s="161"/>
    </row>
    <row r="436" spans="1:10" ht="18" customHeight="1">
      <c r="A436" s="131">
        <v>433</v>
      </c>
      <c r="B436" s="141" t="s">
        <v>676</v>
      </c>
      <c r="C436" s="139">
        <v>41968</v>
      </c>
      <c r="D436" s="125">
        <v>26.71</v>
      </c>
      <c r="E436" s="126" t="s">
        <v>51</v>
      </c>
      <c r="F436" s="123" t="s">
        <v>53</v>
      </c>
      <c r="G436" s="141" t="s">
        <v>676</v>
      </c>
      <c r="H436" s="139">
        <v>41968</v>
      </c>
      <c r="I436" s="125">
        <v>26.71</v>
      </c>
      <c r="J436" s="161"/>
    </row>
    <row r="437" spans="1:10" ht="18" customHeight="1">
      <c r="A437" s="131">
        <v>434</v>
      </c>
      <c r="B437" s="141" t="s">
        <v>677</v>
      </c>
      <c r="C437" s="139">
        <v>41973</v>
      </c>
      <c r="D437" s="125">
        <v>29.64</v>
      </c>
      <c r="E437" s="126" t="s">
        <v>51</v>
      </c>
      <c r="F437" s="123" t="s">
        <v>53</v>
      </c>
      <c r="G437" s="141" t="s">
        <v>677</v>
      </c>
      <c r="H437" s="139">
        <v>41973</v>
      </c>
      <c r="I437" s="125">
        <v>29.64</v>
      </c>
      <c r="J437" s="161"/>
    </row>
    <row r="438" spans="1:10" ht="18" customHeight="1">
      <c r="A438" s="131">
        <v>435</v>
      </c>
      <c r="B438" s="141" t="s">
        <v>681</v>
      </c>
      <c r="C438" s="139">
        <v>41981</v>
      </c>
      <c r="D438" s="125">
        <v>5</v>
      </c>
      <c r="E438" s="126" t="s">
        <v>51</v>
      </c>
      <c r="F438" s="123" t="s">
        <v>53</v>
      </c>
      <c r="G438" s="141" t="s">
        <v>681</v>
      </c>
      <c r="H438" s="139">
        <v>41981</v>
      </c>
      <c r="I438" s="125">
        <v>5</v>
      </c>
      <c r="J438" s="161"/>
    </row>
    <row r="439" spans="1:10" ht="18" customHeight="1">
      <c r="A439" s="131">
        <v>436</v>
      </c>
      <c r="B439" s="141" t="s">
        <v>682</v>
      </c>
      <c r="C439" s="139">
        <v>41982</v>
      </c>
      <c r="D439" s="125">
        <v>37.35</v>
      </c>
      <c r="E439" s="126" t="s">
        <v>51</v>
      </c>
      <c r="F439" s="123" t="s">
        <v>53</v>
      </c>
      <c r="G439" s="141" t="s">
        <v>682</v>
      </c>
      <c r="H439" s="139">
        <v>41982</v>
      </c>
      <c r="I439" s="125">
        <v>37.35</v>
      </c>
      <c r="J439" s="161"/>
    </row>
    <row r="440" spans="1:10" ht="18" customHeight="1">
      <c r="A440" s="131">
        <v>437</v>
      </c>
      <c r="B440" s="141" t="s">
        <v>683</v>
      </c>
      <c r="C440" s="139">
        <v>41982</v>
      </c>
      <c r="D440" s="125">
        <v>61.37</v>
      </c>
      <c r="E440" s="126" t="s">
        <v>51</v>
      </c>
      <c r="F440" s="123" t="s">
        <v>53</v>
      </c>
      <c r="G440" s="141" t="s">
        <v>683</v>
      </c>
      <c r="H440" s="139">
        <v>41982</v>
      </c>
      <c r="I440" s="125">
        <v>61.37</v>
      </c>
      <c r="J440" s="161"/>
    </row>
    <row r="441" spans="1:10" ht="18" customHeight="1">
      <c r="A441" s="131">
        <v>438</v>
      </c>
      <c r="B441" s="141" t="s">
        <v>684</v>
      </c>
      <c r="C441" s="139">
        <v>41982</v>
      </c>
      <c r="D441" s="125">
        <v>66.349999999999994</v>
      </c>
      <c r="E441" s="126" t="s">
        <v>51</v>
      </c>
      <c r="F441" s="123" t="s">
        <v>53</v>
      </c>
      <c r="G441" s="141" t="s">
        <v>684</v>
      </c>
      <c r="H441" s="139">
        <v>41982</v>
      </c>
      <c r="I441" s="125">
        <v>66.349999999999994</v>
      </c>
      <c r="J441" s="161"/>
    </row>
    <row r="442" spans="1:10" ht="18" customHeight="1">
      <c r="A442" s="131">
        <v>439</v>
      </c>
      <c r="B442" s="141" t="s">
        <v>685</v>
      </c>
      <c r="C442" s="139">
        <v>41982</v>
      </c>
      <c r="D442" s="125">
        <v>6.8</v>
      </c>
      <c r="E442" s="126" t="s">
        <v>51</v>
      </c>
      <c r="F442" s="123" t="s">
        <v>53</v>
      </c>
      <c r="G442" s="141" t="s">
        <v>685</v>
      </c>
      <c r="H442" s="139">
        <v>41982</v>
      </c>
      <c r="I442" s="125">
        <v>6.8</v>
      </c>
      <c r="J442" s="161"/>
    </row>
    <row r="443" spans="1:10" ht="18" customHeight="1">
      <c r="A443" s="131">
        <v>440</v>
      </c>
      <c r="B443" s="141" t="s">
        <v>686</v>
      </c>
      <c r="C443" s="139">
        <v>41983</v>
      </c>
      <c r="D443" s="125">
        <v>27.22</v>
      </c>
      <c r="E443" s="126" t="s">
        <v>51</v>
      </c>
      <c r="F443" s="123" t="s">
        <v>53</v>
      </c>
      <c r="G443" s="141" t="s">
        <v>686</v>
      </c>
      <c r="H443" s="139">
        <v>41983</v>
      </c>
      <c r="I443" s="125">
        <v>27.22</v>
      </c>
      <c r="J443" s="161"/>
    </row>
    <row r="444" spans="1:10" ht="18" customHeight="1">
      <c r="A444" s="131">
        <v>441</v>
      </c>
      <c r="B444" s="141" t="s">
        <v>687</v>
      </c>
      <c r="C444" s="139">
        <v>41983</v>
      </c>
      <c r="D444" s="125">
        <v>26.55</v>
      </c>
      <c r="E444" s="126" t="s">
        <v>51</v>
      </c>
      <c r="F444" s="123" t="s">
        <v>53</v>
      </c>
      <c r="G444" s="141" t="s">
        <v>687</v>
      </c>
      <c r="H444" s="139">
        <v>41983</v>
      </c>
      <c r="I444" s="125">
        <v>26.55</v>
      </c>
      <c r="J444" s="161"/>
    </row>
    <row r="445" spans="1:10" ht="18" customHeight="1">
      <c r="A445" s="131">
        <v>442</v>
      </c>
      <c r="B445" s="141" t="s">
        <v>688</v>
      </c>
      <c r="C445" s="139">
        <v>41983</v>
      </c>
      <c r="D445" s="125">
        <v>84.88</v>
      </c>
      <c r="E445" s="126" t="s">
        <v>51</v>
      </c>
      <c r="F445" s="123" t="s">
        <v>53</v>
      </c>
      <c r="G445" s="141" t="s">
        <v>688</v>
      </c>
      <c r="H445" s="139">
        <v>41983</v>
      </c>
      <c r="I445" s="125">
        <v>84.88</v>
      </c>
      <c r="J445" s="161"/>
    </row>
    <row r="446" spans="1:10" ht="18" customHeight="1">
      <c r="A446" s="131">
        <v>443</v>
      </c>
      <c r="B446" s="141" t="s">
        <v>689</v>
      </c>
      <c r="C446" s="139">
        <v>41983</v>
      </c>
      <c r="D446" s="125">
        <v>31.72</v>
      </c>
      <c r="E446" s="126" t="s">
        <v>51</v>
      </c>
      <c r="F446" s="123" t="s">
        <v>53</v>
      </c>
      <c r="G446" s="141" t="s">
        <v>689</v>
      </c>
      <c r="H446" s="139">
        <v>41983</v>
      </c>
      <c r="I446" s="125">
        <v>31.72</v>
      </c>
      <c r="J446" s="161"/>
    </row>
    <row r="447" spans="1:10" ht="18" customHeight="1">
      <c r="A447" s="131">
        <v>444</v>
      </c>
      <c r="B447" s="141" t="s">
        <v>690</v>
      </c>
      <c r="C447" s="139">
        <v>41984</v>
      </c>
      <c r="D447" s="125">
        <v>5</v>
      </c>
      <c r="E447" s="126" t="s">
        <v>51</v>
      </c>
      <c r="F447" s="123" t="s">
        <v>53</v>
      </c>
      <c r="G447" s="141" t="s">
        <v>690</v>
      </c>
      <c r="H447" s="139">
        <v>41984</v>
      </c>
      <c r="I447" s="125">
        <v>5</v>
      </c>
      <c r="J447" s="161"/>
    </row>
    <row r="448" spans="1:10" ht="18" customHeight="1">
      <c r="A448" s="131">
        <v>445</v>
      </c>
      <c r="B448" s="141" t="s">
        <v>693</v>
      </c>
      <c r="C448" s="139">
        <v>41989</v>
      </c>
      <c r="D448" s="125">
        <v>47.94</v>
      </c>
      <c r="E448" s="126" t="s">
        <v>51</v>
      </c>
      <c r="F448" s="123" t="s">
        <v>53</v>
      </c>
      <c r="G448" s="141" t="s">
        <v>693</v>
      </c>
      <c r="H448" s="139">
        <v>41989</v>
      </c>
      <c r="I448" s="125">
        <v>47.94</v>
      </c>
      <c r="J448" s="161"/>
    </row>
    <row r="449" spans="1:10" ht="18" customHeight="1">
      <c r="A449" s="131">
        <v>446</v>
      </c>
      <c r="B449" s="141" t="s">
        <v>694</v>
      </c>
      <c r="C449" s="139">
        <v>41989</v>
      </c>
      <c r="D449" s="125">
        <v>40.67</v>
      </c>
      <c r="E449" s="126" t="s">
        <v>51</v>
      </c>
      <c r="F449" s="123" t="s">
        <v>53</v>
      </c>
      <c r="G449" s="141" t="s">
        <v>694</v>
      </c>
      <c r="H449" s="139">
        <v>41989</v>
      </c>
      <c r="I449" s="125">
        <v>40.67</v>
      </c>
      <c r="J449" s="161"/>
    </row>
    <row r="450" spans="1:10" ht="18" customHeight="1">
      <c r="A450" s="131">
        <v>447</v>
      </c>
      <c r="B450" s="141" t="s">
        <v>695</v>
      </c>
      <c r="C450" s="139">
        <v>41989</v>
      </c>
      <c r="D450" s="125">
        <v>52.57</v>
      </c>
      <c r="E450" s="126" t="s">
        <v>51</v>
      </c>
      <c r="F450" s="123" t="s">
        <v>53</v>
      </c>
      <c r="G450" s="141" t="s">
        <v>695</v>
      </c>
      <c r="H450" s="139">
        <v>41989</v>
      </c>
      <c r="I450" s="125">
        <v>52.57</v>
      </c>
      <c r="J450" s="161"/>
    </row>
    <row r="451" spans="1:10" ht="18" customHeight="1">
      <c r="A451" s="131">
        <v>448</v>
      </c>
      <c r="B451" s="141" t="s">
        <v>698</v>
      </c>
      <c r="C451" s="139">
        <v>41996</v>
      </c>
      <c r="D451" s="125">
        <v>26</v>
      </c>
      <c r="E451" s="126" t="s">
        <v>51</v>
      </c>
      <c r="F451" s="123" t="s">
        <v>53</v>
      </c>
      <c r="G451" s="141" t="s">
        <v>698</v>
      </c>
      <c r="H451" s="139">
        <v>41996</v>
      </c>
      <c r="I451" s="125">
        <v>26</v>
      </c>
      <c r="J451" s="161"/>
    </row>
    <row r="452" spans="1:10" ht="18" customHeight="1">
      <c r="A452" s="131">
        <v>449</v>
      </c>
      <c r="B452" s="141" t="s">
        <v>699</v>
      </c>
      <c r="C452" s="139">
        <v>41996</v>
      </c>
      <c r="D452" s="125">
        <v>43.05</v>
      </c>
      <c r="E452" s="126" t="s">
        <v>51</v>
      </c>
      <c r="F452" s="123" t="s">
        <v>53</v>
      </c>
      <c r="G452" s="141" t="s">
        <v>699</v>
      </c>
      <c r="H452" s="139">
        <v>41996</v>
      </c>
      <c r="I452" s="125">
        <v>43.05</v>
      </c>
      <c r="J452" s="161"/>
    </row>
    <row r="453" spans="1:10" ht="18" customHeight="1">
      <c r="A453" s="131">
        <v>450</v>
      </c>
      <c r="B453" s="141" t="s">
        <v>700</v>
      </c>
      <c r="C453" s="139">
        <v>41996</v>
      </c>
      <c r="D453" s="125">
        <v>27.32</v>
      </c>
      <c r="E453" s="126" t="s">
        <v>51</v>
      </c>
      <c r="F453" s="123" t="s">
        <v>53</v>
      </c>
      <c r="G453" s="141" t="s">
        <v>700</v>
      </c>
      <c r="H453" s="139">
        <v>41996</v>
      </c>
      <c r="I453" s="125">
        <v>27.32</v>
      </c>
      <c r="J453" s="161"/>
    </row>
    <row r="454" spans="1:10" ht="18" customHeight="1">
      <c r="A454" s="131">
        <v>451</v>
      </c>
      <c r="B454" s="141" t="s">
        <v>701</v>
      </c>
      <c r="C454" s="139">
        <v>42001</v>
      </c>
      <c r="D454" s="125">
        <v>22.3</v>
      </c>
      <c r="E454" s="126" t="s">
        <v>51</v>
      </c>
      <c r="F454" s="123" t="s">
        <v>53</v>
      </c>
      <c r="G454" s="141" t="s">
        <v>701</v>
      </c>
      <c r="H454" s="139">
        <v>42001</v>
      </c>
      <c r="I454" s="125">
        <v>22.3</v>
      </c>
      <c r="J454" s="161"/>
    </row>
    <row r="455" spans="1:10" ht="18" customHeight="1">
      <c r="A455" s="131">
        <v>452</v>
      </c>
      <c r="B455" s="141" t="s">
        <v>702</v>
      </c>
      <c r="C455" s="139">
        <v>42001</v>
      </c>
      <c r="D455" s="125">
        <v>33.44</v>
      </c>
      <c r="E455" s="126" t="s">
        <v>51</v>
      </c>
      <c r="F455" s="123" t="s">
        <v>53</v>
      </c>
      <c r="G455" s="141" t="s">
        <v>702</v>
      </c>
      <c r="H455" s="139">
        <v>42001</v>
      </c>
      <c r="I455" s="125">
        <v>33.44</v>
      </c>
      <c r="J455" s="161"/>
    </row>
    <row r="456" spans="1:10" ht="18" customHeight="1">
      <c r="A456" s="131">
        <v>453</v>
      </c>
      <c r="B456" s="141" t="s">
        <v>703</v>
      </c>
      <c r="C456" s="139">
        <v>42002</v>
      </c>
      <c r="D456" s="125">
        <v>27.41</v>
      </c>
      <c r="E456" s="126" t="s">
        <v>51</v>
      </c>
      <c r="F456" s="123" t="s">
        <v>53</v>
      </c>
      <c r="G456" s="141" t="s">
        <v>703</v>
      </c>
      <c r="H456" s="139">
        <v>42002</v>
      </c>
      <c r="I456" s="125">
        <v>27.41</v>
      </c>
      <c r="J456" s="161"/>
    </row>
    <row r="457" spans="1:10" ht="18" customHeight="1">
      <c r="A457" s="131">
        <v>454</v>
      </c>
      <c r="B457" s="141" t="s">
        <v>704</v>
      </c>
      <c r="C457" s="139">
        <v>42002</v>
      </c>
      <c r="D457" s="125">
        <v>31.33</v>
      </c>
      <c r="E457" s="126" t="s">
        <v>51</v>
      </c>
      <c r="F457" s="123" t="s">
        <v>53</v>
      </c>
      <c r="G457" s="141" t="s">
        <v>704</v>
      </c>
      <c r="H457" s="139">
        <v>42002</v>
      </c>
      <c r="I457" s="125">
        <v>31.33</v>
      </c>
      <c r="J457" s="161"/>
    </row>
    <row r="458" spans="1:10" ht="18" customHeight="1">
      <c r="A458" s="131">
        <v>455</v>
      </c>
      <c r="B458" s="141" t="s">
        <v>705</v>
      </c>
      <c r="C458" s="139">
        <v>42002</v>
      </c>
      <c r="D458" s="125">
        <v>44.24</v>
      </c>
      <c r="E458" s="126" t="s">
        <v>51</v>
      </c>
      <c r="F458" s="123" t="s">
        <v>53</v>
      </c>
      <c r="G458" s="141" t="s">
        <v>705</v>
      </c>
      <c r="H458" s="139">
        <v>42002</v>
      </c>
      <c r="I458" s="125">
        <v>44.24</v>
      </c>
      <c r="J458" s="161"/>
    </row>
    <row r="459" spans="1:10" ht="24">
      <c r="A459" s="372" t="s">
        <v>724</v>
      </c>
      <c r="B459" s="373"/>
      <c r="C459" s="164"/>
      <c r="D459" s="165">
        <f>SUM(D8:D458)</f>
        <v>16281.499999999982</v>
      </c>
      <c r="E459" s="166"/>
      <c r="F459" s="166"/>
      <c r="G459" s="167"/>
      <c r="H459" s="164"/>
      <c r="I459" s="165">
        <f>SUM(I8:I458)</f>
        <v>16281.499999999982</v>
      </c>
      <c r="J459" s="168"/>
    </row>
  </sheetData>
  <mergeCells count="13">
    <mergeCell ref="A459:B459"/>
    <mergeCell ref="F6:F7"/>
    <mergeCell ref="G6:I6"/>
    <mergeCell ref="A1:J1"/>
    <mergeCell ref="A2:J2"/>
    <mergeCell ref="A3:E3"/>
    <mergeCell ref="A4:D4"/>
    <mergeCell ref="A5:A7"/>
    <mergeCell ref="B5:D5"/>
    <mergeCell ref="E5:I5"/>
    <mergeCell ref="J5:J7"/>
    <mergeCell ref="B6:D6"/>
    <mergeCell ref="E6:E7"/>
  </mergeCells>
  <pageMargins left="0.7" right="0.7" top="0.75" bottom="0.75" header="0.3" footer="0.3"/>
  <pageSetup paperSize="9" scale="75" orientation="portrait" verticalDpi="0" r:id="rId1"/>
  <headerFoot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J38"/>
  <sheetViews>
    <sheetView topLeftCell="A2" workbookViewId="0">
      <selection activeCell="K11" sqref="K11"/>
    </sheetView>
  </sheetViews>
  <sheetFormatPr defaultColWidth="8.77734375" defaultRowHeight="13.2"/>
  <cols>
    <col min="1" max="1" width="8.77734375" style="58"/>
    <col min="2" max="2" width="12.5546875" style="58" customWidth="1"/>
    <col min="3" max="3" width="13" style="58" customWidth="1"/>
    <col min="4" max="4" width="13.33203125" style="58" customWidth="1"/>
    <col min="5" max="5" width="12.5546875" style="58" customWidth="1"/>
    <col min="6" max="6" width="12.88671875" style="58" customWidth="1"/>
    <col min="7" max="7" width="12.33203125" style="58" customWidth="1"/>
    <col min="8" max="8" width="15.33203125" style="58" customWidth="1"/>
    <col min="9" max="9" width="12" style="58" customWidth="1"/>
    <col min="10" max="16384" width="8.77734375" style="58"/>
  </cols>
  <sheetData>
    <row r="1" spans="1:10" ht="33.6">
      <c r="A1" s="374" t="s">
        <v>10</v>
      </c>
      <c r="B1" s="374"/>
      <c r="C1" s="374"/>
      <c r="D1" s="374"/>
      <c r="E1" s="374"/>
      <c r="F1" s="374"/>
      <c r="G1" s="374"/>
      <c r="H1" s="374"/>
      <c r="I1" s="374"/>
      <c r="J1" s="375"/>
    </row>
    <row r="2" spans="1:10" ht="33.6">
      <c r="A2" s="374" t="s">
        <v>16</v>
      </c>
      <c r="B2" s="374"/>
      <c r="C2" s="374"/>
      <c r="D2" s="374"/>
      <c r="E2" s="374"/>
      <c r="F2" s="374"/>
      <c r="G2" s="374"/>
      <c r="H2" s="374"/>
      <c r="I2" s="374"/>
      <c r="J2" s="375"/>
    </row>
    <row r="3" spans="1:10" ht="27">
      <c r="A3" s="376" t="s">
        <v>723</v>
      </c>
      <c r="B3" s="376"/>
      <c r="C3" s="376"/>
      <c r="D3" s="376"/>
      <c r="E3" s="376"/>
      <c r="F3" s="159"/>
      <c r="G3" s="159"/>
      <c r="H3" s="159"/>
      <c r="I3" s="159"/>
      <c r="J3" s="160"/>
    </row>
    <row r="4" spans="1:10" ht="27">
      <c r="A4" s="336" t="s">
        <v>49</v>
      </c>
      <c r="B4" s="336"/>
      <c r="C4" s="336"/>
      <c r="D4" s="336"/>
      <c r="E4" s="159"/>
      <c r="F4" s="159"/>
      <c r="G4" s="159"/>
      <c r="H4" s="159"/>
      <c r="I4" s="159"/>
      <c r="J4" s="160"/>
    </row>
    <row r="5" spans="1:10" ht="25.2">
      <c r="A5" s="356" t="s">
        <v>2</v>
      </c>
      <c r="B5" s="359" t="s">
        <v>11</v>
      </c>
      <c r="C5" s="360"/>
      <c r="D5" s="361"/>
      <c r="E5" s="362" t="s">
        <v>5</v>
      </c>
      <c r="F5" s="363"/>
      <c r="G5" s="363"/>
      <c r="H5" s="363"/>
      <c r="I5" s="363"/>
      <c r="J5" s="377" t="s">
        <v>15</v>
      </c>
    </row>
    <row r="6" spans="1:10" ht="25.2">
      <c r="A6" s="357"/>
      <c r="B6" s="367" t="s">
        <v>12</v>
      </c>
      <c r="C6" s="368"/>
      <c r="D6" s="369"/>
      <c r="E6" s="370" t="s">
        <v>4</v>
      </c>
      <c r="F6" s="371" t="s">
        <v>14</v>
      </c>
      <c r="G6" s="367" t="s">
        <v>12</v>
      </c>
      <c r="H6" s="368"/>
      <c r="I6" s="369"/>
      <c r="J6" s="378"/>
    </row>
    <row r="7" spans="1:10" ht="25.2">
      <c r="A7" s="358"/>
      <c r="B7" s="155" t="s">
        <v>6</v>
      </c>
      <c r="C7" s="155" t="s">
        <v>13</v>
      </c>
      <c r="D7" s="155" t="s">
        <v>3</v>
      </c>
      <c r="E7" s="371"/>
      <c r="F7" s="371"/>
      <c r="G7" s="155" t="s">
        <v>6</v>
      </c>
      <c r="H7" s="155" t="s">
        <v>13</v>
      </c>
      <c r="I7" s="155" t="s">
        <v>3</v>
      </c>
      <c r="J7" s="379"/>
    </row>
    <row r="8" spans="1:10" ht="25.2">
      <c r="A8" s="169"/>
      <c r="B8" s="123"/>
      <c r="C8" s="124"/>
      <c r="D8" s="125"/>
      <c r="E8" s="126"/>
      <c r="F8" s="123"/>
      <c r="G8" s="123"/>
      <c r="H8" s="124"/>
      <c r="I8" s="125"/>
      <c r="J8" s="161"/>
    </row>
    <row r="9" spans="1:10" ht="25.2">
      <c r="A9" s="169"/>
      <c r="B9" s="123"/>
      <c r="C9" s="124"/>
      <c r="D9" s="125"/>
      <c r="E9" s="126"/>
      <c r="F9" s="123"/>
      <c r="G9" s="123"/>
      <c r="H9" s="124"/>
      <c r="I9" s="125"/>
      <c r="J9" s="161"/>
    </row>
    <row r="10" spans="1:10" ht="25.2">
      <c r="A10" s="169"/>
      <c r="B10" s="123"/>
      <c r="C10" s="124"/>
      <c r="D10" s="125"/>
      <c r="E10" s="126"/>
      <c r="F10" s="123"/>
      <c r="G10" s="123"/>
      <c r="H10" s="124"/>
      <c r="I10" s="125"/>
      <c r="J10" s="161"/>
    </row>
    <row r="11" spans="1:10" ht="25.2">
      <c r="A11" s="169"/>
      <c r="B11" s="123"/>
      <c r="C11" s="124"/>
      <c r="D11" s="125"/>
      <c r="E11" s="126"/>
      <c r="F11" s="123"/>
      <c r="G11" s="123"/>
      <c r="H11" s="124"/>
      <c r="I11" s="125"/>
      <c r="J11" s="161"/>
    </row>
    <row r="12" spans="1:10" ht="25.2">
      <c r="A12" s="169"/>
      <c r="B12" s="123"/>
      <c r="C12" s="124"/>
      <c r="D12" s="125"/>
      <c r="E12" s="126"/>
      <c r="F12" s="123"/>
      <c r="G12" s="123"/>
      <c r="H12" s="124"/>
      <c r="I12" s="125"/>
      <c r="J12" s="161"/>
    </row>
    <row r="13" spans="1:10" ht="25.2">
      <c r="A13" s="169"/>
      <c r="B13" s="123"/>
      <c r="C13" s="124"/>
      <c r="D13" s="125"/>
      <c r="E13" s="126"/>
      <c r="F13" s="123"/>
      <c r="G13" s="123"/>
      <c r="H13" s="124"/>
      <c r="I13" s="125"/>
      <c r="J13" s="161"/>
    </row>
    <row r="14" spans="1:10" ht="25.2">
      <c r="A14" s="169"/>
      <c r="B14" s="123"/>
      <c r="C14" s="124"/>
      <c r="D14" s="125"/>
      <c r="E14" s="126"/>
      <c r="F14" s="123"/>
      <c r="G14" s="123"/>
      <c r="H14" s="124"/>
      <c r="I14" s="125"/>
      <c r="J14" s="161"/>
    </row>
    <row r="15" spans="1:10" ht="25.2">
      <c r="A15" s="169"/>
      <c r="B15" s="136"/>
      <c r="C15" s="134"/>
      <c r="D15" s="1"/>
      <c r="E15" s="126"/>
      <c r="F15" s="133"/>
      <c r="G15" s="136"/>
      <c r="H15" s="134"/>
      <c r="I15" s="1"/>
      <c r="J15" s="161"/>
    </row>
    <row r="16" spans="1:10" ht="25.2">
      <c r="A16" s="169"/>
      <c r="B16" s="133"/>
      <c r="C16" s="134"/>
      <c r="D16" s="1"/>
      <c r="E16" s="126"/>
      <c r="F16" s="133"/>
      <c r="G16" s="136"/>
      <c r="H16" s="134"/>
      <c r="I16" s="1"/>
      <c r="J16" s="161"/>
    </row>
    <row r="17" spans="1:10" ht="25.2">
      <c r="A17" s="169"/>
      <c r="B17" s="136"/>
      <c r="C17" s="134"/>
      <c r="D17" s="1"/>
      <c r="E17" s="126"/>
      <c r="F17" s="133"/>
      <c r="G17" s="136"/>
      <c r="H17" s="134"/>
      <c r="I17" s="1"/>
      <c r="J17" s="161"/>
    </row>
    <row r="18" spans="1:10" ht="25.2">
      <c r="A18" s="169"/>
      <c r="B18" s="136"/>
      <c r="C18" s="134"/>
      <c r="D18" s="1"/>
      <c r="E18" s="126"/>
      <c r="F18" s="133"/>
      <c r="G18" s="136"/>
      <c r="H18" s="134"/>
      <c r="I18" s="1"/>
      <c r="J18" s="161"/>
    </row>
    <row r="19" spans="1:10" ht="25.2">
      <c r="A19" s="169"/>
      <c r="B19" s="136"/>
      <c r="C19" s="134"/>
      <c r="D19" s="1"/>
      <c r="E19" s="126"/>
      <c r="F19" s="133"/>
      <c r="G19" s="136"/>
      <c r="H19" s="134"/>
      <c r="I19" s="1"/>
      <c r="J19" s="161"/>
    </row>
    <row r="20" spans="1:10" ht="25.2">
      <c r="A20" s="169"/>
      <c r="B20" s="136"/>
      <c r="C20" s="134"/>
      <c r="D20" s="1"/>
      <c r="E20" s="126"/>
      <c r="F20" s="133"/>
      <c r="G20" s="136"/>
      <c r="H20" s="134"/>
      <c r="I20" s="1"/>
      <c r="J20" s="161"/>
    </row>
    <row r="21" spans="1:10" ht="25.2">
      <c r="A21" s="169"/>
      <c r="B21" s="136"/>
      <c r="C21" s="134"/>
      <c r="D21" s="1"/>
      <c r="E21" s="126"/>
      <c r="F21" s="133"/>
      <c r="G21" s="136"/>
      <c r="H21" s="134"/>
      <c r="I21" s="1"/>
      <c r="J21" s="161"/>
    </row>
    <row r="22" spans="1:10" ht="25.2">
      <c r="A22" s="169"/>
      <c r="B22" s="136"/>
      <c r="C22" s="134"/>
      <c r="D22" s="1"/>
      <c r="E22" s="126"/>
      <c r="F22" s="133"/>
      <c r="G22" s="136"/>
      <c r="H22" s="134"/>
      <c r="I22" s="1"/>
      <c r="J22" s="161"/>
    </row>
    <row r="23" spans="1:10" ht="25.2">
      <c r="A23" s="169"/>
      <c r="B23" s="136"/>
      <c r="C23" s="134"/>
      <c r="D23" s="1"/>
      <c r="E23" s="126"/>
      <c r="F23" s="133"/>
      <c r="G23" s="136"/>
      <c r="H23" s="134"/>
      <c r="I23" s="1"/>
      <c r="J23" s="161"/>
    </row>
    <row r="24" spans="1:10" ht="25.2">
      <c r="A24" s="169"/>
      <c r="B24" s="136"/>
      <c r="C24" s="134"/>
      <c r="D24" s="1"/>
      <c r="E24" s="126"/>
      <c r="F24" s="133"/>
      <c r="G24" s="136"/>
      <c r="H24" s="134"/>
      <c r="I24" s="1"/>
      <c r="J24" s="161"/>
    </row>
    <row r="25" spans="1:10" ht="25.2">
      <c r="A25" s="169"/>
      <c r="B25" s="136"/>
      <c r="C25" s="134"/>
      <c r="D25" s="1"/>
      <c r="E25" s="126"/>
      <c r="F25" s="133"/>
      <c r="G25" s="136"/>
      <c r="H25" s="134"/>
      <c r="I25" s="1"/>
      <c r="J25" s="161"/>
    </row>
    <row r="26" spans="1:10" ht="25.2">
      <c r="A26" s="169"/>
      <c r="B26" s="136"/>
      <c r="C26" s="134"/>
      <c r="D26" s="1"/>
      <c r="E26" s="126"/>
      <c r="F26" s="133"/>
      <c r="G26" s="136"/>
      <c r="H26" s="134"/>
      <c r="I26" s="1"/>
      <c r="J26" s="161"/>
    </row>
    <row r="27" spans="1:10" ht="25.2">
      <c r="A27" s="169"/>
      <c r="B27" s="138"/>
      <c r="C27" s="139"/>
      <c r="D27" s="125"/>
      <c r="E27" s="140"/>
      <c r="F27" s="138"/>
      <c r="G27" s="138"/>
      <c r="H27" s="139"/>
      <c r="I27" s="125"/>
      <c r="J27" s="161"/>
    </row>
    <row r="28" spans="1:10" ht="25.2">
      <c r="A28" s="169"/>
      <c r="B28" s="138"/>
      <c r="C28" s="139"/>
      <c r="D28" s="125"/>
      <c r="E28" s="140"/>
      <c r="F28" s="138"/>
      <c r="G28" s="138"/>
      <c r="H28" s="139"/>
      <c r="I28" s="125"/>
      <c r="J28" s="161"/>
    </row>
    <row r="29" spans="1:10" ht="25.2">
      <c r="A29" s="169"/>
      <c r="B29" s="138"/>
      <c r="C29" s="139"/>
      <c r="D29" s="125"/>
      <c r="E29" s="140"/>
      <c r="F29" s="138"/>
      <c r="G29" s="138"/>
      <c r="H29" s="139"/>
      <c r="I29" s="125"/>
      <c r="J29" s="161"/>
    </row>
    <row r="30" spans="1:10" ht="25.2">
      <c r="A30" s="169"/>
      <c r="B30" s="138"/>
      <c r="C30" s="139"/>
      <c r="D30" s="125"/>
      <c r="E30" s="140"/>
      <c r="F30" s="138"/>
      <c r="G30" s="138"/>
      <c r="H30" s="139"/>
      <c r="I30" s="125"/>
      <c r="J30" s="161"/>
    </row>
    <row r="31" spans="1:10" ht="25.2">
      <c r="A31" s="169"/>
      <c r="B31" s="163"/>
      <c r="C31" s="139"/>
      <c r="D31" s="125"/>
      <c r="E31" s="170"/>
      <c r="F31" s="163"/>
      <c r="G31" s="163"/>
      <c r="H31" s="139"/>
      <c r="I31" s="125"/>
      <c r="J31" s="161"/>
    </row>
    <row r="32" spans="1:10" ht="25.2">
      <c r="A32" s="169"/>
      <c r="B32" s="141"/>
      <c r="C32" s="139"/>
      <c r="D32" s="125"/>
      <c r="E32" s="126"/>
      <c r="F32" s="141"/>
      <c r="G32" s="141"/>
      <c r="H32" s="139"/>
      <c r="I32" s="125"/>
      <c r="J32" s="161"/>
    </row>
    <row r="33" spans="1:10" ht="25.2">
      <c r="A33" s="169"/>
      <c r="B33" s="141"/>
      <c r="C33" s="139"/>
      <c r="D33" s="125"/>
      <c r="E33" s="123"/>
      <c r="F33" s="141"/>
      <c r="G33" s="141"/>
      <c r="H33" s="139"/>
      <c r="I33" s="125"/>
      <c r="J33" s="161"/>
    </row>
    <row r="34" spans="1:10" ht="25.2">
      <c r="A34" s="169"/>
      <c r="B34" s="141"/>
      <c r="C34" s="139"/>
      <c r="D34" s="125"/>
      <c r="E34" s="123"/>
      <c r="F34" s="141"/>
      <c r="G34" s="141"/>
      <c r="H34" s="139"/>
      <c r="I34" s="125"/>
      <c r="J34" s="161"/>
    </row>
    <row r="35" spans="1:10" ht="25.2">
      <c r="A35" s="169"/>
      <c r="B35" s="141"/>
      <c r="C35" s="139"/>
      <c r="D35" s="125"/>
      <c r="E35" s="123"/>
      <c r="F35" s="141"/>
      <c r="G35" s="141"/>
      <c r="H35" s="139"/>
      <c r="I35" s="125"/>
      <c r="J35" s="161"/>
    </row>
    <row r="36" spans="1:10" ht="25.2">
      <c r="A36" s="169"/>
      <c r="B36" s="141"/>
      <c r="C36" s="139"/>
      <c r="D36" s="125"/>
      <c r="E36" s="123"/>
      <c r="F36" s="141"/>
      <c r="G36" s="141"/>
      <c r="H36" s="139"/>
      <c r="I36" s="125"/>
      <c r="J36" s="161"/>
    </row>
    <row r="37" spans="1:10" ht="25.2">
      <c r="A37" s="169"/>
      <c r="B37" s="141"/>
      <c r="C37" s="139"/>
      <c r="D37" s="125"/>
      <c r="E37" s="123"/>
      <c r="F37" s="141"/>
      <c r="G37" s="141"/>
      <c r="H37" s="139"/>
      <c r="I37" s="125"/>
      <c r="J37" s="161"/>
    </row>
    <row r="38" spans="1:10" ht="25.2">
      <c r="A38" s="171"/>
      <c r="B38" s="172"/>
      <c r="C38" s="173"/>
      <c r="D38" s="174"/>
      <c r="E38" s="175"/>
      <c r="F38" s="172"/>
      <c r="G38" s="172"/>
      <c r="H38" s="173"/>
      <c r="I38" s="174"/>
      <c r="J38" s="176"/>
    </row>
  </sheetData>
  <mergeCells count="12">
    <mergeCell ref="F6:F7"/>
    <mergeCell ref="G6:I6"/>
    <mergeCell ref="A1:J1"/>
    <mergeCell ref="A2:J2"/>
    <mergeCell ref="A3:E3"/>
    <mergeCell ref="A4:D4"/>
    <mergeCell ref="A5:A7"/>
    <mergeCell ref="B5:D5"/>
    <mergeCell ref="E5:I5"/>
    <mergeCell ref="J5:J7"/>
    <mergeCell ref="B6:D6"/>
    <mergeCell ref="E6:E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1:O48"/>
  <sheetViews>
    <sheetView topLeftCell="A10" zoomScale="145" zoomScaleNormal="145" workbookViewId="0">
      <selection activeCell="B26" sqref="B26"/>
    </sheetView>
  </sheetViews>
  <sheetFormatPr defaultColWidth="9.109375" defaultRowHeight="14.25" customHeight="1"/>
  <cols>
    <col min="1" max="1" width="8.109375" style="232" customWidth="1"/>
    <col min="2" max="2" width="7" style="231" customWidth="1"/>
    <col min="3" max="3" width="19.33203125" style="231" customWidth="1"/>
    <col min="4" max="4" width="7.44140625" style="231" customWidth="1"/>
    <col min="5" max="5" width="17.88671875" style="231" customWidth="1"/>
    <col min="6" max="6" width="8.33203125" style="20" customWidth="1"/>
    <col min="7" max="7" width="11.109375" style="231" customWidth="1"/>
    <col min="8" max="8" width="11.88671875" style="25" customWidth="1"/>
    <col min="9" max="9" width="9" style="231" customWidth="1"/>
    <col min="10" max="10" width="5.44140625" style="231" customWidth="1"/>
    <col min="11" max="11" width="8.44140625" style="231" customWidth="1"/>
    <col min="12" max="12" width="4.33203125" style="231" customWidth="1"/>
    <col min="13" max="13" width="13.33203125" style="231" customWidth="1"/>
    <col min="14" max="14" width="15.109375" style="231" customWidth="1"/>
    <col min="15" max="16384" width="9.109375" style="231"/>
  </cols>
  <sheetData>
    <row r="1" spans="1:15" s="178" customFormat="1" ht="23.25" customHeight="1">
      <c r="A1" s="385" t="s">
        <v>749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177"/>
    </row>
    <row r="2" spans="1:15" s="179" customFormat="1" ht="22.5" customHeight="1">
      <c r="A2" s="386" t="s">
        <v>907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177"/>
    </row>
    <row r="3" spans="1:15" s="189" customFormat="1" ht="22.5" customHeight="1">
      <c r="A3" s="180" t="s">
        <v>751</v>
      </c>
      <c r="B3" s="181"/>
      <c r="C3" s="182"/>
      <c r="D3" s="181"/>
      <c r="E3" s="182"/>
      <c r="F3" s="183"/>
      <c r="G3" s="183"/>
      <c r="H3" s="183"/>
      <c r="I3" s="184"/>
      <c r="J3" s="185"/>
      <c r="K3" s="180" t="s">
        <v>752</v>
      </c>
      <c r="L3" s="186"/>
      <c r="M3" s="187"/>
      <c r="N3" s="188"/>
      <c r="O3" s="188"/>
    </row>
    <row r="4" spans="1:15" s="198" customFormat="1" ht="18" customHeight="1" thickBot="1">
      <c r="A4" s="190" t="s">
        <v>753</v>
      </c>
      <c r="B4" s="191"/>
      <c r="C4" s="192"/>
      <c r="D4" s="193"/>
      <c r="E4" s="193"/>
      <c r="F4" s="194"/>
      <c r="G4" s="194"/>
      <c r="H4" s="194"/>
      <c r="I4" s="195"/>
      <c r="J4" s="187"/>
      <c r="K4" s="191" t="s">
        <v>754</v>
      </c>
      <c r="L4" s="196">
        <v>4088</v>
      </c>
      <c r="M4" s="187"/>
      <c r="N4" s="197"/>
      <c r="O4" s="188"/>
    </row>
    <row r="5" spans="1:15" s="198" customFormat="1" ht="16.5" customHeight="1">
      <c r="A5" s="387" t="s">
        <v>755</v>
      </c>
      <c r="B5" s="388"/>
      <c r="C5" s="388"/>
      <c r="D5" s="388"/>
      <c r="E5" s="388"/>
      <c r="F5" s="388"/>
      <c r="G5" s="388"/>
      <c r="H5" s="388"/>
      <c r="I5" s="389" t="s">
        <v>756</v>
      </c>
      <c r="J5" s="389"/>
      <c r="K5" s="389"/>
      <c r="L5" s="389"/>
      <c r="M5" s="199"/>
    </row>
    <row r="6" spans="1:15" s="198" customFormat="1" ht="14.25" customHeight="1">
      <c r="A6" s="200" t="s">
        <v>757</v>
      </c>
      <c r="B6" s="201" t="s">
        <v>755</v>
      </c>
      <c r="C6" s="201" t="s">
        <v>758</v>
      </c>
      <c r="D6" s="201" t="s">
        <v>759</v>
      </c>
      <c r="E6" s="201" t="s">
        <v>760</v>
      </c>
      <c r="F6" s="390" t="s">
        <v>761</v>
      </c>
      <c r="G6" s="390"/>
      <c r="H6" s="3"/>
      <c r="I6" s="391" t="s">
        <v>762</v>
      </c>
      <c r="J6" s="392"/>
      <c r="K6" s="392"/>
      <c r="L6" s="392"/>
      <c r="M6" s="202" t="s">
        <v>763</v>
      </c>
    </row>
    <row r="7" spans="1:15" s="198" customFormat="1" ht="14.25" customHeight="1">
      <c r="A7" s="203"/>
      <c r="B7" s="204"/>
      <c r="C7" s="204"/>
      <c r="D7" s="205" t="s">
        <v>764</v>
      </c>
      <c r="E7" s="206"/>
      <c r="F7" s="35"/>
      <c r="G7" s="207" t="s">
        <v>756</v>
      </c>
      <c r="H7" s="207" t="s">
        <v>765</v>
      </c>
      <c r="I7" s="396" t="s">
        <v>766</v>
      </c>
      <c r="J7" s="396"/>
      <c r="K7" s="396" t="s">
        <v>767</v>
      </c>
      <c r="L7" s="396"/>
      <c r="M7" s="202" t="s">
        <v>768</v>
      </c>
    </row>
    <row r="8" spans="1:15" s="198" customFormat="1" ht="14.25" customHeight="1">
      <c r="A8" s="208"/>
      <c r="B8" s="209"/>
      <c r="C8" s="209"/>
      <c r="D8" s="210"/>
      <c r="E8" s="211"/>
      <c r="F8" s="36"/>
      <c r="G8" s="212" t="s">
        <v>769</v>
      </c>
      <c r="H8" s="213" t="s">
        <v>770</v>
      </c>
      <c r="I8" s="214" t="s">
        <v>771</v>
      </c>
      <c r="J8" s="214" t="s">
        <v>772</v>
      </c>
      <c r="K8" s="214" t="s">
        <v>771</v>
      </c>
      <c r="L8" s="214" t="s">
        <v>772</v>
      </c>
      <c r="M8" s="215"/>
    </row>
    <row r="9" spans="1:15" s="190" customFormat="1" ht="14.25" customHeight="1">
      <c r="A9" s="216">
        <v>42160</v>
      </c>
      <c r="B9" s="217" t="s">
        <v>908</v>
      </c>
      <c r="C9" s="218" t="s">
        <v>778</v>
      </c>
      <c r="D9" s="219"/>
      <c r="E9" s="220" t="s">
        <v>909</v>
      </c>
      <c r="F9" s="5" t="s">
        <v>910</v>
      </c>
      <c r="G9" s="221"/>
      <c r="H9" s="5">
        <v>41519138</v>
      </c>
      <c r="I9" s="214"/>
      <c r="J9" s="214"/>
      <c r="K9" s="221"/>
      <c r="L9" s="214"/>
      <c r="M9" s="6">
        <f>G9+H9</f>
        <v>41519138</v>
      </c>
    </row>
    <row r="10" spans="1:15" s="190" customFormat="1" ht="14.25" customHeight="1">
      <c r="A10" s="216">
        <v>42160</v>
      </c>
      <c r="B10" s="217" t="s">
        <v>911</v>
      </c>
      <c r="C10" s="218" t="s">
        <v>862</v>
      </c>
      <c r="D10" s="219"/>
      <c r="E10" s="220" t="s">
        <v>797</v>
      </c>
      <c r="F10" s="5" t="s">
        <v>912</v>
      </c>
      <c r="G10" s="221"/>
      <c r="H10" s="5">
        <v>157610622</v>
      </c>
      <c r="I10" s="214"/>
      <c r="J10" s="214"/>
      <c r="K10" s="221"/>
      <c r="L10" s="214"/>
      <c r="M10" s="6">
        <f t="shared" ref="M10:M22" si="0">G10+H10</f>
        <v>157610622</v>
      </c>
    </row>
    <row r="11" spans="1:15" s="190" customFormat="1" ht="14.25" customHeight="1">
      <c r="A11" s="216">
        <v>42160</v>
      </c>
      <c r="B11" s="217" t="s">
        <v>913</v>
      </c>
      <c r="C11" s="218" t="s">
        <v>914</v>
      </c>
      <c r="D11" s="219"/>
      <c r="E11" s="220" t="s">
        <v>915</v>
      </c>
      <c r="F11" s="5" t="s">
        <v>916</v>
      </c>
      <c r="G11" s="221"/>
      <c r="H11" s="5">
        <v>75926121</v>
      </c>
      <c r="I11" s="214"/>
      <c r="J11" s="214"/>
      <c r="K11" s="221"/>
      <c r="L11" s="214"/>
      <c r="M11" s="6">
        <f t="shared" si="0"/>
        <v>75926121</v>
      </c>
    </row>
    <row r="12" spans="1:15" s="190" customFormat="1" ht="14.25" customHeight="1">
      <c r="A12" s="216">
        <v>42164</v>
      </c>
      <c r="B12" s="217" t="s">
        <v>917</v>
      </c>
      <c r="C12" s="218" t="s">
        <v>914</v>
      </c>
      <c r="D12" s="219"/>
      <c r="E12" s="220" t="s">
        <v>918</v>
      </c>
      <c r="F12" s="5" t="s">
        <v>919</v>
      </c>
      <c r="G12" s="221"/>
      <c r="H12" s="5">
        <v>109260590</v>
      </c>
      <c r="I12" s="214"/>
      <c r="J12" s="214"/>
      <c r="K12" s="221"/>
      <c r="L12" s="214"/>
      <c r="M12" s="6">
        <f t="shared" si="0"/>
        <v>109260590</v>
      </c>
    </row>
    <row r="13" spans="1:15" s="190" customFormat="1" ht="14.25" customHeight="1">
      <c r="A13" s="216">
        <v>42167</v>
      </c>
      <c r="B13" s="217" t="s">
        <v>920</v>
      </c>
      <c r="C13" s="218" t="s">
        <v>862</v>
      </c>
      <c r="D13" s="219"/>
      <c r="E13" s="220" t="s">
        <v>921</v>
      </c>
      <c r="F13" s="5" t="s">
        <v>922</v>
      </c>
      <c r="G13" s="221"/>
      <c r="H13" s="5">
        <v>136860570</v>
      </c>
      <c r="I13" s="214"/>
      <c r="J13" s="214"/>
      <c r="K13" s="221"/>
      <c r="L13" s="214"/>
      <c r="M13" s="6">
        <f t="shared" si="0"/>
        <v>136860570</v>
      </c>
    </row>
    <row r="14" spans="1:15" s="190" customFormat="1" ht="14.25" customHeight="1">
      <c r="A14" s="216">
        <v>42167</v>
      </c>
      <c r="B14" s="217" t="s">
        <v>923</v>
      </c>
      <c r="C14" s="218" t="s">
        <v>778</v>
      </c>
      <c r="D14" s="219"/>
      <c r="E14" s="220" t="s">
        <v>909</v>
      </c>
      <c r="F14" s="5" t="s">
        <v>924</v>
      </c>
      <c r="G14" s="221"/>
      <c r="H14" s="5">
        <v>189450332</v>
      </c>
      <c r="I14" s="214"/>
      <c r="J14" s="214"/>
      <c r="K14" s="221"/>
      <c r="L14" s="214"/>
      <c r="M14" s="6">
        <f t="shared" si="0"/>
        <v>189450332</v>
      </c>
    </row>
    <row r="15" spans="1:15" s="190" customFormat="1" ht="14.25" customHeight="1">
      <c r="A15" s="216">
        <v>42174</v>
      </c>
      <c r="B15" s="217" t="s">
        <v>925</v>
      </c>
      <c r="C15" s="218" t="s">
        <v>926</v>
      </c>
      <c r="D15" s="219"/>
      <c r="E15" s="220" t="s">
        <v>927</v>
      </c>
      <c r="F15" s="5" t="s">
        <v>928</v>
      </c>
      <c r="G15" s="221"/>
      <c r="H15" s="5">
        <v>267888456</v>
      </c>
      <c r="I15" s="214"/>
      <c r="J15" s="214"/>
      <c r="K15" s="221"/>
      <c r="L15" s="214"/>
      <c r="M15" s="6">
        <f t="shared" si="0"/>
        <v>267888456</v>
      </c>
    </row>
    <row r="16" spans="1:15" s="190" customFormat="1" ht="14.25" customHeight="1">
      <c r="A16" s="216">
        <v>42174</v>
      </c>
      <c r="B16" s="217" t="s">
        <v>929</v>
      </c>
      <c r="C16" s="218" t="s">
        <v>778</v>
      </c>
      <c r="D16" s="219"/>
      <c r="E16" s="218" t="s">
        <v>786</v>
      </c>
      <c r="F16" s="5" t="s">
        <v>930</v>
      </c>
      <c r="G16" s="221"/>
      <c r="H16" s="5">
        <v>233561904</v>
      </c>
      <c r="I16" s="214"/>
      <c r="J16" s="214"/>
      <c r="K16" s="221"/>
      <c r="L16" s="214"/>
      <c r="M16" s="6">
        <f t="shared" si="0"/>
        <v>233561904</v>
      </c>
    </row>
    <row r="17" spans="1:14" s="190" customFormat="1" ht="14.25" customHeight="1">
      <c r="A17" s="216">
        <v>42174</v>
      </c>
      <c r="B17" s="217" t="s">
        <v>931</v>
      </c>
      <c r="C17" s="218" t="s">
        <v>778</v>
      </c>
      <c r="D17" s="219"/>
      <c r="E17" s="220" t="s">
        <v>932</v>
      </c>
      <c r="F17" s="5" t="s">
        <v>933</v>
      </c>
      <c r="G17" s="221"/>
      <c r="H17" s="5">
        <v>106100285</v>
      </c>
      <c r="I17" s="214"/>
      <c r="J17" s="214"/>
      <c r="K17" s="221"/>
      <c r="L17" s="214"/>
      <c r="M17" s="6">
        <f t="shared" si="0"/>
        <v>106100285</v>
      </c>
    </row>
    <row r="18" spans="1:14" s="190" customFormat="1" ht="14.25" customHeight="1">
      <c r="A18" s="216">
        <v>42175</v>
      </c>
      <c r="B18" s="217" t="s">
        <v>934</v>
      </c>
      <c r="C18" s="218" t="s">
        <v>935</v>
      </c>
      <c r="D18" s="219"/>
      <c r="E18" s="220" t="s">
        <v>936</v>
      </c>
      <c r="F18" s="5" t="s">
        <v>937</v>
      </c>
      <c r="G18" s="221"/>
      <c r="H18" s="5">
        <v>145296432</v>
      </c>
      <c r="I18" s="214"/>
      <c r="J18" s="214"/>
      <c r="K18" s="221"/>
      <c r="L18" s="214"/>
      <c r="M18" s="6">
        <f t="shared" si="0"/>
        <v>145296432</v>
      </c>
    </row>
    <row r="19" spans="1:14" s="190" customFormat="1" ht="14.25" customHeight="1">
      <c r="A19" s="216">
        <v>42175</v>
      </c>
      <c r="B19" s="217" t="s">
        <v>938</v>
      </c>
      <c r="C19" s="218" t="s">
        <v>866</v>
      </c>
      <c r="D19" s="219"/>
      <c r="E19" s="220" t="s">
        <v>797</v>
      </c>
      <c r="F19" s="5" t="s">
        <v>939</v>
      </c>
      <c r="G19" s="221"/>
      <c r="H19" s="5">
        <v>299682480</v>
      </c>
      <c r="I19" s="214"/>
      <c r="J19" s="214"/>
      <c r="K19" s="221"/>
      <c r="L19" s="214"/>
      <c r="M19" s="6">
        <f t="shared" si="0"/>
        <v>299682480</v>
      </c>
    </row>
    <row r="20" spans="1:14" s="190" customFormat="1" ht="14.25" customHeight="1">
      <c r="A20" s="216">
        <v>42181</v>
      </c>
      <c r="B20" s="217" t="s">
        <v>940</v>
      </c>
      <c r="C20" s="218" t="s">
        <v>941</v>
      </c>
      <c r="D20" s="219"/>
      <c r="E20" s="220" t="s">
        <v>942</v>
      </c>
      <c r="F20" s="5" t="s">
        <v>943</v>
      </c>
      <c r="G20" s="221"/>
      <c r="H20" s="5">
        <v>6493691</v>
      </c>
      <c r="I20" s="214"/>
      <c r="J20" s="214"/>
      <c r="K20" s="221"/>
      <c r="L20" s="214"/>
      <c r="M20" s="6">
        <f t="shared" si="0"/>
        <v>6493691</v>
      </c>
    </row>
    <row r="21" spans="1:14" s="190" customFormat="1" ht="14.25" customHeight="1">
      <c r="A21" s="216">
        <v>42181</v>
      </c>
      <c r="B21" s="217" t="s">
        <v>944</v>
      </c>
      <c r="C21" s="218" t="s">
        <v>778</v>
      </c>
      <c r="D21" s="219"/>
      <c r="E21" s="220" t="s">
        <v>909</v>
      </c>
      <c r="F21" s="5" t="s">
        <v>945</v>
      </c>
      <c r="G21" s="221"/>
      <c r="H21" s="5">
        <v>26361287</v>
      </c>
      <c r="I21" s="214"/>
      <c r="J21" s="214"/>
      <c r="K21" s="221"/>
      <c r="L21" s="214"/>
      <c r="M21" s="6">
        <f t="shared" si="0"/>
        <v>26361287</v>
      </c>
    </row>
    <row r="22" spans="1:14" s="190" customFormat="1" ht="20.25" customHeight="1">
      <c r="A22" s="216">
        <v>42181</v>
      </c>
      <c r="B22" s="217" t="s">
        <v>946</v>
      </c>
      <c r="C22" s="218" t="s">
        <v>935</v>
      </c>
      <c r="D22" s="219"/>
      <c r="E22" s="220" t="s">
        <v>947</v>
      </c>
      <c r="F22" s="5" t="s">
        <v>948</v>
      </c>
      <c r="G22" s="221"/>
      <c r="H22" s="5">
        <v>94840834</v>
      </c>
      <c r="I22" s="214"/>
      <c r="J22" s="214"/>
      <c r="K22" s="221"/>
      <c r="L22" s="214"/>
      <c r="M22" s="6">
        <f t="shared" si="0"/>
        <v>94840834</v>
      </c>
    </row>
    <row r="23" spans="1:14" s="224" customFormat="1" ht="14.25" customHeight="1">
      <c r="A23" s="380">
        <f>L4</f>
        <v>4088</v>
      </c>
      <c r="B23" s="380"/>
      <c r="C23" s="380"/>
      <c r="D23" s="380"/>
      <c r="E23" s="222" t="s">
        <v>847</v>
      </c>
      <c r="F23" s="37">
        <f>SUM(F9:F22)</f>
        <v>0</v>
      </c>
      <c r="G23" s="223"/>
      <c r="H23" s="8">
        <f>SUM(H9:H22)</f>
        <v>1890852742</v>
      </c>
      <c r="I23" s="9"/>
      <c r="J23" s="9"/>
      <c r="K23" s="9"/>
      <c r="L23" s="9"/>
      <c r="M23" s="10">
        <f>SUM(M9:M22)</f>
        <v>1890852742</v>
      </c>
    </row>
    <row r="24" spans="1:14" s="224" customFormat="1" ht="14.25" customHeight="1" thickBot="1">
      <c r="A24" s="381" t="s">
        <v>848</v>
      </c>
      <c r="B24" s="382"/>
      <c r="C24" s="382"/>
      <c r="D24" s="382"/>
      <c r="E24" s="225" t="s">
        <v>0</v>
      </c>
      <c r="F24" s="38"/>
      <c r="G24" s="13">
        <f>G23/L4</f>
        <v>0</v>
      </c>
      <c r="H24" s="14">
        <f>H23/L4</f>
        <v>462537.36350293545</v>
      </c>
      <c r="I24" s="15">
        <f t="shared" ref="I24:K24" si="1">I23*4034</f>
        <v>0</v>
      </c>
      <c r="J24" s="15">
        <f t="shared" si="1"/>
        <v>0</v>
      </c>
      <c r="K24" s="15">
        <f t="shared" si="1"/>
        <v>0</v>
      </c>
      <c r="L24" s="15">
        <f>L23*4034</f>
        <v>0</v>
      </c>
      <c r="M24" s="16">
        <f>M23/L4</f>
        <v>462537.36350293545</v>
      </c>
    </row>
    <row r="25" spans="1:14" s="228" customFormat="1" ht="15.75" customHeight="1">
      <c r="A25" s="226"/>
      <c r="B25" s="227"/>
      <c r="C25" s="227"/>
      <c r="D25" s="227"/>
      <c r="E25" s="227"/>
      <c r="F25" s="17"/>
      <c r="G25" s="227" t="s">
        <v>849</v>
      </c>
      <c r="H25" s="18" t="s">
        <v>906</v>
      </c>
      <c r="I25" s="227" t="s">
        <v>851</v>
      </c>
      <c r="J25" s="227" t="s">
        <v>852</v>
      </c>
      <c r="K25" s="227" t="s">
        <v>851</v>
      </c>
      <c r="L25" s="227" t="s">
        <v>852</v>
      </c>
      <c r="M25" s="227"/>
    </row>
    <row r="26" spans="1:14" ht="14.25" customHeight="1">
      <c r="A26" s="229"/>
      <c r="B26" s="230"/>
      <c r="C26" s="230"/>
      <c r="D26" s="230"/>
      <c r="E26" s="230"/>
      <c r="F26" s="19"/>
      <c r="G26" s="230"/>
      <c r="H26" s="383" t="s">
        <v>853</v>
      </c>
      <c r="I26" s="383"/>
      <c r="J26" s="383"/>
      <c r="K26" s="383"/>
      <c r="L26" s="383"/>
      <c r="M26" s="383"/>
    </row>
    <row r="27" spans="1:14" ht="19.5" customHeight="1">
      <c r="H27" s="384"/>
      <c r="I27" s="384"/>
      <c r="J27" s="384"/>
      <c r="K27" s="384"/>
      <c r="L27" s="384"/>
      <c r="M27" s="384"/>
      <c r="N27" s="21">
        <f>H23*1%</f>
        <v>18908527.420000002</v>
      </c>
    </row>
    <row r="28" spans="1:14" ht="18" hidden="1" customHeight="1">
      <c r="H28" s="233">
        <f>H24*1%</f>
        <v>4625.3736350293548</v>
      </c>
      <c r="I28" s="234"/>
      <c r="J28" s="40"/>
      <c r="K28" s="235"/>
      <c r="L28" s="235"/>
    </row>
    <row r="29" spans="1:14" ht="14.25" customHeight="1">
      <c r="G29" s="231" t="s">
        <v>953</v>
      </c>
      <c r="H29" s="236"/>
      <c r="I29" s="393"/>
      <c r="J29" s="393"/>
      <c r="K29" s="393"/>
      <c r="L29" s="236"/>
    </row>
    <row r="30" spans="1:14" ht="14.25" customHeight="1">
      <c r="C30" s="23"/>
      <c r="D30" s="237"/>
      <c r="E30" s="237"/>
      <c r="F30" s="24"/>
      <c r="G30" s="238" t="s">
        <v>949</v>
      </c>
      <c r="H30" s="41">
        <f>'Sale - Jul'!H30</f>
        <v>3379679902</v>
      </c>
      <c r="I30" s="28" t="s">
        <v>955</v>
      </c>
    </row>
    <row r="31" spans="1:14" ht="14.25" customHeight="1">
      <c r="F31" s="26"/>
      <c r="G31" s="238" t="s">
        <v>950</v>
      </c>
      <c r="H31" s="42">
        <f>'Sale - Aug'!I47</f>
        <v>5225078447</v>
      </c>
      <c r="I31" s="28" t="s">
        <v>956</v>
      </c>
    </row>
    <row r="32" spans="1:14" ht="14.25" customHeight="1">
      <c r="C32" s="239"/>
      <c r="D32" s="240"/>
      <c r="E32" s="241"/>
      <c r="F32" s="240"/>
      <c r="G32" s="238" t="s">
        <v>951</v>
      </c>
      <c r="H32" s="43">
        <f>H23</f>
        <v>1890852742</v>
      </c>
      <c r="I32" s="28" t="s">
        <v>954</v>
      </c>
      <c r="J32" s="29"/>
      <c r="K32" s="29"/>
    </row>
    <row r="33" spans="6:13" ht="14.25" customHeight="1" thickBot="1">
      <c r="F33" s="26"/>
      <c r="G33" s="231" t="s">
        <v>952</v>
      </c>
      <c r="H33" s="44">
        <f>SUM(H30:H32)</f>
        <v>10495611091</v>
      </c>
      <c r="I33" s="31">
        <f>14+38+21</f>
        <v>73</v>
      </c>
      <c r="J33" s="31"/>
      <c r="K33" s="224"/>
    </row>
    <row r="34" spans="6:13" ht="14.25" customHeight="1" thickTop="1">
      <c r="H34" s="27"/>
      <c r="I34" s="32"/>
      <c r="J34" s="224"/>
      <c r="K34" s="224"/>
    </row>
    <row r="35" spans="6:13" ht="14.25" customHeight="1">
      <c r="H35" s="33"/>
      <c r="I35" s="34"/>
      <c r="J35" s="224"/>
      <c r="K35" s="224"/>
    </row>
    <row r="36" spans="6:13" ht="14.25" customHeight="1">
      <c r="H36" s="394"/>
      <c r="I36" s="394"/>
      <c r="J36" s="224"/>
      <c r="K36" s="224"/>
      <c r="M36" s="242"/>
    </row>
    <row r="37" spans="6:13" ht="14.25" hidden="1" customHeight="1">
      <c r="H37" s="395">
        <f>H24*1%</f>
        <v>4625.3736350293548</v>
      </c>
      <c r="I37" s="395"/>
    </row>
    <row r="38" spans="6:13" ht="14.25" customHeight="1">
      <c r="H38" s="29"/>
      <c r="I38" s="224"/>
    </row>
    <row r="39" spans="6:13" ht="14.25" customHeight="1">
      <c r="H39" s="29"/>
    </row>
    <row r="40" spans="6:13" ht="14.25" customHeight="1">
      <c r="H40" s="29"/>
    </row>
    <row r="41" spans="6:13" ht="14.25" customHeight="1">
      <c r="H41" s="29"/>
    </row>
    <row r="42" spans="6:13" ht="14.25" customHeight="1">
      <c r="H42" s="34"/>
    </row>
    <row r="43" spans="6:13" ht="14.25" customHeight="1">
      <c r="H43" s="29"/>
    </row>
    <row r="44" spans="6:13" ht="14.25" customHeight="1">
      <c r="H44" s="29"/>
    </row>
    <row r="45" spans="6:13" ht="14.25" customHeight="1">
      <c r="H45" s="29"/>
    </row>
    <row r="46" spans="6:13" ht="14.25" customHeight="1">
      <c r="H46" s="29"/>
    </row>
    <row r="47" spans="6:13" ht="14.25" customHeight="1">
      <c r="H47" s="29"/>
    </row>
    <row r="48" spans="6:13" ht="14.25" customHeight="1">
      <c r="H48" s="29"/>
    </row>
  </sheetData>
  <mergeCells count="15">
    <mergeCell ref="I29:K29"/>
    <mergeCell ref="H36:I36"/>
    <mergeCell ref="H37:I37"/>
    <mergeCell ref="I7:J7"/>
    <mergeCell ref="K7:L7"/>
    <mergeCell ref="A23:D23"/>
    <mergeCell ref="A24:D24"/>
    <mergeCell ref="H26:M26"/>
    <mergeCell ref="H27:M27"/>
    <mergeCell ref="A1:M1"/>
    <mergeCell ref="A2:M2"/>
    <mergeCell ref="A5:H5"/>
    <mergeCell ref="I5:L5"/>
    <mergeCell ref="F6:G6"/>
    <mergeCell ref="I6:L6"/>
  </mergeCells>
  <pageMargins left="0.45" right="0.16" top="0.51" bottom="0.5" header="0.46" footer="0.2"/>
  <pageSetup orientation="landscape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O55"/>
  <sheetViews>
    <sheetView topLeftCell="A16" zoomScale="145" zoomScaleNormal="145" workbookViewId="0">
      <selection activeCell="D32" sqref="D32"/>
    </sheetView>
  </sheetViews>
  <sheetFormatPr defaultColWidth="9.109375" defaultRowHeight="14.25" customHeight="1"/>
  <cols>
    <col min="1" max="1" width="8.109375" style="232" customWidth="1"/>
    <col min="2" max="2" width="7" style="231" customWidth="1"/>
    <col min="3" max="3" width="19.33203125" style="231" customWidth="1"/>
    <col min="4" max="4" width="7.44140625" style="231" customWidth="1"/>
    <col min="5" max="5" width="17.88671875" style="231" customWidth="1"/>
    <col min="6" max="6" width="8.33203125" style="20" customWidth="1"/>
    <col min="7" max="7" width="11.109375" style="231" customWidth="1"/>
    <col min="8" max="8" width="11.88671875" style="25" customWidth="1"/>
    <col min="9" max="9" width="9" style="231" customWidth="1"/>
    <col min="10" max="10" width="5.44140625" style="231" customWidth="1"/>
    <col min="11" max="11" width="8.44140625" style="231" customWidth="1"/>
    <col min="12" max="12" width="4.33203125" style="231" customWidth="1"/>
    <col min="13" max="13" width="13.33203125" style="231" customWidth="1"/>
    <col min="14" max="14" width="15.109375" style="231" customWidth="1"/>
    <col min="15" max="16384" width="9.109375" style="231"/>
  </cols>
  <sheetData>
    <row r="1" spans="1:15" s="178" customFormat="1" ht="23.25" customHeight="1">
      <c r="A1" s="385" t="s">
        <v>749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177"/>
    </row>
    <row r="2" spans="1:15" s="179" customFormat="1" ht="22.5" customHeight="1">
      <c r="A2" s="386" t="s">
        <v>854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177"/>
    </row>
    <row r="3" spans="1:15" s="189" customFormat="1" ht="22.5" customHeight="1">
      <c r="A3" s="180" t="s">
        <v>751</v>
      </c>
      <c r="B3" s="181"/>
      <c r="C3" s="182"/>
      <c r="D3" s="181"/>
      <c r="E3" s="182"/>
      <c r="F3" s="183"/>
      <c r="G3" s="183"/>
      <c r="H3" s="183"/>
      <c r="I3" s="184"/>
      <c r="J3" s="185"/>
      <c r="K3" s="180" t="s">
        <v>752</v>
      </c>
      <c r="L3" s="186"/>
      <c r="M3" s="187"/>
      <c r="N3" s="188"/>
      <c r="O3" s="188"/>
    </row>
    <row r="4" spans="1:15" s="198" customFormat="1" ht="18" customHeight="1" thickBot="1">
      <c r="A4" s="190" t="s">
        <v>753</v>
      </c>
      <c r="B4" s="191"/>
      <c r="C4" s="192"/>
      <c r="D4" s="193"/>
      <c r="E4" s="193"/>
      <c r="F4" s="194"/>
      <c r="G4" s="194"/>
      <c r="H4" s="194"/>
      <c r="I4" s="195"/>
      <c r="J4" s="187"/>
      <c r="K4" s="191" t="s">
        <v>754</v>
      </c>
      <c r="L4" s="196">
        <v>4099</v>
      </c>
      <c r="M4" s="187"/>
      <c r="N4" s="197"/>
      <c r="O4" s="188"/>
    </row>
    <row r="5" spans="1:15" s="198" customFormat="1" ht="16.5" customHeight="1">
      <c r="A5" s="387" t="s">
        <v>755</v>
      </c>
      <c r="B5" s="388"/>
      <c r="C5" s="388"/>
      <c r="D5" s="388"/>
      <c r="E5" s="388"/>
      <c r="F5" s="388"/>
      <c r="G5" s="388"/>
      <c r="H5" s="388"/>
      <c r="I5" s="389" t="s">
        <v>756</v>
      </c>
      <c r="J5" s="389"/>
      <c r="K5" s="389"/>
      <c r="L5" s="389"/>
      <c r="M5" s="199"/>
    </row>
    <row r="6" spans="1:15" s="198" customFormat="1" ht="14.25" customHeight="1">
      <c r="A6" s="200" t="s">
        <v>757</v>
      </c>
      <c r="B6" s="201" t="s">
        <v>755</v>
      </c>
      <c r="C6" s="201" t="s">
        <v>758</v>
      </c>
      <c r="D6" s="201" t="s">
        <v>759</v>
      </c>
      <c r="E6" s="201" t="s">
        <v>760</v>
      </c>
      <c r="F6" s="390" t="s">
        <v>761</v>
      </c>
      <c r="G6" s="390"/>
      <c r="H6" s="3"/>
      <c r="I6" s="391" t="s">
        <v>762</v>
      </c>
      <c r="J6" s="392"/>
      <c r="K6" s="392"/>
      <c r="L6" s="392"/>
      <c r="M6" s="202" t="s">
        <v>763</v>
      </c>
    </row>
    <row r="7" spans="1:15" s="198" customFormat="1" ht="14.25" customHeight="1">
      <c r="A7" s="203"/>
      <c r="B7" s="204"/>
      <c r="C7" s="204"/>
      <c r="D7" s="205" t="s">
        <v>764</v>
      </c>
      <c r="E7" s="206"/>
      <c r="F7" s="35"/>
      <c r="G7" s="207" t="s">
        <v>756</v>
      </c>
      <c r="H7" s="207" t="s">
        <v>765</v>
      </c>
      <c r="I7" s="396" t="s">
        <v>766</v>
      </c>
      <c r="J7" s="396"/>
      <c r="K7" s="396" t="s">
        <v>767</v>
      </c>
      <c r="L7" s="396"/>
      <c r="M7" s="202" t="s">
        <v>768</v>
      </c>
    </row>
    <row r="8" spans="1:15" s="198" customFormat="1" ht="14.25" customHeight="1">
      <c r="A8" s="208"/>
      <c r="B8" s="209"/>
      <c r="C8" s="209"/>
      <c r="D8" s="210"/>
      <c r="E8" s="211"/>
      <c r="F8" s="36"/>
      <c r="G8" s="212" t="s">
        <v>769</v>
      </c>
      <c r="H8" s="213" t="s">
        <v>770</v>
      </c>
      <c r="I8" s="214" t="s">
        <v>771</v>
      </c>
      <c r="J8" s="214" t="s">
        <v>772</v>
      </c>
      <c r="K8" s="214" t="s">
        <v>771</v>
      </c>
      <c r="L8" s="214" t="s">
        <v>772</v>
      </c>
      <c r="M8" s="215"/>
    </row>
    <row r="9" spans="1:15" s="190" customFormat="1" ht="14.25" customHeight="1">
      <c r="A9" s="216">
        <v>42188</v>
      </c>
      <c r="B9" s="217" t="s">
        <v>855</v>
      </c>
      <c r="C9" s="218" t="s">
        <v>778</v>
      </c>
      <c r="D9" s="219"/>
      <c r="E9" s="220" t="s">
        <v>786</v>
      </c>
      <c r="F9" s="5" t="s">
        <v>856</v>
      </c>
      <c r="G9" s="221"/>
      <c r="H9" s="5">
        <v>469164366</v>
      </c>
      <c r="I9" s="214"/>
      <c r="J9" s="214"/>
      <c r="K9" s="221"/>
      <c r="L9" s="214"/>
      <c r="M9" s="6">
        <f>G9+H9</f>
        <v>469164366</v>
      </c>
    </row>
    <row r="10" spans="1:15" s="190" customFormat="1" ht="14.25" customHeight="1">
      <c r="A10" s="216">
        <v>42188</v>
      </c>
      <c r="B10" s="217" t="s">
        <v>855</v>
      </c>
      <c r="C10" s="218" t="s">
        <v>778</v>
      </c>
      <c r="D10" s="219"/>
      <c r="E10" s="220" t="s">
        <v>794</v>
      </c>
      <c r="F10" s="5" t="s">
        <v>857</v>
      </c>
      <c r="G10" s="221"/>
      <c r="H10" s="5">
        <v>224637197</v>
      </c>
      <c r="I10" s="214"/>
      <c r="J10" s="214"/>
      <c r="K10" s="221"/>
      <c r="L10" s="214"/>
      <c r="M10" s="6">
        <f t="shared" ref="M10:M29" si="0">G10+H10</f>
        <v>224637197</v>
      </c>
    </row>
    <row r="11" spans="1:15" s="190" customFormat="1" ht="14.25" customHeight="1">
      <c r="A11" s="216">
        <v>42188</v>
      </c>
      <c r="B11" s="217" t="s">
        <v>858</v>
      </c>
      <c r="C11" s="218" t="s">
        <v>859</v>
      </c>
      <c r="D11" s="219"/>
      <c r="E11" s="220" t="s">
        <v>811</v>
      </c>
      <c r="F11" s="5" t="s">
        <v>860</v>
      </c>
      <c r="G11" s="221"/>
      <c r="H11" s="5">
        <v>88553682</v>
      </c>
      <c r="I11" s="214"/>
      <c r="J11" s="214"/>
      <c r="K11" s="221"/>
      <c r="L11" s="214"/>
      <c r="M11" s="6">
        <f t="shared" si="0"/>
        <v>88553682</v>
      </c>
    </row>
    <row r="12" spans="1:15" s="190" customFormat="1" ht="14.25" customHeight="1">
      <c r="A12" s="216">
        <v>42189</v>
      </c>
      <c r="B12" s="217" t="s">
        <v>861</v>
      </c>
      <c r="C12" s="218" t="s">
        <v>862</v>
      </c>
      <c r="D12" s="219"/>
      <c r="E12" s="220" t="s">
        <v>863</v>
      </c>
      <c r="F12" s="5" t="s">
        <v>864</v>
      </c>
      <c r="G12" s="221"/>
      <c r="H12" s="5">
        <v>282184182</v>
      </c>
      <c r="I12" s="214"/>
      <c r="J12" s="214"/>
      <c r="K12" s="221"/>
      <c r="L12" s="214"/>
      <c r="M12" s="6">
        <f t="shared" si="0"/>
        <v>282184182</v>
      </c>
    </row>
    <row r="13" spans="1:15" s="190" customFormat="1" ht="14.25" customHeight="1">
      <c r="A13" s="216">
        <v>42194</v>
      </c>
      <c r="B13" s="217" t="s">
        <v>865</v>
      </c>
      <c r="C13" s="218" t="s">
        <v>866</v>
      </c>
      <c r="D13" s="219"/>
      <c r="E13" s="220" t="s">
        <v>867</v>
      </c>
      <c r="F13" s="5" t="s">
        <v>868</v>
      </c>
      <c r="G13" s="221"/>
      <c r="H13" s="5">
        <v>137692800</v>
      </c>
      <c r="I13" s="214"/>
      <c r="J13" s="214"/>
      <c r="K13" s="221"/>
      <c r="L13" s="214"/>
      <c r="M13" s="6">
        <f t="shared" si="0"/>
        <v>137692800</v>
      </c>
    </row>
    <row r="14" spans="1:15" s="190" customFormat="1" ht="14.25" customHeight="1">
      <c r="A14" s="216">
        <v>42194</v>
      </c>
      <c r="B14" s="217" t="s">
        <v>869</v>
      </c>
      <c r="C14" s="218" t="s">
        <v>862</v>
      </c>
      <c r="D14" s="219"/>
      <c r="E14" s="220" t="s">
        <v>811</v>
      </c>
      <c r="F14" s="5" t="s">
        <v>870</v>
      </c>
      <c r="G14" s="221"/>
      <c r="H14" s="5">
        <v>199310328</v>
      </c>
      <c r="I14" s="214"/>
      <c r="J14" s="214"/>
      <c r="K14" s="221"/>
      <c r="L14" s="214"/>
      <c r="M14" s="6">
        <f t="shared" si="0"/>
        <v>199310328</v>
      </c>
    </row>
    <row r="15" spans="1:15" s="190" customFormat="1" ht="14.25" customHeight="1">
      <c r="A15" s="216">
        <v>42195</v>
      </c>
      <c r="B15" s="217" t="s">
        <v>871</v>
      </c>
      <c r="C15" s="218" t="s">
        <v>778</v>
      </c>
      <c r="D15" s="219"/>
      <c r="E15" s="220" t="s">
        <v>872</v>
      </c>
      <c r="F15" s="5" t="s">
        <v>873</v>
      </c>
      <c r="G15" s="221"/>
      <c r="H15" s="5">
        <v>222232983</v>
      </c>
      <c r="I15" s="214"/>
      <c r="J15" s="214"/>
      <c r="K15" s="221"/>
      <c r="L15" s="214"/>
      <c r="M15" s="6">
        <f t="shared" si="0"/>
        <v>222232983</v>
      </c>
    </row>
    <row r="16" spans="1:15" s="190" customFormat="1" ht="14.25" customHeight="1">
      <c r="A16" s="216">
        <v>42195</v>
      </c>
      <c r="B16" s="217" t="s">
        <v>871</v>
      </c>
      <c r="C16" s="218" t="s">
        <v>778</v>
      </c>
      <c r="D16" s="219"/>
      <c r="E16" s="220" t="s">
        <v>794</v>
      </c>
      <c r="F16" s="5" t="s">
        <v>874</v>
      </c>
      <c r="G16" s="221"/>
      <c r="H16" s="5">
        <v>15787217</v>
      </c>
      <c r="I16" s="214"/>
      <c r="J16" s="214"/>
      <c r="K16" s="221"/>
      <c r="L16" s="214"/>
      <c r="M16" s="6">
        <f t="shared" si="0"/>
        <v>15787217</v>
      </c>
    </row>
    <row r="17" spans="1:13" s="190" customFormat="1" ht="14.25" customHeight="1">
      <c r="A17" s="216">
        <v>42195</v>
      </c>
      <c r="B17" s="217" t="s">
        <v>875</v>
      </c>
      <c r="C17" s="218" t="s">
        <v>866</v>
      </c>
      <c r="D17" s="219"/>
      <c r="E17" s="220" t="s">
        <v>876</v>
      </c>
      <c r="F17" s="5" t="s">
        <v>877</v>
      </c>
      <c r="G17" s="221"/>
      <c r="H17" s="5">
        <v>147298512</v>
      </c>
      <c r="I17" s="214"/>
      <c r="J17" s="214"/>
      <c r="K17" s="221"/>
      <c r="L17" s="214"/>
      <c r="M17" s="6">
        <f t="shared" si="0"/>
        <v>147298512</v>
      </c>
    </row>
    <row r="18" spans="1:13" s="190" customFormat="1" ht="14.25" customHeight="1">
      <c r="A18" s="216">
        <v>42196</v>
      </c>
      <c r="B18" s="217" t="s">
        <v>878</v>
      </c>
      <c r="C18" s="218" t="s">
        <v>778</v>
      </c>
      <c r="D18" s="219"/>
      <c r="E18" s="220" t="s">
        <v>793</v>
      </c>
      <c r="F18" s="5" t="s">
        <v>879</v>
      </c>
      <c r="G18" s="221"/>
      <c r="H18" s="5">
        <v>108300780</v>
      </c>
      <c r="I18" s="214"/>
      <c r="J18" s="214"/>
      <c r="K18" s="221"/>
      <c r="L18" s="214"/>
      <c r="M18" s="6">
        <f t="shared" si="0"/>
        <v>108300780</v>
      </c>
    </row>
    <row r="19" spans="1:13" s="190" customFormat="1" ht="14.25" customHeight="1">
      <c r="A19" s="216">
        <v>42196</v>
      </c>
      <c r="B19" s="217" t="s">
        <v>878</v>
      </c>
      <c r="C19" s="218" t="s">
        <v>778</v>
      </c>
      <c r="D19" s="219"/>
      <c r="E19" s="220" t="s">
        <v>794</v>
      </c>
      <c r="F19" s="5" t="s">
        <v>880</v>
      </c>
      <c r="G19" s="221"/>
      <c r="H19" s="5">
        <v>39649873</v>
      </c>
      <c r="I19" s="214"/>
      <c r="J19" s="214"/>
      <c r="K19" s="221"/>
      <c r="L19" s="214"/>
      <c r="M19" s="6">
        <f t="shared" si="0"/>
        <v>39649873</v>
      </c>
    </row>
    <row r="20" spans="1:13" s="190" customFormat="1" ht="14.25" customHeight="1">
      <c r="A20" s="216">
        <v>42196</v>
      </c>
      <c r="B20" s="217" t="s">
        <v>881</v>
      </c>
      <c r="C20" s="218" t="s">
        <v>859</v>
      </c>
      <c r="D20" s="219"/>
      <c r="E20" s="220" t="s">
        <v>811</v>
      </c>
      <c r="F20" s="5" t="s">
        <v>882</v>
      </c>
      <c r="G20" s="221"/>
      <c r="H20" s="5">
        <v>532736694</v>
      </c>
      <c r="I20" s="214"/>
      <c r="J20" s="214"/>
      <c r="K20" s="221"/>
      <c r="L20" s="214"/>
      <c r="M20" s="6">
        <f t="shared" si="0"/>
        <v>532736694</v>
      </c>
    </row>
    <row r="21" spans="1:13" s="190" customFormat="1" ht="14.25" customHeight="1">
      <c r="A21" s="216">
        <v>42200</v>
      </c>
      <c r="B21" s="217" t="s">
        <v>883</v>
      </c>
      <c r="C21" s="218" t="s">
        <v>866</v>
      </c>
      <c r="D21" s="219"/>
      <c r="E21" s="220" t="s">
        <v>884</v>
      </c>
      <c r="F21" s="5" t="s">
        <v>885</v>
      </c>
      <c r="G21" s="221"/>
      <c r="H21" s="5">
        <v>111616110</v>
      </c>
      <c r="I21" s="214"/>
      <c r="J21" s="214"/>
      <c r="K21" s="221"/>
      <c r="L21" s="214"/>
      <c r="M21" s="6">
        <f t="shared" si="0"/>
        <v>111616110</v>
      </c>
    </row>
    <row r="22" spans="1:13" s="190" customFormat="1" ht="14.25" customHeight="1">
      <c r="A22" s="216">
        <v>42202</v>
      </c>
      <c r="B22" s="217" t="s">
        <v>886</v>
      </c>
      <c r="C22" s="218" t="s">
        <v>778</v>
      </c>
      <c r="D22" s="219"/>
      <c r="E22" s="220" t="s">
        <v>887</v>
      </c>
      <c r="F22" s="5" t="s">
        <v>888</v>
      </c>
      <c r="G22" s="221"/>
      <c r="H22" s="5">
        <v>145841012</v>
      </c>
      <c r="I22" s="214"/>
      <c r="J22" s="214"/>
      <c r="K22" s="221"/>
      <c r="L22" s="214"/>
      <c r="M22" s="6">
        <f t="shared" si="0"/>
        <v>145841012</v>
      </c>
    </row>
    <row r="23" spans="1:13" s="190" customFormat="1" ht="14.25" customHeight="1">
      <c r="A23" s="216">
        <v>42203</v>
      </c>
      <c r="B23" s="217" t="s">
        <v>889</v>
      </c>
      <c r="C23" s="218" t="s">
        <v>890</v>
      </c>
      <c r="D23" s="219"/>
      <c r="E23" s="220" t="s">
        <v>891</v>
      </c>
      <c r="F23" s="5" t="s">
        <v>892</v>
      </c>
      <c r="G23" s="221"/>
      <c r="H23" s="5">
        <v>30111334</v>
      </c>
      <c r="I23" s="214"/>
      <c r="J23" s="214"/>
      <c r="K23" s="221"/>
      <c r="L23" s="214"/>
      <c r="M23" s="6">
        <f t="shared" si="0"/>
        <v>30111334</v>
      </c>
    </row>
    <row r="24" spans="1:13" s="190" customFormat="1" ht="14.25" customHeight="1">
      <c r="A24" s="216">
        <v>42203</v>
      </c>
      <c r="B24" s="217" t="s">
        <v>893</v>
      </c>
      <c r="C24" s="218" t="s">
        <v>894</v>
      </c>
      <c r="D24" s="219"/>
      <c r="E24" s="220" t="s">
        <v>895</v>
      </c>
      <c r="F24" s="5" t="s">
        <v>896</v>
      </c>
      <c r="G24" s="221"/>
      <c r="H24" s="5">
        <v>149495808</v>
      </c>
      <c r="I24" s="214"/>
      <c r="J24" s="214"/>
      <c r="K24" s="221"/>
      <c r="L24" s="214"/>
      <c r="M24" s="6">
        <f t="shared" si="0"/>
        <v>149495808</v>
      </c>
    </row>
    <row r="25" spans="1:13" s="190" customFormat="1" ht="14.25" customHeight="1">
      <c r="A25" s="216">
        <v>42203</v>
      </c>
      <c r="B25" s="217" t="s">
        <v>897</v>
      </c>
      <c r="C25" s="218" t="s">
        <v>778</v>
      </c>
      <c r="D25" s="219"/>
      <c r="E25" s="220" t="s">
        <v>793</v>
      </c>
      <c r="F25" s="5" t="s">
        <v>898</v>
      </c>
      <c r="G25" s="221"/>
      <c r="H25" s="5">
        <v>96535757</v>
      </c>
      <c r="I25" s="214"/>
      <c r="J25" s="214"/>
      <c r="K25" s="221"/>
      <c r="L25" s="214"/>
      <c r="M25" s="6">
        <f t="shared" si="0"/>
        <v>96535757</v>
      </c>
    </row>
    <row r="26" spans="1:13" s="190" customFormat="1" ht="14.25" customHeight="1">
      <c r="A26" s="216">
        <v>42203</v>
      </c>
      <c r="B26" s="217" t="s">
        <v>897</v>
      </c>
      <c r="C26" s="218" t="s">
        <v>778</v>
      </c>
      <c r="D26" s="219"/>
      <c r="E26" s="220" t="s">
        <v>887</v>
      </c>
      <c r="F26" s="5" t="s">
        <v>899</v>
      </c>
      <c r="G26" s="221"/>
      <c r="H26" s="5">
        <v>67763405</v>
      </c>
      <c r="I26" s="214"/>
      <c r="J26" s="214"/>
      <c r="K26" s="221"/>
      <c r="L26" s="214"/>
      <c r="M26" s="6">
        <f t="shared" si="0"/>
        <v>67763405</v>
      </c>
    </row>
    <row r="27" spans="1:13" s="190" customFormat="1" ht="14.25" customHeight="1">
      <c r="A27" s="216">
        <v>42203</v>
      </c>
      <c r="B27" s="217" t="s">
        <v>897</v>
      </c>
      <c r="C27" s="218" t="s">
        <v>778</v>
      </c>
      <c r="D27" s="219"/>
      <c r="E27" s="220" t="s">
        <v>814</v>
      </c>
      <c r="F27" s="5" t="s">
        <v>900</v>
      </c>
      <c r="G27" s="221"/>
      <c r="H27" s="5">
        <v>45686784</v>
      </c>
      <c r="I27" s="214"/>
      <c r="J27" s="214"/>
      <c r="K27" s="221"/>
      <c r="L27" s="214"/>
      <c r="M27" s="6">
        <f t="shared" si="0"/>
        <v>45686784</v>
      </c>
    </row>
    <row r="28" spans="1:13" s="190" customFormat="1" ht="14.25" customHeight="1">
      <c r="A28" s="216">
        <v>42203</v>
      </c>
      <c r="B28" s="217" t="s">
        <v>901</v>
      </c>
      <c r="C28" s="218" t="s">
        <v>890</v>
      </c>
      <c r="D28" s="219"/>
      <c r="E28" s="220" t="s">
        <v>902</v>
      </c>
      <c r="F28" s="5" t="s">
        <v>903</v>
      </c>
      <c r="G28" s="221"/>
      <c r="H28" s="5">
        <v>150505472</v>
      </c>
      <c r="I28" s="214"/>
      <c r="J28" s="214"/>
      <c r="K28" s="221"/>
      <c r="L28" s="214"/>
      <c r="M28" s="6">
        <f t="shared" si="0"/>
        <v>150505472</v>
      </c>
    </row>
    <row r="29" spans="1:13" s="190" customFormat="1" ht="13.5" customHeight="1">
      <c r="A29" s="216">
        <v>42203</v>
      </c>
      <c r="B29" s="217" t="s">
        <v>901</v>
      </c>
      <c r="C29" s="218" t="s">
        <v>890</v>
      </c>
      <c r="D29" s="219"/>
      <c r="E29" s="220" t="s">
        <v>904</v>
      </c>
      <c r="F29" s="5" t="s">
        <v>905</v>
      </c>
      <c r="G29" s="221"/>
      <c r="H29" s="5">
        <v>114575606</v>
      </c>
      <c r="I29" s="214"/>
      <c r="J29" s="214"/>
      <c r="K29" s="221"/>
      <c r="L29" s="214"/>
      <c r="M29" s="6">
        <f t="shared" si="0"/>
        <v>114575606</v>
      </c>
    </row>
    <row r="30" spans="1:13" s="224" customFormat="1" ht="14.25" customHeight="1">
      <c r="A30" s="380">
        <f>L4</f>
        <v>4099</v>
      </c>
      <c r="B30" s="380"/>
      <c r="C30" s="380"/>
      <c r="D30" s="380"/>
      <c r="E30" s="222" t="s">
        <v>847</v>
      </c>
      <c r="F30" s="37">
        <f>SUM(F9:F29)</f>
        <v>0</v>
      </c>
      <c r="G30" s="223"/>
      <c r="H30" s="8">
        <f>SUM(H9:H29)</f>
        <v>3379679902</v>
      </c>
      <c r="I30" s="9"/>
      <c r="J30" s="9"/>
      <c r="K30" s="9"/>
      <c r="L30" s="9"/>
      <c r="M30" s="10">
        <f>SUM(M9:M29)</f>
        <v>3379679902</v>
      </c>
    </row>
    <row r="31" spans="1:13" s="224" customFormat="1" ht="14.25" customHeight="1" thickBot="1">
      <c r="A31" s="381" t="s">
        <v>848</v>
      </c>
      <c r="B31" s="382"/>
      <c r="C31" s="382"/>
      <c r="D31" s="382"/>
      <c r="E31" s="225" t="s">
        <v>0</v>
      </c>
      <c r="F31" s="38"/>
      <c r="G31" s="13">
        <f>G30/L4</f>
        <v>0</v>
      </c>
      <c r="H31" s="14">
        <f>H30/L4</f>
        <v>824513.27201756521</v>
      </c>
      <c r="I31" s="15">
        <f t="shared" ref="I31:K31" si="1">I30*4034</f>
        <v>0</v>
      </c>
      <c r="J31" s="15">
        <f t="shared" si="1"/>
        <v>0</v>
      </c>
      <c r="K31" s="15">
        <f t="shared" si="1"/>
        <v>0</v>
      </c>
      <c r="L31" s="15">
        <f>L30*4034</f>
        <v>0</v>
      </c>
      <c r="M31" s="16">
        <f>M30/L4</f>
        <v>824513.27201756521</v>
      </c>
    </row>
    <row r="32" spans="1:13" s="228" customFormat="1" ht="15.75" customHeight="1">
      <c r="A32" s="226"/>
      <c r="B32" s="227"/>
      <c r="C32" s="227"/>
      <c r="D32" s="227"/>
      <c r="E32" s="227"/>
      <c r="F32" s="17"/>
      <c r="G32" s="227" t="s">
        <v>849</v>
      </c>
      <c r="H32" s="18" t="s">
        <v>906</v>
      </c>
      <c r="I32" s="227" t="s">
        <v>851</v>
      </c>
      <c r="J32" s="227" t="s">
        <v>852</v>
      </c>
      <c r="K32" s="227" t="s">
        <v>851</v>
      </c>
      <c r="L32" s="227" t="s">
        <v>852</v>
      </c>
      <c r="M32" s="227"/>
    </row>
    <row r="33" spans="1:14" ht="14.25" customHeight="1">
      <c r="A33" s="229"/>
      <c r="B33" s="230"/>
      <c r="C33" s="230"/>
      <c r="D33" s="230"/>
      <c r="E33" s="230"/>
      <c r="F33" s="19"/>
      <c r="G33" s="230"/>
      <c r="H33" s="383" t="s">
        <v>853</v>
      </c>
      <c r="I33" s="383"/>
      <c r="J33" s="383"/>
      <c r="K33" s="383"/>
      <c r="L33" s="383"/>
      <c r="M33" s="383"/>
    </row>
    <row r="34" spans="1:14" ht="19.5" customHeight="1">
      <c r="H34" s="384"/>
      <c r="I34" s="384"/>
      <c r="J34" s="384"/>
      <c r="K34" s="384"/>
      <c r="L34" s="384"/>
      <c r="M34" s="384"/>
      <c r="N34" s="21"/>
    </row>
    <row r="35" spans="1:14" ht="18" hidden="1" customHeight="1">
      <c r="H35" s="233">
        <f>H31*1%</f>
        <v>8245.1327201756521</v>
      </c>
      <c r="I35" s="234"/>
      <c r="J35" s="39"/>
      <c r="K35" s="235"/>
      <c r="L35" s="235"/>
    </row>
    <row r="36" spans="1:14" ht="14.25" customHeight="1">
      <c r="H36" s="236"/>
      <c r="I36" s="393"/>
      <c r="J36" s="393"/>
      <c r="K36" s="393"/>
      <c r="L36" s="236"/>
    </row>
    <row r="37" spans="1:14" ht="14.25" customHeight="1">
      <c r="C37" s="23"/>
      <c r="D37" s="237"/>
      <c r="E37" s="237"/>
      <c r="F37" s="24"/>
    </row>
    <row r="38" spans="1:14" ht="14.25" customHeight="1">
      <c r="F38" s="26"/>
      <c r="G38" s="397"/>
      <c r="H38" s="397"/>
      <c r="I38" s="243"/>
    </row>
    <row r="39" spans="1:14" ht="14.25" customHeight="1">
      <c r="C39" s="239"/>
      <c r="D39" s="240"/>
      <c r="E39" s="241"/>
      <c r="F39" s="240"/>
      <c r="G39" s="234"/>
      <c r="H39" s="27"/>
      <c r="I39" s="28"/>
      <c r="J39" s="29"/>
      <c r="K39" s="29"/>
    </row>
    <row r="40" spans="1:14" ht="14.25" customHeight="1">
      <c r="F40" s="26"/>
      <c r="H40" s="30"/>
      <c r="I40" s="31"/>
      <c r="J40" s="31"/>
      <c r="K40" s="224"/>
    </row>
    <row r="41" spans="1:14" ht="14.25" customHeight="1">
      <c r="H41" s="27"/>
      <c r="I41" s="32"/>
      <c r="J41" s="224"/>
      <c r="K41" s="224"/>
    </row>
    <row r="42" spans="1:14" ht="14.25" customHeight="1">
      <c r="H42" s="33"/>
      <c r="I42" s="34"/>
      <c r="J42" s="224"/>
      <c r="K42" s="224"/>
    </row>
    <row r="43" spans="1:14" ht="14.25" customHeight="1">
      <c r="H43" s="394"/>
      <c r="I43" s="394"/>
      <c r="J43" s="224"/>
      <c r="K43" s="224"/>
      <c r="M43" s="242"/>
    </row>
    <row r="44" spans="1:14" ht="14.25" hidden="1" customHeight="1">
      <c r="H44" s="395">
        <f>H31*1%</f>
        <v>8245.1327201756521</v>
      </c>
      <c r="I44" s="395"/>
    </row>
    <row r="45" spans="1:14" ht="14.25" customHeight="1">
      <c r="H45" s="29"/>
      <c r="I45" s="224"/>
    </row>
    <row r="46" spans="1:14" ht="14.25" customHeight="1">
      <c r="H46" s="29"/>
    </row>
    <row r="47" spans="1:14" ht="14.25" customHeight="1">
      <c r="H47" s="29"/>
    </row>
    <row r="48" spans="1:14" ht="14.25" customHeight="1">
      <c r="H48" s="29"/>
    </row>
    <row r="49" spans="8:8" ht="14.25" customHeight="1">
      <c r="H49" s="34"/>
    </row>
    <row r="50" spans="8:8" ht="14.25" customHeight="1">
      <c r="H50" s="29"/>
    </row>
    <row r="51" spans="8:8" ht="14.25" customHeight="1">
      <c r="H51" s="29"/>
    </row>
    <row r="52" spans="8:8" ht="14.25" customHeight="1">
      <c r="H52" s="29"/>
    </row>
    <row r="53" spans="8:8" ht="14.25" customHeight="1">
      <c r="H53" s="29"/>
    </row>
    <row r="54" spans="8:8" ht="14.25" customHeight="1">
      <c r="H54" s="29"/>
    </row>
    <row r="55" spans="8:8" ht="14.25" customHeight="1">
      <c r="H55" s="29"/>
    </row>
  </sheetData>
  <mergeCells count="16">
    <mergeCell ref="I36:K36"/>
    <mergeCell ref="G38:H38"/>
    <mergeCell ref="H43:I43"/>
    <mergeCell ref="H44:I44"/>
    <mergeCell ref="I7:J7"/>
    <mergeCell ref="K7:L7"/>
    <mergeCell ref="A30:D30"/>
    <mergeCell ref="A31:D31"/>
    <mergeCell ref="H33:M33"/>
    <mergeCell ref="H34:M34"/>
    <mergeCell ref="A1:M1"/>
    <mergeCell ref="A2:M2"/>
    <mergeCell ref="A5:H5"/>
    <mergeCell ref="I5:L5"/>
    <mergeCell ref="F6:G6"/>
    <mergeCell ref="I6:L6"/>
  </mergeCells>
  <pageMargins left="0.45" right="0.16" top="0.51" bottom="0.5" header="0.46" footer="0.2"/>
  <pageSetup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P72"/>
  <sheetViews>
    <sheetView topLeftCell="F35" zoomScale="190" zoomScaleNormal="190" workbookViewId="0">
      <selection activeCell="I9" sqref="I9:I46"/>
    </sheetView>
  </sheetViews>
  <sheetFormatPr defaultColWidth="9.109375" defaultRowHeight="14.25" customHeight="1"/>
  <cols>
    <col min="1" max="1" width="8.109375" style="232" customWidth="1"/>
    <col min="2" max="2" width="7" style="231" customWidth="1"/>
    <col min="3" max="3" width="19.33203125" style="231" customWidth="1"/>
    <col min="4" max="4" width="7.44140625" style="231" customWidth="1"/>
    <col min="5" max="5" width="17.88671875" style="231" customWidth="1"/>
    <col min="6" max="6" width="4.6640625" style="20" customWidth="1"/>
    <col min="7" max="7" width="3" style="20" customWidth="1"/>
    <col min="8" max="8" width="11.109375" style="231" customWidth="1"/>
    <col min="9" max="9" width="11.88671875" style="25" customWidth="1"/>
    <col min="10" max="10" width="9" style="231" customWidth="1"/>
    <col min="11" max="11" width="5.44140625" style="231" customWidth="1"/>
    <col min="12" max="12" width="8.44140625" style="231" customWidth="1"/>
    <col min="13" max="13" width="4.33203125" style="231" customWidth="1"/>
    <col min="14" max="14" width="13.33203125" style="231" customWidth="1"/>
    <col min="15" max="15" width="15.109375" style="231" customWidth="1"/>
    <col min="16" max="16384" width="9.109375" style="231"/>
  </cols>
  <sheetData>
    <row r="1" spans="1:16" s="178" customFormat="1" ht="23.25" customHeight="1">
      <c r="A1" s="385" t="s">
        <v>749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177"/>
    </row>
    <row r="2" spans="1:16" s="179" customFormat="1" ht="22.5" customHeight="1">
      <c r="A2" s="386" t="s">
        <v>750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177"/>
    </row>
    <row r="3" spans="1:16" s="189" customFormat="1" ht="22.5" customHeight="1">
      <c r="A3" s="180" t="s">
        <v>751</v>
      </c>
      <c r="B3" s="181"/>
      <c r="C3" s="182"/>
      <c r="D3" s="181"/>
      <c r="E3" s="182"/>
      <c r="F3" s="183"/>
      <c r="G3" s="183"/>
      <c r="H3" s="183"/>
      <c r="I3" s="183"/>
      <c r="J3" s="184"/>
      <c r="K3" s="185"/>
      <c r="L3" s="180" t="s">
        <v>752</v>
      </c>
      <c r="M3" s="186"/>
      <c r="N3" s="187"/>
      <c r="O3" s="188"/>
      <c r="P3" s="188"/>
    </row>
    <row r="4" spans="1:16" s="198" customFormat="1" ht="18" customHeight="1" thickBot="1">
      <c r="A4" s="190" t="s">
        <v>753</v>
      </c>
      <c r="B4" s="191"/>
      <c r="C4" s="192"/>
      <c r="D4" s="193"/>
      <c r="E4" s="193"/>
      <c r="F4" s="194"/>
      <c r="G4" s="194"/>
      <c r="H4" s="194"/>
      <c r="I4" s="194"/>
      <c r="J4" s="195"/>
      <c r="K4" s="187"/>
      <c r="L4" s="191" t="s">
        <v>754</v>
      </c>
      <c r="M4" s="196">
        <v>4095</v>
      </c>
      <c r="N4" s="187"/>
      <c r="O4" s="197"/>
      <c r="P4" s="188"/>
    </row>
    <row r="5" spans="1:16" s="198" customFormat="1" ht="16.5" customHeight="1">
      <c r="A5" s="387" t="s">
        <v>755</v>
      </c>
      <c r="B5" s="388"/>
      <c r="C5" s="388"/>
      <c r="D5" s="388"/>
      <c r="E5" s="388"/>
      <c r="F5" s="388"/>
      <c r="G5" s="388"/>
      <c r="H5" s="388"/>
      <c r="I5" s="388"/>
      <c r="J5" s="389" t="s">
        <v>756</v>
      </c>
      <c r="K5" s="389"/>
      <c r="L5" s="389"/>
      <c r="M5" s="389"/>
      <c r="N5" s="199"/>
    </row>
    <row r="6" spans="1:16" s="198" customFormat="1" ht="14.25" customHeight="1">
      <c r="A6" s="200" t="s">
        <v>757</v>
      </c>
      <c r="B6" s="201" t="s">
        <v>755</v>
      </c>
      <c r="C6" s="201" t="s">
        <v>758</v>
      </c>
      <c r="D6" s="201" t="s">
        <v>759</v>
      </c>
      <c r="E6" s="201" t="s">
        <v>760</v>
      </c>
      <c r="F6" s="390" t="s">
        <v>761</v>
      </c>
      <c r="G6" s="390"/>
      <c r="H6" s="390"/>
      <c r="I6" s="3"/>
      <c r="J6" s="391" t="s">
        <v>762</v>
      </c>
      <c r="K6" s="392"/>
      <c r="L6" s="392"/>
      <c r="M6" s="392"/>
      <c r="N6" s="202" t="s">
        <v>763</v>
      </c>
    </row>
    <row r="7" spans="1:16" s="198" customFormat="1" ht="14.25" customHeight="1">
      <c r="A7" s="203"/>
      <c r="B7" s="204"/>
      <c r="C7" s="204"/>
      <c r="D7" s="205" t="s">
        <v>764</v>
      </c>
      <c r="E7" s="206"/>
      <c r="F7" s="398" t="s">
        <v>756</v>
      </c>
      <c r="G7" s="399"/>
      <c r="H7" s="400"/>
      <c r="I7" s="207" t="s">
        <v>765</v>
      </c>
      <c r="J7" s="396" t="s">
        <v>766</v>
      </c>
      <c r="K7" s="396"/>
      <c r="L7" s="396" t="s">
        <v>767</v>
      </c>
      <c r="M7" s="396"/>
      <c r="N7" s="202" t="s">
        <v>768</v>
      </c>
    </row>
    <row r="8" spans="1:16" s="198" customFormat="1" ht="14.25" customHeight="1">
      <c r="A8" s="208"/>
      <c r="B8" s="209"/>
      <c r="C8" s="209"/>
      <c r="D8" s="210"/>
      <c r="E8" s="211"/>
      <c r="F8" s="398" t="s">
        <v>769</v>
      </c>
      <c r="G8" s="399"/>
      <c r="H8" s="400"/>
      <c r="I8" s="213" t="s">
        <v>770</v>
      </c>
      <c r="J8" s="214" t="s">
        <v>771</v>
      </c>
      <c r="K8" s="214" t="s">
        <v>772</v>
      </c>
      <c r="L8" s="214" t="s">
        <v>771</v>
      </c>
      <c r="M8" s="214" t="s">
        <v>772</v>
      </c>
      <c r="N8" s="215"/>
    </row>
    <row r="9" spans="1:16" s="190" customFormat="1" ht="14.25" customHeight="1">
      <c r="A9" s="216">
        <v>42202</v>
      </c>
      <c r="B9" s="217" t="s">
        <v>773</v>
      </c>
      <c r="C9" s="218" t="s">
        <v>774</v>
      </c>
      <c r="D9" s="219"/>
      <c r="E9" s="220" t="s">
        <v>775</v>
      </c>
      <c r="F9" s="4">
        <v>65</v>
      </c>
      <c r="G9" s="244" t="s">
        <v>776</v>
      </c>
      <c r="H9" s="221"/>
      <c r="I9" s="5">
        <v>16764930</v>
      </c>
      <c r="J9" s="214"/>
      <c r="K9" s="214"/>
      <c r="L9" s="221"/>
      <c r="M9" s="214"/>
      <c r="N9" s="6">
        <f>H9+I9</f>
        <v>16764930</v>
      </c>
    </row>
    <row r="10" spans="1:16" s="190" customFormat="1" ht="14.25" customHeight="1">
      <c r="A10" s="216">
        <v>42203</v>
      </c>
      <c r="B10" s="217" t="s">
        <v>777</v>
      </c>
      <c r="C10" s="218" t="s">
        <v>778</v>
      </c>
      <c r="D10" s="219"/>
      <c r="E10" s="220" t="s">
        <v>779</v>
      </c>
      <c r="F10" s="4">
        <v>64</v>
      </c>
      <c r="G10" s="244" t="s">
        <v>776</v>
      </c>
      <c r="H10" s="221"/>
      <c r="I10" s="5">
        <v>26424115</v>
      </c>
      <c r="J10" s="214"/>
      <c r="K10" s="214"/>
      <c r="L10" s="221"/>
      <c r="M10" s="214"/>
      <c r="N10" s="6">
        <f>H10+I10</f>
        <v>26424115</v>
      </c>
    </row>
    <row r="11" spans="1:16" s="190" customFormat="1" ht="14.25" customHeight="1">
      <c r="A11" s="216">
        <v>42208</v>
      </c>
      <c r="B11" s="217" t="s">
        <v>780</v>
      </c>
      <c r="C11" s="218" t="s">
        <v>781</v>
      </c>
      <c r="D11" s="219"/>
      <c r="E11" s="220" t="s">
        <v>782</v>
      </c>
      <c r="F11" s="4">
        <v>36</v>
      </c>
      <c r="G11" s="244" t="s">
        <v>776</v>
      </c>
      <c r="H11" s="221"/>
      <c r="I11" s="5">
        <v>29192000</v>
      </c>
      <c r="J11" s="214"/>
      <c r="K11" s="214"/>
      <c r="L11" s="221"/>
      <c r="M11" s="214"/>
      <c r="N11" s="6">
        <f>H11+I11</f>
        <v>29192000</v>
      </c>
    </row>
    <row r="12" spans="1:16" s="190" customFormat="1" ht="14.25" customHeight="1">
      <c r="A12" s="216">
        <v>42209</v>
      </c>
      <c r="B12" s="217" t="s">
        <v>783</v>
      </c>
      <c r="C12" s="218" t="s">
        <v>774</v>
      </c>
      <c r="D12" s="219"/>
      <c r="E12" s="220" t="s">
        <v>784</v>
      </c>
      <c r="F12" s="4">
        <v>305</v>
      </c>
      <c r="G12" s="244" t="s">
        <v>776</v>
      </c>
      <c r="H12" s="221"/>
      <c r="I12" s="5">
        <v>70028000</v>
      </c>
      <c r="J12" s="214"/>
      <c r="K12" s="214"/>
      <c r="L12" s="221"/>
      <c r="M12" s="214"/>
      <c r="N12" s="6">
        <f t="shared" ref="N12:N46" si="0">H12+I12</f>
        <v>70028000</v>
      </c>
    </row>
    <row r="13" spans="1:16" s="190" customFormat="1" ht="14.25" customHeight="1">
      <c r="A13" s="216">
        <v>42209</v>
      </c>
      <c r="B13" s="217" t="s">
        <v>785</v>
      </c>
      <c r="C13" s="218" t="s">
        <v>778</v>
      </c>
      <c r="D13" s="219"/>
      <c r="E13" s="220" t="s">
        <v>786</v>
      </c>
      <c r="F13" s="4">
        <v>904</v>
      </c>
      <c r="G13" s="244" t="s">
        <v>776</v>
      </c>
      <c r="H13" s="221"/>
      <c r="I13" s="5">
        <v>242980473</v>
      </c>
      <c r="J13" s="214"/>
      <c r="K13" s="214"/>
      <c r="L13" s="221"/>
      <c r="M13" s="214"/>
      <c r="N13" s="6">
        <f t="shared" si="0"/>
        <v>242980473</v>
      </c>
    </row>
    <row r="14" spans="1:16" s="190" customFormat="1" ht="14.25" customHeight="1">
      <c r="A14" s="216">
        <v>42210</v>
      </c>
      <c r="B14" s="217" t="s">
        <v>787</v>
      </c>
      <c r="C14" s="218" t="s">
        <v>788</v>
      </c>
      <c r="D14" s="219"/>
      <c r="E14" s="220" t="s">
        <v>775</v>
      </c>
      <c r="F14" s="4">
        <v>700</v>
      </c>
      <c r="G14" s="244" t="s">
        <v>776</v>
      </c>
      <c r="H14" s="221"/>
      <c r="I14" s="5">
        <v>180986400</v>
      </c>
      <c r="J14" s="214"/>
      <c r="K14" s="214"/>
      <c r="L14" s="221"/>
      <c r="M14" s="214"/>
      <c r="N14" s="6">
        <f t="shared" si="0"/>
        <v>180986400</v>
      </c>
    </row>
    <row r="15" spans="1:16" s="190" customFormat="1" ht="14.25" customHeight="1">
      <c r="A15" s="216">
        <v>42210</v>
      </c>
      <c r="B15" s="217" t="s">
        <v>789</v>
      </c>
      <c r="C15" s="218" t="s">
        <v>790</v>
      </c>
      <c r="D15" s="219"/>
      <c r="E15" s="220" t="s">
        <v>791</v>
      </c>
      <c r="F15" s="4">
        <v>800</v>
      </c>
      <c r="G15" s="244" t="s">
        <v>776</v>
      </c>
      <c r="H15" s="221"/>
      <c r="I15" s="5">
        <v>174420000</v>
      </c>
      <c r="J15" s="214"/>
      <c r="K15" s="214"/>
      <c r="L15" s="221"/>
      <c r="M15" s="214"/>
      <c r="N15" s="6">
        <f t="shared" si="0"/>
        <v>174420000</v>
      </c>
    </row>
    <row r="16" spans="1:16" s="190" customFormat="1" ht="14.25" customHeight="1">
      <c r="A16" s="216">
        <v>42210</v>
      </c>
      <c r="B16" s="217" t="s">
        <v>792</v>
      </c>
      <c r="C16" s="218" t="s">
        <v>778</v>
      </c>
      <c r="D16" s="219"/>
      <c r="E16" s="220" t="s">
        <v>793</v>
      </c>
      <c r="F16" s="4">
        <v>680</v>
      </c>
      <c r="G16" s="244" t="s">
        <v>776</v>
      </c>
      <c r="H16" s="221"/>
      <c r="I16" s="5">
        <v>178829338</v>
      </c>
      <c r="J16" s="214"/>
      <c r="K16" s="214"/>
      <c r="L16" s="221"/>
      <c r="M16" s="214"/>
      <c r="N16" s="6">
        <f t="shared" si="0"/>
        <v>178829338</v>
      </c>
    </row>
    <row r="17" spans="1:14" s="190" customFormat="1" ht="14.25" customHeight="1">
      <c r="A17" s="216">
        <v>42210</v>
      </c>
      <c r="B17" s="217" t="s">
        <v>792</v>
      </c>
      <c r="C17" s="218" t="s">
        <v>778</v>
      </c>
      <c r="D17" s="219"/>
      <c r="E17" s="220" t="s">
        <v>794</v>
      </c>
      <c r="F17" s="4">
        <v>93</v>
      </c>
      <c r="G17" s="244" t="s">
        <v>776</v>
      </c>
      <c r="H17" s="221"/>
      <c r="I17" s="5">
        <v>36022203</v>
      </c>
      <c r="J17" s="214"/>
      <c r="K17" s="214"/>
      <c r="L17" s="221"/>
      <c r="M17" s="214"/>
      <c r="N17" s="6">
        <f t="shared" si="0"/>
        <v>36022203</v>
      </c>
    </row>
    <row r="18" spans="1:14" s="190" customFormat="1" ht="14.25" customHeight="1">
      <c r="A18" s="216">
        <v>42215</v>
      </c>
      <c r="B18" s="217" t="s">
        <v>795</v>
      </c>
      <c r="C18" s="218" t="s">
        <v>796</v>
      </c>
      <c r="D18" s="219"/>
      <c r="E18" s="220" t="s">
        <v>797</v>
      </c>
      <c r="F18" s="4">
        <v>355</v>
      </c>
      <c r="G18" s="244" t="s">
        <v>776</v>
      </c>
      <c r="H18" s="221"/>
      <c r="I18" s="5">
        <v>89531330</v>
      </c>
      <c r="J18" s="214"/>
      <c r="K18" s="214"/>
      <c r="L18" s="221"/>
      <c r="M18" s="214"/>
      <c r="N18" s="6">
        <f t="shared" si="0"/>
        <v>89531330</v>
      </c>
    </row>
    <row r="19" spans="1:14" s="190" customFormat="1" ht="14.25" customHeight="1">
      <c r="A19" s="216">
        <v>42215</v>
      </c>
      <c r="B19" s="217" t="s">
        <v>795</v>
      </c>
      <c r="C19" s="218" t="s">
        <v>796</v>
      </c>
      <c r="D19" s="219"/>
      <c r="E19" s="220" t="s">
        <v>798</v>
      </c>
      <c r="F19" s="4">
        <v>267</v>
      </c>
      <c r="G19" s="244" t="s">
        <v>776</v>
      </c>
      <c r="H19" s="221"/>
      <c r="I19" s="5">
        <v>191743220</v>
      </c>
      <c r="J19" s="214"/>
      <c r="K19" s="214"/>
      <c r="L19" s="221"/>
      <c r="M19" s="214"/>
      <c r="N19" s="6">
        <f t="shared" si="0"/>
        <v>191743220</v>
      </c>
    </row>
    <row r="20" spans="1:14" s="190" customFormat="1" ht="14.25" customHeight="1">
      <c r="A20" s="216">
        <v>42216</v>
      </c>
      <c r="B20" s="217" t="s">
        <v>799</v>
      </c>
      <c r="C20" s="218" t="s">
        <v>774</v>
      </c>
      <c r="D20" s="219"/>
      <c r="E20" s="220" t="s">
        <v>800</v>
      </c>
      <c r="F20" s="4">
        <v>70</v>
      </c>
      <c r="G20" s="244" t="s">
        <v>776</v>
      </c>
      <c r="H20" s="221"/>
      <c r="I20" s="5">
        <v>18116280</v>
      </c>
      <c r="J20" s="214"/>
      <c r="K20" s="214"/>
      <c r="L20" s="221"/>
      <c r="M20" s="214"/>
      <c r="N20" s="6">
        <f t="shared" si="0"/>
        <v>18116280</v>
      </c>
    </row>
    <row r="21" spans="1:14" s="190" customFormat="1" ht="14.25" customHeight="1">
      <c r="A21" s="216">
        <v>42216</v>
      </c>
      <c r="B21" s="217" t="s">
        <v>801</v>
      </c>
      <c r="C21" s="218" t="s">
        <v>778</v>
      </c>
      <c r="D21" s="219"/>
      <c r="E21" s="220" t="s">
        <v>794</v>
      </c>
      <c r="F21" s="4">
        <v>256</v>
      </c>
      <c r="G21" s="244" t="s">
        <v>776</v>
      </c>
      <c r="H21" s="221"/>
      <c r="I21" s="5">
        <v>101220463</v>
      </c>
      <c r="J21" s="214"/>
      <c r="K21" s="214"/>
      <c r="L21" s="221"/>
      <c r="M21" s="214"/>
      <c r="N21" s="6">
        <f t="shared" si="0"/>
        <v>101220463</v>
      </c>
    </row>
    <row r="22" spans="1:14" s="190" customFormat="1" ht="14.25" customHeight="1">
      <c r="A22" s="216">
        <v>42216</v>
      </c>
      <c r="B22" s="217" t="s">
        <v>801</v>
      </c>
      <c r="C22" s="218" t="s">
        <v>778</v>
      </c>
      <c r="D22" s="219"/>
      <c r="E22" s="220" t="s">
        <v>786</v>
      </c>
      <c r="F22" s="4">
        <v>79</v>
      </c>
      <c r="G22" s="244" t="s">
        <v>776</v>
      </c>
      <c r="H22" s="221"/>
      <c r="I22" s="5">
        <v>18672092</v>
      </c>
      <c r="J22" s="214"/>
      <c r="K22" s="214"/>
      <c r="L22" s="221"/>
      <c r="M22" s="214"/>
      <c r="N22" s="6">
        <f t="shared" si="0"/>
        <v>18672092</v>
      </c>
    </row>
    <row r="23" spans="1:14" s="190" customFormat="1" ht="14.25" customHeight="1">
      <c r="A23" s="216">
        <v>42216</v>
      </c>
      <c r="B23" s="217" t="s">
        <v>802</v>
      </c>
      <c r="C23" s="218" t="s">
        <v>790</v>
      </c>
      <c r="D23" s="219"/>
      <c r="E23" s="220" t="s">
        <v>803</v>
      </c>
      <c r="F23" s="4">
        <v>500</v>
      </c>
      <c r="G23" s="244" t="s">
        <v>776</v>
      </c>
      <c r="H23" s="221"/>
      <c r="I23" s="5">
        <v>359244600</v>
      </c>
      <c r="J23" s="214"/>
      <c r="K23" s="214"/>
      <c r="L23" s="221"/>
      <c r="M23" s="214"/>
      <c r="N23" s="6">
        <f t="shared" si="0"/>
        <v>359244600</v>
      </c>
    </row>
    <row r="24" spans="1:14" s="190" customFormat="1" ht="14.25" customHeight="1">
      <c r="A24" s="216">
        <v>42217</v>
      </c>
      <c r="B24" s="217" t="s">
        <v>804</v>
      </c>
      <c r="C24" s="218" t="s">
        <v>790</v>
      </c>
      <c r="D24" s="219"/>
      <c r="E24" s="220" t="s">
        <v>805</v>
      </c>
      <c r="F24" s="4">
        <v>640</v>
      </c>
      <c r="G24" s="244" t="s">
        <v>776</v>
      </c>
      <c r="H24" s="221"/>
      <c r="I24" s="5">
        <v>141980760</v>
      </c>
      <c r="J24" s="214"/>
      <c r="K24" s="214"/>
      <c r="L24" s="221"/>
      <c r="M24" s="214"/>
      <c r="N24" s="6">
        <f t="shared" si="0"/>
        <v>141980760</v>
      </c>
    </row>
    <row r="25" spans="1:14" s="190" customFormat="1" ht="14.25" customHeight="1">
      <c r="A25" s="216">
        <v>42217</v>
      </c>
      <c r="B25" s="217" t="s">
        <v>806</v>
      </c>
      <c r="C25" s="218" t="s">
        <v>807</v>
      </c>
      <c r="D25" s="219"/>
      <c r="E25" s="220" t="s">
        <v>808</v>
      </c>
      <c r="F25" s="4">
        <v>635</v>
      </c>
      <c r="G25" s="244" t="s">
        <v>776</v>
      </c>
      <c r="H25" s="221"/>
      <c r="I25" s="5">
        <v>311688076</v>
      </c>
      <c r="J25" s="214"/>
      <c r="K25" s="214"/>
      <c r="L25" s="221"/>
      <c r="M25" s="214"/>
      <c r="N25" s="6">
        <f t="shared" si="0"/>
        <v>311688076</v>
      </c>
    </row>
    <row r="26" spans="1:14" s="190" customFormat="1" ht="14.25" customHeight="1">
      <c r="A26" s="216">
        <v>42217</v>
      </c>
      <c r="B26" s="217" t="s">
        <v>809</v>
      </c>
      <c r="C26" s="218" t="s">
        <v>810</v>
      </c>
      <c r="D26" s="219"/>
      <c r="E26" s="220" t="s">
        <v>811</v>
      </c>
      <c r="F26" s="4">
        <v>2285</v>
      </c>
      <c r="G26" s="244" t="s">
        <v>776</v>
      </c>
      <c r="H26" s="221"/>
      <c r="I26" s="5">
        <v>592086915</v>
      </c>
      <c r="J26" s="214"/>
      <c r="K26" s="214"/>
      <c r="L26" s="221"/>
      <c r="M26" s="214"/>
      <c r="N26" s="6">
        <f t="shared" si="0"/>
        <v>592086915</v>
      </c>
    </row>
    <row r="27" spans="1:14" s="190" customFormat="1" ht="14.25" customHeight="1">
      <c r="A27" s="216">
        <v>42217</v>
      </c>
      <c r="B27" s="217" t="s">
        <v>812</v>
      </c>
      <c r="C27" s="218" t="s">
        <v>796</v>
      </c>
      <c r="D27" s="219"/>
      <c r="E27" s="220" t="s">
        <v>811</v>
      </c>
      <c r="F27" s="4">
        <v>695</v>
      </c>
      <c r="G27" s="244" t="s">
        <v>776</v>
      </c>
      <c r="H27" s="221"/>
      <c r="I27" s="5">
        <v>180087705</v>
      </c>
      <c r="J27" s="214"/>
      <c r="K27" s="214"/>
      <c r="L27" s="221"/>
      <c r="M27" s="214"/>
      <c r="N27" s="6">
        <f t="shared" si="0"/>
        <v>180087705</v>
      </c>
    </row>
    <row r="28" spans="1:14" s="190" customFormat="1" ht="14.25" customHeight="1">
      <c r="A28" s="216">
        <v>42220</v>
      </c>
      <c r="B28" s="217" t="s">
        <v>813</v>
      </c>
      <c r="C28" s="218" t="s">
        <v>778</v>
      </c>
      <c r="D28" s="219"/>
      <c r="E28" s="220" t="s">
        <v>814</v>
      </c>
      <c r="F28" s="4">
        <v>292</v>
      </c>
      <c r="G28" s="244" t="s">
        <v>776</v>
      </c>
      <c r="H28" s="221"/>
      <c r="I28" s="5">
        <v>67012117</v>
      </c>
      <c r="J28" s="214"/>
      <c r="K28" s="214"/>
      <c r="L28" s="221"/>
      <c r="M28" s="214"/>
      <c r="N28" s="6">
        <f t="shared" si="0"/>
        <v>67012117</v>
      </c>
    </row>
    <row r="29" spans="1:14" s="190" customFormat="1" ht="14.25" customHeight="1">
      <c r="A29" s="216">
        <v>42222</v>
      </c>
      <c r="B29" s="217" t="s">
        <v>815</v>
      </c>
      <c r="C29" s="218" t="s">
        <v>816</v>
      </c>
      <c r="D29" s="219"/>
      <c r="E29" s="220" t="s">
        <v>817</v>
      </c>
      <c r="F29" s="4">
        <v>2875</v>
      </c>
      <c r="G29" s="244" t="s">
        <v>776</v>
      </c>
      <c r="H29" s="221"/>
      <c r="I29" s="5">
        <v>344438512</v>
      </c>
      <c r="J29" s="214"/>
      <c r="K29" s="214"/>
      <c r="L29" s="221"/>
      <c r="M29" s="214"/>
      <c r="N29" s="6">
        <f t="shared" si="0"/>
        <v>344438512</v>
      </c>
    </row>
    <row r="30" spans="1:14" s="190" customFormat="1" ht="14.25" customHeight="1">
      <c r="A30" s="216">
        <v>42223</v>
      </c>
      <c r="B30" s="217" t="s">
        <v>818</v>
      </c>
      <c r="C30" s="218" t="s">
        <v>796</v>
      </c>
      <c r="D30" s="219"/>
      <c r="E30" s="220" t="s">
        <v>819</v>
      </c>
      <c r="F30" s="4">
        <v>75</v>
      </c>
      <c r="G30" s="244" t="s">
        <v>776</v>
      </c>
      <c r="H30" s="221"/>
      <c r="I30" s="5">
        <v>18300065</v>
      </c>
      <c r="J30" s="214"/>
      <c r="K30" s="214"/>
      <c r="L30" s="221"/>
      <c r="M30" s="214"/>
      <c r="N30" s="6">
        <f t="shared" si="0"/>
        <v>18300065</v>
      </c>
    </row>
    <row r="31" spans="1:14" s="190" customFormat="1" ht="14.25" customHeight="1">
      <c r="A31" s="216">
        <v>42223</v>
      </c>
      <c r="B31" s="217" t="s">
        <v>818</v>
      </c>
      <c r="C31" s="218" t="s">
        <v>796</v>
      </c>
      <c r="D31" s="219"/>
      <c r="E31" s="220" t="s">
        <v>803</v>
      </c>
      <c r="F31" s="4">
        <v>100</v>
      </c>
      <c r="G31" s="244" t="s">
        <v>776</v>
      </c>
      <c r="H31" s="221"/>
      <c r="I31" s="5">
        <v>43228500</v>
      </c>
      <c r="J31" s="214"/>
      <c r="K31" s="214"/>
      <c r="L31" s="221"/>
      <c r="M31" s="214"/>
      <c r="N31" s="6">
        <f t="shared" si="0"/>
        <v>43228500</v>
      </c>
    </row>
    <row r="32" spans="1:14" s="190" customFormat="1" ht="14.25" customHeight="1">
      <c r="A32" s="216">
        <v>42223</v>
      </c>
      <c r="B32" s="217" t="s">
        <v>820</v>
      </c>
      <c r="C32" s="218" t="s">
        <v>790</v>
      </c>
      <c r="D32" s="219"/>
      <c r="E32" s="220" t="s">
        <v>821</v>
      </c>
      <c r="F32" s="4">
        <v>720</v>
      </c>
      <c r="G32" s="244" t="s">
        <v>776</v>
      </c>
      <c r="H32" s="221"/>
      <c r="I32" s="5">
        <v>158751520</v>
      </c>
      <c r="J32" s="214"/>
      <c r="K32" s="214"/>
      <c r="L32" s="221"/>
      <c r="M32" s="214"/>
      <c r="N32" s="6">
        <f t="shared" si="0"/>
        <v>158751520</v>
      </c>
    </row>
    <row r="33" spans="1:14" s="190" customFormat="1" ht="14.25" customHeight="1">
      <c r="A33" s="216">
        <v>42224</v>
      </c>
      <c r="B33" s="217" t="s">
        <v>822</v>
      </c>
      <c r="C33" s="218" t="s">
        <v>790</v>
      </c>
      <c r="D33" s="219"/>
      <c r="E33" s="220" t="s">
        <v>823</v>
      </c>
      <c r="F33" s="4">
        <v>167</v>
      </c>
      <c r="G33" s="244" t="s">
        <v>776</v>
      </c>
      <c r="H33" s="221"/>
      <c r="I33" s="5">
        <v>72191595</v>
      </c>
      <c r="J33" s="214"/>
      <c r="K33" s="214"/>
      <c r="L33" s="221"/>
      <c r="M33" s="214"/>
      <c r="N33" s="6">
        <f t="shared" si="0"/>
        <v>72191595</v>
      </c>
    </row>
    <row r="34" spans="1:14" s="190" customFormat="1" ht="14.25" customHeight="1">
      <c r="A34" s="216">
        <v>42229</v>
      </c>
      <c r="B34" s="217" t="s">
        <v>824</v>
      </c>
      <c r="C34" s="218" t="s">
        <v>825</v>
      </c>
      <c r="D34" s="219"/>
      <c r="E34" s="220" t="s">
        <v>826</v>
      </c>
      <c r="F34" s="4">
        <v>853</v>
      </c>
      <c r="G34" s="244" t="s">
        <v>776</v>
      </c>
      <c r="H34" s="221"/>
      <c r="I34" s="5">
        <v>348972482</v>
      </c>
      <c r="J34" s="214"/>
      <c r="K34" s="214"/>
      <c r="L34" s="221"/>
      <c r="M34" s="214"/>
      <c r="N34" s="6">
        <f t="shared" si="0"/>
        <v>348972482</v>
      </c>
    </row>
    <row r="35" spans="1:14" s="190" customFormat="1" ht="14.25" customHeight="1">
      <c r="A35" s="216">
        <v>42229</v>
      </c>
      <c r="B35" s="217" t="s">
        <v>824</v>
      </c>
      <c r="C35" s="218" t="s">
        <v>825</v>
      </c>
      <c r="D35" s="219"/>
      <c r="E35" s="220" t="s">
        <v>827</v>
      </c>
      <c r="F35" s="4">
        <v>171</v>
      </c>
      <c r="G35" s="244" t="s">
        <v>776</v>
      </c>
      <c r="H35" s="221"/>
      <c r="I35" s="5">
        <v>103909128</v>
      </c>
      <c r="J35" s="214"/>
      <c r="K35" s="214"/>
      <c r="L35" s="221"/>
      <c r="M35" s="214"/>
      <c r="N35" s="6">
        <f t="shared" si="0"/>
        <v>103909128</v>
      </c>
    </row>
    <row r="36" spans="1:14" s="190" customFormat="1" ht="14.25" customHeight="1">
      <c r="A36" s="216">
        <v>42230</v>
      </c>
      <c r="B36" s="217" t="s">
        <v>828</v>
      </c>
      <c r="C36" s="218" t="s">
        <v>778</v>
      </c>
      <c r="D36" s="219"/>
      <c r="E36" s="220" t="s">
        <v>829</v>
      </c>
      <c r="F36" s="4">
        <v>230</v>
      </c>
      <c r="G36" s="244" t="s">
        <v>776</v>
      </c>
      <c r="H36" s="221"/>
      <c r="I36" s="5">
        <v>83919611</v>
      </c>
      <c r="J36" s="214"/>
      <c r="K36" s="214"/>
      <c r="L36" s="221"/>
      <c r="M36" s="214"/>
      <c r="N36" s="6">
        <f t="shared" si="0"/>
        <v>83919611</v>
      </c>
    </row>
    <row r="37" spans="1:14" s="190" customFormat="1" ht="18.75" customHeight="1">
      <c r="A37" s="216">
        <v>42230</v>
      </c>
      <c r="B37" s="217" t="s">
        <v>830</v>
      </c>
      <c r="C37" s="218" t="s">
        <v>807</v>
      </c>
      <c r="D37" s="219"/>
      <c r="E37" s="220" t="s">
        <v>831</v>
      </c>
      <c r="F37" s="4">
        <v>244</v>
      </c>
      <c r="G37" s="244" t="s">
        <v>776</v>
      </c>
      <c r="H37" s="221"/>
      <c r="I37" s="5">
        <v>123404769</v>
      </c>
      <c r="J37" s="214"/>
      <c r="K37" s="214"/>
      <c r="L37" s="221"/>
      <c r="M37" s="214"/>
      <c r="N37" s="6">
        <f t="shared" si="0"/>
        <v>123404769</v>
      </c>
    </row>
    <row r="38" spans="1:14" s="190" customFormat="1" ht="14.25" customHeight="1">
      <c r="A38" s="216">
        <v>42230</v>
      </c>
      <c r="B38" s="217" t="s">
        <v>830</v>
      </c>
      <c r="C38" s="218" t="s">
        <v>807</v>
      </c>
      <c r="D38" s="219"/>
      <c r="E38" s="220" t="s">
        <v>832</v>
      </c>
      <c r="F38" s="4">
        <v>178</v>
      </c>
      <c r="G38" s="244" t="s">
        <v>776</v>
      </c>
      <c r="H38" s="221"/>
      <c r="I38" s="5">
        <v>89718899</v>
      </c>
      <c r="J38" s="214"/>
      <c r="K38" s="214"/>
      <c r="L38" s="221"/>
      <c r="M38" s="214"/>
      <c r="N38" s="6">
        <f t="shared" si="0"/>
        <v>89718899</v>
      </c>
    </row>
    <row r="39" spans="1:14" s="190" customFormat="1" ht="14.25" customHeight="1">
      <c r="A39" s="216">
        <v>42236</v>
      </c>
      <c r="B39" s="217" t="s">
        <v>833</v>
      </c>
      <c r="C39" s="218" t="s">
        <v>807</v>
      </c>
      <c r="D39" s="219"/>
      <c r="E39" s="220" t="s">
        <v>834</v>
      </c>
      <c r="F39" s="4">
        <v>253</v>
      </c>
      <c r="G39" s="244" t="s">
        <v>776</v>
      </c>
      <c r="H39" s="221"/>
      <c r="I39" s="5">
        <v>107902807</v>
      </c>
      <c r="J39" s="214"/>
      <c r="K39" s="214"/>
      <c r="L39" s="221"/>
      <c r="M39" s="214"/>
      <c r="N39" s="6">
        <f t="shared" si="0"/>
        <v>107902807</v>
      </c>
    </row>
    <row r="40" spans="1:14" s="190" customFormat="1" ht="14.25" customHeight="1">
      <c r="A40" s="216">
        <v>42237</v>
      </c>
      <c r="B40" s="217" t="s">
        <v>835</v>
      </c>
      <c r="C40" s="218" t="s">
        <v>836</v>
      </c>
      <c r="D40" s="219"/>
      <c r="E40" s="220" t="s">
        <v>837</v>
      </c>
      <c r="F40" s="4">
        <v>17</v>
      </c>
      <c r="G40" s="244" t="s">
        <v>776</v>
      </c>
      <c r="H40" s="221"/>
      <c r="I40" s="5">
        <v>4368609</v>
      </c>
      <c r="J40" s="214"/>
      <c r="K40" s="214"/>
      <c r="L40" s="221"/>
      <c r="M40" s="214"/>
      <c r="N40" s="6">
        <f t="shared" si="0"/>
        <v>4368609</v>
      </c>
    </row>
    <row r="41" spans="1:14" s="190" customFormat="1" ht="14.25" customHeight="1">
      <c r="A41" s="216">
        <v>42237</v>
      </c>
      <c r="B41" s="217" t="s">
        <v>838</v>
      </c>
      <c r="C41" s="218" t="s">
        <v>790</v>
      </c>
      <c r="D41" s="219"/>
      <c r="E41" s="220" t="s">
        <v>839</v>
      </c>
      <c r="F41" s="4">
        <v>200</v>
      </c>
      <c r="G41" s="244" t="s">
        <v>776</v>
      </c>
      <c r="H41" s="221"/>
      <c r="I41" s="5">
        <v>41197900</v>
      </c>
      <c r="J41" s="214"/>
      <c r="K41" s="214"/>
      <c r="L41" s="221"/>
      <c r="M41" s="214"/>
      <c r="N41" s="6">
        <f t="shared" si="0"/>
        <v>41197900</v>
      </c>
    </row>
    <row r="42" spans="1:14" s="190" customFormat="1" ht="14.25" customHeight="1">
      <c r="A42" s="216">
        <v>42237</v>
      </c>
      <c r="B42" s="217" t="s">
        <v>840</v>
      </c>
      <c r="C42" s="218" t="s">
        <v>841</v>
      </c>
      <c r="D42" s="219"/>
      <c r="E42" s="220" t="s">
        <v>842</v>
      </c>
      <c r="F42" s="4">
        <v>250</v>
      </c>
      <c r="G42" s="244" t="s">
        <v>776</v>
      </c>
      <c r="H42" s="221"/>
      <c r="I42" s="5">
        <f>15750*4079</f>
        <v>64244250</v>
      </c>
      <c r="J42" s="214"/>
      <c r="K42" s="214"/>
      <c r="L42" s="221"/>
      <c r="M42" s="214"/>
      <c r="N42" s="6">
        <f t="shared" si="0"/>
        <v>64244250</v>
      </c>
    </row>
    <row r="43" spans="1:14" s="190" customFormat="1" ht="14.25" customHeight="1">
      <c r="A43" s="216">
        <v>42237</v>
      </c>
      <c r="B43" s="217" t="s">
        <v>843</v>
      </c>
      <c r="C43" s="218" t="s">
        <v>844</v>
      </c>
      <c r="D43" s="219"/>
      <c r="E43" s="220" t="s">
        <v>842</v>
      </c>
      <c r="F43" s="4">
        <v>192</v>
      </c>
      <c r="G43" s="244" t="s">
        <v>776</v>
      </c>
      <c r="H43" s="221"/>
      <c r="I43" s="5">
        <v>49339584</v>
      </c>
      <c r="J43" s="214"/>
      <c r="K43" s="214"/>
      <c r="L43" s="221"/>
      <c r="M43" s="214"/>
      <c r="N43" s="6">
        <f t="shared" si="0"/>
        <v>49339584</v>
      </c>
    </row>
    <row r="44" spans="1:14" s="190" customFormat="1" ht="14.25" customHeight="1">
      <c r="A44" s="216">
        <v>42237</v>
      </c>
      <c r="B44" s="217" t="s">
        <v>845</v>
      </c>
      <c r="C44" s="218" t="s">
        <v>790</v>
      </c>
      <c r="D44" s="219"/>
      <c r="E44" s="220" t="s">
        <v>797</v>
      </c>
      <c r="F44" s="4">
        <v>756</v>
      </c>
      <c r="G44" s="244" t="s">
        <v>776</v>
      </c>
      <c r="H44" s="221"/>
      <c r="I44" s="5">
        <v>178378749</v>
      </c>
      <c r="J44" s="214"/>
      <c r="K44" s="214"/>
      <c r="L44" s="221"/>
      <c r="M44" s="214"/>
      <c r="N44" s="6">
        <f t="shared" si="0"/>
        <v>178378749</v>
      </c>
    </row>
    <row r="45" spans="1:14" s="190" customFormat="1" ht="14.25" customHeight="1">
      <c r="A45" s="216">
        <v>42237</v>
      </c>
      <c r="B45" s="217" t="s">
        <v>846</v>
      </c>
      <c r="C45" s="218" t="s">
        <v>778</v>
      </c>
      <c r="D45" s="219"/>
      <c r="E45" s="220" t="s">
        <v>786</v>
      </c>
      <c r="F45" s="4">
        <v>725</v>
      </c>
      <c r="G45" s="244" t="s">
        <v>776</v>
      </c>
      <c r="H45" s="221"/>
      <c r="I45" s="5">
        <v>162100480</v>
      </c>
      <c r="J45" s="214"/>
      <c r="K45" s="214"/>
      <c r="L45" s="221"/>
      <c r="M45" s="214"/>
      <c r="N45" s="6">
        <f t="shared" si="0"/>
        <v>162100480</v>
      </c>
    </row>
    <row r="46" spans="1:14" s="190" customFormat="1" ht="14.25" customHeight="1">
      <c r="A46" s="216">
        <v>42237</v>
      </c>
      <c r="B46" s="217" t="s">
        <v>846</v>
      </c>
      <c r="C46" s="218" t="s">
        <v>778</v>
      </c>
      <c r="D46" s="219"/>
      <c r="E46" s="220" t="s">
        <v>794</v>
      </c>
      <c r="F46" s="4">
        <v>531</v>
      </c>
      <c r="G46" s="244" t="s">
        <v>776</v>
      </c>
      <c r="H46" s="221"/>
      <c r="I46" s="5">
        <v>203679970</v>
      </c>
      <c r="J46" s="214"/>
      <c r="K46" s="214"/>
      <c r="L46" s="221"/>
      <c r="M46" s="214"/>
      <c r="N46" s="6">
        <f t="shared" si="0"/>
        <v>203679970</v>
      </c>
    </row>
    <row r="47" spans="1:14" s="224" customFormat="1" ht="14.25" customHeight="1">
      <c r="A47" s="380">
        <f>M4</f>
        <v>4095</v>
      </c>
      <c r="B47" s="380"/>
      <c r="C47" s="380"/>
      <c r="D47" s="380"/>
      <c r="E47" s="222" t="s">
        <v>847</v>
      </c>
      <c r="F47" s="7"/>
      <c r="G47" s="244"/>
      <c r="H47" s="223"/>
      <c r="I47" s="8">
        <f>SUM(I9:I46)</f>
        <v>5225078447</v>
      </c>
      <c r="J47" s="9"/>
      <c r="K47" s="9"/>
      <c r="L47" s="9"/>
      <c r="M47" s="9"/>
      <c r="N47" s="10">
        <f>SUM(N9:N46)</f>
        <v>5225078447</v>
      </c>
    </row>
    <row r="48" spans="1:14" s="224" customFormat="1" ht="14.25" customHeight="1" thickBot="1">
      <c r="A48" s="381" t="s">
        <v>848</v>
      </c>
      <c r="B48" s="382"/>
      <c r="C48" s="382"/>
      <c r="D48" s="382"/>
      <c r="E48" s="225" t="s">
        <v>0</v>
      </c>
      <c r="F48" s="11"/>
      <c r="G48" s="12"/>
      <c r="H48" s="13">
        <f>H47/M4</f>
        <v>0</v>
      </c>
      <c r="I48" s="14">
        <f>I47/M4</f>
        <v>1275965.4327228328</v>
      </c>
      <c r="J48" s="15">
        <f t="shared" ref="J48:L48" si="1">J47*4034</f>
        <v>0</v>
      </c>
      <c r="K48" s="15">
        <f t="shared" si="1"/>
        <v>0</v>
      </c>
      <c r="L48" s="15">
        <f t="shared" si="1"/>
        <v>0</v>
      </c>
      <c r="M48" s="15">
        <f>M47*4034</f>
        <v>0</v>
      </c>
      <c r="N48" s="16">
        <f>N47/M4</f>
        <v>1275965.4327228328</v>
      </c>
    </row>
    <row r="49" spans="1:15" s="228" customFormat="1" ht="15.75" customHeight="1">
      <c r="A49" s="226"/>
      <c r="B49" s="227"/>
      <c r="C49" s="227"/>
      <c r="D49" s="227"/>
      <c r="E49" s="227"/>
      <c r="F49" s="17"/>
      <c r="G49" s="17"/>
      <c r="H49" s="227" t="s">
        <v>849</v>
      </c>
      <c r="I49" s="18" t="s">
        <v>850</v>
      </c>
      <c r="J49" s="227" t="s">
        <v>851</v>
      </c>
      <c r="K49" s="227" t="s">
        <v>852</v>
      </c>
      <c r="L49" s="227" t="s">
        <v>851</v>
      </c>
      <c r="M49" s="227" t="s">
        <v>852</v>
      </c>
      <c r="N49" s="227"/>
    </row>
    <row r="50" spans="1:15" ht="14.25" customHeight="1">
      <c r="A50" s="229"/>
      <c r="B50" s="230"/>
      <c r="C50" s="230"/>
      <c r="D50" s="230"/>
      <c r="E50" s="230"/>
      <c r="F50" s="19"/>
      <c r="G50" s="19"/>
      <c r="H50" s="230"/>
      <c r="I50" s="383" t="s">
        <v>853</v>
      </c>
      <c r="J50" s="383"/>
      <c r="K50" s="383"/>
      <c r="L50" s="383"/>
      <c r="M50" s="383"/>
      <c r="N50" s="383"/>
    </row>
    <row r="51" spans="1:15" ht="19.5" customHeight="1">
      <c r="I51" s="384"/>
      <c r="J51" s="384"/>
      <c r="K51" s="384"/>
      <c r="L51" s="384"/>
      <c r="M51" s="384"/>
      <c r="N51" s="384"/>
      <c r="O51" s="21"/>
    </row>
    <row r="52" spans="1:15" ht="18" hidden="1" customHeight="1">
      <c r="I52" s="233">
        <f>I48*1%</f>
        <v>12759.654327228329</v>
      </c>
      <c r="J52" s="234"/>
      <c r="K52" s="22"/>
      <c r="L52" s="235"/>
      <c r="M52" s="235"/>
    </row>
    <row r="53" spans="1:15" ht="14.25" customHeight="1">
      <c r="I53" s="236"/>
      <c r="J53" s="393"/>
      <c r="K53" s="393"/>
      <c r="L53" s="393"/>
      <c r="M53" s="236"/>
    </row>
    <row r="54" spans="1:15" ht="14.25" customHeight="1">
      <c r="C54" s="23"/>
      <c r="D54" s="237"/>
      <c r="E54" s="237"/>
      <c r="F54" s="24"/>
      <c r="G54" s="24"/>
    </row>
    <row r="55" spans="1:15" ht="14.25" customHeight="1">
      <c r="F55" s="26"/>
      <c r="G55" s="26"/>
      <c r="H55" s="397"/>
      <c r="I55" s="397"/>
      <c r="J55" s="243"/>
    </row>
    <row r="56" spans="1:15" ht="14.25" customHeight="1">
      <c r="C56" s="239"/>
      <c r="D56" s="240"/>
      <c r="E56" s="241"/>
      <c r="F56" s="240"/>
      <c r="G56" s="240"/>
      <c r="H56" s="234"/>
      <c r="I56" s="27"/>
      <c r="J56" s="28"/>
      <c r="K56" s="29"/>
      <c r="L56" s="29"/>
      <c r="O56" s="243"/>
    </row>
    <row r="57" spans="1:15" ht="14.25" customHeight="1">
      <c r="F57" s="26"/>
      <c r="G57" s="26"/>
      <c r="I57" s="30"/>
      <c r="J57" s="31"/>
      <c r="K57" s="31"/>
      <c r="L57" s="224"/>
    </row>
    <row r="58" spans="1:15" ht="14.25" customHeight="1">
      <c r="I58" s="27"/>
      <c r="J58" s="32"/>
      <c r="K58" s="224"/>
      <c r="L58" s="224"/>
    </row>
    <row r="59" spans="1:15" ht="14.25" customHeight="1">
      <c r="I59" s="33"/>
      <c r="J59" s="34"/>
      <c r="K59" s="224"/>
      <c r="L59" s="224"/>
    </row>
    <row r="60" spans="1:15" ht="14.25" customHeight="1">
      <c r="I60" s="394"/>
      <c r="J60" s="394"/>
      <c r="K60" s="224"/>
      <c r="L60" s="224"/>
      <c r="N60" s="242"/>
    </row>
    <row r="61" spans="1:15" ht="14.25" hidden="1" customHeight="1">
      <c r="I61" s="395">
        <f>I48*1%</f>
        <v>12759.654327228329</v>
      </c>
      <c r="J61" s="395"/>
    </row>
    <row r="62" spans="1:15" ht="14.25" customHeight="1">
      <c r="I62" s="29"/>
      <c r="J62" s="224"/>
    </row>
    <row r="63" spans="1:15" ht="14.25" customHeight="1">
      <c r="I63" s="29"/>
    </row>
    <row r="64" spans="1:15" ht="14.25" customHeight="1">
      <c r="I64" s="29"/>
    </row>
    <row r="65" spans="9:9" ht="14.25" customHeight="1">
      <c r="I65" s="29"/>
    </row>
    <row r="66" spans="9:9" ht="14.25" customHeight="1">
      <c r="I66" s="34"/>
    </row>
    <row r="67" spans="9:9" ht="14.25" customHeight="1">
      <c r="I67" s="29"/>
    </row>
    <row r="68" spans="9:9" ht="14.25" customHeight="1">
      <c r="I68" s="29"/>
    </row>
    <row r="69" spans="9:9" ht="14.25" customHeight="1">
      <c r="I69" s="29"/>
    </row>
    <row r="70" spans="9:9" ht="14.25" customHeight="1">
      <c r="I70" s="29"/>
    </row>
    <row r="71" spans="9:9" ht="14.25" customHeight="1">
      <c r="I71" s="29"/>
    </row>
    <row r="72" spans="9:9" ht="14.25" customHeight="1">
      <c r="I72" s="29"/>
    </row>
  </sheetData>
  <mergeCells count="18">
    <mergeCell ref="I61:J61"/>
    <mergeCell ref="F7:H7"/>
    <mergeCell ref="J7:K7"/>
    <mergeCell ref="L7:M7"/>
    <mergeCell ref="F8:H8"/>
    <mergeCell ref="I50:N50"/>
    <mergeCell ref="I51:N51"/>
    <mergeCell ref="J53:L53"/>
    <mergeCell ref="H55:I55"/>
    <mergeCell ref="I60:J60"/>
    <mergeCell ref="A47:D47"/>
    <mergeCell ref="A48:D48"/>
    <mergeCell ref="A1:N1"/>
    <mergeCell ref="A2:N2"/>
    <mergeCell ref="A5:I5"/>
    <mergeCell ref="J5:M5"/>
    <mergeCell ref="F6:H6"/>
    <mergeCell ref="J6:M6"/>
  </mergeCells>
  <pageMargins left="0.45" right="0.16" top="0.51" bottom="0.5" header="0.46" footer="0.2"/>
  <pageSetup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Company information</vt:lpstr>
      <vt:lpstr>Annex I-IM State Charge</vt:lpstr>
      <vt:lpstr>Annex II-IM Non-State Charge</vt:lpstr>
      <vt:lpstr>AnnexIII-Local Pur</vt:lpstr>
      <vt:lpstr>Annex IV-EX</vt:lpstr>
      <vt:lpstr>Annex V-Local Sale</vt:lpstr>
      <vt:lpstr>Taxpaid</vt:lpstr>
      <vt:lpstr>Damco</vt:lpstr>
      <vt:lpstr>Chea Fat</vt:lpstr>
      <vt:lpstr>S G L CAMBODIA</vt:lpstr>
      <vt:lpstr>Sheet3</vt:lpstr>
      <vt:lpstr>Sale - June</vt:lpstr>
      <vt:lpstr>Sale - Jul</vt:lpstr>
      <vt:lpstr>Sale - Aug</vt:lpstr>
      <vt:lpstr>'Annex II-IM Non-State Charge'!Print_Area</vt:lpstr>
      <vt:lpstr>'Annex I-IM State Charge'!Print_Area</vt:lpstr>
      <vt:lpstr>'Annex IV-EX'!Print_Area</vt:lpstr>
      <vt:lpstr>'Annex V-Local Sale'!Print_Area</vt:lpstr>
      <vt:lpstr>'Annex IV-EX'!Print_Titles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Sophara Rith</cp:lastModifiedBy>
  <cp:lastPrinted>2026-02-25T07:37:12Z</cp:lastPrinted>
  <dcterms:created xsi:type="dcterms:W3CDTF">2002-01-25T08:51:18Z</dcterms:created>
  <dcterms:modified xsi:type="dcterms:W3CDTF">2026-03-17T17:42:23Z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0</vt:i4>
  </property>
</Properties>
</file>