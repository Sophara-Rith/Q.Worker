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omments/comment1.xml" ContentType="application/vnd.openxmlformats-officedocument.spreadsheetml.comments+xml"/>
  <Override PartName="/xl/worksheets/sheet13.xml" ContentType="application/vnd.openxmlformats-officedocument.spreadsheetml.worksheet+xml"/>
  <Override PartName="/xl/comments/comment2.xml" ContentType="application/vnd.openxmlformats-officedocument.spreadsheetml.comments+xml"/>
  <Override PartName="/xl/worksheets/sheet14.xml" ContentType="application/vnd.openxmlformats-officedocument.spreadsheetml.worksheet+xml"/>
  <Override PartName="/xl/comments/comment3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801" firstSheet="0" activeTab="1" autoFilterDateGrouping="1"/>
  </bookViews>
  <sheets>
    <sheet xmlns:r="http://schemas.openxmlformats.org/officeDocument/2006/relationships" name="Company information" sheetId="1" state="visible" r:id="rId1"/>
    <sheet xmlns:r="http://schemas.openxmlformats.org/officeDocument/2006/relationships" name="Annex I-IM State Charge" sheetId="2" state="visible" r:id="rId2"/>
    <sheet xmlns:r="http://schemas.openxmlformats.org/officeDocument/2006/relationships" name="Annex II-IM Non-State Charge" sheetId="3" state="visible" r:id="rId3"/>
    <sheet xmlns:r="http://schemas.openxmlformats.org/officeDocument/2006/relationships" name="AnnexIII-Local Pur" sheetId="4" state="visible" r:id="rId4"/>
    <sheet xmlns:r="http://schemas.openxmlformats.org/officeDocument/2006/relationships" name="Annex IV-EX" sheetId="5" state="visible" r:id="rId5"/>
    <sheet xmlns:r="http://schemas.openxmlformats.org/officeDocument/2006/relationships" name="Annex V-Local Sale" sheetId="6" state="visible" r:id="rId6"/>
    <sheet xmlns:r="http://schemas.openxmlformats.org/officeDocument/2006/relationships" name="Taxpaid" sheetId="7" state="visible" r:id="rId7"/>
    <sheet xmlns:r="http://schemas.openxmlformats.org/officeDocument/2006/relationships" name="Damco" sheetId="8" state="hidden" r:id="rId8"/>
    <sheet xmlns:r="http://schemas.openxmlformats.org/officeDocument/2006/relationships" name="Chea Fat" sheetId="9" state="hidden" r:id="rId9"/>
    <sheet xmlns:r="http://schemas.openxmlformats.org/officeDocument/2006/relationships" name="S G L CAMBODIA" sheetId="10" state="hidden" r:id="rId10"/>
    <sheet xmlns:r="http://schemas.openxmlformats.org/officeDocument/2006/relationships" name="Sheet3" sheetId="11" state="hidden" r:id="rId11"/>
    <sheet xmlns:r="http://schemas.openxmlformats.org/officeDocument/2006/relationships" name="Sale - June" sheetId="12" state="hidden" r:id="rId12"/>
    <sheet xmlns:r="http://schemas.openxmlformats.org/officeDocument/2006/relationships" name="Sale - Jul" sheetId="13" state="hidden" r:id="rId13"/>
    <sheet xmlns:r="http://schemas.openxmlformats.org/officeDocument/2006/relationships" name="Sale - Aug" sheetId="14" state="hidden" r:id="rId14"/>
  </sheets>
  <externalReferences>
    <externalReference xmlns:r="http://schemas.openxmlformats.org/officeDocument/2006/relationships" r:id="rId15"/>
    <externalReference xmlns:r="http://schemas.openxmlformats.org/officeDocument/2006/relationships" r:id="rId16"/>
    <externalReference xmlns:r="http://schemas.openxmlformats.org/officeDocument/2006/relationships" r:id="rId17"/>
    <externalReference xmlns:r="http://schemas.openxmlformats.org/officeDocument/2006/relationships" r:id="rId18"/>
    <externalReference xmlns:r="http://schemas.openxmlformats.org/officeDocument/2006/relationships" r:id="rId19"/>
    <externalReference xmlns:r="http://schemas.openxmlformats.org/officeDocument/2006/relationships" r:id="rId20"/>
    <externalReference xmlns:r="http://schemas.openxmlformats.org/officeDocument/2006/relationships" r:id="rId21"/>
  </externalReferences>
  <definedNames>
    <definedName name="\A">#REF!</definedName>
    <definedName name="\D">#REF!</definedName>
    <definedName name="\E">#REF!</definedName>
    <definedName name="\G">'[1]Company Related Premises'!#REF!</definedName>
    <definedName name="\H">'[1]Company Related Premises'!#REF!</definedName>
    <definedName name="\L">'[1]Company Related Premises'!#REF!</definedName>
    <definedName name="\M">'[1]Company Related Premises'!#REF!</definedName>
    <definedName name="\N">#REF!</definedName>
    <definedName name="\O">#REF!</definedName>
    <definedName name="\P">#REF!</definedName>
    <definedName name="\Q">#REF!</definedName>
    <definedName name="\R">#REF!</definedName>
    <definedName name="\S">#REF!</definedName>
    <definedName name="\T">#REF!</definedName>
    <definedName name="\U">#REF!</definedName>
    <definedName name="\V">#REF!</definedName>
    <definedName name="\W">#REF!</definedName>
    <definedName name="\X">#REF!</definedName>
    <definedName name="\xy">#REF!</definedName>
    <definedName name="\Y">#REF!</definedName>
    <definedName name="\Z">#REF!</definedName>
    <definedName name="__PR1">[2]Sheet!#REF!</definedName>
    <definedName name="__SR1">#REF!</definedName>
    <definedName name="__SR2">#REF!</definedName>
    <definedName name="__wb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Order1" hidden="1">255</definedName>
    <definedName name="_Order2" hidden="1">255</definedName>
    <definedName name="_PR1">[2]Sheet!#REF!</definedName>
    <definedName name="_SR1">#REF!</definedName>
    <definedName name="_SR2">#REF!</definedName>
    <definedName name="_wb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a">#REF!</definedName>
    <definedName name="aaa">#REF!</definedName>
    <definedName name="ab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bcd">#REF!</definedName>
    <definedName name="All">#REF!</definedName>
    <definedName name="ANLAGE_III">[3]Anlagevermögen!$A$1:$Z$29</definedName>
    <definedName name="b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Chhourn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CMDR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ata84">'[4]Purchase Order'!$E$40</definedName>
    <definedName name="dflt3">'[4]Customize Your Purchase Order'!$F$24</definedName>
    <definedName name="dflt4">'[4]Customize Your Purchase Order'!$E$25</definedName>
    <definedName name="DRPAUSE">#REF!</definedName>
    <definedName name="DSCTEMP">[5]DSCTEMP!$A$1:$B$65536</definedName>
    <definedName name="FTBSch">[2]Sheet!#REF!</definedName>
    <definedName name="hh">[2]Sheet!#REF!</definedName>
    <definedName name="is">'[6]Company Related Premises'!#REF!</definedName>
    <definedName name="jngiüorajg">#REF!</definedName>
    <definedName name="k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kaksjak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ll">#REF!</definedName>
    <definedName name="new">#REF!</definedName>
    <definedName name="PeriodsInYear">#REF!</definedName>
    <definedName name="PrintArea">#REF!</definedName>
    <definedName name="qqqqqqqqqqqqqqqqqqqqq">#REF!</definedName>
    <definedName name="RANDO">#REF!</definedName>
    <definedName name="RANDU">#REF!</definedName>
    <definedName name="re">[7]Sheet!#REF!</definedName>
    <definedName name="Report">#REF!</definedName>
    <definedName name="RM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ale">#REF!</definedName>
    <definedName name="SalSch">#REF!</definedName>
    <definedName name="Seite1">#REF!</definedName>
    <definedName name="Seite2">#REF!</definedName>
    <definedName name="Seite3">#REF!</definedName>
    <definedName name="Spec">#REF!</definedName>
    <definedName name="SR">#REF!</definedName>
    <definedName name="SRC">#REF!</definedName>
    <definedName name="tes">[2]Sheet!#REF!</definedName>
    <definedName name="Test">[2]Sheet!#REF!</definedName>
    <definedName name="uebergabe1">#REF!</definedName>
    <definedName name="w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b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n.Total.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w">[2]Sheet!#REF!</definedName>
    <definedName name="x">#REF!</definedName>
    <definedName name="xx">#REF!</definedName>
    <definedName name="xxx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x">'[1]Company Related Premises'!#REF!</definedName>
    <definedName name="yxc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y">[2]Sheet!#REF!</definedName>
    <definedName name="ថ">[2]Sheet!#REF!</definedName>
    <definedName name="_xlnm.Print_Area" localSheetId="1">'Annex I-IM State Charge'!$A$1:$H$21</definedName>
    <definedName name="_xlnm._FilterDatabase" localSheetId="2" hidden="1">'Annex II-IM Non-State Charge'!$A$9:$K$15</definedName>
    <definedName name="_xlnm.Print_Area" localSheetId="2">'Annex II-IM Non-State Charge'!$A$1:$I$23</definedName>
    <definedName name="_xlnm._FilterDatabase" localSheetId="3" hidden="1">'AnnexIII-Local Pur'!$A$9:$AO$758</definedName>
    <definedName name="_xlnm.Print_Area" localSheetId="3">'AnnexIII-Local Pur'!$A$1:$K$791</definedName>
    <definedName name="_xlnm._FilterDatabase" localSheetId="4" hidden="1">'Annex IV-EX'!$A$9:$I$21</definedName>
    <definedName name="_xlnm.Print_Titles" localSheetId="4">'Annex IV-EX'!$7:$8</definedName>
    <definedName name="_xlnm.Print_Area" localSheetId="4">'Annex IV-EX'!$A$1:$E$29</definedName>
    <definedName name="_xlnm.Print_Area" localSheetId="5">'Annex V-Local Sale'!$A$1:$H$18</definedName>
  </definedNames>
  <calcPr calcId="191029" fullCalcOnLoad="1"/>
</workbook>
</file>

<file path=xl/styles.xml><?xml version="1.0" encoding="utf-8"?>
<styleSheet xmlns="http://schemas.openxmlformats.org/spreadsheetml/2006/main">
  <numFmts count="16">
    <numFmt numFmtId="164" formatCode="_(&quot;$&quot;* #,##0.00_);_(&quot;$&quot;* \(#,##0.00\);_(&quot;$&quot;* &quot;-&quot;??_);_(@_)"/>
    <numFmt numFmtId="165" formatCode="_-&quot;$&quot;* #,##0.00_-;\-&quot;$&quot;* #,##0.00_-;_-&quot;$&quot;* &quot;-&quot;??_-;_-@_-"/>
    <numFmt numFmtId="166" formatCode="[$-409]d\-mmm\-yy;@"/>
    <numFmt numFmtId="167" formatCode="000000"/>
    <numFmt numFmtId="168" formatCode="_(* #,##0_);_(* \(#,##0\);_(* &quot;-&quot;??_);_(@_)"/>
    <numFmt numFmtId="169" formatCode="000000000"/>
    <numFmt numFmtId="170" formatCode="m/d/yy;@"/>
    <numFmt numFmtId="171" formatCode="_ * #,##0.00_ ;_ * \-#,##0.00_ ;_ * &quot;-&quot;??_ ;_ @_ "/>
    <numFmt numFmtId="172" formatCode="#,##0.00[$៛-453]"/>
    <numFmt numFmtId="173" formatCode="d\-mmm\-yyyy"/>
    <numFmt numFmtId="174" formatCode="_-* #,##0[$៛-453]_-;\-* #,##0[$៛-453]_-;_-* &quot;-&quot;[$៛-453]_-;_-@_-"/>
    <numFmt numFmtId="175" formatCode="0000"/>
    <numFmt numFmtId="176" formatCode="dd\-mm\-yy"/>
    <numFmt numFmtId="177" formatCode="\I\ 00000"/>
    <numFmt numFmtId="178" formatCode="[$-12000425]0"/>
    <numFmt numFmtId="179" formatCode="\ &quot;Total Reil @&quot;\ #,###,#00"/>
  </numFmts>
  <fonts count="102">
    <font>
      <name val="Arial"/>
      <sz val="10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Limon S1"/>
      <sz val="22"/>
    </font>
    <font>
      <name val="Arial"/>
      <family val="2"/>
      <color indexed="12"/>
      <sz val="10"/>
      <u val="single"/>
    </font>
    <font>
      <name val="Arial"/>
      <family val="2"/>
      <sz val="8"/>
    </font>
    <font>
      <name val="Arial"/>
      <family val="2"/>
      <sz val="9"/>
    </font>
    <font>
      <name val="Limon S1"/>
      <sz val="20"/>
    </font>
    <font>
      <name val="Arial"/>
      <family val="2"/>
      <sz val="10"/>
    </font>
    <font>
      <name val="Arial"/>
      <family val="2"/>
      <b val="1"/>
      <sz val="10"/>
    </font>
    <font>
      <name val="Times New Roman"/>
      <family val="1"/>
      <sz val="8"/>
    </font>
    <font>
      <name val="Arial"/>
      <family val="2"/>
      <sz val="10"/>
    </font>
    <font>
      <name val="Tahoma"/>
      <family val="2"/>
      <b val="1"/>
      <color indexed="81"/>
      <sz val="8"/>
    </font>
    <font>
      <name val="Limon S1"/>
      <sz val="10"/>
    </font>
    <font>
      <name val="Arial"/>
      <family val="2"/>
      <color indexed="8"/>
      <sz val="10"/>
    </font>
    <font>
      <name val="Khmer OS"/>
      <sz val="10"/>
    </font>
    <font>
      <name val="Khmer OS"/>
      <b val="1"/>
      <sz val="10"/>
    </font>
    <font>
      <name val="Khmer OS"/>
      <sz val="9"/>
    </font>
    <font>
      <name val="Arial"/>
      <family val="2"/>
      <b val="1"/>
      <i val="1"/>
      <sz val="8"/>
    </font>
    <font>
      <name val="Khmer MEF2"/>
      <sz val="14"/>
    </font>
    <font>
      <name val="Khmer MEF2"/>
      <sz val="10"/>
    </font>
    <font>
      <name val="Khmer MEF1"/>
      <b val="1"/>
      <sz val="10"/>
    </font>
    <font>
      <name val="Khmer MEF1"/>
      <sz val="10"/>
    </font>
    <font>
      <name val="Khmer OS"/>
      <sz val="8.5"/>
    </font>
    <font>
      <name val="Arial"/>
      <family val="2"/>
      <b val="1"/>
      <sz val="9"/>
    </font>
    <font>
      <name val="Arial"/>
      <family val="2"/>
      <b val="1"/>
      <i val="1"/>
      <sz val="11"/>
    </font>
    <font>
      <name val="Khmer MEF1"/>
      <sz val="9"/>
    </font>
    <font>
      <name val="Times New Roman"/>
      <family val="1"/>
      <sz val="7"/>
    </font>
    <font>
      <name val="Arial"/>
      <family val="2"/>
      <color rgb="FFFF0000"/>
      <sz val="10"/>
    </font>
    <font>
      <name val="Limon S1"/>
      <color rgb="FFFF0000"/>
      <sz val="20"/>
    </font>
    <font>
      <name val="Khmer MEF1"/>
      <color rgb="FFFF0000"/>
      <sz val="10"/>
    </font>
    <font>
      <name val="Calibri"/>
      <family val="2"/>
      <sz val="10"/>
      <scheme val="minor"/>
    </font>
    <font>
      <name val="Khmer OS"/>
      <color rgb="FFFF0000"/>
      <sz val="9"/>
    </font>
    <font>
      <name val="Khmer OS"/>
      <color rgb="FFFF0000"/>
      <sz val="10"/>
    </font>
    <font>
      <name val="Khmer MEF1"/>
      <color rgb="FFFF0000"/>
      <sz val="9"/>
    </font>
    <font>
      <name val="Limon S1"/>
      <b val="1"/>
      <sz val="9"/>
    </font>
    <font>
      <name val="Limon R1"/>
      <sz val="22"/>
    </font>
    <font>
      <name val="Limon R1"/>
      <sz val="12"/>
    </font>
    <font>
      <name val="Limon S1"/>
      <b val="1"/>
      <sz val="8"/>
    </font>
    <font>
      <name val="Times New Roman"/>
      <family val="1"/>
      <b val="1"/>
      <sz val="8"/>
    </font>
    <font>
      <name val="Cambria"/>
      <family val="1"/>
      <b val="1"/>
      <sz val="9"/>
      <scheme val="major"/>
    </font>
    <font>
      <name val="Calibri"/>
      <charset val="134"/>
      <family val="2"/>
      <color indexed="8"/>
      <sz val="14"/>
    </font>
    <font>
      <name val="Limon S1"/>
      <sz val="14"/>
    </font>
    <font>
      <name val="Limon S1"/>
      <sz val="8"/>
    </font>
    <font>
      <name val="Calibri"/>
      <family val="2"/>
      <color indexed="8"/>
      <sz val="8"/>
    </font>
    <font>
      <name val="Calibri"/>
      <family val="2"/>
      <color theme="1"/>
      <sz val="9"/>
      <scheme val="minor"/>
    </font>
    <font>
      <name val="Limon S1"/>
      <sz val="9"/>
    </font>
    <font>
      <name val="Limon S1"/>
      <b val="1"/>
      <sz val="7"/>
    </font>
    <font>
      <name val="新細明體"/>
      <charset val="136"/>
      <family val="1"/>
      <sz val="7"/>
    </font>
    <font>
      <name val="Limon S1"/>
      <sz val="7"/>
    </font>
    <font>
      <name val="Limon S1"/>
      <sz val="13"/>
    </font>
    <font>
      <name val="Times New Roman"/>
      <family val="1"/>
      <b val="1"/>
      <sz val="7"/>
    </font>
    <font>
      <name val="Times New Roman"/>
      <charset val="134"/>
      <family val="1"/>
      <sz val="7"/>
    </font>
    <font>
      <name val="Arial"/>
      <family val="2"/>
      <sz val="7"/>
    </font>
    <font>
      <name val="Arial Narrow"/>
      <family val="2"/>
      <sz val="7"/>
    </font>
    <font>
      <name val="Times New Roman"/>
      <charset val="134"/>
      <family val="1"/>
      <b val="1"/>
      <sz val="7"/>
    </font>
    <font>
      <name val="Times New Roman"/>
      <charset val="134"/>
      <family val="1"/>
      <sz val="8"/>
    </font>
    <font>
      <name val="Times New Roman"/>
      <charset val="134"/>
      <family val="1"/>
      <sz val="11"/>
    </font>
    <font>
      <name val="Arial"/>
      <family val="2"/>
      <b val="1"/>
      <sz val="7"/>
    </font>
    <font>
      <name val="Times New Roman"/>
      <charset val="134"/>
      <family val="1"/>
      <sz val="12"/>
    </font>
    <font>
      <name val="Arial"/>
      <family val="2"/>
      <b val="1"/>
      <sz val="8"/>
    </font>
    <font>
      <name val="Arial"/>
      <charset val="134"/>
      <family val="2"/>
      <b val="1"/>
      <sz val="8"/>
    </font>
    <font>
      <name val="Arial"/>
      <charset val="134"/>
      <family val="2"/>
      <b val="1"/>
      <sz val="10"/>
    </font>
    <font>
      <name val="宋体"/>
      <charset val="134"/>
      <sz val="12"/>
    </font>
    <font>
      <name val="新細明體"/>
      <charset val="134"/>
      <b val="1"/>
      <sz val="12"/>
    </font>
    <font>
      <name val="Arial"/>
      <charset val="134"/>
      <family val="2"/>
      <b val="1"/>
      <sz val="14"/>
    </font>
    <font>
      <name val="Arial"/>
      <charset val="134"/>
      <family val="2"/>
      <sz val="10"/>
    </font>
    <font>
      <name val="Arial"/>
      <charset val="134"/>
      <family val="2"/>
      <sz val="9"/>
    </font>
    <font>
      <name val="Calibri"/>
      <charset val="134"/>
      <family val="2"/>
      <color indexed="8"/>
      <sz val="11"/>
    </font>
    <font>
      <name val="Times New Roman"/>
      <charset val="134"/>
      <family val="1"/>
      <sz val="10"/>
    </font>
    <font>
      <name val="Times New Roman"/>
      <family val="1"/>
      <sz val="12"/>
    </font>
    <font>
      <name val="Calibri"/>
      <family val="2"/>
      <color indexed="8"/>
      <sz val="11"/>
    </font>
    <font>
      <name val="Khmer MEF1"/>
      <sz val="11"/>
    </font>
    <font>
      <name val="Khmer MEF1"/>
      <color rgb="FFFF0000"/>
      <sz val="11"/>
    </font>
    <font>
      <name val="Khmer OS Siemreap"/>
      <color theme="1"/>
      <sz val="11"/>
    </font>
    <font>
      <name val="Khmer OS Siemreap"/>
      <sz val="11"/>
    </font>
    <font>
      <name val="Khmer OS Siemreap"/>
      <color rgb="FFFF0000"/>
      <sz val="11"/>
    </font>
    <font>
      <name val="Khmer OS Siemreap"/>
      <b val="1"/>
      <sz val="11"/>
    </font>
    <font>
      <name val="Khmer OS Siemreap"/>
      <b val="1"/>
      <sz val="8"/>
    </font>
    <font>
      <name val="Khmer OS Siemreap"/>
      <b val="1"/>
      <color theme="1"/>
      <sz val="11"/>
    </font>
    <font>
      <name val="Khmer OS Siemreap"/>
      <color theme="1"/>
      <sz val="10"/>
    </font>
    <font>
      <name val="Khmer OS Siemreap"/>
      <sz val="10"/>
    </font>
    <font>
      <name val="Khmer OS Siemreap"/>
      <b val="1"/>
      <sz val="12"/>
    </font>
    <font>
      <name val="Khmer OS Siemreap"/>
      <sz val="22"/>
    </font>
    <font>
      <name val="Khmer OS Siemreap"/>
      <sz val="9"/>
    </font>
    <font>
      <name val="Khmer OS Siemreap"/>
      <color indexed="8"/>
      <sz val="11"/>
    </font>
    <font>
      <name val="Khmer OS Siemreap"/>
      <color rgb="FFFF0000"/>
      <sz val="10"/>
    </font>
    <font>
      <name val="Limon S1"/>
      <sz val="11"/>
    </font>
    <font>
      <name val="Khmer OS Siemreap"/>
      <b val="1"/>
      <sz val="10"/>
    </font>
    <font>
      <name val="Khmer OS Siemreap"/>
      <sz val="12"/>
    </font>
    <font>
      <name val="Khmer OS Siemreap"/>
      <color rgb="FFFF0000"/>
      <sz val="12"/>
    </font>
    <font>
      <name val="Khmer OS Siemreap"/>
      <color theme="1"/>
      <sz val="12"/>
    </font>
    <font>
      <name val="Arial"/>
      <family val="2"/>
      <b val="1"/>
      <color rgb="FF2F303A"/>
      <sz val="9"/>
    </font>
    <font>
      <name val="Khmer OS Siemreap"/>
      <b val="1"/>
      <color theme="1"/>
      <sz val="12"/>
    </font>
    <font>
      <name val="Khmer OS Siemreap"/>
      <color theme="1"/>
      <sz val="9"/>
    </font>
    <font>
      <name val="Arial"/>
      <family val="2"/>
      <sz val="10"/>
    </font>
    <font>
      <name val="Arial"/>
      <family val="2"/>
      <color rgb="FF2F303A"/>
      <sz val="9"/>
    </font>
    <font>
      <name val="Khmer OS Siemreap"/>
      <b val="1"/>
      <color rgb="FFFF0000"/>
      <sz val="11"/>
    </font>
    <font>
      <name val="Arial"/>
      <sz val="8"/>
    </font>
  </fonts>
  <fills count="15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"/>
        <bgColor indexed="64"/>
      </patternFill>
    </fill>
  </fills>
  <borders count="4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/>
      <top/>
      <bottom style="medium">
        <color rgb="FFDDDDDD"/>
      </bottom>
      <diagonal/>
    </border>
    <border>
      <left/>
      <right/>
      <top/>
      <bottom style="medium">
        <color rgb="FFDDDDDD"/>
      </bottom>
      <diagonal/>
    </border>
    <border>
      <left/>
      <right style="medium">
        <color rgb="FFDDDDDD"/>
      </right>
      <top/>
      <bottom style="medium">
        <color rgb="FFDDDDDD"/>
      </bottom>
      <diagonal/>
    </border>
    <border>
      <left/>
      <right style="medium">
        <color rgb="FFDDDDDD"/>
      </right>
      <top/>
      <bottom/>
      <diagonal/>
    </border>
    <border>
      <left style="medium">
        <color rgb="FFDDDDDD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47">
    <xf numFmtId="0" fontId="0" fillId="0" borderId="0" applyAlignment="1">
      <alignment vertical="top"/>
    </xf>
    <xf numFmtId="43" fontId="98" fillId="0" borderId="0"/>
    <xf numFmtId="43" fontId="98" fillId="0" borderId="0"/>
    <xf numFmtId="44" fontId="98" fillId="0" borderId="0"/>
    <xf numFmtId="0" fontId="98" fillId="0" borderId="0" applyAlignment="1">
      <alignment vertical="top"/>
    </xf>
    <xf numFmtId="0" fontId="98" fillId="0" borderId="0"/>
    <xf numFmtId="0" fontId="98" fillId="0" borderId="0"/>
    <xf numFmtId="0" fontId="17" fillId="0" borderId="0" applyAlignment="1">
      <alignment vertical="top"/>
    </xf>
    <xf numFmtId="0" fontId="4" fillId="0" borderId="0"/>
    <xf numFmtId="43" fontId="4" fillId="0" borderId="0"/>
    <xf numFmtId="44" fontId="4" fillId="0" borderId="0"/>
    <xf numFmtId="0" fontId="98" fillId="0" borderId="0"/>
    <xf numFmtId="169" fontId="66" fillId="0" borderId="0" applyAlignment="1">
      <alignment vertical="center"/>
    </xf>
    <xf numFmtId="0" fontId="71" fillId="0" borderId="0" applyAlignment="1">
      <alignment vertical="center"/>
    </xf>
    <xf numFmtId="178" fontId="66" fillId="0" borderId="0" applyAlignment="1">
      <alignment vertical="center"/>
    </xf>
    <xf numFmtId="178" fontId="66" fillId="0" borderId="0" applyAlignment="1">
      <alignment vertical="center"/>
    </xf>
    <xf numFmtId="169" fontId="66" fillId="0" borderId="0" applyAlignment="1">
      <alignment vertical="center"/>
    </xf>
    <xf numFmtId="169" fontId="66" fillId="0" borderId="0" applyAlignment="1">
      <alignment vertical="center"/>
    </xf>
    <xf numFmtId="0" fontId="98" fillId="0" borderId="0"/>
    <xf numFmtId="43" fontId="98" fillId="0" borderId="0"/>
    <xf numFmtId="0" fontId="98" fillId="0" borderId="0"/>
    <xf numFmtId="43" fontId="73" fillId="0" borderId="0"/>
    <xf numFmtId="43" fontId="74" fillId="0" borderId="0"/>
    <xf numFmtId="0" fontId="98" fillId="0" borderId="0"/>
    <xf numFmtId="0" fontId="73" fillId="0" borderId="0"/>
    <xf numFmtId="0" fontId="98" fillId="0" borderId="0"/>
    <xf numFmtId="0" fontId="4" fillId="0" borderId="0"/>
    <xf numFmtId="43" fontId="4" fillId="0" borderId="0"/>
    <xf numFmtId="9" fontId="4" fillId="0" borderId="0"/>
    <xf numFmtId="0" fontId="73" fillId="0" borderId="0"/>
    <xf numFmtId="0" fontId="4" fillId="0" borderId="0"/>
    <xf numFmtId="9" fontId="98" fillId="0" borderId="0"/>
    <xf numFmtId="0" fontId="4" fillId="0" borderId="0"/>
    <xf numFmtId="43" fontId="98" fillId="0" borderId="0"/>
    <xf numFmtId="0" fontId="98" fillId="0" borderId="0" applyAlignment="1">
      <alignment vertical="top"/>
    </xf>
    <xf numFmtId="0" fontId="98" fillId="0" borderId="0"/>
    <xf numFmtId="0" fontId="98" fillId="0" borderId="0"/>
    <xf numFmtId="0" fontId="4" fillId="0" borderId="0"/>
    <xf numFmtId="43" fontId="4" fillId="0" borderId="0"/>
    <xf numFmtId="44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9" fontId="4" fillId="0" borderId="0"/>
    <xf numFmtId="0" fontId="98" fillId="0" borderId="0" applyAlignment="1">
      <alignment vertical="top"/>
    </xf>
    <xf numFmtId="0" fontId="4" fillId="0" borderId="0"/>
  </cellStyleXfs>
  <cellXfs count="728">
    <xf numFmtId="0" fontId="0" fillId="0" borderId="0" pivotButton="0" quotePrefix="0" xfId="0"/>
    <xf numFmtId="0" fontId="6" fillId="0" borderId="0" pivotButton="0" quotePrefix="0" xfId="0"/>
    <xf numFmtId="0" fontId="14" fillId="0" borderId="0" pivotButton="0" quotePrefix="0" xfId="0"/>
    <xf numFmtId="0" fontId="31" fillId="0" borderId="0" pivotButton="0" quotePrefix="0" xfId="0"/>
    <xf numFmtId="0" fontId="32" fillId="0" borderId="0" applyAlignment="1" pivotButton="0" quotePrefix="0" xfId="0">
      <alignment horizontal="center" vertical="center" shrinkToFit="1"/>
    </xf>
    <xf numFmtId="0" fontId="10" fillId="0" borderId="0" applyAlignment="1" pivotButton="0" quotePrefix="0" xfId="0">
      <alignment horizontal="center" vertical="center" shrinkToFit="1"/>
    </xf>
    <xf numFmtId="0" fontId="19" fillId="0" borderId="2" applyAlignment="1" pivotButton="0" quotePrefix="0" xfId="0">
      <alignment horizontal="center" vertical="center"/>
    </xf>
    <xf numFmtId="0" fontId="19" fillId="0" borderId="2" applyAlignment="1" pivotButton="0" quotePrefix="0" xfId="0">
      <alignment horizontal="center" vertical="center" shrinkToFit="1"/>
    </xf>
    <xf numFmtId="0" fontId="24" fillId="0" borderId="3" applyAlignment="1" pivotButton="0" quotePrefix="0" xfId="0">
      <alignment horizontal="center" vertical="center" shrinkToFit="1"/>
    </xf>
    <xf numFmtId="0" fontId="25" fillId="0" borderId="2" applyAlignment="1" pivotButton="0" quotePrefix="0" xfId="0">
      <alignment horizontal="center" vertical="center" shrinkToFit="1"/>
    </xf>
    <xf numFmtId="49" fontId="20" fillId="0" borderId="4" applyAlignment="1" pivotButton="0" quotePrefix="0" xfId="0">
      <alignment horizontal="center" vertical="center" wrapText="1"/>
    </xf>
    <xf numFmtId="0" fontId="20" fillId="0" borderId="4" applyAlignment="1" pivotButton="0" quotePrefix="0" xfId="0">
      <alignment horizontal="center" vertical="center" wrapText="1"/>
    </xf>
    <xf numFmtId="49" fontId="20" fillId="2" borderId="4" applyAlignment="1" pivotButton="0" quotePrefix="0" xfId="0">
      <alignment horizontal="center" vertical="center" wrapText="1"/>
    </xf>
    <xf numFmtId="15" fontId="20" fillId="0" borderId="4" applyAlignment="1" pivotButton="0" quotePrefix="0" xfId="0">
      <alignment horizontal="center" vertical="center" wrapText="1"/>
    </xf>
    <xf numFmtId="164" fontId="21" fillId="4" borderId="4" applyAlignment="1" pivotButton="0" quotePrefix="0" xfId="3">
      <alignment horizontal="right" vertical="center"/>
    </xf>
    <xf numFmtId="165" fontId="20" fillId="0" borderId="4" applyAlignment="1" pivotButton="0" quotePrefix="0" xfId="3">
      <alignment horizontal="right" vertical="top"/>
    </xf>
    <xf numFmtId="49" fontId="20" fillId="0" borderId="4" applyAlignment="1" pivotButton="0" quotePrefix="0" xfId="0">
      <alignment horizontal="center" vertical="top" wrapText="1"/>
    </xf>
    <xf numFmtId="49" fontId="26" fillId="2" borderId="4" applyAlignment="1" pivotButton="0" quotePrefix="0" xfId="0">
      <alignment horizontal="center" vertical="top" wrapText="1"/>
    </xf>
    <xf numFmtId="15" fontId="26" fillId="0" borderId="4" applyAlignment="1" pivotButton="0" quotePrefix="0" xfId="0">
      <alignment horizontal="center" vertical="top" wrapText="1"/>
    </xf>
    <xf numFmtId="49" fontId="20" fillId="0" borderId="4" applyAlignment="1" pivotButton="0" quotePrefix="0" xfId="4">
      <alignment horizontal="center" vertical="center" wrapText="1"/>
    </xf>
    <xf numFmtId="49" fontId="18" fillId="0" borderId="4" applyAlignment="1" pivotButton="0" quotePrefix="0" xfId="4">
      <alignment horizontal="center" vertical="center" wrapText="1"/>
    </xf>
    <xf numFmtId="166" fontId="20" fillId="0" borderId="4" applyAlignment="1" pivotButton="0" quotePrefix="0" xfId="0">
      <alignment horizontal="center" vertical="center" wrapText="1"/>
    </xf>
    <xf numFmtId="49" fontId="20" fillId="0" borderId="4" applyAlignment="1" pivotButton="0" quotePrefix="0" xfId="0">
      <alignment horizontal="center" wrapText="1"/>
    </xf>
    <xf numFmtId="49" fontId="18" fillId="0" borderId="4" applyAlignment="1" pivotButton="0" quotePrefix="0" xfId="0">
      <alignment horizontal="center" wrapText="1"/>
    </xf>
    <xf numFmtId="49" fontId="18" fillId="0" borderId="4" applyAlignment="1" pivotButton="0" quotePrefix="0" xfId="0">
      <alignment horizontal="center" vertical="center" wrapText="1"/>
    </xf>
    <xf numFmtId="165" fontId="20" fillId="3" borderId="4" applyAlignment="1" pivotButton="0" quotePrefix="0" xfId="3">
      <alignment horizontal="right" vertical="center"/>
    </xf>
    <xf numFmtId="165" fontId="20" fillId="5" borderId="4" applyAlignment="1" pivotButton="0" quotePrefix="0" xfId="3">
      <alignment horizontal="right" vertical="center"/>
    </xf>
    <xf numFmtId="165" fontId="20" fillId="5" borderId="4" applyAlignment="1" pivotButton="0" quotePrefix="0" xfId="3">
      <alignment horizontal="right" vertical="top"/>
    </xf>
    <xf numFmtId="49" fontId="18" fillId="0" borderId="10" applyAlignment="1" pivotButton="0" quotePrefix="0" xfId="0">
      <alignment horizontal="center" vertical="center" wrapText="1"/>
    </xf>
    <xf numFmtId="166" fontId="20" fillId="0" borderId="10" applyAlignment="1" pivotButton="0" quotePrefix="0" xfId="0">
      <alignment horizontal="center" vertical="center" wrapText="1"/>
    </xf>
    <xf numFmtId="165" fontId="20" fillId="5" borderId="10" applyAlignment="1" pivotButton="0" quotePrefix="0" xfId="3">
      <alignment horizontal="right" vertical="center"/>
    </xf>
    <xf numFmtId="0" fontId="19" fillId="0" borderId="10" applyAlignment="1" pivotButton="0" quotePrefix="0" xfId="0">
      <alignment horizontal="center" vertical="center" shrinkToFit="1"/>
    </xf>
    <xf numFmtId="0" fontId="19" fillId="0" borderId="4" applyAlignment="1" pivotButton="0" quotePrefix="0" xfId="0">
      <alignment horizontal="center" vertical="center" shrinkToFit="1"/>
    </xf>
    <xf numFmtId="0" fontId="18" fillId="0" borderId="2" applyAlignment="1" pivotButton="0" quotePrefix="0" xfId="0">
      <alignment horizontal="center" vertical="center"/>
    </xf>
    <xf numFmtId="166" fontId="8" fillId="4" borderId="4" applyAlignment="1" pivotButton="0" quotePrefix="0" xfId="0">
      <alignment horizontal="center" vertical="center"/>
    </xf>
    <xf numFmtId="167" fontId="8" fillId="4" borderId="4" applyAlignment="1" pivotButton="0" quotePrefix="0" xfId="0">
      <alignment horizontal="left" vertical="center"/>
    </xf>
    <xf numFmtId="167" fontId="8" fillId="4" borderId="4" applyAlignment="1" pivotButton="0" quotePrefix="0" xfId="0">
      <alignment horizontal="center" vertical="center"/>
    </xf>
    <xf numFmtId="49" fontId="20" fillId="5" borderId="4" applyAlignment="1" pivotButton="0" quotePrefix="0" xfId="0">
      <alignment horizontal="center" vertical="center" wrapText="1"/>
    </xf>
    <xf numFmtId="49" fontId="35" fillId="0" borderId="4" applyAlignment="1" pivotButton="0" quotePrefix="0" xfId="0">
      <alignment horizontal="center" vertical="center" wrapText="1"/>
    </xf>
    <xf numFmtId="49" fontId="20" fillId="2" borderId="4" applyAlignment="1" pivotButton="0" quotePrefix="0" xfId="0">
      <alignment horizontal="center" vertical="top" wrapText="1"/>
    </xf>
    <xf numFmtId="49" fontId="35" fillId="0" borderId="4" applyAlignment="1" pivotButton="0" quotePrefix="0" xfId="0">
      <alignment horizontal="center" vertical="top" wrapText="1"/>
    </xf>
    <xf numFmtId="49" fontId="36" fillId="0" borderId="4" applyAlignment="1" pivotButton="0" quotePrefix="0" xfId="4">
      <alignment horizontal="center" vertical="center" wrapText="1"/>
    </xf>
    <xf numFmtId="49" fontId="36" fillId="0" borderId="4" applyAlignment="1" pivotButton="0" quotePrefix="0" xfId="0">
      <alignment horizontal="center" vertical="center" wrapText="1"/>
    </xf>
    <xf numFmtId="165" fontId="20" fillId="6" borderId="4" applyAlignment="1" pivotButton="0" quotePrefix="0" xfId="3">
      <alignment horizontal="right" vertical="center"/>
    </xf>
    <xf numFmtId="165" fontId="20" fillId="6" borderId="4" applyAlignment="1" pivotButton="0" quotePrefix="0" xfId="3">
      <alignment horizontal="right" vertical="top"/>
    </xf>
    <xf numFmtId="165" fontId="20" fillId="6" borderId="4" applyAlignment="1" pivotButton="0" quotePrefix="0" xfId="3">
      <alignment horizontal="center" vertical="center"/>
    </xf>
    <xf numFmtId="15" fontId="35" fillId="0" borderId="4" applyAlignment="1" pivotButton="0" quotePrefix="0" xfId="0">
      <alignment horizontal="center" vertical="center" wrapText="1"/>
    </xf>
    <xf numFmtId="49" fontId="20" fillId="3" borderId="4" applyAlignment="1" pivotButton="0" quotePrefix="0" xfId="0">
      <alignment horizontal="center" vertical="top" wrapText="1"/>
    </xf>
    <xf numFmtId="15" fontId="20" fillId="0" borderId="4" applyAlignment="1" pivotButton="0" quotePrefix="0" xfId="0">
      <alignment horizontal="center" vertical="top" wrapText="1"/>
    </xf>
    <xf numFmtId="15" fontId="35" fillId="0" borderId="4" applyAlignment="1" pivotButton="0" quotePrefix="0" xfId="0">
      <alignment horizontal="center" vertical="top" wrapText="1"/>
    </xf>
    <xf numFmtId="0" fontId="19" fillId="3" borderId="2" applyAlignment="1" pivotButton="0" quotePrefix="0" xfId="0">
      <alignment horizontal="center" vertical="center" shrinkToFit="1"/>
    </xf>
    <xf numFmtId="168" fontId="18" fillId="0" borderId="10" applyAlignment="1" pivotButton="0" quotePrefix="0" xfId="1">
      <alignment horizontal="center" vertical="center" shrinkToFit="1"/>
    </xf>
    <xf numFmtId="165" fontId="20" fillId="7" borderId="4" applyAlignment="1" pivotButton="0" quotePrefix="0" xfId="3">
      <alignment horizontal="right" vertical="center"/>
    </xf>
    <xf numFmtId="0" fontId="20" fillId="7" borderId="4" applyAlignment="1" pivotButton="0" quotePrefix="0" xfId="0">
      <alignment horizontal="center" vertical="center" wrapText="1"/>
    </xf>
    <xf numFmtId="49" fontId="20" fillId="7" borderId="4" applyAlignment="1" pivotButton="0" quotePrefix="0" xfId="0">
      <alignment horizontal="center" vertical="center" wrapText="1"/>
    </xf>
    <xf numFmtId="169" fontId="12" fillId="7" borderId="4" applyAlignment="1" pivotButton="0" quotePrefix="0" xfId="0">
      <alignment horizontal="center" vertical="center"/>
    </xf>
    <xf numFmtId="168" fontId="12" fillId="7" borderId="4" applyAlignment="1" pivotButton="0" quotePrefix="0" xfId="1">
      <alignment horizontal="center" vertical="center"/>
    </xf>
    <xf numFmtId="168" fontId="18" fillId="7" borderId="10" applyAlignment="1" pivotButton="0" quotePrefix="0" xfId="1">
      <alignment horizontal="center" vertical="center" shrinkToFit="1"/>
    </xf>
    <xf numFmtId="165" fontId="20" fillId="7" borderId="4" applyAlignment="1" pivotButton="0" quotePrefix="0" xfId="3">
      <alignment horizontal="right" vertical="top"/>
    </xf>
    <xf numFmtId="49" fontId="26" fillId="7" borderId="4" applyAlignment="1" pivotButton="0" quotePrefix="0" xfId="0">
      <alignment horizontal="center" vertical="top" wrapText="1"/>
    </xf>
    <xf numFmtId="0" fontId="11" fillId="3" borderId="10" applyAlignment="1" pivotButton="0" quotePrefix="0" xfId="0">
      <alignment horizontal="center" vertical="center"/>
    </xf>
    <xf numFmtId="168" fontId="27" fillId="7" borderId="4" applyAlignment="1" pivotButton="0" quotePrefix="0" xfId="1">
      <alignment horizontal="center" vertical="center"/>
    </xf>
    <xf numFmtId="49" fontId="20" fillId="7" borderId="4" applyAlignment="1" pivotButton="0" quotePrefix="0" xfId="0">
      <alignment horizontal="center" vertical="top" wrapText="1"/>
    </xf>
    <xf numFmtId="15" fontId="35" fillId="3" borderId="4" applyAlignment="1" pivotButton="0" quotePrefix="0" xfId="0">
      <alignment horizontal="center" vertical="top" wrapText="1"/>
    </xf>
    <xf numFmtId="49" fontId="18" fillId="7" borderId="4" applyAlignment="1" pivotButton="0" quotePrefix="0" xfId="4">
      <alignment horizontal="center" vertical="center" wrapText="1"/>
    </xf>
    <xf numFmtId="49" fontId="18" fillId="7" borderId="4" applyAlignment="1" pivotButton="0" quotePrefix="0" xfId="0">
      <alignment horizontal="center" vertical="center" wrapText="1"/>
    </xf>
    <xf numFmtId="165" fontId="20" fillId="7" borderId="10" applyAlignment="1" pivotButton="0" quotePrefix="0" xfId="3">
      <alignment horizontal="right" vertical="center"/>
    </xf>
    <xf numFmtId="49" fontId="18" fillId="7" borderId="10" applyAlignment="1" pivotButton="0" quotePrefix="0" xfId="0">
      <alignment horizontal="center" vertical="center" wrapText="1"/>
    </xf>
    <xf numFmtId="164" fontId="21" fillId="7" borderId="4" applyAlignment="1" pivotButton="0" quotePrefix="0" xfId="3">
      <alignment horizontal="right" vertical="center"/>
    </xf>
    <xf numFmtId="167" fontId="8" fillId="7" borderId="4" applyAlignment="1" pivotButton="0" quotePrefix="0" xfId="0">
      <alignment horizontal="left" vertical="center"/>
    </xf>
    <xf numFmtId="167" fontId="8" fillId="7" borderId="4" applyAlignment="1" pivotButton="0" quotePrefix="0" xfId="0">
      <alignment horizontal="center" vertical="center"/>
    </xf>
    <xf numFmtId="168" fontId="18" fillId="7" borderId="4" applyAlignment="1" pivotButton="0" quotePrefix="0" xfId="1">
      <alignment horizontal="center" vertical="center" shrinkToFit="1"/>
    </xf>
    <xf numFmtId="0" fontId="25" fillId="0" borderId="5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shrinkToFit="1"/>
    </xf>
    <xf numFmtId="0" fontId="29" fillId="0" borderId="2" applyAlignment="1" pivotButton="0" quotePrefix="0" xfId="0">
      <alignment horizontal="center" vertical="center" shrinkToFit="1"/>
    </xf>
    <xf numFmtId="164" fontId="28" fillId="7" borderId="4" applyAlignment="1" pivotButton="0" quotePrefix="0" xfId="3">
      <alignment horizontal="right" vertical="center"/>
    </xf>
    <xf numFmtId="0" fontId="37" fillId="0" borderId="2" applyAlignment="1" pivotButton="0" quotePrefix="0" xfId="0">
      <alignment horizontal="center" vertical="center" shrinkToFit="1"/>
    </xf>
    <xf numFmtId="0" fontId="29" fillId="0" borderId="4" applyAlignment="1" pivotButton="0" quotePrefix="0" xfId="0">
      <alignment horizontal="center" vertical="center" shrinkToFit="1"/>
    </xf>
    <xf numFmtId="3" fontId="11" fillId="0" borderId="4" pivotButton="0" quotePrefix="0" xfId="0"/>
    <xf numFmtId="0" fontId="25" fillId="0" borderId="4" applyAlignment="1" pivotButton="0" quotePrefix="0" xfId="0">
      <alignment horizontal="center" vertical="center"/>
    </xf>
    <xf numFmtId="168" fontId="11" fillId="0" borderId="4" pivotButton="0" quotePrefix="0" xfId="1"/>
    <xf numFmtId="168" fontId="11" fillId="7" borderId="4" pivotButton="0" quotePrefix="0" xfId="1"/>
    <xf numFmtId="0" fontId="25" fillId="7" borderId="4" applyAlignment="1" pivotButton="0" quotePrefix="0" xfId="0">
      <alignment horizontal="center" vertical="center"/>
    </xf>
    <xf numFmtId="0" fontId="39" fillId="0" borderId="0" applyAlignment="1" pivotButton="0" quotePrefix="0" xfId="8">
      <alignment horizontal="center"/>
    </xf>
    <xf numFmtId="0" fontId="40" fillId="0" borderId="0" pivotButton="0" quotePrefix="0" xfId="8"/>
    <xf numFmtId="0" fontId="40" fillId="0" borderId="0" applyAlignment="1" pivotButton="0" quotePrefix="0" xfId="8">
      <alignment vertical="center"/>
    </xf>
    <xf numFmtId="0" fontId="42" fillId="0" borderId="0" applyAlignment="1" pivotButton="0" quotePrefix="0" xfId="8">
      <alignment horizontal="left"/>
    </xf>
    <xf numFmtId="0" fontId="41" fillId="0" borderId="0" pivotButton="0" quotePrefix="0" xfId="8"/>
    <xf numFmtId="0" fontId="41" fillId="0" borderId="0" applyAlignment="1" pivotButton="0" quotePrefix="0" xfId="8">
      <alignment horizontal="center"/>
    </xf>
    <xf numFmtId="0" fontId="38" fillId="0" borderId="0" applyAlignment="1" pivotButton="0" quotePrefix="0" xfId="8">
      <alignment horizontal="center"/>
    </xf>
    <xf numFmtId="0" fontId="38" fillId="0" borderId="0" applyAlignment="1" pivotButton="0" quotePrefix="0" xfId="8">
      <alignment vertical="center"/>
    </xf>
    <xf numFmtId="0" fontId="43" fillId="0" borderId="0" applyAlignment="1" pivotButton="0" quotePrefix="0" xfId="8">
      <alignment horizontal="left" vertical="center"/>
    </xf>
    <xf numFmtId="0" fontId="8" fillId="0" borderId="0" applyAlignment="1" pivotButton="0" quotePrefix="0" xfId="8">
      <alignment vertical="center"/>
    </xf>
    <xf numFmtId="0" fontId="9" fillId="0" borderId="0" applyAlignment="1" pivotButton="0" quotePrefix="0" xfId="8">
      <alignment vertical="center"/>
    </xf>
    <xf numFmtId="0" fontId="44" fillId="0" borderId="0" applyAlignment="1" pivotButton="0" quotePrefix="0" xfId="8">
      <alignment vertical="center"/>
    </xf>
    <xf numFmtId="0" fontId="45" fillId="0" borderId="0" pivotButton="0" quotePrefix="0" xfId="8"/>
    <xf numFmtId="0" fontId="46" fillId="0" borderId="0" applyAlignment="1" pivotButton="0" quotePrefix="0" xfId="8">
      <alignment vertical="center"/>
    </xf>
    <xf numFmtId="0" fontId="13" fillId="0" borderId="0" applyAlignment="1" pivotButton="0" quotePrefix="0" xfId="8">
      <alignment vertical="center"/>
    </xf>
    <xf numFmtId="0" fontId="47" fillId="0" borderId="0" applyAlignment="1" pivotButton="0" quotePrefix="0" xfId="8">
      <alignment horizontal="center" vertical="center"/>
    </xf>
    <xf numFmtId="0" fontId="47" fillId="0" borderId="0" applyAlignment="1" pivotButton="0" quotePrefix="0" xfId="8">
      <alignment vertical="center"/>
    </xf>
    <xf numFmtId="0" fontId="48" fillId="0" borderId="0" applyAlignment="1" pivotButton="0" quotePrefix="0" xfId="8">
      <alignment vertical="center"/>
    </xf>
    <xf numFmtId="0" fontId="49" fillId="0" borderId="0" applyAlignment="1" pivotButton="0" quotePrefix="0" xfId="8">
      <alignment vertical="center"/>
    </xf>
    <xf numFmtId="0" fontId="13" fillId="0" borderId="0" applyAlignment="1" pivotButton="0" quotePrefix="0" xfId="8">
      <alignment horizontal="center"/>
    </xf>
    <xf numFmtId="0" fontId="45" fillId="0" borderId="0" applyAlignment="1" pivotButton="0" quotePrefix="0" xfId="8">
      <alignment horizontal="center"/>
    </xf>
    <xf numFmtId="0" fontId="45" fillId="0" borderId="0" applyAlignment="1" pivotButton="0" quotePrefix="0" xfId="8">
      <alignment vertical="center"/>
    </xf>
    <xf numFmtId="0" fontId="51" fillId="0" borderId="23" applyAlignment="1" pivotButton="0" quotePrefix="0" xfId="8">
      <alignment vertical="center"/>
    </xf>
    <xf numFmtId="0" fontId="52" fillId="0" borderId="24" applyAlignment="1" pivotButton="0" quotePrefix="0" xfId="8">
      <alignment horizontal="center"/>
    </xf>
    <xf numFmtId="0" fontId="52" fillId="0" borderId="10" applyAlignment="1" pivotButton="0" quotePrefix="0" xfId="8">
      <alignment horizontal="center"/>
    </xf>
    <xf numFmtId="43" fontId="52" fillId="0" borderId="4" pivotButton="0" quotePrefix="0" xfId="9"/>
    <xf numFmtId="0" fontId="52" fillId="0" borderId="15" applyAlignment="1" pivotButton="0" quotePrefix="0" xfId="8">
      <alignment horizontal="center"/>
    </xf>
    <xf numFmtId="170" fontId="52" fillId="0" borderId="25" applyAlignment="1" pivotButton="0" quotePrefix="0" xfId="8">
      <alignment vertical="center"/>
    </xf>
    <xf numFmtId="0" fontId="52" fillId="0" borderId="5" applyAlignment="1" pivotButton="0" quotePrefix="0" xfId="8">
      <alignment vertical="center"/>
    </xf>
    <xf numFmtId="0" fontId="54" fillId="0" borderId="5" applyAlignment="1" pivotButton="0" quotePrefix="0" xfId="8">
      <alignment horizontal="center"/>
    </xf>
    <xf numFmtId="0" fontId="52" fillId="0" borderId="5" pivotButton="0" quotePrefix="0" xfId="8"/>
    <xf numFmtId="0" fontId="52" fillId="0" borderId="4" applyAlignment="1" pivotButton="0" quotePrefix="0" xfId="8">
      <alignment horizontal="center" vertical="center"/>
    </xf>
    <xf numFmtId="170" fontId="52" fillId="0" borderId="26" applyAlignment="1" pivotButton="0" quotePrefix="0" xfId="8">
      <alignment vertical="center"/>
    </xf>
    <xf numFmtId="0" fontId="52" fillId="0" borderId="3" applyAlignment="1" pivotButton="0" quotePrefix="0" xfId="8">
      <alignment vertical="center"/>
    </xf>
    <xf numFmtId="0" fontId="55" fillId="0" borderId="3" applyAlignment="1" pivotButton="0" quotePrefix="0" xfId="8">
      <alignment horizontal="center"/>
    </xf>
    <xf numFmtId="0" fontId="52" fillId="0" borderId="3" pivotButton="0" quotePrefix="0" xfId="8"/>
    <xf numFmtId="0" fontId="52" fillId="0" borderId="5" applyAlignment="1" pivotButton="0" quotePrefix="0" xfId="8">
      <alignment horizontal="center" vertical="center"/>
    </xf>
    <xf numFmtId="0" fontId="52" fillId="0" borderId="4" applyAlignment="1" pivotButton="0" quotePrefix="0" xfId="8">
      <alignment horizontal="center"/>
    </xf>
    <xf numFmtId="0" fontId="56" fillId="0" borderId="16" applyAlignment="1" pivotButton="0" quotePrefix="0" xfId="8">
      <alignment horizontal="center"/>
    </xf>
    <xf numFmtId="166" fontId="30" fillId="0" borderId="13" applyAlignment="1" pivotButton="0" quotePrefix="0" xfId="8">
      <alignment horizontal="center"/>
    </xf>
    <xf numFmtId="49" fontId="30" fillId="5" borderId="4" applyAlignment="1" pivotButton="0" quotePrefix="0" xfId="8">
      <alignment horizontal="center" vertical="center"/>
    </xf>
    <xf numFmtId="0" fontId="30" fillId="0" borderId="4" applyAlignment="1" pivotButton="0" quotePrefix="0" xfId="8">
      <alignment vertical="center"/>
    </xf>
    <xf numFmtId="0" fontId="30" fillId="0" borderId="4" applyAlignment="1" pivotButton="0" quotePrefix="0" xfId="8">
      <alignment horizontal="left" vertical="center"/>
    </xf>
    <xf numFmtId="0" fontId="57" fillId="0" borderId="14" applyAlignment="1" pivotButton="0" quotePrefix="0" xfId="8">
      <alignment horizontal="left" vertical="distributed"/>
    </xf>
    <xf numFmtId="168" fontId="30" fillId="0" borderId="14" pivotButton="0" quotePrefix="0" xfId="9"/>
    <xf numFmtId="0" fontId="30" fillId="0" borderId="9" applyAlignment="1" pivotButton="0" quotePrefix="0" xfId="8">
      <alignment horizontal="center"/>
    </xf>
    <xf numFmtId="0" fontId="52" fillId="0" borderId="4" applyAlignment="1" pivotButton="0" quotePrefix="0" xfId="8">
      <alignment vertical="center"/>
    </xf>
    <xf numFmtId="168" fontId="30" fillId="0" borderId="4" applyAlignment="1" pivotButton="0" quotePrefix="0" xfId="9">
      <alignment horizontal="center" vertical="center"/>
    </xf>
    <xf numFmtId="168" fontId="30" fillId="0" borderId="27" applyAlignment="1" pivotButton="0" quotePrefix="0" xfId="9">
      <alignment horizontal="center" vertical="center"/>
    </xf>
    <xf numFmtId="49" fontId="30" fillId="0" borderId="4" applyAlignment="1" pivotButton="0" quotePrefix="0" xfId="8">
      <alignment horizontal="center" vertical="center"/>
    </xf>
    <xf numFmtId="0" fontId="58" fillId="0" borderId="4" applyAlignment="1" pivotButton="0" quotePrefix="0" xfId="8">
      <alignment horizontal="center" vertical="center"/>
    </xf>
    <xf numFmtId="43" fontId="30" fillId="0" borderId="14" pivotButton="0" quotePrefix="0" xfId="9"/>
    <xf numFmtId="41" fontId="54" fillId="0" borderId="4" applyAlignment="1" pivotButton="0" quotePrefix="0" xfId="8">
      <alignment horizontal="center" vertical="center"/>
    </xf>
    <xf numFmtId="168" fontId="54" fillId="0" borderId="4" applyAlignment="1" pivotButton="0" quotePrefix="0" xfId="9">
      <alignment horizontal="center" vertical="center"/>
    </xf>
    <xf numFmtId="43" fontId="55" fillId="0" borderId="4" applyAlignment="1" pivotButton="0" quotePrefix="0" xfId="9">
      <alignment horizontal="center" vertical="center"/>
    </xf>
    <xf numFmtId="168" fontId="58" fillId="0" borderId="27" applyAlignment="1" pivotButton="0" quotePrefix="0" xfId="9">
      <alignment horizontal="center" vertical="center"/>
    </xf>
    <xf numFmtId="0" fontId="59" fillId="0" borderId="0" applyAlignment="1" pivotButton="0" quotePrefix="0" xfId="8">
      <alignment vertical="center"/>
    </xf>
    <xf numFmtId="0" fontId="58" fillId="0" borderId="29" applyAlignment="1" pivotButton="0" quotePrefix="0" xfId="8">
      <alignment horizontal="center" vertical="center"/>
    </xf>
    <xf numFmtId="168" fontId="58" fillId="0" borderId="30" applyAlignment="1" pivotButton="0" quotePrefix="0" xfId="9">
      <alignment vertical="center"/>
    </xf>
    <xf numFmtId="168" fontId="58" fillId="0" borderId="31" applyAlignment="1" pivotButton="0" quotePrefix="0" xfId="9">
      <alignment vertical="center"/>
    </xf>
    <xf numFmtId="43" fontId="54" fillId="0" borderId="32" applyAlignment="1" pivotButton="0" quotePrefix="0" xfId="9">
      <alignment horizontal="center" vertical="center"/>
    </xf>
    <xf numFmtId="164" fontId="54" fillId="0" borderId="32" applyAlignment="1" pivotButton="0" quotePrefix="0" xfId="10">
      <alignment horizontal="center" vertical="center"/>
    </xf>
    <xf numFmtId="164" fontId="55" fillId="0" borderId="32" applyAlignment="1" pivotButton="0" quotePrefix="0" xfId="10">
      <alignment horizontal="center" vertical="center"/>
    </xf>
    <xf numFmtId="164" fontId="54" fillId="0" borderId="33" applyAlignment="1" pivotButton="0" quotePrefix="0" xfId="10">
      <alignment horizontal="center" vertical="center"/>
    </xf>
    <xf numFmtId="170" fontId="55" fillId="0" borderId="0" applyAlignment="1" pivotButton="0" quotePrefix="0" xfId="8">
      <alignment horizontal="center"/>
    </xf>
    <xf numFmtId="0" fontId="55" fillId="0" borderId="0" applyAlignment="1" pivotButton="0" quotePrefix="0" xfId="8">
      <alignment horizontal="center"/>
    </xf>
    <xf numFmtId="168" fontId="55" fillId="0" borderId="0" applyAlignment="1" pivotButton="0" quotePrefix="0" xfId="9">
      <alignment horizontal="center"/>
    </xf>
    <xf numFmtId="43" fontId="55" fillId="0" borderId="0" applyAlignment="1" pivotButton="0" quotePrefix="0" xfId="9">
      <alignment horizontal="center"/>
    </xf>
    <xf numFmtId="0" fontId="60" fillId="0" borderId="0" applyAlignment="1" pivotButton="0" quotePrefix="0" xfId="8">
      <alignment horizontal="center"/>
    </xf>
    <xf numFmtId="170" fontId="55" fillId="0" borderId="0" applyAlignment="1" pivotButton="0" quotePrefix="0" xfId="8">
      <alignment vertical="center"/>
    </xf>
    <xf numFmtId="0" fontId="55" fillId="0" borderId="0" applyAlignment="1" pivotButton="0" quotePrefix="0" xfId="8">
      <alignment vertical="center"/>
    </xf>
    <xf numFmtId="168" fontId="55" fillId="0" borderId="0" pivotButton="0" quotePrefix="0" xfId="9"/>
    <xf numFmtId="0" fontId="62" fillId="0" borderId="0" applyAlignment="1" pivotButton="0" quotePrefix="0" xfId="8">
      <alignment vertical="center"/>
    </xf>
    <xf numFmtId="170" fontId="62" fillId="0" borderId="0" applyAlignment="1" pivotButton="0" quotePrefix="0" xfId="8">
      <alignment vertical="center"/>
    </xf>
    <xf numFmtId="168" fontId="62" fillId="0" borderId="0" pivotButton="0" quotePrefix="0" xfId="9"/>
    <xf numFmtId="168" fontId="42" fillId="0" borderId="0" applyAlignment="1" pivotButton="0" quotePrefix="0" xfId="9">
      <alignment vertical="center"/>
    </xf>
    <xf numFmtId="168" fontId="64" fillId="0" borderId="0" pivotButton="0" quotePrefix="0" xfId="11"/>
    <xf numFmtId="0" fontId="65" fillId="0" borderId="0" pivotButton="0" quotePrefix="0" xfId="11"/>
    <xf numFmtId="171" fontId="67" fillId="0" borderId="0" applyAlignment="1" pivotButton="0" quotePrefix="0" xfId="12">
      <alignment vertical="center"/>
    </xf>
    <xf numFmtId="168" fontId="62" fillId="0" borderId="0" applyAlignment="1" pivotButton="0" quotePrefix="0" xfId="8">
      <alignment vertical="center"/>
    </xf>
    <xf numFmtId="0" fontId="65" fillId="0" borderId="0" applyAlignment="1" pivotButton="0" quotePrefix="0" xfId="11">
      <alignment horizontal="center"/>
    </xf>
    <xf numFmtId="43" fontId="0" fillId="0" borderId="0" applyAlignment="1" pivotButton="0" quotePrefix="0" xfId="9">
      <alignment vertical="center"/>
    </xf>
    <xf numFmtId="0" fontId="4" fillId="0" borderId="0" applyAlignment="1" pivotButton="0" quotePrefix="0" xfId="8">
      <alignment vertical="center"/>
    </xf>
    <xf numFmtId="168" fontId="0" fillId="0" borderId="0" pivotButton="0" quotePrefix="0" xfId="9"/>
    <xf numFmtId="43" fontId="62" fillId="0" borderId="0" pivotButton="0" quotePrefix="0" xfId="9"/>
    <xf numFmtId="168" fontId="62" fillId="0" borderId="0" pivotButton="0" quotePrefix="0" xfId="9"/>
    <xf numFmtId="43" fontId="62" fillId="0" borderId="0" applyAlignment="1" pivotButton="0" quotePrefix="0" xfId="8">
      <alignment vertical="center"/>
    </xf>
    <xf numFmtId="0" fontId="68" fillId="0" borderId="0" pivotButton="0" quotePrefix="0" xfId="11"/>
    <xf numFmtId="0" fontId="69" fillId="0" borderId="0" pivotButton="0" quotePrefix="0" xfId="11"/>
    <xf numFmtId="0" fontId="70" fillId="0" borderId="0" pivotButton="0" quotePrefix="0" xfId="11"/>
    <xf numFmtId="43" fontId="59" fillId="0" borderId="0" applyAlignment="1" pivotButton="0" quotePrefix="0" xfId="9">
      <alignment horizontal="right"/>
    </xf>
    <xf numFmtId="168" fontId="59" fillId="0" borderId="0" pivotButton="0" quotePrefix="0" xfId="9"/>
    <xf numFmtId="43" fontId="59" fillId="0" borderId="0" pivotButton="0" quotePrefix="0" xfId="9"/>
    <xf numFmtId="168" fontId="59" fillId="0" borderId="0" applyAlignment="1" pivotButton="0" quotePrefix="0" xfId="9">
      <alignment horizontal="right"/>
    </xf>
    <xf numFmtId="3" fontId="13" fillId="0" borderId="0" pivotButton="0" quotePrefix="0" xfId="9"/>
    <xf numFmtId="168" fontId="59" fillId="0" borderId="0" applyAlignment="1" pivotButton="0" quotePrefix="0" xfId="9">
      <alignment vertical="center"/>
    </xf>
    <xf numFmtId="168" fontId="59" fillId="0" borderId="0" applyAlignment="1" pivotButton="0" quotePrefix="0" xfId="9">
      <alignment horizontal="right"/>
    </xf>
    <xf numFmtId="168" fontId="59" fillId="0" borderId="0" pivotButton="0" quotePrefix="0" xfId="9"/>
    <xf numFmtId="168" fontId="59" fillId="0" borderId="0" applyAlignment="1" pivotButton="0" quotePrefix="0" xfId="8">
      <alignment vertical="center"/>
    </xf>
    <xf numFmtId="168" fontId="52" fillId="0" borderId="4" pivotButton="0" quotePrefix="0" xfId="9"/>
    <xf numFmtId="168" fontId="52" fillId="0" borderId="3" pivotButton="0" quotePrefix="0" xfId="9"/>
    <xf numFmtId="0" fontId="52" fillId="0" borderId="3" applyAlignment="1" pivotButton="0" quotePrefix="0" xfId="8">
      <alignment horizontal="center" vertical="center"/>
    </xf>
    <xf numFmtId="168" fontId="58" fillId="0" borderId="4" applyAlignment="1" pivotButton="0" quotePrefix="0" xfId="9">
      <alignment horizontal="center" vertical="center"/>
    </xf>
    <xf numFmtId="168" fontId="58" fillId="0" borderId="32" applyAlignment="1" pivotButton="0" quotePrefix="0" xfId="9">
      <alignment horizontal="center" vertical="center"/>
    </xf>
    <xf numFmtId="171" fontId="67" fillId="0" borderId="0" applyAlignment="1" pivotButton="0" quotePrefix="0" xfId="16">
      <alignment vertical="center"/>
    </xf>
    <xf numFmtId="171" fontId="67" fillId="0" borderId="0" applyAlignment="1" pivotButton="0" quotePrefix="0" xfId="17">
      <alignment vertical="center"/>
    </xf>
    <xf numFmtId="168" fontId="72" fillId="0" borderId="0" applyAlignment="1" pivotButton="0" quotePrefix="0" xfId="8">
      <alignment horizontal="left" vertical="center"/>
    </xf>
    <xf numFmtId="168" fontId="59" fillId="0" borderId="0" pivotButton="0" quotePrefix="0" xfId="1"/>
    <xf numFmtId="168" fontId="59" fillId="0" borderId="0" applyAlignment="1" pivotButton="0" quotePrefix="0" xfId="1">
      <alignment vertical="center"/>
    </xf>
    <xf numFmtId="168" fontId="59" fillId="0" borderId="0" applyAlignment="1" pivotButton="0" quotePrefix="0" xfId="1">
      <alignment horizontal="right"/>
    </xf>
    <xf numFmtId="168" fontId="59" fillId="0" borderId="34" applyAlignment="1" pivotButton="0" quotePrefix="0" xfId="1">
      <alignment horizontal="right"/>
    </xf>
    <xf numFmtId="0" fontId="33" fillId="0" borderId="0" pivotButton="0" quotePrefix="0" xfId="0"/>
    <xf numFmtId="0" fontId="14" fillId="0" borderId="11" pivotButton="0" quotePrefix="0" xfId="0"/>
    <xf numFmtId="0" fontId="5" fillId="0" borderId="0" pivotButton="0" quotePrefix="0" xfId="0"/>
    <xf numFmtId="0" fontId="25" fillId="0" borderId="0" pivotButton="0" quotePrefix="0" xfId="0"/>
    <xf numFmtId="0" fontId="76" fillId="0" borderId="0" pivotButton="0" quotePrefix="0" xfId="0"/>
    <xf numFmtId="172" fontId="76" fillId="0" borderId="0" pivotButton="0" quotePrefix="0" xfId="3"/>
    <xf numFmtId="0" fontId="25" fillId="0" borderId="11" applyAlignment="1" pivotButton="0" quotePrefix="0" xfId="0">
      <alignment horizontal="center" vertical="center"/>
    </xf>
    <xf numFmtId="0" fontId="75" fillId="0" borderId="0" pivotButton="0" quotePrefix="0" xfId="0"/>
    <xf numFmtId="0" fontId="25" fillId="0" borderId="0" applyAlignment="1" pivotButton="0" quotePrefix="0" xfId="0">
      <alignment horizontal="center" vertical="center"/>
    </xf>
    <xf numFmtId="0" fontId="77" fillId="0" borderId="0" applyAlignment="1" pivotButton="0" quotePrefix="0" xfId="26">
      <alignment vertical="center"/>
    </xf>
    <xf numFmtId="0" fontId="77" fillId="0" borderId="0" applyAlignment="1" pivotButton="0" quotePrefix="0" xfId="0">
      <alignment horizontal="right" vertical="center"/>
    </xf>
    <xf numFmtId="0" fontId="78" fillId="0" borderId="0" applyAlignment="1" pivotButton="0" quotePrefix="0" xfId="0">
      <alignment vertical="center"/>
    </xf>
    <xf numFmtId="0" fontId="78" fillId="0" borderId="0" applyAlignment="1" pivotButton="0" quotePrefix="0" xfId="0">
      <alignment vertical="top"/>
    </xf>
    <xf numFmtId="0" fontId="78" fillId="0" borderId="0" applyAlignment="1" pivotButton="0" quotePrefix="0" xfId="0">
      <alignment horizontal="right" vertical="top"/>
    </xf>
    <xf numFmtId="0" fontId="79" fillId="0" borderId="0" pivotButton="0" quotePrefix="0" xfId="0"/>
    <xf numFmtId="168" fontId="78" fillId="0" borderId="0" applyAlignment="1" pivotButton="0" quotePrefix="0" xfId="1">
      <alignment horizontal="right" vertical="center" wrapText="1"/>
    </xf>
    <xf numFmtId="168" fontId="78" fillId="0" borderId="0" applyAlignment="1" pivotButton="0" quotePrefix="0" xfId="1">
      <alignment horizontal="right" vertical="center"/>
    </xf>
    <xf numFmtId="0" fontId="78" fillId="0" borderId="0" applyAlignment="1" pivotButton="0" quotePrefix="0" xfId="0">
      <alignment horizontal="left" vertical="center"/>
    </xf>
    <xf numFmtId="173" fontId="78" fillId="0" borderId="0" applyAlignment="1" pivotButton="0" quotePrefix="0" xfId="0">
      <alignment horizontal="left"/>
    </xf>
    <xf numFmtId="168" fontId="78" fillId="0" borderId="1" applyAlignment="1" pivotButton="0" quotePrefix="0" xfId="1">
      <alignment horizontal="right" vertical="center"/>
    </xf>
    <xf numFmtId="174" fontId="78" fillId="0" borderId="0" pivotButton="0" quotePrefix="0" xfId="1"/>
    <xf numFmtId="0" fontId="80" fillId="8" borderId="4" applyAlignment="1" pivotButton="0" quotePrefix="0" xfId="26">
      <alignment horizontal="center" vertical="center"/>
    </xf>
    <xf numFmtId="168" fontId="80" fillId="8" borderId="4" applyAlignment="1" pivotButton="0" quotePrefix="0" xfId="27">
      <alignment horizontal="center" vertical="center"/>
    </xf>
    <xf numFmtId="0" fontId="78" fillId="8" borderId="4" applyAlignment="1" pivotButton="0" quotePrefix="0" xfId="26">
      <alignment horizontal="center" vertical="center"/>
    </xf>
    <xf numFmtId="168" fontId="78" fillId="8" borderId="4" applyAlignment="1" pivotButton="0" quotePrefix="0" xfId="27">
      <alignment horizontal="center" vertical="center"/>
    </xf>
    <xf numFmtId="0" fontId="77" fillId="8" borderId="4" applyAlignment="1" pivotButton="0" quotePrefix="0" xfId="26">
      <alignment vertical="center"/>
    </xf>
    <xf numFmtId="0" fontId="77" fillId="0" borderId="4" applyAlignment="1" pivotButton="0" quotePrefix="0" xfId="26">
      <alignment horizontal="center" vertical="center"/>
    </xf>
    <xf numFmtId="0" fontId="77" fillId="0" borderId="4" applyAlignment="1" pivotButton="0" quotePrefix="0" xfId="26">
      <alignment vertical="center"/>
    </xf>
    <xf numFmtId="0" fontId="78" fillId="0" borderId="4" applyAlignment="1" pivotButton="0" quotePrefix="0" xfId="26">
      <alignment horizontal="left" vertical="center"/>
    </xf>
    <xf numFmtId="0" fontId="78" fillId="0" borderId="4" applyAlignment="1" pivotButton="0" quotePrefix="0" xfId="26">
      <alignment horizontal="center" vertical="center"/>
    </xf>
    <xf numFmtId="43" fontId="78" fillId="0" borderId="4" applyAlignment="1" pivotButton="0" quotePrefix="0" xfId="21">
      <alignment vertical="center"/>
    </xf>
    <xf numFmtId="168" fontId="77" fillId="0" borderId="4" applyAlignment="1" pivotButton="0" quotePrefix="0" xfId="27">
      <alignment vertical="center"/>
    </xf>
    <xf numFmtId="3" fontId="77" fillId="0" borderId="0" applyAlignment="1" pivotButton="0" quotePrefix="0" xfId="26">
      <alignment vertical="center"/>
    </xf>
    <xf numFmtId="169" fontId="78" fillId="0" borderId="4" applyAlignment="1" pivotButton="0" quotePrefix="0" xfId="23">
      <alignment horizontal="center" vertical="center"/>
    </xf>
    <xf numFmtId="0" fontId="78" fillId="3" borderId="4" applyAlignment="1" pivotButton="0" quotePrefix="0" xfId="26">
      <alignment horizontal="left" vertical="center"/>
    </xf>
    <xf numFmtId="0" fontId="78" fillId="3" borderId="4" applyAlignment="1" pivotButton="0" quotePrefix="0" xfId="26">
      <alignment horizontal="center" vertical="center"/>
    </xf>
    <xf numFmtId="175" fontId="78" fillId="3" borderId="4" applyAlignment="1" pivotButton="0" quotePrefix="0" xfId="26">
      <alignment horizontal="center" vertical="center" wrapText="1"/>
    </xf>
    <xf numFmtId="176" fontId="78" fillId="3" borderId="4" applyAlignment="1" pivotButton="0" quotePrefix="0" xfId="26">
      <alignment horizontal="center" vertical="center"/>
    </xf>
    <xf numFmtId="168" fontId="78" fillId="0" borderId="4" applyAlignment="1" pivotButton="0" quotePrefix="0" xfId="27">
      <alignment vertical="center"/>
    </xf>
    <xf numFmtId="168" fontId="77" fillId="0" borderId="4" pivotButton="0" quotePrefix="0" xfId="27"/>
    <xf numFmtId="0" fontId="82" fillId="0" borderId="4" applyAlignment="1" pivotButton="0" quotePrefix="0" xfId="26">
      <alignment vertical="center"/>
    </xf>
    <xf numFmtId="174" fontId="82" fillId="0" borderId="4" applyAlignment="1" pivotButton="0" quotePrefix="0" xfId="27">
      <alignment vertical="center"/>
    </xf>
    <xf numFmtId="0" fontId="77" fillId="0" borderId="0" applyAlignment="1" pivotButton="0" quotePrefix="0" xfId="26">
      <alignment horizontal="center" vertical="center"/>
    </xf>
    <xf numFmtId="168" fontId="78" fillId="0" borderId="0" applyAlignment="1" pivotButton="0" quotePrefix="0" xfId="27">
      <alignment vertical="center"/>
    </xf>
    <xf numFmtId="0" fontId="83" fillId="0" borderId="0" applyAlignment="1" pivotButton="0" quotePrefix="0" xfId="26">
      <alignment vertical="center"/>
    </xf>
    <xf numFmtId="0" fontId="83" fillId="0" borderId="0" pivotButton="0" quotePrefix="0" xfId="26"/>
    <xf numFmtId="0" fontId="84" fillId="0" borderId="0" applyAlignment="1" pivotButton="0" quotePrefix="0" xfId="26">
      <alignment horizontal="center" vertical="center"/>
    </xf>
    <xf numFmtId="174" fontId="83" fillId="0" borderId="0" pivotButton="0" quotePrefix="0" xfId="26"/>
    <xf numFmtId="0" fontId="83" fillId="0" borderId="0" applyAlignment="1" pivotButton="0" quotePrefix="0" xfId="26">
      <alignment horizontal="center" vertical="center"/>
    </xf>
    <xf numFmtId="43" fontId="84" fillId="0" borderId="0" pivotButton="0" quotePrefix="0" xfId="27"/>
    <xf numFmtId="0" fontId="78" fillId="0" borderId="0" applyAlignment="1" pivotButton="0" quotePrefix="0" xfId="26">
      <alignment horizontal="center" vertical="center"/>
    </xf>
    <xf numFmtId="0" fontId="77" fillId="0" borderId="0" applyAlignment="1" pivotButton="0" quotePrefix="0" xfId="26">
      <alignment horizontal="center" vertical="center" wrapText="1"/>
    </xf>
    <xf numFmtId="0" fontId="77" fillId="0" borderId="1" applyAlignment="1" pivotButton="0" quotePrefix="0" xfId="26">
      <alignment vertical="center"/>
    </xf>
    <xf numFmtId="0" fontId="77" fillId="0" borderId="0" pivotButton="0" quotePrefix="0" xfId="26"/>
    <xf numFmtId="0" fontId="77" fillId="0" borderId="4" applyAlignment="1" pivotButton="0" quotePrefix="0" xfId="26">
      <alignment vertical="center" wrapText="1"/>
    </xf>
    <xf numFmtId="174" fontId="77" fillId="0" borderId="4" applyAlignment="1" pivotButton="0" quotePrefix="0" xfId="27">
      <alignment vertical="center"/>
    </xf>
    <xf numFmtId="0" fontId="77" fillId="0" borderId="0" applyAlignment="1" pivotButton="0" quotePrefix="0" xfId="26">
      <alignment vertical="center" wrapText="1"/>
    </xf>
    <xf numFmtId="0" fontId="77" fillId="4" borderId="4" applyAlignment="1" pivotButton="0" quotePrefix="0" xfId="26">
      <alignment vertical="center"/>
    </xf>
    <xf numFmtId="174" fontId="77" fillId="4" borderId="4" applyAlignment="1" pivotButton="0" quotePrefix="0" xfId="27">
      <alignment vertical="center"/>
    </xf>
    <xf numFmtId="0" fontId="82" fillId="0" borderId="4" applyAlignment="1" pivotButton="0" quotePrefix="0" xfId="26">
      <alignment horizontal="center" vertical="center" wrapText="1"/>
    </xf>
    <xf numFmtId="174" fontId="77" fillId="0" borderId="4" applyAlignment="1" pivotButton="0" quotePrefix="0" xfId="27">
      <alignment vertical="center"/>
    </xf>
    <xf numFmtId="0" fontId="82" fillId="4" borderId="4" applyAlignment="1" pivotButton="0" quotePrefix="0" xfId="26">
      <alignment vertical="center"/>
    </xf>
    <xf numFmtId="174" fontId="82" fillId="4" borderId="4" applyAlignment="1" pivotButton="0" quotePrefix="0" xfId="27">
      <alignment vertical="center"/>
    </xf>
    <xf numFmtId="168" fontId="82" fillId="0" borderId="4" applyAlignment="1" pivotButton="0" quotePrefix="0" xfId="26">
      <alignment horizontal="center" vertical="center"/>
    </xf>
    <xf numFmtId="174" fontId="77" fillId="0" borderId="4" applyAlignment="1" pivotButton="0" quotePrefix="0" xfId="26">
      <alignment vertical="center"/>
    </xf>
    <xf numFmtId="0" fontId="84" fillId="8" borderId="4" applyAlignment="1" pivotButton="0" quotePrefix="0" xfId="0">
      <alignment horizontal="center" vertical="center"/>
    </xf>
    <xf numFmtId="0" fontId="84" fillId="0" borderId="4" applyAlignment="1" pivotButton="0" quotePrefix="0" xfId="0">
      <alignment horizontal="center" vertical="center"/>
    </xf>
    <xf numFmtId="43" fontId="84" fillId="0" borderId="4" applyAlignment="1" pivotButton="0" quotePrefix="0" xfId="21">
      <alignment horizontal="left" vertical="center"/>
    </xf>
    <xf numFmtId="43" fontId="84" fillId="0" borderId="4" applyAlignment="1" pivotButton="0" quotePrefix="0" xfId="22">
      <alignment horizontal="left" vertical="center"/>
    </xf>
    <xf numFmtId="166" fontId="84" fillId="0" borderId="4" applyAlignment="1" pivotButton="0" quotePrefix="0" xfId="23">
      <alignment horizontal="center" vertical="center"/>
    </xf>
    <xf numFmtId="167" fontId="84" fillId="0" borderId="4" applyAlignment="1" pivotButton="0" quotePrefix="1" xfId="24">
      <alignment horizontal="right" vertical="center"/>
    </xf>
    <xf numFmtId="168" fontId="84" fillId="0" borderId="4" applyAlignment="1" pivotButton="0" quotePrefix="0" xfId="1">
      <alignment vertical="center"/>
    </xf>
    <xf numFmtId="168" fontId="84" fillId="0" borderId="4" applyAlignment="1" pivotButton="0" quotePrefix="0" xfId="1">
      <alignment vertical="center"/>
    </xf>
    <xf numFmtId="0" fontId="84" fillId="0" borderId="4" pivotButton="0" quotePrefix="0" xfId="0"/>
    <xf numFmtId="168" fontId="84" fillId="4" borderId="4" applyAlignment="1" pivotButton="0" quotePrefix="0" xfId="1">
      <alignment vertical="center"/>
    </xf>
    <xf numFmtId="0" fontId="86" fillId="0" borderId="0" pivotButton="0" quotePrefix="0" xfId="0"/>
    <xf numFmtId="172" fontId="79" fillId="0" borderId="0" pivotButton="0" quotePrefix="0" xfId="3"/>
    <xf numFmtId="43" fontId="87" fillId="0" borderId="4" applyAlignment="1" pivotButton="0" quotePrefix="0" xfId="21">
      <alignment horizontal="left" vertical="center"/>
    </xf>
    <xf numFmtId="166" fontId="87" fillId="0" borderId="4" applyAlignment="1" pivotButton="0" quotePrefix="0" xfId="23">
      <alignment horizontal="center" vertical="center"/>
    </xf>
    <xf numFmtId="43" fontId="87" fillId="0" borderId="4" applyAlignment="1" pivotButton="0" quotePrefix="0" xfId="1">
      <alignment vertical="center"/>
    </xf>
    <xf numFmtId="0" fontId="78" fillId="8" borderId="4" applyAlignment="1" pivotButton="0" quotePrefix="0" xfId="0">
      <alignment horizontal="center" vertical="center"/>
    </xf>
    <xf numFmtId="0" fontId="78" fillId="0" borderId="4" applyAlignment="1" pivotButton="0" quotePrefix="0" xfId="0">
      <alignment horizontal="center" vertical="center"/>
    </xf>
    <xf numFmtId="43" fontId="78" fillId="0" borderId="4" applyAlignment="1" pivotButton="0" quotePrefix="0" xfId="21">
      <alignment horizontal="left" vertical="center"/>
    </xf>
    <xf numFmtId="43" fontId="78" fillId="0" borderId="4" applyAlignment="1" pivotButton="0" quotePrefix="0" xfId="22">
      <alignment horizontal="left" vertical="center"/>
    </xf>
    <xf numFmtId="166" fontId="88" fillId="0" borderId="4" applyAlignment="1" pivotButton="0" quotePrefix="0" xfId="0">
      <alignment horizontal="center" vertical="center"/>
    </xf>
    <xf numFmtId="167" fontId="78" fillId="0" borderId="4" applyAlignment="1" pivotButton="0" quotePrefix="1" xfId="24">
      <alignment horizontal="right" vertical="center"/>
    </xf>
    <xf numFmtId="166" fontId="78" fillId="0" borderId="4" applyAlignment="1" pivotButton="0" quotePrefix="0" xfId="23">
      <alignment horizontal="center" vertical="center"/>
    </xf>
    <xf numFmtId="43" fontId="78" fillId="0" borderId="4" applyAlignment="1" pivotButton="0" quotePrefix="0" xfId="1">
      <alignment vertical="center"/>
    </xf>
    <xf numFmtId="168" fontId="78" fillId="0" borderId="4" applyAlignment="1" pivotButton="0" quotePrefix="0" xfId="1">
      <alignment vertical="center"/>
    </xf>
    <xf numFmtId="0" fontId="78" fillId="0" borderId="4" applyAlignment="1" pivotButton="0" quotePrefix="0" xfId="29">
      <alignment horizontal="left" vertical="center"/>
    </xf>
    <xf numFmtId="177" fontId="78" fillId="0" borderId="4" applyAlignment="1" pivotButton="0" quotePrefix="0" xfId="29">
      <alignment horizontal="center" vertical="center"/>
    </xf>
    <xf numFmtId="166" fontId="78" fillId="0" borderId="4" applyAlignment="1" pivotButton="0" quotePrefix="0" xfId="29">
      <alignment horizontal="center" vertical="center"/>
    </xf>
    <xf numFmtId="167" fontId="78" fillId="0" borderId="4" applyAlignment="1" pivotButton="0" quotePrefix="1" xfId="24">
      <alignment horizontal="center" vertical="center"/>
    </xf>
    <xf numFmtId="174" fontId="78" fillId="0" borderId="4" applyAlignment="1" pivotButton="0" quotePrefix="0" xfId="1">
      <alignment horizontal="center" vertical="center"/>
    </xf>
    <xf numFmtId="168" fontId="78" fillId="0" borderId="4" applyAlignment="1" pivotButton="0" quotePrefix="0" xfId="1">
      <alignment horizontal="center" vertical="center"/>
    </xf>
    <xf numFmtId="168" fontId="78" fillId="4" borderId="4" applyAlignment="1" pivotButton="0" quotePrefix="0" xfId="1">
      <alignment vertical="center"/>
    </xf>
    <xf numFmtId="0" fontId="78" fillId="0" borderId="0" pivotButton="0" quotePrefix="0" xfId="0"/>
    <xf numFmtId="0" fontId="84" fillId="0" borderId="0" pivotButton="0" quotePrefix="0" xfId="0"/>
    <xf numFmtId="0" fontId="77" fillId="0" borderId="0" applyAlignment="1" pivotButton="0" quotePrefix="0" xfId="0">
      <alignment horizontal="left" vertical="center"/>
    </xf>
    <xf numFmtId="168" fontId="78" fillId="0" borderId="0" applyAlignment="1" pivotButton="0" quotePrefix="0" xfId="1">
      <alignment horizontal="center" vertical="center" wrapText="1"/>
    </xf>
    <xf numFmtId="0" fontId="89" fillId="0" borderId="0" pivotButton="0" quotePrefix="0" xfId="0"/>
    <xf numFmtId="168" fontId="78" fillId="0" borderId="1" applyAlignment="1" pivotButton="0" quotePrefix="0" xfId="1">
      <alignment vertical="center"/>
    </xf>
    <xf numFmtId="43" fontId="78" fillId="0" borderId="4" applyAlignment="1" pivotButton="0" quotePrefix="0" xfId="21">
      <alignment horizontal="left" vertical="center" wrapText="1"/>
    </xf>
    <xf numFmtId="168" fontId="78" fillId="0" borderId="4" applyAlignment="1" pivotButton="0" quotePrefix="0" xfId="1">
      <alignment vertical="center"/>
    </xf>
    <xf numFmtId="172" fontId="78" fillId="0" borderId="0" applyAlignment="1" pivotButton="0" quotePrefix="0" xfId="3">
      <alignment horizontal="center" vertical="center"/>
    </xf>
    <xf numFmtId="166" fontId="87" fillId="0" borderId="4" applyAlignment="1" pivotButton="0" quotePrefix="0" xfId="21">
      <alignment vertical="center"/>
    </xf>
    <xf numFmtId="0" fontId="87" fillId="0" borderId="4" applyAlignment="1" pivotButton="0" quotePrefix="0" xfId="1">
      <alignment vertical="center"/>
    </xf>
    <xf numFmtId="0" fontId="78" fillId="0" borderId="0" applyAlignment="1" pivotButton="0" quotePrefix="0" xfId="0">
      <alignment horizontal="center" vertical="center"/>
    </xf>
    <xf numFmtId="0" fontId="86" fillId="0" borderId="0" applyAlignment="1" pivotButton="0" quotePrefix="0" xfId="0">
      <alignment horizontal="right"/>
    </xf>
    <xf numFmtId="15" fontId="86" fillId="0" borderId="0" pivotButton="0" quotePrefix="0" xfId="0"/>
    <xf numFmtId="0" fontId="90" fillId="0" borderId="0" pivotButton="0" quotePrefix="0" xfId="0"/>
    <xf numFmtId="3" fontId="77" fillId="0" borderId="0" pivotButton="0" quotePrefix="0" xfId="30"/>
    <xf numFmtId="3" fontId="77" fillId="0" borderId="0" applyAlignment="1" pivotButton="0" quotePrefix="0" xfId="30">
      <alignment horizontal="right"/>
    </xf>
    <xf numFmtId="0" fontId="77" fillId="0" borderId="0" pivotButton="0" quotePrefix="0" xfId="30"/>
    <xf numFmtId="0" fontId="77" fillId="0" borderId="0" applyAlignment="1" pivotButton="0" quotePrefix="0" xfId="30">
      <alignment horizontal="right"/>
    </xf>
    <xf numFmtId="174" fontId="80" fillId="4" borderId="4" pivotButton="0" quotePrefix="0" xfId="1"/>
    <xf numFmtId="174" fontId="80" fillId="4" borderId="4" applyAlignment="1" pivotButton="0" quotePrefix="0" xfId="1">
      <alignment vertical="center"/>
    </xf>
    <xf numFmtId="174" fontId="91" fillId="4" borderId="4" applyAlignment="1" pivotButton="0" quotePrefix="0" xfId="1">
      <alignment vertical="center"/>
    </xf>
    <xf numFmtId="0" fontId="92" fillId="0" borderId="0" applyAlignment="1" pivotButton="0" quotePrefix="0" xfId="4">
      <alignment vertical="center"/>
    </xf>
    <xf numFmtId="168" fontId="92" fillId="0" borderId="0" applyAlignment="1" pivotButton="0" quotePrefix="0" xfId="1">
      <alignment vertical="center"/>
    </xf>
    <xf numFmtId="0" fontId="93" fillId="0" borderId="0" pivotButton="0" quotePrefix="0" xfId="0"/>
    <xf numFmtId="0" fontId="94" fillId="0" borderId="0" applyAlignment="1" pivotButton="0" quotePrefix="0" xfId="0">
      <alignment horizontal="left" vertical="center"/>
    </xf>
    <xf numFmtId="0" fontId="92" fillId="0" borderId="0" applyAlignment="1" pivotButton="0" quotePrefix="0" xfId="0">
      <alignment vertical="center"/>
    </xf>
    <xf numFmtId="0" fontId="92" fillId="0" borderId="0" applyAlignment="1" pivotButton="0" quotePrefix="0" xfId="0">
      <alignment vertical="top"/>
    </xf>
    <xf numFmtId="0" fontId="92" fillId="0" borderId="0" applyAlignment="1" pivotButton="0" quotePrefix="0" xfId="0">
      <alignment horizontal="right" vertical="top"/>
    </xf>
    <xf numFmtId="168" fontId="92" fillId="0" borderId="0" applyAlignment="1" pivotButton="0" quotePrefix="0" xfId="1">
      <alignment horizontal="center" vertical="center" wrapText="1"/>
    </xf>
    <xf numFmtId="168" fontId="92" fillId="0" borderId="0" applyAlignment="1" pivotButton="0" quotePrefix="0" xfId="1">
      <alignment horizontal="right" vertical="center"/>
    </xf>
    <xf numFmtId="0" fontId="92" fillId="0" borderId="0" applyAlignment="1" pivotButton="0" quotePrefix="0" xfId="0">
      <alignment horizontal="left" vertical="center"/>
    </xf>
    <xf numFmtId="168" fontId="92" fillId="0" borderId="0" applyAlignment="1" pivotButton="0" quotePrefix="0" xfId="1">
      <alignment vertical="top" wrapText="1"/>
    </xf>
    <xf numFmtId="173" fontId="92" fillId="0" borderId="0" applyAlignment="1" pivotButton="0" quotePrefix="0" xfId="0">
      <alignment horizontal="left"/>
    </xf>
    <xf numFmtId="168" fontId="92" fillId="0" borderId="1" applyAlignment="1" pivotButton="0" quotePrefix="0" xfId="1">
      <alignment vertical="center"/>
    </xf>
    <xf numFmtId="174" fontId="92" fillId="0" borderId="0" pivotButton="0" quotePrefix="0" xfId="1"/>
    <xf numFmtId="172" fontId="78" fillId="0" borderId="0" pivotButton="0" quotePrefix="0" xfId="3"/>
    <xf numFmtId="0" fontId="94" fillId="0" borderId="0" applyAlignment="1" pivotButton="0" quotePrefix="0" xfId="26">
      <alignment vertical="center"/>
    </xf>
    <xf numFmtId="0" fontId="94" fillId="0" borderId="0" applyAlignment="1" pivotButton="0" quotePrefix="0" xfId="0">
      <alignment horizontal="right" vertical="center"/>
    </xf>
    <xf numFmtId="168" fontId="92" fillId="0" borderId="0" applyAlignment="1" pivotButton="0" quotePrefix="0" xfId="1">
      <alignment horizontal="right" vertical="center" wrapText="1"/>
    </xf>
    <xf numFmtId="168" fontId="92" fillId="0" borderId="1" applyAlignment="1" pivotButton="0" quotePrefix="0" xfId="1">
      <alignment horizontal="right" vertical="center"/>
    </xf>
    <xf numFmtId="0" fontId="92" fillId="0" borderId="0" applyAlignment="1" pivotButton="0" quotePrefix="0" xfId="26">
      <alignment horizontal="center" vertical="center"/>
    </xf>
    <xf numFmtId="15" fontId="78" fillId="0" borderId="4" applyAlignment="1" pivotButton="0" quotePrefix="0" xfId="26">
      <alignment horizontal="center" vertical="center"/>
    </xf>
    <xf numFmtId="15" fontId="77" fillId="0" borderId="0" applyAlignment="1" pivotButton="0" quotePrefix="0" xfId="26">
      <alignment vertical="center"/>
    </xf>
    <xf numFmtId="15" fontId="83" fillId="0" borderId="0" pivotButton="0" quotePrefix="0" xfId="26"/>
    <xf numFmtId="168" fontId="77" fillId="0" borderId="4" applyAlignment="1" pivotButton="0" quotePrefix="0" xfId="1">
      <alignment vertical="center"/>
    </xf>
    <xf numFmtId="168" fontId="77" fillId="0" borderId="0" applyAlignment="1" pivotButton="0" quotePrefix="0" xfId="1">
      <alignment vertical="center"/>
    </xf>
    <xf numFmtId="168" fontId="77" fillId="0" borderId="0" pivotButton="0" quotePrefix="0" xfId="1"/>
    <xf numFmtId="168" fontId="83" fillId="0" borderId="0" pivotButton="0" quotePrefix="0" xfId="1"/>
    <xf numFmtId="168" fontId="94" fillId="0" borderId="0" applyAlignment="1" pivotButton="0" quotePrefix="0" xfId="1">
      <alignment vertical="center"/>
    </xf>
    <xf numFmtId="168" fontId="80" fillId="8" borderId="4" applyAlignment="1" pivotButton="0" quotePrefix="0" xfId="1">
      <alignment horizontal="center" vertical="center" wrapText="1"/>
    </xf>
    <xf numFmtId="174" fontId="77" fillId="0" borderId="4" applyAlignment="1" pivotButton="0" quotePrefix="0" xfId="26">
      <alignment vertical="center" wrapText="1"/>
    </xf>
    <xf numFmtId="174" fontId="33" fillId="0" borderId="0" pivotButton="0" quotePrefix="0" xfId="0"/>
    <xf numFmtId="0" fontId="77" fillId="0" borderId="11" applyAlignment="1" pivotButton="0" quotePrefix="0" xfId="26">
      <alignment horizontal="center" vertical="center"/>
    </xf>
    <xf numFmtId="15" fontId="84" fillId="0" borderId="4" applyAlignment="1" pivotButton="0" quotePrefix="0" xfId="0">
      <alignment horizontal="center" vertical="center"/>
    </xf>
    <xf numFmtId="0" fontId="78" fillId="0" borderId="0" applyAlignment="1" pivotButton="0" quotePrefix="0" xfId="0">
      <alignment horizontal="center"/>
    </xf>
    <xf numFmtId="0" fontId="84" fillId="0" borderId="4" applyAlignment="1" pivotButton="0" quotePrefix="0" xfId="22">
      <alignment horizontal="left" vertical="center"/>
    </xf>
    <xf numFmtId="168" fontId="14" fillId="0" borderId="0" pivotButton="0" quotePrefix="0" xfId="0"/>
    <xf numFmtId="168" fontId="77" fillId="0" borderId="4" applyAlignment="1" pivotButton="0" quotePrefix="0" xfId="26">
      <alignment vertical="center"/>
    </xf>
    <xf numFmtId="1" fontId="78" fillId="0" borderId="4" applyAlignment="1" pivotButton="0" quotePrefix="0" xfId="26">
      <alignment horizontal="center" vertical="center" wrapText="1"/>
    </xf>
    <xf numFmtId="3" fontId="83" fillId="0" borderId="0" pivotButton="0" quotePrefix="0" xfId="26"/>
    <xf numFmtId="0" fontId="82" fillId="0" borderId="4" applyAlignment="1" pivotButton="0" quotePrefix="0" xfId="26">
      <alignment horizontal="center" vertical="center"/>
    </xf>
    <xf numFmtId="168" fontId="77" fillId="0" borderId="0" applyAlignment="1" pivotButton="0" quotePrefix="0" xfId="26">
      <alignment horizontal="center" vertical="center"/>
    </xf>
    <xf numFmtId="168" fontId="84" fillId="0" borderId="4" applyAlignment="1" pivotButton="0" quotePrefix="0" xfId="1">
      <alignment horizontal="center" vertical="center"/>
    </xf>
    <xf numFmtId="0" fontId="77" fillId="0" borderId="0" applyAlignment="1" pivotButton="0" quotePrefix="0" xfId="30">
      <alignment horizontal="center" vertical="center"/>
    </xf>
    <xf numFmtId="0" fontId="77" fillId="0" borderId="0" applyAlignment="1" pivotButton="0" quotePrefix="0" xfId="30">
      <alignment horizontal="center"/>
    </xf>
    <xf numFmtId="0" fontId="77" fillId="5" borderId="0" applyAlignment="1" pivotButton="0" quotePrefix="0" xfId="30">
      <alignment horizontal="center"/>
    </xf>
    <xf numFmtId="0" fontId="77" fillId="5" borderId="0" applyAlignment="1" pivotButton="0" quotePrefix="0" xfId="30">
      <alignment horizontal="right"/>
    </xf>
    <xf numFmtId="0" fontId="95" fillId="9" borderId="35" applyAlignment="1" pivotButton="0" quotePrefix="0" xfId="0">
      <alignment horizontal="center"/>
    </xf>
    <xf numFmtId="43" fontId="95" fillId="9" borderId="35" applyAlignment="1" pivotButton="0" quotePrefix="0" xfId="1">
      <alignment horizontal="center"/>
    </xf>
    <xf numFmtId="0" fontId="97" fillId="0" borderId="0" pivotButton="0" quotePrefix="0" xfId="0"/>
    <xf numFmtId="15" fontId="97" fillId="0" borderId="0" pivotButton="0" quotePrefix="0" xfId="0"/>
    <xf numFmtId="43" fontId="97" fillId="0" borderId="0" pivotButton="0" quotePrefix="0" xfId="1"/>
    <xf numFmtId="15" fontId="97" fillId="5" borderId="0" pivotButton="0" quotePrefix="0" xfId="0"/>
    <xf numFmtId="178" fontId="97" fillId="0" borderId="0" pivotButton="0" quotePrefix="0" xfId="0"/>
    <xf numFmtId="174" fontId="82" fillId="0" borderId="0" applyAlignment="1" pivotButton="0" quotePrefix="0" xfId="27">
      <alignment vertical="center"/>
    </xf>
    <xf numFmtId="9" fontId="83" fillId="0" borderId="0" pivotButton="0" quotePrefix="0" xfId="31"/>
    <xf numFmtId="14" fontId="99" fillId="10" borderId="35" applyAlignment="1" pivotButton="0" quotePrefix="0" xfId="0">
      <alignment horizontal="left" vertical="top"/>
    </xf>
    <xf numFmtId="0" fontId="99" fillId="10" borderId="35" applyAlignment="1" pivotButton="0" quotePrefix="0" xfId="0">
      <alignment horizontal="left" vertical="top"/>
    </xf>
    <xf numFmtId="0" fontId="99" fillId="10" borderId="35" applyAlignment="1" pivotButton="0" quotePrefix="0" xfId="0">
      <alignment vertical="top"/>
    </xf>
    <xf numFmtId="0" fontId="99" fillId="10" borderId="35" applyAlignment="1" pivotButton="0" quotePrefix="0" xfId="0">
      <alignment vertical="center"/>
    </xf>
    <xf numFmtId="0" fontId="99" fillId="10" borderId="35" applyAlignment="1" pivotButton="0" quotePrefix="0" xfId="0">
      <alignment horizontal="right" vertical="top"/>
    </xf>
    <xf numFmtId="0" fontId="99" fillId="10" borderId="35" applyAlignment="1" pivotButton="0" quotePrefix="0" xfId="0">
      <alignment horizontal="center" vertical="top"/>
    </xf>
    <xf numFmtId="9" fontId="99" fillId="10" borderId="35" applyAlignment="1" pivotButton="0" quotePrefix="0" xfId="0">
      <alignment horizontal="center" vertical="top"/>
    </xf>
    <xf numFmtId="0" fontId="84" fillId="0" borderId="4" applyAlignment="1" pivotButton="0" quotePrefix="0" xfId="0">
      <alignment horizontal="left" vertical="center"/>
    </xf>
    <xf numFmtId="9" fontId="77" fillId="0" borderId="0" applyAlignment="1" pivotButton="0" quotePrefix="0" xfId="31">
      <alignment vertical="center"/>
    </xf>
    <xf numFmtId="0" fontId="77" fillId="5" borderId="4" applyAlignment="1" pivotButton="0" quotePrefix="0" xfId="26">
      <alignment horizontal="center" vertical="center"/>
    </xf>
    <xf numFmtId="0" fontId="77" fillId="5" borderId="4" applyAlignment="1" pivotButton="0" quotePrefix="0" xfId="26">
      <alignment vertical="center"/>
    </xf>
    <xf numFmtId="0" fontId="78" fillId="11" borderId="4" applyAlignment="1" pivotButton="0" quotePrefix="0" xfId="26">
      <alignment horizontal="left" vertical="center"/>
    </xf>
    <xf numFmtId="0" fontId="78" fillId="11" borderId="4" applyAlignment="1" pivotButton="0" quotePrefix="0" xfId="26">
      <alignment horizontal="center" vertical="center"/>
    </xf>
    <xf numFmtId="49" fontId="78" fillId="11" borderId="4" applyAlignment="1" pivotButton="0" quotePrefix="0" xfId="26">
      <alignment horizontal="center" vertical="center" wrapText="1"/>
    </xf>
    <xf numFmtId="15" fontId="78" fillId="11" borderId="4" applyAlignment="1" pivotButton="0" quotePrefix="0" xfId="26">
      <alignment horizontal="center" vertical="center"/>
    </xf>
    <xf numFmtId="43" fontId="78" fillId="11" borderId="4" applyAlignment="1" pivotButton="0" quotePrefix="0" xfId="21">
      <alignment vertical="center"/>
    </xf>
    <xf numFmtId="168" fontId="77" fillId="11" borderId="4" applyAlignment="1" pivotButton="0" quotePrefix="0" xfId="27">
      <alignment vertical="center"/>
    </xf>
    <xf numFmtId="1" fontId="78" fillId="11" borderId="4" applyAlignment="1" pivotButton="0" quotePrefix="0" xfId="26">
      <alignment horizontal="center" vertical="center" wrapText="1"/>
    </xf>
    <xf numFmtId="0" fontId="78" fillId="5" borderId="4" applyAlignment="1" pivotButton="0" quotePrefix="0" xfId="26">
      <alignment horizontal="center" vertical="center"/>
    </xf>
    <xf numFmtId="168" fontId="78" fillId="5" borderId="4" applyAlignment="1" pivotButton="0" quotePrefix="0" xfId="27">
      <alignment horizontal="center" vertical="center"/>
    </xf>
    <xf numFmtId="15" fontId="97" fillId="6" borderId="0" pivotButton="0" quotePrefix="0" xfId="0"/>
    <xf numFmtId="0" fontId="97" fillId="6" borderId="0" pivotButton="0" quotePrefix="0" xfId="0"/>
    <xf numFmtId="43" fontId="97" fillId="6" borderId="0" pivotButton="0" quotePrefix="0" xfId="1"/>
    <xf numFmtId="168" fontId="77" fillId="12" borderId="4" applyAlignment="1" pivotButton="0" quotePrefix="0" xfId="1">
      <alignment horizontal="center" vertical="center"/>
    </xf>
    <xf numFmtId="0" fontId="77" fillId="13" borderId="4" applyAlignment="1" pivotButton="0" quotePrefix="0" xfId="26">
      <alignment vertical="center"/>
    </xf>
    <xf numFmtId="49" fontId="77" fillId="14" borderId="4" applyAlignment="1" pivotButton="0" quotePrefix="0" xfId="1">
      <alignment vertical="center"/>
    </xf>
    <xf numFmtId="49" fontId="77" fillId="14" borderId="0" applyAlignment="1" pivotButton="0" quotePrefix="0" xfId="1">
      <alignment vertical="center"/>
    </xf>
    <xf numFmtId="49" fontId="77" fillId="14" borderId="4" applyAlignment="1" pivotButton="0" quotePrefix="0" xfId="26">
      <alignment vertical="center"/>
    </xf>
    <xf numFmtId="49" fontId="77" fillId="14" borderId="0" applyAlignment="1" pivotButton="0" quotePrefix="0" xfId="26">
      <alignment vertical="center"/>
    </xf>
    <xf numFmtId="49" fontId="97" fillId="14" borderId="0" pivotButton="0" quotePrefix="0" xfId="0"/>
    <xf numFmtId="0" fontId="0" fillId="0" borderId="0" pivotButton="0" quotePrefix="0" xfId="0"/>
    <xf numFmtId="0" fontId="0" fillId="5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left" vertical="center"/>
    </xf>
    <xf numFmtId="0" fontId="84" fillId="0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left" vertical="center"/>
    </xf>
    <xf numFmtId="168" fontId="78" fillId="0" borderId="0" applyAlignment="1" pivotButton="0" quotePrefix="0" xfId="1">
      <alignment horizontal="right" vertical="center"/>
    </xf>
    <xf numFmtId="0" fontId="90" fillId="0" borderId="0" pivotButton="0" quotePrefix="0" xfId="0"/>
    <xf numFmtId="3" fontId="84" fillId="0" borderId="0" applyAlignment="1" pivotButton="0" quotePrefix="0" xfId="0">
      <alignment horizontal="right" vertical="center" wrapText="1" indent="1"/>
    </xf>
    <xf numFmtId="0" fontId="6" fillId="0" borderId="0" pivotButton="0" quotePrefix="0" xfId="0"/>
    <xf numFmtId="0" fontId="77" fillId="5" borderId="0" pivotButton="0" quotePrefix="0" xfId="30"/>
    <xf numFmtId="0" fontId="80" fillId="4" borderId="14" applyAlignment="1" pivotButton="0" quotePrefix="0" xfId="0">
      <alignment horizontal="center" vertical="center"/>
    </xf>
    <xf numFmtId="0" fontId="80" fillId="4" borderId="17" applyAlignment="1" pivotButton="0" quotePrefix="0" xfId="0">
      <alignment horizontal="center" vertical="center"/>
    </xf>
    <xf numFmtId="0" fontId="80" fillId="4" borderId="9" applyAlignment="1" pivotButton="0" quotePrefix="0" xfId="0">
      <alignment horizontal="center" vertical="center"/>
    </xf>
    <xf numFmtId="0" fontId="78" fillId="0" borderId="0" applyAlignment="1" pivotButton="0" quotePrefix="0" xfId="0">
      <alignment horizontal="center" vertical="center"/>
    </xf>
    <xf numFmtId="0" fontId="78" fillId="0" borderId="0" applyAlignment="1" pivotButton="0" quotePrefix="0" xfId="0">
      <alignment horizontal="center"/>
    </xf>
    <xf numFmtId="0" fontId="80" fillId="0" borderId="0" applyAlignment="1" pivotButton="0" quotePrefix="0" xfId="4">
      <alignment horizontal="center" vertical="center"/>
    </xf>
    <xf numFmtId="0" fontId="78" fillId="8" borderId="4" applyAlignment="1" pivotButton="0" quotePrefix="0" xfId="0">
      <alignment horizontal="center" vertical="center"/>
    </xf>
    <xf numFmtId="0" fontId="78" fillId="8" borderId="10" applyAlignment="1" pivotButton="0" quotePrefix="0" xfId="0">
      <alignment horizontal="center" vertical="center"/>
    </xf>
    <xf numFmtId="0" fontId="78" fillId="8" borderId="3" applyAlignment="1" pivotButton="0" quotePrefix="0" xfId="0">
      <alignment horizontal="center" vertical="center"/>
    </xf>
    <xf numFmtId="0" fontId="78" fillId="8" borderId="14" applyAlignment="1" pivotButton="0" quotePrefix="0" xfId="0">
      <alignment horizontal="center" vertical="center"/>
    </xf>
    <xf numFmtId="0" fontId="78" fillId="8" borderId="9" applyAlignment="1" pivotButton="0" quotePrefix="0" xfId="0">
      <alignment horizontal="center" vertical="center"/>
    </xf>
    <xf numFmtId="0" fontId="84" fillId="8" borderId="4" applyAlignment="1" pivotButton="0" quotePrefix="0" xfId="0">
      <alignment horizontal="center" vertical="center"/>
    </xf>
    <xf numFmtId="0" fontId="89" fillId="8" borderId="4" applyAlignment="1" pivotButton="0" quotePrefix="0" xfId="0">
      <alignment horizontal="center" vertical="center" wrapText="1"/>
    </xf>
    <xf numFmtId="0" fontId="89" fillId="8" borderId="4" applyAlignment="1" pivotButton="0" quotePrefix="0" xfId="0">
      <alignment horizontal="center" vertical="center"/>
    </xf>
    <xf numFmtId="0" fontId="84" fillId="8" borderId="14" applyAlignment="1" pivotButton="0" quotePrefix="0" xfId="0">
      <alignment horizontal="center" vertical="center"/>
    </xf>
    <xf numFmtId="0" fontId="84" fillId="8" borderId="9" applyAlignment="1" pivotButton="0" quotePrefix="0" xfId="0">
      <alignment horizontal="center" vertical="center"/>
    </xf>
    <xf numFmtId="0" fontId="84" fillId="8" borderId="10" applyAlignment="1" pivotButton="0" quotePrefix="0" xfId="0">
      <alignment horizontal="center" vertical="center"/>
    </xf>
    <xf numFmtId="0" fontId="84" fillId="8" borderId="3" applyAlignment="1" pivotButton="0" quotePrefix="0" xfId="0">
      <alignment horizontal="center" vertical="center"/>
    </xf>
    <xf numFmtId="0" fontId="100" fillId="0" borderId="0" applyAlignment="1" pivotButton="0" quotePrefix="0" xfId="4">
      <alignment horizontal="center" vertical="center"/>
    </xf>
    <xf numFmtId="0" fontId="91" fillId="4" borderId="4" applyAlignment="1" pivotButton="0" quotePrefix="0" xfId="0">
      <alignment horizontal="center" vertical="center"/>
    </xf>
    <xf numFmtId="168" fontId="78" fillId="0" borderId="0" applyAlignment="1" pivotButton="0" quotePrefix="0" xfId="1">
      <alignment horizontal="right" vertical="center"/>
    </xf>
    <xf numFmtId="174" fontId="78" fillId="0" borderId="1" applyAlignment="1" pivotButton="0" quotePrefix="0" xfId="1">
      <alignment horizontal="right"/>
    </xf>
    <xf numFmtId="168" fontId="96" fillId="0" borderId="4" applyAlignment="1" pivotButton="0" quotePrefix="0" xfId="1">
      <alignment horizontal="center" vertical="center"/>
    </xf>
    <xf numFmtId="0" fontId="94" fillId="0" borderId="4" applyAlignment="1" pivotButton="0" quotePrefix="0" xfId="26">
      <alignment horizontal="center" vertical="center"/>
    </xf>
    <xf numFmtId="0" fontId="77" fillId="0" borderId="0" applyAlignment="1" pivotButton="0" quotePrefix="0" xfId="26">
      <alignment horizontal="center" vertical="center"/>
    </xf>
    <xf numFmtId="0" fontId="77" fillId="0" borderId="0" applyAlignment="1" pivotButton="0" quotePrefix="0" xfId="26">
      <alignment horizontal="center" vertical="center" wrapText="1"/>
    </xf>
    <xf numFmtId="0" fontId="83" fillId="0" borderId="0" applyAlignment="1" pivotButton="0" quotePrefix="0" xfId="26">
      <alignment horizontal="center" vertical="center"/>
    </xf>
    <xf numFmtId="0" fontId="78" fillId="0" borderId="0" applyAlignment="1" pivotButton="0" quotePrefix="0" xfId="26">
      <alignment horizontal="center" vertical="center"/>
    </xf>
    <xf numFmtId="0" fontId="80" fillId="0" borderId="5" applyAlignment="1" pivotButton="0" quotePrefix="0" xfId="26">
      <alignment horizontal="center" vertical="center" wrapText="1"/>
    </xf>
    <xf numFmtId="0" fontId="80" fillId="8" borderId="5" applyAlignment="1" pivotButton="0" quotePrefix="0" xfId="26">
      <alignment horizontal="center" vertical="center" wrapText="1"/>
    </xf>
    <xf numFmtId="0" fontId="80" fillId="8" borderId="10" applyAlignment="1" pivotButton="0" quotePrefix="0" xfId="26">
      <alignment horizontal="center" vertical="center" wrapText="1"/>
    </xf>
    <xf numFmtId="15" fontId="95" fillId="9" borderId="37" applyAlignment="1" pivotButton="0" quotePrefix="0" xfId="0">
      <alignment horizontal="center"/>
    </xf>
    <xf numFmtId="15" fontId="95" fillId="9" borderId="36" applyAlignment="1" pivotButton="0" quotePrefix="0" xfId="0">
      <alignment horizontal="center"/>
    </xf>
    <xf numFmtId="43" fontId="95" fillId="9" borderId="37" applyAlignment="1" pivotButton="0" quotePrefix="0" xfId="1">
      <alignment horizontal="center"/>
    </xf>
    <xf numFmtId="43" fontId="95" fillId="9" borderId="36" applyAlignment="1" pivotButton="0" quotePrefix="0" xfId="1">
      <alignment horizontal="center"/>
    </xf>
    <xf numFmtId="0" fontId="81" fillId="8" borderId="10" applyAlignment="1" pivotButton="0" quotePrefix="0" xfId="26">
      <alignment horizontal="center" vertical="center" wrapText="1"/>
    </xf>
    <xf numFmtId="0" fontId="81" fillId="8" borderId="3" applyAlignment="1" pivotButton="0" quotePrefix="0" xfId="26">
      <alignment horizontal="center" vertical="center" wrapText="1"/>
    </xf>
    <xf numFmtId="0" fontId="95" fillId="9" borderId="37" applyAlignment="1" pivotButton="0" quotePrefix="0" xfId="0">
      <alignment horizontal="center"/>
    </xf>
    <xf numFmtId="0" fontId="95" fillId="9" borderId="36" applyAlignment="1" pivotButton="0" quotePrefix="0" xfId="0">
      <alignment horizontal="center"/>
    </xf>
    <xf numFmtId="0" fontId="95" fillId="9" borderId="38" applyAlignment="1" pivotButton="0" quotePrefix="0" xfId="0">
      <alignment horizontal="center"/>
    </xf>
    <xf numFmtId="0" fontId="95" fillId="9" borderId="40" applyAlignment="1" pivotButton="0" quotePrefix="0" xfId="0">
      <alignment horizontal="center"/>
    </xf>
    <xf numFmtId="0" fontId="95" fillId="9" borderId="39" applyAlignment="1" pivotButton="0" quotePrefix="0" xfId="0">
      <alignment horizontal="center"/>
    </xf>
    <xf numFmtId="0" fontId="81" fillId="8" borderId="5" applyAlignment="1" pivotButton="0" quotePrefix="0" xfId="26">
      <alignment horizontal="center" vertical="center" wrapText="1"/>
    </xf>
    <xf numFmtId="0" fontId="85" fillId="0" borderId="0" applyAlignment="1" pivotButton="0" quotePrefix="0" xfId="25">
      <alignment horizontal="center" vertical="center"/>
    </xf>
    <xf numFmtId="168" fontId="85" fillId="0" borderId="0" applyAlignment="1" pivotButton="0" quotePrefix="0" xfId="1">
      <alignment horizontal="center" vertical="center"/>
    </xf>
    <xf numFmtId="0" fontId="80" fillId="8" borderId="10" applyAlignment="1" pivotButton="0" quotePrefix="0" xfId="26">
      <alignment horizontal="center" vertical="center"/>
    </xf>
    <xf numFmtId="0" fontId="80" fillId="8" borderId="3" applyAlignment="1" pivotButton="0" quotePrefix="0" xfId="26">
      <alignment horizontal="center" vertical="center"/>
    </xf>
    <xf numFmtId="0" fontId="80" fillId="8" borderId="3" applyAlignment="1" pivotButton="0" quotePrefix="0" xfId="26">
      <alignment horizontal="center" vertical="center" wrapText="1"/>
    </xf>
    <xf numFmtId="0" fontId="80" fillId="8" borderId="14" applyAlignment="1" pivotButton="0" quotePrefix="0" xfId="26">
      <alignment horizontal="center" vertical="center"/>
    </xf>
    <xf numFmtId="0" fontId="80" fillId="8" borderId="9" applyAlignment="1" pivotButton="0" quotePrefix="0" xfId="26">
      <alignment horizontal="center" vertical="center"/>
    </xf>
    <xf numFmtId="174" fontId="92" fillId="0" borderId="1" applyAlignment="1" pivotButton="0" quotePrefix="0" xfId="1">
      <alignment horizontal="center"/>
    </xf>
    <xf numFmtId="168" fontId="94" fillId="5" borderId="4" applyAlignment="1" pivotButton="0" quotePrefix="0" xfId="1">
      <alignment horizontal="center" vertical="center"/>
    </xf>
    <xf numFmtId="168" fontId="82" fillId="8" borderId="11" applyAlignment="1" pivotButton="0" quotePrefix="0" xfId="1">
      <alignment horizontal="center" vertical="center"/>
    </xf>
    <xf numFmtId="168" fontId="82" fillId="8" borderId="19" applyAlignment="1" pivotButton="0" quotePrefix="0" xfId="1">
      <alignment horizontal="center" vertical="center"/>
    </xf>
    <xf numFmtId="0" fontId="92" fillId="0" borderId="0" applyAlignment="1" pivotButton="0" quotePrefix="0" xfId="26">
      <alignment horizontal="center" vertical="center"/>
    </xf>
    <xf numFmtId="0" fontId="77" fillId="0" borderId="10" applyAlignment="1" pivotButton="0" quotePrefix="0" xfId="26">
      <alignment horizontal="center" vertical="center"/>
    </xf>
    <xf numFmtId="0" fontId="77" fillId="0" borderId="5" applyAlignment="1" pivotButton="0" quotePrefix="0" xfId="26">
      <alignment horizontal="center" vertical="center"/>
    </xf>
    <xf numFmtId="0" fontId="77" fillId="0" borderId="3" applyAlignment="1" pivotButton="0" quotePrefix="0" xfId="26">
      <alignment horizontal="center" vertical="center"/>
    </xf>
    <xf numFmtId="0" fontId="77" fillId="0" borderId="0" applyAlignment="1" pivotButton="0" quotePrefix="0" xfId="26">
      <alignment horizontal="left" vertical="center" wrapText="1"/>
    </xf>
    <xf numFmtId="0" fontId="80" fillId="8" borderId="17" applyAlignment="1" pivotButton="0" quotePrefix="0" xfId="26">
      <alignment horizontal="center" vertical="center"/>
    </xf>
    <xf numFmtId="0" fontId="91" fillId="4" borderId="14" applyAlignment="1" pivotButton="0" quotePrefix="0" xfId="0">
      <alignment horizontal="center"/>
    </xf>
    <xf numFmtId="0" fontId="91" fillId="4" borderId="17" applyAlignment="1" pivotButton="0" quotePrefix="0" xfId="0">
      <alignment horizontal="center"/>
    </xf>
    <xf numFmtId="0" fontId="91" fillId="4" borderId="9" applyAlignment="1" pivotButton="0" quotePrefix="0" xfId="0">
      <alignment horizontal="center"/>
    </xf>
    <xf numFmtId="0" fontId="80" fillId="4" borderId="4" applyAlignment="1" pivotButton="0" quotePrefix="0" xfId="0">
      <alignment horizontal="center" vertical="center"/>
    </xf>
    <xf numFmtId="0" fontId="85" fillId="0" borderId="0" applyAlignment="1" pivotButton="0" quotePrefix="0" xfId="4">
      <alignment horizontal="center" vertical="center"/>
    </xf>
    <xf numFmtId="0" fontId="12" fillId="7" borderId="4" applyAlignment="1" pivotButton="0" quotePrefix="0" xfId="0">
      <alignment horizontal="center" vertical="center"/>
    </xf>
    <xf numFmtId="0" fontId="25" fillId="0" borderId="9" applyAlignment="1" pivotButton="0" quotePrefix="0" xfId="0">
      <alignment horizontal="center" vertical="center" shrinkToFit="1"/>
    </xf>
    <xf numFmtId="0" fontId="25" fillId="0" borderId="4" applyAlignment="1" pivotButton="0" quotePrefix="0" xfId="0">
      <alignment horizontal="center" vertical="center" shrinkToFit="1"/>
    </xf>
    <xf numFmtId="0" fontId="22" fillId="0" borderId="0" applyAlignment="1" pivotButton="0" quotePrefix="0" xfId="0">
      <alignment horizontal="center" vertical="top" shrinkToFit="1"/>
    </xf>
    <xf numFmtId="0" fontId="34" fillId="0" borderId="0" applyAlignment="1" pivotButton="0" quotePrefix="0" xfId="0">
      <alignment horizontal="left" vertical="center"/>
    </xf>
    <xf numFmtId="0" fontId="19" fillId="0" borderId="1" applyAlignment="1" pivotButton="0" quotePrefix="0" xfId="0">
      <alignment horizontal="left" vertical="center"/>
    </xf>
    <xf numFmtId="0" fontId="25" fillId="0" borderId="10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/>
    </xf>
    <xf numFmtId="0" fontId="25" fillId="0" borderId="18" applyAlignment="1" pivotButton="0" quotePrefix="0" xfId="0">
      <alignment horizontal="center" vertical="center" shrinkToFit="1"/>
    </xf>
    <xf numFmtId="0" fontId="25" fillId="0" borderId="12" applyAlignment="1" pivotButton="0" quotePrefix="0" xfId="0">
      <alignment horizontal="center" vertical="center" shrinkToFit="1"/>
    </xf>
    <xf numFmtId="0" fontId="25" fillId="0" borderId="7" applyAlignment="1" pivotButton="0" quotePrefix="0" xfId="0">
      <alignment horizontal="center" vertical="center" shrinkToFit="1"/>
    </xf>
    <xf numFmtId="0" fontId="25" fillId="0" borderId="9" applyAlignment="1" pivotButton="0" quotePrefix="0" xfId="0">
      <alignment horizontal="center" shrinkToFit="1"/>
    </xf>
    <xf numFmtId="0" fontId="25" fillId="0" borderId="4" applyAlignment="1" pivotButton="0" quotePrefix="0" xfId="0">
      <alignment horizontal="center" shrinkToFit="1"/>
    </xf>
    <xf numFmtId="0" fontId="25" fillId="0" borderId="10" applyAlignment="1" pivotButton="0" quotePrefix="0" xfId="0">
      <alignment horizontal="center" vertical="center" shrinkToFit="1"/>
    </xf>
    <xf numFmtId="0" fontId="25" fillId="0" borderId="5" applyAlignment="1" pivotButton="0" quotePrefix="0" xfId="0">
      <alignment horizontal="center" vertical="center" shrinkToFit="1"/>
    </xf>
    <xf numFmtId="0" fontId="25" fillId="0" borderId="3" applyAlignment="1" pivotButton="0" quotePrefix="0" xfId="0">
      <alignment horizontal="center" vertical="center" shrinkToFit="1"/>
    </xf>
    <xf numFmtId="0" fontId="25" fillId="0" borderId="19" applyAlignment="1" pivotButton="0" quotePrefix="0" xfId="0">
      <alignment horizontal="center" vertical="center" shrinkToFit="1"/>
    </xf>
    <xf numFmtId="0" fontId="25" fillId="0" borderId="1" applyAlignment="1" pivotButton="0" quotePrefix="0" xfId="0">
      <alignment horizontal="center" vertical="center" shrinkToFit="1"/>
    </xf>
    <xf numFmtId="0" fontId="25" fillId="0" borderId="8" applyAlignment="1" pivotButton="0" quotePrefix="0" xfId="0">
      <alignment horizontal="center" vertical="center" shrinkToFit="1"/>
    </xf>
    <xf numFmtId="0" fontId="12" fillId="7" borderId="14" applyAlignment="1" pivotButton="0" quotePrefix="0" xfId="0">
      <alignment horizontal="center" vertical="center"/>
    </xf>
    <xf numFmtId="0" fontId="12" fillId="7" borderId="17" applyAlignment="1" pivotButton="0" quotePrefix="0" xfId="0">
      <alignment horizontal="center" vertical="center"/>
    </xf>
    <xf numFmtId="0" fontId="12" fillId="7" borderId="9" applyAlignment="1" pivotButton="0" quotePrefix="0" xfId="0">
      <alignment horizontal="center" vertical="center"/>
    </xf>
    <xf numFmtId="0" fontId="25" fillId="0" borderId="12" applyAlignment="1" pivotButton="0" quotePrefix="0" xfId="0">
      <alignment horizontal="center"/>
    </xf>
    <xf numFmtId="0" fontId="25" fillId="0" borderId="0" applyAlignment="1" pivotButton="0" quotePrefix="0" xfId="0">
      <alignment horizontal="center"/>
    </xf>
    <xf numFmtId="0" fontId="25" fillId="0" borderId="4" applyAlignment="1" pivotButton="0" quotePrefix="0" xfId="0">
      <alignment horizontal="center"/>
    </xf>
    <xf numFmtId="0" fontId="25" fillId="0" borderId="18" applyAlignment="1" pivotButton="0" quotePrefix="0" xfId="0">
      <alignment horizontal="center" vertical="center"/>
    </xf>
    <xf numFmtId="0" fontId="25" fillId="0" borderId="12" applyAlignment="1" pivotButton="0" quotePrefix="0" xfId="0">
      <alignment horizontal="center" vertical="center"/>
    </xf>
    <xf numFmtId="0" fontId="25" fillId="0" borderId="7" applyAlignment="1" pivotButton="0" quotePrefix="0" xfId="0">
      <alignment horizontal="center" vertical="center"/>
    </xf>
    <xf numFmtId="0" fontId="25" fillId="0" borderId="11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25" fillId="0" borderId="6" applyAlignment="1" pivotButton="0" quotePrefix="0" xfId="0">
      <alignment horizontal="center" vertical="center"/>
    </xf>
    <xf numFmtId="0" fontId="25" fillId="0" borderId="19" applyAlignment="1" pivotButton="0" quotePrefix="0" xfId="0">
      <alignment horizontal="center" vertical="center"/>
    </xf>
    <xf numFmtId="0" fontId="25" fillId="0" borderId="1" applyAlignment="1" pivotButton="0" quotePrefix="0" xfId="0">
      <alignment horizontal="center" vertical="center"/>
    </xf>
    <xf numFmtId="0" fontId="25" fillId="0" borderId="8" applyAlignment="1" pivotButton="0" quotePrefix="0" xfId="0">
      <alignment horizontal="center" vertical="center"/>
    </xf>
    <xf numFmtId="0" fontId="25" fillId="0" borderId="14" applyAlignment="1" pivotButton="0" quotePrefix="0" xfId="0">
      <alignment horizontal="center" vertical="center"/>
    </xf>
    <xf numFmtId="0" fontId="25" fillId="0" borderId="17" applyAlignment="1" pivotButton="0" quotePrefix="0" xfId="0">
      <alignment horizontal="center" vertical="center"/>
    </xf>
    <xf numFmtId="0" fontId="25" fillId="0" borderId="9" applyAlignment="1" pivotButton="0" quotePrefix="0" xfId="0">
      <alignment horizontal="center" vertical="center"/>
    </xf>
    <xf numFmtId="0" fontId="25" fillId="7" borderId="14" applyAlignment="1" pivotButton="0" quotePrefix="0" xfId="0">
      <alignment horizontal="center" vertical="center"/>
    </xf>
    <xf numFmtId="0" fontId="25" fillId="7" borderId="17" applyAlignment="1" pivotButton="0" quotePrefix="0" xfId="0">
      <alignment horizontal="center" vertical="center"/>
    </xf>
    <xf numFmtId="0" fontId="25" fillId="7" borderId="9" applyAlignment="1" pivotButton="0" quotePrefix="0" xfId="0">
      <alignment horizontal="center" vertical="center"/>
    </xf>
    <xf numFmtId="0" fontId="25" fillId="0" borderId="14" applyAlignment="1" pivotButton="0" quotePrefix="0" xfId="0">
      <alignment horizontal="center" vertical="center" wrapText="1"/>
    </xf>
    <xf numFmtId="0" fontId="25" fillId="0" borderId="17" applyAlignment="1" pivotButton="0" quotePrefix="0" xfId="0">
      <alignment horizontal="center" vertical="center" wrapText="1"/>
    </xf>
    <xf numFmtId="0" fontId="25" fillId="0" borderId="9" applyAlignment="1" pivotButton="0" quotePrefix="0" xfId="0">
      <alignment horizontal="center" vertical="center" wrapText="1"/>
    </xf>
    <xf numFmtId="0" fontId="11" fillId="4" borderId="14" applyAlignment="1" pivotButton="0" quotePrefix="0" xfId="0">
      <alignment horizontal="center" vertical="center"/>
    </xf>
    <xf numFmtId="0" fontId="11" fillId="4" borderId="9" applyAlignment="1" pivotButton="0" quotePrefix="0" xfId="0">
      <alignment horizontal="center" vertical="center"/>
    </xf>
    <xf numFmtId="0" fontId="16" fillId="0" borderId="0" applyAlignment="1" pivotButton="0" quotePrefix="0" xfId="0">
      <alignment horizontal="left" vertical="center"/>
    </xf>
    <xf numFmtId="0" fontId="24" fillId="0" borderId="10" applyAlignment="1" pivotButton="0" quotePrefix="0" xfId="0">
      <alignment horizontal="center" vertical="center"/>
    </xf>
    <xf numFmtId="0" fontId="24" fillId="0" borderId="5" applyAlignment="1" pivotButton="0" quotePrefix="0" xfId="0">
      <alignment horizontal="center" vertical="center"/>
    </xf>
    <xf numFmtId="0" fontId="24" fillId="0" borderId="3" applyAlignment="1" pivotButton="0" quotePrefix="0" xfId="0">
      <alignment horizontal="center" vertical="center"/>
    </xf>
    <xf numFmtId="0" fontId="24" fillId="0" borderId="18" applyAlignment="1" pivotButton="0" quotePrefix="0" xfId="0">
      <alignment horizontal="center" vertical="center" shrinkToFit="1"/>
    </xf>
    <xf numFmtId="0" fontId="24" fillId="0" borderId="12" applyAlignment="1" pivotButton="0" quotePrefix="0" xfId="0">
      <alignment horizontal="center" vertical="center" shrinkToFit="1"/>
    </xf>
    <xf numFmtId="0" fontId="24" fillId="0" borderId="7" applyAlignment="1" pivotButton="0" quotePrefix="0" xfId="0">
      <alignment horizontal="center" vertical="center" shrinkToFit="1"/>
    </xf>
    <xf numFmtId="0" fontId="24" fillId="0" borderId="9" applyAlignment="1" pivotButton="0" quotePrefix="0" xfId="0">
      <alignment horizontal="center" shrinkToFit="1"/>
    </xf>
    <xf numFmtId="0" fontId="24" fillId="0" borderId="4" applyAlignment="1" pivotButton="0" quotePrefix="0" xfId="0">
      <alignment horizontal="center" shrinkToFit="1"/>
    </xf>
    <xf numFmtId="0" fontId="24" fillId="0" borderId="10" applyAlignment="1" pivotButton="0" quotePrefix="0" xfId="0">
      <alignment horizontal="center" vertical="center" shrinkToFit="1"/>
    </xf>
    <xf numFmtId="0" fontId="24" fillId="0" borderId="5" applyAlignment="1" pivotButton="0" quotePrefix="0" xfId="0">
      <alignment horizontal="center" vertical="center" shrinkToFit="1"/>
    </xf>
    <xf numFmtId="0" fontId="24" fillId="0" borderId="3" applyAlignment="1" pivotButton="0" quotePrefix="0" xfId="0">
      <alignment horizontal="center" vertical="center" shrinkToFit="1"/>
    </xf>
    <xf numFmtId="0" fontId="24" fillId="0" borderId="19" applyAlignment="1" pivotButton="0" quotePrefix="0" xfId="0">
      <alignment horizontal="center" vertical="center" shrinkToFit="1"/>
    </xf>
    <xf numFmtId="0" fontId="24" fillId="0" borderId="1" applyAlignment="1" pivotButton="0" quotePrefix="0" xfId="0">
      <alignment horizontal="center" vertical="center" shrinkToFit="1"/>
    </xf>
    <xf numFmtId="0" fontId="24" fillId="0" borderId="8" applyAlignment="1" pivotButton="0" quotePrefix="0" xfId="0">
      <alignment horizontal="center" vertical="center" shrinkToFit="1"/>
    </xf>
    <xf numFmtId="0" fontId="24" fillId="0" borderId="9" applyAlignment="1" pivotButton="0" quotePrefix="0" xfId="0">
      <alignment horizontal="center" vertical="center" shrinkToFit="1"/>
    </xf>
    <xf numFmtId="0" fontId="24" fillId="0" borderId="4" applyAlignment="1" pivotButton="0" quotePrefix="0" xfId="0">
      <alignment horizontal="center" vertical="center" shrinkToFit="1"/>
    </xf>
    <xf numFmtId="0" fontId="9" fillId="4" borderId="14" applyAlignment="1" pivotButton="0" quotePrefix="0" xfId="0">
      <alignment horizontal="center" vertical="center"/>
    </xf>
    <xf numFmtId="0" fontId="9" fillId="4" borderId="9" applyAlignment="1" pivotButton="0" quotePrefix="0" xfId="0">
      <alignment horizontal="center" vertical="center"/>
    </xf>
    <xf numFmtId="0" fontId="65" fillId="0" borderId="0" applyAlignment="1" pivotButton="0" quotePrefix="0" xfId="11">
      <alignment horizontal="left"/>
    </xf>
    <xf numFmtId="168" fontId="59" fillId="0" borderId="0" applyAlignment="1" pivotButton="0" quotePrefix="0" xfId="9">
      <alignment horizontal="center"/>
    </xf>
    <xf numFmtId="168" fontId="62" fillId="0" borderId="0" applyAlignment="1" pivotButton="0" quotePrefix="0" xfId="9">
      <alignment horizontal="center"/>
    </xf>
    <xf numFmtId="0" fontId="53" fillId="0" borderId="4" applyAlignment="1" pivotButton="0" quotePrefix="0" xfId="8">
      <alignment horizontal="center"/>
    </xf>
    <xf numFmtId="179" fontId="58" fillId="0" borderId="4" applyAlignment="1" pivotButton="0" quotePrefix="0" xfId="8">
      <alignment horizontal="center"/>
    </xf>
    <xf numFmtId="179" fontId="58" fillId="0" borderId="28" applyAlignment="1" pivotButton="0" quotePrefix="0" xfId="8">
      <alignment horizontal="center"/>
    </xf>
    <xf numFmtId="179" fontId="58" fillId="0" borderId="29" applyAlignment="1" pivotButton="0" quotePrefix="0" xfId="8">
      <alignment horizontal="center"/>
    </xf>
    <xf numFmtId="0" fontId="61" fillId="0" borderId="0" applyAlignment="1" pivotButton="0" quotePrefix="0" xfId="11">
      <alignment horizontal="center"/>
    </xf>
    <xf numFmtId="0" fontId="63" fillId="0" borderId="0" applyAlignment="1" pivotButton="0" quotePrefix="0" xfId="11">
      <alignment horizontal="center"/>
    </xf>
    <xf numFmtId="0" fontId="38" fillId="0" borderId="0" applyAlignment="1" pivotButton="0" quotePrefix="0" xfId="8">
      <alignment horizontal="center"/>
    </xf>
    <xf numFmtId="0" fontId="41" fillId="0" borderId="0" applyAlignment="1" pivotButton="0" quotePrefix="0" xfId="8">
      <alignment horizontal="center"/>
    </xf>
    <xf numFmtId="0" fontId="50" fillId="0" borderId="20" applyAlignment="1" pivotButton="0" quotePrefix="0" xfId="8">
      <alignment horizontal="center"/>
    </xf>
    <xf numFmtId="0" fontId="50" fillId="0" borderId="21" applyAlignment="1" pivotButton="0" quotePrefix="0" xfId="8">
      <alignment horizontal="center"/>
    </xf>
    <xf numFmtId="0" fontId="50" fillId="0" borderId="22" applyAlignment="1" pivotButton="0" quotePrefix="0" xfId="8">
      <alignment horizontal="center"/>
    </xf>
    <xf numFmtId="0" fontId="52" fillId="0" borderId="4" applyAlignment="1" pivotButton="0" quotePrefix="0" xfId="8">
      <alignment horizontal="center"/>
    </xf>
    <xf numFmtId="0" fontId="53" fillId="0" borderId="8" applyAlignment="1" pivotButton="0" quotePrefix="0" xfId="8">
      <alignment horizontal="center"/>
    </xf>
    <xf numFmtId="0" fontId="53" fillId="0" borderId="3" applyAlignment="1" pivotButton="0" quotePrefix="0" xfId="8">
      <alignment horizontal="center"/>
    </xf>
    <xf numFmtId="168" fontId="62" fillId="0" borderId="0" applyAlignment="1" pivotButton="0" quotePrefix="0" xfId="8">
      <alignment horizontal="center" vertical="center"/>
    </xf>
    <xf numFmtId="0" fontId="52" fillId="0" borderId="14" applyAlignment="1" pivotButton="0" quotePrefix="0" xfId="8">
      <alignment horizontal="center" vertical="center"/>
    </xf>
    <xf numFmtId="0" fontId="52" fillId="0" borderId="17" applyAlignment="1" pivotButton="0" quotePrefix="0" xfId="8">
      <alignment horizontal="center" vertical="center"/>
    </xf>
    <xf numFmtId="0" fontId="52" fillId="0" borderId="9" applyAlignment="1" pivotButton="0" quotePrefix="0" xfId="8">
      <alignment horizontal="center" vertical="center"/>
    </xf>
    <xf numFmtId="168" fontId="78" fillId="0" borderId="0" applyAlignment="1" pivotButton="0" quotePrefix="0" xfId="1">
      <alignment horizontal="right" vertical="center" wrapText="1"/>
    </xf>
    <xf numFmtId="168" fontId="78" fillId="0" borderId="0" applyAlignment="1" pivotButton="0" quotePrefix="0" xfId="1">
      <alignment horizontal="right" vertical="center"/>
    </xf>
    <xf numFmtId="173" fontId="78" fillId="0" borderId="0" applyAlignment="1" pivotButton="0" quotePrefix="0" xfId="0">
      <alignment horizontal="left"/>
    </xf>
    <xf numFmtId="168" fontId="78" fillId="0" borderId="1" applyAlignment="1" pivotButton="0" quotePrefix="0" xfId="1">
      <alignment horizontal="right" vertical="center"/>
    </xf>
    <xf numFmtId="174" fontId="78" fillId="0" borderId="0" pivotButton="0" quotePrefix="0" xfId="1"/>
    <xf numFmtId="0" fontId="0" fillId="0" borderId="9" pivotButton="0" quotePrefix="0" xfId="0"/>
    <xf numFmtId="0" fontId="0" fillId="0" borderId="3" pivotButton="0" quotePrefix="0" xfId="0"/>
    <xf numFmtId="166" fontId="88" fillId="0" borderId="4" applyAlignment="1" pivotButton="0" quotePrefix="0" xfId="0">
      <alignment horizontal="center" vertical="center"/>
    </xf>
    <xf numFmtId="167" fontId="78" fillId="0" borderId="4" applyAlignment="1" pivotButton="0" quotePrefix="1" xfId="24">
      <alignment horizontal="right" vertical="center"/>
    </xf>
    <xf numFmtId="166" fontId="78" fillId="0" borderId="4" applyAlignment="1" pivotButton="0" quotePrefix="0" xfId="23">
      <alignment horizontal="center" vertical="center"/>
    </xf>
    <xf numFmtId="168" fontId="78" fillId="0" borderId="4" applyAlignment="1" pivotButton="0" quotePrefix="0" xfId="1">
      <alignment vertical="center"/>
    </xf>
    <xf numFmtId="177" fontId="78" fillId="0" borderId="4" applyAlignment="1" pivotButton="0" quotePrefix="0" xfId="29">
      <alignment horizontal="center" vertical="center"/>
    </xf>
    <xf numFmtId="166" fontId="78" fillId="0" borderId="4" applyAlignment="1" pivotButton="0" quotePrefix="0" xfId="29">
      <alignment horizontal="center" vertical="center"/>
    </xf>
    <xf numFmtId="167" fontId="78" fillId="0" borderId="4" applyAlignment="1" pivotButton="0" quotePrefix="1" xfId="24">
      <alignment horizontal="center" vertical="center"/>
    </xf>
    <xf numFmtId="174" fontId="78" fillId="0" borderId="4" applyAlignment="1" pivotButton="0" quotePrefix="0" xfId="1">
      <alignment horizontal="center" vertical="center"/>
    </xf>
    <xf numFmtId="168" fontId="78" fillId="0" borderId="4" applyAlignment="1" pivotButton="0" quotePrefix="0" xfId="1">
      <alignment horizontal="center" vertical="center"/>
    </xf>
    <xf numFmtId="0" fontId="0" fillId="0" borderId="17" pivotButton="0" quotePrefix="0" xfId="0"/>
    <xf numFmtId="174" fontId="80" fillId="4" borderId="4" applyAlignment="1" pivotButton="0" quotePrefix="0" xfId="1">
      <alignment vertical="center"/>
    </xf>
    <xf numFmtId="168" fontId="78" fillId="4" borderId="4" applyAlignment="1" pivotButton="0" quotePrefix="0" xfId="1">
      <alignment vertical="center"/>
    </xf>
    <xf numFmtId="172" fontId="79" fillId="0" borderId="0" pivotButton="0" quotePrefix="0" xfId="3"/>
    <xf numFmtId="172" fontId="78" fillId="0" borderId="0" pivotButton="0" quotePrefix="0" xfId="3"/>
    <xf numFmtId="174" fontId="78" fillId="0" borderId="1" applyAlignment="1" pivotButton="0" quotePrefix="0" xfId="1">
      <alignment horizontal="right"/>
    </xf>
    <xf numFmtId="0" fontId="0" fillId="0" borderId="1" pivotButton="0" quotePrefix="0" xfId="0"/>
    <xf numFmtId="166" fontId="84" fillId="0" borderId="4" applyAlignment="1" pivotButton="0" quotePrefix="0" xfId="23">
      <alignment horizontal="center" vertical="center"/>
    </xf>
    <xf numFmtId="167" fontId="84" fillId="0" borderId="4" applyAlignment="1" pivotButton="0" quotePrefix="1" xfId="24">
      <alignment horizontal="right" vertical="center"/>
    </xf>
    <xf numFmtId="168" fontId="84" fillId="0" borderId="4" applyAlignment="1" pivotButton="0" quotePrefix="0" xfId="1">
      <alignment vertical="center"/>
    </xf>
    <xf numFmtId="168" fontId="14" fillId="0" borderId="0" pivotButton="0" quotePrefix="0" xfId="0"/>
    <xf numFmtId="174" fontId="91" fillId="4" borderId="4" applyAlignment="1" pivotButton="0" quotePrefix="0" xfId="1">
      <alignment vertical="center"/>
    </xf>
    <xf numFmtId="168" fontId="84" fillId="4" borderId="4" applyAlignment="1" pivotButton="0" quotePrefix="0" xfId="1">
      <alignment vertical="center"/>
    </xf>
    <xf numFmtId="168" fontId="78" fillId="0" borderId="0" applyAlignment="1" pivotButton="0" quotePrefix="0" xfId="27">
      <alignment vertical="center"/>
    </xf>
    <xf numFmtId="168" fontId="77" fillId="0" borderId="0" applyAlignment="1" pivotButton="0" quotePrefix="0" xfId="1">
      <alignment vertical="center"/>
    </xf>
    <xf numFmtId="168" fontId="94" fillId="0" borderId="0" applyAlignment="1" pivotButton="0" quotePrefix="0" xfId="1">
      <alignment vertical="center"/>
    </xf>
    <xf numFmtId="168" fontId="92" fillId="0" borderId="0" applyAlignment="1" pivotButton="0" quotePrefix="0" xfId="1">
      <alignment vertical="top" wrapText="1"/>
    </xf>
    <xf numFmtId="168" fontId="92" fillId="0" borderId="0" applyAlignment="1" pivotButton="0" quotePrefix="0" xfId="1">
      <alignment horizontal="right" vertical="center" wrapText="1"/>
    </xf>
    <xf numFmtId="168" fontId="92" fillId="0" borderId="0" applyAlignment="1" pivotButton="0" quotePrefix="0" xfId="1">
      <alignment horizontal="right" vertical="center"/>
    </xf>
    <xf numFmtId="168" fontId="94" fillId="5" borderId="4" applyAlignment="1" pivotButton="0" quotePrefix="0" xfId="1">
      <alignment horizontal="center" vertical="center"/>
    </xf>
    <xf numFmtId="0" fontId="0" fillId="0" borderId="12" pivotButton="0" quotePrefix="0" xfId="0"/>
    <xf numFmtId="0" fontId="0" fillId="0" borderId="7" pivotButton="0" quotePrefix="0" xfId="0"/>
    <xf numFmtId="168" fontId="96" fillId="0" borderId="4" applyAlignment="1" pivotButton="0" quotePrefix="0" xfId="1">
      <alignment horizontal="center" vertical="center"/>
    </xf>
    <xf numFmtId="173" fontId="92" fillId="0" borderId="0" applyAlignment="1" pivotButton="0" quotePrefix="0" xfId="0">
      <alignment horizontal="left"/>
    </xf>
    <xf numFmtId="168" fontId="92" fillId="0" borderId="1" applyAlignment="1" pivotButton="0" quotePrefix="0" xfId="1">
      <alignment horizontal="right" vertical="center"/>
    </xf>
    <xf numFmtId="174" fontId="92" fillId="0" borderId="1" applyAlignment="1" pivotButton="0" quotePrefix="0" xfId="1">
      <alignment horizontal="center"/>
    </xf>
    <xf numFmtId="0" fontId="0" fillId="0" borderId="19" pivotButton="0" quotePrefix="0" xfId="0"/>
    <xf numFmtId="0" fontId="0" fillId="0" borderId="8" pivotButton="0" quotePrefix="0" xfId="0"/>
    <xf numFmtId="0" fontId="80" fillId="8" borderId="4" applyAlignment="1" pivotButton="0" quotePrefix="0" xfId="26">
      <alignment horizontal="center" vertical="center" wrapText="1"/>
    </xf>
    <xf numFmtId="168" fontId="82" fillId="8" borderId="19" applyAlignment="1" pivotButton="0" quotePrefix="0" xfId="1">
      <alignment horizontal="center" vertical="center"/>
    </xf>
    <xf numFmtId="0" fontId="81" fillId="8" borderId="4" applyAlignment="1" pivotButton="0" quotePrefix="0" xfId="26">
      <alignment horizontal="center" vertical="center" wrapText="1"/>
    </xf>
    <xf numFmtId="0" fontId="0" fillId="0" borderId="39" pivotButton="0" quotePrefix="0" xfId="0"/>
    <xf numFmtId="0" fontId="0" fillId="0" borderId="40" pivotButton="0" quotePrefix="0" xfId="0"/>
    <xf numFmtId="168" fontId="80" fillId="8" borderId="4" applyAlignment="1" pivotButton="0" quotePrefix="0" xfId="27">
      <alignment horizontal="center" vertical="center"/>
    </xf>
    <xf numFmtId="0" fontId="0" fillId="0" borderId="5" pivotButton="0" quotePrefix="0" xfId="0"/>
    <xf numFmtId="0" fontId="0" fillId="0" borderId="36" pivotButton="0" quotePrefix="0" xfId="0"/>
    <xf numFmtId="168" fontId="78" fillId="5" borderId="4" applyAlignment="1" pivotButton="0" quotePrefix="0" xfId="27">
      <alignment horizontal="center" vertical="center"/>
    </xf>
    <xf numFmtId="168" fontId="78" fillId="8" borderId="4" applyAlignment="1" pivotButton="0" quotePrefix="0" xfId="27">
      <alignment horizontal="center" vertical="center"/>
    </xf>
    <xf numFmtId="168" fontId="80" fillId="8" borderId="4" applyAlignment="1" pivotButton="0" quotePrefix="0" xfId="1">
      <alignment horizontal="center" vertical="center" wrapText="1"/>
    </xf>
    <xf numFmtId="168" fontId="77" fillId="12" borderId="4" applyAlignment="1" pivotButton="0" quotePrefix="0" xfId="1">
      <alignment horizontal="center" vertical="center"/>
    </xf>
    <xf numFmtId="168" fontId="77" fillId="11" borderId="4" applyAlignment="1" pivotButton="0" quotePrefix="0" xfId="27">
      <alignment vertical="center"/>
    </xf>
    <xf numFmtId="169" fontId="78" fillId="0" borderId="4" applyAlignment="1" pivotButton="0" quotePrefix="0" xfId="23">
      <alignment horizontal="center" vertical="center"/>
    </xf>
    <xf numFmtId="168" fontId="77" fillId="0" borderId="4" applyAlignment="1" pivotButton="0" quotePrefix="0" xfId="1">
      <alignment vertical="center"/>
    </xf>
    <xf numFmtId="168" fontId="77" fillId="0" borderId="4" applyAlignment="1" pivotButton="0" quotePrefix="0" xfId="27">
      <alignment vertical="center"/>
    </xf>
    <xf numFmtId="168" fontId="77" fillId="0" borderId="4" applyAlignment="1" pivotButton="0" quotePrefix="0" xfId="26">
      <alignment vertical="center"/>
    </xf>
    <xf numFmtId="178" fontId="97" fillId="0" borderId="0" pivotButton="0" quotePrefix="0" xfId="0"/>
    <xf numFmtId="175" fontId="78" fillId="3" borderId="4" applyAlignment="1" pivotButton="0" quotePrefix="0" xfId="26">
      <alignment horizontal="center" vertical="center" wrapText="1"/>
    </xf>
    <xf numFmtId="176" fontId="78" fillId="3" borderId="4" applyAlignment="1" pivotButton="0" quotePrefix="0" xfId="26">
      <alignment horizontal="center" vertical="center"/>
    </xf>
    <xf numFmtId="168" fontId="78" fillId="0" borderId="4" applyAlignment="1" pivotButton="0" quotePrefix="0" xfId="27">
      <alignment vertical="center"/>
    </xf>
    <xf numFmtId="168" fontId="77" fillId="0" borderId="4" pivotButton="0" quotePrefix="0" xfId="27"/>
    <xf numFmtId="174" fontId="82" fillId="0" borderId="4" applyAlignment="1" pivotButton="0" quotePrefix="0" xfId="27">
      <alignment vertical="center"/>
    </xf>
    <xf numFmtId="174" fontId="82" fillId="0" borderId="0" applyAlignment="1" pivotButton="0" quotePrefix="0" xfId="27">
      <alignment vertical="center"/>
    </xf>
    <xf numFmtId="168" fontId="77" fillId="0" borderId="0" pivotButton="0" quotePrefix="0" xfId="1"/>
    <xf numFmtId="168" fontId="83" fillId="0" borderId="0" pivotButton="0" quotePrefix="0" xfId="1"/>
    <xf numFmtId="174" fontId="77" fillId="0" borderId="4" applyAlignment="1" pivotButton="0" quotePrefix="0" xfId="27">
      <alignment vertical="center"/>
    </xf>
    <xf numFmtId="174" fontId="77" fillId="4" borderId="4" applyAlignment="1" pivotButton="0" quotePrefix="0" xfId="27">
      <alignment vertical="center"/>
    </xf>
    <xf numFmtId="174" fontId="82" fillId="4" borderId="4" applyAlignment="1" pivotButton="0" quotePrefix="0" xfId="27">
      <alignment vertical="center"/>
    </xf>
    <xf numFmtId="174" fontId="77" fillId="0" borderId="4" applyAlignment="1" pivotButton="0" quotePrefix="0" xfId="26">
      <alignment vertical="center" wrapText="1"/>
    </xf>
    <xf numFmtId="174" fontId="83" fillId="0" borderId="0" pivotButton="0" quotePrefix="0" xfId="26"/>
    <xf numFmtId="168" fontId="82" fillId="0" borderId="4" applyAlignment="1" pivotButton="0" quotePrefix="0" xfId="26">
      <alignment horizontal="center" vertical="center"/>
    </xf>
    <xf numFmtId="174" fontId="77" fillId="0" borderId="4" applyAlignment="1" pivotButton="0" quotePrefix="0" xfId="26">
      <alignment vertical="center"/>
    </xf>
    <xf numFmtId="168" fontId="77" fillId="0" borderId="0" applyAlignment="1" pivotButton="0" quotePrefix="0" xfId="26">
      <alignment horizontal="center" vertical="center"/>
    </xf>
    <xf numFmtId="168" fontId="78" fillId="0" borderId="0" applyAlignment="1" pivotButton="0" quotePrefix="0" xfId="1">
      <alignment horizontal="center" vertical="center" wrapText="1"/>
    </xf>
    <xf numFmtId="168" fontId="78" fillId="0" borderId="1" applyAlignment="1" pivotButton="0" quotePrefix="0" xfId="1">
      <alignment vertical="center"/>
    </xf>
    <xf numFmtId="0" fontId="91" fillId="4" borderId="4" applyAlignment="1" pivotButton="0" quotePrefix="0" xfId="0">
      <alignment horizontal="center"/>
    </xf>
    <xf numFmtId="174" fontId="80" fillId="4" borderId="4" pivotButton="0" quotePrefix="0" xfId="1"/>
    <xf numFmtId="174" fontId="33" fillId="0" borderId="0" pivotButton="0" quotePrefix="0" xfId="0"/>
    <xf numFmtId="172" fontId="78" fillId="0" borderId="0" applyAlignment="1" pivotButton="0" quotePrefix="0" xfId="3">
      <alignment horizontal="center" vertical="center"/>
    </xf>
    <xf numFmtId="168" fontId="92" fillId="0" borderId="0" applyAlignment="1" pivotButton="0" quotePrefix="0" xfId="1">
      <alignment horizontal="center" vertical="center" wrapText="1"/>
    </xf>
    <xf numFmtId="168" fontId="92" fillId="0" borderId="1" applyAlignment="1" pivotButton="0" quotePrefix="0" xfId="1">
      <alignment vertical="center"/>
    </xf>
    <xf numFmtId="174" fontId="92" fillId="0" borderId="0" pivotButton="0" quotePrefix="0" xfId="1"/>
    <xf numFmtId="168" fontId="92" fillId="0" borderId="0" applyAlignment="1" pivotButton="0" quotePrefix="0" xfId="1">
      <alignment vertical="center"/>
    </xf>
    <xf numFmtId="168" fontId="84" fillId="0" borderId="4" applyAlignment="1" pivotButton="0" quotePrefix="0" xfId="1">
      <alignment horizontal="center" vertical="center"/>
    </xf>
    <xf numFmtId="166" fontId="87" fillId="0" borderId="4" applyAlignment="1" pivotButton="0" quotePrefix="0" xfId="23">
      <alignment horizontal="center" vertical="center"/>
    </xf>
    <xf numFmtId="166" fontId="87" fillId="0" borderId="4" applyAlignment="1" pivotButton="0" quotePrefix="0" xfId="21">
      <alignment vertical="center"/>
    </xf>
    <xf numFmtId="172" fontId="76" fillId="0" borderId="0" pivotButton="0" quotePrefix="0" xfId="3"/>
    <xf numFmtId="165" fontId="20" fillId="5" borderId="4" applyAlignment="1" pivotButton="0" quotePrefix="0" xfId="3">
      <alignment horizontal="right" vertical="center"/>
    </xf>
    <xf numFmtId="165" fontId="20" fillId="7" borderId="4" applyAlignment="1" pivotButton="0" quotePrefix="0" xfId="3">
      <alignment horizontal="right" vertical="center"/>
    </xf>
    <xf numFmtId="169" fontId="12" fillId="7" borderId="4" applyAlignment="1" pivotButton="0" quotePrefix="0" xfId="0">
      <alignment horizontal="center" vertical="center"/>
    </xf>
    <xf numFmtId="168" fontId="12" fillId="7" borderId="4" applyAlignment="1" pivotButton="0" quotePrefix="0" xfId="1">
      <alignment horizontal="center" vertical="center"/>
    </xf>
    <xf numFmtId="168" fontId="18" fillId="7" borderId="10" applyAlignment="1" pivotButton="0" quotePrefix="0" xfId="1">
      <alignment horizontal="center" vertical="center" shrinkToFit="1"/>
    </xf>
    <xf numFmtId="165" fontId="20" fillId="5" borderId="4" applyAlignment="1" pivotButton="0" quotePrefix="0" xfId="3">
      <alignment horizontal="right" vertical="top"/>
    </xf>
    <xf numFmtId="165" fontId="20" fillId="7" borderId="4" applyAlignment="1" pivotButton="0" quotePrefix="0" xfId="3">
      <alignment horizontal="right" vertical="top"/>
    </xf>
    <xf numFmtId="168" fontId="27" fillId="7" borderId="4" applyAlignment="1" pivotButton="0" quotePrefix="0" xfId="1">
      <alignment horizontal="center" vertical="center"/>
    </xf>
    <xf numFmtId="166" fontId="20" fillId="0" borderId="4" applyAlignment="1" pivotButton="0" quotePrefix="0" xfId="0">
      <alignment horizontal="center" vertical="center" wrapText="1"/>
    </xf>
    <xf numFmtId="166" fontId="20" fillId="0" borderId="10" applyAlignment="1" pivotButton="0" quotePrefix="0" xfId="0">
      <alignment horizontal="center" vertical="center" wrapText="1"/>
    </xf>
    <xf numFmtId="165" fontId="20" fillId="5" borderId="10" applyAlignment="1" pivotButton="0" quotePrefix="0" xfId="3">
      <alignment horizontal="right" vertical="center"/>
    </xf>
    <xf numFmtId="165" fontId="20" fillId="7" borderId="10" applyAlignment="1" pivotButton="0" quotePrefix="0" xfId="3">
      <alignment horizontal="right" vertical="center"/>
    </xf>
    <xf numFmtId="168" fontId="18" fillId="0" borderId="10" applyAlignment="1" pivotButton="0" quotePrefix="0" xfId="1">
      <alignment horizontal="center" vertical="center" shrinkToFit="1"/>
    </xf>
    <xf numFmtId="164" fontId="21" fillId="7" borderId="4" applyAlignment="1" pivotButton="0" quotePrefix="0" xfId="3">
      <alignment horizontal="right" vertical="center"/>
    </xf>
    <xf numFmtId="167" fontId="8" fillId="7" borderId="4" applyAlignment="1" pivotButton="0" quotePrefix="0" xfId="0">
      <alignment horizontal="left" vertical="center"/>
    </xf>
    <xf numFmtId="167" fontId="8" fillId="7" borderId="4" applyAlignment="1" pivotButton="0" quotePrefix="0" xfId="0">
      <alignment horizontal="center" vertical="center"/>
    </xf>
    <xf numFmtId="164" fontId="28" fillId="7" borderId="4" applyAlignment="1" pivotButton="0" quotePrefix="0" xfId="3">
      <alignment horizontal="right" vertical="center"/>
    </xf>
    <xf numFmtId="168" fontId="18" fillId="7" borderId="4" applyAlignment="1" pivotButton="0" quotePrefix="0" xfId="1">
      <alignment horizontal="center" vertical="center" shrinkToFit="1"/>
    </xf>
    <xf numFmtId="0" fontId="25" fillId="0" borderId="4" applyAlignment="1" pivotButton="0" quotePrefix="0" xfId="0">
      <alignment horizontal="center" vertical="center" wrapText="1"/>
    </xf>
    <xf numFmtId="168" fontId="11" fillId="0" borderId="4" pivotButton="0" quotePrefix="0" xfId="1"/>
    <xf numFmtId="0" fontId="0" fillId="0" borderId="11" pivotButton="0" quotePrefix="0" xfId="0"/>
    <xf numFmtId="0" fontId="0" fillId="0" borderId="6" pivotButton="0" quotePrefix="0" xfId="0"/>
    <xf numFmtId="168" fontId="11" fillId="7" borderId="4" pivotButton="0" quotePrefix="0" xfId="1"/>
    <xf numFmtId="0" fontId="24" fillId="0" borderId="4" applyAlignment="1" pivotButton="0" quotePrefix="0" xfId="0">
      <alignment horizontal="center" vertical="center"/>
    </xf>
    <xf numFmtId="165" fontId="20" fillId="3" borderId="4" applyAlignment="1" pivotButton="0" quotePrefix="0" xfId="3">
      <alignment horizontal="right" vertical="center"/>
    </xf>
    <xf numFmtId="0" fontId="11" fillId="4" borderId="4" applyAlignment="1" pivotButton="0" quotePrefix="0" xfId="0">
      <alignment horizontal="center" vertical="center"/>
    </xf>
    <xf numFmtId="166" fontId="8" fillId="4" borderId="4" applyAlignment="1" pivotButton="0" quotePrefix="0" xfId="0">
      <alignment horizontal="center" vertical="center"/>
    </xf>
    <xf numFmtId="164" fontId="21" fillId="4" borderId="4" applyAlignment="1" pivotButton="0" quotePrefix="0" xfId="3">
      <alignment horizontal="right" vertical="center"/>
    </xf>
    <xf numFmtId="167" fontId="8" fillId="4" borderId="4" applyAlignment="1" pivotButton="0" quotePrefix="0" xfId="0">
      <alignment horizontal="left" vertical="center"/>
    </xf>
    <xf numFmtId="167" fontId="8" fillId="4" borderId="4" applyAlignment="1" pivotButton="0" quotePrefix="0" xfId="0">
      <alignment horizontal="center" vertical="center"/>
    </xf>
    <xf numFmtId="165" fontId="20" fillId="0" borderId="4" applyAlignment="1" pivotButton="0" quotePrefix="0" xfId="3">
      <alignment horizontal="right" vertical="top"/>
    </xf>
    <xf numFmtId="165" fontId="20" fillId="6" borderId="4" applyAlignment="1" pivotButton="0" quotePrefix="0" xfId="3">
      <alignment horizontal="right" vertical="center"/>
    </xf>
    <xf numFmtId="165" fontId="20" fillId="6" borderId="4" applyAlignment="1" pivotButton="0" quotePrefix="0" xfId="3">
      <alignment horizontal="right" vertical="top"/>
    </xf>
    <xf numFmtId="165" fontId="20" fillId="6" borderId="4" applyAlignment="1" pivotButton="0" quotePrefix="0" xfId="3">
      <alignment horizontal="center" vertical="center"/>
    </xf>
    <xf numFmtId="0" fontId="9" fillId="4" borderId="4" applyAlignment="1" pivotButton="0" quotePrefix="0" xfId="0">
      <alignment horizontal="center" vertical="center"/>
    </xf>
    <xf numFmtId="168" fontId="62" fillId="0" borderId="0" pivotButton="0" quotePrefix="0" xfId="9"/>
    <xf numFmtId="0" fontId="0" fillId="0" borderId="21" pivotButton="0" quotePrefix="0" xfId="0"/>
    <xf numFmtId="0" fontId="0" fillId="0" borderId="47" pivotButton="0" quotePrefix="0" xfId="0"/>
    <xf numFmtId="168" fontId="52" fillId="0" borderId="4" pivotButton="0" quotePrefix="0" xfId="9"/>
    <xf numFmtId="168" fontId="52" fillId="0" borderId="3" pivotButton="0" quotePrefix="0" xfId="9"/>
    <xf numFmtId="166" fontId="30" fillId="0" borderId="13" applyAlignment="1" pivotButton="0" quotePrefix="0" xfId="8">
      <alignment horizontal="center"/>
    </xf>
    <xf numFmtId="168" fontId="30" fillId="0" borderId="4" applyAlignment="1" pivotButton="0" quotePrefix="0" xfId="9">
      <alignment horizontal="center" vertical="center"/>
    </xf>
    <xf numFmtId="168" fontId="30" fillId="0" borderId="27" applyAlignment="1" pivotButton="0" quotePrefix="0" xfId="9">
      <alignment horizontal="center" vertical="center"/>
    </xf>
    <xf numFmtId="179" fontId="58" fillId="0" borderId="4" applyAlignment="1" pivotButton="0" quotePrefix="0" xfId="8">
      <alignment horizontal="center"/>
    </xf>
    <xf numFmtId="168" fontId="58" fillId="0" borderId="4" applyAlignment="1" pivotButton="0" quotePrefix="0" xfId="9">
      <alignment horizontal="center" vertical="center"/>
    </xf>
    <xf numFmtId="168" fontId="54" fillId="0" borderId="4" applyAlignment="1" pivotButton="0" quotePrefix="0" xfId="9">
      <alignment horizontal="center" vertical="center"/>
    </xf>
    <xf numFmtId="168" fontId="58" fillId="0" borderId="27" applyAlignment="1" pivotButton="0" quotePrefix="0" xfId="9">
      <alignment horizontal="center" vertical="center"/>
    </xf>
    <xf numFmtId="179" fontId="58" fillId="0" borderId="28" applyAlignment="1" pivotButton="0" quotePrefix="0" xfId="8">
      <alignment horizontal="center"/>
    </xf>
    <xf numFmtId="0" fontId="0" fillId="0" borderId="43" pivotButton="0" quotePrefix="0" xfId="0"/>
    <xf numFmtId="0" fontId="0" fillId="0" borderId="44" pivotButton="0" quotePrefix="0" xfId="0"/>
    <xf numFmtId="168" fontId="58" fillId="0" borderId="32" applyAlignment="1" pivotButton="0" quotePrefix="0" xfId="9">
      <alignment horizontal="center" vertical="center"/>
    </xf>
    <xf numFmtId="164" fontId="54" fillId="0" borderId="32" applyAlignment="1" pivotButton="0" quotePrefix="0" xfId="10">
      <alignment horizontal="center" vertical="center"/>
    </xf>
    <xf numFmtId="164" fontId="55" fillId="0" borderId="32" applyAlignment="1" pivotButton="0" quotePrefix="0" xfId="10">
      <alignment horizontal="center" vertical="center"/>
    </xf>
    <xf numFmtId="164" fontId="54" fillId="0" borderId="33" applyAlignment="1" pivotButton="0" quotePrefix="0" xfId="10">
      <alignment horizontal="center" vertical="center"/>
    </xf>
    <xf numFmtId="168" fontId="55" fillId="0" borderId="0" applyAlignment="1" pivotButton="0" quotePrefix="0" xfId="9">
      <alignment horizontal="center"/>
    </xf>
    <xf numFmtId="168" fontId="55" fillId="0" borderId="0" pivotButton="0" quotePrefix="0" xfId="9"/>
    <xf numFmtId="168" fontId="42" fillId="0" borderId="0" applyAlignment="1" pivotButton="0" quotePrefix="0" xfId="9">
      <alignment vertical="center"/>
    </xf>
    <xf numFmtId="168" fontId="64" fillId="0" borderId="0" pivotButton="0" quotePrefix="0" xfId="11"/>
    <xf numFmtId="171" fontId="67" fillId="0" borderId="0" applyAlignment="1" pivotButton="0" quotePrefix="0" xfId="17">
      <alignment vertical="center"/>
    </xf>
    <xf numFmtId="168" fontId="62" fillId="0" borderId="0" applyAlignment="1" pivotButton="0" quotePrefix="0" xfId="8">
      <alignment vertical="center"/>
    </xf>
    <xf numFmtId="168" fontId="0" fillId="0" borderId="0" pivotButton="0" quotePrefix="0" xfId="9"/>
    <xf numFmtId="168" fontId="72" fillId="0" borderId="0" applyAlignment="1" pivotButton="0" quotePrefix="0" xfId="8">
      <alignment horizontal="left" vertical="center"/>
    </xf>
    <xf numFmtId="168" fontId="59" fillId="0" borderId="0" pivotButton="0" quotePrefix="0" xfId="1"/>
    <xf numFmtId="168" fontId="59" fillId="0" borderId="0" pivotButton="0" quotePrefix="0" xfId="9"/>
    <xf numFmtId="168" fontId="59" fillId="0" borderId="0" applyAlignment="1" pivotButton="0" quotePrefix="0" xfId="1">
      <alignment vertical="center"/>
    </xf>
    <xf numFmtId="168" fontId="59" fillId="0" borderId="0" applyAlignment="1" pivotButton="0" quotePrefix="0" xfId="1">
      <alignment horizontal="right"/>
    </xf>
    <xf numFmtId="168" fontId="59" fillId="0" borderId="34" applyAlignment="1" pivotButton="0" quotePrefix="0" xfId="1">
      <alignment horizontal="right"/>
    </xf>
    <xf numFmtId="168" fontId="59" fillId="0" borderId="0" applyAlignment="1" pivotButton="0" quotePrefix="0" xfId="9">
      <alignment vertical="center"/>
    </xf>
    <xf numFmtId="168" fontId="59" fillId="0" borderId="0" applyAlignment="1" pivotButton="0" quotePrefix="0" xfId="9">
      <alignment horizontal="right"/>
    </xf>
    <xf numFmtId="168" fontId="59" fillId="0" borderId="0" applyAlignment="1" pivotButton="0" quotePrefix="0" xfId="9">
      <alignment horizontal="center"/>
    </xf>
    <xf numFmtId="168" fontId="59" fillId="0" borderId="0" applyAlignment="1" pivotButton="0" quotePrefix="0" xfId="8">
      <alignment vertical="center"/>
    </xf>
    <xf numFmtId="168" fontId="62" fillId="0" borderId="0" applyAlignment="1" pivotButton="0" quotePrefix="0" xfId="9">
      <alignment horizontal="center"/>
    </xf>
    <xf numFmtId="171" fontId="67" fillId="0" borderId="0" applyAlignment="1" pivotButton="0" quotePrefix="0" xfId="16">
      <alignment vertical="center"/>
    </xf>
    <xf numFmtId="168" fontId="62" fillId="0" borderId="0" applyAlignment="1" pivotButton="0" quotePrefix="0" xfId="8">
      <alignment horizontal="center" vertical="center"/>
    </xf>
    <xf numFmtId="168" fontId="30" fillId="0" borderId="14" pivotButton="0" quotePrefix="0" xfId="9"/>
    <xf numFmtId="168" fontId="58" fillId="0" borderId="30" applyAlignment="1" pivotButton="0" quotePrefix="0" xfId="9">
      <alignment vertical="center"/>
    </xf>
    <xf numFmtId="168" fontId="58" fillId="0" borderId="31" applyAlignment="1" pivotButton="0" quotePrefix="0" xfId="9">
      <alignment vertical="center"/>
    </xf>
    <xf numFmtId="171" fontId="67" fillId="0" borderId="0" applyAlignment="1" pivotButton="0" quotePrefix="0" xfId="12">
      <alignment vertical="center"/>
    </xf>
  </cellXfs>
  <cellStyles count="47">
    <cellStyle name="Normal" xfId="0" builtinId="0"/>
    <cellStyle name="Comma" xfId="1" builtinId="3"/>
    <cellStyle name="Comma 2" xfId="2"/>
    <cellStyle name="Currency" xfId="3" builtinId="4"/>
    <cellStyle name="Normal 2" xfId="4"/>
    <cellStyle name="Normal 3" xfId="5"/>
    <cellStyle name="Normal 3 2" xfId="6"/>
    <cellStyle name="Style 1" xfId="7"/>
    <cellStyle name="Normal 4" xfId="8"/>
    <cellStyle name="Comma 3" xfId="9"/>
    <cellStyle name="Currency 2" xfId="10"/>
    <cellStyle name="常规_Sheet1" xfId="11"/>
    <cellStyle name="千位分隔_Sheet1" xfId="12"/>
    <cellStyle name="一般" xfId="13"/>
    <cellStyle name="千位分隔 30" xfId="14"/>
    <cellStyle name="千位分隔 32" xfId="15"/>
    <cellStyle name="千位分隔_Sheet1 2" xfId="16"/>
    <cellStyle name="千位分隔_Sheet1 3" xfId="17"/>
    <cellStyle name="Normal 18" xfId="18"/>
    <cellStyle name="Comma 10" xfId="19"/>
    <cellStyle name="%_WHT .Return" xfId="20"/>
    <cellStyle name="Comma 2 2 3" xfId="21"/>
    <cellStyle name="Comma 10 3" xfId="22"/>
    <cellStyle name="Normal_PJ0406" xfId="23"/>
    <cellStyle name="Normal_PJ0506" xfId="24"/>
    <cellStyle name="Normal 2 2" xfId="25"/>
    <cellStyle name="Normal 5" xfId="26"/>
    <cellStyle name="Comma 4" xfId="27"/>
    <cellStyle name="Percent 2" xfId="28"/>
    <cellStyle name="Normal_Oct 04" xfId="29"/>
    <cellStyle name="Normal 6" xfId="30"/>
    <cellStyle name="Percent" xfId="31" builtinId="5"/>
    <cellStyle name="Normal 7" xfId="32"/>
    <cellStyle name="Comma 2 2" xfId="33"/>
    <cellStyle name="Normal 2 4" xfId="34"/>
    <cellStyle name="Normal 3 3" xfId="35"/>
    <cellStyle name="Normal 3 2 2" xfId="36"/>
    <cellStyle name="Normal 4 2" xfId="37"/>
    <cellStyle name="Comma 3 2" xfId="38"/>
    <cellStyle name="Currency 2 2" xfId="39"/>
    <cellStyle name="Normal 5 3" xfId="40"/>
    <cellStyle name="Comma 4 2" xfId="41"/>
    <cellStyle name="Percent 2 2" xfId="42"/>
    <cellStyle name="Normal 6 2" xfId="43"/>
    <cellStyle name="Percent 3" xfId="44"/>
    <cellStyle name="Normal 2 3" xfId="45"/>
    <cellStyle name="Normal 5 2" xfId="46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externalLink" Target="/xl/externalLinks/externalLink1.xml" Id="rId15"/><Relationship Type="http://schemas.openxmlformats.org/officeDocument/2006/relationships/externalLink" Target="/xl/externalLinks/externalLink2.xml" Id="rId16"/><Relationship Type="http://schemas.openxmlformats.org/officeDocument/2006/relationships/externalLink" Target="/xl/externalLinks/externalLink3.xml" Id="rId17"/><Relationship Type="http://schemas.openxmlformats.org/officeDocument/2006/relationships/externalLink" Target="/xl/externalLinks/externalLink4.xml" Id="rId18"/><Relationship Type="http://schemas.openxmlformats.org/officeDocument/2006/relationships/externalLink" Target="/xl/externalLinks/externalLink5.xml" Id="rId19"/><Relationship Type="http://schemas.openxmlformats.org/officeDocument/2006/relationships/externalLink" Target="/xl/externalLinks/externalLink6.xml" Id="rId20"/><Relationship Type="http://schemas.openxmlformats.org/officeDocument/2006/relationships/externalLink" Target="/xl/externalLinks/externalLink7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comments/comment1.xml><?xml version="1.0" encoding="utf-8"?>
<comments xmlns="http://schemas.openxmlformats.org/spreadsheetml/2006/main">
  <authors>
    <author>Lenovo</author>
  </authors>
  <commentList>
    <comment ref="K3" authorId="0" shapeId="0">
      <text>
        <t>Leno</t>
      </text>
    </comment>
  </commentList>
</comments>
</file>

<file path=xl/comments/comment2.xml><?xml version="1.0" encoding="utf-8"?>
<comments xmlns="http://schemas.openxmlformats.org/spreadsheetml/2006/main">
  <authors>
    <author>Lenovo</author>
  </authors>
  <commentList>
    <comment ref="K3" authorId="0" shapeId="0">
      <text>
        <t>Leno</t>
      </text>
    </comment>
  </commentList>
</comments>
</file>

<file path=xl/comments/comment3.xml><?xml version="1.0" encoding="utf-8"?>
<comments xmlns="http://schemas.openxmlformats.org/spreadsheetml/2006/main">
  <authors>
    <author>Lenovo</author>
  </authors>
  <commentList>
    <comment ref="L3" authorId="0" shapeId="0">
      <text>
        <t>Leno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file:///H:\MSOffice\Excel\ARBEIT\UPL\UPL-PLPA.XLS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O:\Users\DarySo\AppData\Local\Microsoft\Windows\Temporary%20Internet%20Files\Content.Outlook\R252VFRG\Documents%20and%20Settings\lpauline.VN\Local%20Settings\Temp\KPMG05-Info%20require%20for%20preparing%20Sal%20tax-S1412-LPL.xls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A:\HH-AUDIT\OLY017\DIAGNOST\ENGLISCH\OLYMPUS\ANLAGEN.XLS" TargetMode="External" Id="rId1"/></Relationships>
</file>

<file path=xl/externalLinks/_rels/externalLink4.xml.rels><Relationships xmlns="http://schemas.openxmlformats.org/package/2006/relationships"><Relationship Type="http://schemas.microsoft.com/office/2006/relationships/xlExternalLinkPath/xlPathMissing" Target="Purchase%20Order1" TargetMode="External" Id="rId1"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/S:\QA%20report\Financial\Sale%20report_for%20accounting_Version%202.xls" TargetMode="External" Id="rId1"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file:///A:\GC-A\SoF_UPL00\SoF%20Company\UPL-PLPA.XLS" TargetMode="External" Id="rId1"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file:///D:\Documents%20and%20Settings\lpauline.VN\Local%20Settings\Temp\KPMG05-Info%20require%20for%20preparing%20Sal%20tax-S1412-LPL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ompany Related Premises"/>
      <sheetName val="S. 5"/>
    </sheetNames>
    <sheetDataSet>
      <sheetData sheetId="0"/>
      <sheetData sheetId="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al tax"/>
      <sheetName val="Sheet"/>
      <sheetName val="Sal_tax"/>
      <sheetName val="Sal_tax1"/>
      <sheetName val="Sal_tax2"/>
      <sheetName val="Sal_tax3"/>
      <sheetName val="Sal_tax4"/>
      <sheetName val="Purchase Journal"/>
      <sheetName val="cost27-09-08"/>
      <sheetName val="Dist-AD"/>
      <sheetName val="Sal_tax5"/>
      <sheetName val="Sal_tax6"/>
      <sheetName val="Sal_tax7"/>
      <sheetName val="Sal_tax8"/>
      <sheetName val="Purchase_Journal"/>
      <sheetName val="Sal_tax9"/>
      <sheetName val="Purchase_Journal1"/>
      <sheetName val="NOTED"/>
      <sheetName val="Dropdown data"/>
      <sheetName val="cwip on 31.03.2003"/>
      <sheetName val="Purchase"/>
      <sheetName val="차수"/>
      <sheetName val="FO1"/>
      <sheetName val="Cost"/>
      <sheetName val="Sal_tax10"/>
      <sheetName val="Purchase_Journal2"/>
      <sheetName val="Sheet8"/>
      <sheetName val="Exchange"/>
      <sheetName val="Plan"/>
      <sheetName val="Sal_tax11"/>
      <sheetName val="Purchase_Journal3"/>
      <sheetName val="SFBT"/>
      <sheetName val="Vendor"/>
      <sheetName val="COA"/>
      <sheetName val="v (104)"/>
      <sheetName val="v (103)"/>
      <sheetName val="v (105)"/>
      <sheetName val="v (106)"/>
      <sheetName val="v (107)"/>
      <sheetName val="v (108)"/>
      <sheetName val="v (109)"/>
      <sheetName val="v (110)"/>
      <sheetName val="v (111)"/>
      <sheetName val="v (112)"/>
      <sheetName val="v (113)"/>
      <sheetName val="v (114)"/>
      <sheetName val="v (115)"/>
      <sheetName val="v (116)"/>
      <sheetName val="v (117)"/>
      <sheetName val="v (118)"/>
      <sheetName val="v (119)"/>
      <sheetName val="v (120)"/>
      <sheetName val="v (121)"/>
      <sheetName val="v (122)"/>
      <sheetName val="v (123)"/>
      <sheetName val="v (124)"/>
      <sheetName val="v (125)"/>
      <sheetName val="v (126)"/>
      <sheetName val="v (127)"/>
      <sheetName val="v (128)"/>
      <sheetName val="v (129)"/>
      <sheetName val="v (130)"/>
      <sheetName val="v (131)"/>
      <sheetName val="v (132)"/>
      <sheetName val="v (133)"/>
      <sheetName val="v (134)"/>
      <sheetName val="v (135)"/>
      <sheetName val="v (136)"/>
      <sheetName val="Sheet10"/>
      <sheetName val="AC17"/>
      <sheetName val="Main Cash"/>
      <sheetName val="Collection"/>
      <sheetName val="Glo_Sales"/>
      <sheetName val="Global"/>
      <sheetName val="Global mth"/>
      <sheetName val="Summary"/>
      <sheetName val="Data Entry"/>
      <sheetName val="mktgwise"/>
      <sheetName val="PBCMemberwise"/>
      <sheetName val="Sheet1"/>
      <sheetName val="april2005"/>
      <sheetName val="nhan cong"/>
      <sheetName val="Stock-06"/>
      <sheetName val="SCE_13"/>
      <sheetName val="2016-12"/>
      <sheetName val="2002"/>
      <sheetName val="Tax Depre"/>
      <sheetName val="Budgets"/>
      <sheetName val="OPL98 - SKK Dec98"/>
      <sheetName val="SCE_12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 refreshError="1"/>
      <sheetData sheetId="27" refreshError="1"/>
      <sheetData sheetId="28" refreshError="1"/>
      <sheetData sheetId="29"/>
      <sheetData sheetId="30"/>
      <sheetData sheetId="31" refreshError="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Anlagevermögen"/>
    </sheetNames>
    <sheetDataSet>
      <sheetData sheetId="0">
        <row r="1">
          <cell r="Z1" t="str">
            <v>EXHIBIT 3</v>
          </cell>
        </row>
        <row r="2">
          <cell r="Z2" t="str">
            <v>Page 3</v>
          </cell>
        </row>
        <row r="5">
          <cell r="C5" t="str">
            <v>Statement of fixed assets movements</v>
          </cell>
        </row>
        <row r="10">
          <cell r="D10" t="str">
            <v>AQUISITION COST</v>
          </cell>
          <cell r="N10" t="str">
            <v>ACCUMULATED DEPRECIATION</v>
          </cell>
          <cell r="X10" t="str">
            <v>NET BOOK VALUE</v>
          </cell>
        </row>
        <row r="11">
          <cell r="J11" t="str">
            <v xml:space="preserve">Exchange </v>
          </cell>
          <cell r="T11" t="str">
            <v>Exchange</v>
          </cell>
        </row>
        <row r="12">
          <cell r="D12" t="str">
            <v>April 1, 1995</v>
          </cell>
          <cell r="F12" t="str">
            <v>Additions</v>
          </cell>
          <cell r="H12" t="str">
            <v>Disposals</v>
          </cell>
          <cell r="J12" t="str">
            <v>Difference</v>
          </cell>
          <cell r="L12" t="str">
            <v>March 31, 1996</v>
          </cell>
          <cell r="N12" t="str">
            <v>April 1, 1995</v>
          </cell>
          <cell r="P12" t="str">
            <v>Additions</v>
          </cell>
          <cell r="R12" t="str">
            <v>Disposals</v>
          </cell>
          <cell r="T12" t="str">
            <v>Difference</v>
          </cell>
          <cell r="V12" t="str">
            <v>March 31, 1996</v>
          </cell>
          <cell r="X12" t="str">
            <v>March 31, 1996</v>
          </cell>
          <cell r="Z12" t="str">
            <v>March 31, 1995</v>
          </cell>
        </row>
        <row r="13">
          <cell r="D13" t="str">
            <v>DM</v>
          </cell>
          <cell r="F13" t="str">
            <v>DM</v>
          </cell>
          <cell r="H13" t="str">
            <v>DM</v>
          </cell>
          <cell r="J13" t="str">
            <v>DM</v>
          </cell>
          <cell r="L13" t="str">
            <v>DM</v>
          </cell>
          <cell r="N13" t="str">
            <v>DM</v>
          </cell>
          <cell r="P13" t="str">
            <v>DM</v>
          </cell>
          <cell r="R13" t="str">
            <v>DM</v>
          </cell>
          <cell r="T13" t="str">
            <v>DM</v>
          </cell>
          <cell r="V13" t="str">
            <v>DM</v>
          </cell>
          <cell r="X13" t="str">
            <v>DM</v>
          </cell>
          <cell r="Z13" t="str">
            <v>DM</v>
          </cell>
        </row>
        <row r="15">
          <cell r="A15" t="str">
            <v>I.</v>
          </cell>
          <cell r="B15" t="str">
            <v>INTANGIBLE ASSETS</v>
          </cell>
        </row>
        <row r="17">
          <cell r="C17" t="str">
            <v>Franchises, trademarks, patents, licences, and similar rights and licences to such rights</v>
          </cell>
          <cell r="D17">
            <v>1177602</v>
          </cell>
          <cell r="F17">
            <v>535543</v>
          </cell>
          <cell r="H17">
            <v>0</v>
          </cell>
          <cell r="J17">
            <v>33507</v>
          </cell>
          <cell r="L17">
            <v>1746652</v>
          </cell>
          <cell r="N17">
            <v>1169056</v>
          </cell>
          <cell r="P17">
            <v>518223</v>
          </cell>
          <cell r="R17">
            <v>0</v>
          </cell>
          <cell r="T17">
            <v>33508</v>
          </cell>
          <cell r="V17">
            <v>1720787</v>
          </cell>
          <cell r="X17">
            <v>25865</v>
          </cell>
          <cell r="Z17">
            <v>8546</v>
          </cell>
        </row>
        <row r="20">
          <cell r="A20" t="str">
            <v>II.</v>
          </cell>
          <cell r="B20" t="str">
            <v>PROPERTY, PLANT AND EQUIPMENT</v>
          </cell>
        </row>
        <row r="22">
          <cell r="B22" t="str">
            <v>1.</v>
          </cell>
          <cell r="C22" t="str">
            <v>Land, leasehold rights and buildings,</v>
          </cell>
        </row>
        <row r="23">
          <cell r="C23" t="str">
            <v>including buildings on non-owned land</v>
          </cell>
          <cell r="D23">
            <v>5044829</v>
          </cell>
          <cell r="F23">
            <v>0</v>
          </cell>
          <cell r="H23">
            <v>0</v>
          </cell>
          <cell r="J23">
            <v>147080</v>
          </cell>
          <cell r="L23">
            <v>5191909</v>
          </cell>
          <cell r="N23">
            <v>2608657</v>
          </cell>
          <cell r="P23">
            <v>129397</v>
          </cell>
          <cell r="R23">
            <v>0</v>
          </cell>
          <cell r="T23">
            <v>77093</v>
          </cell>
          <cell r="V23">
            <v>2815147</v>
          </cell>
          <cell r="X23">
            <v>2376762</v>
          </cell>
          <cell r="Z23">
            <v>2436172</v>
          </cell>
        </row>
        <row r="24">
          <cell r="B24" t="str">
            <v>2.</v>
          </cell>
          <cell r="C24" t="str">
            <v xml:space="preserve">Other equipment, operational and </v>
          </cell>
        </row>
        <row r="25">
          <cell r="C25" t="str">
            <v>office equipment</v>
          </cell>
          <cell r="D25">
            <v>11635933</v>
          </cell>
          <cell r="F25">
            <v>4656110</v>
          </cell>
          <cell r="H25">
            <v>-1917556</v>
          </cell>
          <cell r="J25">
            <v>245073</v>
          </cell>
          <cell r="L25">
            <v>14619560</v>
          </cell>
          <cell r="N25">
            <v>8181318</v>
          </cell>
          <cell r="P25">
            <v>2348299</v>
          </cell>
          <cell r="R25">
            <v>-827341</v>
          </cell>
          <cell r="T25">
            <v>201854</v>
          </cell>
          <cell r="V25">
            <v>9904130</v>
          </cell>
          <cell r="X25">
            <v>4715430</v>
          </cell>
          <cell r="Z25">
            <v>3454615</v>
          </cell>
        </row>
        <row r="27">
          <cell r="D27">
            <v>16680762</v>
          </cell>
          <cell r="F27">
            <v>4656110</v>
          </cell>
          <cell r="H27">
            <v>-1917556</v>
          </cell>
          <cell r="J27">
            <v>392153</v>
          </cell>
          <cell r="L27">
            <v>19811469</v>
          </cell>
          <cell r="N27">
            <v>10789975.140000001</v>
          </cell>
          <cell r="P27">
            <v>2477696</v>
          </cell>
          <cell r="R27">
            <v>-827341</v>
          </cell>
          <cell r="T27">
            <v>278947</v>
          </cell>
          <cell r="V27">
            <v>12719277.140000001</v>
          </cell>
          <cell r="X27">
            <v>7092192</v>
          </cell>
          <cell r="Z27">
            <v>5890787</v>
          </cell>
        </row>
        <row r="29">
          <cell r="D29">
            <v>17858363.649999999</v>
          </cell>
          <cell r="F29">
            <v>5191653</v>
          </cell>
          <cell r="H29">
            <v>-1917556</v>
          </cell>
          <cell r="I29">
            <v>0</v>
          </cell>
          <cell r="J29">
            <v>425660</v>
          </cell>
          <cell r="L29">
            <v>21558121</v>
          </cell>
          <cell r="N29">
            <v>11959031.140000001</v>
          </cell>
          <cell r="O29">
            <v>0</v>
          </cell>
          <cell r="P29">
            <v>2995919</v>
          </cell>
          <cell r="Q29">
            <v>0</v>
          </cell>
          <cell r="R29">
            <v>-827341</v>
          </cell>
          <cell r="S29">
            <v>0</v>
          </cell>
          <cell r="T29">
            <v>312455</v>
          </cell>
          <cell r="U29">
            <v>0</v>
          </cell>
          <cell r="V29">
            <v>14440064.140000001</v>
          </cell>
          <cell r="X29">
            <v>7118057</v>
          </cell>
          <cell r="Y29">
            <v>0</v>
          </cell>
          <cell r="Z29">
            <v>5899333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AutoOpen Stub Data"/>
      <sheetName val="Customize Your Purchase Order"/>
      <sheetName val="Purchase Order"/>
      <sheetName val="Macros"/>
      <sheetName val="ATW"/>
      <sheetName val="Lock"/>
      <sheetName val="Intl Data Table"/>
      <sheetName val="TemplateInformation"/>
      <sheetName val="Purchase Order1"/>
      <sheetName val="Loan Amortization Schedule"/>
      <sheetName val="APR'09"/>
      <sheetName val="Customize_Your_Purchase_Order"/>
      <sheetName val="Purchase_Order"/>
      <sheetName val="AutoOpen_Stub_Data"/>
      <sheetName val="Customize_Your_Purchase_Order1"/>
      <sheetName val="Purchase_Order1"/>
      <sheetName val="Intl_Data_Table"/>
      <sheetName val="Purchase_Order11"/>
      <sheetName val="Loan_Amortization_Schedule"/>
      <sheetName val="Customize_Your_Purchase_Order2"/>
      <sheetName val="Purchase_Order2"/>
      <sheetName val="AutoOpen_Stub_Data1"/>
      <sheetName val="Customize_Your_Purchase_Order3"/>
      <sheetName val="Purchase_Order3"/>
      <sheetName val="Intl_Data_Table1"/>
      <sheetName val="Purchase_Order12"/>
      <sheetName val="Loan_Amortization_Schedule1"/>
      <sheetName val="Customize_Your_Purchase_Order4"/>
      <sheetName val="Purchase_Order4"/>
      <sheetName val="DETAIL "/>
      <sheetName val="List"/>
      <sheetName val="Boq(1)"/>
      <sheetName val="外気負荷"/>
      <sheetName val="C-LOAD(L-FACTORY.)"/>
      <sheetName val="summary"/>
      <sheetName val="SAN REDUCED 1"/>
      <sheetName val="covere"/>
      <sheetName val="SH-D"/>
      <sheetName val="SH-G"/>
      <sheetName val="ค่าวัสดุ"/>
      <sheetName val="SH-E"/>
      <sheetName val="SH-C"/>
      <sheetName val="Defect Report(M&amp;E)"/>
      <sheetName val="EXF"/>
      <sheetName val="Code"/>
      <sheetName val="Price per model"/>
      <sheetName val="建築代価"/>
      <sheetName val="Data"/>
      <sheetName val="SOURCE"/>
      <sheetName val="A กลาง"/>
      <sheetName val="A กลาง เกสร"/>
      <sheetName val="A แฝด"/>
      <sheetName val="A ริม"/>
      <sheetName val="B กลาง"/>
      <sheetName val="B ริม"/>
      <sheetName val="B แฝด"/>
      <sheetName val="C กลาง"/>
      <sheetName val="C ริม"/>
      <sheetName val="C แฝด"/>
      <sheetName val="สรุป"/>
      <sheetName val="เอกสารแนบ"/>
      <sheetName val="SOR"/>
      <sheetName val="cov-estimate"/>
      <sheetName val="040"/>
      <sheetName val="060"/>
      <sheetName val="TABLES"/>
      <sheetName val="Currency Rate"/>
      <sheetName val="BQ-E20-02(Rp)"/>
      <sheetName val="SILICATE"/>
      <sheetName val="Intro"/>
      <sheetName val="Template"/>
      <sheetName val="Variables"/>
      <sheetName val="Report"/>
      <sheetName val="DETAIL_"/>
      <sheetName val="SAN_REDUCED_1"/>
      <sheetName val="C-LOAD(L-FACTORY_)"/>
      <sheetName val="DETAIL_1"/>
      <sheetName val="SAN_REDUCED_11"/>
      <sheetName val="C-LOAD(L-FACTORY_)1"/>
      <sheetName val="Invoice"/>
      <sheetName val="Sheet1 (3)"/>
      <sheetName val="COMMOND LINE"/>
      <sheetName val="Book 1 Summary"/>
      <sheetName val="Total"/>
      <sheetName val="sort2"/>
      <sheetName val="AutoOpen_Stub_Data2"/>
      <sheetName val="Intl_Data_Table2"/>
      <sheetName val="SAN_REDUCED_12"/>
      <sheetName val="DETAIL_2"/>
      <sheetName val="C-LOAD(L-FACTORY_)2"/>
      <sheetName val="COMP"/>
      <sheetName val="cu_ผลรวม"/>
      <sheetName val="cu_รหัส"/>
      <sheetName val="cu_วัน"/>
      <sheetName val="PO(Thai)"/>
      <sheetName val="IMV"/>
      <sheetName val="CrEstimate"/>
      <sheetName val="797T輸入部品リスト"/>
      <sheetName val="data list"/>
      <sheetName val="Plate_Bumper"/>
      <sheetName val="Nov.'02"/>
      <sheetName val="Man7"/>
      <sheetName val="Record"/>
      <sheetName val="Sheet1"/>
      <sheetName val="Customize Your Invoice"/>
      <sheetName val="CST1198"/>
      <sheetName val="Purchases-April"/>
      <sheetName val="JobOrder"/>
      <sheetName val="ค่าโทรศัพท์ค้างจ่าย"/>
      <sheetName val="Register_Local"/>
      <sheetName val="CODE,NAME"/>
      <sheetName val="Phase 2 project"/>
      <sheetName val="AC"/>
      <sheetName val="일위대가목차"/>
      <sheetName val="COA-17"/>
      <sheetName val="C-18"/>
      <sheetName val="Comsole"/>
      <sheetName val="CRITERIA1"/>
      <sheetName val="55435-0D060"/>
      <sheetName val="55436-0D060"/>
      <sheetName val="ConfigModel"/>
      <sheetName val="ResourceModel"/>
      <sheetName val="ＦＣ～FT"/>
      <sheetName val="New DYNA"/>
      <sheetName val="CRITERIA2"/>
      <sheetName val="PRODUCT MIX TRUCK"/>
      <sheetName val="BOM 043L,351L,299L"/>
      <sheetName val="DailyInput"/>
      <sheetName val="Main Summary"/>
      <sheetName val="2.1.1Take pipe"/>
      <sheetName val="2.1.2Take Copper Pipe"/>
      <sheetName val="MASTER"/>
      <sheetName val="CUSTOMER"/>
      <sheetName val="Order List"/>
      <sheetName val="Construction cost assumption"/>
      <sheetName val="JLL Assumption"/>
      <sheetName val="Retail Program&amp;Rev Assumption"/>
      <sheetName val="Annual Production"/>
      <sheetName val="POV"/>
      <sheetName val="ＴＦ関連Ｐｒｊ日程表"/>
      <sheetName val="FC"/>
      <sheetName val="Evaluation"/>
      <sheetName val="Mat"/>
      <sheetName val="AutoOpen_Stub_Data4"/>
      <sheetName val="Customize_Your_Purchase_Order5"/>
      <sheetName val="Purchase_Order5"/>
      <sheetName val="Intl_Data_Table4"/>
      <sheetName val="DETAIL_4"/>
      <sheetName val="AutoOpen_Stub_Data3"/>
      <sheetName val="Intl_Data_Table3"/>
      <sheetName val="DETAIL_3"/>
      <sheetName val="Cover"/>
      <sheetName val="日程"/>
      <sheetName val="supp_name"/>
      <sheetName val="Fill this out first___"/>
      <sheetName val="ITB COST"/>
      <sheetName val=""/>
      <sheetName val="Direct Cost"/>
      <sheetName val="Rate"/>
      <sheetName val="SH-F"/>
      <sheetName val=" ELECTRICAL ROOM CENTER.xlsx"/>
      <sheetName val="Income Statement"/>
      <sheetName val="Balance Sheet"/>
      <sheetName val="Cost_Categories"/>
      <sheetName val="Cost Data"/>
      <sheetName val="Material"/>
      <sheetName val="boq"/>
      <sheetName val="電気設備表"/>
      <sheetName val="Buy vs. Lease Car"/>
      <sheetName val="gvl"/>
      <sheetName val="UP"/>
      <sheetName val="SUM"/>
      <sheetName val="Pipe"/>
      <sheetName val="Recovered_Sheet1"/>
      <sheetName val="Sheet1_(3)"/>
      <sheetName val="COMMOND_LINE"/>
      <sheetName val="Nov_'02"/>
      <sheetName val="data_list"/>
      <sheetName val="New_DYNA"/>
      <sheetName val="PRODUCT_MIX_TRUCK"/>
      <sheetName val="BOM_043L,351L,299L"/>
      <sheetName val="Defect_Report(M&amp;E)"/>
      <sheetName val="ARM 39C "/>
      <sheetName val="n"/>
      <sheetName val="Supplier Master IF"/>
      <sheetName val="Sh&amp;Hd"/>
      <sheetName val="รวมราคาทั้งสิ้น"/>
      <sheetName val="Database"/>
      <sheetName val="Output"/>
      <sheetName val="코드관리"/>
      <sheetName val="Interial"/>
      <sheetName val="ProductName"/>
      <sheetName val="FS(E)"/>
      <sheetName val="รายละเอียดเสาเข็มที่ใช้แต่ละแบบ"/>
      <sheetName val="Waterg"/>
      <sheetName val="Grand Summary"/>
      <sheetName val="Sub Summary"/>
      <sheetName val="Prelim"/>
      <sheetName val="Hotel A type A"/>
      <sheetName val="Hotel A type B"/>
      <sheetName val="Hotel A type C"/>
      <sheetName val="Hotel B type B"/>
      <sheetName val="Hotel B type C"/>
      <sheetName val="Hote C. type C"/>
      <sheetName val="Hotel A suite"/>
      <sheetName val="Bar&amp;Resturant"/>
      <sheetName val="Gyp Pavilion"/>
      <sheetName val="Reception Pavilion"/>
      <sheetName val="WC. Reception"/>
      <sheetName val="Corridor Hote A."/>
      <sheetName val="Corridor Hote B."/>
      <sheetName val="Corridor Hote C."/>
      <sheetName val="e_test_ผลรวม"/>
      <sheetName val="df_ผลรวม"/>
      <sheetName val="df_รหัส"/>
      <sheetName val="df_วัน"/>
      <sheetName val="Cu1_sample"/>
      <sheetName val="DF_sample"/>
      <sheetName val="MK_sample"/>
      <sheetName val="SM"/>
      <sheetName val="SM_sample"/>
      <sheetName val="v_cut_วัน"/>
      <sheetName val="試作台数"/>
      <sheetName val="dr_ผลรวม"/>
      <sheetName val="dr_รหัส"/>
      <sheetName val="dr_วัน"/>
      <sheetName val="e_test_รหัส"/>
      <sheetName val="e_test_วัน"/>
      <sheetName val="etching_ผลรวม"/>
      <sheetName val="etching_รหัส"/>
      <sheetName val="etching_วัน"/>
      <sheetName val="f_test_ผลรวม"/>
      <sheetName val="f_test_รหัส"/>
      <sheetName val="f_test_วัน"/>
      <sheetName val="fqc_ผลรวม"/>
      <sheetName val="fqc_รหัส"/>
      <sheetName val="fqc_วัน"/>
      <sheetName val="hl_ผลรวม"/>
      <sheetName val="hl_รหัส"/>
      <sheetName val="hl_วัน"/>
      <sheetName val="mk_ผลรวม"/>
      <sheetName val="mk_รหัส"/>
      <sheetName val="mk_วัน"/>
      <sheetName val="sm_ผลรวม"/>
      <sheetName val="sm_รหัส"/>
      <sheetName val="sm_วัน"/>
      <sheetName val="v_cut_ผลรวม"/>
      <sheetName val="v_cut_รหัส"/>
      <sheetName val="LOT_ACCP"/>
      <sheetName val="Jan"/>
      <sheetName val="Sample"/>
      <sheetName val=" Sample request (JC41-00834A) -"/>
      <sheetName val="Group"/>
      <sheetName val="MAN"/>
      <sheetName val="Manufacturability"/>
      <sheetName val="JE786"/>
      <sheetName val="A1.2"/>
      <sheetName val="main sum (hotel &amp; residences)"/>
      <sheetName val="ตารางส่วนลด EE."/>
      <sheetName val="bk unit rate"/>
      <sheetName val="STMspry"/>
      <sheetName val="PsychroData"/>
      <sheetName val="DETAIL"/>
      <sheetName val="#REF"/>
      <sheetName val="BUR4-Rd"/>
      <sheetName val="BUR3-DrnRC"/>
      <sheetName val="SPT vs PHI"/>
      <sheetName val="노무비"/>
      <sheetName val="GAAP Pru"/>
      <sheetName val="SAN_REDUCED_13"/>
      <sheetName val="C-LOAD(L-FACTORY_)3"/>
      <sheetName val="A_กลาง"/>
      <sheetName val="A_กลาง_เกสร"/>
      <sheetName val="A_แฝด"/>
      <sheetName val="A_ริม"/>
      <sheetName val="B_กลาง"/>
      <sheetName val="B_ริม"/>
      <sheetName val="B_แฝด"/>
      <sheetName val="C_กลาง"/>
      <sheetName val="C_ริม"/>
      <sheetName val="C_แฝด"/>
      <sheetName val="Price_per_model"/>
      <sheetName val="Currency_Rate"/>
      <sheetName val="Book_1_Summary"/>
      <sheetName val="Main_Summary"/>
      <sheetName val="2_1_1Take_pipe"/>
      <sheetName val="2_1_2Take_Copper_Pipe"/>
      <sheetName val="Order_List"/>
      <sheetName val="Currency"/>
      <sheetName val="21"/>
      <sheetName val="Ceil."/>
      <sheetName val="งานภายนอก"/>
      <sheetName val="Paint."/>
      <sheetName val="Roof"/>
      <sheetName val="Struc."/>
      <sheetName val="SanFix"/>
      <sheetName val="Wall"/>
      <sheetName val="SH-A"/>
      <sheetName val="stair"/>
      <sheetName val="footing"/>
      <sheetName val="Manpower"/>
      <sheetName val="status"/>
      <sheetName val="ราคาต่ำสุด-721"/>
      <sheetName val="Attendance配合费"/>
      <sheetName val="EFR30696"/>
      <sheetName val="Cert1"/>
      <sheetName val="Customize_Your_Purchase_Order6"/>
      <sheetName val="Purchase_Order6"/>
      <sheetName val="AutoOpen_Stub_Data6"/>
      <sheetName val="Customize_Your_Purchase_Order8"/>
      <sheetName val="Purchase_Order8"/>
      <sheetName val="Intl_Data_Table6"/>
      <sheetName val="DETAIL_6"/>
      <sheetName val="SAN_REDUCED_14"/>
      <sheetName val="C-LOAD(L-FACTORY_)4"/>
      <sheetName val="Purchase_Order13"/>
      <sheetName val="A_กลาง1"/>
      <sheetName val="A_กลาง_เกสร1"/>
      <sheetName val="A_แฝด1"/>
      <sheetName val="A_ริม1"/>
      <sheetName val="B_กลาง1"/>
      <sheetName val="B_ริม1"/>
      <sheetName val="B_แฝด1"/>
      <sheetName val="C_กลาง1"/>
      <sheetName val="C_ริม1"/>
      <sheetName val="C_แฝด1"/>
      <sheetName val="Defect_Report(M&amp;E)2"/>
      <sheetName val="Price_per_model1"/>
      <sheetName val="Currency_Rate1"/>
      <sheetName val="Book_1_Summary1"/>
      <sheetName val="Sheet1_(3)2"/>
      <sheetName val="COMMOND_LINE2"/>
      <sheetName val="2_1_1Take_pipe1"/>
      <sheetName val="2_1_2Take_Copper_Pipe1"/>
      <sheetName val="Main_Summary1"/>
      <sheetName val="Nov_'022"/>
      <sheetName val="data_list2"/>
      <sheetName val="New_DYNA2"/>
      <sheetName val="PRODUCT_MIX_TRUCK2"/>
      <sheetName val="BOM_043L,351L,299L2"/>
      <sheetName val="Order_List1"/>
      <sheetName val="Construction_cost_assumption1"/>
      <sheetName val="JLL_Assumption1"/>
      <sheetName val="Retail_Program&amp;Rev_Assumption1"/>
      <sheetName val="Annual_Production1"/>
      <sheetName val="Fill_this_out_first___1"/>
      <sheetName val="ITB_COST1"/>
      <sheetName val="Direct_Cost1"/>
      <sheetName val="_ELECTRICAL_ROOM_CENTER_xlsx1"/>
      <sheetName val="Income_Statement1"/>
      <sheetName val="Balance_Sheet1"/>
      <sheetName val="ARM_39C_1"/>
      <sheetName val="Supplier_Master_IF1"/>
      <sheetName val="Cost_Data1"/>
      <sheetName val="Buy_vs__Lease_Car1"/>
      <sheetName val="AutoOpen_Stub_Data5"/>
      <sheetName val="Customize_Your_Purchase_Order7"/>
      <sheetName val="Purchase_Order7"/>
      <sheetName val="Intl_Data_Table5"/>
      <sheetName val="DETAIL_5"/>
      <sheetName val="Defect_Report(M&amp;E)1"/>
      <sheetName val="Sheet1_(3)1"/>
      <sheetName val="COMMOND_LINE1"/>
      <sheetName val="Nov_'021"/>
      <sheetName val="data_list1"/>
      <sheetName val="New_DYNA1"/>
      <sheetName val="PRODUCT_MIX_TRUCK1"/>
      <sheetName val="BOM_043L,351L,299L1"/>
      <sheetName val="Construction_cost_assumption"/>
      <sheetName val="JLL_Assumption"/>
      <sheetName val="Retail_Program&amp;Rev_Assumption"/>
      <sheetName val="Annual_Production"/>
      <sheetName val="Fill_this_out_first___"/>
      <sheetName val="ITB_COST"/>
      <sheetName val="Direct_Cost"/>
      <sheetName val="_ELECTRICAL_ROOM_CENTER_xlsx"/>
      <sheetName val="Income_Statement"/>
      <sheetName val="Balance_Sheet"/>
      <sheetName val="ARM_39C_"/>
      <sheetName val="Supplier_Master_IF"/>
      <sheetName val="Cost_Data"/>
      <sheetName val="Buy_vs__Lease_Car"/>
      <sheetName val="Sch  3"/>
      <sheetName val="Equipment"/>
      <sheetName val="unitcost"/>
      <sheetName val="inWords"/>
      <sheetName val="Breakdown"/>
      <sheetName val="402"/>
      <sheetName val="sheetNO"/>
      <sheetName val="ｺｽﾄｾﾝﾀｰ別設備稼働費ﾚｰﾄ算出表"/>
      <sheetName val="基準ｲﾝﾌﾟｯﾄ"/>
      <sheetName val="2nd"/>
      <sheetName val="A1_2"/>
      <sheetName val="_Sample_request_(JC41-00834A)_-"/>
      <sheetName val="GAAP_Pru"/>
      <sheetName val="bp bill"/>
      <sheetName val="A1_Summary"/>
      <sheetName val="A"/>
      <sheetName val="Discounted Cash Flow"/>
      <sheetName val="LpC"/>
      <sheetName val="Form"/>
      <sheetName val="Structure"/>
      <sheetName val="Artisan一类材料进度表-丽萍更新"/>
      <sheetName val="Sheet1 _2_"/>
      <sheetName val="Sheet5"/>
      <sheetName val="Sheet2"/>
      <sheetName val="Sheet3"/>
      <sheetName val="รวม"/>
      <sheetName val="HTP"/>
      <sheetName val="Purchase"/>
      <sheetName val="Extract"/>
      <sheetName val="Fagor04-A3112e"/>
      <sheetName val="Assumptions"/>
      <sheetName val="FORM6"/>
      <sheetName val="FORM8(1)"/>
      <sheetName val="FORM1"/>
      <sheetName val="Employee"/>
      <sheetName val="table"/>
      <sheetName val="Sale 0407"/>
      <sheetName val="Account"/>
      <sheetName val="Data3"/>
      <sheetName val="วงเครดิต 3"/>
      <sheetName val="description"/>
      <sheetName val="ExRates"/>
      <sheetName val="2006"/>
      <sheetName val="COST_RM_0208"/>
      <sheetName val="JOB_FO"/>
      <sheetName val="Table Master"/>
      <sheetName val="HYO"/>
      <sheetName val="PASTE N CUT"/>
      <sheetName val="Sheet1 (2)"/>
      <sheetName val="Amortization Table"/>
      <sheetName val="SEA"/>
      <sheetName val="FF-3"/>
      <sheetName val="IP標時xls"/>
      <sheetName val="Loan_Amortization_Schedule2"/>
      <sheetName val="Allocate96-98"/>
      <sheetName val="Parameters"/>
      <sheetName val="Drop_list"/>
      <sheetName val="mnly"/>
      <sheetName val="COST"/>
      <sheetName val="計算結果"/>
      <sheetName val="Ref"/>
    </sheetNames>
    <sheetDataSet>
      <sheetData sheetId="0" refreshError="1"/>
      <sheetData sheetId="1" refreshError="1">
        <row r="21">
          <cell r="E21" t="b">
            <v>0</v>
          </cell>
        </row>
        <row r="24">
          <cell r="F24">
            <v>0.22</v>
          </cell>
        </row>
        <row r="25">
          <cell r="E25" t="b">
            <v>1</v>
          </cell>
        </row>
      </sheetData>
      <sheetData sheetId="2" refreshError="1">
        <row r="23">
          <cell r="F23" t="str">
            <v>State</v>
          </cell>
        </row>
        <row r="40">
          <cell r="E40">
            <v>1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/>
      <sheetData sheetId="18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/>
      <sheetData sheetId="224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/>
      <sheetData sheetId="352" refreshError="1"/>
      <sheetData sheetId="353" refreshError="1"/>
      <sheetData sheetId="354" refreshError="1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Main"/>
      <sheetName val="AGE"/>
      <sheetName val="Ls_AgXLB_WorkbookFile"/>
      <sheetName val="SBC"/>
      <sheetName val="SBI"/>
      <sheetName val="SAP"/>
      <sheetName val="SAPTEMP"/>
      <sheetName val="DSC"/>
      <sheetName val="DSCTEMP"/>
      <sheetName val="SBP"/>
      <sheetName val="SBPTEMP"/>
      <sheetName val="SBPDATE"/>
      <sheetName val="SBPMTD"/>
      <sheetName val="SBPYTD"/>
      <sheetName val="SBPLASTY"/>
      <sheetName val="Sheet1"/>
      <sheetName val="Ls_XLB_WorkbookFile"/>
      <sheetName val="Purchase Order"/>
      <sheetName val="Customize Your Purchase Order"/>
      <sheetName val="Purchase_Order1"/>
      <sheetName val="Customize_Your_Purchase_Order1"/>
      <sheetName val="Purchase_Order"/>
      <sheetName val="Customize_Your_Purchase_Order"/>
      <sheetName val="Purchase_Order2"/>
      <sheetName val="Customize_Your_Purchase_Order2"/>
      <sheetName val="Purchase_Order3"/>
      <sheetName val="Customize_Your_Purchase_Order3"/>
      <sheetName val="Purchase_Order4"/>
      <sheetName val="Customize_Your_Purchase_Order4"/>
      <sheetName val="dpc cost"/>
      <sheetName val="SUMMERY"/>
      <sheetName val="12"/>
      <sheetName val="10-Invt."/>
      <sheetName val="6-SAAGLEDGER"/>
      <sheetName val="5 Analysis"/>
      <sheetName val="Lead Time"/>
      <sheetName val="#REF"/>
      <sheetName val="G. Ledger Crescent"/>
      <sheetName val="Trial balance"/>
      <sheetName val="ARDEBT"/>
      <sheetName val="10-Invt_"/>
      <sheetName val="5_Analysis"/>
      <sheetName val="Lead_Time"/>
      <sheetName val="G__Ledger_Crescent"/>
      <sheetName val="Trial_balance"/>
      <sheetName val="Transition Calculations"/>
      <sheetName val="BFM"/>
      <sheetName val="Transition Resourcing"/>
      <sheetName val="Skill_Matrix"/>
      <sheetName val="10-Invt_1"/>
      <sheetName val="5_Analysis1"/>
      <sheetName val="Lead_Time1"/>
      <sheetName val="G__Ledger_Crescent1"/>
      <sheetName val="Trial_balance1"/>
      <sheetName val="Transition_Calculations"/>
      <sheetName val="Transition_Resourcing"/>
      <sheetName val="inputs"/>
      <sheetName val="operating"/>
      <sheetName val="NOTED"/>
      <sheetName val="Summary Allocation"/>
      <sheetName val="Purchase_Order5"/>
      <sheetName val="Customize_Your_Purchase_Order5"/>
      <sheetName val="dpc_cost"/>
      <sheetName val="Purchase_Order6"/>
      <sheetName val="Customize_Your_Purchase_Order6"/>
      <sheetName val="dpc_cost1"/>
      <sheetName val="Purchase_Order7"/>
      <sheetName val="Customize_Your_Purchase_Order7"/>
      <sheetName val="dpc_cost2"/>
      <sheetName val="10-Invt_2"/>
      <sheetName val="5_Analysis2"/>
      <sheetName val="Lead_Time2"/>
      <sheetName val="G__Ledger_Crescent2"/>
      <sheetName val="Trial_balance2"/>
      <sheetName val="Cover"/>
      <sheetName val="Send to bank"/>
      <sheetName val="Memo"/>
      <sheetName val="Pay by COH"/>
      <sheetName val="Pay by Bank "/>
      <sheetName val="New Tax"/>
      <sheetName val="YLP"/>
      <sheetName val="EKP"/>
      <sheetName val="PEP"/>
      <sheetName val="IEP"/>
      <sheetName val="Sing"/>
      <sheetName val="Purchase_Order8"/>
      <sheetName val="Customize_Your_Purchase_Order8"/>
      <sheetName val="dpc_cost3"/>
      <sheetName val="10-Invt_3"/>
      <sheetName val="5_Analysis3"/>
      <sheetName val="Lead_Time3"/>
      <sheetName val="G__Ledger_Crescent3"/>
      <sheetName val="Trial_balance3"/>
      <sheetName val="Purchase"/>
      <sheetName val="H1b Accounts Payable"/>
      <sheetName val="W"/>
      <sheetName val="Summary_Allocation"/>
      <sheetName val="Purchase_Order9"/>
      <sheetName val="Customize_Your_Purchase_Order9"/>
      <sheetName val="dpc_cost4"/>
      <sheetName val="10-Invt_4"/>
      <sheetName val="5_Analysis4"/>
      <sheetName val="Lead_Time4"/>
      <sheetName val="G__Ledger_Crescent4"/>
      <sheetName val="Trial_balance4"/>
      <sheetName val="Transition_Calculations1"/>
      <sheetName val="Transition_Resourcing1"/>
      <sheetName val="DONVIBAN"/>
      <sheetName val="NGUON"/>
      <sheetName val="Purchase_Order10"/>
      <sheetName val="Customize_Your_Purchase_Order10"/>
      <sheetName val="dpc_cost5"/>
      <sheetName val="10-Invt_5"/>
      <sheetName val="5_Analysis5"/>
      <sheetName val="Lead_Time5"/>
      <sheetName val="G__Ledger_Crescent5"/>
      <sheetName val="Trial_balance5"/>
      <sheetName val="Transition_Calculations2"/>
      <sheetName val="Transition_Resourcing2"/>
      <sheetName val="Summary_Allocation1"/>
      <sheetName val="H1b_Accounts_Payable"/>
      <sheetName val="Send_to_bank"/>
      <sheetName val="Pay_by_COH"/>
      <sheetName val="Pay_by_Bank_"/>
      <sheetName val="New_Tax"/>
      <sheetName val="PD EXP 201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>
        <row r="1">
          <cell r="A1"/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Company Related Premises"/>
    </sheetNames>
    <sheetDataSet>
      <sheetData sheetId="0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Sal tax"/>
      <sheetName val="Sheet"/>
      <sheetName val="Sal_tax"/>
      <sheetName val="Sal_tax1"/>
      <sheetName val="Sal_tax2"/>
      <sheetName val="Sal_tax3"/>
      <sheetName val="Sal_tax4"/>
      <sheetName val="Purchase Journal"/>
      <sheetName val="Collection"/>
      <sheetName val="Glo_Sales"/>
      <sheetName val="Global"/>
      <sheetName val="Global mth"/>
      <sheetName val="Summary"/>
      <sheetName val="Data Entry"/>
      <sheetName val="mktgwise"/>
      <sheetName val="PBCMemberwise"/>
      <sheetName val="cost27-09-08"/>
      <sheetName val="Dist-AD"/>
      <sheetName val="Sal_tax5"/>
      <sheetName val="Sal_tax6"/>
      <sheetName val="Sal_tax7"/>
      <sheetName val="Sal_tax8"/>
      <sheetName val="Purchase_Journal"/>
      <sheetName val="Sal_tax9"/>
      <sheetName val="Purchase_Journal1"/>
      <sheetName val="NOTED"/>
      <sheetName val="Dropdown data"/>
      <sheetName val="cwip on 31.03.2003"/>
      <sheetName val="Purchase"/>
      <sheetName val="차수"/>
      <sheetName val="FO1"/>
      <sheetName val="Cost"/>
      <sheetName val="Sal_tax10"/>
      <sheetName val="Purchase_Journal2"/>
      <sheetName val="Sheet8"/>
      <sheetName val="Exchange"/>
      <sheetName val="Plan"/>
      <sheetName val="Sheet1"/>
      <sheetName val="april2005"/>
      <sheetName val="nhan cong"/>
      <sheetName val="Stock-06"/>
      <sheetName val="Sheet2"/>
      <sheetName val="Balance"/>
      <sheetName val="DO AM DT"/>
      <sheetName val="Sal_tax11"/>
      <sheetName val="Purchase_Journal3"/>
      <sheetName val="SFBT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/>
      <sheetData sheetId="29" refreshError="1"/>
      <sheetData sheetId="30" refreshError="1"/>
      <sheetData sheetId="31" refreshError="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/>
      <sheetData sheetId="42" refreshError="1"/>
      <sheetData sheetId="43" refreshError="1"/>
      <sheetData sheetId="44"/>
      <sheetData sheetId="45"/>
      <sheetData sheetId="4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S36"/>
  <sheetViews>
    <sheetView zoomScale="70" zoomScaleNormal="70" workbookViewId="0">
      <selection activeCell="H9" sqref="H9"/>
    </sheetView>
  </sheetViews>
  <sheetFormatPr baseColWidth="8" defaultRowHeight="21.6"/>
  <cols>
    <col width="37" customWidth="1" style="397" min="2" max="2"/>
    <col width="7" customWidth="1" style="397" min="3" max="3"/>
    <col width="29" customWidth="1" style="291" min="4" max="5"/>
    <col width="29.6640625" customWidth="1" style="397" min="6" max="6"/>
    <col width="7" customWidth="1" style="397" min="7" max="7"/>
    <col width="29" customWidth="1" style="397" min="8" max="9"/>
  </cols>
  <sheetData>
    <row r="1" ht="25.2" customHeight="1" s="397">
      <c r="C1" s="197" t="n"/>
      <c r="F1" s="197" t="n"/>
      <c r="G1" s="197" t="n"/>
      <c r="H1" s="197" t="n"/>
      <c r="I1" s="197" t="n"/>
      <c r="J1" s="197" t="n"/>
      <c r="K1" s="197" t="n"/>
      <c r="L1" s="197" t="n"/>
      <c r="M1" s="197" t="n"/>
      <c r="N1" s="197" t="n"/>
      <c r="O1" s="197" t="n"/>
      <c r="P1" s="197" t="n"/>
      <c r="Q1" s="197" t="n"/>
      <c r="R1" s="197" t="n"/>
      <c r="S1" s="197" t="n"/>
    </row>
    <row r="2" ht="25.2" customHeight="1" s="397">
      <c r="B2" s="398" t="inlineStr">
        <is>
          <t>COMPANY NAME (KHMER)</t>
        </is>
      </c>
      <c r="C2" s="400" t="n"/>
      <c r="D2" s="211" t="inlineStr">
        <is>
          <t>វីអ៊ីស៊ិន (ខេមបូឌា) អ៊ិនដាសស្ទ្រី ឯ.ក</t>
        </is>
      </c>
      <c r="E2" s="400" t="n"/>
      <c r="F2" s="401" t="inlineStr">
        <is>
          <t>Audit timeline</t>
        </is>
      </c>
      <c r="G2" s="400" t="n"/>
      <c r="H2" s="400" t="n"/>
      <c r="I2" s="400" t="n"/>
      <c r="J2" s="197" t="n"/>
      <c r="K2" s="197" t="n"/>
      <c r="L2" s="197" t="n"/>
      <c r="M2" s="197" t="n"/>
      <c r="N2" s="197" t="n"/>
      <c r="O2" s="197" t="n"/>
      <c r="P2" s="197" t="n"/>
      <c r="Q2" s="197" t="n"/>
      <c r="R2" s="197" t="n"/>
      <c r="S2" s="197" t="n"/>
    </row>
    <row r="3" ht="25.2" customHeight="1" s="397">
      <c r="B3" s="398" t="inlineStr">
        <is>
          <t>COMPANY NAME (ENGLISH)</t>
        </is>
      </c>
      <c r="C3" s="400" t="n"/>
      <c r="D3" s="211" t="inlineStr">
        <is>
          <t>Viiition (Cambodia)</t>
        </is>
      </c>
      <c r="E3" s="400" t="n"/>
      <c r="F3" s="398" t="n"/>
      <c r="G3" s="400" t="n"/>
      <c r="H3" s="400" t="n"/>
      <c r="I3" s="400" t="n"/>
      <c r="J3" s="197" t="n"/>
      <c r="K3" s="197" t="n"/>
      <c r="L3" s="197" t="n"/>
      <c r="M3" s="197" t="n"/>
      <c r="N3" s="197" t="n"/>
      <c r="O3" s="197" t="n"/>
      <c r="P3" s="197" t="n"/>
      <c r="Q3" s="197" t="n"/>
      <c r="R3" s="197" t="n"/>
      <c r="S3" s="197" t="n"/>
    </row>
    <row r="4" ht="25.2" customHeight="1" s="397">
      <c r="B4" s="398" t="inlineStr">
        <is>
          <t>VAT NUMBER</t>
        </is>
      </c>
      <c r="C4" s="400" t="n"/>
      <c r="D4" s="211" t="inlineStr">
        <is>
          <t>L001-901905215</t>
        </is>
      </c>
      <c r="E4" s="400" t="n"/>
      <c r="F4" s="401" t="inlineStr">
        <is>
          <t>MOC NUMBER</t>
        </is>
      </c>
      <c r="G4" s="400" t="n"/>
      <c r="H4" s="400" t="n"/>
      <c r="I4" s="400" t="n"/>
      <c r="J4" s="197" t="n"/>
      <c r="K4" s="197" t="n"/>
      <c r="L4" s="197" t="n"/>
      <c r="M4" s="197" t="n"/>
      <c r="N4" s="197" t="n"/>
      <c r="O4" s="197" t="n"/>
      <c r="P4" s="197" t="n"/>
      <c r="Q4" s="197" t="n"/>
      <c r="R4" s="197" t="n"/>
      <c r="S4" s="197" t="n"/>
    </row>
    <row r="5" ht="25.2" customHeight="1" s="397">
      <c r="B5" s="398" t="inlineStr">
        <is>
          <t>Business Activity</t>
        </is>
      </c>
      <c r="C5" s="400" t="n"/>
      <c r="D5" s="211" t="inlineStr">
        <is>
          <t>រោងចក្រកាត់ដេរសម្លៀកបំពាក់</t>
        </is>
      </c>
      <c r="E5" s="400" t="n"/>
      <c r="F5" s="401" t="inlineStr">
        <is>
          <t>MOC DATE OF ISSUE</t>
        </is>
      </c>
      <c r="G5" s="400" t="n"/>
      <c r="H5" s="400" t="n"/>
      <c r="I5" s="400" t="n"/>
      <c r="J5" s="197" t="n"/>
      <c r="K5" s="197" t="n"/>
      <c r="L5" s="197" t="n"/>
      <c r="M5" s="197" t="n"/>
      <c r="N5" s="197" t="n"/>
      <c r="O5" s="197" t="n"/>
      <c r="P5" s="197" t="n"/>
      <c r="Q5" s="197" t="n"/>
      <c r="R5" s="197" t="n"/>
      <c r="S5" s="197" t="n"/>
    </row>
    <row r="6" ht="25.2" customHeight="1" s="397">
      <c r="B6" s="398" t="inlineStr">
        <is>
          <t>Address Main</t>
        </is>
      </c>
      <c r="C6" s="400" t="n"/>
      <c r="D6" s="211" t="inlineStr">
        <is>
          <t>ផ្ទះលេខ ​ ផ្លូវ ​ ភូមិស្រង់ ឃុំស្រង់ ស្រុកគងពិសី ខេត្តកំពង់ស្ពឺ</t>
        </is>
      </c>
      <c r="E6" s="400" t="n"/>
      <c r="F6" s="401" t="inlineStr">
        <is>
          <t>PATENT ISSUE DATE</t>
        </is>
      </c>
      <c r="G6" s="400" t="n"/>
      <c r="H6" s="400" t="n"/>
      <c r="I6" s="400" t="n"/>
      <c r="J6" s="197" t="n"/>
      <c r="K6" s="197" t="n"/>
      <c r="L6" s="197" t="n"/>
      <c r="M6" s="197" t="n"/>
      <c r="N6" s="197" t="n"/>
      <c r="O6" s="197" t="n"/>
      <c r="P6" s="197" t="n"/>
      <c r="Q6" s="197" t="n"/>
      <c r="R6" s="197" t="n"/>
      <c r="S6" s="197" t="n"/>
    </row>
    <row r="7" ht="25.2" customHeight="1" s="397">
      <c r="B7" s="398" t="inlineStr">
        <is>
          <t>Request Period</t>
        </is>
      </c>
      <c r="C7" s="400" t="n"/>
      <c r="D7" s="400" t="n"/>
      <c r="E7" s="400" t="n"/>
      <c r="F7" s="401" t="inlineStr">
        <is>
          <t>VAT CERTIFICATE ISSUE DATE</t>
        </is>
      </c>
      <c r="G7" s="400" t="n"/>
      <c r="H7" s="400" t="n"/>
      <c r="I7" s="400" t="n"/>
      <c r="J7" s="197" t="n"/>
      <c r="K7" s="197" t="n"/>
      <c r="L7" s="197" t="n"/>
      <c r="M7" s="197" t="n"/>
      <c r="N7" s="197" t="n"/>
      <c r="O7" s="197" t="n"/>
      <c r="P7" s="197" t="n"/>
      <c r="Q7" s="197" t="n"/>
      <c r="R7" s="197" t="n"/>
      <c r="S7" s="197" t="n"/>
    </row>
    <row r="8" ht="25.2" customHeight="1" s="397">
      <c r="B8" s="398" t="inlineStr">
        <is>
          <t>Auditor Name</t>
        </is>
      </c>
      <c r="C8" s="400" t="n"/>
      <c r="D8" s="400" t="n"/>
      <c r="E8" s="400" t="n"/>
      <c r="F8" s="401" t="inlineStr">
        <is>
          <t>Request Date</t>
        </is>
      </c>
      <c r="G8" s="400" t="n"/>
      <c r="H8" s="400" t="n"/>
      <c r="I8" s="400" t="n"/>
      <c r="J8" s="197" t="n"/>
      <c r="K8" s="197" t="n"/>
      <c r="L8" s="197" t="n"/>
      <c r="M8" s="197" t="n"/>
      <c r="N8" s="197" t="n"/>
      <c r="O8" s="197" t="n"/>
      <c r="P8" s="197" t="n"/>
      <c r="Q8" s="197" t="n"/>
      <c r="R8" s="197" t="n"/>
      <c r="S8" s="197" t="n"/>
    </row>
    <row r="9" ht="25.2" customHeight="1" s="397">
      <c r="B9" s="398" t="n"/>
      <c r="C9" s="400" t="n"/>
      <c r="D9" s="400" t="n"/>
      <c r="E9" s="400" t="n"/>
      <c r="F9" s="401" t="inlineStr">
        <is>
          <t>Amount of Request</t>
        </is>
      </c>
      <c r="G9" s="400" t="n"/>
      <c r="H9" s="400" t="n"/>
      <c r="I9" s="400" t="n"/>
      <c r="J9" s="197" t="n"/>
      <c r="K9" s="197" t="n"/>
      <c r="L9" s="197" t="n"/>
      <c r="M9" s="197" t="n"/>
      <c r="N9" s="197" t="n"/>
      <c r="O9" s="197" t="n"/>
      <c r="P9" s="197" t="n"/>
      <c r="Q9" s="197" t="n"/>
      <c r="R9" s="197" t="n"/>
      <c r="S9" s="197" t="n"/>
    </row>
    <row r="10" ht="25.2" customHeight="1" s="397">
      <c r="B10" s="398" t="inlineStr">
        <is>
          <t>Phone Number</t>
        </is>
      </c>
      <c r="C10" s="399" t="n"/>
      <c r="D10" s="211" t="inlineStr">
        <is>
          <t>011777957</t>
        </is>
      </c>
      <c r="E10" s="400" t="n"/>
      <c r="F10" s="197" t="n"/>
      <c r="G10" s="399" t="n"/>
      <c r="H10" s="400" t="n"/>
      <c r="I10" s="400" t="n"/>
      <c r="J10" s="197" t="n"/>
      <c r="K10" s="197" t="n"/>
      <c r="L10" s="197" t="n"/>
      <c r="M10" s="197" t="n"/>
      <c r="N10" s="197" t="n"/>
      <c r="O10" s="197" t="n"/>
      <c r="P10" s="197" t="n"/>
      <c r="Q10" s="197" t="n"/>
      <c r="R10" s="197" t="n"/>
      <c r="S10" s="197" t="n"/>
    </row>
    <row r="11" ht="25.2" customHeight="1" s="397">
      <c r="B11" s="401" t="inlineStr">
        <is>
          <t>BANK ACCOUNT NUMBER TO REFUND</t>
        </is>
      </c>
      <c r="C11" s="399" t="n"/>
      <c r="D11" s="211" t="inlineStr">
        <is>
          <t>38800502883099</t>
        </is>
      </c>
      <c r="E11" s="400" t="n"/>
      <c r="F11" s="197" t="n"/>
      <c r="G11" s="399" t="n"/>
      <c r="H11" s="400" t="n"/>
      <c r="I11" s="400" t="n"/>
      <c r="J11" s="197" t="n"/>
      <c r="K11" s="197" t="n"/>
      <c r="L11" s="197" t="n"/>
      <c r="M11" s="197" t="n"/>
      <c r="N11" s="197" t="n"/>
      <c r="O11" s="197" t="n"/>
      <c r="P11" s="197" t="n"/>
      <c r="Q11" s="197" t="n"/>
      <c r="R11" s="197" t="n"/>
      <c r="S11" s="197" t="n"/>
    </row>
    <row r="12" ht="25.2" customHeight="1" s="397">
      <c r="B12" s="398" t="inlineStr">
        <is>
          <t>BANK NAME:</t>
        </is>
      </c>
      <c r="C12" s="399" t="n"/>
      <c r="D12" s="211" t="inlineStr">
        <is>
          <t>ធនាគារ អេស៊ីលីដាACLEDA Bank Plc.</t>
        </is>
      </c>
      <c r="E12" s="400" t="n"/>
      <c r="F12" s="197" t="n"/>
      <c r="G12" s="399" t="n"/>
      <c r="H12" s="400" t="n"/>
      <c r="I12" s="400" t="n"/>
      <c r="J12" s="197" t="n"/>
      <c r="K12" s="197" t="n"/>
      <c r="L12" s="197" t="n"/>
      <c r="M12" s="197" t="n"/>
      <c r="N12" s="197" t="n"/>
      <c r="O12" s="197" t="n"/>
      <c r="P12" s="197" t="n"/>
      <c r="Q12" s="197" t="n"/>
      <c r="R12" s="197" t="n"/>
      <c r="S12" s="197" t="n"/>
    </row>
    <row r="13" ht="25.2" customHeight="1" s="397">
      <c r="B13" s="401" t="inlineStr">
        <is>
          <t>Person to Contact</t>
        </is>
      </c>
      <c r="C13" s="399" t="n"/>
      <c r="D13" s="400" t="n"/>
      <c r="E13" s="400" t="n"/>
      <c r="F13" s="197" t="n"/>
      <c r="G13" s="399" t="n"/>
      <c r="H13" s="400" t="n"/>
      <c r="I13" s="400" t="n"/>
      <c r="J13" s="197" t="n"/>
      <c r="K13" s="197" t="n"/>
      <c r="L13" s="197" t="n"/>
      <c r="M13" s="197" t="n"/>
      <c r="N13" s="197" t="n"/>
      <c r="O13" s="197" t="n"/>
      <c r="P13" s="197" t="n"/>
      <c r="Q13" s="197" t="n"/>
      <c r="R13" s="197" t="n"/>
      <c r="S13" s="197" t="n"/>
    </row>
    <row r="14" ht="25.2" customHeight="1" s="397">
      <c r="B14" s="401" t="inlineStr">
        <is>
          <t>Position</t>
        </is>
      </c>
      <c r="C14" s="399" t="n"/>
      <c r="D14" s="400" t="n"/>
      <c r="E14" s="400" t="n"/>
      <c r="F14" s="197" t="n"/>
      <c r="G14" s="399" t="n"/>
      <c r="H14" s="400" t="n"/>
      <c r="I14" s="400" t="n"/>
      <c r="J14" s="197" t="n"/>
      <c r="K14" s="197" t="n"/>
      <c r="L14" s="197" t="n"/>
      <c r="M14" s="197" t="n"/>
      <c r="N14" s="197" t="n"/>
      <c r="O14" s="197" t="n"/>
      <c r="P14" s="197" t="n"/>
      <c r="Q14" s="197" t="n"/>
      <c r="R14" s="197" t="n"/>
      <c r="S14" s="197" t="n"/>
    </row>
    <row r="15" ht="25.2" customHeight="1" s="397">
      <c r="F15" s="197" t="n"/>
      <c r="G15" s="197" t="n"/>
      <c r="H15" s="197" t="n"/>
      <c r="I15" s="197" t="n"/>
      <c r="J15" s="197" t="n"/>
      <c r="K15" s="197" t="n"/>
      <c r="L15" s="197" t="n"/>
      <c r="M15" s="197" t="n"/>
      <c r="N15" s="197" t="n"/>
      <c r="O15" s="197" t="n"/>
      <c r="P15" s="197" t="n"/>
      <c r="Q15" s="197" t="n"/>
      <c r="R15" s="197" t="n"/>
      <c r="S15" s="197" t="n"/>
    </row>
    <row r="16" ht="25.2" customHeight="1" s="397">
      <c r="F16" s="197" t="n"/>
      <c r="G16" s="197" t="n"/>
      <c r="H16" s="197" t="n"/>
      <c r="I16" s="197" t="n"/>
      <c r="J16" s="197" t="n"/>
      <c r="K16" s="197" t="n"/>
      <c r="L16" s="197" t="n"/>
      <c r="M16" s="197" t="n"/>
      <c r="N16" s="197" t="n"/>
      <c r="O16" s="197" t="n"/>
      <c r="P16" s="197" t="n"/>
      <c r="Q16" s="197" t="n"/>
      <c r="R16" s="197" t="n"/>
      <c r="S16" s="197" t="n"/>
    </row>
    <row r="17" ht="25.2" customHeight="1" s="397">
      <c r="F17" s="197" t="n"/>
      <c r="G17" s="197" t="n"/>
      <c r="H17" s="197" t="n"/>
      <c r="I17" s="197" t="n"/>
      <c r="J17" s="197" t="n"/>
      <c r="K17" s="197" t="n"/>
      <c r="L17" s="197" t="n"/>
      <c r="M17" s="197" t="n"/>
      <c r="N17" s="197" t="n"/>
      <c r="O17" s="197" t="n"/>
      <c r="P17" s="197" t="n"/>
      <c r="Q17" s="197" t="n"/>
      <c r="R17" s="197" t="n"/>
      <c r="S17" s="197" t="n"/>
    </row>
    <row r="18" ht="25.2" customHeight="1" s="397">
      <c r="F18" s="197" t="n"/>
      <c r="G18" s="197" t="n"/>
      <c r="H18" s="197" t="n"/>
      <c r="I18" s="197" t="n"/>
      <c r="J18" s="197" t="n"/>
      <c r="K18" s="197" t="n"/>
      <c r="L18" s="197" t="n"/>
      <c r="M18" s="197" t="n"/>
      <c r="N18" s="197" t="n"/>
      <c r="O18" s="197" t="n"/>
      <c r="P18" s="197" t="n"/>
      <c r="Q18" s="197" t="n"/>
      <c r="R18" s="197" t="n"/>
      <c r="S18" s="197" t="n"/>
    </row>
    <row r="19" ht="25.2" customHeight="1" s="397">
      <c r="F19" s="197" t="n"/>
      <c r="G19" s="197" t="n"/>
      <c r="H19" s="197" t="n"/>
      <c r="I19" s="197" t="n"/>
      <c r="J19" s="197" t="n"/>
      <c r="K19" s="197" t="n"/>
      <c r="L19" s="197" t="n"/>
      <c r="M19" s="197" t="n"/>
      <c r="N19" s="197" t="n"/>
      <c r="O19" s="197" t="n"/>
      <c r="P19" s="197" t="n"/>
      <c r="Q19" s="197" t="n"/>
      <c r="R19" s="197" t="n"/>
      <c r="S19" s="197" t="n"/>
    </row>
    <row r="20" ht="25.2" customHeight="1" s="397">
      <c r="F20" s="197" t="n"/>
      <c r="G20" s="197" t="n"/>
      <c r="H20" s="197" t="n"/>
      <c r="I20" s="197" t="n"/>
      <c r="J20" s="197" t="n"/>
      <c r="K20" s="197" t="n"/>
      <c r="L20" s="197" t="n"/>
      <c r="M20" s="197" t="n"/>
      <c r="N20" s="197" t="n"/>
      <c r="O20" s="197" t="n"/>
      <c r="P20" s="197" t="n"/>
      <c r="Q20" s="197" t="n"/>
      <c r="R20" s="197" t="n"/>
      <c r="S20" s="197" t="n"/>
    </row>
    <row r="21" ht="25.2" customHeight="1" s="397">
      <c r="F21" s="197" t="n"/>
      <c r="G21" s="197" t="n"/>
      <c r="H21" s="197" t="n"/>
      <c r="I21" s="197" t="n"/>
      <c r="J21" s="197" t="n"/>
      <c r="K21" s="197" t="n"/>
      <c r="L21" s="197" t="n"/>
      <c r="M21" s="197" t="n"/>
      <c r="N21" s="197" t="n"/>
      <c r="O21" s="197" t="n"/>
      <c r="P21" s="197" t="n"/>
      <c r="Q21" s="197" t="n"/>
      <c r="R21" s="197" t="n"/>
      <c r="S21" s="197" t="n"/>
    </row>
    <row r="22" ht="25.2" customHeight="1" s="397">
      <c r="F22" s="197" t="n"/>
      <c r="G22" s="197" t="n"/>
      <c r="H22" s="197" t="n"/>
      <c r="I22" s="197" t="n"/>
      <c r="J22" s="197" t="n"/>
      <c r="K22" s="197" t="n"/>
      <c r="L22" s="197" t="n"/>
      <c r="M22" s="197" t="n"/>
      <c r="N22" s="197" t="n"/>
      <c r="O22" s="197" t="n"/>
      <c r="P22" s="197" t="n"/>
      <c r="Q22" s="197" t="n"/>
      <c r="R22" s="197" t="n"/>
      <c r="S22" s="197" t="n"/>
    </row>
    <row r="23" ht="25.2" customHeight="1" s="397">
      <c r="B23" s="196" t="n"/>
      <c r="C23" s="197" t="n"/>
      <c r="F23" s="197" t="n"/>
      <c r="G23" s="197" t="n"/>
      <c r="H23" s="197" t="n"/>
      <c r="I23" s="197" t="n"/>
      <c r="J23" s="197" t="n"/>
      <c r="K23" s="197" t="n"/>
      <c r="L23" s="197" t="n"/>
      <c r="M23" s="197" t="n"/>
      <c r="N23" s="197" t="n"/>
      <c r="O23" s="197" t="n"/>
      <c r="P23" s="197" t="n"/>
      <c r="Q23" s="197" t="n"/>
      <c r="R23" s="197" t="n"/>
      <c r="S23" s="197" t="n"/>
    </row>
    <row r="24" ht="25.2" customHeight="1" s="397">
      <c r="C24" s="197" t="n"/>
      <c r="F24" s="197" t="n"/>
      <c r="G24" s="197" t="n"/>
      <c r="H24" s="197" t="n"/>
      <c r="I24" s="197" t="n"/>
      <c r="J24" s="197" t="n"/>
      <c r="K24" s="197" t="n"/>
      <c r="L24" s="197" t="n"/>
      <c r="M24" s="197" t="n"/>
      <c r="N24" s="197" t="n"/>
      <c r="O24" s="197" t="n"/>
      <c r="P24" s="197" t="n"/>
      <c r="Q24" s="197" t="n"/>
      <c r="R24" s="197" t="n"/>
      <c r="S24" s="197" t="n"/>
    </row>
    <row r="25" ht="25.2" customHeight="1" s="397">
      <c r="C25" s="197" t="n"/>
      <c r="F25" s="197" t="n"/>
      <c r="G25" s="197" t="n"/>
      <c r="H25" s="197" t="n"/>
      <c r="I25" s="197" t="n"/>
      <c r="J25" s="197" t="n"/>
      <c r="K25" s="197" t="n"/>
      <c r="L25" s="197" t="n"/>
      <c r="M25" s="197" t="n"/>
      <c r="N25" s="197" t="n"/>
      <c r="O25" s="197" t="n"/>
      <c r="P25" s="197" t="n"/>
      <c r="Q25" s="197" t="n"/>
      <c r="R25" s="197" t="n"/>
      <c r="S25" s="197" t="n"/>
    </row>
    <row r="26" ht="25.2" customHeight="1" s="397">
      <c r="C26" s="197" t="n"/>
      <c r="F26" s="197" t="n"/>
      <c r="G26" s="197" t="n"/>
      <c r="H26" s="197" t="n"/>
      <c r="I26" s="197" t="n"/>
      <c r="J26" s="197" t="n"/>
      <c r="K26" s="197" t="n"/>
      <c r="L26" s="197" t="n"/>
      <c r="M26" s="197" t="n"/>
      <c r="N26" s="197" t="n"/>
      <c r="O26" s="197" t="n"/>
      <c r="P26" s="197" t="n"/>
      <c r="Q26" s="197" t="n"/>
      <c r="R26" s="197" t="n"/>
      <c r="S26" s="197" t="n"/>
    </row>
    <row r="27" ht="25.2" customHeight="1" s="397">
      <c r="C27" s="197" t="n"/>
      <c r="F27" s="197" t="n"/>
      <c r="G27" s="197" t="n"/>
      <c r="H27" s="197" t="n"/>
      <c r="I27" s="197" t="n"/>
      <c r="J27" s="197" t="n"/>
      <c r="K27" s="197" t="n"/>
      <c r="L27" s="197" t="n"/>
      <c r="M27" s="197" t="n"/>
      <c r="N27" s="197" t="n"/>
      <c r="O27" s="197" t="n"/>
      <c r="P27" s="197" t="n"/>
      <c r="Q27" s="197" t="n"/>
      <c r="R27" s="197" t="n"/>
      <c r="S27" s="197" t="n"/>
    </row>
    <row r="28" ht="25.2" customHeight="1" s="397">
      <c r="C28" s="197" t="n"/>
      <c r="F28" s="197" t="n"/>
      <c r="G28" s="197" t="n"/>
      <c r="H28" s="197" t="n"/>
      <c r="I28" s="197" t="n"/>
      <c r="J28" s="197" t="n"/>
      <c r="K28" s="197" t="n"/>
      <c r="L28" s="197" t="n"/>
      <c r="M28" s="197" t="n"/>
      <c r="N28" s="197" t="n"/>
      <c r="O28" s="197" t="n"/>
      <c r="P28" s="197" t="n"/>
      <c r="Q28" s="197" t="n"/>
      <c r="R28" s="197" t="n"/>
      <c r="S28" s="197" t="n"/>
    </row>
    <row r="29" ht="25.2" customHeight="1" s="397">
      <c r="C29" s="197" t="n"/>
      <c r="F29" s="197" t="n"/>
      <c r="G29" s="197" t="n"/>
      <c r="H29" s="197" t="n"/>
      <c r="I29" s="197" t="n"/>
      <c r="J29" s="197" t="n"/>
      <c r="K29" s="197" t="n"/>
      <c r="L29" s="197" t="n"/>
      <c r="M29" s="197" t="n"/>
      <c r="N29" s="197" t="n"/>
      <c r="O29" s="197" t="n"/>
      <c r="P29" s="197" t="n"/>
      <c r="Q29" s="197" t="n"/>
      <c r="R29" s="197" t="n"/>
      <c r="S29" s="197" t="n"/>
    </row>
    <row r="30" ht="25.2" customHeight="1" s="397">
      <c r="C30" s="197" t="n"/>
      <c r="F30" s="197" t="n"/>
      <c r="G30" s="197" t="n"/>
      <c r="H30" s="197" t="n"/>
      <c r="I30" s="197" t="n"/>
      <c r="J30" s="197" t="n"/>
      <c r="K30" s="197" t="n"/>
      <c r="L30" s="197" t="n"/>
      <c r="M30" s="197" t="n"/>
      <c r="N30" s="197" t="n"/>
      <c r="O30" s="197" t="n"/>
      <c r="P30" s="197" t="n"/>
      <c r="Q30" s="197" t="n"/>
      <c r="R30" s="197" t="n"/>
      <c r="S30" s="197" t="n"/>
    </row>
    <row r="31" ht="25.2" customHeight="1" s="397">
      <c r="C31" s="197" t="n"/>
      <c r="F31" s="197" t="n"/>
      <c r="G31" s="197" t="n"/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</row>
    <row r="32" ht="25.2" customHeight="1" s="397">
      <c r="C32" s="197" t="n"/>
      <c r="F32" s="197" t="n"/>
      <c r="G32" s="197" t="n"/>
      <c r="H32" s="197" t="n"/>
      <c r="I32" s="197" t="n"/>
      <c r="J32" s="197" t="n"/>
      <c r="K32" s="197" t="n"/>
      <c r="L32" s="197" t="n"/>
      <c r="M32" s="197" t="n"/>
      <c r="N32" s="197" t="n"/>
      <c r="O32" s="197" t="n"/>
      <c r="P32" s="197" t="n"/>
      <c r="Q32" s="197" t="n"/>
      <c r="R32" s="197" t="n"/>
      <c r="S32" s="197" t="n"/>
    </row>
    <row r="33" ht="25.2" customHeight="1" s="397">
      <c r="C33" s="197" t="n"/>
      <c r="F33" s="197" t="n"/>
      <c r="G33" s="197" t="n"/>
      <c r="H33" s="197" t="n"/>
      <c r="I33" s="197" t="n"/>
      <c r="J33" s="197" t="n"/>
      <c r="K33" s="197" t="n"/>
      <c r="L33" s="197" t="n"/>
      <c r="M33" s="197" t="n"/>
      <c r="N33" s="197" t="n"/>
      <c r="O33" s="197" t="n"/>
      <c r="P33" s="197" t="n"/>
      <c r="Q33" s="197" t="n"/>
      <c r="R33" s="197" t="n"/>
      <c r="S33" s="197" t="n"/>
    </row>
    <row r="34" ht="25.2" customHeight="1" s="397">
      <c r="C34" s="197" t="n"/>
      <c r="F34" s="197" t="n"/>
      <c r="G34" s="197" t="n"/>
      <c r="H34" s="197" t="n"/>
      <c r="I34" s="197" t="n"/>
      <c r="J34" s="197" t="n"/>
      <c r="K34" s="197" t="n"/>
      <c r="L34" s="197" t="n"/>
      <c r="M34" s="197" t="n"/>
      <c r="N34" s="197" t="n"/>
      <c r="O34" s="197" t="n"/>
      <c r="P34" s="197" t="n"/>
      <c r="Q34" s="197" t="n"/>
      <c r="R34" s="197" t="n"/>
      <c r="S34" s="197" t="n"/>
    </row>
    <row r="35" ht="25.2" customHeight="1" s="397">
      <c r="C35" s="197" t="n"/>
      <c r="F35" s="197" t="n"/>
      <c r="G35" s="197" t="n"/>
      <c r="H35" s="197" t="n"/>
      <c r="I35" s="197" t="n"/>
      <c r="J35" s="197" t="n"/>
      <c r="K35" s="197" t="n"/>
      <c r="L35" s="197" t="n"/>
      <c r="M35" s="197" t="n"/>
      <c r="N35" s="197" t="n"/>
      <c r="O35" s="197" t="n"/>
      <c r="P35" s="197" t="n"/>
      <c r="Q35" s="197" t="n"/>
      <c r="R35" s="197" t="n"/>
      <c r="S35" s="197" t="n"/>
    </row>
    <row r="36" ht="25.2" customHeight="1" s="397">
      <c r="C36" s="197" t="n"/>
      <c r="F36" s="197" t="n"/>
      <c r="G36" s="197" t="n"/>
      <c r="H36" s="197" t="n"/>
      <c r="I36" s="197" t="n"/>
      <c r="J36" s="197" t="n"/>
      <c r="K36" s="197" t="n"/>
      <c r="L36" s="197" t="n"/>
      <c r="M36" s="197" t="n"/>
      <c r="N36" s="197" t="n"/>
      <c r="O36" s="197" t="n"/>
      <c r="P36" s="197" t="n"/>
      <c r="Q36" s="197" t="n"/>
      <c r="R36" s="197" t="n"/>
      <c r="S36" s="197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21"/>
  <sheetViews>
    <sheetView tabSelected="1" view="pageBreakPreview" zoomScale="55" zoomScaleNormal="100" zoomScaleSheetLayoutView="55" workbookViewId="0">
      <selection activeCell="G10" sqref="G10"/>
    </sheetView>
  </sheetViews>
  <sheetFormatPr baseColWidth="8" defaultColWidth="9.109375" defaultRowHeight="45.6"/>
  <cols>
    <col width="11.33203125" customWidth="1" style="269" min="1" max="1"/>
    <col width="35.33203125" customWidth="1" style="269" min="2" max="2"/>
    <col width="11.88671875" customWidth="1" style="269" min="3" max="3"/>
    <col width="15.6640625" customWidth="1" style="269" min="4" max="4"/>
    <col width="8.6640625" customWidth="1" style="269" min="5" max="5"/>
    <col width="11.6640625" customWidth="1" style="269" min="6" max="6"/>
    <col width="21.88671875" customWidth="1" style="269" min="7" max="7"/>
    <col width="25.33203125" customWidth="1" style="269" min="8" max="8"/>
    <col width="9.109375" customWidth="1" style="405" min="9" max="16384"/>
  </cols>
  <sheetData>
    <row r="1" ht="31.2" customFormat="1" customHeight="1" s="291">
      <c r="A1" s="412" t="inlineStr">
        <is>
          <t>តារាងឧបសម្ព័ន្ធ I</t>
        </is>
      </c>
    </row>
    <row r="2" ht="22.8" customFormat="1" customHeight="1" s="291">
      <c r="A2" s="412" t="inlineStr">
        <is>
          <t>បញ្ជាក់អំពីអាករលើធាតុចូលដែលមិនអាចស្នើសុំជាឥណទាន</t>
        </is>
      </c>
    </row>
    <row r="3" ht="22.8" customFormat="1" customHeight="1" s="291">
      <c r="A3" s="412" t="inlineStr">
        <is>
          <t>( ការនាំចូលជាបន្ទុករបស់រដ្ឋ )</t>
        </is>
      </c>
    </row>
    <row r="4" ht="22.8" customFormat="1" customHeight="1" s="291">
      <c r="A4" s="204" t="inlineStr">
        <is>
          <t>ក្រុមហ៊ុន៖</t>
        </is>
      </c>
      <c r="B4" s="205">
        <f>'Company information'!D2</f>
        <v/>
      </c>
      <c r="C4" s="203" t="n"/>
      <c r="D4" s="206" t="n"/>
      <c r="E4" s="207" t="n"/>
      <c r="F4" s="208" t="n"/>
      <c r="G4" s="558" t="inlineStr">
        <is>
          <t xml:space="preserve">សវនករពន្ធដារ៖ </t>
        </is>
      </c>
      <c r="H4" s="559">
        <f>'Company information'!D8</f>
        <v/>
      </c>
    </row>
    <row r="5" ht="22.8" customFormat="1" customHeight="1" s="291">
      <c r="A5" s="211" t="inlineStr">
        <is>
          <t>លេខ អតប៖</t>
        </is>
      </c>
      <c r="B5" s="205">
        <f>'Company information'!D4</f>
        <v/>
      </c>
      <c r="C5" s="203" t="n"/>
      <c r="D5" s="206" t="n"/>
      <c r="E5" s="207" t="n"/>
      <c r="F5" s="206" t="n"/>
      <c r="G5" s="203" t="n"/>
      <c r="H5" s="559">
        <f>'Company information'!E8</f>
        <v/>
      </c>
    </row>
    <row r="6" ht="25.2" customFormat="1" customHeight="1" s="291">
      <c r="A6" s="560">
        <f>'Company information'!H8</f>
        <v/>
      </c>
      <c r="B6" s="205" t="n"/>
      <c r="D6" s="206" t="n"/>
      <c r="E6" s="207" t="n"/>
      <c r="F6" s="208" t="n"/>
      <c r="G6" s="561" t="inlineStr">
        <is>
          <t>ទឹកប្រាក់ស្នើសុំបង្វិលសងចំនួន៖</t>
        </is>
      </c>
      <c r="H6" s="562">
        <f>'Company information'!H9</f>
        <v/>
      </c>
    </row>
    <row r="7" ht="25.2" customFormat="1" customHeight="1" s="194">
      <c r="A7" s="413" t="inlineStr">
        <is>
          <t>ល.រ</t>
        </is>
      </c>
      <c r="B7" s="413" t="inlineStr">
        <is>
          <t>បរិយាយ</t>
        </is>
      </c>
      <c r="C7" s="413" t="inlineStr">
        <is>
          <t>ប្រតិវេទន៍គយនាំចូល/វិក្កយបត្រ</t>
        </is>
      </c>
      <c r="D7" s="563" t="n"/>
      <c r="E7" s="413" t="inlineStr">
        <is>
          <t>បង្កាន់ដៃទទួលប្រាក់</t>
        </is>
      </c>
      <c r="F7" s="563" t="n"/>
      <c r="G7" s="413" t="inlineStr">
        <is>
          <t>ប្រាក់អាករ (រៀល)</t>
        </is>
      </c>
      <c r="H7" s="413" t="inlineStr">
        <is>
          <t>ផ្សេងៗ</t>
        </is>
      </c>
    </row>
    <row r="8" ht="25.2" customFormat="1" customHeight="1" s="194">
      <c r="A8" s="564" t="n"/>
      <c r="B8" s="564" t="n"/>
      <c r="C8" s="413" t="inlineStr">
        <is>
          <t>លេខ</t>
        </is>
      </c>
      <c r="D8" s="413" t="inlineStr">
        <is>
          <t>ចុះថ្ងៃទី ខែ ឆ្នាំ</t>
        </is>
      </c>
      <c r="E8" s="413" t="inlineStr">
        <is>
          <t>លេខ</t>
        </is>
      </c>
      <c r="F8" s="413" t="inlineStr">
        <is>
          <t>ថ្ងៃ ខែ ឆ្នាំ</t>
        </is>
      </c>
      <c r="G8" s="564" t="n"/>
      <c r="H8" s="564" t="n"/>
    </row>
    <row r="9" ht="19.95" customFormat="1" customHeight="1" s="2">
      <c r="A9" s="275" t="n"/>
      <c r="B9" s="276" t="n"/>
      <c r="C9" s="277" t="n"/>
      <c r="D9" s="565" t="n"/>
      <c r="E9" s="566" t="n"/>
      <c r="F9" s="567" t="n"/>
      <c r="G9" s="281" t="n"/>
      <c r="H9" s="568" t="n"/>
      <c r="I9" s="195" t="n"/>
    </row>
    <row r="10" ht="19.95" customFormat="1" customHeight="1" s="502">
      <c r="A10" s="275" t="n"/>
      <c r="B10" s="283" t="n"/>
      <c r="C10" s="569" t="n"/>
      <c r="D10" s="570" t="n"/>
      <c r="E10" s="571" t="n"/>
      <c r="F10" s="567" t="n"/>
      <c r="G10" s="572" t="n"/>
      <c r="H10" s="573" t="n"/>
      <c r="I10" s="501" t="n"/>
    </row>
    <row r="11" ht="19.95" customFormat="1" customHeight="1" s="502">
      <c r="A11" s="275" t="n"/>
      <c r="B11" s="283" t="n"/>
      <c r="C11" s="569" t="n"/>
      <c r="D11" s="570" t="n"/>
      <c r="E11" s="571" t="n"/>
      <c r="F11" s="567" t="n"/>
      <c r="G11" s="572" t="n"/>
      <c r="H11" s="573" t="n"/>
      <c r="I11" s="501" t="n"/>
    </row>
    <row r="12" ht="19.95" customFormat="1" customHeight="1" s="502">
      <c r="A12" s="275" t="n"/>
      <c r="B12" s="283" t="n"/>
      <c r="C12" s="569" t="n"/>
      <c r="D12" s="570" t="n"/>
      <c r="E12" s="571" t="n"/>
      <c r="F12" s="567" t="n"/>
      <c r="G12" s="572" t="n"/>
      <c r="H12" s="573" t="n"/>
      <c r="I12" s="501" t="n"/>
    </row>
    <row r="13" ht="19.95" customFormat="1" customHeight="1" s="502">
      <c r="A13" s="275" t="n"/>
      <c r="B13" s="283" t="n"/>
      <c r="C13" s="569" t="n"/>
      <c r="D13" s="570" t="n"/>
      <c r="E13" s="571" t="n"/>
      <c r="F13" s="567" t="n"/>
      <c r="G13" s="572" t="n"/>
      <c r="H13" s="573" t="n"/>
      <c r="I13" s="501" t="n"/>
    </row>
    <row r="14" ht="19.95" customFormat="1" customHeight="1" s="502">
      <c r="A14" s="275" t="n"/>
      <c r="B14" s="283" t="n"/>
      <c r="C14" s="569" t="n"/>
      <c r="D14" s="570" t="n"/>
      <c r="E14" s="571" t="n"/>
      <c r="F14" s="567" t="n"/>
      <c r="G14" s="572" t="n"/>
      <c r="H14" s="573" t="n"/>
      <c r="I14" s="501" t="n"/>
    </row>
    <row r="15" ht="25.2" customFormat="1" customHeight="1" s="197">
      <c r="A15" s="470" t="inlineStr">
        <is>
          <t>សរុបអាករលើការនាំចូលជាបន្ទុករដ្ឋ</t>
        </is>
      </c>
      <c r="B15" s="574" t="n"/>
      <c r="C15" s="574" t="n"/>
      <c r="D15" s="574" t="n"/>
      <c r="E15" s="574" t="n"/>
      <c r="F15" s="563" t="n"/>
      <c r="G15" s="575">
        <f>SUM(G9:G14)</f>
        <v/>
      </c>
      <c r="H15" s="576" t="n"/>
    </row>
    <row r="16" ht="31.8" customHeight="1" s="397">
      <c r="A16" s="290" t="n"/>
      <c r="B16" s="290" t="n"/>
      <c r="C16" s="290" t="n"/>
      <c r="D16" s="290" t="n"/>
      <c r="E16" s="290" t="n"/>
      <c r="F16" s="290" t="n"/>
      <c r="G16" s="290" t="n"/>
      <c r="H16" s="290" t="n"/>
    </row>
    <row r="17" ht="45.6" customHeight="1" s="397">
      <c r="A17" s="290" t="n"/>
      <c r="B17" s="290" t="n"/>
      <c r="C17" s="290" t="n"/>
      <c r="D17" s="290" t="n"/>
      <c r="E17" s="410" t="inlineStr">
        <is>
          <t>រាជធានីភ្នំពេញ.ថ្ងៃទី            ខែ          ឆ្នាំ</t>
        </is>
      </c>
    </row>
    <row r="18" ht="45.6" customHeight="1" s="397">
      <c r="A18" s="290" t="n"/>
      <c r="B18" s="290" t="n"/>
      <c r="C18" s="290" t="n"/>
      <c r="D18" s="290" t="n"/>
      <c r="E18" s="411" t="inlineStr">
        <is>
          <t>មន្ត្រីសវនកម្ម</t>
        </is>
      </c>
    </row>
    <row r="19" ht="31.8" customHeight="1" s="397">
      <c r="A19" s="290" t="n"/>
      <c r="B19" s="290" t="n"/>
      <c r="C19" s="290" t="n"/>
      <c r="D19" s="290" t="n"/>
      <c r="E19" s="290" t="n"/>
      <c r="F19" s="290" t="n"/>
      <c r="G19" s="577" t="n"/>
      <c r="H19" s="208" t="n"/>
    </row>
    <row r="20" ht="31.8" customHeight="1" s="397">
      <c r="A20" s="290" t="n"/>
      <c r="B20" s="290" t="n"/>
      <c r="C20" s="290" t="n"/>
      <c r="D20" s="290" t="n"/>
      <c r="E20" s="290" t="n"/>
      <c r="F20" s="290" t="n"/>
      <c r="G20" s="577" t="n"/>
      <c r="H20" s="208" t="n"/>
    </row>
    <row r="21">
      <c r="A21" s="290" t="n"/>
      <c r="B21" s="290" t="n"/>
      <c r="E21" s="411">
        <f>'Company information'!D9</f>
        <v/>
      </c>
      <c r="H21" s="578">
        <f>'Company information'!E9</f>
        <v/>
      </c>
    </row>
  </sheetData>
  <mergeCells count="13">
    <mergeCell ref="A3:H3"/>
    <mergeCell ref="E17:H17"/>
    <mergeCell ref="E18:H18"/>
    <mergeCell ref="C7:D7"/>
    <mergeCell ref="E7:F7"/>
    <mergeCell ref="A2:H2"/>
    <mergeCell ref="A7:A8"/>
    <mergeCell ref="G7:G8"/>
    <mergeCell ref="B7:B8"/>
    <mergeCell ref="H7:H8"/>
    <mergeCell ref="A1:H1"/>
    <mergeCell ref="A15:F15"/>
    <mergeCell ref="E21:G21"/>
  </mergeCells>
  <printOptions horizontalCentered="1"/>
  <pageMargins left="0.196850393700787" right="0.196850393700787" top="0.16" bottom="0.45" header="0.51" footer="0.196850393700787"/>
  <pageSetup orientation="portrait" paperSize="9" scale="72" fitToHeight="0" horizontalDpi="120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3"/>
  <sheetViews>
    <sheetView view="pageBreakPreview" zoomScale="55" zoomScaleNormal="100" zoomScaleSheetLayoutView="55" workbookViewId="0">
      <selection activeCell="H6" sqref="H6:I6"/>
    </sheetView>
  </sheetViews>
  <sheetFormatPr baseColWidth="8" defaultColWidth="9.109375" defaultRowHeight="45.6"/>
  <cols>
    <col width="12.44140625" customWidth="1" style="269" min="1" max="1"/>
    <col width="32.88671875" customWidth="1" style="269" min="2" max="2"/>
    <col width="18.6640625" customWidth="1" style="269" min="3" max="3"/>
    <col width="11.109375" bestFit="1" customWidth="1" style="269" min="4" max="4"/>
    <col width="11.6640625" customWidth="1" style="269" min="5" max="5"/>
    <col width="13.44140625" customWidth="1" style="269" min="6" max="6"/>
    <col width="25.6640625" customWidth="1" style="269" min="7" max="7"/>
    <col width="42.44140625" bestFit="1" customWidth="1" style="269" min="8" max="8"/>
    <col width="17.33203125" customWidth="1" style="269" min="9" max="9"/>
    <col width="12.44140625" bestFit="1" customWidth="1" style="405" min="10" max="10"/>
    <col width="12.6640625" customWidth="1" style="405" min="11" max="11"/>
    <col width="9.109375" customWidth="1" style="405" min="12" max="16384"/>
  </cols>
  <sheetData>
    <row r="1" ht="27" customFormat="1" customHeight="1" s="291">
      <c r="A1" s="412" t="inlineStr">
        <is>
          <t>តារាងឧបសម្ព័ន្ធ II</t>
        </is>
      </c>
    </row>
    <row r="2" ht="23.4" customFormat="1" customHeight="1" s="291">
      <c r="A2" s="425" t="inlineStr">
        <is>
          <t>តារាងផ្ទៀងផ្ទាត់បញ្ជាក់អំពីអាករលើធាតុចូលដែលអាចស្នើសុំជាឥណទាន</t>
        </is>
      </c>
    </row>
    <row r="3" ht="28.95" customFormat="1" customHeight="1" s="291">
      <c r="A3" s="425" t="inlineStr">
        <is>
          <t>( ការនាំចូល ឬ អាករគិតជំនួស(Reverse Charge))</t>
        </is>
      </c>
    </row>
    <row r="4" ht="22.8" customFormat="1" customHeight="1" s="291">
      <c r="A4" s="292" t="inlineStr">
        <is>
          <t>ក្រុមហ៊ុន៖</t>
        </is>
      </c>
      <c r="B4" s="205">
        <f>'Company information'!D2</f>
        <v/>
      </c>
      <c r="D4" s="206" t="n"/>
      <c r="E4" s="207" t="n"/>
      <c r="F4" s="208" t="n"/>
      <c r="G4" s="558" t="inlineStr">
        <is>
          <t xml:space="preserve">សវនករពន្ធដារ៖ </t>
        </is>
      </c>
      <c r="H4" s="559">
        <f>'Company information'!D8</f>
        <v/>
      </c>
    </row>
    <row r="5" ht="22.8" customFormat="1" customHeight="1" s="291">
      <c r="A5" s="211" t="inlineStr">
        <is>
          <t>លេខ អតប៖</t>
        </is>
      </c>
      <c r="B5" s="205">
        <f>'Company information'!D4</f>
        <v/>
      </c>
      <c r="C5" s="203" t="n"/>
      <c r="D5" s="206" t="n"/>
      <c r="E5" s="207" t="n"/>
      <c r="F5" s="206" t="n"/>
      <c r="G5" s="203" t="n"/>
      <c r="H5" s="559">
        <f>'Company information'!E8</f>
        <v/>
      </c>
    </row>
    <row r="6" ht="22.8" customFormat="1" customHeight="1" s="291">
      <c r="A6" s="560">
        <f>'Company information'!H8</f>
        <v/>
      </c>
      <c r="B6" s="205" t="n"/>
      <c r="D6" s="206" t="n"/>
      <c r="E6" s="207" t="n"/>
      <c r="F6" s="208" t="n"/>
      <c r="G6" s="561" t="inlineStr">
        <is>
          <t>ទឹកប្រាក់ស្នើសុំបង្វិលសងចំនួន៖</t>
        </is>
      </c>
      <c r="H6" s="579">
        <f>'Company information'!H9</f>
        <v/>
      </c>
      <c r="I6" s="580" t="n"/>
    </row>
    <row r="7" ht="25.2" customFormat="1" customHeight="1" s="194">
      <c r="A7" s="418" t="inlineStr">
        <is>
          <t>ល.រ</t>
        </is>
      </c>
      <c r="B7" s="418" t="inlineStr">
        <is>
          <t>បរិយាយ</t>
        </is>
      </c>
      <c r="C7" s="418" t="inlineStr">
        <is>
          <t>ប្រតិវេទន៍គយនាំចូល/ វិក្កយបត្រ</t>
        </is>
      </c>
      <c r="D7" s="563" t="n"/>
      <c r="E7" s="418" t="inlineStr">
        <is>
          <t>បង្កាន់ដៃទទួលប្រាក់</t>
        </is>
      </c>
      <c r="F7" s="563" t="n"/>
      <c r="G7" s="418" t="inlineStr">
        <is>
          <t>ប្រាក់អាករ (រៀល)</t>
        </is>
      </c>
      <c r="H7" s="419" t="inlineStr">
        <is>
          <t>លទ្ធផលផ្ទៀងផ្ទាត់ជាមួយទិន្នន័យពីអគ្គនាយកដ្ឋានគយ/
ឬ អាករគិតជំនួស(Reverse Charge)</t>
        </is>
      </c>
      <c r="I7" s="420" t="inlineStr">
        <is>
          <t>ផ្សេងៗ</t>
        </is>
      </c>
    </row>
    <row r="8" ht="25.2" customFormat="1" customHeight="1" s="194">
      <c r="A8" s="564" t="n"/>
      <c r="B8" s="564" t="n"/>
      <c r="C8" s="418" t="inlineStr">
        <is>
          <t>លេខ</t>
        </is>
      </c>
      <c r="D8" s="418" t="inlineStr">
        <is>
          <t>ចុះថ្ងៃទី ខែ ឆ្នាំ</t>
        </is>
      </c>
      <c r="E8" s="418" t="inlineStr">
        <is>
          <t>លេខ</t>
        </is>
      </c>
      <c r="F8" s="418" t="inlineStr">
        <is>
          <t>ថ្ងៃ ខែ ឆ្នាំ</t>
        </is>
      </c>
      <c r="G8" s="564" t="n"/>
      <c r="H8" s="564" t="n"/>
      <c r="I8" s="564" t="n"/>
      <c r="J8" s="194" t="inlineStr">
        <is>
          <t>បានប្រកាស</t>
        </is>
      </c>
      <c r="K8" s="194" t="inlineStr">
        <is>
          <t>ខ្វះ</t>
        </is>
      </c>
    </row>
    <row r="9" ht="17.4" customFormat="1" customHeight="1" s="2">
      <c r="A9" s="260" t="n"/>
      <c r="B9" s="261" t="n"/>
      <c r="C9" s="262" t="n"/>
      <c r="D9" s="581" t="n"/>
      <c r="E9" s="582" t="n"/>
      <c r="F9" s="581" t="n"/>
      <c r="G9" s="583" t="n"/>
      <c r="H9" s="583" t="n"/>
      <c r="I9" s="583" t="n"/>
    </row>
    <row r="10" ht="24" customFormat="1" customHeight="1" s="2">
      <c r="A10" s="260" t="n"/>
      <c r="B10" s="374" t="n"/>
      <c r="C10" s="346" t="n"/>
      <c r="D10" s="581" t="n"/>
      <c r="E10" s="582" t="n"/>
      <c r="F10" s="581" t="n"/>
      <c r="G10" s="583" t="n"/>
      <c r="H10" s="583" t="n"/>
      <c r="I10" s="583" t="n"/>
      <c r="J10" s="584" t="n"/>
      <c r="K10" s="584" t="n"/>
    </row>
    <row r="11" ht="24" customFormat="1" customHeight="1" s="2">
      <c r="A11" s="260" t="n"/>
      <c r="B11" s="374" t="n"/>
      <c r="C11" s="346" t="n"/>
      <c r="D11" s="581" t="n"/>
      <c r="E11" s="582" t="n"/>
      <c r="F11" s="581" t="n"/>
      <c r="G11" s="583" t="n"/>
      <c r="H11" s="583" t="n"/>
      <c r="I11" s="583" t="n"/>
      <c r="J11" s="584" t="n"/>
      <c r="K11" s="584" t="n"/>
    </row>
    <row r="12" ht="24" customFormat="1" customHeight="1" s="2">
      <c r="A12" s="260" t="n"/>
      <c r="B12" s="374" t="n"/>
      <c r="C12" s="346" t="n"/>
      <c r="D12" s="581" t="n"/>
      <c r="E12" s="582" t="n"/>
      <c r="F12" s="581" t="n"/>
      <c r="G12" s="583" t="n"/>
      <c r="H12" s="583" t="n"/>
      <c r="I12" s="583" t="n"/>
      <c r="J12" s="584" t="n"/>
      <c r="K12" s="584" t="n"/>
    </row>
    <row r="13" ht="24" customFormat="1" customHeight="1" s="2">
      <c r="A13" s="260" t="n"/>
      <c r="B13" s="374" t="n"/>
      <c r="C13" s="346" t="n"/>
      <c r="D13" s="581" t="n"/>
      <c r="E13" s="582" t="n"/>
      <c r="F13" s="581" t="n"/>
      <c r="G13" s="583" t="n"/>
      <c r="H13" s="583" t="n"/>
      <c r="I13" s="583" t="n"/>
      <c r="J13" s="584" t="n"/>
      <c r="K13" s="584" t="n"/>
    </row>
    <row r="14" ht="24" customFormat="1" customHeight="1" s="2">
      <c r="A14" s="260" t="n"/>
      <c r="B14" s="374" t="n"/>
      <c r="C14" s="346" t="n"/>
      <c r="D14" s="581" t="n"/>
      <c r="E14" s="582" t="n"/>
      <c r="F14" s="581" t="n"/>
      <c r="G14" s="583" t="n"/>
      <c r="H14" s="583" t="n"/>
      <c r="I14" s="583" t="n"/>
      <c r="J14" s="584" t="n"/>
      <c r="K14" s="584" t="n"/>
    </row>
    <row r="15" ht="24" customFormat="1" customHeight="1" s="2">
      <c r="A15" s="260" t="n"/>
      <c r="B15" s="374" t="n"/>
      <c r="C15" s="346" t="n"/>
      <c r="D15" s="581" t="n"/>
      <c r="E15" s="582" t="n"/>
      <c r="F15" s="581" t="n"/>
      <c r="G15" s="583" t="n"/>
      <c r="H15" s="583" t="n"/>
      <c r="I15" s="583" t="n"/>
      <c r="J15" s="584" t="n"/>
      <c r="K15" s="584" t="n"/>
    </row>
    <row r="16" ht="24.6" customHeight="1" s="397">
      <c r="A16" s="267" t="n"/>
      <c r="B16" s="267" t="n"/>
      <c r="C16" s="267" t="n"/>
      <c r="D16" s="267" t="n"/>
      <c r="E16" s="267" t="n"/>
      <c r="F16" s="267" t="n"/>
      <c r="G16" s="267" t="n"/>
      <c r="H16" s="267" t="n"/>
      <c r="I16" s="267" t="n"/>
    </row>
    <row r="17" ht="30" customHeight="1" s="397">
      <c r="A17" s="426" t="inlineStr">
        <is>
          <t>សរុបអាករលើការនាំចូលជាមិនមែនបន្ទុករដ្ឋ</t>
        </is>
      </c>
      <c r="B17" s="574" t="n"/>
      <c r="C17" s="574" t="n"/>
      <c r="D17" s="574" t="n"/>
      <c r="E17" s="574" t="n"/>
      <c r="F17" s="563" t="n"/>
      <c r="G17" s="585">
        <f>SUM(G9:G16)</f>
        <v/>
      </c>
      <c r="H17" s="586" t="n"/>
      <c r="I17" s="586" t="n"/>
    </row>
    <row r="18" ht="18.75" customHeight="1" s="397"/>
    <row r="19" ht="31.5" customHeight="1" s="397">
      <c r="F19" s="290" t="n"/>
      <c r="G19" s="411" t="inlineStr">
        <is>
          <t>រាជធានីភ្នំពេញ.ថ្ងៃទី            ខែ          ឆ្នាំ</t>
        </is>
      </c>
      <c r="I19" s="411" t="n"/>
    </row>
    <row r="20" ht="37.5" customHeight="1" s="397">
      <c r="F20" s="290" t="n"/>
      <c r="G20" s="411" t="inlineStr">
        <is>
          <t>មន្ត្រីសវនកម្ម</t>
        </is>
      </c>
      <c r="I20" s="411" t="n"/>
    </row>
    <row r="21">
      <c r="G21" s="577" t="n"/>
      <c r="H21" s="208" t="n"/>
      <c r="I21" s="208" t="n"/>
    </row>
    <row r="22" ht="19.5" customHeight="1" s="397">
      <c r="G22" s="577" t="n"/>
      <c r="H22" s="208" t="n"/>
      <c r="I22" s="208" t="n"/>
    </row>
    <row r="23">
      <c r="F23" s="290" t="n"/>
      <c r="G23" s="410">
        <f>'Company information'!D9</f>
        <v/>
      </c>
      <c r="H23" s="410">
        <f>'Company information'!E9</f>
        <v/>
      </c>
      <c r="I23" s="411" t="n"/>
    </row>
  </sheetData>
  <autoFilter ref="A9:K15"/>
  <mergeCells count="16">
    <mergeCell ref="G20:H20"/>
    <mergeCell ref="A2:I2"/>
    <mergeCell ref="C7:D7"/>
    <mergeCell ref="H6:I6"/>
    <mergeCell ref="E7:F7"/>
    <mergeCell ref="A1:I1"/>
    <mergeCell ref="G19:H19"/>
    <mergeCell ref="A7:A8"/>
    <mergeCell ref="H5:I5"/>
    <mergeCell ref="A17:F17"/>
    <mergeCell ref="A3:I3"/>
    <mergeCell ref="I7:I8"/>
    <mergeCell ref="H4:I4"/>
    <mergeCell ref="B7:B8"/>
    <mergeCell ref="H7:H8"/>
    <mergeCell ref="G7:G8"/>
  </mergeCells>
  <printOptions horizontalCentered="1"/>
  <pageMargins left="0.196850393700787" right="0.196850393700787" top="0.16" bottom="0.45" header="0.51" footer="0.196850393700787"/>
  <pageSetup orientation="portrait" paperSize="9" scale="55" fitToHeight="0" horizontalDpi="1200"/>
  <colBreaks count="1" manualBreakCount="1">
    <brk id="9" min="0" max="1048575" man="1"/>
  </colBreak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O791"/>
  <sheetViews>
    <sheetView zoomScale="70" zoomScaleNormal="70" zoomScaleSheetLayoutView="70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C11" sqref="C11"/>
    </sheetView>
  </sheetViews>
  <sheetFormatPr baseColWidth="8" defaultColWidth="9.109375" defaultRowHeight="22.8"/>
  <cols>
    <col width="12.109375" customWidth="1" style="431" min="1" max="1"/>
    <col width="67.5546875" bestFit="1" customWidth="1" style="203" min="2" max="2"/>
    <col width="43" customWidth="1" style="203" min="3" max="3"/>
    <col width="23" bestFit="1" customWidth="1" style="431" min="4" max="4"/>
    <col width="20.44140625" customWidth="1" style="431" min="5" max="5"/>
    <col width="14" customWidth="1" style="203" min="6" max="6"/>
    <col hidden="1" width="20.109375" customWidth="1" style="203" min="7" max="7"/>
    <col hidden="1" width="20.109375" customWidth="1" style="587" min="8" max="8"/>
    <col width="18.6640625" customWidth="1" style="203" min="9" max="9"/>
    <col width="23.109375" bestFit="1" customWidth="1" style="203" min="10" max="10"/>
    <col width="13.88671875" customWidth="1" style="203" min="11" max="11"/>
    <col width="35.33203125" bestFit="1" customWidth="1" style="588" min="12" max="12"/>
    <col width="16.6640625" bestFit="1" customWidth="1" style="588" min="13" max="13"/>
    <col width="34.109375" customWidth="1" style="588" min="14" max="14"/>
    <col width="15" customWidth="1" style="203" min="15" max="15"/>
    <col width="32.5546875" customWidth="1" style="203" min="16" max="16"/>
    <col width="26.33203125" customWidth="1" style="203" min="17" max="17"/>
    <col width="18.33203125" bestFit="1" customWidth="1" style="203" min="18" max="18"/>
    <col width="13.33203125" customWidth="1" style="333" min="19" max="19"/>
    <col width="13.5546875" bestFit="1" customWidth="1" style="588" min="20" max="20"/>
    <col width="23.109375" bestFit="1" customWidth="1" style="588" min="21" max="21"/>
    <col width="47.88671875" customWidth="1" style="588" min="22" max="22"/>
    <col width="10.21875" customWidth="1" style="588" min="23" max="23"/>
    <col width="23.88671875" customWidth="1" style="588" min="24" max="24"/>
    <col width="16.33203125" customWidth="1" style="588" min="25" max="25"/>
    <col width="25.109375" customWidth="1" style="588" min="26" max="26"/>
    <col width="23.109375" customWidth="1" style="588" min="27" max="27"/>
    <col width="19" customWidth="1" style="588" min="28" max="28"/>
    <col width="18" customWidth="1" style="588" min="29" max="29"/>
    <col width="19" customWidth="1" style="588" min="30" max="30"/>
    <col width="15.88671875" customWidth="1" style="588" min="31" max="31"/>
    <col width="14.44140625" customWidth="1" style="203" min="32" max="32"/>
    <col width="9.109375" customWidth="1" style="203" min="33" max="16384"/>
  </cols>
  <sheetData>
    <row r="1" ht="24.6" customFormat="1" customHeight="1" s="327">
      <c r="A1" s="450" t="inlineStr">
        <is>
          <t>តារាងឧបសម្ព័ន្ធ III</t>
        </is>
      </c>
      <c r="M1" s="589" t="n"/>
      <c r="N1" s="589" t="n"/>
      <c r="T1" s="589" t="n"/>
      <c r="U1" s="589" t="n"/>
      <c r="V1" s="589" t="n"/>
      <c r="W1" s="589" t="n"/>
      <c r="X1" s="589" t="n"/>
      <c r="Y1" s="589" t="n"/>
      <c r="Z1" s="589" t="n"/>
      <c r="AA1" s="589" t="n"/>
      <c r="AB1" s="589" t="n"/>
      <c r="AC1" s="589" t="n"/>
      <c r="AD1" s="589" t="n"/>
      <c r="AE1" s="589" t="n"/>
    </row>
    <row r="2" ht="24.6" customFormat="1" customHeight="1" s="327">
      <c r="A2" s="450" t="inlineStr">
        <is>
          <t>តារាងផ្ទៀងផ្ទាត់បញ្ជាក់អំពីអាករលើធាតុចូលដែលអាចស្នើសុំជាឥណទាន</t>
        </is>
      </c>
      <c r="M2" s="589" t="n"/>
      <c r="N2" s="589" t="n"/>
      <c r="T2" s="589" t="n"/>
      <c r="U2" s="589" t="n"/>
      <c r="V2" s="589" t="n"/>
      <c r="W2" s="589" t="n"/>
      <c r="X2" s="589" t="n"/>
      <c r="Y2" s="589" t="n"/>
      <c r="Z2" s="589" t="n"/>
      <c r="AA2" s="589" t="n"/>
      <c r="AB2" s="589" t="n"/>
      <c r="AC2" s="589" t="n"/>
      <c r="AD2" s="589" t="n"/>
      <c r="AE2" s="589" t="n"/>
    </row>
    <row r="3" ht="24.6" customFormat="1" customHeight="1" s="327">
      <c r="A3" s="450" t="inlineStr">
        <is>
          <t>(ការទិញក្នុងស្រុក)</t>
        </is>
      </c>
      <c r="M3" s="589" t="n"/>
      <c r="N3" s="589" t="n"/>
      <c r="T3" s="589" t="n"/>
      <c r="U3" s="589" t="n"/>
      <c r="V3" s="589" t="n"/>
      <c r="W3" s="589" t="n"/>
      <c r="X3" s="589" t="n"/>
      <c r="Y3" s="589" t="n"/>
      <c r="Z3" s="589" t="n"/>
      <c r="AA3" s="589" t="n"/>
      <c r="AB3" s="589" t="n"/>
      <c r="AC3" s="589" t="n"/>
      <c r="AD3" s="589" t="n"/>
      <c r="AE3" s="589" t="n"/>
    </row>
    <row r="4" ht="24.6" customFormat="1" customHeight="1" s="327">
      <c r="A4" s="328" t="inlineStr">
        <is>
          <t>ក្រុមហ៊ុន៖</t>
        </is>
      </c>
      <c r="B4" s="316">
        <f>'Company information'!D2</f>
        <v/>
      </c>
      <c r="D4" s="317" t="n"/>
      <c r="E4" s="318" t="n"/>
      <c r="F4" s="314" t="n"/>
      <c r="H4" s="590" t="n"/>
      <c r="I4" s="591" t="inlineStr">
        <is>
          <t xml:space="preserve">សវនករពន្ធដារ៖ </t>
        </is>
      </c>
      <c r="K4" s="592">
        <f>'Company information'!D8</f>
        <v/>
      </c>
      <c r="L4" s="589" t="n"/>
      <c r="M4" s="589" t="n"/>
      <c r="N4" s="589" t="n"/>
      <c r="T4" s="589" t="n"/>
      <c r="U4" s="589" t="n"/>
      <c r="V4" s="589" t="n"/>
      <c r="W4" s="589" t="n"/>
      <c r="X4" s="589" t="n"/>
      <c r="Y4" s="589" t="n"/>
      <c r="Z4" s="589" t="n"/>
      <c r="AA4" s="589" t="n"/>
      <c r="AB4" s="589" t="n"/>
      <c r="AC4" s="589" t="n"/>
      <c r="AD4" s="589" t="n"/>
      <c r="AE4" s="589" t="n"/>
    </row>
    <row r="5" ht="24.6" customFormat="1" customHeight="1" s="327">
      <c r="A5" s="321" t="inlineStr">
        <is>
          <t>លេខ អតប៖</t>
        </is>
      </c>
      <c r="B5" s="316">
        <f>'Company information'!D4</f>
        <v/>
      </c>
      <c r="D5" s="317" t="n"/>
      <c r="E5" s="318" t="n"/>
      <c r="F5" s="317" t="n"/>
      <c r="G5" s="590" t="n"/>
      <c r="H5" s="590" t="n"/>
      <c r="K5" s="592">
        <f>'Company information'!E8</f>
        <v/>
      </c>
      <c r="L5" s="593" t="inlineStr">
        <is>
          <t>FOR REPORT</t>
        </is>
      </c>
      <c r="M5" s="594" t="n"/>
      <c r="N5" s="594" t="n"/>
      <c r="O5" s="594" t="n"/>
      <c r="P5" s="594" t="n"/>
      <c r="Q5" s="595" t="n"/>
      <c r="R5" s="430" t="inlineStr">
        <is>
          <t>សម្គាល់ផ្សេងៗ</t>
        </is>
      </c>
      <c r="S5" s="595" t="n"/>
      <c r="T5" s="596" t="inlineStr">
        <is>
          <t>បញ្ចូលទិន្នន័យ</t>
        </is>
      </c>
      <c r="U5" s="594" t="n"/>
      <c r="V5" s="594" t="n"/>
      <c r="W5" s="594" t="n"/>
      <c r="X5" s="594" t="n"/>
      <c r="Y5" s="594" t="n"/>
      <c r="Z5" s="594" t="n"/>
      <c r="AA5" s="594" t="n"/>
      <c r="AB5" s="594" t="n"/>
      <c r="AC5" s="594" t="n"/>
      <c r="AD5" s="594" t="n"/>
      <c r="AE5" s="594" t="n"/>
      <c r="AF5" s="594" t="n"/>
      <c r="AG5" s="594" t="n"/>
      <c r="AH5" s="594" t="n"/>
      <c r="AI5" s="594" t="n"/>
      <c r="AJ5" s="595" t="n"/>
    </row>
    <row r="6" ht="24.6" customFormat="1" customHeight="1" s="327">
      <c r="A6" s="597">
        <f>'Company information'!H8</f>
        <v/>
      </c>
      <c r="B6" s="316" t="n"/>
      <c r="D6" s="317" t="n"/>
      <c r="E6" s="318" t="n"/>
      <c r="F6" s="314" t="n"/>
      <c r="H6" s="590" t="n"/>
      <c r="I6" s="598" t="inlineStr">
        <is>
          <t>ទឹកប្រាក់ស្នើសុំបង្វិលសងចំនួន៖</t>
        </is>
      </c>
      <c r="J6" s="599">
        <f>'Company information'!H9</f>
        <v/>
      </c>
      <c r="K6" s="580" t="n"/>
      <c r="L6" s="600" t="n"/>
      <c r="M6" s="580" t="n"/>
      <c r="N6" s="580" t="n"/>
      <c r="O6" s="580" t="n"/>
      <c r="P6" s="580" t="n"/>
      <c r="Q6" s="601" t="n"/>
      <c r="R6" s="600" t="n"/>
      <c r="S6" s="601" t="n"/>
      <c r="T6" s="600" t="n"/>
      <c r="U6" s="580" t="n"/>
      <c r="V6" s="580" t="n"/>
      <c r="W6" s="580" t="n"/>
      <c r="X6" s="580" t="n"/>
      <c r="Y6" s="580" t="n"/>
      <c r="Z6" s="580" t="n"/>
      <c r="AA6" s="580" t="n"/>
      <c r="AB6" s="580" t="n"/>
      <c r="AC6" s="580" t="n"/>
      <c r="AD6" s="580" t="n"/>
      <c r="AE6" s="580" t="n"/>
      <c r="AF6" s="580" t="n"/>
      <c r="AG6" s="580" t="n"/>
      <c r="AH6" s="580" t="n"/>
      <c r="AI6" s="580" t="n"/>
      <c r="AJ6" s="601" t="n"/>
    </row>
    <row r="7" ht="25.2" customHeight="1" s="397" thickBot="1">
      <c r="A7" s="215" t="inlineStr">
        <is>
          <t>ល.រ</t>
        </is>
      </c>
      <c r="B7" s="215" t="inlineStr">
        <is>
          <t>បរិយាយ</t>
        </is>
      </c>
      <c r="C7" s="215" t="inlineStr">
        <is>
          <t>អ្នកផ្គត់ផ្គង់</t>
        </is>
      </c>
      <c r="D7" s="602" t="inlineStr">
        <is>
          <t>លេខ អតប</t>
        </is>
      </c>
      <c r="E7" s="215" t="inlineStr">
        <is>
          <t>វិក្កយបត្រ</t>
        </is>
      </c>
      <c r="F7" s="563" t="n"/>
      <c r="G7" s="215" t="inlineStr">
        <is>
          <t>ទឹកប្រាក់អាករ</t>
        </is>
      </c>
      <c r="H7" s="574" t="n"/>
      <c r="I7" s="563" t="n"/>
      <c r="J7" s="437" t="inlineStr">
        <is>
          <t>ស្ថានភាព</t>
        </is>
      </c>
      <c r="K7" s="602" t="inlineStr">
        <is>
          <t>ផ្សេង (សម្គាល់)</t>
        </is>
      </c>
      <c r="L7" s="603" t="n"/>
      <c r="O7" s="443" t="inlineStr">
        <is>
          <t>VAR INVOICE
T/F</t>
        </is>
      </c>
      <c r="P7" s="449" t="inlineStr">
        <is>
          <t>VAR. DATE
T/F</t>
        </is>
      </c>
      <c r="Q7" s="443" t="inlineStr">
        <is>
          <t>VAR. SUPPLIER &amp; PUCHASER</t>
        </is>
      </c>
      <c r="R7" s="604" t="inlineStr">
        <is>
          <t>តេស្តទឹកប្រាក់លម្អៀង</t>
        </is>
      </c>
      <c r="S7" s="437" t="inlineStr">
        <is>
          <t>សម្កាល់</t>
        </is>
      </c>
      <c r="T7" s="439" t="inlineStr">
        <is>
          <t xml:space="preserve">កាលបរិច្ឆេទ </t>
        </is>
      </c>
      <c r="U7" s="445" t="inlineStr">
        <is>
          <t xml:space="preserve">លេខវិក្កយបត្រ ឬប្រតិវេទគយ </t>
        </is>
      </c>
      <c r="V7" s="445" t="inlineStr">
        <is>
          <t>លេខលិខិតជូនដំណឹងឥណទាន</t>
        </is>
      </c>
      <c r="W7" s="445" t="inlineStr">
        <is>
          <t>អ្នកទិញ</t>
        </is>
      </c>
      <c r="X7" s="605" t="n"/>
      <c r="Y7" s="606" t="n"/>
      <c r="Z7" s="441" t="inlineStr">
        <is>
          <t>តម្លៃសរុបលើវិក្កយបត្រ</t>
        </is>
      </c>
      <c r="AA7" s="445" t="inlineStr">
        <is>
          <t>តម្លៃ​​មិន​រួមអតប និងមិនជាប់​អតប​</t>
        </is>
      </c>
      <c r="AB7" s="606" t="n"/>
      <c r="AC7" s="445" t="inlineStr">
        <is>
          <t>អាករលើតម្លៃបន្ថែមអត្រា ០%</t>
        </is>
      </c>
      <c r="AD7" s="445" t="inlineStr">
        <is>
          <t>អាករលើតម្លៃបន្ថែម</t>
        </is>
      </c>
      <c r="AE7" s="606" t="n"/>
      <c r="AF7" s="436" t="inlineStr">
        <is>
          <t>Under</t>
        </is>
      </c>
      <c r="AG7" s="435" t="n"/>
    </row>
    <row r="8" ht="25.2" customHeight="1" s="397" thickBot="1">
      <c r="A8" s="564" t="n"/>
      <c r="B8" s="564" t="n"/>
      <c r="C8" s="564" t="n"/>
      <c r="D8" s="564" t="n"/>
      <c r="E8" s="215" t="inlineStr">
        <is>
          <t>លេខ</t>
        </is>
      </c>
      <c r="F8" s="215" t="inlineStr">
        <is>
          <t>ថ្ងៃ ខែ ឆ្នាំ</t>
        </is>
      </c>
      <c r="G8" s="215" t="inlineStr">
        <is>
          <t>ជាដុល្លារអាមេរិក</t>
        </is>
      </c>
      <c r="H8" s="607" t="inlineStr">
        <is>
          <t>អត្រា</t>
        </is>
      </c>
      <c r="I8" s="607" t="inlineStr">
        <is>
          <t>ជារៀល</t>
        </is>
      </c>
      <c r="J8" s="608" t="n"/>
      <c r="K8" s="564" t="n"/>
      <c r="L8" s="600" t="n"/>
      <c r="O8" s="564" t="n"/>
      <c r="P8" s="608" t="n"/>
      <c r="Q8" s="564" t="n"/>
      <c r="R8" s="564" t="n"/>
      <c r="S8" s="608" t="n"/>
      <c r="T8" s="609" t="n"/>
      <c r="U8" s="609" t="n"/>
      <c r="V8" s="609" t="n"/>
      <c r="W8" s="358" t="inlineStr">
        <is>
          <t>ប្រភេទ</t>
        </is>
      </c>
      <c r="X8" s="358" t="inlineStr">
        <is>
          <t>លេខសម្គាល់ចុះបញ្ជីពន្ធដា TIN/BIN/TID</t>
        </is>
      </c>
      <c r="Y8" s="358" t="inlineStr">
        <is>
          <t>ឈ្មោះ</t>
        </is>
      </c>
      <c r="Z8" s="609" t="n"/>
      <c r="AA8" s="359" t="inlineStr">
        <is>
          <t>តម្លៃមិនរួមអតប</t>
        </is>
      </c>
      <c r="AB8" s="358" t="inlineStr">
        <is>
          <t>ការលក់មិនជាប់អតប</t>
        </is>
      </c>
      <c r="AC8" s="609" t="n"/>
      <c r="AD8" s="359" t="inlineStr">
        <is>
          <t>ការលក់ក្នុងស្រុក</t>
        </is>
      </c>
      <c r="AE8" s="358" t="inlineStr">
        <is>
          <t>អតបលើការនាំចេញ</t>
        </is>
      </c>
      <c r="AF8" s="608" t="n"/>
      <c r="AG8" s="608" t="n"/>
    </row>
    <row r="9" ht="25.2" customHeight="1" s="397">
      <c r="A9" s="217" t="n"/>
      <c r="B9" s="385" t="inlineStr">
        <is>
          <t>description</t>
        </is>
      </c>
      <c r="C9" s="385" t="inlineStr">
        <is>
          <t>supplier_name</t>
        </is>
      </c>
      <c r="D9" s="385" t="inlineStr">
        <is>
          <t>supplier_tin</t>
        </is>
      </c>
      <c r="E9" s="385" t="inlineStr">
        <is>
          <t>invoice_no</t>
        </is>
      </c>
      <c r="F9" s="385" t="inlineStr">
        <is>
          <t>date</t>
        </is>
      </c>
      <c r="G9" s="385" t="n"/>
      <c r="H9" s="610" t="n"/>
      <c r="I9" s="610" t="inlineStr">
        <is>
          <t>vat</t>
        </is>
      </c>
      <c r="J9" s="611" t="n"/>
      <c r="K9" s="612" t="n"/>
      <c r="L9" s="219" t="inlineStr">
        <is>
          <t>បានប្រកាស</t>
        </is>
      </c>
      <c r="M9" s="220" t="inlineStr">
        <is>
          <t>នៅខ្វះ</t>
        </is>
      </c>
      <c r="N9" s="220" t="n"/>
      <c r="O9" s="220" t="n"/>
      <c r="P9" s="220" t="n"/>
      <c r="Q9" s="220" t="n"/>
      <c r="R9" s="220" t="n"/>
      <c r="S9" s="220" t="n"/>
      <c r="T9" s="613" t="inlineStr">
        <is>
          <t>date</t>
        </is>
      </c>
      <c r="U9" s="613" t="inlineStr">
        <is>
          <t>vat_local_sale</t>
        </is>
      </c>
      <c r="V9" s="613" t="inlineStr">
        <is>
          <t>credit_notification_letter_number</t>
        </is>
      </c>
      <c r="W9" s="613" t="inlineStr">
        <is>
          <t>type</t>
        </is>
      </c>
      <c r="X9" s="613" t="inlineStr">
        <is>
          <t>tax_registration_id</t>
        </is>
      </c>
      <c r="Y9" s="613" t="inlineStr">
        <is>
          <t>buyer_name</t>
        </is>
      </c>
      <c r="Z9" s="613" t="inlineStr">
        <is>
          <t>total_invoice_amount</t>
        </is>
      </c>
      <c r="AA9" s="613" t="inlineStr">
        <is>
          <t>amount_exclude_vat</t>
        </is>
      </c>
      <c r="AB9" s="613" t="inlineStr">
        <is>
          <t>non_vat_sales</t>
        </is>
      </c>
      <c r="AC9" s="613" t="inlineStr">
        <is>
          <t>vat_zero_rate</t>
        </is>
      </c>
      <c r="AD9" s="613" t="inlineStr">
        <is>
          <t>vat_local_sale</t>
        </is>
      </c>
      <c r="AE9" s="613" t="inlineStr">
        <is>
          <t>vat_export</t>
        </is>
      </c>
      <c r="AF9" s="221" t="n"/>
    </row>
    <row r="10">
      <c r="A10" s="220" t="n">
        <v>1</v>
      </c>
      <c r="B10" s="378" t="inlineStr">
        <is>
          <t>Rental Building E G&amp; L</t>
        </is>
      </c>
      <c r="C10" s="378" t="inlineStr">
        <is>
          <t>JALIANKA INTERNATIONAL (CAMBODIA) CO., LTD.</t>
        </is>
      </c>
      <c r="D10" s="379" t="inlineStr">
        <is>
          <t>B105-901907504</t>
        </is>
      </c>
      <c r="E10" s="380" t="inlineStr">
        <is>
          <t>JILLANKA2401049</t>
        </is>
      </c>
      <c r="F10" s="381" t="n">
        <v>45596</v>
      </c>
      <c r="G10" s="382" t="n"/>
      <c r="H10" s="614" t="n"/>
      <c r="I10" s="614" t="n">
        <v>20811742</v>
      </c>
      <c r="J10" s="391" t="inlineStr">
        <is>
          <t>អនុញ្ញាត (បានប្រកាស)</t>
        </is>
      </c>
      <c r="K10" s="221" t="n"/>
      <c r="L10" s="392" t="inlineStr">
        <is>
          <t>=I10</t>
        </is>
      </c>
      <c r="M10" s="393" t="inlineStr">
        <is>
          <t>=I10-L10</t>
        </is>
      </c>
      <c r="N10" s="394" t="inlineStr">
        <is>
          <t>បានពិនិត្យវិក្កយបត្រ</t>
        </is>
      </c>
      <c r="O10" s="395" t="inlineStr">
        <is>
          <t>=U10=E10</t>
        </is>
      </c>
      <c r="P10" s="395" t="inlineStr">
        <is>
          <t>=MONTH(F10)-MONTH(T10)</t>
        </is>
      </c>
      <c r="Q10" s="395" t="inlineStr">
        <is>
          <t>=$B$5=X10</t>
        </is>
      </c>
      <c r="R10" s="395" t="inlineStr">
        <is>
          <t>=I10-AD10</t>
        </is>
      </c>
      <c r="S10" s="396" t="n"/>
      <c r="T10" s="387" t="n">
        <v>45596</v>
      </c>
      <c r="U10" s="388" t="inlineStr">
        <is>
          <t>JILLANKA2401049</t>
        </is>
      </c>
      <c r="V10" s="388" t="n">
        <v>0</v>
      </c>
      <c r="W10" s="388" t="inlineStr">
        <is>
          <t>បុគ្គលជាប់អាករ</t>
        </is>
      </c>
      <c r="X10" s="388" t="inlineStr">
        <is>
          <t>L001-901640009</t>
        </is>
      </c>
      <c r="Y10" s="388" t="inlineStr">
        <is>
          <t>ហូលីដេ ឌីហ្សាញ (ខេមបូឌា) ឯ.ក</t>
        </is>
      </c>
      <c r="Z10" s="389" t="n">
        <v>228929166</v>
      </c>
      <c r="AA10" s="389" t="n">
        <v>208117424</v>
      </c>
      <c r="AB10" s="388" t="n">
        <v>0</v>
      </c>
      <c r="AC10" s="388" t="inlineStr">
        <is>
          <t>-</t>
        </is>
      </c>
      <c r="AD10" s="389" t="n">
        <v>20811742</v>
      </c>
      <c r="AE10" s="388" t="n">
        <v>0</v>
      </c>
      <c r="AF10" s="615" t="n">
        <v>0</v>
      </c>
      <c r="AG10" s="203" t="n">
        <v>0</v>
      </c>
      <c r="AH10" s="203" t="n">
        <v>0</v>
      </c>
      <c r="AI10" s="203" t="n">
        <v>0</v>
      </c>
      <c r="AJ10" s="203" t="n">
        <v>0</v>
      </c>
      <c r="AK10" s="203" t="n">
        <v>0</v>
      </c>
      <c r="AL10" s="203" t="n">
        <v>0.01</v>
      </c>
      <c r="AM10" s="203" t="n">
        <v>0</v>
      </c>
      <c r="AN10" s="203" t="inlineStr">
        <is>
          <t>Rental Building E , G, L</t>
        </is>
      </c>
      <c r="AO10" s="203" t="inlineStr">
        <is>
          <t>បានប្រកាសនិងបង់ពន្ធ</t>
        </is>
      </c>
    </row>
    <row r="11">
      <c r="A11" s="220">
        <f>A10+1</f>
        <v/>
      </c>
      <c r="B11" s="378" t="inlineStr">
        <is>
          <t>Rental Building D &amp; F</t>
        </is>
      </c>
      <c r="C11" s="378" t="inlineStr">
        <is>
          <t>JALIANKA INTERNATIONAL (CAMBODIA) CO., LTD.</t>
        </is>
      </c>
      <c r="D11" s="379" t="inlineStr">
        <is>
          <t>B105-901907504</t>
        </is>
      </c>
      <c r="E11" s="380" t="inlineStr">
        <is>
          <t>JILLANKA2401047</t>
        </is>
      </c>
      <c r="F11" s="381" t="n">
        <v>45596</v>
      </c>
      <c r="G11" s="382" t="n"/>
      <c r="H11" s="614" t="n"/>
      <c r="I11" s="614" t="n">
        <v>13082860</v>
      </c>
      <c r="J11" s="391" t="inlineStr">
        <is>
          <t>អនុញ្ញាត (បានប្រកាស)</t>
        </is>
      </c>
      <c r="K11" s="221" t="n"/>
      <c r="L11" s="392" t="inlineStr">
        <is>
          <t>=I11</t>
        </is>
      </c>
      <c r="M11" s="393" t="inlineStr">
        <is>
          <t>=I11-L11</t>
        </is>
      </c>
      <c r="N11" s="394" t="inlineStr">
        <is>
          <t>បានពិនិត្យវិក្កយបត្រ</t>
        </is>
      </c>
      <c r="O11" s="395" t="inlineStr">
        <is>
          <t>=U11=E11</t>
        </is>
      </c>
      <c r="P11" s="395" t="inlineStr">
        <is>
          <t>=MONTH(F11)-MONTH(T11)</t>
        </is>
      </c>
      <c r="Q11" s="395" t="inlineStr">
        <is>
          <t>=$B$5=X11</t>
        </is>
      </c>
      <c r="R11" s="395" t="inlineStr">
        <is>
          <t>=I11-AD11</t>
        </is>
      </c>
      <c r="S11" s="396" t="n"/>
      <c r="T11" s="387" t="n">
        <v>45596</v>
      </c>
      <c r="U11" s="388" t="inlineStr">
        <is>
          <t>JILLANKA2401047</t>
        </is>
      </c>
      <c r="V11" s="388" t="n">
        <v>0</v>
      </c>
      <c r="W11" s="388" t="inlineStr">
        <is>
          <t>បុគ្គលជាប់អាករ</t>
        </is>
      </c>
      <c r="X11" s="388" t="inlineStr">
        <is>
          <t>L001-901640009</t>
        </is>
      </c>
      <c r="Y11" s="388" t="inlineStr">
        <is>
          <t>ហូលីដេ ឌីហ្សាញ (ខេមបូឌា) ឯ.ក</t>
        </is>
      </c>
      <c r="Z11" s="389" t="n">
        <v>143911460</v>
      </c>
      <c r="AA11" s="389" t="n">
        <v>130828600</v>
      </c>
      <c r="AB11" s="388" t="n">
        <v>0</v>
      </c>
      <c r="AC11" s="388" t="inlineStr">
        <is>
          <t>-</t>
        </is>
      </c>
      <c r="AD11" s="389" t="n">
        <v>13082860</v>
      </c>
      <c r="AE11" s="388" t="n">
        <v>0</v>
      </c>
      <c r="AF11" s="615" t="n">
        <v>0</v>
      </c>
      <c r="AG11" s="203" t="n">
        <v>0</v>
      </c>
      <c r="AH11" s="203" t="n">
        <v>0</v>
      </c>
      <c r="AI11" s="203" t="n">
        <v>0</v>
      </c>
      <c r="AJ11" s="203" t="n">
        <v>0</v>
      </c>
      <c r="AK11" s="203" t="n">
        <v>0</v>
      </c>
      <c r="AL11" s="203" t="n">
        <v>0.01</v>
      </c>
      <c r="AM11" s="203" t="n">
        <v>0</v>
      </c>
      <c r="AN11" s="203" t="inlineStr">
        <is>
          <t>Rental Building D , F</t>
        </is>
      </c>
      <c r="AO11" s="203" t="inlineStr">
        <is>
          <t>បានប្រកាសនិងបង់ពន្ធ</t>
        </is>
      </c>
    </row>
    <row r="12">
      <c r="A12" s="220">
        <f>A11+1</f>
        <v/>
      </c>
      <c r="B12" s="378" t="inlineStr">
        <is>
          <t>Rental Building D &amp; F</t>
        </is>
      </c>
      <c r="C12" s="378" t="inlineStr">
        <is>
          <t>JALIANKA INTERNATIONAL (CAMBODIA) CO., LTD.</t>
        </is>
      </c>
      <c r="D12" s="379" t="inlineStr">
        <is>
          <t>B105-901907504</t>
        </is>
      </c>
      <c r="E12" s="380" t="inlineStr">
        <is>
          <t>JILLANKA2401052</t>
        </is>
      </c>
      <c r="F12" s="381" t="n">
        <v>45626</v>
      </c>
      <c r="G12" s="382" t="n"/>
      <c r="H12" s="614" t="n"/>
      <c r="I12" s="614" t="n">
        <v>12970160</v>
      </c>
      <c r="J12" s="391" t="inlineStr">
        <is>
          <t>អនុញ្ញាត (បានប្រកាស)</t>
        </is>
      </c>
      <c r="K12" s="221" t="n"/>
      <c r="L12" s="392" t="inlineStr">
        <is>
          <t>=I12</t>
        </is>
      </c>
      <c r="M12" s="393" t="inlineStr">
        <is>
          <t>=I12-L12</t>
        </is>
      </c>
      <c r="N12" s="394" t="inlineStr">
        <is>
          <t>បានពិនិត្យវិក្កយបត្រ</t>
        </is>
      </c>
      <c r="O12" s="395" t="inlineStr">
        <is>
          <t>=U12=E12</t>
        </is>
      </c>
      <c r="P12" s="395" t="inlineStr">
        <is>
          <t>=MONTH(F12)-MONTH(T12)</t>
        </is>
      </c>
      <c r="Q12" s="395" t="inlineStr">
        <is>
          <t>=$B$5=X12</t>
        </is>
      </c>
      <c r="R12" s="395" t="inlineStr">
        <is>
          <t>=I12-AD12</t>
        </is>
      </c>
      <c r="S12" s="396" t="n"/>
      <c r="T12" s="387" t="n">
        <v>45626</v>
      </c>
      <c r="U12" s="388" t="inlineStr">
        <is>
          <t>JILLANKA2401052</t>
        </is>
      </c>
      <c r="V12" s="388" t="n">
        <v>0</v>
      </c>
      <c r="W12" s="388" t="inlineStr">
        <is>
          <t>បុគ្គលជាប់អាករ</t>
        </is>
      </c>
      <c r="X12" s="388" t="inlineStr">
        <is>
          <t>L001-901640009</t>
        </is>
      </c>
      <c r="Y12" s="388" t="inlineStr">
        <is>
          <t>ហូលីដេ ឌីហ្សាញ (ខេមបូឌា) ឯ.ក</t>
        </is>
      </c>
      <c r="Z12" s="389" t="n">
        <v>142671760</v>
      </c>
      <c r="AA12" s="389" t="n">
        <v>129701600</v>
      </c>
      <c r="AB12" s="388" t="n">
        <v>0</v>
      </c>
      <c r="AC12" s="388" t="inlineStr">
        <is>
          <t>-</t>
        </is>
      </c>
      <c r="AD12" s="389" t="n">
        <v>12970160</v>
      </c>
      <c r="AE12" s="388" t="n">
        <v>0</v>
      </c>
      <c r="AF12" s="615" t="n">
        <v>0</v>
      </c>
      <c r="AG12" s="203" t="n">
        <v>0</v>
      </c>
      <c r="AH12" s="203" t="n">
        <v>0</v>
      </c>
      <c r="AI12" s="203" t="n">
        <v>0</v>
      </c>
      <c r="AJ12" s="203" t="n">
        <v>0</v>
      </c>
      <c r="AK12" s="203" t="n">
        <v>0</v>
      </c>
      <c r="AL12" s="203" t="n">
        <v>0.01</v>
      </c>
      <c r="AM12" s="203" t="n">
        <v>0</v>
      </c>
      <c r="AN12" s="203" t="inlineStr">
        <is>
          <t>Rental Building D , F</t>
        </is>
      </c>
      <c r="AO12" s="203" t="inlineStr">
        <is>
          <t>បានប្រកាសនិងបង់ពន្ធ</t>
        </is>
      </c>
    </row>
    <row r="13">
      <c r="A13" s="220">
        <f>A12+1</f>
        <v/>
      </c>
      <c r="B13" s="378" t="inlineStr">
        <is>
          <t>Rental Building E G&amp; L</t>
        </is>
      </c>
      <c r="C13" s="378" t="inlineStr">
        <is>
          <t>JALIANKA INTERNATIONAL (CAMBODIA) CO., LTD.</t>
        </is>
      </c>
      <c r="D13" s="379" t="inlineStr">
        <is>
          <t>B105-901907504</t>
        </is>
      </c>
      <c r="E13" s="380" t="inlineStr">
        <is>
          <t>JILLANKA2401054</t>
        </is>
      </c>
      <c r="F13" s="381" t="n">
        <v>45626</v>
      </c>
      <c r="G13" s="382" t="n"/>
      <c r="H13" s="614" t="n"/>
      <c r="I13" s="614" t="n">
        <v>20632463</v>
      </c>
      <c r="J13" s="391" t="inlineStr">
        <is>
          <t>អនុញ្ញាត (បានប្រកាស)</t>
        </is>
      </c>
      <c r="K13" s="221" t="n"/>
      <c r="L13" s="392" t="inlineStr">
        <is>
          <t>=I13</t>
        </is>
      </c>
      <c r="M13" s="393" t="inlineStr">
        <is>
          <t>=I13-L13</t>
        </is>
      </c>
      <c r="N13" s="394" t="inlineStr">
        <is>
          <t>បានពិនិត្យវិក្កយបត្រ</t>
        </is>
      </c>
      <c r="O13" s="395" t="inlineStr">
        <is>
          <t>=U13=E13</t>
        </is>
      </c>
      <c r="P13" s="395" t="inlineStr">
        <is>
          <t>=MONTH(F13)-MONTH(T13)</t>
        </is>
      </c>
      <c r="Q13" s="395" t="inlineStr">
        <is>
          <t>=$B$5=X13</t>
        </is>
      </c>
      <c r="R13" s="395" t="inlineStr">
        <is>
          <t>=I13-AD13</t>
        </is>
      </c>
      <c r="S13" s="396" t="n"/>
      <c r="T13" s="387" t="n">
        <v>45626</v>
      </c>
      <c r="U13" s="388" t="inlineStr">
        <is>
          <t>JILLANKA2401054</t>
        </is>
      </c>
      <c r="V13" s="388" t="n">
        <v>0</v>
      </c>
      <c r="W13" s="388" t="inlineStr">
        <is>
          <t>បុគ្គលជាប់អាករ</t>
        </is>
      </c>
      <c r="X13" s="388" t="inlineStr">
        <is>
          <t>L001-901640009</t>
        </is>
      </c>
      <c r="Y13" s="388" t="inlineStr">
        <is>
          <t>ហូលីដេ ឌីហ្សាញ (ខេមបូឌា) ឯ.ក</t>
        </is>
      </c>
      <c r="Z13" s="389" t="n">
        <v>226957096</v>
      </c>
      <c r="AA13" s="389" t="n">
        <v>206324633</v>
      </c>
      <c r="AB13" s="388" t="n">
        <v>0</v>
      </c>
      <c r="AC13" s="388" t="inlineStr">
        <is>
          <t>-</t>
        </is>
      </c>
      <c r="AD13" s="389" t="n">
        <v>20632463</v>
      </c>
      <c r="AE13" s="388" t="n">
        <v>0</v>
      </c>
      <c r="AF13" s="615" t="n">
        <v>0</v>
      </c>
      <c r="AG13" s="203" t="n">
        <v>0</v>
      </c>
      <c r="AH13" s="203" t="n">
        <v>0</v>
      </c>
      <c r="AI13" s="203" t="n">
        <v>0</v>
      </c>
      <c r="AJ13" s="203" t="n">
        <v>0</v>
      </c>
      <c r="AK13" s="203" t="n">
        <v>0</v>
      </c>
      <c r="AL13" s="203" t="n">
        <v>0.01</v>
      </c>
      <c r="AM13" s="203" t="n">
        <v>0</v>
      </c>
      <c r="AN13" s="203" t="inlineStr">
        <is>
          <t>Rental Building E , G, L</t>
        </is>
      </c>
      <c r="AO13" s="203" t="inlineStr">
        <is>
          <t>បានប្រកាសនិងបង់ពន្ធ</t>
        </is>
      </c>
    </row>
    <row r="14">
      <c r="A14" s="220">
        <f>A13+1</f>
        <v/>
      </c>
      <c r="B14" s="378" t="inlineStr">
        <is>
          <t>Rental Building E G&amp; L</t>
        </is>
      </c>
      <c r="C14" s="378" t="inlineStr">
        <is>
          <t>JALIANKA INTERNATIONAL (CAMBODIA) CO., LTD.</t>
        </is>
      </c>
      <c r="D14" s="379" t="inlineStr">
        <is>
          <t>B105-901907504</t>
        </is>
      </c>
      <c r="E14" s="384" t="inlineStr">
        <is>
          <t>JILLANKA2401060</t>
        </is>
      </c>
      <c r="F14" s="381" t="n">
        <v>45657</v>
      </c>
      <c r="G14" s="382" t="n"/>
      <c r="H14" s="614" t="n"/>
      <c r="I14" s="614" t="n">
        <v>20617097</v>
      </c>
      <c r="J14" s="391" t="inlineStr">
        <is>
          <t>អនុញ្ញាត (បានប្រកាស)</t>
        </is>
      </c>
      <c r="K14" s="221" t="n"/>
      <c r="L14" s="392" t="inlineStr">
        <is>
          <t>=I14</t>
        </is>
      </c>
      <c r="M14" s="393" t="inlineStr">
        <is>
          <t>=I14-L14</t>
        </is>
      </c>
      <c r="N14" s="394" t="inlineStr">
        <is>
          <t>បានពិនិត្យវិក្កយបត្រ</t>
        </is>
      </c>
      <c r="O14" s="395" t="inlineStr">
        <is>
          <t>=U14=E14</t>
        </is>
      </c>
      <c r="P14" s="395" t="inlineStr">
        <is>
          <t>=MONTH(F14)-MONTH(T14)</t>
        </is>
      </c>
      <c r="Q14" s="395" t="inlineStr">
        <is>
          <t>=$B$5=X14</t>
        </is>
      </c>
      <c r="R14" s="395" t="inlineStr">
        <is>
          <t>=I14-AD14</t>
        </is>
      </c>
      <c r="S14" s="396" t="n"/>
      <c r="T14" s="387" t="n">
        <v>45657</v>
      </c>
      <c r="U14" s="388" t="inlineStr">
        <is>
          <t>JILLANKA2401060</t>
        </is>
      </c>
      <c r="V14" s="388" t="n">
        <v>0</v>
      </c>
      <c r="W14" s="388" t="inlineStr">
        <is>
          <t>បុគ្គលជាប់អាករ</t>
        </is>
      </c>
      <c r="X14" s="388" t="inlineStr">
        <is>
          <t>L001-901640009</t>
        </is>
      </c>
      <c r="Y14" s="388" t="inlineStr">
        <is>
          <t>ហូលីដេ ឌីហ្សាញ (ខេមបូឌា) ឯ.ក</t>
        </is>
      </c>
      <c r="Z14" s="389" t="n">
        <v>226788062</v>
      </c>
      <c r="AA14" s="389" t="n">
        <v>206170965</v>
      </c>
      <c r="AB14" s="388" t="n">
        <v>0</v>
      </c>
      <c r="AC14" s="388" t="inlineStr">
        <is>
          <t>-</t>
        </is>
      </c>
      <c r="AD14" s="389" t="n">
        <v>20617097</v>
      </c>
      <c r="AE14" s="388" t="n">
        <v>0</v>
      </c>
      <c r="AF14" s="615" t="n">
        <v>0</v>
      </c>
      <c r="AG14" s="203" t="n">
        <v>0</v>
      </c>
      <c r="AH14" s="203" t="n">
        <v>0</v>
      </c>
      <c r="AI14" s="203" t="n">
        <v>0</v>
      </c>
      <c r="AJ14" s="203" t="n">
        <v>0</v>
      </c>
      <c r="AK14" s="203" t="n">
        <v>0</v>
      </c>
      <c r="AL14" s="203" t="n">
        <v>0.01</v>
      </c>
      <c r="AM14" s="203" t="n">
        <v>0</v>
      </c>
      <c r="AN14" s="203" t="inlineStr">
        <is>
          <t>Rental Building E , G, L</t>
        </is>
      </c>
      <c r="AO14" s="203" t="inlineStr">
        <is>
          <t>បានប្រកាសនិងបង់ពន្ធ</t>
        </is>
      </c>
    </row>
    <row r="15">
      <c r="A15" s="220">
        <f>A14+1</f>
        <v/>
      </c>
      <c r="B15" s="378" t="inlineStr">
        <is>
          <t>Rental Building D &amp; F</t>
        </is>
      </c>
      <c r="C15" s="378" t="inlineStr">
        <is>
          <t>JALIANKA INTERNATIONAL (CAMBODIA) CO., LTD.</t>
        </is>
      </c>
      <c r="D15" s="379" t="inlineStr">
        <is>
          <t>B105-901907504</t>
        </is>
      </c>
      <c r="E15" s="384" t="inlineStr">
        <is>
          <t>JILLANKA2401058</t>
        </is>
      </c>
      <c r="F15" s="381" t="n">
        <v>45657</v>
      </c>
      <c r="G15" s="382" t="n"/>
      <c r="H15" s="614" t="n"/>
      <c r="I15" s="614" t="n">
        <v>12960500</v>
      </c>
      <c r="J15" s="391" t="inlineStr">
        <is>
          <t>អនុញ្ញាត (បានប្រកាស)</t>
        </is>
      </c>
      <c r="K15" s="221" t="n"/>
      <c r="L15" s="392" t="inlineStr">
        <is>
          <t>=I15</t>
        </is>
      </c>
      <c r="M15" s="393" t="inlineStr">
        <is>
          <t>=I15-L15</t>
        </is>
      </c>
      <c r="N15" s="394" t="inlineStr">
        <is>
          <t>បានពិនិត្យវិក្កយបត្រ</t>
        </is>
      </c>
      <c r="O15" s="395" t="inlineStr">
        <is>
          <t>=U15=E15</t>
        </is>
      </c>
      <c r="P15" s="395" t="inlineStr">
        <is>
          <t>=MONTH(F15)-MONTH(T15)</t>
        </is>
      </c>
      <c r="Q15" s="395" t="inlineStr">
        <is>
          <t>=$B$5=X15</t>
        </is>
      </c>
      <c r="R15" s="395" t="inlineStr">
        <is>
          <t>=I15-AD15</t>
        </is>
      </c>
      <c r="S15" s="396" t="n"/>
      <c r="T15" s="387" t="n">
        <v>45657</v>
      </c>
      <c r="U15" s="388" t="inlineStr">
        <is>
          <t>JILLANKA2401058</t>
        </is>
      </c>
      <c r="V15" s="388" t="n">
        <v>0</v>
      </c>
      <c r="W15" s="388" t="inlineStr">
        <is>
          <t>បុគ្គលជាប់អាករ</t>
        </is>
      </c>
      <c r="X15" s="388" t="inlineStr">
        <is>
          <t>L001-901640009</t>
        </is>
      </c>
      <c r="Y15" s="388" t="inlineStr">
        <is>
          <t>ហូលីដេ ឌីហ្សាញ (ខេមបូឌា) ឯ.ក</t>
        </is>
      </c>
      <c r="Z15" s="389" t="n">
        <v>142565500</v>
      </c>
      <c r="AA15" s="389" t="n">
        <v>129605000</v>
      </c>
      <c r="AB15" s="388" t="n">
        <v>0</v>
      </c>
      <c r="AC15" s="388" t="inlineStr">
        <is>
          <t>-</t>
        </is>
      </c>
      <c r="AD15" s="389" t="n">
        <v>12960500</v>
      </c>
      <c r="AE15" s="388" t="n">
        <v>0</v>
      </c>
      <c r="AF15" s="615" t="n">
        <v>0</v>
      </c>
      <c r="AG15" s="203" t="n">
        <v>0</v>
      </c>
      <c r="AH15" s="203" t="n">
        <v>0</v>
      </c>
      <c r="AI15" s="203" t="n">
        <v>0</v>
      </c>
      <c r="AJ15" s="203" t="n">
        <v>0</v>
      </c>
      <c r="AK15" s="203" t="n">
        <v>0</v>
      </c>
      <c r="AL15" s="203" t="n">
        <v>0.01</v>
      </c>
      <c r="AM15" s="203" t="n">
        <v>0</v>
      </c>
      <c r="AN15" s="203" t="inlineStr">
        <is>
          <t>Rental Building D , F</t>
        </is>
      </c>
      <c r="AO15" s="203" t="inlineStr">
        <is>
          <t>បានប្រកាសនិងបង់ពន្ធ</t>
        </is>
      </c>
    </row>
    <row r="16">
      <c r="A16" s="220">
        <f>A15+1</f>
        <v/>
      </c>
      <c r="B16" s="378" t="inlineStr">
        <is>
          <t>Terminal Handling</t>
        </is>
      </c>
      <c r="C16" s="378" t="inlineStr">
        <is>
          <t>EXPEDITORS CAMBODIA LTD.</t>
        </is>
      </c>
      <c r="D16" s="379" t="inlineStr">
        <is>
          <t>L001-100045898</t>
        </is>
      </c>
      <c r="E16" s="384" t="inlineStr">
        <is>
          <t>TI-0292395</t>
        </is>
      </c>
      <c r="F16" s="381" t="n">
        <v>45574</v>
      </c>
      <c r="G16" s="382" t="n"/>
      <c r="H16" s="614" t="n"/>
      <c r="I16" s="614" t="n">
        <v>522149</v>
      </c>
      <c r="J16" s="391" t="inlineStr">
        <is>
          <t>អនុញ្ញាត (បានប្រកាស)</t>
        </is>
      </c>
      <c r="K16" s="221" t="n"/>
      <c r="L16" s="392" t="inlineStr">
        <is>
          <t>=I16</t>
        </is>
      </c>
      <c r="M16" s="393" t="inlineStr">
        <is>
          <t>=I16-L16</t>
        </is>
      </c>
      <c r="N16" s="394" t="n"/>
      <c r="O16" s="395" t="inlineStr">
        <is>
          <t>=U16=E16</t>
        </is>
      </c>
      <c r="P16" s="395" t="inlineStr">
        <is>
          <t>=MONTH(F16)-MONTH(T16)</t>
        </is>
      </c>
      <c r="Q16" s="395" t="inlineStr">
        <is>
          <t>=$B$5=X16</t>
        </is>
      </c>
      <c r="R16" s="395" t="inlineStr">
        <is>
          <t>=I16-AD16</t>
        </is>
      </c>
      <c r="S16" s="396" t="n"/>
      <c r="T16" s="387" t="n">
        <v>45574</v>
      </c>
      <c r="U16" s="388" t="inlineStr">
        <is>
          <t>TI-0292395</t>
        </is>
      </c>
      <c r="V16" s="388" t="n">
        <v>0</v>
      </c>
      <c r="W16" s="388" t="inlineStr">
        <is>
          <t>បុគ្គលជាប់អាករ</t>
        </is>
      </c>
      <c r="X16" s="388" t="inlineStr">
        <is>
          <t>L001-901640009</t>
        </is>
      </c>
      <c r="Y16" s="388" t="inlineStr">
        <is>
          <t>ហូលីដេ ឌីហ្សាញ (ខេមបូឌា) ឯ.ក</t>
        </is>
      </c>
      <c r="Z16" s="389" t="n">
        <v>5743642</v>
      </c>
      <c r="AA16" s="389" t="n">
        <v>5221493</v>
      </c>
      <c r="AB16" s="388" t="n">
        <v>0</v>
      </c>
      <c r="AC16" s="388" t="inlineStr">
        <is>
          <t>-</t>
        </is>
      </c>
      <c r="AD16" s="389" t="n">
        <v>522149</v>
      </c>
      <c r="AE16" s="388" t="n">
        <v>0</v>
      </c>
      <c r="AF16" s="615" t="n">
        <v>0</v>
      </c>
      <c r="AG16" s="203" t="n">
        <v>0</v>
      </c>
      <c r="AH16" s="203" t="n">
        <v>0</v>
      </c>
      <c r="AI16" s="203" t="n">
        <v>0</v>
      </c>
      <c r="AJ16" s="203" t="n">
        <v>0</v>
      </c>
      <c r="AK16" s="203" t="n">
        <v>0</v>
      </c>
      <c r="AL16" s="203" t="n">
        <v>0.01</v>
      </c>
      <c r="AM16" s="203" t="n">
        <v>0</v>
      </c>
      <c r="AN16" s="203" t="inlineStr">
        <is>
          <t>Local Charge</t>
        </is>
      </c>
    </row>
    <row r="17">
      <c r="A17" s="220">
        <f>A16+1</f>
        <v/>
      </c>
      <c r="B17" s="378" t="inlineStr">
        <is>
          <t>BL Amendment</t>
        </is>
      </c>
      <c r="C17" s="378" t="inlineStr">
        <is>
          <t>EXPEDITORS CAMBODIA LTD.</t>
        </is>
      </c>
      <c r="D17" s="379" t="inlineStr">
        <is>
          <t>L001-100045898</t>
        </is>
      </c>
      <c r="E17" s="384" t="inlineStr">
        <is>
          <t>TI-0292567</t>
        </is>
      </c>
      <c r="F17" s="381" t="n">
        <v>45575</v>
      </c>
      <c r="G17" s="382" t="n"/>
      <c r="H17" s="614" t="n"/>
      <c r="I17" s="614" t="n">
        <v>24396</v>
      </c>
      <c r="J17" s="391" t="inlineStr">
        <is>
          <t>អនុញ្ញាត (បានប្រកាស)</t>
        </is>
      </c>
      <c r="K17" s="221" t="n"/>
      <c r="L17" s="392" t="inlineStr">
        <is>
          <t>=I17</t>
        </is>
      </c>
      <c r="M17" s="393" t="inlineStr">
        <is>
          <t>=I17-L17</t>
        </is>
      </c>
      <c r="N17" s="394" t="n"/>
      <c r="O17" s="395" t="inlineStr">
        <is>
          <t>=U17=E17</t>
        </is>
      </c>
      <c r="P17" s="395" t="inlineStr">
        <is>
          <t>=MONTH(F17)-MONTH(T17)</t>
        </is>
      </c>
      <c r="Q17" s="395" t="inlineStr">
        <is>
          <t>=$B$5=X17</t>
        </is>
      </c>
      <c r="R17" s="395" t="inlineStr">
        <is>
          <t>=I17-AD17</t>
        </is>
      </c>
      <c r="S17" s="396" t="n"/>
      <c r="T17" s="387" t="n">
        <v>45575</v>
      </c>
      <c r="U17" s="388" t="inlineStr">
        <is>
          <t>TI-0292567</t>
        </is>
      </c>
      <c r="V17" s="388" t="n">
        <v>0</v>
      </c>
      <c r="W17" s="388" t="inlineStr">
        <is>
          <t>បុគ្គលជាប់អាករ</t>
        </is>
      </c>
      <c r="X17" s="388" t="inlineStr">
        <is>
          <t>L001-901640009</t>
        </is>
      </c>
      <c r="Y17" s="388" t="inlineStr">
        <is>
          <t>ហូលីដេ ឌីហ្សាញ (ខេមបូឌា) ឯ.ក</t>
        </is>
      </c>
      <c r="Z17" s="389" t="n">
        <v>268356</v>
      </c>
      <c r="AA17" s="389" t="n">
        <v>243960</v>
      </c>
      <c r="AB17" s="388" t="n">
        <v>0</v>
      </c>
      <c r="AC17" s="388" t="inlineStr">
        <is>
          <t>-</t>
        </is>
      </c>
      <c r="AD17" s="389" t="n">
        <v>24396</v>
      </c>
      <c r="AE17" s="388" t="n">
        <v>0</v>
      </c>
      <c r="AF17" s="615" t="n">
        <v>0</v>
      </c>
      <c r="AG17" s="203" t="n">
        <v>0</v>
      </c>
      <c r="AH17" s="203" t="n">
        <v>0</v>
      </c>
      <c r="AI17" s="203" t="n">
        <v>0</v>
      </c>
      <c r="AJ17" s="203" t="n">
        <v>0</v>
      </c>
      <c r="AK17" s="203" t="n">
        <v>0</v>
      </c>
      <c r="AL17" s="203" t="n">
        <v>0.01</v>
      </c>
      <c r="AM17" s="203" t="n">
        <v>0</v>
      </c>
      <c r="AN17" s="203" t="inlineStr">
        <is>
          <t>Local Charge</t>
        </is>
      </c>
    </row>
    <row r="18">
      <c r="A18" s="220">
        <f>A17+1</f>
        <v/>
      </c>
      <c r="B18" s="378" t="inlineStr">
        <is>
          <t>Detention</t>
        </is>
      </c>
      <c r="C18" s="378" t="inlineStr">
        <is>
          <t>EXPEDITORS CAMBODIA LTD.</t>
        </is>
      </c>
      <c r="D18" s="379" t="inlineStr">
        <is>
          <t>L001-100045898</t>
        </is>
      </c>
      <c r="E18" s="384" t="inlineStr">
        <is>
          <t>TI-0292734</t>
        </is>
      </c>
      <c r="F18" s="381" t="n">
        <v>45579</v>
      </c>
      <c r="G18" s="382" t="n"/>
      <c r="H18" s="614" t="n"/>
      <c r="I18" s="614" t="n">
        <v>16248</v>
      </c>
      <c r="J18" s="391" t="inlineStr">
        <is>
          <t>អនុញ្ញាត (បានប្រកាស)</t>
        </is>
      </c>
      <c r="K18" s="221" t="n"/>
      <c r="L18" s="392" t="inlineStr">
        <is>
          <t>=I18</t>
        </is>
      </c>
      <c r="M18" s="393" t="inlineStr">
        <is>
          <t>=I18-L18</t>
        </is>
      </c>
      <c r="N18" s="394" t="n"/>
      <c r="O18" s="395" t="inlineStr">
        <is>
          <t>=U18=E18</t>
        </is>
      </c>
      <c r="P18" s="395" t="inlineStr">
        <is>
          <t>=MONTH(F18)-MONTH(T18)</t>
        </is>
      </c>
      <c r="Q18" s="395" t="inlineStr">
        <is>
          <t>=$B$5=X18</t>
        </is>
      </c>
      <c r="R18" s="395" t="inlineStr">
        <is>
          <t>=I18-AD18</t>
        </is>
      </c>
      <c r="S18" s="396" t="n"/>
      <c r="T18" s="387" t="n">
        <v>45579</v>
      </c>
      <c r="U18" s="388" t="inlineStr">
        <is>
          <t>TI-0292734</t>
        </is>
      </c>
      <c r="V18" s="388" t="n">
        <v>0</v>
      </c>
      <c r="W18" s="388" t="inlineStr">
        <is>
          <t>បុគ្គលជាប់អាករ</t>
        </is>
      </c>
      <c r="X18" s="388" t="inlineStr">
        <is>
          <t>L001-901640009</t>
        </is>
      </c>
      <c r="Y18" s="388" t="inlineStr">
        <is>
          <t>ហូលីដេ ឌីហ្សាញ (ខេមបូឌា) ឯ.ក</t>
        </is>
      </c>
      <c r="Z18" s="389" t="n">
        <v>178728</v>
      </c>
      <c r="AA18" s="389" t="n">
        <v>162480</v>
      </c>
      <c r="AB18" s="388" t="n">
        <v>0</v>
      </c>
      <c r="AC18" s="388" t="inlineStr">
        <is>
          <t>-</t>
        </is>
      </c>
      <c r="AD18" s="389" t="n">
        <v>16248</v>
      </c>
      <c r="AE18" s="388" t="n">
        <v>0</v>
      </c>
      <c r="AF18" s="615" t="n">
        <v>0</v>
      </c>
      <c r="AG18" s="203" t="n">
        <v>0</v>
      </c>
      <c r="AH18" s="203" t="n">
        <v>0</v>
      </c>
      <c r="AI18" s="203" t="n">
        <v>0</v>
      </c>
      <c r="AJ18" s="203" t="n">
        <v>0</v>
      </c>
      <c r="AK18" s="203" t="n">
        <v>0</v>
      </c>
      <c r="AL18" s="203" t="n">
        <v>0.01</v>
      </c>
      <c r="AM18" s="203" t="n">
        <v>0</v>
      </c>
      <c r="AN18" s="203" t="inlineStr">
        <is>
          <t>Local Charge</t>
        </is>
      </c>
    </row>
    <row r="19">
      <c r="A19" s="220">
        <f>A18+1</f>
        <v/>
      </c>
      <c r="B19" s="378" t="inlineStr">
        <is>
          <t>Detention</t>
        </is>
      </c>
      <c r="C19" s="378" t="inlineStr">
        <is>
          <t>EXPEDITORS CAMBODIA LTD.</t>
        </is>
      </c>
      <c r="D19" s="379" t="inlineStr">
        <is>
          <t>L001-100045898</t>
        </is>
      </c>
      <c r="E19" s="384" t="inlineStr">
        <is>
          <t>TI-0292731</t>
        </is>
      </c>
      <c r="F19" s="381" t="n">
        <v>45579</v>
      </c>
      <c r="G19" s="382" t="n"/>
      <c r="H19" s="614" t="n"/>
      <c r="I19" s="614" t="n">
        <v>40620</v>
      </c>
      <c r="J19" s="391" t="inlineStr">
        <is>
          <t>អនុញ្ញាត (បានប្រកាស)</t>
        </is>
      </c>
      <c r="K19" s="221" t="n"/>
      <c r="L19" s="392" t="inlineStr">
        <is>
          <t>=I19</t>
        </is>
      </c>
      <c r="M19" s="393" t="inlineStr">
        <is>
          <t>=I19-L19</t>
        </is>
      </c>
      <c r="N19" s="394" t="n"/>
      <c r="O19" s="395" t="inlineStr">
        <is>
          <t>=U19=E19</t>
        </is>
      </c>
      <c r="P19" s="395" t="inlineStr">
        <is>
          <t>=MONTH(F19)-MONTH(T19)</t>
        </is>
      </c>
      <c r="Q19" s="395" t="inlineStr">
        <is>
          <t>=$B$5=X19</t>
        </is>
      </c>
      <c r="R19" s="395" t="inlineStr">
        <is>
          <t>=I19-AD19</t>
        </is>
      </c>
      <c r="S19" s="396" t="n"/>
      <c r="T19" s="387" t="n">
        <v>45579</v>
      </c>
      <c r="U19" s="388" t="inlineStr">
        <is>
          <t>TI-0292731</t>
        </is>
      </c>
      <c r="V19" s="388" t="n">
        <v>0</v>
      </c>
      <c r="W19" s="388" t="inlineStr">
        <is>
          <t>បុគ្គលជាប់អាករ</t>
        </is>
      </c>
      <c r="X19" s="388" t="inlineStr">
        <is>
          <t>L001-901640009</t>
        </is>
      </c>
      <c r="Y19" s="388" t="inlineStr">
        <is>
          <t>ហូលីដេ ឌីហ្សាញ (ខេមបូឌា) ឯ.ក</t>
        </is>
      </c>
      <c r="Z19" s="389" t="n">
        <v>446820</v>
      </c>
      <c r="AA19" s="389" t="n">
        <v>406200</v>
      </c>
      <c r="AB19" s="388" t="n">
        <v>0</v>
      </c>
      <c r="AC19" s="388" t="inlineStr">
        <is>
          <t>-</t>
        </is>
      </c>
      <c r="AD19" s="389" t="n">
        <v>40620</v>
      </c>
      <c r="AE19" s="388" t="n">
        <v>0</v>
      </c>
      <c r="AF19" s="615" t="n">
        <v>0</v>
      </c>
      <c r="AG19" s="203" t="n">
        <v>0</v>
      </c>
      <c r="AH19" s="203" t="n">
        <v>0</v>
      </c>
      <c r="AI19" s="203" t="n">
        <v>0</v>
      </c>
      <c r="AJ19" s="203" t="n">
        <v>0</v>
      </c>
      <c r="AK19" s="203" t="n">
        <v>0</v>
      </c>
      <c r="AL19" s="203" t="n">
        <v>0.01</v>
      </c>
      <c r="AM19" s="203" t="n">
        <v>0</v>
      </c>
      <c r="AN19" s="203" t="inlineStr">
        <is>
          <t>Local Charge</t>
        </is>
      </c>
    </row>
    <row r="20">
      <c r="A20" s="220">
        <f>A19+1</f>
        <v/>
      </c>
      <c r="B20" s="378" t="inlineStr">
        <is>
          <t>Detention</t>
        </is>
      </c>
      <c r="C20" s="378" t="inlineStr">
        <is>
          <t>EXPEDITORS CAMBODIA LTD.</t>
        </is>
      </c>
      <c r="D20" s="379" t="inlineStr">
        <is>
          <t>L001-100045898</t>
        </is>
      </c>
      <c r="E20" s="384" t="inlineStr">
        <is>
          <t>TI-0292738</t>
        </is>
      </c>
      <c r="F20" s="381" t="n">
        <v>45579</v>
      </c>
      <c r="G20" s="382" t="n"/>
      <c r="H20" s="614" t="n"/>
      <c r="I20" s="614" t="n">
        <v>8124</v>
      </c>
      <c r="J20" s="391" t="inlineStr">
        <is>
          <t>អនុញ្ញាត (បានប្រកាស)</t>
        </is>
      </c>
      <c r="K20" s="221" t="n"/>
      <c r="L20" s="392" t="inlineStr">
        <is>
          <t>=I20</t>
        </is>
      </c>
      <c r="M20" s="393" t="inlineStr">
        <is>
          <t>=I20-L20</t>
        </is>
      </c>
      <c r="N20" s="394" t="n"/>
      <c r="O20" s="395" t="inlineStr">
        <is>
          <t>=U20=E20</t>
        </is>
      </c>
      <c r="P20" s="395" t="inlineStr">
        <is>
          <t>=MONTH(F20)-MONTH(T20)</t>
        </is>
      </c>
      <c r="Q20" s="395" t="inlineStr">
        <is>
          <t>=$B$5=X20</t>
        </is>
      </c>
      <c r="R20" s="395" t="inlineStr">
        <is>
          <t>=I20-AD20</t>
        </is>
      </c>
      <c r="S20" s="396" t="n"/>
      <c r="T20" s="387" t="n">
        <v>45579</v>
      </c>
      <c r="U20" s="388" t="inlineStr">
        <is>
          <t>TI-0292738</t>
        </is>
      </c>
      <c r="V20" s="388" t="n">
        <v>0</v>
      </c>
      <c r="W20" s="388" t="inlineStr">
        <is>
          <t>បុគ្គលជាប់អាករ</t>
        </is>
      </c>
      <c r="X20" s="388" t="inlineStr">
        <is>
          <t>L001-901640009</t>
        </is>
      </c>
      <c r="Y20" s="388" t="inlineStr">
        <is>
          <t>ហូលីដេ ឌីហ្សាញ (ខេមបូឌា) ឯ.ក</t>
        </is>
      </c>
      <c r="Z20" s="389" t="n">
        <v>89364</v>
      </c>
      <c r="AA20" s="389" t="n">
        <v>81240</v>
      </c>
      <c r="AB20" s="388" t="n">
        <v>0</v>
      </c>
      <c r="AC20" s="388" t="inlineStr">
        <is>
          <t>-</t>
        </is>
      </c>
      <c r="AD20" s="389" t="n">
        <v>8124</v>
      </c>
      <c r="AE20" s="388" t="n">
        <v>0</v>
      </c>
      <c r="AF20" s="615" t="n">
        <v>0</v>
      </c>
      <c r="AG20" s="203" t="n">
        <v>0</v>
      </c>
      <c r="AH20" s="203" t="n">
        <v>0</v>
      </c>
      <c r="AI20" s="203" t="n">
        <v>0</v>
      </c>
      <c r="AJ20" s="203" t="n">
        <v>0</v>
      </c>
      <c r="AK20" s="203" t="n">
        <v>0</v>
      </c>
      <c r="AL20" s="203" t="n">
        <v>0.01</v>
      </c>
      <c r="AM20" s="203" t="n">
        <v>0</v>
      </c>
      <c r="AN20" s="203" t="inlineStr">
        <is>
          <t>Local Charge</t>
        </is>
      </c>
    </row>
    <row r="21">
      <c r="A21" s="220">
        <f>A20+1</f>
        <v/>
      </c>
      <c r="B21" s="378" t="inlineStr">
        <is>
          <t>Detention</t>
        </is>
      </c>
      <c r="C21" s="378" t="inlineStr">
        <is>
          <t>EXPEDITORS CAMBODIA LTD.</t>
        </is>
      </c>
      <c r="D21" s="379" t="inlineStr">
        <is>
          <t>L001-100045898</t>
        </is>
      </c>
      <c r="E21" s="384" t="inlineStr">
        <is>
          <t>TI-0292732</t>
        </is>
      </c>
      <c r="F21" s="381" t="n">
        <v>45579</v>
      </c>
      <c r="G21" s="382" t="n"/>
      <c r="H21" s="614" t="n"/>
      <c r="I21" s="614" t="n">
        <v>16248</v>
      </c>
      <c r="J21" s="391" t="inlineStr">
        <is>
          <t>អនុញ្ញាត (បានប្រកាស)</t>
        </is>
      </c>
      <c r="K21" s="221" t="n"/>
      <c r="L21" s="392" t="inlineStr">
        <is>
          <t>=I21</t>
        </is>
      </c>
      <c r="M21" s="393" t="inlineStr">
        <is>
          <t>=I21-L21</t>
        </is>
      </c>
      <c r="N21" s="394" t="n"/>
      <c r="O21" s="395" t="inlineStr">
        <is>
          <t>=U21=E21</t>
        </is>
      </c>
      <c r="P21" s="395" t="inlineStr">
        <is>
          <t>=MONTH(F21)-MONTH(T21)</t>
        </is>
      </c>
      <c r="Q21" s="395" t="inlineStr">
        <is>
          <t>=$B$5=X21</t>
        </is>
      </c>
      <c r="R21" s="395" t="inlineStr">
        <is>
          <t>=I21-AD21</t>
        </is>
      </c>
      <c r="S21" s="396" t="n"/>
      <c r="T21" s="387" t="n">
        <v>45579</v>
      </c>
      <c r="U21" s="388" t="inlineStr">
        <is>
          <t>TI-0292732</t>
        </is>
      </c>
      <c r="V21" s="388" t="n">
        <v>0</v>
      </c>
      <c r="W21" s="388" t="inlineStr">
        <is>
          <t>បុគ្គលជាប់អាករ</t>
        </is>
      </c>
      <c r="X21" s="388" t="inlineStr">
        <is>
          <t>L001-901640009</t>
        </is>
      </c>
      <c r="Y21" s="388" t="inlineStr">
        <is>
          <t>ហូលីដេ ឌីហ្សាញ (ខេមបូឌា) ឯ.ក</t>
        </is>
      </c>
      <c r="Z21" s="389" t="n">
        <v>178728</v>
      </c>
      <c r="AA21" s="389" t="n">
        <v>162480</v>
      </c>
      <c r="AB21" s="388" t="n">
        <v>0</v>
      </c>
      <c r="AC21" s="388" t="inlineStr">
        <is>
          <t>-</t>
        </is>
      </c>
      <c r="AD21" s="389" t="n">
        <v>16248</v>
      </c>
      <c r="AE21" s="388" t="n">
        <v>0</v>
      </c>
      <c r="AF21" s="615" t="n">
        <v>0</v>
      </c>
      <c r="AG21" s="203" t="n">
        <v>0</v>
      </c>
      <c r="AH21" s="203" t="n">
        <v>0</v>
      </c>
      <c r="AI21" s="203" t="n">
        <v>0</v>
      </c>
      <c r="AJ21" s="203" t="n">
        <v>0</v>
      </c>
      <c r="AK21" s="203" t="n">
        <v>0</v>
      </c>
      <c r="AL21" s="203" t="n">
        <v>0.01</v>
      </c>
      <c r="AM21" s="203" t="n">
        <v>0</v>
      </c>
      <c r="AN21" s="203" t="inlineStr">
        <is>
          <t>Local Charge</t>
        </is>
      </c>
    </row>
    <row r="22">
      <c r="A22" s="220">
        <f>A21+1</f>
        <v/>
      </c>
      <c r="B22" s="378" t="inlineStr">
        <is>
          <t>Rental Building E G&amp; L</t>
        </is>
      </c>
      <c r="C22" s="378" t="inlineStr">
        <is>
          <t>JALIANKA INTERNATIONAL (CAMBODIA) CO., LTD.</t>
        </is>
      </c>
      <c r="D22" s="379" t="inlineStr">
        <is>
          <t>B105-901907504</t>
        </is>
      </c>
      <c r="E22" s="384" t="inlineStr">
        <is>
          <t>JILLANKA2501004</t>
        </is>
      </c>
      <c r="F22" s="381" t="n">
        <v>45688</v>
      </c>
      <c r="G22" s="382" t="n"/>
      <c r="H22" s="614" t="n"/>
      <c r="I22" s="614" t="n">
        <v>20611974</v>
      </c>
      <c r="J22" s="391" t="inlineStr">
        <is>
          <t>អនុញ្ញាត (បានប្រកាស)</t>
        </is>
      </c>
      <c r="K22" s="221" t="n"/>
      <c r="L22" s="392" t="inlineStr">
        <is>
          <t>=I22</t>
        </is>
      </c>
      <c r="M22" s="393" t="inlineStr">
        <is>
          <t>=I22-L22</t>
        </is>
      </c>
      <c r="N22" s="394" t="inlineStr">
        <is>
          <t>បានពិនិត្យវិក្កយបត្រ</t>
        </is>
      </c>
      <c r="O22" s="395" t="inlineStr">
        <is>
          <t>=U22=E22</t>
        </is>
      </c>
      <c r="P22" s="395" t="inlineStr">
        <is>
          <t>=MONTH(F22)-MONTH(T22)</t>
        </is>
      </c>
      <c r="Q22" s="395" t="inlineStr">
        <is>
          <t>=$B$5=X22</t>
        </is>
      </c>
      <c r="R22" s="395" t="inlineStr">
        <is>
          <t>=I22-AD22</t>
        </is>
      </c>
      <c r="S22" s="396" t="n"/>
      <c r="T22" s="387" t="n">
        <v>45688</v>
      </c>
      <c r="U22" s="388" t="inlineStr">
        <is>
          <t>JILLANKA2501004</t>
        </is>
      </c>
      <c r="V22" s="388" t="n">
        <v>0</v>
      </c>
      <c r="W22" s="388" t="inlineStr">
        <is>
          <t>បុគ្គលជាប់អាករ</t>
        </is>
      </c>
      <c r="X22" s="388" t="inlineStr">
        <is>
          <t>L001-901640009</t>
        </is>
      </c>
      <c r="Y22" s="388" t="inlineStr">
        <is>
          <t>ហូលីដេ ឌីហ្សាញ (ខេមបូឌា) ឯ.ក</t>
        </is>
      </c>
      <c r="Z22" s="389" t="n">
        <v>226731717</v>
      </c>
      <c r="AA22" s="389" t="n">
        <v>206119743</v>
      </c>
      <c r="AB22" s="388" t="n">
        <v>0</v>
      </c>
      <c r="AC22" s="388" t="inlineStr">
        <is>
          <t>-</t>
        </is>
      </c>
      <c r="AD22" s="389" t="n">
        <v>20611974</v>
      </c>
      <c r="AE22" s="388" t="n">
        <v>0</v>
      </c>
      <c r="AF22" s="615" t="n">
        <v>0</v>
      </c>
      <c r="AG22" s="203" t="n">
        <v>0</v>
      </c>
      <c r="AH22" s="203" t="n">
        <v>0</v>
      </c>
      <c r="AI22" s="203" t="n">
        <v>0</v>
      </c>
      <c r="AJ22" s="203" t="n">
        <v>0</v>
      </c>
      <c r="AK22" s="203" t="n">
        <v>0</v>
      </c>
      <c r="AL22" s="203" t="n">
        <v>0.01</v>
      </c>
      <c r="AM22" s="203" t="n">
        <v>0</v>
      </c>
      <c r="AN22" s="203" t="inlineStr">
        <is>
          <t>Rental Building E , G, L</t>
        </is>
      </c>
      <c r="AO22" s="203" t="inlineStr">
        <is>
          <t>បានប្រកាសនិងបង់ពន្ធ</t>
        </is>
      </c>
    </row>
    <row r="23">
      <c r="A23" s="220">
        <f>A22+1</f>
        <v/>
      </c>
      <c r="B23" s="378" t="inlineStr">
        <is>
          <t>CREDIT</t>
        </is>
      </c>
      <c r="C23" s="378" t="inlineStr">
        <is>
          <t>EXPEDITORS CAMBODIA LTD.</t>
        </is>
      </c>
      <c r="D23" s="379" t="inlineStr">
        <is>
          <t>L001-100045898</t>
        </is>
      </c>
      <c r="E23" s="384" t="inlineStr">
        <is>
          <t>TI-0292897</t>
        </is>
      </c>
      <c r="F23" s="381" t="n">
        <v>45581</v>
      </c>
      <c r="G23" s="382" t="n"/>
      <c r="H23" s="614" t="n"/>
      <c r="I23" s="614" t="n">
        <v>-72674</v>
      </c>
      <c r="J23" s="391" t="inlineStr">
        <is>
          <t>អនុញ្ញាត (បានប្រកាស)</t>
        </is>
      </c>
      <c r="K23" s="221" t="n"/>
      <c r="L23" s="392" t="inlineStr">
        <is>
          <t>=I23</t>
        </is>
      </c>
      <c r="M23" s="393" t="inlineStr">
        <is>
          <t>=I23-L23</t>
        </is>
      </c>
      <c r="N23" s="394" t="n"/>
      <c r="O23" s="395" t="inlineStr">
        <is>
          <t>=U23=E23</t>
        </is>
      </c>
      <c r="P23" s="395" t="inlineStr">
        <is>
          <t>=MONTH(F23)-MONTH(T23)</t>
        </is>
      </c>
      <c r="Q23" s="395" t="inlineStr">
        <is>
          <t>=$B$5=X23</t>
        </is>
      </c>
      <c r="R23" s="395" t="inlineStr">
        <is>
          <t>=I23-AD23</t>
        </is>
      </c>
      <c r="S23" s="396" t="n"/>
      <c r="T23" s="361" t="n"/>
      <c r="U23" s="360" t="n"/>
      <c r="V23" s="360" t="n"/>
      <c r="W23" s="360" t="n"/>
      <c r="X23" s="360" t="n"/>
      <c r="Y23" s="360" t="n"/>
      <c r="Z23" s="362" t="n"/>
      <c r="AA23" s="362" t="n"/>
      <c r="AB23" s="360" t="n"/>
      <c r="AC23" s="360" t="n"/>
      <c r="AD23" s="362" t="n"/>
      <c r="AE23" s="360" t="n"/>
      <c r="AF23" s="615" t="n"/>
    </row>
    <row r="24">
      <c r="A24" s="220">
        <f>A23+1</f>
        <v/>
      </c>
      <c r="B24" s="378" t="inlineStr">
        <is>
          <t>CREDIT</t>
        </is>
      </c>
      <c r="C24" s="378" t="inlineStr">
        <is>
          <t>EXPEDITORS CAMBODIA LTD.</t>
        </is>
      </c>
      <c r="D24" s="379" t="inlineStr">
        <is>
          <t>L001-100045898</t>
        </is>
      </c>
      <c r="E24" s="384" t="inlineStr">
        <is>
          <t>TI-0295955</t>
        </is>
      </c>
      <c r="F24" s="381" t="n">
        <v>45603</v>
      </c>
      <c r="G24" s="382" t="n"/>
      <c r="H24" s="614" t="n"/>
      <c r="I24" s="614" t="n">
        <v>-2032</v>
      </c>
      <c r="J24" s="391" t="inlineStr">
        <is>
          <t>អនុញ្ញាត (បានប្រកាស)</t>
        </is>
      </c>
      <c r="K24" s="221" t="n"/>
      <c r="L24" s="616">
        <f>I24</f>
        <v/>
      </c>
      <c r="M24" s="588">
        <f>I24-L24</f>
        <v/>
      </c>
      <c r="N24" s="221" t="n"/>
      <c r="O24" s="226">
        <f>U24=E24</f>
        <v/>
      </c>
      <c r="P24" s="226">
        <f>MONTH(F24)-MONTH(T24)</f>
        <v/>
      </c>
      <c r="Q24" s="226">
        <f>$B$5=X24</f>
        <v/>
      </c>
      <c r="R24" s="226">
        <f>I24-AD24</f>
        <v/>
      </c>
      <c r="S24" s="360" t="n"/>
      <c r="T24" s="361" t="n"/>
      <c r="U24" s="360" t="n"/>
      <c r="V24" s="360" t="n"/>
      <c r="W24" s="360" t="n"/>
      <c r="X24" s="360" t="n"/>
      <c r="Y24" s="360" t="n"/>
      <c r="Z24" s="362" t="n"/>
      <c r="AA24" s="362" t="n"/>
      <c r="AB24" s="360" t="n"/>
      <c r="AC24" s="360" t="n"/>
      <c r="AD24" s="362" t="n"/>
      <c r="AE24" s="360" t="n"/>
      <c r="AF24" s="615" t="n"/>
    </row>
    <row r="25">
      <c r="A25" s="220">
        <f>A24+1</f>
        <v/>
      </c>
      <c r="B25" s="222" t="inlineStr">
        <is>
          <t>Rental Building D &amp; F</t>
        </is>
      </c>
      <c r="C25" s="222" t="inlineStr">
        <is>
          <t>JALIANKA INTERNATIONAL (CAMBODIA) CO., LTD.</t>
        </is>
      </c>
      <c r="D25" s="223" t="inlineStr">
        <is>
          <t>B105-901907504</t>
        </is>
      </c>
      <c r="E25" s="349" t="inlineStr">
        <is>
          <t>JILLANKA2501002</t>
        </is>
      </c>
      <c r="F25" s="332" t="n">
        <v>45688</v>
      </c>
      <c r="G25" s="224" t="n"/>
      <c r="H25" s="617" t="n"/>
      <c r="I25" s="617" t="n">
        <v>12957280</v>
      </c>
      <c r="J25" s="221" t="inlineStr">
        <is>
          <t>អនុញ្ញាត (បានប្រកាស)</t>
        </is>
      </c>
      <c r="K25" s="221" t="n"/>
      <c r="L25" s="616">
        <f>I25</f>
        <v/>
      </c>
      <c r="M25" s="588">
        <f>I25-L25</f>
        <v/>
      </c>
      <c r="N25" s="221" t="inlineStr">
        <is>
          <t>បានពិនិត្យវិក្កយបត្រ</t>
        </is>
      </c>
      <c r="O25" s="226">
        <f>U25=E25</f>
        <v/>
      </c>
      <c r="P25" s="226">
        <f>MONTH(F25)-MONTH(T25)</f>
        <v/>
      </c>
      <c r="Q25" s="226">
        <f>$B$5=X25</f>
        <v/>
      </c>
      <c r="R25" s="226">
        <f>I25-AD25</f>
        <v/>
      </c>
      <c r="S25" s="360" t="n"/>
      <c r="T25" s="361" t="n">
        <v>45688</v>
      </c>
      <c r="U25" s="360" t="inlineStr">
        <is>
          <t>JILLANKA2501002</t>
        </is>
      </c>
      <c r="V25" s="360" t="n">
        <v>0</v>
      </c>
      <c r="W25" s="360" t="inlineStr">
        <is>
          <t>បុគ្គលជាប់អាករ</t>
        </is>
      </c>
      <c r="X25" s="360" t="inlineStr">
        <is>
          <t>L001-901640009</t>
        </is>
      </c>
      <c r="Y25" s="360" t="inlineStr">
        <is>
          <t>ហូលីដេ ឌីហ្សាញ (ខេមបូឌា) ឯ.ក</t>
        </is>
      </c>
      <c r="Z25" s="362" t="n">
        <v>142530080</v>
      </c>
      <c r="AA25" s="362" t="n">
        <v>129572800</v>
      </c>
      <c r="AB25" s="360" t="n">
        <v>0</v>
      </c>
      <c r="AC25" s="360" t="inlineStr">
        <is>
          <t>-</t>
        </is>
      </c>
      <c r="AD25" s="362" t="n">
        <v>12957280</v>
      </c>
      <c r="AE25" s="360" t="n">
        <v>0</v>
      </c>
      <c r="AF25" s="615" t="n">
        <v>0</v>
      </c>
      <c r="AG25" s="203" t="n">
        <v>0</v>
      </c>
      <c r="AH25" s="203" t="n">
        <v>0</v>
      </c>
      <c r="AI25" s="203" t="n">
        <v>0</v>
      </c>
      <c r="AJ25" s="203" t="n">
        <v>0</v>
      </c>
      <c r="AK25" s="203" t="n">
        <v>0</v>
      </c>
      <c r="AL25" s="203" t="n">
        <v>0.01</v>
      </c>
      <c r="AM25" s="203" t="n">
        <v>0</v>
      </c>
      <c r="AN25" s="203" t="inlineStr">
        <is>
          <t>Rental Building D , F</t>
        </is>
      </c>
      <c r="AO25" s="203" t="inlineStr">
        <is>
          <t>បានប្រកាសនិងបង់ពន្ធ</t>
        </is>
      </c>
    </row>
    <row r="26">
      <c r="A26" s="220">
        <f>A25+1</f>
        <v/>
      </c>
      <c r="B26" s="222" t="inlineStr">
        <is>
          <t>Rental Building E G&amp; L</t>
        </is>
      </c>
      <c r="C26" s="222" t="inlineStr">
        <is>
          <t>JALIANKA INTERNATIONAL (CAMBODIA) CO., LTD.</t>
        </is>
      </c>
      <c r="D26" s="223" t="inlineStr">
        <is>
          <t>B105-901907504</t>
        </is>
      </c>
      <c r="E26" s="349" t="inlineStr">
        <is>
          <t>JILLANKA2501008</t>
        </is>
      </c>
      <c r="F26" s="332" t="n">
        <v>45716</v>
      </c>
      <c r="G26" s="224" t="n"/>
      <c r="H26" s="617" t="n"/>
      <c r="I26" s="617" t="n">
        <v>20545385</v>
      </c>
      <c r="J26" s="221" t="inlineStr">
        <is>
          <t>អនុញ្ញាត (បានប្រកាស)</t>
        </is>
      </c>
      <c r="K26" s="221" t="n"/>
      <c r="L26" s="616">
        <f>I26</f>
        <v/>
      </c>
      <c r="M26" s="588">
        <f>I26-L26</f>
        <v/>
      </c>
      <c r="N26" s="221" t="inlineStr">
        <is>
          <t>បានពិនិត្យវិក្កយបត្រ</t>
        </is>
      </c>
      <c r="O26" s="226">
        <f>U26=E26</f>
        <v/>
      </c>
      <c r="P26" s="226">
        <f>MONTH(F26)-MONTH(T26)</f>
        <v/>
      </c>
      <c r="Q26" s="226">
        <f>$B$5=X26</f>
        <v/>
      </c>
      <c r="R26" s="226">
        <f>I26-AD26</f>
        <v/>
      </c>
      <c r="S26" s="360" t="n"/>
      <c r="T26" s="361" t="n">
        <v>45716</v>
      </c>
      <c r="U26" s="360" t="inlineStr">
        <is>
          <t>JILLANKA2501008</t>
        </is>
      </c>
      <c r="V26" s="360" t="n">
        <v>0</v>
      </c>
      <c r="W26" s="360" t="inlineStr">
        <is>
          <t>បុគ្គលជាប់អាករ</t>
        </is>
      </c>
      <c r="X26" s="360" t="inlineStr">
        <is>
          <t>L001-901640009</t>
        </is>
      </c>
      <c r="Y26" s="360" t="inlineStr">
        <is>
          <t>ហូលីដេ ឌីហ្សាញ (ខេមបូឌា) ឯ.ក</t>
        </is>
      </c>
      <c r="Z26" s="362" t="n">
        <v>225999233</v>
      </c>
      <c r="AA26" s="362" t="n">
        <v>205453848</v>
      </c>
      <c r="AB26" s="360" t="n">
        <v>0</v>
      </c>
      <c r="AC26" s="360" t="inlineStr">
        <is>
          <t>-</t>
        </is>
      </c>
      <c r="AD26" s="362" t="n">
        <v>20545385</v>
      </c>
      <c r="AE26" s="360" t="n">
        <v>0</v>
      </c>
      <c r="AF26" s="615" t="n">
        <v>0</v>
      </c>
      <c r="AG26" s="203" t="n">
        <v>0</v>
      </c>
      <c r="AH26" s="203" t="n">
        <v>0</v>
      </c>
      <c r="AI26" s="203" t="n">
        <v>0</v>
      </c>
      <c r="AJ26" s="203" t="n">
        <v>0</v>
      </c>
      <c r="AK26" s="203" t="n">
        <v>0</v>
      </c>
      <c r="AL26" s="203" t="n">
        <v>0.01</v>
      </c>
      <c r="AM26" s="203" t="n">
        <v>0</v>
      </c>
      <c r="AN26" s="203" t="inlineStr">
        <is>
          <t>Rental Building E , G, L</t>
        </is>
      </c>
      <c r="AO26" s="203" t="inlineStr">
        <is>
          <t>បានប្រកាសនិងបង់ពន្ធ</t>
        </is>
      </c>
    </row>
    <row r="27">
      <c r="A27" s="220">
        <f>A26+1</f>
        <v/>
      </c>
      <c r="B27" s="222" t="inlineStr">
        <is>
          <t>Rental Building D &amp; F</t>
        </is>
      </c>
      <c r="C27" s="222" t="inlineStr">
        <is>
          <t>JALIANKA INTERNATIONAL (CAMBODIA) CO., LTD.</t>
        </is>
      </c>
      <c r="D27" s="223" t="inlineStr">
        <is>
          <t>B105-901907504</t>
        </is>
      </c>
      <c r="E27" s="349" t="inlineStr">
        <is>
          <t>JILLANKA2501007</t>
        </is>
      </c>
      <c r="F27" s="332" t="n">
        <v>45716</v>
      </c>
      <c r="G27" s="224" t="n"/>
      <c r="H27" s="617" t="n"/>
      <c r="I27" s="617" t="n">
        <v>12915420</v>
      </c>
      <c r="J27" s="221" t="inlineStr">
        <is>
          <t>អនុញ្ញាត (បានប្រកាស)</t>
        </is>
      </c>
      <c r="K27" s="221" t="n"/>
      <c r="L27" s="616">
        <f>I27</f>
        <v/>
      </c>
      <c r="M27" s="588">
        <f>I27-L27</f>
        <v/>
      </c>
      <c r="N27" s="221" t="inlineStr">
        <is>
          <t>បានពិនិត្យវិក្កយបត្រ</t>
        </is>
      </c>
      <c r="O27" s="226">
        <f>U27=E27</f>
        <v/>
      </c>
      <c r="P27" s="226">
        <f>MONTH(F27)-MONTH(T27)</f>
        <v/>
      </c>
      <c r="Q27" s="226">
        <f>$B$5=X27</f>
        <v/>
      </c>
      <c r="R27" s="226">
        <f>I27-AD27</f>
        <v/>
      </c>
      <c r="S27" s="360" t="n"/>
      <c r="T27" s="361" t="n">
        <v>45716</v>
      </c>
      <c r="U27" s="360" t="inlineStr">
        <is>
          <t>JILLANKA2501007</t>
        </is>
      </c>
      <c r="V27" s="360" t="n">
        <v>0</v>
      </c>
      <c r="W27" s="360" t="inlineStr">
        <is>
          <t>បុគ្គលជាប់អាករ</t>
        </is>
      </c>
      <c r="X27" s="360" t="inlineStr">
        <is>
          <t>L001-901640009</t>
        </is>
      </c>
      <c r="Y27" s="360" t="inlineStr">
        <is>
          <t>ហូលីដេ ឌីហ្សាញ (ខេមបូឌា) ឯ.ក</t>
        </is>
      </c>
      <c r="Z27" s="362" t="n">
        <v>142069620</v>
      </c>
      <c r="AA27" s="362" t="n">
        <v>129154200</v>
      </c>
      <c r="AB27" s="360" t="n">
        <v>0</v>
      </c>
      <c r="AC27" s="360" t="inlineStr">
        <is>
          <t>-</t>
        </is>
      </c>
      <c r="AD27" s="362" t="n">
        <v>12915420</v>
      </c>
      <c r="AE27" s="360" t="n">
        <v>0</v>
      </c>
      <c r="AF27" s="615" t="n">
        <v>0</v>
      </c>
      <c r="AG27" s="203" t="n">
        <v>0</v>
      </c>
      <c r="AH27" s="203" t="n">
        <v>0</v>
      </c>
      <c r="AI27" s="203" t="n">
        <v>0</v>
      </c>
      <c r="AJ27" s="203" t="n">
        <v>0</v>
      </c>
      <c r="AK27" s="203" t="n">
        <v>0</v>
      </c>
      <c r="AL27" s="203" t="n">
        <v>0.01</v>
      </c>
      <c r="AM27" s="203" t="n">
        <v>0</v>
      </c>
      <c r="AN27" s="203" t="inlineStr">
        <is>
          <t>Rental Building D , F</t>
        </is>
      </c>
      <c r="AO27" s="203" t="inlineStr">
        <is>
          <t>បានប្រកាសនិងបង់ពន្ធ</t>
        </is>
      </c>
    </row>
    <row r="28">
      <c r="A28" s="220">
        <f>A27+1</f>
        <v/>
      </c>
      <c r="B28" s="222" t="inlineStr">
        <is>
          <t>Detention Fee</t>
        </is>
      </c>
      <c r="C28" s="222" t="inlineStr">
        <is>
          <t>EXPEDITORS CAMBODIA LTD.</t>
        </is>
      </c>
      <c r="D28" s="223" t="inlineStr">
        <is>
          <t>L001-100045898</t>
        </is>
      </c>
      <c r="E28" s="349" t="inlineStr">
        <is>
          <t>TI-0298544</t>
        </is>
      </c>
      <c r="F28" s="332" t="n">
        <v>45625</v>
      </c>
      <c r="G28" s="224" t="n"/>
      <c r="H28" s="617" t="n"/>
      <c r="I28" s="617" t="n">
        <v>80560</v>
      </c>
      <c r="J28" s="221" t="inlineStr">
        <is>
          <t>អនុញ្ញាត (បានប្រកាស)</t>
        </is>
      </c>
      <c r="K28" s="221" t="n"/>
      <c r="L28" s="616">
        <f>I28</f>
        <v/>
      </c>
      <c r="M28" s="588">
        <f>I28-L28</f>
        <v/>
      </c>
      <c r="N28" s="221" t="n"/>
      <c r="O28" s="226">
        <f>U28=E28</f>
        <v/>
      </c>
      <c r="P28" s="226">
        <f>MONTH(F28)-MONTH(T28)</f>
        <v/>
      </c>
      <c r="Q28" s="226">
        <f>$B$5=X28</f>
        <v/>
      </c>
      <c r="R28" s="226">
        <f>I28-AD28</f>
        <v/>
      </c>
      <c r="S28" s="360" t="n"/>
      <c r="T28" s="361" t="n">
        <v>45625</v>
      </c>
      <c r="U28" s="360" t="inlineStr">
        <is>
          <t>TI-0298544</t>
        </is>
      </c>
      <c r="V28" s="360" t="n">
        <v>0</v>
      </c>
      <c r="W28" s="360" t="inlineStr">
        <is>
          <t>បុគ្គលជាប់អាករ</t>
        </is>
      </c>
      <c r="X28" s="360" t="inlineStr">
        <is>
          <t>L001-901640009</t>
        </is>
      </c>
      <c r="Y28" s="360" t="inlineStr">
        <is>
          <t>ហូលីដេ ឌីហ្សាញ (ខេមបូឌា) ឯ.ក</t>
        </is>
      </c>
      <c r="Z28" s="362" t="n">
        <v>886160</v>
      </c>
      <c r="AA28" s="362" t="n">
        <v>805600</v>
      </c>
      <c r="AB28" s="360" t="n">
        <v>0</v>
      </c>
      <c r="AC28" s="360" t="inlineStr">
        <is>
          <t>-</t>
        </is>
      </c>
      <c r="AD28" s="362" t="n">
        <v>80560</v>
      </c>
      <c r="AE28" s="360" t="n">
        <v>0</v>
      </c>
      <c r="AF28" s="615" t="n">
        <v>0</v>
      </c>
      <c r="AG28" s="203" t="n">
        <v>0</v>
      </c>
      <c r="AH28" s="203" t="n">
        <v>0</v>
      </c>
      <c r="AI28" s="203" t="n">
        <v>0</v>
      </c>
      <c r="AJ28" s="203" t="n">
        <v>0</v>
      </c>
      <c r="AK28" s="203" t="n">
        <v>0</v>
      </c>
      <c r="AL28" s="203" t="n">
        <v>0.01</v>
      </c>
      <c r="AM28" s="203" t="n">
        <v>0</v>
      </c>
      <c r="AN28" s="203" t="inlineStr">
        <is>
          <t>Local Charge</t>
        </is>
      </c>
    </row>
    <row r="29">
      <c r="A29" s="220">
        <f>A28+1</f>
        <v/>
      </c>
      <c r="B29" s="222" t="inlineStr">
        <is>
          <t>Detention Fee</t>
        </is>
      </c>
      <c r="C29" s="222" t="inlineStr">
        <is>
          <t>EXPEDITORS CAMBODIA LTD.</t>
        </is>
      </c>
      <c r="D29" s="223" t="inlineStr">
        <is>
          <t>L001-100045898</t>
        </is>
      </c>
      <c r="E29" s="349" t="inlineStr">
        <is>
          <t>TI-0298481</t>
        </is>
      </c>
      <c r="F29" s="332" t="n">
        <v>45623</v>
      </c>
      <c r="G29" s="224" t="n"/>
      <c r="H29" s="617" t="n"/>
      <c r="I29" s="617" t="n">
        <v>16096</v>
      </c>
      <c r="J29" s="221" t="inlineStr">
        <is>
          <t>អនុញ្ញាត (បានប្រកាស)</t>
        </is>
      </c>
      <c r="K29" s="221" t="n"/>
      <c r="L29" s="616">
        <f>I29</f>
        <v/>
      </c>
      <c r="M29" s="588">
        <f>I29-L29</f>
        <v/>
      </c>
      <c r="N29" s="221" t="n"/>
      <c r="O29" s="226">
        <f>U29=E29</f>
        <v/>
      </c>
      <c r="P29" s="226">
        <f>MONTH(F29)-MONTH(T29)</f>
        <v/>
      </c>
      <c r="Q29" s="226">
        <f>$B$5=X29</f>
        <v/>
      </c>
      <c r="R29" s="226">
        <f>I29-AD29</f>
        <v/>
      </c>
      <c r="S29" s="360" t="n"/>
      <c r="T29" s="361" t="n">
        <v>45623</v>
      </c>
      <c r="U29" s="360" t="inlineStr">
        <is>
          <t>TI-0298481</t>
        </is>
      </c>
      <c r="V29" s="360" t="n">
        <v>0</v>
      </c>
      <c r="W29" s="360" t="inlineStr">
        <is>
          <t>បុគ្គលជាប់អាករ</t>
        </is>
      </c>
      <c r="X29" s="360" t="inlineStr">
        <is>
          <t>L001-901640009</t>
        </is>
      </c>
      <c r="Y29" s="360" t="inlineStr">
        <is>
          <t>ហូលីដេ ឌីហ្សាញ (ខេមបូឌា) ឯ.ក</t>
        </is>
      </c>
      <c r="Z29" s="362" t="n">
        <v>177056</v>
      </c>
      <c r="AA29" s="362" t="n">
        <v>160960</v>
      </c>
      <c r="AB29" s="360" t="n">
        <v>0</v>
      </c>
      <c r="AC29" s="360" t="inlineStr">
        <is>
          <t>-</t>
        </is>
      </c>
      <c r="AD29" s="362" t="n">
        <v>16096</v>
      </c>
      <c r="AE29" s="360" t="n">
        <v>0</v>
      </c>
      <c r="AF29" s="615" t="n">
        <v>0</v>
      </c>
      <c r="AG29" s="203" t="n">
        <v>0</v>
      </c>
      <c r="AH29" s="203" t="n">
        <v>0</v>
      </c>
      <c r="AI29" s="203" t="n">
        <v>0</v>
      </c>
      <c r="AJ29" s="203" t="n">
        <v>0</v>
      </c>
      <c r="AK29" s="203" t="n">
        <v>0</v>
      </c>
      <c r="AL29" s="203" t="n">
        <v>0.01</v>
      </c>
      <c r="AM29" s="203" t="n">
        <v>0</v>
      </c>
      <c r="AN29" s="203" t="inlineStr">
        <is>
          <t>Local Charge</t>
        </is>
      </c>
    </row>
    <row r="30">
      <c r="A30" s="220">
        <f>A29+1</f>
        <v/>
      </c>
      <c r="B30" s="222" t="inlineStr">
        <is>
          <t>Detention Fee</t>
        </is>
      </c>
      <c r="C30" s="222" t="inlineStr">
        <is>
          <t>EXPEDITORS CAMBODIA LTD.</t>
        </is>
      </c>
      <c r="D30" s="223" t="inlineStr">
        <is>
          <t>L001-100045898</t>
        </is>
      </c>
      <c r="E30" s="349" t="inlineStr">
        <is>
          <t>TI-0298472</t>
        </is>
      </c>
      <c r="F30" s="332" t="n">
        <v>45623</v>
      </c>
      <c r="G30" s="224" t="n"/>
      <c r="H30" s="617" t="n"/>
      <c r="I30" s="617" t="n">
        <v>8048</v>
      </c>
      <c r="J30" s="221" t="inlineStr">
        <is>
          <t>អនុញ្ញាត (បានប្រកាស)</t>
        </is>
      </c>
      <c r="K30" s="221" t="n"/>
      <c r="L30" s="616">
        <f>I30</f>
        <v/>
      </c>
      <c r="M30" s="588">
        <f>I30-L30</f>
        <v/>
      </c>
      <c r="N30" s="221" t="n"/>
      <c r="O30" s="226">
        <f>U30=E30</f>
        <v/>
      </c>
      <c r="P30" s="226">
        <f>MONTH(F30)-MONTH(T30)</f>
        <v/>
      </c>
      <c r="Q30" s="226">
        <f>$B$5=X30</f>
        <v/>
      </c>
      <c r="R30" s="226">
        <f>I30-AD30</f>
        <v/>
      </c>
      <c r="S30" s="360" t="n"/>
      <c r="T30" s="361" t="n">
        <v>45623</v>
      </c>
      <c r="U30" s="360" t="inlineStr">
        <is>
          <t>TI-0298472</t>
        </is>
      </c>
      <c r="V30" s="360" t="n">
        <v>0</v>
      </c>
      <c r="W30" s="360" t="inlineStr">
        <is>
          <t>បុគ្គលជាប់អាករ</t>
        </is>
      </c>
      <c r="X30" s="360" t="inlineStr">
        <is>
          <t>L001-901640009</t>
        </is>
      </c>
      <c r="Y30" s="360" t="inlineStr">
        <is>
          <t>ហូលីដេ ឌីហ្សាញ (ខេមបូឌា) ឯ.ក</t>
        </is>
      </c>
      <c r="Z30" s="362" t="n">
        <v>88528</v>
      </c>
      <c r="AA30" s="362" t="n">
        <v>80480</v>
      </c>
      <c r="AB30" s="360" t="n">
        <v>0</v>
      </c>
      <c r="AC30" s="360" t="inlineStr">
        <is>
          <t>-</t>
        </is>
      </c>
      <c r="AD30" s="362" t="n">
        <v>8048</v>
      </c>
      <c r="AE30" s="360" t="n">
        <v>0</v>
      </c>
      <c r="AF30" s="615" t="n">
        <v>0</v>
      </c>
      <c r="AG30" s="203" t="n">
        <v>0</v>
      </c>
      <c r="AH30" s="203" t="n">
        <v>0</v>
      </c>
      <c r="AI30" s="203" t="n">
        <v>0</v>
      </c>
      <c r="AJ30" s="203" t="n">
        <v>0</v>
      </c>
      <c r="AK30" s="203" t="n">
        <v>0</v>
      </c>
      <c r="AL30" s="203" t="n">
        <v>0.01</v>
      </c>
      <c r="AM30" s="203" t="n">
        <v>0</v>
      </c>
      <c r="AN30" s="203" t="inlineStr">
        <is>
          <t>Local Charge</t>
        </is>
      </c>
    </row>
    <row r="31">
      <c r="A31" s="220">
        <f>A30+1</f>
        <v/>
      </c>
      <c r="B31" s="222" t="inlineStr">
        <is>
          <t>Terminal Handling</t>
        </is>
      </c>
      <c r="C31" s="222" t="inlineStr">
        <is>
          <t>EXPEDITORS CAMBODIA LTD.</t>
        </is>
      </c>
      <c r="D31" s="223" t="inlineStr">
        <is>
          <t>L001-100045898</t>
        </is>
      </c>
      <c r="E31" s="349" t="inlineStr">
        <is>
          <t>TI-0296235</t>
        </is>
      </c>
      <c r="F31" s="332" t="n">
        <v>45607</v>
      </c>
      <c r="G31" s="224" t="n"/>
      <c r="H31" s="617" t="n"/>
      <c r="I31" s="617" t="n">
        <v>6089</v>
      </c>
      <c r="J31" s="221" t="inlineStr">
        <is>
          <t>អនុញ្ញាត (បានប្រកាស)</t>
        </is>
      </c>
      <c r="K31" s="221" t="n"/>
      <c r="L31" s="616">
        <f>I31</f>
        <v/>
      </c>
      <c r="M31" s="588">
        <f>I31-L31</f>
        <v/>
      </c>
      <c r="N31" s="221" t="n"/>
      <c r="O31" s="226">
        <f>U31=E31</f>
        <v/>
      </c>
      <c r="P31" s="226">
        <f>MONTH(F31)-MONTH(T31)</f>
        <v/>
      </c>
      <c r="Q31" s="226">
        <f>$B$5=X31</f>
        <v/>
      </c>
      <c r="R31" s="226">
        <f>I31-AD31</f>
        <v/>
      </c>
      <c r="S31" s="360" t="n"/>
      <c r="T31" s="361" t="n">
        <v>45607</v>
      </c>
      <c r="U31" s="360" t="inlineStr">
        <is>
          <t>TI-0296235</t>
        </is>
      </c>
      <c r="V31" s="360" t="n">
        <v>0</v>
      </c>
      <c r="W31" s="360" t="inlineStr">
        <is>
          <t>បុគ្គលជាប់អាករ</t>
        </is>
      </c>
      <c r="X31" s="360" t="inlineStr">
        <is>
          <t>L001-901640009</t>
        </is>
      </c>
      <c r="Y31" s="360" t="inlineStr">
        <is>
          <t>ហូលីដេ ឌីហ្សាញ (ខេមបូឌា) ឯ.ក</t>
        </is>
      </c>
      <c r="Z31" s="362" t="n">
        <v>66974</v>
      </c>
      <c r="AA31" s="362" t="n">
        <v>60885</v>
      </c>
      <c r="AB31" s="360" t="n">
        <v>0</v>
      </c>
      <c r="AC31" s="360" t="inlineStr">
        <is>
          <t>-</t>
        </is>
      </c>
      <c r="AD31" s="362" t="n">
        <v>6089</v>
      </c>
      <c r="AE31" s="360" t="n">
        <v>0</v>
      </c>
      <c r="AF31" s="615" t="n">
        <v>0</v>
      </c>
      <c r="AG31" s="203" t="n">
        <v>0</v>
      </c>
      <c r="AH31" s="203" t="n">
        <v>0</v>
      </c>
      <c r="AI31" s="203" t="n">
        <v>0</v>
      </c>
      <c r="AJ31" s="203" t="n">
        <v>0</v>
      </c>
      <c r="AK31" s="203" t="n">
        <v>0</v>
      </c>
      <c r="AL31" s="203" t="n">
        <v>0.01</v>
      </c>
      <c r="AM31" s="203" t="n">
        <v>0</v>
      </c>
      <c r="AN31" s="203" t="inlineStr">
        <is>
          <t>Local Charge</t>
        </is>
      </c>
    </row>
    <row r="32">
      <c r="A32" s="220">
        <f>A31+1</f>
        <v/>
      </c>
      <c r="B32" s="222" t="inlineStr">
        <is>
          <t>Terminal Handling</t>
        </is>
      </c>
      <c r="C32" s="222" t="inlineStr">
        <is>
          <t>EXPEDITORS CAMBODIA LTD.</t>
        </is>
      </c>
      <c r="D32" s="223" t="inlineStr">
        <is>
          <t>L001-100045898</t>
        </is>
      </c>
      <c r="E32" s="349" t="inlineStr">
        <is>
          <t>TI-0295873</t>
        </is>
      </c>
      <c r="F32" s="332" t="n">
        <v>45602</v>
      </c>
      <c r="G32" s="224" t="n"/>
      <c r="H32" s="617" t="n"/>
      <c r="I32" s="617" t="n">
        <v>4064</v>
      </c>
      <c r="J32" s="221" t="inlineStr">
        <is>
          <t>អនុញ្ញាត (បានប្រកាស)</t>
        </is>
      </c>
      <c r="K32" s="221" t="n"/>
      <c r="L32" s="616">
        <f>I32</f>
        <v/>
      </c>
      <c r="M32" s="588">
        <f>I32-L32</f>
        <v/>
      </c>
      <c r="N32" s="221" t="n"/>
      <c r="O32" s="226">
        <f>U32=E32</f>
        <v/>
      </c>
      <c r="P32" s="226">
        <f>MONTH(F32)-MONTH(T32)</f>
        <v/>
      </c>
      <c r="Q32" s="226">
        <f>$B$5=X32</f>
        <v/>
      </c>
      <c r="R32" s="226">
        <f>I32-AD32</f>
        <v/>
      </c>
      <c r="S32" s="360" t="n"/>
      <c r="T32" s="361" t="n">
        <v>45602</v>
      </c>
      <c r="U32" s="360" t="inlineStr">
        <is>
          <t>TI-0295873</t>
        </is>
      </c>
      <c r="V32" s="360" t="n">
        <v>0</v>
      </c>
      <c r="W32" s="360" t="inlineStr">
        <is>
          <t>បុគ្គលជាប់អាករ</t>
        </is>
      </c>
      <c r="X32" s="360" t="inlineStr">
        <is>
          <t>L001-901640009</t>
        </is>
      </c>
      <c r="Y32" s="360" t="inlineStr">
        <is>
          <t>ហូលីដេ ឌីហ្សាញ (ខេមបូឌា) ឯ.ក</t>
        </is>
      </c>
      <c r="Z32" s="362" t="n">
        <v>44704</v>
      </c>
      <c r="AA32" s="362" t="n">
        <v>40640</v>
      </c>
      <c r="AB32" s="360" t="n">
        <v>0</v>
      </c>
      <c r="AC32" s="360" t="inlineStr">
        <is>
          <t>-</t>
        </is>
      </c>
      <c r="AD32" s="362" t="n">
        <v>4064</v>
      </c>
      <c r="AE32" s="360" t="n">
        <v>0</v>
      </c>
      <c r="AF32" s="615" t="n">
        <v>0</v>
      </c>
      <c r="AG32" s="203" t="n">
        <v>0</v>
      </c>
      <c r="AH32" s="203" t="n">
        <v>0</v>
      </c>
      <c r="AI32" s="203" t="n">
        <v>0</v>
      </c>
      <c r="AJ32" s="203" t="n">
        <v>0</v>
      </c>
      <c r="AK32" s="203" t="n">
        <v>0</v>
      </c>
      <c r="AL32" s="203" t="n">
        <v>0.01</v>
      </c>
      <c r="AM32" s="203" t="n">
        <v>0</v>
      </c>
      <c r="AN32" s="203" t="inlineStr">
        <is>
          <t>Local Charge</t>
        </is>
      </c>
    </row>
    <row r="33">
      <c r="A33" s="220">
        <f>A32+1</f>
        <v/>
      </c>
      <c r="B33" s="222" t="inlineStr">
        <is>
          <t>Terminal Handling</t>
        </is>
      </c>
      <c r="C33" s="222" t="inlineStr">
        <is>
          <t>EXPEDITORS CAMBODIA LTD.</t>
        </is>
      </c>
      <c r="D33" s="223" t="inlineStr">
        <is>
          <t>L001-100045898</t>
        </is>
      </c>
      <c r="E33" s="349" t="inlineStr">
        <is>
          <t>TI-0295880</t>
        </is>
      </c>
      <c r="F33" s="332" t="n">
        <v>45602</v>
      </c>
      <c r="G33" s="224" t="n"/>
      <c r="H33" s="617" t="n"/>
      <c r="I33" s="617" t="n">
        <v>6096</v>
      </c>
      <c r="J33" s="221" t="inlineStr">
        <is>
          <t>អនុញ្ញាត (បានប្រកាស)</t>
        </is>
      </c>
      <c r="K33" s="221" t="n"/>
      <c r="L33" s="616">
        <f>I33</f>
        <v/>
      </c>
      <c r="M33" s="588">
        <f>I33-L33</f>
        <v/>
      </c>
      <c r="N33" s="221" t="n"/>
      <c r="O33" s="226">
        <f>U33=E33</f>
        <v/>
      </c>
      <c r="P33" s="226">
        <f>MONTH(F33)-MONTH(T33)</f>
        <v/>
      </c>
      <c r="Q33" s="226">
        <f>$B$5=X33</f>
        <v/>
      </c>
      <c r="R33" s="226">
        <f>I33-AD33</f>
        <v/>
      </c>
      <c r="S33" s="360" t="n"/>
      <c r="T33" s="361" t="n">
        <v>45602</v>
      </c>
      <c r="U33" s="360" t="inlineStr">
        <is>
          <t>TI-0295880</t>
        </is>
      </c>
      <c r="V33" s="360" t="n">
        <v>0</v>
      </c>
      <c r="W33" s="360" t="inlineStr">
        <is>
          <t>បុគ្គលជាប់អាករ</t>
        </is>
      </c>
      <c r="X33" s="360" t="inlineStr">
        <is>
          <t>L001-901640009</t>
        </is>
      </c>
      <c r="Y33" s="360" t="inlineStr">
        <is>
          <t>ហូលីដេ ឌីហ្សាញ (ខេមបូឌា) ឯ.ក</t>
        </is>
      </c>
      <c r="Z33" s="362" t="n">
        <v>67056</v>
      </c>
      <c r="AA33" s="362" t="n">
        <v>60960</v>
      </c>
      <c r="AB33" s="360" t="n">
        <v>0</v>
      </c>
      <c r="AC33" s="360" t="inlineStr">
        <is>
          <t>-</t>
        </is>
      </c>
      <c r="AD33" s="362" t="n">
        <v>6096</v>
      </c>
      <c r="AE33" s="360" t="n">
        <v>0</v>
      </c>
      <c r="AF33" s="615" t="n">
        <v>0</v>
      </c>
      <c r="AG33" s="203" t="n">
        <v>0</v>
      </c>
      <c r="AH33" s="203" t="n">
        <v>0</v>
      </c>
      <c r="AI33" s="203" t="n">
        <v>0</v>
      </c>
      <c r="AJ33" s="203" t="n">
        <v>0</v>
      </c>
      <c r="AK33" s="203" t="n">
        <v>0</v>
      </c>
      <c r="AL33" s="203" t="n">
        <v>0.01</v>
      </c>
      <c r="AM33" s="203" t="n">
        <v>0</v>
      </c>
      <c r="AN33" s="203" t="inlineStr">
        <is>
          <t>Local Charge</t>
        </is>
      </c>
    </row>
    <row r="34">
      <c r="A34" s="220">
        <f>A33+1</f>
        <v/>
      </c>
      <c r="B34" s="222" t="inlineStr">
        <is>
          <t>Terminal Handling</t>
        </is>
      </c>
      <c r="C34" s="222" t="inlineStr">
        <is>
          <t>EXPEDITORS CAMBODIA LTD.</t>
        </is>
      </c>
      <c r="D34" s="223" t="inlineStr">
        <is>
          <t>L001-100045898</t>
        </is>
      </c>
      <c r="E34" s="349" t="inlineStr">
        <is>
          <t>TI-0295882</t>
        </is>
      </c>
      <c r="F34" s="332" t="n">
        <v>45602</v>
      </c>
      <c r="G34" s="224" t="n"/>
      <c r="H34" s="617" t="n"/>
      <c r="I34" s="617" t="n">
        <v>8128</v>
      </c>
      <c r="J34" s="221" t="inlineStr">
        <is>
          <t>អនុញ្ញាត (បានប្រកាស)</t>
        </is>
      </c>
      <c r="K34" s="221" t="n"/>
      <c r="L34" s="616">
        <f>I34</f>
        <v/>
      </c>
      <c r="M34" s="588">
        <f>I34-L34</f>
        <v/>
      </c>
      <c r="N34" s="221" t="n"/>
      <c r="O34" s="226">
        <f>U34=E34</f>
        <v/>
      </c>
      <c r="P34" s="226">
        <f>MONTH(F34)-MONTH(T34)</f>
        <v/>
      </c>
      <c r="Q34" s="226">
        <f>$B$5=X34</f>
        <v/>
      </c>
      <c r="R34" s="226">
        <f>I34-AD34</f>
        <v/>
      </c>
      <c r="S34" s="360" t="n"/>
      <c r="T34" s="361" t="n">
        <v>45602</v>
      </c>
      <c r="U34" s="360" t="inlineStr">
        <is>
          <t>TI-0295882</t>
        </is>
      </c>
      <c r="V34" s="360" t="n">
        <v>0</v>
      </c>
      <c r="W34" s="360" t="inlineStr">
        <is>
          <t>បុគ្គលជាប់អាករ</t>
        </is>
      </c>
      <c r="X34" s="360" t="inlineStr">
        <is>
          <t>L001-901640009</t>
        </is>
      </c>
      <c r="Y34" s="360" t="inlineStr">
        <is>
          <t>ហូលីដេ ឌីហ្សាញ (ខេមបូឌា) ឯ.ក</t>
        </is>
      </c>
      <c r="Z34" s="362" t="n">
        <v>89408</v>
      </c>
      <c r="AA34" s="362" t="n">
        <v>81280</v>
      </c>
      <c r="AB34" s="360" t="n">
        <v>0</v>
      </c>
      <c r="AC34" s="360" t="inlineStr">
        <is>
          <t>-</t>
        </is>
      </c>
      <c r="AD34" s="362" t="n">
        <v>8128</v>
      </c>
      <c r="AE34" s="360" t="n">
        <v>0</v>
      </c>
      <c r="AF34" s="615" t="n">
        <v>0</v>
      </c>
      <c r="AG34" s="203" t="n">
        <v>0</v>
      </c>
      <c r="AH34" s="203" t="n">
        <v>0</v>
      </c>
      <c r="AI34" s="203" t="n">
        <v>0</v>
      </c>
      <c r="AJ34" s="203" t="n">
        <v>0</v>
      </c>
      <c r="AK34" s="203" t="n">
        <v>0</v>
      </c>
      <c r="AL34" s="203" t="n">
        <v>0.01</v>
      </c>
      <c r="AM34" s="203" t="n">
        <v>0</v>
      </c>
      <c r="AN34" s="203" t="inlineStr">
        <is>
          <t>Local Charge</t>
        </is>
      </c>
    </row>
    <row r="35">
      <c r="A35" s="220">
        <f>A34+1</f>
        <v/>
      </c>
      <c r="B35" s="222" t="inlineStr">
        <is>
          <t>Terminal Handling</t>
        </is>
      </c>
      <c r="C35" s="222" t="inlineStr">
        <is>
          <t>EXPEDITORS CAMBODIA LTD.</t>
        </is>
      </c>
      <c r="D35" s="223" t="inlineStr">
        <is>
          <t>L001-100045898</t>
        </is>
      </c>
      <c r="E35" s="349" t="inlineStr">
        <is>
          <t>TI-0295883</t>
        </is>
      </c>
      <c r="F35" s="332" t="n">
        <v>45602</v>
      </c>
      <c r="G35" s="224" t="n"/>
      <c r="H35" s="617" t="n"/>
      <c r="I35" s="617" t="n">
        <v>6096</v>
      </c>
      <c r="J35" s="221" t="inlineStr">
        <is>
          <t>អនុញ្ញាត (បានប្រកាស)</t>
        </is>
      </c>
      <c r="K35" s="221" t="n"/>
      <c r="L35" s="616">
        <f>I35</f>
        <v/>
      </c>
      <c r="M35" s="588">
        <f>I35-L35</f>
        <v/>
      </c>
      <c r="N35" s="221" t="n"/>
      <c r="O35" s="226">
        <f>U35=E35</f>
        <v/>
      </c>
      <c r="P35" s="226">
        <f>MONTH(F35)-MONTH(T35)</f>
        <v/>
      </c>
      <c r="Q35" s="226">
        <f>$B$5=X35</f>
        <v/>
      </c>
      <c r="R35" s="226">
        <f>I35-AD35</f>
        <v/>
      </c>
      <c r="S35" s="360" t="n"/>
      <c r="T35" s="361" t="n">
        <v>45602</v>
      </c>
      <c r="U35" s="360" t="inlineStr">
        <is>
          <t>TI-0295883</t>
        </is>
      </c>
      <c r="V35" s="360" t="n">
        <v>0</v>
      </c>
      <c r="W35" s="360" t="inlineStr">
        <is>
          <t>បុគ្គលជាប់អាករ</t>
        </is>
      </c>
      <c r="X35" s="360" t="inlineStr">
        <is>
          <t>L001-901640009</t>
        </is>
      </c>
      <c r="Y35" s="360" t="inlineStr">
        <is>
          <t>ហូលីដេ ឌីហ្សាញ (ខេមបូឌា) ឯ.ក</t>
        </is>
      </c>
      <c r="Z35" s="362" t="n">
        <v>67056</v>
      </c>
      <c r="AA35" s="362" t="n">
        <v>60960</v>
      </c>
      <c r="AB35" s="360" t="n">
        <v>0</v>
      </c>
      <c r="AC35" s="360" t="inlineStr">
        <is>
          <t>-</t>
        </is>
      </c>
      <c r="AD35" s="362" t="n">
        <v>6096</v>
      </c>
      <c r="AE35" s="360" t="n">
        <v>0</v>
      </c>
      <c r="AF35" s="615" t="n">
        <v>0</v>
      </c>
      <c r="AG35" s="203" t="n">
        <v>0</v>
      </c>
      <c r="AH35" s="203" t="n">
        <v>0</v>
      </c>
      <c r="AI35" s="203" t="n">
        <v>0</v>
      </c>
      <c r="AJ35" s="203" t="n">
        <v>0</v>
      </c>
      <c r="AK35" s="203" t="n">
        <v>0</v>
      </c>
      <c r="AL35" s="203" t="n">
        <v>0.01</v>
      </c>
      <c r="AM35" s="203" t="n">
        <v>0</v>
      </c>
      <c r="AN35" s="203" t="inlineStr">
        <is>
          <t>Local Charge</t>
        </is>
      </c>
    </row>
    <row r="36">
      <c r="A36" s="220">
        <f>A35+1</f>
        <v/>
      </c>
      <c r="B36" s="222" t="inlineStr">
        <is>
          <t>Terminal Handling</t>
        </is>
      </c>
      <c r="C36" s="222" t="inlineStr">
        <is>
          <t>EXPEDITORS CAMBODIA LTD.</t>
        </is>
      </c>
      <c r="D36" s="223" t="inlineStr">
        <is>
          <t>L001-100045898</t>
        </is>
      </c>
      <c r="E36" s="349" t="inlineStr">
        <is>
          <t>TI-0295884</t>
        </is>
      </c>
      <c r="F36" s="332" t="n">
        <v>45602</v>
      </c>
      <c r="G36" s="224" t="n"/>
      <c r="H36" s="617" t="n"/>
      <c r="I36" s="617" t="n">
        <v>2032</v>
      </c>
      <c r="J36" s="221" t="inlineStr">
        <is>
          <t>អនុញ្ញាត (បានប្រកាស)</t>
        </is>
      </c>
      <c r="K36" s="221" t="n"/>
      <c r="L36" s="616">
        <f>I36</f>
        <v/>
      </c>
      <c r="M36" s="588">
        <f>I36-L36</f>
        <v/>
      </c>
      <c r="N36" s="221" t="n"/>
      <c r="O36" s="226">
        <f>U36=E36</f>
        <v/>
      </c>
      <c r="P36" s="226">
        <f>MONTH(F36)-MONTH(T36)</f>
        <v/>
      </c>
      <c r="Q36" s="226">
        <f>$B$5=X36</f>
        <v/>
      </c>
      <c r="R36" s="226">
        <f>I36-AD36</f>
        <v/>
      </c>
      <c r="S36" s="360" t="n"/>
      <c r="T36" s="361" t="n">
        <v>45602</v>
      </c>
      <c r="U36" s="360" t="inlineStr">
        <is>
          <t>TI-0295884</t>
        </is>
      </c>
      <c r="V36" s="360" t="n">
        <v>0</v>
      </c>
      <c r="W36" s="360" t="inlineStr">
        <is>
          <t>បុគ្គលជាប់អាករ</t>
        </is>
      </c>
      <c r="X36" s="360" t="inlineStr">
        <is>
          <t>L001-901640009</t>
        </is>
      </c>
      <c r="Y36" s="360" t="inlineStr">
        <is>
          <t>ហូលីដេ ឌីហ្សាញ (ខេមបូឌា) ឯ.ក</t>
        </is>
      </c>
      <c r="Z36" s="362" t="n">
        <v>22352</v>
      </c>
      <c r="AA36" s="362" t="n">
        <v>20320</v>
      </c>
      <c r="AB36" s="360" t="n">
        <v>0</v>
      </c>
      <c r="AC36" s="360" t="inlineStr">
        <is>
          <t>-</t>
        </is>
      </c>
      <c r="AD36" s="362" t="n">
        <v>2032</v>
      </c>
      <c r="AE36" s="360" t="n">
        <v>0</v>
      </c>
      <c r="AF36" s="615" t="n">
        <v>0</v>
      </c>
      <c r="AG36" s="203" t="n">
        <v>0</v>
      </c>
      <c r="AH36" s="203" t="n">
        <v>0</v>
      </c>
      <c r="AI36" s="203" t="n">
        <v>0</v>
      </c>
      <c r="AJ36" s="203" t="n">
        <v>0</v>
      </c>
      <c r="AK36" s="203" t="n">
        <v>0</v>
      </c>
      <c r="AL36" s="203" t="n">
        <v>0.01</v>
      </c>
      <c r="AM36" s="203" t="n">
        <v>0</v>
      </c>
      <c r="AN36" s="203" t="inlineStr">
        <is>
          <t>Local Charge</t>
        </is>
      </c>
    </row>
    <row r="37">
      <c r="A37" s="220">
        <f>A36+1</f>
        <v/>
      </c>
      <c r="B37" s="222" t="inlineStr">
        <is>
          <t>Terminal Handling</t>
        </is>
      </c>
      <c r="C37" s="222" t="inlineStr">
        <is>
          <t>EXPEDITORS CAMBODIA LTD.</t>
        </is>
      </c>
      <c r="D37" s="223" t="inlineStr">
        <is>
          <t>L001-100045898</t>
        </is>
      </c>
      <c r="E37" s="349" t="inlineStr">
        <is>
          <t>TI-0295886</t>
        </is>
      </c>
      <c r="F37" s="332" t="n">
        <v>45602</v>
      </c>
      <c r="G37" s="224" t="n"/>
      <c r="H37" s="617" t="n"/>
      <c r="I37" s="617" t="n">
        <v>2032</v>
      </c>
      <c r="J37" s="221" t="inlineStr">
        <is>
          <t>អនុញ្ញាត (បានប្រកាស)</t>
        </is>
      </c>
      <c r="K37" s="221" t="n"/>
      <c r="L37" s="616">
        <f>I37</f>
        <v/>
      </c>
      <c r="M37" s="588">
        <f>I37-L37</f>
        <v/>
      </c>
      <c r="N37" s="221" t="n"/>
      <c r="O37" s="226">
        <f>U37=E37</f>
        <v/>
      </c>
      <c r="P37" s="226">
        <f>MONTH(F37)-MONTH(T37)</f>
        <v/>
      </c>
      <c r="Q37" s="226">
        <f>$B$5=X37</f>
        <v/>
      </c>
      <c r="R37" s="226">
        <f>I37-AD37</f>
        <v/>
      </c>
      <c r="S37" s="360" t="n"/>
      <c r="T37" s="361" t="n">
        <v>45602</v>
      </c>
      <c r="U37" s="360" t="inlineStr">
        <is>
          <t>TI-0295886</t>
        </is>
      </c>
      <c r="V37" s="360" t="n">
        <v>0</v>
      </c>
      <c r="W37" s="360" t="inlineStr">
        <is>
          <t>បុគ្គលជាប់អាករ</t>
        </is>
      </c>
      <c r="X37" s="360" t="inlineStr">
        <is>
          <t>L001-901640009</t>
        </is>
      </c>
      <c r="Y37" s="360" t="inlineStr">
        <is>
          <t>ហូលីដេ ឌីហ្សាញ (ខេមបូឌា) ឯ.ក</t>
        </is>
      </c>
      <c r="Z37" s="362" t="n">
        <v>22352</v>
      </c>
      <c r="AA37" s="362" t="n">
        <v>20320</v>
      </c>
      <c r="AB37" s="360" t="n">
        <v>0</v>
      </c>
      <c r="AC37" s="360" t="inlineStr">
        <is>
          <t>-</t>
        </is>
      </c>
      <c r="AD37" s="362" t="n">
        <v>2032</v>
      </c>
      <c r="AE37" s="360" t="n">
        <v>0</v>
      </c>
      <c r="AF37" s="615" t="n">
        <v>0</v>
      </c>
      <c r="AG37" s="203" t="n">
        <v>0</v>
      </c>
      <c r="AH37" s="203" t="n">
        <v>0</v>
      </c>
      <c r="AI37" s="203" t="n">
        <v>0</v>
      </c>
      <c r="AJ37" s="203" t="n">
        <v>0</v>
      </c>
      <c r="AK37" s="203" t="n">
        <v>0</v>
      </c>
      <c r="AL37" s="203" t="n">
        <v>0.01</v>
      </c>
      <c r="AM37" s="203" t="n">
        <v>0</v>
      </c>
      <c r="AN37" s="203" t="inlineStr">
        <is>
          <t>Local Charge</t>
        </is>
      </c>
    </row>
    <row r="38">
      <c r="A38" s="220">
        <f>A37+1</f>
        <v/>
      </c>
      <c r="B38" s="222" t="inlineStr">
        <is>
          <t>Terminal Handling</t>
        </is>
      </c>
      <c r="C38" s="222" t="inlineStr">
        <is>
          <t>EXPEDITORS CAMBODIA LTD.</t>
        </is>
      </c>
      <c r="D38" s="223" t="inlineStr">
        <is>
          <t>L001-100045898</t>
        </is>
      </c>
      <c r="E38" s="349" t="inlineStr">
        <is>
          <t>TI-0295887</t>
        </is>
      </c>
      <c r="F38" s="332" t="n">
        <v>45602</v>
      </c>
      <c r="G38" s="224" t="n"/>
      <c r="H38" s="617" t="n"/>
      <c r="I38" s="617" t="n">
        <v>8128</v>
      </c>
      <c r="J38" s="221" t="inlineStr">
        <is>
          <t>អនុញ្ញាត (បានប្រកាស)</t>
        </is>
      </c>
      <c r="K38" s="221" t="n"/>
      <c r="L38" s="616">
        <f>I38</f>
        <v/>
      </c>
      <c r="M38" s="588">
        <f>I38-L38</f>
        <v/>
      </c>
      <c r="N38" s="221" t="n"/>
      <c r="O38" s="226">
        <f>U38=E38</f>
        <v/>
      </c>
      <c r="P38" s="226">
        <f>MONTH(F38)-MONTH(T38)</f>
        <v/>
      </c>
      <c r="Q38" s="226">
        <f>$B$5=X38</f>
        <v/>
      </c>
      <c r="R38" s="226">
        <f>I38-AD38</f>
        <v/>
      </c>
      <c r="S38" s="360" t="n"/>
      <c r="T38" s="361" t="n">
        <v>45602</v>
      </c>
      <c r="U38" s="360" t="inlineStr">
        <is>
          <t>TI-0295887</t>
        </is>
      </c>
      <c r="V38" s="360" t="n">
        <v>0</v>
      </c>
      <c r="W38" s="360" t="inlineStr">
        <is>
          <t>បុគ្គលជាប់អាករ</t>
        </is>
      </c>
      <c r="X38" s="360" t="inlineStr">
        <is>
          <t>L001-901640009</t>
        </is>
      </c>
      <c r="Y38" s="360" t="inlineStr">
        <is>
          <t>ហូលីដេ ឌីហ្សាញ (ខេមបូឌា) ឯ.ក</t>
        </is>
      </c>
      <c r="Z38" s="362" t="n">
        <v>89408</v>
      </c>
      <c r="AA38" s="362" t="n">
        <v>81280</v>
      </c>
      <c r="AB38" s="360" t="n">
        <v>0</v>
      </c>
      <c r="AC38" s="360" t="inlineStr">
        <is>
          <t>-</t>
        </is>
      </c>
      <c r="AD38" s="362" t="n">
        <v>8128</v>
      </c>
      <c r="AE38" s="360" t="n">
        <v>0</v>
      </c>
      <c r="AF38" s="615" t="n">
        <v>0</v>
      </c>
      <c r="AG38" s="203" t="n">
        <v>0</v>
      </c>
      <c r="AH38" s="203" t="n">
        <v>0</v>
      </c>
      <c r="AI38" s="203" t="n">
        <v>0</v>
      </c>
      <c r="AJ38" s="203" t="n">
        <v>0</v>
      </c>
      <c r="AK38" s="203" t="n">
        <v>0</v>
      </c>
      <c r="AL38" s="203" t="n">
        <v>0.01</v>
      </c>
      <c r="AM38" s="203" t="n">
        <v>0</v>
      </c>
      <c r="AN38" s="203" t="inlineStr">
        <is>
          <t>Local Charge</t>
        </is>
      </c>
    </row>
    <row r="39">
      <c r="A39" s="220">
        <f>A38+1</f>
        <v/>
      </c>
      <c r="B39" s="222" t="inlineStr">
        <is>
          <t>Terminal Handling</t>
        </is>
      </c>
      <c r="C39" s="222" t="inlineStr">
        <is>
          <t>EXPEDITORS CAMBODIA LTD.</t>
        </is>
      </c>
      <c r="D39" s="223" t="inlineStr">
        <is>
          <t>L001-100045898</t>
        </is>
      </c>
      <c r="E39" s="349" t="inlineStr">
        <is>
          <t>TI-0295888</t>
        </is>
      </c>
      <c r="F39" s="332" t="n">
        <v>45602</v>
      </c>
      <c r="G39" s="224" t="n"/>
      <c r="H39" s="617" t="n"/>
      <c r="I39" s="617" t="n">
        <v>2032</v>
      </c>
      <c r="J39" s="221" t="inlineStr">
        <is>
          <t>អនុញ្ញាត (បានប្រកាស)</t>
        </is>
      </c>
      <c r="K39" s="221" t="n"/>
      <c r="L39" s="616">
        <f>I39</f>
        <v/>
      </c>
      <c r="M39" s="588">
        <f>I39-L39</f>
        <v/>
      </c>
      <c r="N39" s="221" t="n"/>
      <c r="O39" s="226">
        <f>U39=E39</f>
        <v/>
      </c>
      <c r="P39" s="226">
        <f>MONTH(F39)-MONTH(T39)</f>
        <v/>
      </c>
      <c r="Q39" s="226">
        <f>$B$5=X39</f>
        <v/>
      </c>
      <c r="R39" s="226">
        <f>I39-AD39</f>
        <v/>
      </c>
      <c r="S39" s="360" t="n"/>
      <c r="T39" s="361" t="n">
        <v>45602</v>
      </c>
      <c r="U39" s="360" t="inlineStr">
        <is>
          <t>TI-0295888</t>
        </is>
      </c>
      <c r="V39" s="360" t="n">
        <v>0</v>
      </c>
      <c r="W39" s="360" t="inlineStr">
        <is>
          <t>បុគ្គលជាប់អាករ</t>
        </is>
      </c>
      <c r="X39" s="360" t="inlineStr">
        <is>
          <t>L001-901640009</t>
        </is>
      </c>
      <c r="Y39" s="360" t="inlineStr">
        <is>
          <t>ហូលីដេ ឌីហ្សាញ (ខេមបូឌា) ឯ.ក</t>
        </is>
      </c>
      <c r="Z39" s="362" t="n">
        <v>22352</v>
      </c>
      <c r="AA39" s="362" t="n">
        <v>20320</v>
      </c>
      <c r="AB39" s="360" t="n">
        <v>0</v>
      </c>
      <c r="AC39" s="360" t="inlineStr">
        <is>
          <t>-</t>
        </is>
      </c>
      <c r="AD39" s="362" t="n">
        <v>2032</v>
      </c>
      <c r="AE39" s="360" t="n">
        <v>0</v>
      </c>
      <c r="AF39" s="615" t="n">
        <v>0</v>
      </c>
      <c r="AG39" s="203" t="n">
        <v>0</v>
      </c>
      <c r="AH39" s="203" t="n">
        <v>0</v>
      </c>
      <c r="AI39" s="203" t="n">
        <v>0</v>
      </c>
      <c r="AJ39" s="203" t="n">
        <v>0</v>
      </c>
      <c r="AK39" s="203" t="n">
        <v>0</v>
      </c>
      <c r="AL39" s="203" t="n">
        <v>0.01</v>
      </c>
      <c r="AM39" s="203" t="n">
        <v>0</v>
      </c>
      <c r="AN39" s="203" t="inlineStr">
        <is>
          <t>Local Charge</t>
        </is>
      </c>
    </row>
    <row r="40">
      <c r="A40" s="220">
        <f>A39+1</f>
        <v/>
      </c>
      <c r="B40" s="222" t="inlineStr">
        <is>
          <t>Terminal Handling</t>
        </is>
      </c>
      <c r="C40" s="222" t="inlineStr">
        <is>
          <t>EXPEDITORS CAMBODIA LTD.</t>
        </is>
      </c>
      <c r="D40" s="223" t="inlineStr">
        <is>
          <t>L001-100045898</t>
        </is>
      </c>
      <c r="E40" s="349" t="inlineStr">
        <is>
          <t>TI-0295890</t>
        </is>
      </c>
      <c r="F40" s="332" t="n">
        <v>45602</v>
      </c>
      <c r="G40" s="224" t="n"/>
      <c r="H40" s="617" t="n"/>
      <c r="I40" s="617" t="n">
        <v>4064</v>
      </c>
      <c r="J40" s="221" t="inlineStr">
        <is>
          <t>អនុញ្ញាត (បានប្រកាស)</t>
        </is>
      </c>
      <c r="K40" s="221" t="n"/>
      <c r="L40" s="616">
        <f>I40</f>
        <v/>
      </c>
      <c r="M40" s="588">
        <f>I40-L40</f>
        <v/>
      </c>
      <c r="N40" s="221" t="n"/>
      <c r="O40" s="226">
        <f>U40=E40</f>
        <v/>
      </c>
      <c r="P40" s="226">
        <f>MONTH(F40)-MONTH(T40)</f>
        <v/>
      </c>
      <c r="Q40" s="226">
        <f>$B$5=X40</f>
        <v/>
      </c>
      <c r="R40" s="226">
        <f>I40-AD40</f>
        <v/>
      </c>
      <c r="S40" s="360" t="n"/>
      <c r="T40" s="361" t="n">
        <v>45602</v>
      </c>
      <c r="U40" s="360" t="inlineStr">
        <is>
          <t>TI-0295890</t>
        </is>
      </c>
      <c r="V40" s="360" t="n">
        <v>0</v>
      </c>
      <c r="W40" s="360" t="inlineStr">
        <is>
          <t>បុគ្គលជាប់អាករ</t>
        </is>
      </c>
      <c r="X40" s="360" t="inlineStr">
        <is>
          <t>L001-901640009</t>
        </is>
      </c>
      <c r="Y40" s="360" t="inlineStr">
        <is>
          <t>ហូលីដេ ឌីហ្សាញ (ខេមបូឌា) ឯ.ក</t>
        </is>
      </c>
      <c r="Z40" s="362" t="n">
        <v>44704</v>
      </c>
      <c r="AA40" s="362" t="n">
        <v>40640</v>
      </c>
      <c r="AB40" s="360" t="n">
        <v>0</v>
      </c>
      <c r="AC40" s="360" t="inlineStr">
        <is>
          <t>-</t>
        </is>
      </c>
      <c r="AD40" s="362" t="n">
        <v>4064</v>
      </c>
      <c r="AE40" s="360" t="n">
        <v>0</v>
      </c>
      <c r="AF40" s="615" t="n">
        <v>0</v>
      </c>
      <c r="AG40" s="203" t="n">
        <v>0</v>
      </c>
      <c r="AH40" s="203" t="n">
        <v>0</v>
      </c>
      <c r="AI40" s="203" t="n">
        <v>0</v>
      </c>
      <c r="AJ40" s="203" t="n">
        <v>0</v>
      </c>
      <c r="AK40" s="203" t="n">
        <v>0</v>
      </c>
      <c r="AL40" s="203" t="n">
        <v>0.01</v>
      </c>
      <c r="AM40" s="203" t="n">
        <v>0</v>
      </c>
      <c r="AN40" s="203" t="inlineStr">
        <is>
          <t>Local Charge</t>
        </is>
      </c>
    </row>
    <row r="41">
      <c r="A41" s="220">
        <f>A40+1</f>
        <v/>
      </c>
      <c r="B41" s="222" t="inlineStr">
        <is>
          <t>Detention Fee</t>
        </is>
      </c>
      <c r="C41" s="222" t="inlineStr">
        <is>
          <t>EXPEDITORS CAMBODIA LTD.</t>
        </is>
      </c>
      <c r="D41" s="223" t="inlineStr">
        <is>
          <t>L001-100045898</t>
        </is>
      </c>
      <c r="E41" s="349" t="inlineStr">
        <is>
          <t>TI-0298545</t>
        </is>
      </c>
      <c r="F41" s="332" t="n">
        <v>45625</v>
      </c>
      <c r="G41" s="224" t="n"/>
      <c r="H41" s="617" t="n"/>
      <c r="I41" s="617" t="n">
        <v>72504</v>
      </c>
      <c r="J41" s="221" t="inlineStr">
        <is>
          <t>អនុញ្ញាត (បានប្រកាស)</t>
        </is>
      </c>
      <c r="K41" s="221" t="n"/>
      <c r="L41" s="616">
        <f>I41</f>
        <v/>
      </c>
      <c r="M41" s="588">
        <f>I41-L41</f>
        <v/>
      </c>
      <c r="N41" s="221" t="n"/>
      <c r="O41" s="226">
        <f>U41=E41</f>
        <v/>
      </c>
      <c r="P41" s="226">
        <f>MONTH(F41)-MONTH(T41)</f>
        <v/>
      </c>
      <c r="Q41" s="226">
        <f>$B$5=X41</f>
        <v/>
      </c>
      <c r="R41" s="226">
        <f>I41-AD41</f>
        <v/>
      </c>
      <c r="S41" s="360" t="n"/>
      <c r="T41" s="361" t="n">
        <v>45625</v>
      </c>
      <c r="U41" s="360" t="inlineStr">
        <is>
          <t>TI-0298545</t>
        </is>
      </c>
      <c r="V41" s="360" t="n">
        <v>0</v>
      </c>
      <c r="W41" s="360" t="inlineStr">
        <is>
          <t>បុគ្គលជាប់អាករ</t>
        </is>
      </c>
      <c r="X41" s="360" t="inlineStr">
        <is>
          <t>L001-901640009</t>
        </is>
      </c>
      <c r="Y41" s="360" t="inlineStr">
        <is>
          <t>ហូលីដេ ឌីហ្សាញ (ខេមបូឌា) ឯ.ក</t>
        </is>
      </c>
      <c r="Z41" s="362" t="n">
        <v>797544</v>
      </c>
      <c r="AA41" s="362" t="n">
        <v>725040</v>
      </c>
      <c r="AB41" s="360" t="n">
        <v>0</v>
      </c>
      <c r="AC41" s="360" t="inlineStr">
        <is>
          <t>-</t>
        </is>
      </c>
      <c r="AD41" s="362" t="n">
        <v>72504</v>
      </c>
      <c r="AE41" s="360" t="n">
        <v>0</v>
      </c>
      <c r="AF41" s="615" t="n">
        <v>0</v>
      </c>
      <c r="AG41" s="203" t="n">
        <v>0</v>
      </c>
      <c r="AH41" s="203" t="n">
        <v>0</v>
      </c>
      <c r="AI41" s="203" t="n">
        <v>0</v>
      </c>
      <c r="AJ41" s="203" t="n">
        <v>0</v>
      </c>
      <c r="AK41" s="203" t="n">
        <v>0</v>
      </c>
      <c r="AL41" s="203" t="n">
        <v>0.01</v>
      </c>
      <c r="AM41" s="203" t="n">
        <v>0</v>
      </c>
      <c r="AN41" s="203" t="inlineStr">
        <is>
          <t>Local Charge</t>
        </is>
      </c>
    </row>
    <row r="42">
      <c r="A42" s="220">
        <f>A41+1</f>
        <v/>
      </c>
      <c r="B42" s="222" t="inlineStr">
        <is>
          <t>Detention Fee</t>
        </is>
      </c>
      <c r="C42" s="222" t="inlineStr">
        <is>
          <t>EXPEDITORS CAMBODIA LTD.</t>
        </is>
      </c>
      <c r="D42" s="223" t="inlineStr">
        <is>
          <t>L001-100045898</t>
        </is>
      </c>
      <c r="E42" s="349" t="inlineStr">
        <is>
          <t>TI-0298546</t>
        </is>
      </c>
      <c r="F42" s="332" t="n">
        <v>45625</v>
      </c>
      <c r="G42" s="224" t="n"/>
      <c r="H42" s="617" t="n"/>
      <c r="I42" s="617" t="n">
        <v>16112</v>
      </c>
      <c r="J42" s="221" t="inlineStr">
        <is>
          <t>អនុញ្ញាត (បានប្រកាស)</t>
        </is>
      </c>
      <c r="K42" s="221" t="n"/>
      <c r="L42" s="616">
        <f>I42</f>
        <v/>
      </c>
      <c r="M42" s="588">
        <f>I42-L42</f>
        <v/>
      </c>
      <c r="N42" s="221" t="n"/>
      <c r="O42" s="226">
        <f>U42=E42</f>
        <v/>
      </c>
      <c r="P42" s="226">
        <f>MONTH(F42)-MONTH(T42)</f>
        <v/>
      </c>
      <c r="Q42" s="226">
        <f>$B$5=X42</f>
        <v/>
      </c>
      <c r="R42" s="226">
        <f>I42-AD42</f>
        <v/>
      </c>
      <c r="S42" s="360" t="n"/>
      <c r="T42" s="361" t="n">
        <v>45625</v>
      </c>
      <c r="U42" s="360" t="inlineStr">
        <is>
          <t>TI-0298546</t>
        </is>
      </c>
      <c r="V42" s="360" t="n">
        <v>0</v>
      </c>
      <c r="W42" s="360" t="inlineStr">
        <is>
          <t>បុគ្គលជាប់អាករ</t>
        </is>
      </c>
      <c r="X42" s="360" t="inlineStr">
        <is>
          <t>L001-901640009</t>
        </is>
      </c>
      <c r="Y42" s="360" t="inlineStr">
        <is>
          <t>ហូលីដេ ឌីហ្សាញ (ខេមបូឌា) ឯ.ក</t>
        </is>
      </c>
      <c r="Z42" s="362" t="n">
        <v>177232</v>
      </c>
      <c r="AA42" s="362" t="n">
        <v>161120</v>
      </c>
      <c r="AB42" s="360" t="n">
        <v>0</v>
      </c>
      <c r="AC42" s="360" t="inlineStr">
        <is>
          <t>-</t>
        </is>
      </c>
      <c r="AD42" s="362" t="n">
        <v>16112</v>
      </c>
      <c r="AE42" s="360" t="n">
        <v>0</v>
      </c>
      <c r="AF42" s="615" t="n">
        <v>0</v>
      </c>
      <c r="AG42" s="203" t="n">
        <v>0</v>
      </c>
      <c r="AH42" s="203" t="n">
        <v>0</v>
      </c>
      <c r="AI42" s="203" t="n">
        <v>0</v>
      </c>
      <c r="AJ42" s="203" t="n">
        <v>0</v>
      </c>
      <c r="AK42" s="203" t="n">
        <v>0</v>
      </c>
      <c r="AL42" s="203" t="n">
        <v>0.01</v>
      </c>
      <c r="AM42" s="203" t="n">
        <v>0</v>
      </c>
      <c r="AN42" s="203" t="inlineStr">
        <is>
          <t>Local Charge</t>
        </is>
      </c>
    </row>
    <row r="43">
      <c r="A43" s="220">
        <f>A42+1</f>
        <v/>
      </c>
      <c r="B43" s="222" t="inlineStr">
        <is>
          <t>Detention Fee</t>
        </is>
      </c>
      <c r="C43" s="222" t="inlineStr">
        <is>
          <t>EXPEDITORS CAMBODIA LTD.</t>
        </is>
      </c>
      <c r="D43" s="223" t="inlineStr">
        <is>
          <t>L001-100045898</t>
        </is>
      </c>
      <c r="E43" s="349" t="inlineStr">
        <is>
          <t>TI-0298547</t>
        </is>
      </c>
      <c r="F43" s="332" t="n">
        <v>45625</v>
      </c>
      <c r="G43" s="224" t="n"/>
      <c r="H43" s="617" t="n"/>
      <c r="I43" s="617" t="n">
        <v>8056</v>
      </c>
      <c r="J43" s="221" t="inlineStr">
        <is>
          <t>អនុញ្ញាត (បានប្រកាស)</t>
        </is>
      </c>
      <c r="K43" s="221" t="n"/>
      <c r="L43" s="616">
        <f>I43</f>
        <v/>
      </c>
      <c r="M43" s="588">
        <f>I43-L43</f>
        <v/>
      </c>
      <c r="N43" s="221" t="n"/>
      <c r="O43" s="226">
        <f>U43=E43</f>
        <v/>
      </c>
      <c r="P43" s="226">
        <f>MONTH(F43)-MONTH(T43)</f>
        <v/>
      </c>
      <c r="Q43" s="226">
        <f>$B$5=X43</f>
        <v/>
      </c>
      <c r="R43" s="226">
        <f>I43-AD43</f>
        <v/>
      </c>
      <c r="S43" s="360" t="n"/>
      <c r="T43" s="361" t="n">
        <v>45625</v>
      </c>
      <c r="U43" s="360" t="inlineStr">
        <is>
          <t>TI-0298547</t>
        </is>
      </c>
      <c r="V43" s="360" t="n">
        <v>0</v>
      </c>
      <c r="W43" s="360" t="inlineStr">
        <is>
          <t>បុគ្គលជាប់អាករ</t>
        </is>
      </c>
      <c r="X43" s="360" t="inlineStr">
        <is>
          <t>L001-901640009</t>
        </is>
      </c>
      <c r="Y43" s="360" t="inlineStr">
        <is>
          <t>ហូលីដេ ឌីហ្សាញ (ខេមបូឌា) ឯ.ក</t>
        </is>
      </c>
      <c r="Z43" s="362" t="n">
        <v>88616</v>
      </c>
      <c r="AA43" s="362" t="n">
        <v>80560</v>
      </c>
      <c r="AB43" s="360" t="n">
        <v>0</v>
      </c>
      <c r="AC43" s="360" t="inlineStr">
        <is>
          <t>-</t>
        </is>
      </c>
      <c r="AD43" s="362" t="n">
        <v>8056</v>
      </c>
      <c r="AE43" s="360" t="n">
        <v>0</v>
      </c>
      <c r="AF43" s="615" t="n">
        <v>0</v>
      </c>
      <c r="AG43" s="203" t="n">
        <v>0</v>
      </c>
      <c r="AH43" s="203" t="n">
        <v>0</v>
      </c>
      <c r="AI43" s="203" t="n">
        <v>0</v>
      </c>
      <c r="AJ43" s="203" t="n">
        <v>0</v>
      </c>
      <c r="AK43" s="203" t="n">
        <v>0</v>
      </c>
      <c r="AL43" s="203" t="n">
        <v>0.01</v>
      </c>
      <c r="AM43" s="203" t="n">
        <v>0</v>
      </c>
      <c r="AN43" s="203" t="inlineStr">
        <is>
          <t>Local Charge</t>
        </is>
      </c>
    </row>
    <row r="44">
      <c r="A44" s="220">
        <f>A43+1</f>
        <v/>
      </c>
      <c r="B44" s="222" t="inlineStr">
        <is>
          <t>Detention Fee</t>
        </is>
      </c>
      <c r="C44" s="222" t="inlineStr">
        <is>
          <t>EXPEDITORS CAMBODIA LTD.</t>
        </is>
      </c>
      <c r="D44" s="223" t="inlineStr">
        <is>
          <t>L001-100045898</t>
        </is>
      </c>
      <c r="E44" s="349" t="inlineStr">
        <is>
          <t>TI-0298543</t>
        </is>
      </c>
      <c r="F44" s="332" t="n">
        <v>45625</v>
      </c>
      <c r="G44" s="224" t="n"/>
      <c r="H44" s="617" t="n"/>
      <c r="I44" s="617" t="n">
        <v>8056</v>
      </c>
      <c r="J44" s="221" t="inlineStr">
        <is>
          <t>អនុញ្ញាត (បានប្រកាស)</t>
        </is>
      </c>
      <c r="K44" s="221" t="n"/>
      <c r="L44" s="616">
        <f>I44</f>
        <v/>
      </c>
      <c r="M44" s="588">
        <f>I44-L44</f>
        <v/>
      </c>
      <c r="N44" s="221" t="n"/>
      <c r="O44" s="226">
        <f>U44=E44</f>
        <v/>
      </c>
      <c r="P44" s="226">
        <f>MONTH(F44)-MONTH(T44)</f>
        <v/>
      </c>
      <c r="Q44" s="226">
        <f>$B$5=X44</f>
        <v/>
      </c>
      <c r="R44" s="226">
        <f>I44-AD44</f>
        <v/>
      </c>
      <c r="S44" s="360" t="n"/>
      <c r="T44" s="361" t="n">
        <v>45625</v>
      </c>
      <c r="U44" s="360" t="inlineStr">
        <is>
          <t>TI-0298543</t>
        </is>
      </c>
      <c r="V44" s="360" t="n">
        <v>0</v>
      </c>
      <c r="W44" s="360" t="inlineStr">
        <is>
          <t>បុគ្គលជាប់អាករ</t>
        </is>
      </c>
      <c r="X44" s="360" t="inlineStr">
        <is>
          <t>L001-901640009</t>
        </is>
      </c>
      <c r="Y44" s="360" t="inlineStr">
        <is>
          <t>ហូលីដេ ឌីហ្សាញ (ខេមបូឌា) ឯ.ក</t>
        </is>
      </c>
      <c r="Z44" s="362" t="n">
        <v>88616</v>
      </c>
      <c r="AA44" s="362" t="n">
        <v>80560</v>
      </c>
      <c r="AB44" s="360" t="n">
        <v>0</v>
      </c>
      <c r="AC44" s="360" t="inlineStr">
        <is>
          <t>-</t>
        </is>
      </c>
      <c r="AD44" s="362" t="n">
        <v>8056</v>
      </c>
      <c r="AE44" s="360" t="n">
        <v>0</v>
      </c>
      <c r="AF44" s="615" t="n">
        <v>0</v>
      </c>
      <c r="AG44" s="203" t="n">
        <v>0</v>
      </c>
      <c r="AH44" s="203" t="n">
        <v>0</v>
      </c>
      <c r="AI44" s="203" t="n">
        <v>0</v>
      </c>
      <c r="AJ44" s="203" t="n">
        <v>0</v>
      </c>
      <c r="AK44" s="203" t="n">
        <v>0</v>
      </c>
      <c r="AL44" s="203" t="n">
        <v>0.01</v>
      </c>
      <c r="AM44" s="203" t="n">
        <v>0</v>
      </c>
      <c r="AN44" s="203" t="inlineStr">
        <is>
          <t>Local Charge</t>
        </is>
      </c>
    </row>
    <row r="45">
      <c r="A45" s="220">
        <f>A44+1</f>
        <v/>
      </c>
      <c r="B45" s="222" t="inlineStr">
        <is>
          <t>Detention Fee</t>
        </is>
      </c>
      <c r="C45" s="222" t="inlineStr">
        <is>
          <t>EXPEDITORS CAMBODIA LTD.</t>
        </is>
      </c>
      <c r="D45" s="223" t="inlineStr">
        <is>
          <t>L001-100045898</t>
        </is>
      </c>
      <c r="E45" s="349" t="inlineStr">
        <is>
          <t>TI-0298548</t>
        </is>
      </c>
      <c r="F45" s="332" t="n">
        <v>45625</v>
      </c>
      <c r="G45" s="224" t="n"/>
      <c r="H45" s="617" t="n"/>
      <c r="I45" s="617" t="n">
        <v>16112</v>
      </c>
      <c r="J45" s="221" t="inlineStr">
        <is>
          <t>អនុញ្ញាត (បានប្រកាស)</t>
        </is>
      </c>
      <c r="K45" s="221" t="n"/>
      <c r="L45" s="616">
        <f>I45</f>
        <v/>
      </c>
      <c r="M45" s="588">
        <f>I45-L45</f>
        <v/>
      </c>
      <c r="N45" s="221" t="n"/>
      <c r="O45" s="226">
        <f>U45=E45</f>
        <v/>
      </c>
      <c r="P45" s="226">
        <f>MONTH(F45)-MONTH(T45)</f>
        <v/>
      </c>
      <c r="Q45" s="226">
        <f>$B$5=X45</f>
        <v/>
      </c>
      <c r="R45" s="226">
        <f>I45-AD45</f>
        <v/>
      </c>
      <c r="S45" s="360" t="n"/>
      <c r="T45" s="361" t="n">
        <v>45625</v>
      </c>
      <c r="U45" s="360" t="inlineStr">
        <is>
          <t>TI-0298548</t>
        </is>
      </c>
      <c r="V45" s="360" t="n">
        <v>0</v>
      </c>
      <c r="W45" s="360" t="inlineStr">
        <is>
          <t>បុគ្គលជាប់អាករ</t>
        </is>
      </c>
      <c r="X45" s="360" t="inlineStr">
        <is>
          <t>L001-901640009</t>
        </is>
      </c>
      <c r="Y45" s="360" t="inlineStr">
        <is>
          <t>ហូលីដេ ឌីហ្សាញ (ខេមបូឌា) ឯ.ក</t>
        </is>
      </c>
      <c r="Z45" s="362" t="n">
        <v>177232</v>
      </c>
      <c r="AA45" s="362" t="n">
        <v>161120</v>
      </c>
      <c r="AB45" s="360" t="n">
        <v>0</v>
      </c>
      <c r="AC45" s="360" t="inlineStr">
        <is>
          <t>-</t>
        </is>
      </c>
      <c r="AD45" s="362" t="n">
        <v>16112</v>
      </c>
      <c r="AE45" s="360" t="n">
        <v>0</v>
      </c>
      <c r="AF45" s="615" t="n">
        <v>0</v>
      </c>
      <c r="AG45" s="203" t="n">
        <v>0</v>
      </c>
      <c r="AH45" s="203" t="n">
        <v>0</v>
      </c>
      <c r="AI45" s="203" t="n">
        <v>0</v>
      </c>
      <c r="AJ45" s="203" t="n">
        <v>0</v>
      </c>
      <c r="AK45" s="203" t="n">
        <v>0</v>
      </c>
      <c r="AL45" s="203" t="n">
        <v>0.01</v>
      </c>
      <c r="AM45" s="203" t="n">
        <v>0</v>
      </c>
      <c r="AN45" s="203" t="inlineStr">
        <is>
          <t>Local Charge</t>
        </is>
      </c>
    </row>
    <row r="46">
      <c r="A46" s="220">
        <f>A45+1</f>
        <v/>
      </c>
      <c r="B46" s="222" t="inlineStr">
        <is>
          <t>Rental Building E G&amp; L</t>
        </is>
      </c>
      <c r="C46" s="222" t="inlineStr">
        <is>
          <t>JALIANKA INTERNATIONAL (CAMBODIA) CO., LTD.</t>
        </is>
      </c>
      <c r="D46" s="223" t="inlineStr">
        <is>
          <t>B105-901907504</t>
        </is>
      </c>
      <c r="E46" s="349" t="inlineStr">
        <is>
          <t>JILLANKA2501012</t>
        </is>
      </c>
      <c r="F46" s="332" t="n">
        <v>45747</v>
      </c>
      <c r="G46" s="224" t="n"/>
      <c r="H46" s="617" t="n"/>
      <c r="I46" s="617" t="n">
        <v>20489040</v>
      </c>
      <c r="J46" s="221" t="inlineStr">
        <is>
          <t>អនុញ្ញាត (បានប្រកាស)</t>
        </is>
      </c>
      <c r="K46" s="221" t="n"/>
      <c r="L46" s="616">
        <f>I46</f>
        <v/>
      </c>
      <c r="M46" s="588">
        <f>I46-L46</f>
        <v/>
      </c>
      <c r="N46" s="221" t="inlineStr">
        <is>
          <t>បានពិនិត្យវិក្កយបត្រ</t>
        </is>
      </c>
      <c r="O46" s="226">
        <f>U46=E46</f>
        <v/>
      </c>
      <c r="P46" s="226">
        <f>MONTH(F46)-MONTH(T46)</f>
        <v/>
      </c>
      <c r="Q46" s="226">
        <f>$B$5=X46</f>
        <v/>
      </c>
      <c r="R46" s="226">
        <f>I46-AD46</f>
        <v/>
      </c>
      <c r="S46" s="360" t="n"/>
      <c r="T46" s="361" t="n">
        <v>45747</v>
      </c>
      <c r="U46" s="360" t="inlineStr">
        <is>
          <t>JILLANKA2501012</t>
        </is>
      </c>
      <c r="V46" s="360" t="n">
        <v>0</v>
      </c>
      <c r="W46" s="360" t="inlineStr">
        <is>
          <t>បុគ្គលជាប់អាករ</t>
        </is>
      </c>
      <c r="X46" s="360" t="inlineStr">
        <is>
          <t>L001-901640009</t>
        </is>
      </c>
      <c r="Y46" s="360" t="inlineStr">
        <is>
          <t>ហូលីដេ ឌីហ្សាញ (ខេមបូឌា) ឯ.ក</t>
        </is>
      </c>
      <c r="Z46" s="362" t="n">
        <v>225379440</v>
      </c>
      <c r="AA46" s="362" t="n">
        <v>204890400</v>
      </c>
      <c r="AB46" s="360" t="n">
        <v>0</v>
      </c>
      <c r="AC46" s="360" t="inlineStr">
        <is>
          <t>-</t>
        </is>
      </c>
      <c r="AD46" s="362" t="n">
        <v>20489040</v>
      </c>
      <c r="AE46" s="360" t="n">
        <v>0</v>
      </c>
      <c r="AF46" s="615" t="n">
        <v>0</v>
      </c>
      <c r="AG46" s="203" t="n">
        <v>0</v>
      </c>
      <c r="AH46" s="203" t="n">
        <v>0</v>
      </c>
      <c r="AI46" s="203" t="n">
        <v>0</v>
      </c>
      <c r="AJ46" s="203" t="n">
        <v>0</v>
      </c>
      <c r="AK46" s="203" t="n">
        <v>0</v>
      </c>
      <c r="AL46" s="203" t="n">
        <v>0.01</v>
      </c>
      <c r="AM46" s="203" t="n">
        <v>0</v>
      </c>
      <c r="AN46" s="203" t="inlineStr">
        <is>
          <t>Rental Building E , G, L</t>
        </is>
      </c>
      <c r="AO46" s="203" t="inlineStr">
        <is>
          <t>បានប្រកាសនិងបង់ពន្ធ</t>
        </is>
      </c>
    </row>
    <row r="47">
      <c r="A47" s="220">
        <f>A46+1</f>
        <v/>
      </c>
      <c r="B47" s="222" t="inlineStr">
        <is>
          <t>Rental Building D &amp; F</t>
        </is>
      </c>
      <c r="C47" s="222" t="inlineStr">
        <is>
          <t>JALIANKA INTERNATIONAL (CAMBODIA) CO., LTD.</t>
        </is>
      </c>
      <c r="D47" s="223" t="inlineStr">
        <is>
          <t>B105-901907504</t>
        </is>
      </c>
      <c r="E47" s="349" t="inlineStr">
        <is>
          <t>JILLANKA2501011</t>
        </is>
      </c>
      <c r="F47" s="332" t="n">
        <v>45747</v>
      </c>
      <c r="G47" s="224" t="n"/>
      <c r="H47" s="617" t="n"/>
      <c r="I47" s="617" t="n">
        <v>12880000</v>
      </c>
      <c r="J47" s="221" t="inlineStr">
        <is>
          <t>អនុញ្ញាត (បានប្រកាស)</t>
        </is>
      </c>
      <c r="K47" s="221" t="n"/>
      <c r="L47" s="616">
        <f>I47</f>
        <v/>
      </c>
      <c r="M47" s="588">
        <f>I47-L47</f>
        <v/>
      </c>
      <c r="N47" s="221" t="inlineStr">
        <is>
          <t>បានពិនិត្យវិក្កយបត្រ</t>
        </is>
      </c>
      <c r="O47" s="226">
        <f>U47=E47</f>
        <v/>
      </c>
      <c r="P47" s="226">
        <f>MONTH(F47)-MONTH(T47)</f>
        <v/>
      </c>
      <c r="Q47" s="226">
        <f>$B$5=X47</f>
        <v/>
      </c>
      <c r="R47" s="226">
        <f>I47-AD47</f>
        <v/>
      </c>
      <c r="S47" s="360" t="n"/>
      <c r="T47" s="361" t="n">
        <v>45747</v>
      </c>
      <c r="U47" s="360" t="inlineStr">
        <is>
          <t>JILLANKA2501011</t>
        </is>
      </c>
      <c r="V47" s="360" t="n">
        <v>0</v>
      </c>
      <c r="W47" s="360" t="inlineStr">
        <is>
          <t>បុគ្គលជាប់អាករ</t>
        </is>
      </c>
      <c r="X47" s="360" t="inlineStr">
        <is>
          <t>L001-901640009</t>
        </is>
      </c>
      <c r="Y47" s="360" t="inlineStr">
        <is>
          <t>ហូលីដេ ឌីហ្សាញ (ខេមបូឌា) ឯ.ក</t>
        </is>
      </c>
      <c r="Z47" s="362" t="n">
        <v>141680000</v>
      </c>
      <c r="AA47" s="362" t="n">
        <v>128800000</v>
      </c>
      <c r="AB47" s="360" t="n">
        <v>0</v>
      </c>
      <c r="AC47" s="360" t="inlineStr">
        <is>
          <t>-</t>
        </is>
      </c>
      <c r="AD47" s="362" t="n">
        <v>12880000</v>
      </c>
      <c r="AE47" s="360" t="n">
        <v>0</v>
      </c>
      <c r="AF47" s="615" t="n">
        <v>0</v>
      </c>
      <c r="AG47" s="203" t="n">
        <v>0</v>
      </c>
      <c r="AH47" s="203" t="n">
        <v>0</v>
      </c>
      <c r="AI47" s="203" t="n">
        <v>0</v>
      </c>
      <c r="AJ47" s="203" t="n">
        <v>0</v>
      </c>
      <c r="AK47" s="203" t="n">
        <v>0</v>
      </c>
      <c r="AL47" s="203" t="n">
        <v>0.01</v>
      </c>
      <c r="AM47" s="203" t="n">
        <v>0</v>
      </c>
      <c r="AN47" s="203" t="inlineStr">
        <is>
          <t>Rental Building D , F</t>
        </is>
      </c>
      <c r="AO47" s="203" t="inlineStr">
        <is>
          <t>បានប្រកាសនិងបង់ពន្ធ</t>
        </is>
      </c>
    </row>
    <row r="48">
      <c r="A48" s="220">
        <f>A47+1</f>
        <v/>
      </c>
      <c r="B48" s="222" t="inlineStr">
        <is>
          <t>Trucking Fee-Im</t>
        </is>
      </c>
      <c r="C48" s="222" t="inlineStr">
        <is>
          <t>BRILLIANT TRANSPORT AND TRADING Co., Ltd.</t>
        </is>
      </c>
      <c r="D48" s="223" t="inlineStr">
        <is>
          <t>K002-100089305</t>
        </is>
      </c>
      <c r="E48" s="349" t="inlineStr">
        <is>
          <t>BTT24-0002376</t>
        </is>
      </c>
      <c r="F48" s="332" t="n">
        <v>45616</v>
      </c>
      <c r="G48" s="224" t="n"/>
      <c r="H48" s="617" t="n"/>
      <c r="I48" s="617" t="n">
        <v>215629</v>
      </c>
      <c r="J48" s="221" t="inlineStr">
        <is>
          <t>អនុញ្ញាត (បានប្រកាស)</t>
        </is>
      </c>
      <c r="K48" s="221" t="n"/>
      <c r="L48" s="616">
        <f>I48</f>
        <v/>
      </c>
      <c r="M48" s="588">
        <f>I48-L48</f>
        <v/>
      </c>
      <c r="N48" s="221" t="n"/>
      <c r="O48" s="226">
        <f>U48=E48</f>
        <v/>
      </c>
      <c r="P48" s="226">
        <f>MONTH(F48)-MONTH(T48)</f>
        <v/>
      </c>
      <c r="Q48" s="226">
        <f>$B$5=X48</f>
        <v/>
      </c>
      <c r="R48" s="226">
        <f>I48-AD48</f>
        <v/>
      </c>
      <c r="S48" s="360" t="n"/>
      <c r="T48" s="361" t="n">
        <v>45616</v>
      </c>
      <c r="U48" s="360" t="inlineStr">
        <is>
          <t>BTT24-0002376</t>
        </is>
      </c>
      <c r="V48" s="360" t="n">
        <v>0</v>
      </c>
      <c r="W48" s="360" t="inlineStr">
        <is>
          <t>បុគ្គលជាប់អាករ</t>
        </is>
      </c>
      <c r="X48" s="360" t="inlineStr">
        <is>
          <t>L001-901640009</t>
        </is>
      </c>
      <c r="Y48" s="360" t="inlineStr">
        <is>
          <t>ហូលីដេ ឌីហ្សាញ (ខេមបូឌា) ឯ.ក</t>
        </is>
      </c>
      <c r="Z48" s="362" t="n">
        <v>2371921</v>
      </c>
      <c r="AA48" s="362" t="n">
        <v>2156292</v>
      </c>
      <c r="AB48" s="360" t="n">
        <v>0</v>
      </c>
      <c r="AC48" s="360" t="inlineStr">
        <is>
          <t>-</t>
        </is>
      </c>
      <c r="AD48" s="362" t="n">
        <v>215629</v>
      </c>
      <c r="AE48" s="360" t="n">
        <v>0</v>
      </c>
      <c r="AF48" s="615" t="n">
        <v>0</v>
      </c>
      <c r="AG48" s="203" t="n">
        <v>0</v>
      </c>
      <c r="AH48" s="203" t="n">
        <v>0</v>
      </c>
      <c r="AI48" s="203" t="n">
        <v>0</v>
      </c>
      <c r="AJ48" s="203" t="n">
        <v>0</v>
      </c>
      <c r="AK48" s="203" t="n">
        <v>0</v>
      </c>
      <c r="AL48" s="203" t="n">
        <v>0.01</v>
      </c>
      <c r="AM48" s="203" t="n">
        <v>0</v>
      </c>
      <c r="AN48" s="203" t="inlineStr">
        <is>
          <t>Truking / Service</t>
        </is>
      </c>
    </row>
    <row r="49">
      <c r="A49" s="220">
        <f>A48+1</f>
        <v/>
      </c>
      <c r="B49" s="222" t="inlineStr">
        <is>
          <t>Rental Building E G&amp; L</t>
        </is>
      </c>
      <c r="C49" s="222" t="inlineStr">
        <is>
          <t>JALIANKA INTERNATIONAL (CAMBODIA) CO., LTD.</t>
        </is>
      </c>
      <c r="D49" s="223" t="inlineStr">
        <is>
          <t>B105-901907504</t>
        </is>
      </c>
      <c r="E49" s="349" t="inlineStr">
        <is>
          <t>JILLANKA2501016</t>
        </is>
      </c>
      <c r="F49" s="332" t="n">
        <v>45777</v>
      </c>
      <c r="G49" s="224" t="n"/>
      <c r="H49" s="617" t="n"/>
      <c r="I49" s="617" t="n">
        <v>20504407</v>
      </c>
      <c r="J49" s="221" t="inlineStr">
        <is>
          <t>អនុញ្ញាត (បានប្រកាស)</t>
        </is>
      </c>
      <c r="K49" s="221" t="n"/>
      <c r="L49" s="616">
        <f>I49</f>
        <v/>
      </c>
      <c r="M49" s="588">
        <f>I49-L49</f>
        <v/>
      </c>
      <c r="N49" s="221" t="inlineStr">
        <is>
          <t>បានពិនិត្យវិក្កយបត្រ</t>
        </is>
      </c>
      <c r="O49" s="226">
        <f>U49=E49</f>
        <v/>
      </c>
      <c r="P49" s="226">
        <f>MONTH(F49)-MONTH(T49)</f>
        <v/>
      </c>
      <c r="Q49" s="226">
        <f>$B$5=X49</f>
        <v/>
      </c>
      <c r="R49" s="226">
        <f>I49-AD49</f>
        <v/>
      </c>
      <c r="S49" s="360" t="n"/>
      <c r="T49" s="361" t="n">
        <v>45777</v>
      </c>
      <c r="U49" s="360" t="inlineStr">
        <is>
          <t>JILLANKA2501016</t>
        </is>
      </c>
      <c r="V49" s="360" t="n">
        <v>0</v>
      </c>
      <c r="W49" s="360" t="inlineStr">
        <is>
          <t>បុគ្គលជាប់អាករ</t>
        </is>
      </c>
      <c r="X49" s="360" t="inlineStr">
        <is>
          <t>L001-901640009</t>
        </is>
      </c>
      <c r="Y49" s="360" t="inlineStr">
        <is>
          <t>ហូលីដេ ឌីហ្សាញ (ខេមបូឌា) ឯ.ក</t>
        </is>
      </c>
      <c r="Z49" s="362" t="n">
        <v>225548475</v>
      </c>
      <c r="AA49" s="362" t="n">
        <v>205044068</v>
      </c>
      <c r="AB49" s="360" t="n">
        <v>0</v>
      </c>
      <c r="AC49" s="360" t="inlineStr">
        <is>
          <t>-</t>
        </is>
      </c>
      <c r="AD49" s="362" t="n">
        <v>20504407</v>
      </c>
      <c r="AE49" s="360" t="n">
        <v>0</v>
      </c>
      <c r="AF49" s="615" t="n">
        <v>0</v>
      </c>
      <c r="AG49" s="203" t="n">
        <v>0</v>
      </c>
      <c r="AH49" s="203" t="n">
        <v>0</v>
      </c>
      <c r="AI49" s="203" t="n">
        <v>0</v>
      </c>
      <c r="AJ49" s="203" t="n">
        <v>0</v>
      </c>
      <c r="AK49" s="203" t="n">
        <v>0</v>
      </c>
      <c r="AL49" s="203" t="n">
        <v>0.01</v>
      </c>
      <c r="AM49" s="203" t="n">
        <v>0</v>
      </c>
      <c r="AN49" s="203" t="inlineStr">
        <is>
          <t>Rental Building E , G, L</t>
        </is>
      </c>
      <c r="AO49" s="203" t="inlineStr">
        <is>
          <t>បានប្រកាសនិងបង់ពន្ធ</t>
        </is>
      </c>
    </row>
    <row r="50">
      <c r="A50" s="220">
        <f>A49+1</f>
        <v/>
      </c>
      <c r="B50" s="222" t="inlineStr">
        <is>
          <t>Lift-On&amp;Lift-Off</t>
        </is>
      </c>
      <c r="C50" s="222" t="inlineStr">
        <is>
          <t>Port Autonome Du Sihanoukville</t>
        </is>
      </c>
      <c r="D50" s="223" t="inlineStr">
        <is>
          <t>L001-100044638</t>
        </is>
      </c>
      <c r="E50" s="349" t="n">
        <v>240266</v>
      </c>
      <c r="F50" s="332" t="n">
        <v>45616</v>
      </c>
      <c r="G50" s="224" t="n"/>
      <c r="H50" s="617" t="n"/>
      <c r="I50" s="617" t="n">
        <v>23017</v>
      </c>
      <c r="J50" s="221" t="inlineStr">
        <is>
          <t>អនុញ្ញាត (បានប្រកាស)</t>
        </is>
      </c>
      <c r="K50" s="221" t="n"/>
      <c r="L50" s="616">
        <f>I50</f>
        <v/>
      </c>
      <c r="M50" s="588">
        <f>I50-L50</f>
        <v/>
      </c>
      <c r="N50" s="221" t="n"/>
      <c r="O50" s="226">
        <f>U50=E50</f>
        <v/>
      </c>
      <c r="P50" s="226">
        <f>MONTH(F50)-MONTH(T50)</f>
        <v/>
      </c>
      <c r="Q50" s="226">
        <f>$B$5=X50</f>
        <v/>
      </c>
      <c r="R50" s="226">
        <f>I50-AD50</f>
        <v/>
      </c>
      <c r="S50" s="360" t="n"/>
      <c r="T50" s="361" t="n">
        <v>45616</v>
      </c>
      <c r="U50" s="360" t="n">
        <v>240266</v>
      </c>
      <c r="V50" s="360" t="n">
        <v>0</v>
      </c>
      <c r="W50" s="360" t="inlineStr">
        <is>
          <t>បុគ្គលជាប់អាករ</t>
        </is>
      </c>
      <c r="X50" s="360" t="inlineStr">
        <is>
          <t>L001-901640009</t>
        </is>
      </c>
      <c r="Y50" s="360" t="inlineStr">
        <is>
          <t>ហូលីដេ ឌីហ្សាញ (ខេមបូឌា) ឯ.ក</t>
        </is>
      </c>
      <c r="Z50" s="362" t="n">
        <v>253183</v>
      </c>
      <c r="AA50" s="362" t="n">
        <v>230166</v>
      </c>
      <c r="AB50" s="360" t="n">
        <v>0</v>
      </c>
      <c r="AC50" s="360" t="inlineStr">
        <is>
          <t>-</t>
        </is>
      </c>
      <c r="AD50" s="362" t="n">
        <v>23017</v>
      </c>
      <c r="AE50" s="360" t="n"/>
      <c r="AF50" s="615" t="n"/>
    </row>
    <row r="51">
      <c r="A51" s="220">
        <f>A50+1</f>
        <v/>
      </c>
      <c r="B51" s="222" t="inlineStr">
        <is>
          <t>Rental Building D &amp; F</t>
        </is>
      </c>
      <c r="C51" s="222" t="inlineStr">
        <is>
          <t>JALIANKA INTERNATIONAL (CAMBODIA) CO., LTD.</t>
        </is>
      </c>
      <c r="D51" s="223" t="inlineStr">
        <is>
          <t>B105-901907504</t>
        </is>
      </c>
      <c r="E51" s="349" t="inlineStr">
        <is>
          <t>JILLANKA2501015</t>
        </is>
      </c>
      <c r="F51" s="332" t="n">
        <v>45777</v>
      </c>
      <c r="G51" s="224" t="n"/>
      <c r="H51" s="617" t="n"/>
      <c r="I51" s="617" t="n">
        <v>12889660</v>
      </c>
      <c r="J51" s="221" t="inlineStr">
        <is>
          <t>អនុញ្ញាត (បានប្រកាស)</t>
        </is>
      </c>
      <c r="K51" s="221" t="n"/>
      <c r="L51" s="616">
        <f>I51</f>
        <v/>
      </c>
      <c r="M51" s="588">
        <f>I51-L51</f>
        <v/>
      </c>
      <c r="N51" s="221" t="inlineStr">
        <is>
          <t>បានពិនិត្យវិក្កយបត្រ</t>
        </is>
      </c>
      <c r="O51" s="226">
        <f>U51=E51</f>
        <v/>
      </c>
      <c r="P51" s="226">
        <f>MONTH(F51)-MONTH(T51)</f>
        <v/>
      </c>
      <c r="Q51" s="226">
        <f>$B$5=X51</f>
        <v/>
      </c>
      <c r="R51" s="226">
        <f>I51-AD51</f>
        <v/>
      </c>
      <c r="S51" s="360" t="n"/>
      <c r="T51" s="361" t="n">
        <v>45777</v>
      </c>
      <c r="U51" s="360" t="inlineStr">
        <is>
          <t>JILLANKA2501015</t>
        </is>
      </c>
      <c r="V51" s="360" t="n">
        <v>0</v>
      </c>
      <c r="W51" s="360" t="inlineStr">
        <is>
          <t>បុគ្គលជាប់អាករ</t>
        </is>
      </c>
      <c r="X51" s="360" t="inlineStr">
        <is>
          <t>L001-901640009</t>
        </is>
      </c>
      <c r="Y51" s="360" t="inlineStr">
        <is>
          <t>ហូលីដេ ឌីហ្សាញ (ខេមបូឌា) ឯ.ក</t>
        </is>
      </c>
      <c r="Z51" s="362" t="n">
        <v>141786260</v>
      </c>
      <c r="AA51" s="362" t="n">
        <v>128896600</v>
      </c>
      <c r="AB51" s="360" t="n">
        <v>0</v>
      </c>
      <c r="AC51" s="360" t="inlineStr">
        <is>
          <t>-</t>
        </is>
      </c>
      <c r="AD51" s="362" t="n">
        <v>12889660</v>
      </c>
      <c r="AE51" s="360" t="n">
        <v>0</v>
      </c>
      <c r="AF51" s="615" t="n">
        <v>0</v>
      </c>
      <c r="AG51" s="203" t="n">
        <v>0</v>
      </c>
      <c r="AH51" s="203" t="n">
        <v>0</v>
      </c>
      <c r="AI51" s="203" t="n">
        <v>0</v>
      </c>
      <c r="AJ51" s="203" t="n">
        <v>0</v>
      </c>
      <c r="AK51" s="203" t="n">
        <v>0</v>
      </c>
      <c r="AL51" s="203" t="n">
        <v>0.01</v>
      </c>
      <c r="AM51" s="203" t="n">
        <v>0</v>
      </c>
      <c r="AN51" s="203" t="inlineStr">
        <is>
          <t>Rental Building D , F</t>
        </is>
      </c>
      <c r="AO51" s="203" t="inlineStr">
        <is>
          <t>បានប្រកាសនិងបង់ពន្ធ</t>
        </is>
      </c>
    </row>
    <row r="52">
      <c r="A52" s="220">
        <f>A51+1</f>
        <v/>
      </c>
      <c r="B52" s="222" t="inlineStr">
        <is>
          <t>Rental Building E G&amp; L</t>
        </is>
      </c>
      <c r="C52" s="222" t="inlineStr">
        <is>
          <t>JALIANKA INTERNATIONAL (CAMBODIA) CO., LTD.</t>
        </is>
      </c>
      <c r="D52" s="223" t="inlineStr">
        <is>
          <t>B105-901907504</t>
        </is>
      </c>
      <c r="E52" s="349" t="inlineStr">
        <is>
          <t>JILLANKA2501020</t>
        </is>
      </c>
      <c r="F52" s="332" t="n">
        <v>45808</v>
      </c>
      <c r="G52" s="224" t="n"/>
      <c r="H52" s="617" t="n"/>
      <c r="I52" s="617" t="n">
        <v>20514651</v>
      </c>
      <c r="J52" s="221" t="inlineStr">
        <is>
          <t>អនុញ្ញាត (បានប្រកាស)</t>
        </is>
      </c>
      <c r="K52" s="221" t="n"/>
      <c r="L52" s="616">
        <f>I52</f>
        <v/>
      </c>
      <c r="M52" s="588">
        <f>I52-L52</f>
        <v/>
      </c>
      <c r="N52" s="221" t="inlineStr">
        <is>
          <t>បានពិនិត្យវិក្កយបត្រ</t>
        </is>
      </c>
      <c r="O52" s="226">
        <f>U52=E52</f>
        <v/>
      </c>
      <c r="P52" s="226">
        <f>MONTH(F52)-MONTH(T52)</f>
        <v/>
      </c>
      <c r="Q52" s="226">
        <f>$B$5=X52</f>
        <v/>
      </c>
      <c r="R52" s="226">
        <f>I52-AD52</f>
        <v/>
      </c>
      <c r="S52" s="360" t="n"/>
      <c r="T52" s="361" t="n">
        <v>45808</v>
      </c>
      <c r="U52" s="360" t="inlineStr">
        <is>
          <t>JILLANKA2501020</t>
        </is>
      </c>
      <c r="V52" s="360" t="n">
        <v>0</v>
      </c>
      <c r="W52" s="360" t="inlineStr">
        <is>
          <t>បុគ្គលជាប់អាករ</t>
        </is>
      </c>
      <c r="X52" s="360" t="inlineStr">
        <is>
          <t>L001-901640009</t>
        </is>
      </c>
      <c r="Y52" s="360" t="inlineStr">
        <is>
          <t>ហូលីដេ ឌីហ្សាញ (ខេមបូឌា) ឯ.ក</t>
        </is>
      </c>
      <c r="Z52" s="362" t="n">
        <v>225661164</v>
      </c>
      <c r="AA52" s="362" t="n">
        <v>205146513</v>
      </c>
      <c r="AB52" s="360" t="n">
        <v>0</v>
      </c>
      <c r="AC52" s="360" t="inlineStr">
        <is>
          <t>-</t>
        </is>
      </c>
      <c r="AD52" s="362" t="n">
        <v>20514651</v>
      </c>
      <c r="AE52" s="360" t="n">
        <v>0</v>
      </c>
      <c r="AF52" s="615" t="n">
        <v>0</v>
      </c>
      <c r="AG52" s="203" t="n">
        <v>0</v>
      </c>
      <c r="AH52" s="203" t="n">
        <v>0</v>
      </c>
      <c r="AI52" s="203" t="n">
        <v>0</v>
      </c>
      <c r="AJ52" s="203" t="n">
        <v>0</v>
      </c>
      <c r="AK52" s="203" t="n">
        <v>0</v>
      </c>
      <c r="AL52" s="203" t="n">
        <v>0.01</v>
      </c>
      <c r="AM52" s="203" t="n">
        <v>0</v>
      </c>
      <c r="AN52" s="203" t="inlineStr">
        <is>
          <t>Rental Building E , G, L</t>
        </is>
      </c>
      <c r="AO52" s="203" t="inlineStr">
        <is>
          <t>បានប្រកាសនិងបង់ពន្ធ</t>
        </is>
      </c>
    </row>
    <row r="53">
      <c r="A53" s="220">
        <f>A52+1</f>
        <v/>
      </c>
      <c r="B53" s="222" t="inlineStr">
        <is>
          <t>Rental Building D &amp; F</t>
        </is>
      </c>
      <c r="C53" s="222" t="inlineStr">
        <is>
          <t>JALIANKA INTERNATIONAL (CAMBODIA) CO., LTD.</t>
        </is>
      </c>
      <c r="D53" s="223" t="inlineStr">
        <is>
          <t>B105-901907504</t>
        </is>
      </c>
      <c r="E53" s="349" t="inlineStr">
        <is>
          <t>JILLANKA2501019</t>
        </is>
      </c>
      <c r="F53" s="332" t="n">
        <v>45808</v>
      </c>
      <c r="G53" s="224" t="n"/>
      <c r="H53" s="617" t="n"/>
      <c r="I53" s="617" t="n">
        <v>12896100</v>
      </c>
      <c r="J53" s="221" t="inlineStr">
        <is>
          <t>អនុញ្ញាត (បានប្រកាស)</t>
        </is>
      </c>
      <c r="K53" s="221" t="n"/>
      <c r="L53" s="616">
        <f>I53</f>
        <v/>
      </c>
      <c r="M53" s="588">
        <f>I53-L53</f>
        <v/>
      </c>
      <c r="N53" s="221" t="inlineStr">
        <is>
          <t>បានពិនិត្យវិក្កយបត្រ</t>
        </is>
      </c>
      <c r="O53" s="226">
        <f>U53=E53</f>
        <v/>
      </c>
      <c r="P53" s="226">
        <f>MONTH(F53)-MONTH(T53)</f>
        <v/>
      </c>
      <c r="Q53" s="226">
        <f>$B$5=X53</f>
        <v/>
      </c>
      <c r="R53" s="226">
        <f>I53-AD53</f>
        <v/>
      </c>
      <c r="S53" s="360" t="n"/>
      <c r="T53" s="361" t="n">
        <v>45808</v>
      </c>
      <c r="U53" s="360" t="inlineStr">
        <is>
          <t>JILLANKA2501019</t>
        </is>
      </c>
      <c r="V53" s="360" t="n">
        <v>0</v>
      </c>
      <c r="W53" s="360" t="inlineStr">
        <is>
          <t>បុគ្គលជាប់អាករ</t>
        </is>
      </c>
      <c r="X53" s="360" t="inlineStr">
        <is>
          <t>L001-901640009</t>
        </is>
      </c>
      <c r="Y53" s="360" t="inlineStr">
        <is>
          <t>ហូលីដេ ឌីហ្សាញ (ខេមបូឌា) ឯ.ក</t>
        </is>
      </c>
      <c r="Z53" s="362" t="n">
        <v>141857100</v>
      </c>
      <c r="AA53" s="362" t="n">
        <v>128961000</v>
      </c>
      <c r="AB53" s="360" t="n">
        <v>0</v>
      </c>
      <c r="AC53" s="360" t="inlineStr">
        <is>
          <t>-</t>
        </is>
      </c>
      <c r="AD53" s="362" t="n">
        <v>12896100</v>
      </c>
      <c r="AE53" s="360" t="n">
        <v>0</v>
      </c>
      <c r="AF53" s="615" t="n">
        <v>0</v>
      </c>
      <c r="AG53" s="203" t="n">
        <v>0</v>
      </c>
      <c r="AH53" s="203" t="n">
        <v>0</v>
      </c>
      <c r="AI53" s="203" t="n">
        <v>0</v>
      </c>
      <c r="AJ53" s="203" t="n">
        <v>0</v>
      </c>
      <c r="AK53" s="203" t="n">
        <v>0</v>
      </c>
      <c r="AL53" s="203" t="n">
        <v>0.01</v>
      </c>
      <c r="AM53" s="203" t="n">
        <v>0</v>
      </c>
      <c r="AN53" s="203" t="inlineStr">
        <is>
          <t>Rental Building D , F</t>
        </is>
      </c>
      <c r="AO53" s="203" t="inlineStr">
        <is>
          <t>បានប្រកាសនិងបង់ពន្ធ</t>
        </is>
      </c>
    </row>
    <row r="54">
      <c r="A54" s="220">
        <f>A53+1</f>
        <v/>
      </c>
      <c r="B54" s="222" t="inlineStr">
        <is>
          <t>កាបូនឌីធុកស៊ីត (CO2)</t>
        </is>
      </c>
      <c r="C54" s="222" t="inlineStr">
        <is>
          <t>DF INDUSTRIAL GASES CO., LTD.</t>
        </is>
      </c>
      <c r="D54" s="223" t="inlineStr">
        <is>
          <t>B105-902402285</t>
        </is>
      </c>
      <c r="E54" s="349" t="inlineStr">
        <is>
          <t>DFTI-24-015</t>
        </is>
      </c>
      <c r="F54" s="332" t="n">
        <v>45625</v>
      </c>
      <c r="G54" s="224" t="n"/>
      <c r="H54" s="617" t="n"/>
      <c r="I54" s="617" t="n">
        <v>402800</v>
      </c>
      <c r="J54" s="221" t="inlineStr">
        <is>
          <t>អនុញ្ញាត (បានប្រកាស)</t>
        </is>
      </c>
      <c r="K54" s="221" t="n"/>
      <c r="L54" s="616">
        <f>I54</f>
        <v/>
      </c>
      <c r="M54" s="588">
        <f>I54-L54</f>
        <v/>
      </c>
      <c r="N54" s="221" t="n"/>
      <c r="O54" s="226">
        <f>U54=E54</f>
        <v/>
      </c>
      <c r="P54" s="226">
        <f>MONTH(F54)-MONTH(T54)</f>
        <v/>
      </c>
      <c r="Q54" s="226">
        <f>$B$5=X54</f>
        <v/>
      </c>
      <c r="R54" s="226">
        <f>I54-AD54</f>
        <v/>
      </c>
      <c r="S54" s="360" t="n"/>
      <c r="T54" s="361" t="n">
        <v>45625</v>
      </c>
      <c r="U54" s="360" t="inlineStr">
        <is>
          <t>DFTI-24-015</t>
        </is>
      </c>
      <c r="V54" s="360" t="n">
        <v>0</v>
      </c>
      <c r="W54" s="360" t="inlineStr">
        <is>
          <t>បុគ្គលជាប់អាករ</t>
        </is>
      </c>
      <c r="X54" s="360" t="inlineStr">
        <is>
          <t>L001-901640009</t>
        </is>
      </c>
      <c r="Y54" s="360" t="inlineStr">
        <is>
          <t>ហូលីដេ ឌីហ្សាញ (ខេមបូឌា) ឯ.ក</t>
        </is>
      </c>
      <c r="Z54" s="362" t="n">
        <v>4430800</v>
      </c>
      <c r="AA54" s="362" t="n">
        <v>4028000</v>
      </c>
      <c r="AB54" s="360" t="n">
        <v>0</v>
      </c>
      <c r="AC54" s="360" t="inlineStr">
        <is>
          <t>-</t>
        </is>
      </c>
      <c r="AD54" s="362" t="n">
        <v>402800</v>
      </c>
      <c r="AE54" s="360" t="n">
        <v>0</v>
      </c>
      <c r="AF54" s="615" t="n">
        <v>0</v>
      </c>
      <c r="AG54" s="203" t="n">
        <v>0</v>
      </c>
      <c r="AH54" s="203" t="n">
        <v>0</v>
      </c>
      <c r="AI54" s="203" t="n">
        <v>0</v>
      </c>
      <c r="AJ54" s="203" t="n">
        <v>0</v>
      </c>
      <c r="AK54" s="203" t="n">
        <v>0</v>
      </c>
      <c r="AL54" s="203" t="n">
        <v>0.01</v>
      </c>
      <c r="AM54" s="203" t="n">
        <v>0</v>
      </c>
      <c r="AN54" s="203" t="inlineStr">
        <is>
          <t>កាបូនឌីអុកស៊ីត (CO2)</t>
        </is>
      </c>
      <c r="AO54" s="203" t="inlineStr">
        <is>
          <t>បានប្រកាសនិងបង់ពន្ធ</t>
        </is>
      </c>
    </row>
    <row r="55">
      <c r="A55" s="220">
        <f>A54+1</f>
        <v/>
      </c>
      <c r="B55" s="222" t="inlineStr">
        <is>
          <t>CDC Tax-exemption</t>
        </is>
      </c>
      <c r="C55" s="222" t="inlineStr">
        <is>
          <t>BRILLIANT TRANSPORT AND TRADING Co., Ltd.</t>
        </is>
      </c>
      <c r="D55" s="223" t="inlineStr">
        <is>
          <t>K002-100089305</t>
        </is>
      </c>
      <c r="E55" s="349" t="inlineStr">
        <is>
          <t>BTT24-0002423</t>
        </is>
      </c>
      <c r="F55" s="332" t="n">
        <v>45618</v>
      </c>
      <c r="G55" s="224" t="n"/>
      <c r="H55" s="617" t="n"/>
      <c r="I55" s="617" t="n">
        <v>865590</v>
      </c>
      <c r="J55" s="221" t="inlineStr">
        <is>
          <t>អនុញ្ញាត (បានប្រកាស)</t>
        </is>
      </c>
      <c r="K55" s="221" t="n"/>
      <c r="L55" s="616">
        <f>I55</f>
        <v/>
      </c>
      <c r="M55" s="588">
        <f>I55-L55</f>
        <v/>
      </c>
      <c r="N55" s="221" t="n"/>
      <c r="O55" s="226">
        <f>U55=E55</f>
        <v/>
      </c>
      <c r="P55" s="226">
        <f>MONTH(F55)-MONTH(T55)</f>
        <v/>
      </c>
      <c r="Q55" s="226">
        <f>$B$5=X55</f>
        <v/>
      </c>
      <c r="R55" s="226">
        <f>I55-AD55</f>
        <v/>
      </c>
      <c r="S55" s="360" t="n"/>
      <c r="T55" s="361" t="n">
        <v>45618</v>
      </c>
      <c r="U55" s="360" t="inlineStr">
        <is>
          <t>BTT24-0002423</t>
        </is>
      </c>
      <c r="V55" s="360" t="n">
        <v>0</v>
      </c>
      <c r="W55" s="360" t="inlineStr">
        <is>
          <t>បុគ្គលជាប់អាករ</t>
        </is>
      </c>
      <c r="X55" s="360" t="inlineStr">
        <is>
          <t>L001-901640009</t>
        </is>
      </c>
      <c r="Y55" s="360" t="inlineStr">
        <is>
          <t>ហូលីដេ ឌីហ្សាញ (ខេមបូឌា) ឯ.ក</t>
        </is>
      </c>
      <c r="Z55" s="362" t="n">
        <v>9521490</v>
      </c>
      <c r="AA55" s="362" t="n">
        <v>8655900</v>
      </c>
      <c r="AB55" s="360" t="n">
        <v>0</v>
      </c>
      <c r="AC55" s="360" t="inlineStr">
        <is>
          <t>-</t>
        </is>
      </c>
      <c r="AD55" s="362" t="n">
        <v>865590</v>
      </c>
      <c r="AE55" s="360" t="n">
        <v>0</v>
      </c>
      <c r="AF55" s="615" t="n">
        <v>0</v>
      </c>
      <c r="AG55" s="203" t="n">
        <v>0</v>
      </c>
      <c r="AH55" s="203" t="n">
        <v>0</v>
      </c>
      <c r="AI55" s="203" t="n">
        <v>0</v>
      </c>
      <c r="AJ55" s="203" t="n">
        <v>0</v>
      </c>
      <c r="AK55" s="203" t="n">
        <v>0</v>
      </c>
      <c r="AL55" s="203" t="n">
        <v>0.01</v>
      </c>
      <c r="AM55" s="203" t="n">
        <v>0</v>
      </c>
      <c r="AN55" s="203" t="inlineStr">
        <is>
          <t>Truking / Service</t>
        </is>
      </c>
    </row>
    <row r="56">
      <c r="A56" s="220">
        <f>A55+1</f>
        <v/>
      </c>
      <c r="B56" s="222" t="inlineStr">
        <is>
          <t>Terminal Handling Service-Im</t>
        </is>
      </c>
      <c r="C56" s="222" t="inlineStr">
        <is>
          <t>SITC CONTAINER LINES (CAMBODIA) Co., Ltd.</t>
        </is>
      </c>
      <c r="D56" s="223" t="inlineStr">
        <is>
          <t>L001-107035863</t>
        </is>
      </c>
      <c r="E56" s="349" t="inlineStr">
        <is>
          <t>SITC2024-036956</t>
        </is>
      </c>
      <c r="F56" s="332" t="n">
        <v>45622</v>
      </c>
      <c r="G56" s="224" t="n"/>
      <c r="H56" s="617" t="n"/>
      <c r="I56" s="617" t="n">
        <v>232812</v>
      </c>
      <c r="J56" s="221" t="inlineStr">
        <is>
          <t>អនុញ្ញាត (បានប្រកាស)</t>
        </is>
      </c>
      <c r="K56" s="221" t="n"/>
      <c r="L56" s="616">
        <f>I56</f>
        <v/>
      </c>
      <c r="M56" s="588">
        <f>I56-L56</f>
        <v/>
      </c>
      <c r="N56" s="221" t="n"/>
      <c r="O56" s="226">
        <f>U56=E56</f>
        <v/>
      </c>
      <c r="P56" s="226">
        <f>MONTH(F56)-MONTH(T56)</f>
        <v/>
      </c>
      <c r="Q56" s="226">
        <f>$B$5=X56</f>
        <v/>
      </c>
      <c r="R56" s="226">
        <f>I56-AD56</f>
        <v/>
      </c>
      <c r="S56" s="360" t="n"/>
      <c r="T56" s="361" t="n">
        <v>45622</v>
      </c>
      <c r="U56" s="360" t="inlineStr">
        <is>
          <t>SITC2024-036956</t>
        </is>
      </c>
      <c r="V56" s="360" t="n">
        <v>0</v>
      </c>
      <c r="W56" s="360" t="inlineStr">
        <is>
          <t>បុគ្គលជាប់អាករ</t>
        </is>
      </c>
      <c r="X56" s="360" t="inlineStr">
        <is>
          <t>L001-901640009</t>
        </is>
      </c>
      <c r="Y56" s="360" t="inlineStr">
        <is>
          <t>ហូលីដេ ឌីហ្សាញ (ខេមបូឌា) ឯ.ក</t>
        </is>
      </c>
      <c r="Z56" s="362" t="n">
        <v>2560932</v>
      </c>
      <c r="AA56" s="362" t="n">
        <v>2328120</v>
      </c>
      <c r="AB56" s="360" t="n">
        <v>0</v>
      </c>
      <c r="AC56" s="360" t="inlineStr">
        <is>
          <t>-</t>
        </is>
      </c>
      <c r="AD56" s="362" t="n">
        <v>232812</v>
      </c>
      <c r="AE56" s="360" t="n">
        <v>0</v>
      </c>
      <c r="AF56" s="615" t="n">
        <v>0</v>
      </c>
      <c r="AG56" s="203" t="n">
        <v>0</v>
      </c>
      <c r="AH56" s="203" t="n">
        <v>0</v>
      </c>
      <c r="AI56" s="203" t="n">
        <v>0</v>
      </c>
      <c r="AJ56" s="203" t="n">
        <v>0</v>
      </c>
      <c r="AK56" s="203" t="n">
        <v>0</v>
      </c>
      <c r="AL56" s="203" t="n">
        <v>0.01</v>
      </c>
      <c r="AM56" s="203" t="n">
        <v>0</v>
      </c>
      <c r="AN56" s="203" t="inlineStr">
        <is>
          <t>KHCIC,KHTHC,KHDOC,EIB,EMF</t>
        </is>
      </c>
    </row>
    <row r="57">
      <c r="A57" s="220">
        <f>A56+1</f>
        <v/>
      </c>
      <c r="B57" s="222" t="inlineStr">
        <is>
          <t>កាបូនឌីអុកស៊ីត (CO2)</t>
        </is>
      </c>
      <c r="C57" s="222" t="inlineStr">
        <is>
          <t>DF INDUSTRIAL GASES CO., LTD.</t>
        </is>
      </c>
      <c r="D57" s="223" t="inlineStr">
        <is>
          <t>B105-902402285</t>
        </is>
      </c>
      <c r="E57" s="349" t="inlineStr">
        <is>
          <t>DFTI-25-012</t>
        </is>
      </c>
      <c r="F57" s="332" t="n">
        <v>45730</v>
      </c>
      <c r="G57" s="224" t="n"/>
      <c r="H57" s="617" t="n"/>
      <c r="I57" s="617" t="n">
        <v>402800</v>
      </c>
      <c r="J57" s="221" t="inlineStr">
        <is>
          <t>អនុញ្ញាត (បានប្រកាស)</t>
        </is>
      </c>
      <c r="K57" s="221" t="n"/>
      <c r="L57" s="616">
        <f>I57</f>
        <v/>
      </c>
      <c r="M57" s="588">
        <f>I57-L57</f>
        <v/>
      </c>
      <c r="N57" s="221" t="n"/>
      <c r="O57" s="226">
        <f>U57=E57</f>
        <v/>
      </c>
      <c r="P57" s="226">
        <f>MONTH(F57)-MONTH(T57)</f>
        <v/>
      </c>
      <c r="Q57" s="226">
        <f>$B$5=X57</f>
        <v/>
      </c>
      <c r="R57" s="226">
        <f>I57-AD57</f>
        <v/>
      </c>
      <c r="S57" s="360" t="n"/>
      <c r="T57" s="361" t="n">
        <v>45730</v>
      </c>
      <c r="U57" s="360" t="inlineStr">
        <is>
          <t>DFTI-25-012</t>
        </is>
      </c>
      <c r="V57" s="360" t="n">
        <v>0</v>
      </c>
      <c r="W57" s="360" t="inlineStr">
        <is>
          <t>បុគ្គលជាប់អាករ</t>
        </is>
      </c>
      <c r="X57" s="360" t="inlineStr">
        <is>
          <t>L001-901640009</t>
        </is>
      </c>
      <c r="Y57" s="360" t="inlineStr">
        <is>
          <t>ហូលីដេ ឌីហ្សាញ (ខេមបូឌា) ឯ.ក</t>
        </is>
      </c>
      <c r="Z57" s="362" t="n">
        <v>4430800</v>
      </c>
      <c r="AA57" s="362" t="n">
        <v>4028000</v>
      </c>
      <c r="AB57" s="360" t="n">
        <v>0</v>
      </c>
      <c r="AC57" s="360" t="inlineStr">
        <is>
          <t>-</t>
        </is>
      </c>
      <c r="AD57" s="362" t="n">
        <v>402800</v>
      </c>
      <c r="AE57" s="360" t="n">
        <v>0</v>
      </c>
      <c r="AF57" s="615" t="n">
        <v>0</v>
      </c>
      <c r="AG57" s="203" t="n">
        <v>0</v>
      </c>
      <c r="AH57" s="203" t="n">
        <v>0</v>
      </c>
      <c r="AI57" s="203" t="n">
        <v>0</v>
      </c>
      <c r="AJ57" s="203" t="n">
        <v>0</v>
      </c>
      <c r="AK57" s="203" t="n">
        <v>0</v>
      </c>
      <c r="AL57" s="203" t="n">
        <v>0.01</v>
      </c>
      <c r="AM57" s="203" t="n">
        <v>0</v>
      </c>
      <c r="AN57" s="203" t="inlineStr">
        <is>
          <t>កាបូនឌីអុកស៊ីត (CO2)</t>
        </is>
      </c>
      <c r="AO57" s="203" t="inlineStr">
        <is>
          <t>បានប្រកាសនិងបង់ពន្ធ</t>
        </is>
      </c>
    </row>
    <row r="58">
      <c r="A58" s="220">
        <f>A57+1</f>
        <v/>
      </c>
      <c r="B58" s="222" t="inlineStr">
        <is>
          <t>CO2</t>
        </is>
      </c>
      <c r="C58" s="222" t="inlineStr">
        <is>
          <t>DF INDUSTRIAL GASES CO., LTD.</t>
        </is>
      </c>
      <c r="D58" s="223" t="inlineStr">
        <is>
          <t>B105-902402285</t>
        </is>
      </c>
      <c r="E58" s="349" t="inlineStr">
        <is>
          <t>DFTI-25-030</t>
        </is>
      </c>
      <c r="F58" s="332" t="n">
        <v>45797</v>
      </c>
      <c r="G58" s="224" t="n"/>
      <c r="H58" s="617" t="n"/>
      <c r="I58" s="617" t="n">
        <v>400300</v>
      </c>
      <c r="J58" s="221" t="inlineStr">
        <is>
          <t>អនុញ្ញាត (បានប្រកាស)</t>
        </is>
      </c>
      <c r="K58" s="221" t="n"/>
      <c r="L58" s="616">
        <f>I58</f>
        <v/>
      </c>
      <c r="M58" s="588">
        <f>I58-L58</f>
        <v/>
      </c>
      <c r="N58" s="221" t="n"/>
      <c r="O58" s="226">
        <f>U58=E58</f>
        <v/>
      </c>
      <c r="P58" s="226">
        <f>MONTH(F58)-MONTH(T58)</f>
        <v/>
      </c>
      <c r="Q58" s="226">
        <f>$B$5=X58</f>
        <v/>
      </c>
      <c r="R58" s="226">
        <f>I58-AD58</f>
        <v/>
      </c>
      <c r="S58" s="360" t="n"/>
      <c r="T58" s="361" t="n">
        <v>45797</v>
      </c>
      <c r="U58" s="360" t="inlineStr">
        <is>
          <t>DFTI-25-030</t>
        </is>
      </c>
      <c r="V58" s="360" t="n">
        <v>0</v>
      </c>
      <c r="W58" s="360" t="inlineStr">
        <is>
          <t>បុគ្គលជាប់អាករ</t>
        </is>
      </c>
      <c r="X58" s="360" t="inlineStr">
        <is>
          <t>L001-901640009</t>
        </is>
      </c>
      <c r="Y58" s="360" t="inlineStr">
        <is>
          <t>ហូលីដេ ឌីហ្សាញ (ខេមបូឌា) ឯ.ក</t>
        </is>
      </c>
      <c r="Z58" s="362" t="n">
        <v>4403300</v>
      </c>
      <c r="AA58" s="362" t="n">
        <v>4003000</v>
      </c>
      <c r="AB58" s="360" t="n">
        <v>0</v>
      </c>
      <c r="AC58" s="360" t="inlineStr">
        <is>
          <t>-</t>
        </is>
      </c>
      <c r="AD58" s="362" t="n">
        <v>400300</v>
      </c>
      <c r="AE58" s="360" t="n">
        <v>0</v>
      </c>
      <c r="AF58" s="615" t="n">
        <v>0</v>
      </c>
      <c r="AG58" s="203" t="n">
        <v>0</v>
      </c>
      <c r="AH58" s="203" t="n">
        <v>0</v>
      </c>
      <c r="AI58" s="203" t="n">
        <v>0</v>
      </c>
      <c r="AJ58" s="203" t="n">
        <v>0</v>
      </c>
      <c r="AK58" s="203" t="n">
        <v>0</v>
      </c>
      <c r="AL58" s="203" t="n">
        <v>0.01</v>
      </c>
      <c r="AM58" s="203" t="n">
        <v>0</v>
      </c>
      <c r="AN58" s="203" t="inlineStr">
        <is>
          <t>កាបូនឌីអុកស៊ីត (CO2)</t>
        </is>
      </c>
      <c r="AO58" s="203" t="inlineStr">
        <is>
          <t>បានប្រកាសនិងបង់ពន្ធ</t>
        </is>
      </c>
    </row>
    <row r="59">
      <c r="A59" s="220">
        <f>A58+1</f>
        <v/>
      </c>
      <c r="B59" s="222" t="inlineStr">
        <is>
          <t>សេវាបាញ់ថ្នាំចូលក្នុងកុងទីន័រ</t>
        </is>
      </c>
      <c r="C59" s="222" t="inlineStr">
        <is>
          <t>C.M.I.X.S Co., Ltd.</t>
        </is>
      </c>
      <c r="D59" s="223" t="inlineStr">
        <is>
          <t>B108-150005385</t>
        </is>
      </c>
      <c r="E59" s="349" t="inlineStr">
        <is>
          <t>ICS-25-003</t>
        </is>
      </c>
      <c r="F59" s="332" t="n">
        <v>45789</v>
      </c>
      <c r="G59" s="224" t="n"/>
      <c r="H59" s="617" t="n"/>
      <c r="I59" s="617" t="n">
        <v>264198</v>
      </c>
      <c r="J59" s="221" t="inlineStr">
        <is>
          <t>អនុញ្ញាត (បានប្រកាស)</t>
        </is>
      </c>
      <c r="K59" s="221" t="n"/>
      <c r="L59" s="616">
        <f>I59</f>
        <v/>
      </c>
      <c r="M59" s="588">
        <f>I59-L59</f>
        <v/>
      </c>
      <c r="N59" s="221" t="n"/>
      <c r="O59" s="226">
        <f>U59=E59</f>
        <v/>
      </c>
      <c r="P59" s="226">
        <f>MONTH(F59)-MONTH(T59)</f>
        <v/>
      </c>
      <c r="Q59" s="226">
        <f>$B$5=X59</f>
        <v/>
      </c>
      <c r="R59" s="226">
        <f>I59-AD59</f>
        <v/>
      </c>
      <c r="S59" s="360" t="n"/>
      <c r="T59" s="361" t="n">
        <v>45789</v>
      </c>
      <c r="U59" s="360" t="inlineStr">
        <is>
          <t>ICS-25-003</t>
        </is>
      </c>
      <c r="V59" s="360" t="n">
        <v>0</v>
      </c>
      <c r="W59" s="360" t="inlineStr">
        <is>
          <t>បុគ្គលជាប់អាករ</t>
        </is>
      </c>
      <c r="X59" s="360" t="inlineStr">
        <is>
          <t>L001-901640009</t>
        </is>
      </c>
      <c r="Y59" s="360" t="inlineStr">
        <is>
          <t>ហូលីដេ ឌីហ្សាញ (ខេមបូឌា) ឯ.ក</t>
        </is>
      </c>
      <c r="Z59" s="362" t="n">
        <v>2907630</v>
      </c>
      <c r="AA59" s="362" t="n">
        <v>2643300</v>
      </c>
      <c r="AB59" s="360" t="n">
        <v>0</v>
      </c>
      <c r="AC59" s="360" t="inlineStr">
        <is>
          <t>-</t>
        </is>
      </c>
      <c r="AD59" s="362" t="n">
        <v>264330</v>
      </c>
      <c r="AE59" s="360" t="n">
        <v>0</v>
      </c>
      <c r="AF59" s="615" t="n">
        <v>0</v>
      </c>
      <c r="AG59" s="203" t="n">
        <v>0</v>
      </c>
      <c r="AH59" s="203" t="n">
        <v>0</v>
      </c>
      <c r="AI59" s="203" t="n">
        <v>0</v>
      </c>
      <c r="AJ59" s="203" t="n">
        <v>0</v>
      </c>
      <c r="AK59" s="203" t="n">
        <v>0</v>
      </c>
      <c r="AL59" s="203" t="n">
        <v>0.01</v>
      </c>
      <c r="AM59" s="203" t="n">
        <v>0</v>
      </c>
      <c r="AN59" s="203" t="inlineStr">
        <is>
          <t>សេវាបាញ់ថ្នាំចូលក្នុងកុងទីន័រ</t>
        </is>
      </c>
      <c r="AO59" s="203" t="inlineStr">
        <is>
          <t>បានប្រកាសនិងបង់ពន្ធ</t>
        </is>
      </c>
    </row>
    <row r="60">
      <c r="A60" s="220">
        <f>A59+1</f>
        <v/>
      </c>
      <c r="B60" s="222" t="inlineStr">
        <is>
          <t>Second billing 40% Fee for Audit Report 2023</t>
        </is>
      </c>
      <c r="C60" s="222" t="inlineStr">
        <is>
          <t>K PROFESSIONAL ACCOUNTANTS Co., Ltd.</t>
        </is>
      </c>
      <c r="D60" s="223" t="inlineStr">
        <is>
          <t>K002-107015749</t>
        </is>
      </c>
      <c r="E60" s="349" t="inlineStr">
        <is>
          <t>TI24-01393</t>
        </is>
      </c>
      <c r="F60" s="332" t="n">
        <v>45589</v>
      </c>
      <c r="G60" s="224" t="n"/>
      <c r="H60" s="617" t="n"/>
      <c r="I60" s="617" t="n">
        <v>844896</v>
      </c>
      <c r="J60" s="221" t="inlineStr">
        <is>
          <t>អនុញ្ញាត (បានប្រកាស)</t>
        </is>
      </c>
      <c r="K60" s="221" t="n"/>
      <c r="L60" s="616">
        <f>I60</f>
        <v/>
      </c>
      <c r="M60" s="588">
        <f>I60-L60</f>
        <v/>
      </c>
      <c r="N60" s="221" t="n"/>
      <c r="O60" s="226">
        <f>U60=E60</f>
        <v/>
      </c>
      <c r="P60" s="226">
        <f>MONTH(F60)-MONTH(T60)</f>
        <v/>
      </c>
      <c r="Q60" s="226">
        <f>$B$5=X60</f>
        <v/>
      </c>
      <c r="R60" s="226">
        <f>I60-AD60</f>
        <v/>
      </c>
      <c r="S60" s="360" t="n"/>
      <c r="T60" s="361" t="n">
        <v>45589</v>
      </c>
      <c r="U60" s="360" t="inlineStr">
        <is>
          <t>TI24-01393</t>
        </is>
      </c>
      <c r="V60" s="360" t="n">
        <v>0</v>
      </c>
      <c r="W60" s="360" t="inlineStr">
        <is>
          <t>បុគ្គលជាប់អាករ</t>
        </is>
      </c>
      <c r="X60" s="360" t="inlineStr">
        <is>
          <t>L001-901640009</t>
        </is>
      </c>
      <c r="Y60" s="360" t="inlineStr">
        <is>
          <t>ហូលីដេ ឌីហ្សាញ (ខេមបូឌា) ឯ.ក</t>
        </is>
      </c>
      <c r="Z60" s="362" t="n">
        <v>9293856</v>
      </c>
      <c r="AA60" s="362" t="n">
        <v>8448960</v>
      </c>
      <c r="AB60" s="360" t="n">
        <v>0</v>
      </c>
      <c r="AC60" s="360" t="inlineStr">
        <is>
          <t>-</t>
        </is>
      </c>
      <c r="AD60" s="362" t="n">
        <v>844896</v>
      </c>
      <c r="AE60" s="360" t="n">
        <v>0</v>
      </c>
      <c r="AF60" s="615" t="n">
        <v>0</v>
      </c>
      <c r="AG60" s="203" t="n">
        <v>0</v>
      </c>
      <c r="AH60" s="203" t="n">
        <v>0</v>
      </c>
      <c r="AI60" s="203" t="n">
        <v>0</v>
      </c>
      <c r="AJ60" s="203" t="n">
        <v>0</v>
      </c>
      <c r="AK60" s="203" t="n">
        <v>0</v>
      </c>
      <c r="AL60" s="203" t="n">
        <v>0.01</v>
      </c>
      <c r="AM60" s="203" t="n">
        <v>0</v>
      </c>
      <c r="AN60" s="203" t="inlineStr">
        <is>
          <t>សេវាសវនកម្មលើរបាយការណ៏ហិរញ្ញវត្ថុសំរាប់ចុងការិយបរិច្ឆេទ៣១ ធ្នូ ២០២៣ (បង់ប្រាក់លើកទីពីរ ៤០%)</t>
        </is>
      </c>
      <c r="AO60" s="203" t="inlineStr">
        <is>
          <t>បានប្រកាសនិងបង់ពន្ធ</t>
        </is>
      </c>
    </row>
    <row r="61">
      <c r="A61" s="220">
        <f>A60+1</f>
        <v/>
      </c>
      <c r="B61" s="222" t="inlineStr">
        <is>
          <t>Final Billing 10% Fee Audit On Financial Staterment for the Year 2023</t>
        </is>
      </c>
      <c r="C61" s="222" t="inlineStr">
        <is>
          <t>K PROFESSIONAL ACCOUNTANTS Co., Ltd.</t>
        </is>
      </c>
      <c r="D61" s="223" t="inlineStr">
        <is>
          <t>K002-107015749</t>
        </is>
      </c>
      <c r="E61" s="349" t="inlineStr">
        <is>
          <t>TI24-01517</t>
        </is>
      </c>
      <c r="F61" s="332" t="n">
        <v>45628</v>
      </c>
      <c r="G61" s="224" t="n"/>
      <c r="H61" s="617" t="n"/>
      <c r="I61" s="617" t="n">
        <v>209508</v>
      </c>
      <c r="J61" s="221" t="inlineStr">
        <is>
          <t>អនុញ្ញាត (បានប្រកាស)</t>
        </is>
      </c>
      <c r="K61" s="221" t="n"/>
      <c r="L61" s="616">
        <f>I61</f>
        <v/>
      </c>
      <c r="M61" s="588">
        <f>I61-L61</f>
        <v/>
      </c>
      <c r="N61" s="221" t="n"/>
      <c r="O61" s="226">
        <f>U61=E61</f>
        <v/>
      </c>
      <c r="P61" s="226">
        <f>MONTH(F61)-MONTH(T61)</f>
        <v/>
      </c>
      <c r="Q61" s="226">
        <f>$B$5=X61</f>
        <v/>
      </c>
      <c r="R61" s="226">
        <f>I61-AD61</f>
        <v/>
      </c>
      <c r="S61" s="360" t="n"/>
      <c r="T61" s="361" t="n">
        <v>45628</v>
      </c>
      <c r="U61" s="360" t="inlineStr">
        <is>
          <t>TI24-01517</t>
        </is>
      </c>
      <c r="V61" s="360" t="n">
        <v>0</v>
      </c>
      <c r="W61" s="360" t="inlineStr">
        <is>
          <t>បុគ្គលជាប់អាករ</t>
        </is>
      </c>
      <c r="X61" s="360" t="inlineStr">
        <is>
          <t>L001-901640009</t>
        </is>
      </c>
      <c r="Y61" s="360" t="inlineStr">
        <is>
          <t>ហូលីដេ ឌីហ្សាញ (ខេមបូឌា) ឯ.ក</t>
        </is>
      </c>
      <c r="Z61" s="362" t="n">
        <v>2304588</v>
      </c>
      <c r="AA61" s="362" t="n">
        <v>2095080</v>
      </c>
      <c r="AB61" s="360" t="n">
        <v>0</v>
      </c>
      <c r="AC61" s="360" t="inlineStr">
        <is>
          <t>-</t>
        </is>
      </c>
      <c r="AD61" s="362" t="n">
        <v>209508</v>
      </c>
      <c r="AE61" s="360" t="n">
        <v>0</v>
      </c>
      <c r="AF61" s="615" t="n">
        <v>0</v>
      </c>
      <c r="AG61" s="203" t="n">
        <v>0</v>
      </c>
      <c r="AH61" s="203" t="n">
        <v>0</v>
      </c>
      <c r="AI61" s="203" t="n">
        <v>0</v>
      </c>
      <c r="AJ61" s="203" t="n">
        <v>0</v>
      </c>
      <c r="AK61" s="203" t="n">
        <v>0</v>
      </c>
      <c r="AL61" s="203" t="n">
        <v>0.01</v>
      </c>
      <c r="AM61" s="203" t="n">
        <v>0</v>
      </c>
      <c r="AN61" s="203" t="inlineStr">
        <is>
          <t>សេវាសវនកម្មលើរបាយការណ៏ហិរញ្ញវត្ថុសំរាប់ចុងការិយបរិច្ឆេទ៣១ ធ្នូ ២០២៣ (បង់ប្រាក់លើកចុងក្រោយ ១០%)</t>
        </is>
      </c>
      <c r="AO61" s="203" t="inlineStr">
        <is>
          <t>បានប្រកាសនិងបង់ពន្ធ</t>
        </is>
      </c>
    </row>
    <row r="62">
      <c r="A62" s="220">
        <f>A61+1</f>
        <v/>
      </c>
      <c r="B62" s="222" t="inlineStr">
        <is>
          <t>Final Billing 50% Fee Audit On Financial Staterment for the Year 2024</t>
        </is>
      </c>
      <c r="C62" s="222" t="inlineStr">
        <is>
          <t>K PROFESSIONAL ACCOUNTANTS Co., Ltd.</t>
        </is>
      </c>
      <c r="D62" s="223" t="inlineStr">
        <is>
          <t>K002-107015749</t>
        </is>
      </c>
      <c r="E62" s="349" t="inlineStr">
        <is>
          <t>TI25-00024</t>
        </is>
      </c>
      <c r="F62" s="332" t="n">
        <v>45659</v>
      </c>
      <c r="G62" s="224" t="n"/>
      <c r="H62" s="617" t="n"/>
      <c r="I62" s="617" t="n">
        <v>1047020</v>
      </c>
      <c r="J62" s="221" t="inlineStr">
        <is>
          <t>អនុញ្ញាត (បានប្រកាស)</t>
        </is>
      </c>
      <c r="K62" s="221" t="n"/>
      <c r="L62" s="616">
        <f>I62</f>
        <v/>
      </c>
      <c r="M62" s="588">
        <f>I62-L62</f>
        <v/>
      </c>
      <c r="N62" s="221" t="n"/>
      <c r="O62" s="226">
        <f>U62=E62</f>
        <v/>
      </c>
      <c r="P62" s="226">
        <f>MONTH(F62)-MONTH(T62)</f>
        <v/>
      </c>
      <c r="Q62" s="226">
        <f>$B$5=X62</f>
        <v/>
      </c>
      <c r="R62" s="226">
        <f>I62-AD62</f>
        <v/>
      </c>
      <c r="S62" s="360" t="n"/>
      <c r="T62" s="361" t="n">
        <v>45659</v>
      </c>
      <c r="U62" s="360" t="inlineStr">
        <is>
          <t>TI25-00024</t>
        </is>
      </c>
      <c r="V62" s="360" t="n">
        <v>0</v>
      </c>
      <c r="W62" s="360" t="inlineStr">
        <is>
          <t>បុគ្គលជាប់អាករ</t>
        </is>
      </c>
      <c r="X62" s="360" t="inlineStr">
        <is>
          <t>L001-901640009</t>
        </is>
      </c>
      <c r="Y62" s="360" t="inlineStr">
        <is>
          <t>ហូលីដេ ឌីហ្សាញ (ខេមបូឌា) ឯ.ក</t>
        </is>
      </c>
      <c r="Z62" s="362" t="n">
        <v>11517220</v>
      </c>
      <c r="AA62" s="362" t="n">
        <v>10470200</v>
      </c>
      <c r="AB62" s="360" t="n">
        <v>0</v>
      </c>
      <c r="AC62" s="360" t="inlineStr">
        <is>
          <t>-</t>
        </is>
      </c>
      <c r="AD62" s="362" t="n">
        <v>1047020</v>
      </c>
      <c r="AE62" s="360" t="n">
        <v>0</v>
      </c>
      <c r="AF62" s="615" t="n">
        <v>0</v>
      </c>
      <c r="AG62" s="203" t="n">
        <v>0</v>
      </c>
      <c r="AH62" s="203" t="n">
        <v>0</v>
      </c>
      <c r="AI62" s="203" t="n">
        <v>0</v>
      </c>
      <c r="AJ62" s="203" t="n">
        <v>0</v>
      </c>
      <c r="AK62" s="203" t="n">
        <v>0</v>
      </c>
      <c r="AL62" s="203" t="n">
        <v>0.01</v>
      </c>
      <c r="AM62" s="203" t="n">
        <v>0</v>
      </c>
      <c r="AN62" s="203" t="inlineStr">
        <is>
          <t>សេវាសវនកម្មលើរបាយការណ៏ហិរញ្ញវត្ថុសំរាប់ចុងការិយបរិច្ឆេទ៣១ ធ្នូ ២០២៤ (បង់ប្រាក់លើកទីមួយ ៥០%)</t>
        </is>
      </c>
      <c r="AO62" s="203" t="inlineStr">
        <is>
          <t>បានប្រកាសនិងបង់ពន្ធ</t>
        </is>
      </c>
    </row>
    <row r="63">
      <c r="A63" s="220">
        <f>A62+1</f>
        <v/>
      </c>
      <c r="B63" s="222" t="inlineStr">
        <is>
          <t>Export Clearance</t>
        </is>
      </c>
      <c r="C63" s="222" t="inlineStr">
        <is>
          <t>MFL MULTI FREIGHT LOGISTICS Ltd.</t>
        </is>
      </c>
      <c r="D63" s="223" t="inlineStr">
        <is>
          <t>K005-901504427</t>
        </is>
      </c>
      <c r="E63" s="349" t="inlineStr">
        <is>
          <t>MFL-2501016</t>
        </is>
      </c>
      <c r="F63" s="332" t="n">
        <v>45674</v>
      </c>
      <c r="G63" s="224" t="n"/>
      <c r="H63" s="617" t="n"/>
      <c r="I63" s="617" t="n">
        <v>48324</v>
      </c>
      <c r="J63" s="221" t="inlineStr">
        <is>
          <t>អនុញ្ញាត (បានប្រកាស)</t>
        </is>
      </c>
      <c r="K63" s="221" t="n"/>
      <c r="L63" s="616">
        <f>I63</f>
        <v/>
      </c>
      <c r="M63" s="588">
        <f>I63-L63</f>
        <v/>
      </c>
      <c r="N63" s="221" t="n"/>
      <c r="O63" s="226">
        <f>U63=E63</f>
        <v/>
      </c>
      <c r="P63" s="226">
        <f>MONTH(F63)-MONTH(T63)</f>
        <v/>
      </c>
      <c r="Q63" s="226">
        <f>$B$5=X63</f>
        <v/>
      </c>
      <c r="R63" s="226">
        <f>I63-AD63</f>
        <v/>
      </c>
      <c r="S63" s="360" t="n"/>
      <c r="T63" s="361" t="n">
        <v>45674</v>
      </c>
      <c r="U63" s="360" t="inlineStr">
        <is>
          <t>MFL-2501016</t>
        </is>
      </c>
      <c r="V63" s="360" t="n">
        <v>0</v>
      </c>
      <c r="W63" s="360" t="inlineStr">
        <is>
          <t>បុគ្គលជាប់អាករ</t>
        </is>
      </c>
      <c r="X63" s="360" t="inlineStr">
        <is>
          <t>L001-901640009</t>
        </is>
      </c>
      <c r="Y63" s="360" t="inlineStr">
        <is>
          <t>ហូលីដេ ឌីហ្សាញ (ខេមបូឌា) ឯ.ក</t>
        </is>
      </c>
      <c r="Z63" s="362" t="n">
        <v>531564</v>
      </c>
      <c r="AA63" s="362" t="n">
        <v>483240</v>
      </c>
      <c r="AB63" s="360" t="n">
        <v>0</v>
      </c>
      <c r="AC63" s="360" t="inlineStr">
        <is>
          <t>-</t>
        </is>
      </c>
      <c r="AD63" s="362" t="n">
        <v>48324</v>
      </c>
      <c r="AE63" s="360" t="n">
        <v>0</v>
      </c>
      <c r="AF63" s="615" t="n">
        <v>0</v>
      </c>
      <c r="AG63" s="203" t="n">
        <v>0</v>
      </c>
      <c r="AH63" s="203" t="n">
        <v>0</v>
      </c>
      <c r="AI63" s="203" t="n">
        <v>0</v>
      </c>
      <c r="AJ63" s="203" t="n">
        <v>0</v>
      </c>
      <c r="AK63" s="203" t="n">
        <v>0</v>
      </c>
      <c r="AL63" s="203" t="n">
        <v>0.01</v>
      </c>
      <c r="AM63" s="203" t="n">
        <v>0</v>
      </c>
      <c r="AN63" s="203" t="inlineStr">
        <is>
          <t>Export clearance</t>
        </is>
      </c>
      <c r="AO63" s="203" t="inlineStr">
        <is>
          <t>បានប្រកាសនិងបង់ពន្ធ</t>
        </is>
      </c>
    </row>
    <row r="64">
      <c r="A64" s="220">
        <f>A63+1</f>
        <v/>
      </c>
      <c r="B64" s="222" t="inlineStr">
        <is>
          <t>KHTHC,EMF,DO Fee,KHCIC,Handing Fee</t>
        </is>
      </c>
      <c r="C64" s="222" t="inlineStr">
        <is>
          <t>PANDORA LOGISTICS CO., LTD.</t>
        </is>
      </c>
      <c r="D64" s="223" t="inlineStr">
        <is>
          <t>K005-901702078</t>
        </is>
      </c>
      <c r="E64" s="349" t="inlineStr">
        <is>
          <t>PT24-7787</t>
        </is>
      </c>
      <c r="F64" s="332" t="n">
        <v>45614</v>
      </c>
      <c r="G64" s="224" t="n"/>
      <c r="H64" s="617" t="n"/>
      <c r="I64" s="617" t="n">
        <v>163661</v>
      </c>
      <c r="J64" s="221" t="inlineStr">
        <is>
          <t>អនុញ្ញាត (បានប្រកាស)</t>
        </is>
      </c>
      <c r="K64" s="221" t="n"/>
      <c r="L64" s="616">
        <f>I64</f>
        <v/>
      </c>
      <c r="M64" s="588">
        <f>I64-L64</f>
        <v/>
      </c>
      <c r="N64" s="221" t="n"/>
      <c r="O64" s="226">
        <f>U64=E64</f>
        <v/>
      </c>
      <c r="P64" s="226">
        <f>MONTH(F64)-MONTH(T64)</f>
        <v/>
      </c>
      <c r="Q64" s="226">
        <f>$B$5=X64</f>
        <v/>
      </c>
      <c r="R64" s="226">
        <f>I64-AD64</f>
        <v/>
      </c>
      <c r="S64" s="360" t="n"/>
      <c r="T64" s="361" t="n">
        <v>45614</v>
      </c>
      <c r="U64" s="360" t="inlineStr">
        <is>
          <t>PT24-7787</t>
        </is>
      </c>
      <c r="V64" s="360" t="n">
        <v>0</v>
      </c>
      <c r="W64" s="360" t="inlineStr">
        <is>
          <t>បុគ្គលជាប់អាករ</t>
        </is>
      </c>
      <c r="X64" s="360" t="inlineStr">
        <is>
          <t>L001-901640009</t>
        </is>
      </c>
      <c r="Y64" s="360" t="inlineStr">
        <is>
          <t>ហូលីដេ ឌីហ្សាញ (ខេមបូឌា) ឯ.ក</t>
        </is>
      </c>
      <c r="Z64" s="362" t="n">
        <v>1800266</v>
      </c>
      <c r="AA64" s="362" t="n">
        <v>1636605</v>
      </c>
      <c r="AB64" s="360" t="n">
        <v>0</v>
      </c>
      <c r="AC64" s="360" t="inlineStr">
        <is>
          <t>-</t>
        </is>
      </c>
      <c r="AD64" s="362" t="n">
        <v>163661</v>
      </c>
      <c r="AE64" s="360" t="n">
        <v>0</v>
      </c>
      <c r="AF64" s="615" t="n">
        <v>0</v>
      </c>
      <c r="AG64" s="203" t="n">
        <v>0</v>
      </c>
      <c r="AH64" s="203" t="n">
        <v>0</v>
      </c>
      <c r="AI64" s="203" t="n">
        <v>0</v>
      </c>
      <c r="AJ64" s="203" t="n">
        <v>0</v>
      </c>
      <c r="AK64" s="203" t="n">
        <v>0</v>
      </c>
      <c r="AL64" s="203" t="n">
        <v>0.01</v>
      </c>
      <c r="AM64" s="203" t="n">
        <v>0</v>
      </c>
      <c r="AN64" s="203" t="inlineStr">
        <is>
          <t>KHTHC</t>
        </is>
      </c>
      <c r="AO64" s="203" t="inlineStr">
        <is>
          <t>បានប្រកាសនិងបង់ពន្ធ</t>
        </is>
      </c>
    </row>
    <row r="65">
      <c r="A65" s="220">
        <f>A64+1</f>
        <v/>
      </c>
      <c r="B65" s="222" t="inlineStr">
        <is>
          <t>Double Sided Tape</t>
        </is>
      </c>
      <c r="C65" s="222" t="inlineStr">
        <is>
          <t>XINYUANXIN PAPER</t>
        </is>
      </c>
      <c r="D65" s="223" t="inlineStr">
        <is>
          <t>K006-902300227</t>
        </is>
      </c>
      <c r="E65" s="349" t="inlineStr">
        <is>
          <t>XYX240310</t>
        </is>
      </c>
      <c r="F65" s="332" t="n">
        <v>45625</v>
      </c>
      <c r="G65" s="224" t="n"/>
      <c r="H65" s="617" t="n"/>
      <c r="I65" s="617" t="n">
        <v>322240</v>
      </c>
      <c r="J65" s="221" t="inlineStr">
        <is>
          <t>អនុញ្ញាត (បានប្រកាស)</t>
        </is>
      </c>
      <c r="K65" s="221" t="n"/>
      <c r="L65" s="616">
        <f>I65</f>
        <v/>
      </c>
      <c r="M65" s="588">
        <f>I65-L65</f>
        <v/>
      </c>
      <c r="N65" s="221" t="n"/>
      <c r="O65" s="226">
        <f>U65=E65</f>
        <v/>
      </c>
      <c r="P65" s="226">
        <f>MONTH(F65)-MONTH(T65)</f>
        <v/>
      </c>
      <c r="Q65" s="226">
        <f>$B$5=X65</f>
        <v/>
      </c>
      <c r="R65" s="226">
        <f>I65-AD65</f>
        <v/>
      </c>
      <c r="S65" s="360" t="n"/>
      <c r="T65" s="361" t="n">
        <v>45625</v>
      </c>
      <c r="U65" s="360" t="inlineStr">
        <is>
          <t>XYX240310</t>
        </is>
      </c>
      <c r="V65" s="360" t="n">
        <v>0</v>
      </c>
      <c r="W65" s="360" t="inlineStr">
        <is>
          <t>បុគ្គលជាប់អាករ</t>
        </is>
      </c>
      <c r="X65" s="360" t="inlineStr">
        <is>
          <t>L001-901640009</t>
        </is>
      </c>
      <c r="Y65" s="360" t="inlineStr">
        <is>
          <t>ហូលីដេ ឌីហ្សាញ (ខេមបូឌា) ឯ.ក</t>
        </is>
      </c>
      <c r="Z65" s="362" t="n">
        <v>3544640</v>
      </c>
      <c r="AA65" s="362" t="n">
        <v>3222400</v>
      </c>
      <c r="AB65" s="360" t="n">
        <v>0</v>
      </c>
      <c r="AC65" s="360" t="inlineStr">
        <is>
          <t>-</t>
        </is>
      </c>
      <c r="AD65" s="362" t="n">
        <v>322240</v>
      </c>
      <c r="AE65" s="360" t="n">
        <v>0</v>
      </c>
      <c r="AF65" s="615" t="n">
        <v>0</v>
      </c>
      <c r="AG65" s="203" t="n">
        <v>0</v>
      </c>
      <c r="AH65" s="203" t="n">
        <v>0</v>
      </c>
      <c r="AI65" s="203" t="n">
        <v>0</v>
      </c>
      <c r="AJ65" s="203" t="n">
        <v>0</v>
      </c>
      <c r="AK65" s="203" t="n">
        <v>0</v>
      </c>
      <c r="AL65" s="203" t="n">
        <v>0.01</v>
      </c>
      <c r="AM65" s="203" t="n">
        <v>0</v>
      </c>
      <c r="AN65" s="203" t="inlineStr">
        <is>
          <t>Double Sided Tape</t>
        </is>
      </c>
      <c r="AO65" s="203" t="inlineStr">
        <is>
          <t>បានប្រកាសនិងបង់ពន្ធ</t>
        </is>
      </c>
    </row>
    <row r="66">
      <c r="A66" s="220">
        <f>A65+1</f>
        <v/>
      </c>
      <c r="B66" s="222" t="inlineStr">
        <is>
          <t>Lift-On&amp;Lift-Off-Im</t>
        </is>
      </c>
      <c r="C66" s="222" t="inlineStr">
        <is>
          <t>Port Autonome Du Sihanoukville</t>
        </is>
      </c>
      <c r="D66" s="223" t="inlineStr">
        <is>
          <t>L001-100044638</t>
        </is>
      </c>
      <c r="E66" s="349" t="n">
        <v>269496</v>
      </c>
      <c r="F66" s="332" t="n">
        <v>45650</v>
      </c>
      <c r="G66" s="224" t="n"/>
      <c r="H66" s="617" t="n"/>
      <c r="I66" s="617" t="n">
        <v>115747</v>
      </c>
      <c r="J66" s="221" t="inlineStr">
        <is>
          <t>អនុញ្ញាត (បានប្រកាស)</t>
        </is>
      </c>
      <c r="K66" s="221" t="n"/>
      <c r="L66" s="616">
        <f>I66</f>
        <v/>
      </c>
      <c r="M66" s="588">
        <f>I66-L66</f>
        <v/>
      </c>
      <c r="N66" s="221" t="n"/>
      <c r="O66" s="226">
        <f>U66=E66</f>
        <v/>
      </c>
      <c r="P66" s="226">
        <f>MONTH(F66)-MONTH(T66)</f>
        <v/>
      </c>
      <c r="Q66" s="226">
        <f>$B$5=X66</f>
        <v/>
      </c>
      <c r="R66" s="226">
        <f>I66-AD66</f>
        <v/>
      </c>
      <c r="S66" s="360" t="n"/>
      <c r="T66" s="361" t="n">
        <v>45650</v>
      </c>
      <c r="U66" s="360" t="n">
        <v>269496</v>
      </c>
      <c r="V66" s="360" t="n">
        <v>0</v>
      </c>
      <c r="W66" s="360" t="inlineStr">
        <is>
          <t>បុគ្គលជាប់អាករ</t>
        </is>
      </c>
      <c r="X66" s="360" t="inlineStr">
        <is>
          <t>L001-901640009</t>
        </is>
      </c>
      <c r="Y66" s="360" t="inlineStr">
        <is>
          <t>ហូលីដេ ឌីហ្សាញ (ខេមបូឌា) ឯ.ក</t>
        </is>
      </c>
      <c r="Z66" s="362" t="n">
        <v>1273219</v>
      </c>
      <c r="AA66" s="362" t="n">
        <v>1157472</v>
      </c>
      <c r="AB66" s="360" t="n">
        <v>0</v>
      </c>
      <c r="AC66" s="360" t="inlineStr">
        <is>
          <t>-</t>
        </is>
      </c>
      <c r="AD66" s="362" t="n">
        <v>115747</v>
      </c>
      <c r="AE66" s="360" t="n"/>
      <c r="AF66" s="615" t="n"/>
    </row>
    <row r="67">
      <c r="A67" s="220">
        <f>A66+1</f>
        <v/>
      </c>
      <c r="B67" s="222" t="inlineStr">
        <is>
          <t>Lift-On&amp;Lift-Off-Im</t>
        </is>
      </c>
      <c r="C67" s="222" t="inlineStr">
        <is>
          <t>Port Autonome Du Sihanoukville</t>
        </is>
      </c>
      <c r="D67" s="223" t="inlineStr">
        <is>
          <t>L001-100044638</t>
        </is>
      </c>
      <c r="E67" s="349" t="n">
        <v>273954</v>
      </c>
      <c r="F67" s="332" t="n">
        <v>45656</v>
      </c>
      <c r="G67" s="224" t="n"/>
      <c r="H67" s="617" t="n"/>
      <c r="I67" s="617" t="n">
        <v>245062</v>
      </c>
      <c r="J67" s="221" t="inlineStr">
        <is>
          <t>អនុញ្ញាត (បានប្រកាស)</t>
        </is>
      </c>
      <c r="K67" s="221" t="n"/>
      <c r="L67" s="616">
        <f>I67</f>
        <v/>
      </c>
      <c r="M67" s="588">
        <f>I67-L67</f>
        <v/>
      </c>
      <c r="N67" s="221" t="n"/>
      <c r="O67" s="226">
        <f>U67=E67</f>
        <v/>
      </c>
      <c r="P67" s="226">
        <f>MONTH(F67)-MONTH(T67)</f>
        <v/>
      </c>
      <c r="Q67" s="226">
        <f>$B$5=X67</f>
        <v/>
      </c>
      <c r="R67" s="226">
        <f>I67-AD67</f>
        <v/>
      </c>
      <c r="S67" s="360" t="n"/>
      <c r="T67" s="361" t="n">
        <v>45656</v>
      </c>
      <c r="U67" s="360" t="n">
        <v>273954</v>
      </c>
      <c r="V67" s="360" t="n">
        <v>0</v>
      </c>
      <c r="W67" s="360" t="inlineStr">
        <is>
          <t>បុគ្គលជាប់អាករ</t>
        </is>
      </c>
      <c r="X67" s="360" t="inlineStr">
        <is>
          <t>L001-901640009</t>
        </is>
      </c>
      <c r="Y67" s="360" t="inlineStr">
        <is>
          <t>ហូលីដេ ឌីហ្សាញ (ខេមបូឌា) ឯ.ក</t>
        </is>
      </c>
      <c r="Z67" s="362" t="n">
        <v>2695678</v>
      </c>
      <c r="AA67" s="362" t="n">
        <v>2450616</v>
      </c>
      <c r="AB67" s="360" t="n">
        <v>0</v>
      </c>
      <c r="AC67" s="360" t="inlineStr">
        <is>
          <t>-</t>
        </is>
      </c>
      <c r="AD67" s="362" t="n">
        <v>245062</v>
      </c>
      <c r="AE67" s="360" t="n"/>
      <c r="AF67" s="615" t="n"/>
    </row>
    <row r="68">
      <c r="A68" s="220">
        <f>A67+1</f>
        <v/>
      </c>
      <c r="B68" s="222" t="inlineStr">
        <is>
          <t>Terminal Handling Service-Im</t>
        </is>
      </c>
      <c r="C68" s="222" t="inlineStr">
        <is>
          <t>SITC CONTAINER LINES (CAMBODIA) Co., Ltd.</t>
        </is>
      </c>
      <c r="D68" s="223" t="inlineStr">
        <is>
          <t>L001-107035863</t>
        </is>
      </c>
      <c r="E68" s="349" t="inlineStr">
        <is>
          <t>SITC2024-040806</t>
        </is>
      </c>
      <c r="F68" s="332" t="n">
        <v>45651</v>
      </c>
      <c r="G68" s="224" t="n"/>
      <c r="H68" s="617" t="n"/>
      <c r="I68" s="617" t="n">
        <v>1487030</v>
      </c>
      <c r="J68" s="221" t="inlineStr">
        <is>
          <t>អនុញ្ញាត (បានប្រកាស)</t>
        </is>
      </c>
      <c r="K68" s="221" t="n"/>
      <c r="L68" s="616">
        <f>I68</f>
        <v/>
      </c>
      <c r="M68" s="588">
        <f>I68-L68</f>
        <v/>
      </c>
      <c r="N68" s="221" t="n"/>
      <c r="O68" s="226">
        <f>U68=E68</f>
        <v/>
      </c>
      <c r="P68" s="226">
        <f>MONTH(F68)-MONTH(T68)</f>
        <v/>
      </c>
      <c r="Q68" s="226">
        <f>$B$5=X68</f>
        <v/>
      </c>
      <c r="R68" s="226">
        <f>I68-AD68</f>
        <v/>
      </c>
      <c r="S68" s="360" t="n"/>
      <c r="T68" s="361" t="n">
        <v>45651</v>
      </c>
      <c r="U68" s="360" t="inlineStr">
        <is>
          <t>SITC2024-040806</t>
        </is>
      </c>
      <c r="V68" s="360" t="n">
        <v>0</v>
      </c>
      <c r="W68" s="360" t="inlineStr">
        <is>
          <t>បុគ្គលជាប់អាករ</t>
        </is>
      </c>
      <c r="X68" s="360" t="inlineStr">
        <is>
          <t>L001-901640009</t>
        </is>
      </c>
      <c r="Y68" s="360" t="inlineStr">
        <is>
          <t>ហូលីដេ ឌីហ្សាញ (ខេមបូឌា) ឯ.ក</t>
        </is>
      </c>
      <c r="Z68" s="362" t="n">
        <v>16357330</v>
      </c>
      <c r="AA68" s="362" t="n">
        <v>14870300</v>
      </c>
      <c r="AB68" s="360" t="n">
        <v>0</v>
      </c>
      <c r="AC68" s="360" t="inlineStr">
        <is>
          <t>-</t>
        </is>
      </c>
      <c r="AD68" s="362" t="n">
        <v>1487030</v>
      </c>
      <c r="AE68" s="360" t="n">
        <v>0</v>
      </c>
      <c r="AF68" s="615" t="n">
        <v>0</v>
      </c>
      <c r="AG68" s="203" t="n">
        <v>0</v>
      </c>
      <c r="AH68" s="203" t="n">
        <v>0</v>
      </c>
      <c r="AI68" s="203" t="n">
        <v>0</v>
      </c>
      <c r="AJ68" s="203" t="n">
        <v>0</v>
      </c>
      <c r="AK68" s="203" t="n">
        <v>0</v>
      </c>
      <c r="AL68" s="203" t="n">
        <v>0.01</v>
      </c>
      <c r="AM68" s="203" t="n">
        <v>0</v>
      </c>
      <c r="AN68" s="203" t="inlineStr">
        <is>
          <t>EMF,KHCIC,KHTHC,EIB,KHDOC</t>
        </is>
      </c>
    </row>
    <row r="69">
      <c r="A69" s="220">
        <f>A68+1</f>
        <v/>
      </c>
      <c r="B69" s="222" t="inlineStr">
        <is>
          <t>Trucking Fee-Im</t>
        </is>
      </c>
      <c r="C69" s="222" t="inlineStr">
        <is>
          <t>BRILLIANT TRANSPORT AND TRADING Co., Ltd.</t>
        </is>
      </c>
      <c r="D69" s="223" t="inlineStr">
        <is>
          <t>K002-100089305</t>
        </is>
      </c>
      <c r="E69" s="349" t="inlineStr">
        <is>
          <t>BTT24-0002649</t>
        </is>
      </c>
      <c r="F69" s="332" t="n">
        <v>45656</v>
      </c>
      <c r="G69" s="224" t="n"/>
      <c r="H69" s="617" t="n"/>
      <c r="I69" s="617" t="n">
        <v>1657888</v>
      </c>
      <c r="J69" s="221" t="inlineStr">
        <is>
          <t>អនុញ្ញាត (បានប្រកាស)</t>
        </is>
      </c>
      <c r="K69" s="221" t="n"/>
      <c r="L69" s="616">
        <f>I69</f>
        <v/>
      </c>
      <c r="M69" s="588">
        <f>I69-L69</f>
        <v/>
      </c>
      <c r="N69" s="221" t="n"/>
      <c r="O69" s="226">
        <f>U69=E69</f>
        <v/>
      </c>
      <c r="P69" s="226">
        <f>MONTH(F69)-MONTH(T69)</f>
        <v/>
      </c>
      <c r="Q69" s="226">
        <f>$B$5=X69</f>
        <v/>
      </c>
      <c r="R69" s="226">
        <f>I69-AD69</f>
        <v/>
      </c>
      <c r="S69" s="360" t="n"/>
      <c r="T69" s="361" t="n">
        <v>45656</v>
      </c>
      <c r="U69" s="360" t="inlineStr">
        <is>
          <t>BTT24-0002649</t>
        </is>
      </c>
      <c r="V69" s="360" t="n">
        <v>0</v>
      </c>
      <c r="W69" s="360" t="inlineStr">
        <is>
          <t>បុគ្គលជាប់អាករ</t>
        </is>
      </c>
      <c r="X69" s="360" t="inlineStr">
        <is>
          <t>L001-901640009</t>
        </is>
      </c>
      <c r="Y69" s="360" t="inlineStr">
        <is>
          <t>ហូលីដេ ឌីហ្សាញ (ខេមបូឌា) ឯ.ក</t>
        </is>
      </c>
      <c r="Z69" s="362" t="n">
        <v>18236768</v>
      </c>
      <c r="AA69" s="362" t="n">
        <v>16578880</v>
      </c>
      <c r="AB69" s="360" t="n">
        <v>0</v>
      </c>
      <c r="AC69" s="360" t="inlineStr">
        <is>
          <t>-</t>
        </is>
      </c>
      <c r="AD69" s="362" t="n">
        <v>1657888</v>
      </c>
      <c r="AE69" s="360" t="n">
        <v>0</v>
      </c>
      <c r="AF69" s="615" t="n">
        <v>0</v>
      </c>
      <c r="AG69" s="203" t="n">
        <v>0</v>
      </c>
      <c r="AH69" s="203" t="n">
        <v>0</v>
      </c>
      <c r="AI69" s="203" t="n">
        <v>0</v>
      </c>
      <c r="AJ69" s="203" t="n">
        <v>0</v>
      </c>
      <c r="AK69" s="203" t="n">
        <v>0</v>
      </c>
      <c r="AL69" s="203" t="n">
        <v>0.01</v>
      </c>
      <c r="AM69" s="203" t="n">
        <v>0</v>
      </c>
      <c r="AN69" s="203" t="inlineStr">
        <is>
          <t>Truking / Service</t>
        </is>
      </c>
    </row>
    <row r="70">
      <c r="A70" s="220">
        <f>A69+1</f>
        <v/>
      </c>
      <c r="B70" s="222" t="inlineStr">
        <is>
          <t>Lift-On&amp;Lift-Off-Im</t>
        </is>
      </c>
      <c r="C70" s="222" t="inlineStr">
        <is>
          <t>Port Autonome Du Sihanoukville</t>
        </is>
      </c>
      <c r="D70" s="223" t="inlineStr">
        <is>
          <t>L001-100044638</t>
        </is>
      </c>
      <c r="E70" s="349" t="n">
        <v>273947</v>
      </c>
      <c r="F70" s="332" t="n">
        <v>45656</v>
      </c>
      <c r="G70" s="224" t="n"/>
      <c r="H70" s="617" t="n"/>
      <c r="I70" s="617" t="n">
        <v>350088</v>
      </c>
      <c r="J70" s="221" t="inlineStr">
        <is>
          <t>អនុញ្ញាត (បានប្រកាស)</t>
        </is>
      </c>
      <c r="K70" s="221" t="n"/>
      <c r="L70" s="616">
        <f>I70</f>
        <v/>
      </c>
      <c r="M70" s="588">
        <f>I70-L70</f>
        <v/>
      </c>
      <c r="N70" s="221" t="n"/>
      <c r="O70" s="226">
        <f>U70=E70</f>
        <v/>
      </c>
      <c r="P70" s="226">
        <f>MONTH(F70)-MONTH(T70)</f>
        <v/>
      </c>
      <c r="Q70" s="226">
        <f>$B$5=X70</f>
        <v/>
      </c>
      <c r="R70" s="226">
        <f>I70-AD70</f>
        <v/>
      </c>
      <c r="S70" s="360" t="n"/>
      <c r="T70" s="361" t="n">
        <v>45656</v>
      </c>
      <c r="U70" s="360" t="n">
        <v>273947</v>
      </c>
      <c r="V70" s="360" t="n">
        <v>0</v>
      </c>
      <c r="W70" s="360" t="inlineStr">
        <is>
          <t>បុគ្គលជាប់អាករ</t>
        </is>
      </c>
      <c r="X70" s="360" t="inlineStr">
        <is>
          <t>L001-901640009</t>
        </is>
      </c>
      <c r="Y70" s="360" t="inlineStr">
        <is>
          <t>ហូលីដេ ឌីហ្សាញ (ខេមបូឌា) ឯ.ក</t>
        </is>
      </c>
      <c r="Z70" s="362" t="n">
        <v>3850968</v>
      </c>
      <c r="AA70" s="362" t="n">
        <v>3500880</v>
      </c>
      <c r="AB70" s="360" t="n">
        <v>0</v>
      </c>
      <c r="AC70" s="360" t="inlineStr">
        <is>
          <t>-</t>
        </is>
      </c>
      <c r="AD70" s="362" t="n">
        <v>350088</v>
      </c>
      <c r="AE70" s="360" t="n"/>
      <c r="AF70" s="615" t="n"/>
    </row>
    <row r="71">
      <c r="A71" s="220">
        <f>A70+1</f>
        <v/>
      </c>
      <c r="B71" s="222" t="inlineStr">
        <is>
          <t>Bopp Packing</t>
        </is>
      </c>
      <c r="C71" s="222" t="inlineStr">
        <is>
          <t>XINYUANXIN PAPER</t>
        </is>
      </c>
      <c r="D71" s="223" t="inlineStr">
        <is>
          <t>K006-902300227</t>
        </is>
      </c>
      <c r="E71" s="349" t="inlineStr">
        <is>
          <t>XYX240341</t>
        </is>
      </c>
      <c r="F71" s="332" t="n">
        <v>45653</v>
      </c>
      <c r="G71" s="224" t="n"/>
      <c r="H71" s="617" t="n"/>
      <c r="I71" s="617" t="n">
        <v>482520</v>
      </c>
      <c r="J71" s="221" t="inlineStr">
        <is>
          <t>អនុញ្ញាត (បានប្រកាស)</t>
        </is>
      </c>
      <c r="K71" s="221" t="n"/>
      <c r="L71" s="616">
        <f>I71</f>
        <v/>
      </c>
      <c r="M71" s="588">
        <f>I71-L71</f>
        <v/>
      </c>
      <c r="N71" s="221" t="n"/>
      <c r="O71" s="226">
        <f>U71=E71</f>
        <v/>
      </c>
      <c r="P71" s="226">
        <f>MONTH(F71)-MONTH(T71)</f>
        <v/>
      </c>
      <c r="Q71" s="226">
        <f>$B$5=X71</f>
        <v/>
      </c>
      <c r="R71" s="226">
        <f>I71-AD71</f>
        <v/>
      </c>
      <c r="S71" s="360" t="n"/>
      <c r="T71" s="361" t="n">
        <v>45653</v>
      </c>
      <c r="U71" s="360" t="inlineStr">
        <is>
          <t>XYX240341</t>
        </is>
      </c>
      <c r="V71" s="360" t="n">
        <v>0</v>
      </c>
      <c r="W71" s="360" t="inlineStr">
        <is>
          <t>បុគ្គលជាប់អាករ</t>
        </is>
      </c>
      <c r="X71" s="360" t="inlineStr">
        <is>
          <t>L001-901640009</t>
        </is>
      </c>
      <c r="Y71" s="360" t="inlineStr">
        <is>
          <t>ហូលីដេ ឌីហ្សាញ (ខេមបូឌា) ឯ.ក</t>
        </is>
      </c>
      <c r="Z71" s="362" t="n">
        <v>5307720</v>
      </c>
      <c r="AA71" s="362" t="n">
        <v>4825200</v>
      </c>
      <c r="AB71" s="360" t="n">
        <v>0</v>
      </c>
      <c r="AC71" s="360" t="inlineStr">
        <is>
          <t>-</t>
        </is>
      </c>
      <c r="AD71" s="362" t="n">
        <v>482520</v>
      </c>
      <c r="AE71" s="360" t="n">
        <v>0</v>
      </c>
      <c r="AF71" s="615" t="n">
        <v>0</v>
      </c>
      <c r="AG71" s="203" t="n">
        <v>0</v>
      </c>
      <c r="AH71" s="203" t="n">
        <v>0</v>
      </c>
      <c r="AI71" s="203" t="n">
        <v>0</v>
      </c>
      <c r="AJ71" s="203" t="n">
        <v>0</v>
      </c>
      <c r="AK71" s="203" t="n">
        <v>0</v>
      </c>
      <c r="AL71" s="203" t="n">
        <v>0.01</v>
      </c>
      <c r="AM71" s="203" t="n">
        <v>0</v>
      </c>
      <c r="AN71" s="203" t="inlineStr">
        <is>
          <t>Bopp Packing Tape</t>
        </is>
      </c>
      <c r="AO71" s="203" t="inlineStr">
        <is>
          <t>បានប្រកាសនិងបង់ពន្ធ</t>
        </is>
      </c>
    </row>
    <row r="72">
      <c r="A72" s="220">
        <f>A71+1</f>
        <v/>
      </c>
      <c r="B72" s="222" t="inlineStr">
        <is>
          <t>Trucking Fee-Im</t>
        </is>
      </c>
      <c r="C72" s="222" t="inlineStr">
        <is>
          <t>BRILLIANT TRANSPORT AND TRADING Co., Ltd.</t>
        </is>
      </c>
      <c r="D72" s="223" t="inlineStr">
        <is>
          <t>K002-100089305</t>
        </is>
      </c>
      <c r="E72" s="349" t="inlineStr">
        <is>
          <t>BTT24-0002648</t>
        </is>
      </c>
      <c r="F72" s="332" t="n">
        <v>45656</v>
      </c>
      <c r="G72" s="224" t="n"/>
      <c r="H72" s="617" t="n"/>
      <c r="I72" s="617" t="n">
        <v>2156864</v>
      </c>
      <c r="J72" s="221" t="inlineStr">
        <is>
          <t>អនុញ្ញាត (បានប្រកាស)</t>
        </is>
      </c>
      <c r="K72" s="221" t="n"/>
      <c r="L72" s="616">
        <f>I72</f>
        <v/>
      </c>
      <c r="M72" s="588">
        <f>I72-L72</f>
        <v/>
      </c>
      <c r="N72" s="221" t="n"/>
      <c r="O72" s="226">
        <f>U72=E72</f>
        <v/>
      </c>
      <c r="P72" s="226">
        <f>MONTH(F72)-MONTH(T72)</f>
        <v/>
      </c>
      <c r="Q72" s="226">
        <f>$B$5=X72</f>
        <v/>
      </c>
      <c r="R72" s="226">
        <f>I72-AD72</f>
        <v/>
      </c>
      <c r="S72" s="360" t="n"/>
      <c r="T72" s="361" t="n">
        <v>45656</v>
      </c>
      <c r="U72" s="360" t="inlineStr">
        <is>
          <t>BTT24-0002648</t>
        </is>
      </c>
      <c r="V72" s="360" t="n">
        <v>0</v>
      </c>
      <c r="W72" s="360" t="inlineStr">
        <is>
          <t>បុគ្គលជាប់អាករ</t>
        </is>
      </c>
      <c r="X72" s="360" t="inlineStr">
        <is>
          <t>L001-901640009</t>
        </is>
      </c>
      <c r="Y72" s="360" t="inlineStr">
        <is>
          <t>ហូលីដេ ឌីហ្សាញ (ខេមបូឌា) ឯ.ក</t>
        </is>
      </c>
      <c r="Z72" s="362" t="n">
        <v>23725504</v>
      </c>
      <c r="AA72" s="362" t="n">
        <v>21568640</v>
      </c>
      <c r="AB72" s="360" t="n">
        <v>0</v>
      </c>
      <c r="AC72" s="360" t="inlineStr">
        <is>
          <t>-</t>
        </is>
      </c>
      <c r="AD72" s="362" t="n">
        <v>2156864</v>
      </c>
      <c r="AE72" s="360" t="n">
        <v>0</v>
      </c>
      <c r="AF72" s="615" t="n">
        <v>0</v>
      </c>
      <c r="AG72" s="203" t="n">
        <v>0</v>
      </c>
      <c r="AH72" s="203" t="n">
        <v>0</v>
      </c>
      <c r="AI72" s="203" t="n">
        <v>0</v>
      </c>
      <c r="AJ72" s="203" t="n">
        <v>0</v>
      </c>
      <c r="AK72" s="203" t="n">
        <v>0</v>
      </c>
      <c r="AL72" s="203" t="n">
        <v>0.01</v>
      </c>
      <c r="AM72" s="203" t="n">
        <v>0</v>
      </c>
      <c r="AN72" s="203" t="inlineStr">
        <is>
          <t>Truking / Service</t>
        </is>
      </c>
    </row>
    <row r="73">
      <c r="A73" s="220">
        <f>A72+1</f>
        <v/>
      </c>
      <c r="B73" s="222" t="inlineStr">
        <is>
          <t>Lift-On&amp;Lift-Off-Im</t>
        </is>
      </c>
      <c r="C73" s="222" t="inlineStr">
        <is>
          <t>Port Autonome Du Sihanoukville</t>
        </is>
      </c>
      <c r="D73" s="223" t="inlineStr">
        <is>
          <t>L001-100044638</t>
        </is>
      </c>
      <c r="E73" s="349" t="n">
        <v>275949</v>
      </c>
      <c r="F73" s="332" t="n">
        <v>45657</v>
      </c>
      <c r="G73" s="224" t="n"/>
      <c r="H73" s="617" t="n"/>
      <c r="I73" s="617" t="n">
        <v>350175</v>
      </c>
      <c r="J73" s="221" t="inlineStr">
        <is>
          <t>អនុញ្ញាត (បានប្រកាស)</t>
        </is>
      </c>
      <c r="K73" s="221" t="n"/>
      <c r="L73" s="616">
        <f>I73</f>
        <v/>
      </c>
      <c r="M73" s="588">
        <f>I73-L73</f>
        <v/>
      </c>
      <c r="N73" s="221" t="n"/>
      <c r="O73" s="226">
        <f>U73=E73</f>
        <v/>
      </c>
      <c r="P73" s="226">
        <f>MONTH(F73)-MONTH(T73)</f>
        <v/>
      </c>
      <c r="Q73" s="226">
        <f>$B$5=X73</f>
        <v/>
      </c>
      <c r="R73" s="226">
        <f>I73-AD73</f>
        <v/>
      </c>
      <c r="S73" s="360" t="n"/>
      <c r="T73" s="361" t="n">
        <v>45657</v>
      </c>
      <c r="U73" s="360" t="n">
        <v>275949</v>
      </c>
      <c r="V73" s="360" t="n">
        <v>0</v>
      </c>
      <c r="W73" s="360" t="inlineStr">
        <is>
          <t>បុគ្គលជាប់អាករ</t>
        </is>
      </c>
      <c r="X73" s="360" t="inlineStr">
        <is>
          <t>L001-901640009</t>
        </is>
      </c>
      <c r="Y73" s="360" t="inlineStr">
        <is>
          <t>ហូលីដេ ឌីហ្សាញ (ខេមបូឌា) ឯ.ក</t>
        </is>
      </c>
      <c r="Z73" s="362" t="n">
        <v>3851925</v>
      </c>
      <c r="AA73" s="362" t="n">
        <v>3501750</v>
      </c>
      <c r="AB73" s="360" t="n">
        <v>0</v>
      </c>
      <c r="AC73" s="360" t="inlineStr">
        <is>
          <t>-</t>
        </is>
      </c>
      <c r="AD73" s="362" t="n">
        <v>350175</v>
      </c>
      <c r="AE73" s="360" t="n"/>
      <c r="AF73" s="615" t="n"/>
    </row>
    <row r="74">
      <c r="A74" s="220">
        <f>A73+1</f>
        <v/>
      </c>
      <c r="B74" s="222" t="inlineStr">
        <is>
          <t>Trucking Fee-Im</t>
        </is>
      </c>
      <c r="C74" s="222" t="inlineStr">
        <is>
          <t>BRILLIANT TRANSPORT AND TRADING Co., Ltd.</t>
        </is>
      </c>
      <c r="D74" s="223" t="inlineStr">
        <is>
          <t>K002-100089305</t>
        </is>
      </c>
      <c r="E74" s="349" t="inlineStr">
        <is>
          <t>BTT24-0002647</t>
        </is>
      </c>
      <c r="F74" s="332" t="n">
        <v>45656</v>
      </c>
      <c r="G74" s="224" t="n"/>
      <c r="H74" s="617" t="n"/>
      <c r="I74" s="617" t="n">
        <v>2358064</v>
      </c>
      <c r="J74" s="221" t="inlineStr">
        <is>
          <t>អនុញ្ញាត (បានប្រកាស)</t>
        </is>
      </c>
      <c r="K74" s="221" t="n"/>
      <c r="L74" s="616">
        <f>I74</f>
        <v/>
      </c>
      <c r="M74" s="588">
        <f>I74-L74</f>
        <v/>
      </c>
      <c r="N74" s="221" t="n"/>
      <c r="O74" s="226">
        <f>U74=E74</f>
        <v/>
      </c>
      <c r="P74" s="226">
        <f>MONTH(F74)-MONTH(T74)</f>
        <v/>
      </c>
      <c r="Q74" s="226">
        <f>$B$5=X74</f>
        <v/>
      </c>
      <c r="R74" s="226">
        <f>I74-AD74</f>
        <v/>
      </c>
      <c r="S74" s="360" t="n"/>
      <c r="T74" s="361" t="n">
        <v>45656</v>
      </c>
      <c r="U74" s="360" t="inlineStr">
        <is>
          <t>BTT24-0002647</t>
        </is>
      </c>
      <c r="V74" s="360" t="n">
        <v>0</v>
      </c>
      <c r="W74" s="360" t="inlineStr">
        <is>
          <t>បុគ្គលជាប់អាករ</t>
        </is>
      </c>
      <c r="X74" s="360" t="inlineStr">
        <is>
          <t>L001-901640009</t>
        </is>
      </c>
      <c r="Y74" s="360" t="inlineStr">
        <is>
          <t>ហូលីដេ ឌីហ្សាញ (ខេមបូឌា) ឯ.ក</t>
        </is>
      </c>
      <c r="Z74" s="362" t="n">
        <v>25938704</v>
      </c>
      <c r="AA74" s="362" t="n">
        <v>23580640</v>
      </c>
      <c r="AB74" s="360" t="n">
        <v>0</v>
      </c>
      <c r="AC74" s="360" t="inlineStr">
        <is>
          <t>-</t>
        </is>
      </c>
      <c r="AD74" s="362" t="n">
        <v>2358064</v>
      </c>
      <c r="AE74" s="360" t="n">
        <v>0</v>
      </c>
      <c r="AF74" s="615" t="n">
        <v>0</v>
      </c>
      <c r="AG74" s="203" t="n">
        <v>0</v>
      </c>
      <c r="AH74" s="203" t="n">
        <v>0</v>
      </c>
      <c r="AI74" s="203" t="n">
        <v>0</v>
      </c>
      <c r="AJ74" s="203" t="n">
        <v>0</v>
      </c>
      <c r="AK74" s="203" t="n">
        <v>0</v>
      </c>
      <c r="AL74" s="203" t="n">
        <v>0.01</v>
      </c>
      <c r="AM74" s="203" t="n">
        <v>0</v>
      </c>
      <c r="AN74" s="203" t="inlineStr">
        <is>
          <t>Truking / Service</t>
        </is>
      </c>
    </row>
    <row r="75">
      <c r="A75" s="220">
        <f>A74+1</f>
        <v/>
      </c>
      <c r="B75" s="222" t="inlineStr">
        <is>
          <t>Bopp Packing Tape</t>
        </is>
      </c>
      <c r="C75" s="222" t="inlineStr">
        <is>
          <t>XINYUANXIN PAPER</t>
        </is>
      </c>
      <c r="D75" s="223" t="inlineStr">
        <is>
          <t>K006-902300227</t>
        </is>
      </c>
      <c r="E75" s="349" t="inlineStr">
        <is>
          <t>XYX250091</t>
        </is>
      </c>
      <c r="F75" s="332" t="n">
        <v>45715</v>
      </c>
      <c r="G75" s="224" t="n"/>
      <c r="H75" s="617" t="n"/>
      <c r="I75" s="617" t="n">
        <v>4090200</v>
      </c>
      <c r="J75" s="221" t="inlineStr">
        <is>
          <t>អនុញ្ញាត (បានប្រកាស)</t>
        </is>
      </c>
      <c r="K75" s="221" t="n"/>
      <c r="L75" s="616">
        <f>I75</f>
        <v/>
      </c>
      <c r="M75" s="588">
        <f>I75-L75</f>
        <v/>
      </c>
      <c r="N75" s="221" t="n"/>
      <c r="O75" s="226">
        <f>U75=E75</f>
        <v/>
      </c>
      <c r="P75" s="226">
        <f>MONTH(F75)-MONTH(T75)</f>
        <v/>
      </c>
      <c r="Q75" s="226">
        <f>$B$5=X75</f>
        <v/>
      </c>
      <c r="R75" s="226">
        <f>I75-AD75</f>
        <v/>
      </c>
      <c r="S75" s="360" t="n"/>
      <c r="T75" s="361" t="n">
        <v>45715</v>
      </c>
      <c r="U75" s="360" t="inlineStr">
        <is>
          <t>XYX250091</t>
        </is>
      </c>
      <c r="V75" s="360" t="n">
        <v>0</v>
      </c>
      <c r="W75" s="360" t="inlineStr">
        <is>
          <t>បុគ្គលជាប់អាករ</t>
        </is>
      </c>
      <c r="X75" s="360" t="inlineStr">
        <is>
          <t>L001-901640009</t>
        </is>
      </c>
      <c r="Y75" s="360" t="inlineStr">
        <is>
          <t>ហូលីដេ ឌីហ្សាញ (ខេមបូឌា) ឯ.ក</t>
        </is>
      </c>
      <c r="Z75" s="362" t="n">
        <v>44992200</v>
      </c>
      <c r="AA75" s="362" t="n">
        <v>40902000</v>
      </c>
      <c r="AB75" s="360" t="n">
        <v>0</v>
      </c>
      <c r="AC75" s="360" t="inlineStr">
        <is>
          <t>-</t>
        </is>
      </c>
      <c r="AD75" s="362" t="n">
        <v>4090200</v>
      </c>
      <c r="AE75" s="360" t="n">
        <v>0</v>
      </c>
      <c r="AF75" s="615" t="n">
        <v>0</v>
      </c>
      <c r="AG75" s="203" t="n">
        <v>0</v>
      </c>
      <c r="AH75" s="203" t="n">
        <v>0</v>
      </c>
      <c r="AI75" s="203" t="n">
        <v>0</v>
      </c>
      <c r="AJ75" s="203" t="n">
        <v>0</v>
      </c>
      <c r="AK75" s="203" t="n">
        <v>0</v>
      </c>
      <c r="AL75" s="203" t="n">
        <v>0.01</v>
      </c>
      <c r="AM75" s="203" t="n">
        <v>0</v>
      </c>
      <c r="AN75" s="203" t="inlineStr">
        <is>
          <t>Bopp Packing Tape</t>
        </is>
      </c>
      <c r="AO75" s="203" t="inlineStr">
        <is>
          <t>បានប្រកាសនិងបង់ពន្ធ</t>
        </is>
      </c>
    </row>
    <row r="76">
      <c r="A76" s="220">
        <f>A75+1</f>
        <v/>
      </c>
      <c r="B76" s="222" t="inlineStr">
        <is>
          <t>Trucking Fee-Im</t>
        </is>
      </c>
      <c r="C76" s="222" t="inlineStr">
        <is>
          <t>BRILLIANT TRANSPORT AND TRADING Co., Ltd.</t>
        </is>
      </c>
      <c r="D76" s="223" t="inlineStr">
        <is>
          <t>K002-100089305</t>
        </is>
      </c>
      <c r="E76" s="349" t="inlineStr">
        <is>
          <t>BTT24-0002634</t>
        </is>
      </c>
      <c r="F76" s="332" t="n">
        <v>45651</v>
      </c>
      <c r="G76" s="224" t="n"/>
      <c r="H76" s="617" t="n"/>
      <c r="I76" s="617" t="n">
        <v>892218</v>
      </c>
      <c r="J76" s="221" t="inlineStr">
        <is>
          <t>អនុញ្ញាត (បានប្រកាស)</t>
        </is>
      </c>
      <c r="K76" s="221" t="n"/>
      <c r="L76" s="616">
        <f>I76</f>
        <v/>
      </c>
      <c r="M76" s="588">
        <f>I76-L76</f>
        <v/>
      </c>
      <c r="N76" s="221" t="n"/>
      <c r="O76" s="226">
        <f>U76=E76</f>
        <v/>
      </c>
      <c r="P76" s="226">
        <f>MONTH(F76)-MONTH(T76)</f>
        <v/>
      </c>
      <c r="Q76" s="226">
        <f>$B$5=X76</f>
        <v/>
      </c>
      <c r="R76" s="226">
        <f>I76-AD76</f>
        <v/>
      </c>
      <c r="S76" s="360" t="n"/>
      <c r="T76" s="361" t="n">
        <v>45651</v>
      </c>
      <c r="U76" s="360" t="inlineStr">
        <is>
          <t>BTT24-0002634</t>
        </is>
      </c>
      <c r="V76" s="360" t="n">
        <v>0</v>
      </c>
      <c r="W76" s="360" t="inlineStr">
        <is>
          <t>បុគ្គលជាប់អាករ</t>
        </is>
      </c>
      <c r="X76" s="360" t="inlineStr">
        <is>
          <t>L001-901640009</t>
        </is>
      </c>
      <c r="Y76" s="360" t="inlineStr">
        <is>
          <t>ហូលីដេ ឌីហ្សាញ (ខេមបូឌា) ឯ.ក</t>
        </is>
      </c>
      <c r="Z76" s="362" t="n">
        <v>9814398</v>
      </c>
      <c r="AA76" s="362" t="n">
        <v>8922180</v>
      </c>
      <c r="AB76" s="360" t="n">
        <v>0</v>
      </c>
      <c r="AC76" s="360" t="inlineStr">
        <is>
          <t>-</t>
        </is>
      </c>
      <c r="AD76" s="362" t="n">
        <v>892218</v>
      </c>
      <c r="AE76" s="360" t="n">
        <v>0</v>
      </c>
      <c r="AF76" s="615" t="n">
        <v>0</v>
      </c>
      <c r="AG76" s="203" t="n">
        <v>0</v>
      </c>
      <c r="AH76" s="203" t="n">
        <v>0</v>
      </c>
      <c r="AI76" s="203" t="n">
        <v>0</v>
      </c>
      <c r="AJ76" s="203" t="n">
        <v>0</v>
      </c>
      <c r="AK76" s="203" t="n">
        <v>0</v>
      </c>
      <c r="AL76" s="203" t="n">
        <v>0.01</v>
      </c>
      <c r="AM76" s="203" t="n">
        <v>0</v>
      </c>
      <c r="AN76" s="203" t="inlineStr">
        <is>
          <t>Truking / Service</t>
        </is>
      </c>
    </row>
    <row r="77">
      <c r="A77" s="220">
        <f>A76+1</f>
        <v/>
      </c>
      <c r="B77" s="222" t="inlineStr">
        <is>
          <t>Lift-On&amp;Lift-Off-Im</t>
        </is>
      </c>
      <c r="C77" s="222" t="inlineStr">
        <is>
          <t>Port Autonome Du Sihanoukville</t>
        </is>
      </c>
      <c r="D77" s="223" t="inlineStr">
        <is>
          <t>L001-100044638</t>
        </is>
      </c>
      <c r="E77" s="349" t="n">
        <v>269508</v>
      </c>
      <c r="F77" s="332" t="n">
        <v>45650</v>
      </c>
      <c r="G77" s="224" t="n"/>
      <c r="H77" s="617" t="n"/>
      <c r="I77" s="617" t="n">
        <v>349653</v>
      </c>
      <c r="J77" s="221" t="inlineStr">
        <is>
          <t>អនុញ្ញាត (បានប្រកាស)</t>
        </is>
      </c>
      <c r="K77" s="221" t="n"/>
      <c r="L77" s="616">
        <f>I77</f>
        <v/>
      </c>
      <c r="M77" s="588">
        <f>I77-L77</f>
        <v/>
      </c>
      <c r="N77" s="221" t="n"/>
      <c r="O77" s="226">
        <f>U77=E77</f>
        <v/>
      </c>
      <c r="P77" s="226">
        <f>MONTH(F77)-MONTH(T77)</f>
        <v/>
      </c>
      <c r="Q77" s="226">
        <f>$B$5=X77</f>
        <v/>
      </c>
      <c r="R77" s="226">
        <f>I77-AD77</f>
        <v/>
      </c>
      <c r="S77" s="360" t="n"/>
      <c r="T77" s="361" t="n">
        <v>45650</v>
      </c>
      <c r="U77" s="360" t="n">
        <v>269508</v>
      </c>
      <c r="V77" s="360" t="n">
        <v>0</v>
      </c>
      <c r="W77" s="360" t="inlineStr">
        <is>
          <t>បុគ្គលជាប់អាករ</t>
        </is>
      </c>
      <c r="X77" s="360" t="inlineStr">
        <is>
          <t>L001-901640009</t>
        </is>
      </c>
      <c r="Y77" s="360" t="inlineStr">
        <is>
          <t>ហូលីដេ ឌីហ្សាញ (ខេមបូឌា) ឯ.ក</t>
        </is>
      </c>
      <c r="Z77" s="362" t="n">
        <v>3846183</v>
      </c>
      <c r="AA77" s="362" t="n">
        <v>3496530</v>
      </c>
      <c r="AB77" s="360" t="n">
        <v>0</v>
      </c>
      <c r="AC77" s="360" t="inlineStr">
        <is>
          <t>-</t>
        </is>
      </c>
      <c r="AD77" s="362" t="n">
        <v>349653</v>
      </c>
      <c r="AE77" s="360" t="n"/>
      <c r="AF77" s="615" t="n"/>
    </row>
    <row r="78">
      <c r="A78" s="220">
        <f>A77+1</f>
        <v/>
      </c>
      <c r="B78" s="222" t="inlineStr">
        <is>
          <t>Plastics Cable Ties</t>
        </is>
      </c>
      <c r="C78" s="222" t="inlineStr">
        <is>
          <t>XINYUANXIN PAPER</t>
        </is>
      </c>
      <c r="D78" s="223" t="inlineStr">
        <is>
          <t>K006-902300227</t>
        </is>
      </c>
      <c r="E78" s="349" t="inlineStr">
        <is>
          <t>XYX250112</t>
        </is>
      </c>
      <c r="F78" s="332" t="n">
        <v>45742</v>
      </c>
      <c r="G78" s="224" t="n"/>
      <c r="H78" s="617" t="n"/>
      <c r="I78" s="617" t="n">
        <v>96072</v>
      </c>
      <c r="J78" s="221" t="inlineStr">
        <is>
          <t>អនុញ្ញាត (បានប្រកាស)</t>
        </is>
      </c>
      <c r="K78" s="221" t="n"/>
      <c r="L78" s="616">
        <f>I78</f>
        <v/>
      </c>
      <c r="M78" s="588">
        <f>I78-L78</f>
        <v/>
      </c>
      <c r="N78" s="221" t="n"/>
      <c r="O78" s="226">
        <f>U78=E78</f>
        <v/>
      </c>
      <c r="P78" s="226">
        <f>MONTH(F78)-MONTH(T78)</f>
        <v/>
      </c>
      <c r="Q78" s="226">
        <f>$B$5=X78</f>
        <v/>
      </c>
      <c r="R78" s="226">
        <f>I78-AD78</f>
        <v/>
      </c>
      <c r="S78" s="360" t="n"/>
      <c r="T78" s="361" t="n">
        <v>45742</v>
      </c>
      <c r="U78" s="360" t="inlineStr">
        <is>
          <t>XYX250112</t>
        </is>
      </c>
      <c r="V78" s="360" t="n">
        <v>0</v>
      </c>
      <c r="W78" s="360" t="inlineStr">
        <is>
          <t>បុគ្គលជាប់អាករ</t>
        </is>
      </c>
      <c r="X78" s="360" t="inlineStr">
        <is>
          <t>L001-901640009</t>
        </is>
      </c>
      <c r="Y78" s="360" t="inlineStr">
        <is>
          <t>ហូលីដេ ឌីហ្សាញ (ខេមបូឌា) ឯ.ក</t>
        </is>
      </c>
      <c r="Z78" s="362" t="n">
        <v>1056792</v>
      </c>
      <c r="AA78" s="362" t="n">
        <v>960720</v>
      </c>
      <c r="AB78" s="360" t="n">
        <v>0</v>
      </c>
      <c r="AC78" s="360" t="inlineStr">
        <is>
          <t>-</t>
        </is>
      </c>
      <c r="AD78" s="362" t="n">
        <v>96072</v>
      </c>
      <c r="AE78" s="360" t="n">
        <v>0</v>
      </c>
      <c r="AF78" s="615" t="n">
        <v>0</v>
      </c>
      <c r="AG78" s="203" t="n">
        <v>0</v>
      </c>
      <c r="AH78" s="203" t="n">
        <v>0</v>
      </c>
      <c r="AI78" s="203" t="n">
        <v>0</v>
      </c>
      <c r="AJ78" s="203" t="n">
        <v>0</v>
      </c>
      <c r="AK78" s="203" t="n">
        <v>0</v>
      </c>
      <c r="AL78" s="203" t="n">
        <v>0.01</v>
      </c>
      <c r="AM78" s="203" t="n">
        <v>0</v>
      </c>
      <c r="AN78" s="203" t="inlineStr">
        <is>
          <t>Plastic Cable Ties</t>
        </is>
      </c>
      <c r="AO78" s="203" t="inlineStr">
        <is>
          <t>បានប្រកាសនិងបង់ពន្ធ</t>
        </is>
      </c>
    </row>
    <row r="79">
      <c r="A79" s="220">
        <f>A78+1</f>
        <v/>
      </c>
      <c r="B79" s="222" t="inlineStr">
        <is>
          <t>Trucking Fee-Im</t>
        </is>
      </c>
      <c r="C79" s="222" t="inlineStr">
        <is>
          <t>BRILLIANT TRANSPORT AND TRADING Co., Ltd.</t>
        </is>
      </c>
      <c r="D79" s="223" t="inlineStr">
        <is>
          <t>K002-100089305</t>
        </is>
      </c>
      <c r="E79" s="349" t="inlineStr">
        <is>
          <t>BTT24-0002636</t>
        </is>
      </c>
      <c r="F79" s="332" t="n">
        <v>45649</v>
      </c>
      <c r="G79" s="224" t="n"/>
      <c r="H79" s="617" t="n"/>
      <c r="I79" s="617" t="n">
        <v>2355720</v>
      </c>
      <c r="J79" s="221" t="inlineStr">
        <is>
          <t>អនុញ្ញាត (បានប្រកាស)</t>
        </is>
      </c>
      <c r="K79" s="221" t="n"/>
      <c r="L79" s="616">
        <f>I79</f>
        <v/>
      </c>
      <c r="M79" s="588">
        <f>I79-L79</f>
        <v/>
      </c>
      <c r="N79" s="221" t="n"/>
      <c r="O79" s="226">
        <f>U79=E79</f>
        <v/>
      </c>
      <c r="P79" s="226">
        <f>MONTH(F79)-MONTH(T79)</f>
        <v/>
      </c>
      <c r="Q79" s="226">
        <f>$B$5=X79</f>
        <v/>
      </c>
      <c r="R79" s="226">
        <f>I79-AD79</f>
        <v/>
      </c>
      <c r="S79" s="360" t="n"/>
      <c r="T79" s="361" t="n">
        <v>45649</v>
      </c>
      <c r="U79" s="360" t="inlineStr">
        <is>
          <t>BTT24-0002636</t>
        </is>
      </c>
      <c r="V79" s="360" t="n">
        <v>0</v>
      </c>
      <c r="W79" s="360" t="inlineStr">
        <is>
          <t>បុគ្គលជាប់អាករ</t>
        </is>
      </c>
      <c r="X79" s="360" t="inlineStr">
        <is>
          <t>L001-901640009</t>
        </is>
      </c>
      <c r="Y79" s="360" t="inlineStr">
        <is>
          <t>ហូលីដេ ឌីហ្សាញ (ខេមបូឌា) ឯ.ក</t>
        </is>
      </c>
      <c r="Z79" s="362" t="n">
        <v>25912920</v>
      </c>
      <c r="AA79" s="362" t="n">
        <v>23557200</v>
      </c>
      <c r="AB79" s="360" t="n">
        <v>0</v>
      </c>
      <c r="AC79" s="360" t="inlineStr">
        <is>
          <t>-</t>
        </is>
      </c>
      <c r="AD79" s="362" t="n">
        <v>2355720</v>
      </c>
      <c r="AE79" s="360" t="n">
        <v>0</v>
      </c>
      <c r="AF79" s="615" t="n">
        <v>0</v>
      </c>
      <c r="AG79" s="203" t="n">
        <v>0</v>
      </c>
      <c r="AH79" s="203" t="n">
        <v>0</v>
      </c>
      <c r="AI79" s="203" t="n">
        <v>0</v>
      </c>
      <c r="AJ79" s="203" t="n">
        <v>0</v>
      </c>
      <c r="AK79" s="203" t="n">
        <v>0</v>
      </c>
      <c r="AL79" s="203" t="n">
        <v>0.01</v>
      </c>
      <c r="AM79" s="203" t="n">
        <v>0</v>
      </c>
      <c r="AN79" s="203" t="inlineStr">
        <is>
          <t>Truking / Service</t>
        </is>
      </c>
    </row>
    <row r="80">
      <c r="A80" s="220">
        <f>A79+1</f>
        <v/>
      </c>
      <c r="B80" s="222" t="inlineStr">
        <is>
          <t>Lift-On&amp;Lift-Off-Im</t>
        </is>
      </c>
      <c r="C80" s="222" t="inlineStr">
        <is>
          <t>Port Autonome Du Sihanoukville</t>
        </is>
      </c>
      <c r="D80" s="223" t="inlineStr">
        <is>
          <t>L001-100044638</t>
        </is>
      </c>
      <c r="E80" s="349" t="n">
        <v>266930</v>
      </c>
      <c r="F80" s="332" t="n">
        <v>45647</v>
      </c>
      <c r="G80" s="224" t="n"/>
      <c r="H80" s="617" t="n"/>
      <c r="I80" s="617" t="n">
        <v>68725</v>
      </c>
      <c r="J80" s="221" t="inlineStr">
        <is>
          <t>អនុញ្ញាត (បានប្រកាស)</t>
        </is>
      </c>
      <c r="K80" s="221" t="n"/>
      <c r="L80" s="616">
        <f>I80</f>
        <v/>
      </c>
      <c r="M80" s="588">
        <f>I80-L80</f>
        <v/>
      </c>
      <c r="N80" s="221" t="n"/>
      <c r="O80" s="226">
        <f>U80=E80</f>
        <v/>
      </c>
      <c r="P80" s="226">
        <f>MONTH(F80)-MONTH(T80)</f>
        <v/>
      </c>
      <c r="Q80" s="226">
        <f>$B$5=X80</f>
        <v/>
      </c>
      <c r="R80" s="226">
        <f>I80-AD80</f>
        <v/>
      </c>
      <c r="S80" s="360" t="n"/>
      <c r="T80" s="361" t="n">
        <v>45646</v>
      </c>
      <c r="U80" s="360" t="n">
        <v>266930</v>
      </c>
      <c r="V80" s="360" t="n">
        <v>0</v>
      </c>
      <c r="W80" s="360" t="inlineStr">
        <is>
          <t>បុគ្គលជាប់អាករ</t>
        </is>
      </c>
      <c r="X80" s="360" t="inlineStr">
        <is>
          <t>L001-901640009</t>
        </is>
      </c>
      <c r="Y80" s="360" t="inlineStr">
        <is>
          <t>ហូលីដេ ឌីហ្សាញ (ខេមបូឌា) ឯ.ក</t>
        </is>
      </c>
      <c r="Z80" s="362" t="n">
        <v>755974</v>
      </c>
      <c r="AA80" s="362" t="n">
        <v>687249</v>
      </c>
      <c r="AB80" s="360" t="n">
        <v>0</v>
      </c>
      <c r="AC80" s="360" t="inlineStr">
        <is>
          <t>-</t>
        </is>
      </c>
      <c r="AD80" s="362" t="n">
        <v>68725</v>
      </c>
      <c r="AE80" s="360" t="n"/>
      <c r="AF80" s="615" t="n"/>
    </row>
    <row r="81">
      <c r="A81" s="220">
        <f>A80+1</f>
        <v/>
      </c>
      <c r="B81" s="222" t="inlineStr">
        <is>
          <t>Terminal Handling Service-Im</t>
        </is>
      </c>
      <c r="C81" s="222" t="inlineStr">
        <is>
          <t>SITC CONTAINER LINES (CAMBODIA) Co., Ltd.</t>
        </is>
      </c>
      <c r="D81" s="223" t="inlineStr">
        <is>
          <t>L001-107035863</t>
        </is>
      </c>
      <c r="E81" s="349" t="inlineStr">
        <is>
          <t>SITC2024-039422</t>
        </is>
      </c>
      <c r="F81" s="332" t="n">
        <v>45639</v>
      </c>
      <c r="G81" s="224" t="n"/>
      <c r="H81" s="617" t="n"/>
      <c r="I81" s="617" t="n">
        <v>386016</v>
      </c>
      <c r="J81" s="221" t="inlineStr">
        <is>
          <t>អនុញ្ញាត (បានប្រកាស)</t>
        </is>
      </c>
      <c r="K81" s="221" t="n"/>
      <c r="L81" s="616">
        <f>I81</f>
        <v/>
      </c>
      <c r="M81" s="588">
        <f>I81-L81</f>
        <v/>
      </c>
      <c r="N81" s="221" t="n"/>
      <c r="O81" s="226">
        <f>U81=E81</f>
        <v/>
      </c>
      <c r="P81" s="226">
        <f>MONTH(F81)-MONTH(T81)</f>
        <v/>
      </c>
      <c r="Q81" s="226">
        <f>$B$5=X81</f>
        <v/>
      </c>
      <c r="R81" s="226">
        <f>I81-AD81</f>
        <v/>
      </c>
      <c r="S81" s="360" t="n"/>
      <c r="T81" s="361" t="n">
        <v>45639</v>
      </c>
      <c r="U81" s="360" t="inlineStr">
        <is>
          <t>SITC2024-039422</t>
        </is>
      </c>
      <c r="V81" s="360" t="n">
        <v>0</v>
      </c>
      <c r="W81" s="360" t="inlineStr">
        <is>
          <t>បុគ្គលជាប់អាករ</t>
        </is>
      </c>
      <c r="X81" s="360" t="inlineStr">
        <is>
          <t>L001-901640009</t>
        </is>
      </c>
      <c r="Y81" s="360" t="inlineStr">
        <is>
          <t>ហូលីដេ ឌីហ្សាញ (ខេមបូឌា) ឯ.ក</t>
        </is>
      </c>
      <c r="Z81" s="362" t="n">
        <v>4246176</v>
      </c>
      <c r="AA81" s="362" t="n">
        <v>3860160</v>
      </c>
      <c r="AB81" s="360" t="n">
        <v>0</v>
      </c>
      <c r="AC81" s="360" t="inlineStr">
        <is>
          <t>-</t>
        </is>
      </c>
      <c r="AD81" s="362" t="n">
        <v>386016</v>
      </c>
      <c r="AE81" s="360" t="n">
        <v>0</v>
      </c>
      <c r="AF81" s="615" t="n">
        <v>0</v>
      </c>
      <c r="AG81" s="203" t="n">
        <v>0</v>
      </c>
      <c r="AH81" s="203" t="n">
        <v>0</v>
      </c>
      <c r="AI81" s="203" t="n">
        <v>0</v>
      </c>
      <c r="AJ81" s="203" t="n">
        <v>0</v>
      </c>
      <c r="AK81" s="203" t="n">
        <v>0</v>
      </c>
      <c r="AL81" s="203" t="n">
        <v>0.01</v>
      </c>
      <c r="AM81" s="203" t="n">
        <v>0</v>
      </c>
      <c r="AN81" s="203" t="inlineStr">
        <is>
          <t>EMF,EIB,KHDOC,KHTHC,KHCIC</t>
        </is>
      </c>
    </row>
    <row r="82">
      <c r="A82" s="220">
        <f>A81+1</f>
        <v/>
      </c>
      <c r="B82" s="222" t="inlineStr">
        <is>
          <t>Trucking Fee-Im</t>
        </is>
      </c>
      <c r="C82" s="222" t="inlineStr">
        <is>
          <t>BRILLIANT TRANSPORT AND TRADING Co., Ltd.</t>
        </is>
      </c>
      <c r="D82" s="223" t="inlineStr">
        <is>
          <t>K002-100089305</t>
        </is>
      </c>
      <c r="E82" s="349" t="inlineStr">
        <is>
          <t>BTT24-0002587</t>
        </is>
      </c>
      <c r="F82" s="332" t="n">
        <v>45646</v>
      </c>
      <c r="G82" s="224" t="n"/>
      <c r="H82" s="617" t="n"/>
      <c r="I82" s="617" t="n">
        <v>731056</v>
      </c>
      <c r="J82" s="221" t="inlineStr">
        <is>
          <t>អនុញ្ញាត (បានប្រកាស)</t>
        </is>
      </c>
      <c r="K82" s="221" t="n"/>
      <c r="L82" s="616">
        <f>I82</f>
        <v/>
      </c>
      <c r="M82" s="588">
        <f>I82-L82</f>
        <v/>
      </c>
      <c r="N82" s="221" t="n"/>
      <c r="O82" s="226">
        <f>U82=E82</f>
        <v/>
      </c>
      <c r="P82" s="226">
        <f>MONTH(F82)-MONTH(T82)</f>
        <v/>
      </c>
      <c r="Q82" s="226">
        <f>$B$5=X82</f>
        <v/>
      </c>
      <c r="R82" s="226">
        <f>I82-AD82</f>
        <v/>
      </c>
      <c r="S82" s="360" t="n"/>
      <c r="T82" s="361" t="n">
        <v>45646</v>
      </c>
      <c r="U82" s="360" t="inlineStr">
        <is>
          <t>BTT24-0002587</t>
        </is>
      </c>
      <c r="V82" s="360" t="n">
        <v>0</v>
      </c>
      <c r="W82" s="360" t="inlineStr">
        <is>
          <t>បុគ្គលជាប់អាករ</t>
        </is>
      </c>
      <c r="X82" s="360" t="inlineStr">
        <is>
          <t>L001-901640009</t>
        </is>
      </c>
      <c r="Y82" s="360" t="inlineStr">
        <is>
          <t>ហូលីដេ ឌីហ្សាញ (ខេមបូឌា) ឯ.ក</t>
        </is>
      </c>
      <c r="Z82" s="362" t="n">
        <v>8041617</v>
      </c>
      <c r="AA82" s="362" t="n">
        <v>7310561</v>
      </c>
      <c r="AB82" s="360" t="n">
        <v>0</v>
      </c>
      <c r="AC82" s="360" t="inlineStr">
        <is>
          <t>-</t>
        </is>
      </c>
      <c r="AD82" s="362" t="n">
        <v>731056</v>
      </c>
      <c r="AE82" s="360" t="n">
        <v>0</v>
      </c>
      <c r="AF82" s="615" t="n">
        <v>0</v>
      </c>
      <c r="AG82" s="203" t="n">
        <v>0</v>
      </c>
      <c r="AH82" s="203" t="n">
        <v>0</v>
      </c>
      <c r="AI82" s="203" t="n">
        <v>0</v>
      </c>
      <c r="AJ82" s="203" t="n">
        <v>0</v>
      </c>
      <c r="AK82" s="203" t="n">
        <v>0</v>
      </c>
      <c r="AL82" s="203" t="n">
        <v>0.01</v>
      </c>
      <c r="AM82" s="203" t="n">
        <v>0</v>
      </c>
      <c r="AN82" s="203" t="inlineStr">
        <is>
          <t>Truking / Service</t>
        </is>
      </c>
    </row>
    <row r="83">
      <c r="A83" s="220">
        <f>A82+1</f>
        <v/>
      </c>
      <c r="B83" s="222" t="inlineStr">
        <is>
          <t>Lift-On&amp;Lift-Off-Im</t>
        </is>
      </c>
      <c r="C83" s="222" t="inlineStr">
        <is>
          <t>Port Autonome Du Sihanoukville</t>
        </is>
      </c>
      <c r="D83" s="223" t="inlineStr">
        <is>
          <t>L001-100044638</t>
        </is>
      </c>
      <c r="E83" s="349" t="n">
        <v>266917</v>
      </c>
      <c r="F83" s="332" t="n">
        <v>45646</v>
      </c>
      <c r="G83" s="224" t="n"/>
      <c r="H83" s="617" t="n"/>
      <c r="I83" s="617" t="n">
        <v>267665</v>
      </c>
      <c r="J83" s="221" t="inlineStr">
        <is>
          <t>អនុញ្ញាត (បានប្រកាស)</t>
        </is>
      </c>
      <c r="K83" s="221" t="n"/>
      <c r="L83" s="616">
        <f>I83</f>
        <v/>
      </c>
      <c r="M83" s="588">
        <f>I83-L83</f>
        <v/>
      </c>
      <c r="N83" s="221" t="n"/>
      <c r="O83" s="226">
        <f>U83=E83</f>
        <v/>
      </c>
      <c r="P83" s="226">
        <f>MONTH(F83)-MONTH(T83)</f>
        <v/>
      </c>
      <c r="Q83" s="226">
        <f>$B$5=X83</f>
        <v/>
      </c>
      <c r="R83" s="226">
        <f>I83-AD83</f>
        <v/>
      </c>
      <c r="S83" s="360" t="n"/>
      <c r="T83" s="361" t="n">
        <v>45646</v>
      </c>
      <c r="U83" s="360" t="n">
        <v>266917</v>
      </c>
      <c r="V83" s="360" t="n">
        <v>0</v>
      </c>
      <c r="W83" s="360" t="inlineStr">
        <is>
          <t>បុគ្គលជាប់អាករ</t>
        </is>
      </c>
      <c r="X83" s="360" t="inlineStr">
        <is>
          <t>L001-901640009</t>
        </is>
      </c>
      <c r="Y83" s="360" t="inlineStr">
        <is>
          <t>ហូលីដេ ឌីហ្សាញ (ខេមបូឌា) ឯ.ក</t>
        </is>
      </c>
      <c r="Z83" s="362" t="n">
        <v>2944319</v>
      </c>
      <c r="AA83" s="362" t="n">
        <v>2676654</v>
      </c>
      <c r="AB83" s="360" t="n">
        <v>0</v>
      </c>
      <c r="AC83" s="360" t="inlineStr">
        <is>
          <t>-</t>
        </is>
      </c>
      <c r="AD83" s="362" t="n">
        <v>267665</v>
      </c>
      <c r="AE83" s="360" t="n"/>
      <c r="AF83" s="615" t="n"/>
    </row>
    <row r="84">
      <c r="A84" s="220">
        <f>A83+1</f>
        <v/>
      </c>
      <c r="B84" s="222" t="inlineStr">
        <is>
          <t>Plastics Cable Ties, Bopp Packing Tape</t>
        </is>
      </c>
      <c r="C84" s="222" t="inlineStr">
        <is>
          <t>XINYUANXIN PAPER</t>
        </is>
      </c>
      <c r="D84" s="223" t="inlineStr">
        <is>
          <t>K006-902300227</t>
        </is>
      </c>
      <c r="E84" s="349" t="inlineStr">
        <is>
          <t>XYX250160</t>
        </is>
      </c>
      <c r="F84" s="332" t="n">
        <v>45774</v>
      </c>
      <c r="G84" s="224" t="n"/>
      <c r="H84" s="617" t="n"/>
      <c r="I84" s="617" t="n">
        <v>6997244</v>
      </c>
      <c r="J84" s="221" t="inlineStr">
        <is>
          <t>អនុញ្ញាត (បានប្រកាស)</t>
        </is>
      </c>
      <c r="K84" s="221" t="n"/>
      <c r="L84" s="616">
        <f>I84</f>
        <v/>
      </c>
      <c r="M84" s="588">
        <f>I84-L84</f>
        <v/>
      </c>
      <c r="N84" s="221" t="inlineStr">
        <is>
          <t>បានពិនិត្យវិក្កយបត្រ</t>
        </is>
      </c>
      <c r="O84" s="226">
        <f>U84=E84</f>
        <v/>
      </c>
      <c r="P84" s="226">
        <f>MONTH(F84)-MONTH(T84)</f>
        <v/>
      </c>
      <c r="Q84" s="226">
        <f>$B$5=X84</f>
        <v/>
      </c>
      <c r="R84" s="226">
        <f>I84-AD84</f>
        <v/>
      </c>
      <c r="S84" s="360" t="n"/>
      <c r="T84" s="361" t="n">
        <v>45774</v>
      </c>
      <c r="U84" s="360" t="inlineStr">
        <is>
          <t>XYX250160</t>
        </is>
      </c>
      <c r="V84" s="360" t="n">
        <v>0</v>
      </c>
      <c r="W84" s="360" t="inlineStr">
        <is>
          <t>បុគ្គលជាប់អាករ</t>
        </is>
      </c>
      <c r="X84" s="360" t="inlineStr">
        <is>
          <t>L001-901640009</t>
        </is>
      </c>
      <c r="Y84" s="360" t="inlineStr">
        <is>
          <t>ហូលីដេ ឌីហ្សាញ (ខេមបូឌា) ឯ.ក</t>
        </is>
      </c>
      <c r="Z84" s="362" t="n">
        <v>76969684</v>
      </c>
      <c r="AA84" s="362" t="n">
        <v>69972440</v>
      </c>
      <c r="AB84" s="360" t="n">
        <v>0</v>
      </c>
      <c r="AC84" s="360" t="inlineStr">
        <is>
          <t>-</t>
        </is>
      </c>
      <c r="AD84" s="362" t="n">
        <v>6997244</v>
      </c>
      <c r="AE84" s="360" t="n">
        <v>0</v>
      </c>
      <c r="AF84" s="615" t="n">
        <v>0</v>
      </c>
      <c r="AG84" s="203" t="n">
        <v>0</v>
      </c>
      <c r="AH84" s="203" t="n">
        <v>0</v>
      </c>
      <c r="AI84" s="203" t="n">
        <v>0</v>
      </c>
      <c r="AJ84" s="203" t="n">
        <v>0</v>
      </c>
      <c r="AK84" s="203" t="n">
        <v>0</v>
      </c>
      <c r="AL84" s="203" t="n">
        <v>0.01</v>
      </c>
      <c r="AM84" s="203" t="n">
        <v>0</v>
      </c>
      <c r="AN84" s="203" t="inlineStr">
        <is>
          <t>Plastic Cable Ties, Bopp Packing Tape...</t>
        </is>
      </c>
      <c r="AO84" s="203" t="inlineStr">
        <is>
          <t>បានប្រកាសនិងបង់ពន្ធ</t>
        </is>
      </c>
    </row>
    <row r="85">
      <c r="A85" s="220">
        <f>A84+1</f>
        <v/>
      </c>
      <c r="B85" s="222" t="inlineStr">
        <is>
          <t>Plastics Cable Ties, Bopp Packing Tape</t>
        </is>
      </c>
      <c r="C85" s="222" t="inlineStr">
        <is>
          <t>XINYUANXIN PAPER</t>
        </is>
      </c>
      <c r="D85" s="223" t="inlineStr">
        <is>
          <t>K006-902300227</t>
        </is>
      </c>
      <c r="E85" s="349" t="inlineStr">
        <is>
          <t>XYX250234</t>
        </is>
      </c>
      <c r="F85" s="332" t="n">
        <v>45804</v>
      </c>
      <c r="G85" s="224" t="n"/>
      <c r="H85" s="617" t="n"/>
      <c r="I85" s="617" t="n">
        <v>3194394</v>
      </c>
      <c r="J85" s="221" t="inlineStr">
        <is>
          <t>អនុញ្ញាត (បានប្រកាស)</t>
        </is>
      </c>
      <c r="K85" s="221" t="n"/>
      <c r="L85" s="616">
        <f>I85</f>
        <v/>
      </c>
      <c r="M85" s="588">
        <f>I85-L85</f>
        <v/>
      </c>
      <c r="N85" s="221" t="n"/>
      <c r="O85" s="226">
        <f>U85=E85</f>
        <v/>
      </c>
      <c r="P85" s="226">
        <f>MONTH(F85)-MONTH(T85)</f>
        <v/>
      </c>
      <c r="Q85" s="226">
        <f>$B$5=X85</f>
        <v/>
      </c>
      <c r="R85" s="226">
        <f>I85-AD85</f>
        <v/>
      </c>
      <c r="S85" s="360" t="n"/>
      <c r="T85" s="361" t="n">
        <v>45804</v>
      </c>
      <c r="U85" s="360" t="inlineStr">
        <is>
          <t>XYX250234</t>
        </is>
      </c>
      <c r="V85" s="360" t="n">
        <v>0</v>
      </c>
      <c r="W85" s="360" t="inlineStr">
        <is>
          <t>បុគ្គលជាប់អាករ</t>
        </is>
      </c>
      <c r="X85" s="360" t="inlineStr">
        <is>
          <t>L001-901640009</t>
        </is>
      </c>
      <c r="Y85" s="360" t="inlineStr">
        <is>
          <t>ហូលីដេ ឌីហ្សាញ (ខេមបូឌា) ឯ.ក</t>
        </is>
      </c>
      <c r="Z85" s="362" t="n">
        <v>35138334</v>
      </c>
      <c r="AA85" s="362" t="n">
        <v>31943940</v>
      </c>
      <c r="AB85" s="360" t="n">
        <v>0</v>
      </c>
      <c r="AC85" s="360" t="inlineStr">
        <is>
          <t>-</t>
        </is>
      </c>
      <c r="AD85" s="362" t="n">
        <v>3194394</v>
      </c>
      <c r="AE85" s="360" t="n">
        <v>0</v>
      </c>
      <c r="AF85" s="615" t="n">
        <v>0</v>
      </c>
      <c r="AG85" s="203" t="n">
        <v>0</v>
      </c>
      <c r="AH85" s="203" t="n">
        <v>0</v>
      </c>
      <c r="AI85" s="203" t="n">
        <v>0</v>
      </c>
      <c r="AJ85" s="203" t="n">
        <v>0</v>
      </c>
      <c r="AK85" s="203" t="n">
        <v>0</v>
      </c>
      <c r="AL85" s="203" t="n">
        <v>0.01</v>
      </c>
      <c r="AM85" s="203" t="n">
        <v>0</v>
      </c>
      <c r="AN85" s="203" t="inlineStr">
        <is>
          <t>Plastic Cable Ties, Bopp Packing Tape</t>
        </is>
      </c>
      <c r="AO85" s="203" t="inlineStr">
        <is>
          <t>បានប្រកាសនិងបង់ពន្ធ</t>
        </is>
      </c>
    </row>
    <row r="86">
      <c r="A86" s="220">
        <f>A85+1</f>
        <v/>
      </c>
      <c r="B86" s="222" t="inlineStr">
        <is>
          <t>Lift-On&amp;Lift-Off-Im</t>
        </is>
      </c>
      <c r="C86" s="222" t="inlineStr">
        <is>
          <t>Port Autonome Du Sihanoukville</t>
        </is>
      </c>
      <c r="D86" s="223" t="inlineStr">
        <is>
          <t>L001-100044638</t>
        </is>
      </c>
      <c r="E86" s="349" t="n">
        <v>253250</v>
      </c>
      <c r="F86" s="332" t="n">
        <v>45630</v>
      </c>
      <c r="G86" s="224" t="n"/>
      <c r="H86" s="617" t="n"/>
      <c r="I86" s="617" t="n">
        <v>35061</v>
      </c>
      <c r="J86" s="221" t="inlineStr">
        <is>
          <t>អនុញ្ញាត (បានប្រកាស)</t>
        </is>
      </c>
      <c r="K86" s="221" t="n"/>
      <c r="L86" s="616">
        <f>I86</f>
        <v/>
      </c>
      <c r="M86" s="588">
        <f>I86-L86</f>
        <v/>
      </c>
      <c r="N86" s="221" t="n"/>
      <c r="O86" s="226">
        <f>U86=E86</f>
        <v/>
      </c>
      <c r="P86" s="226">
        <f>MONTH(F86)-MONTH(T86)</f>
        <v/>
      </c>
      <c r="Q86" s="226">
        <f>$B$5=X86</f>
        <v/>
      </c>
      <c r="R86" s="226">
        <f>I86-AD86</f>
        <v/>
      </c>
      <c r="S86" s="360" t="n"/>
      <c r="T86" s="361" t="n">
        <v>45630</v>
      </c>
      <c r="U86" s="360" t="n">
        <v>253250</v>
      </c>
      <c r="V86" s="360" t="n">
        <v>0</v>
      </c>
      <c r="W86" s="360" t="inlineStr">
        <is>
          <t>បុគ្គលជាប់អាករ</t>
        </is>
      </c>
      <c r="X86" s="360" t="inlineStr">
        <is>
          <t>L001-901640009</t>
        </is>
      </c>
      <c r="Y86" s="360" t="inlineStr">
        <is>
          <t>ហូលីដេ ឌីហ្សាញ (ខេមបូឌា) ឯ.ក</t>
        </is>
      </c>
      <c r="Z86" s="362" t="n">
        <v>385671</v>
      </c>
      <c r="AA86" s="362" t="n">
        <v>350610</v>
      </c>
      <c r="AB86" s="360" t="n">
        <v>0</v>
      </c>
      <c r="AC86" s="360" t="inlineStr">
        <is>
          <t>-</t>
        </is>
      </c>
      <c r="AD86" s="362" t="n">
        <v>35061</v>
      </c>
      <c r="AE86" s="360" t="n"/>
      <c r="AF86" s="615" t="n"/>
    </row>
    <row r="87">
      <c r="A87" s="220">
        <f>A86+1</f>
        <v/>
      </c>
      <c r="B87" s="222" t="inlineStr">
        <is>
          <t>Trucking Fee-Im</t>
        </is>
      </c>
      <c r="C87" s="222" t="inlineStr">
        <is>
          <t>BRILLIANT TRANSPORT AND TRADING Co., Ltd.</t>
        </is>
      </c>
      <c r="D87" s="223" t="inlineStr">
        <is>
          <t>K002-100089305</t>
        </is>
      </c>
      <c r="E87" s="349" t="inlineStr">
        <is>
          <t>BTT24-0002469</t>
        </is>
      </c>
      <c r="F87" s="332" t="n">
        <v>45630</v>
      </c>
      <c r="G87" s="224" t="n"/>
      <c r="H87" s="617" t="n"/>
      <c r="I87" s="617" t="n">
        <v>257920</v>
      </c>
      <c r="J87" s="221" t="inlineStr">
        <is>
          <t>អនុញ្ញាត (បានប្រកាស)</t>
        </is>
      </c>
      <c r="K87" s="221" t="n"/>
      <c r="L87" s="616">
        <f>I87</f>
        <v/>
      </c>
      <c r="M87" s="588">
        <f>I87-L87</f>
        <v/>
      </c>
      <c r="N87" s="221" t="n"/>
      <c r="O87" s="226">
        <f>U87=E87</f>
        <v/>
      </c>
      <c r="P87" s="226">
        <f>MONTH(F87)-MONTH(T87)</f>
        <v/>
      </c>
      <c r="Q87" s="226">
        <f>$B$5=X87</f>
        <v/>
      </c>
      <c r="R87" s="226">
        <f>I87-AD87</f>
        <v/>
      </c>
      <c r="S87" s="360" t="n"/>
      <c r="T87" s="361" t="n">
        <v>45630</v>
      </c>
      <c r="U87" s="360" t="inlineStr">
        <is>
          <t>BTT24-0002469</t>
        </is>
      </c>
      <c r="V87" s="360" t="n">
        <v>0</v>
      </c>
      <c r="W87" s="360" t="inlineStr">
        <is>
          <t>បុគ្គលជាប់អាករ</t>
        </is>
      </c>
      <c r="X87" s="360" t="inlineStr">
        <is>
          <t>L001-901640009</t>
        </is>
      </c>
      <c r="Y87" s="360" t="inlineStr">
        <is>
          <t>ហូលីដេ ឌីហ្សាញ (ខេមបូឌា) ឯ.ក</t>
        </is>
      </c>
      <c r="Z87" s="362" t="n">
        <v>2837120</v>
      </c>
      <c r="AA87" s="362" t="n">
        <v>2579200</v>
      </c>
      <c r="AB87" s="360" t="n">
        <v>0</v>
      </c>
      <c r="AC87" s="360" t="inlineStr">
        <is>
          <t>-</t>
        </is>
      </c>
      <c r="AD87" s="362" t="n">
        <v>257920</v>
      </c>
      <c r="AE87" s="360" t="n">
        <v>0</v>
      </c>
      <c r="AF87" s="615" t="n">
        <v>0</v>
      </c>
      <c r="AG87" s="203" t="n">
        <v>0</v>
      </c>
      <c r="AH87" s="203" t="n">
        <v>0</v>
      </c>
      <c r="AI87" s="203" t="n">
        <v>0</v>
      </c>
      <c r="AJ87" s="203" t="n">
        <v>0</v>
      </c>
      <c r="AK87" s="203" t="n">
        <v>0</v>
      </c>
      <c r="AL87" s="203" t="n">
        <v>0.01</v>
      </c>
      <c r="AM87" s="203" t="n">
        <v>0</v>
      </c>
      <c r="AN87" s="203" t="inlineStr">
        <is>
          <t>Truking / Service</t>
        </is>
      </c>
    </row>
    <row r="88">
      <c r="A88" s="220">
        <f>A87+1</f>
        <v/>
      </c>
      <c r="B88" s="222" t="inlineStr">
        <is>
          <t>Big Plywood 15MM</t>
        </is>
      </c>
      <c r="C88" s="222" t="inlineStr">
        <is>
          <t>GUOXING BUILDING MATERIAL CO., LTD.</t>
        </is>
      </c>
      <c r="D88" s="223" t="inlineStr">
        <is>
          <t>K009-902203491</t>
        </is>
      </c>
      <c r="E88" s="349" t="inlineStr">
        <is>
          <t>GX25-0080</t>
        </is>
      </c>
      <c r="F88" s="332" t="n">
        <v>45793</v>
      </c>
      <c r="G88" s="224" t="n"/>
      <c r="H88" s="617" t="n"/>
      <c r="I88" s="617" t="n">
        <v>696348</v>
      </c>
      <c r="J88" s="221" t="inlineStr">
        <is>
          <t>អនុញ្ញាត (បានប្រកាស)</t>
        </is>
      </c>
      <c r="K88" s="221" t="n"/>
      <c r="L88" s="616">
        <f>I88</f>
        <v/>
      </c>
      <c r="M88" s="588">
        <f>I88-L88</f>
        <v/>
      </c>
      <c r="N88" s="221" t="n"/>
      <c r="O88" s="226">
        <f>U88=E88</f>
        <v/>
      </c>
      <c r="P88" s="226">
        <f>MONTH(F88)-MONTH(T88)</f>
        <v/>
      </c>
      <c r="Q88" s="226">
        <f>$B$5=X88</f>
        <v/>
      </c>
      <c r="R88" s="226">
        <f>I88-AD88</f>
        <v/>
      </c>
      <c r="S88" s="360" t="n"/>
      <c r="T88" s="361" t="n">
        <v>45793</v>
      </c>
      <c r="U88" s="360" t="inlineStr">
        <is>
          <t>GX25-0080</t>
        </is>
      </c>
      <c r="V88" s="360" t="n">
        <v>0</v>
      </c>
      <c r="W88" s="360" t="inlineStr">
        <is>
          <t>បុគ្គលជាប់អាករ</t>
        </is>
      </c>
      <c r="X88" s="360" t="inlineStr">
        <is>
          <t>L001-901640009</t>
        </is>
      </c>
      <c r="Y88" s="360" t="inlineStr">
        <is>
          <t>ហូលីដេ ឌីហ្សាញ (ខេមបូឌា) ឯ.ក</t>
        </is>
      </c>
      <c r="Z88" s="362" t="n">
        <v>7659828</v>
      </c>
      <c r="AA88" s="362" t="n">
        <v>6963480</v>
      </c>
      <c r="AB88" s="360" t="n">
        <v>0</v>
      </c>
      <c r="AC88" s="360" t="inlineStr">
        <is>
          <t>-</t>
        </is>
      </c>
      <c r="AD88" s="362" t="n">
        <v>696348</v>
      </c>
      <c r="AE88" s="360" t="n">
        <v>0</v>
      </c>
      <c r="AF88" s="615" t="n">
        <v>0</v>
      </c>
      <c r="AG88" s="203" t="n">
        <v>0</v>
      </c>
      <c r="AH88" s="203" t="n">
        <v>0</v>
      </c>
      <c r="AI88" s="203" t="n">
        <v>0</v>
      </c>
      <c r="AJ88" s="203" t="n">
        <v>0</v>
      </c>
      <c r="AK88" s="203" t="n">
        <v>0</v>
      </c>
      <c r="AL88" s="203" t="n">
        <v>0.01</v>
      </c>
      <c r="AM88" s="203" t="n">
        <v>0</v>
      </c>
      <c r="AN88" s="203" t="inlineStr">
        <is>
          <t>Big Plywood 15mm</t>
        </is>
      </c>
      <c r="AO88" s="203" t="inlineStr">
        <is>
          <t>បានប្រកាសនិងបង់ពន្ធ</t>
        </is>
      </c>
    </row>
    <row r="89">
      <c r="A89" s="220">
        <f>A88+1</f>
        <v/>
      </c>
      <c r="B89" s="222" t="inlineStr">
        <is>
          <t>Trucking Fee-Im</t>
        </is>
      </c>
      <c r="C89" s="222" t="inlineStr">
        <is>
          <t>BRILLIANT TRANSPORT AND TRADING Co., Ltd.</t>
        </is>
      </c>
      <c r="D89" s="223" t="inlineStr">
        <is>
          <t>K002-100089305</t>
        </is>
      </c>
      <c r="E89" s="349" t="inlineStr">
        <is>
          <t>BTT24-0002586</t>
        </is>
      </c>
      <c r="F89" s="332" t="n">
        <v>45646</v>
      </c>
      <c r="G89" s="224" t="n"/>
      <c r="H89" s="617" t="n"/>
      <c r="I89" s="617" t="n">
        <v>1880892</v>
      </c>
      <c r="J89" s="221" t="inlineStr">
        <is>
          <t>អនុញ្ញាត (បានប្រកាស)</t>
        </is>
      </c>
      <c r="K89" s="221" t="n"/>
      <c r="L89" s="616">
        <f>I89</f>
        <v/>
      </c>
      <c r="M89" s="588">
        <f>I89-L89</f>
        <v/>
      </c>
      <c r="N89" s="221" t="n"/>
      <c r="O89" s="226">
        <f>U89=E89</f>
        <v/>
      </c>
      <c r="P89" s="226">
        <f>MONTH(F89)-MONTH(T89)</f>
        <v/>
      </c>
      <c r="Q89" s="226">
        <f>$B$5=X89</f>
        <v/>
      </c>
      <c r="R89" s="226">
        <f>I89-AD89</f>
        <v/>
      </c>
      <c r="S89" s="360" t="n"/>
      <c r="T89" s="361" t="n">
        <v>45646</v>
      </c>
      <c r="U89" s="360" t="inlineStr">
        <is>
          <t>BTT24-0002586</t>
        </is>
      </c>
      <c r="V89" s="360" t="n">
        <v>0</v>
      </c>
      <c r="W89" s="360" t="inlineStr">
        <is>
          <t>បុគ្គលជាប់អាករ</t>
        </is>
      </c>
      <c r="X89" s="360" t="inlineStr">
        <is>
          <t>L001-901640009</t>
        </is>
      </c>
      <c r="Y89" s="360" t="inlineStr">
        <is>
          <t>ហូលីដេ ឌីហ្សាញ (ខេមបូឌា) ឯ.ក</t>
        </is>
      </c>
      <c r="Z89" s="362" t="n">
        <v>20689812</v>
      </c>
      <c r="AA89" s="362" t="n">
        <v>18808920</v>
      </c>
      <c r="AB89" s="360" t="n">
        <v>0</v>
      </c>
      <c r="AC89" s="360" t="inlineStr">
        <is>
          <t>-</t>
        </is>
      </c>
      <c r="AD89" s="362" t="n">
        <v>1880892</v>
      </c>
      <c r="AE89" s="360" t="n">
        <v>0</v>
      </c>
      <c r="AF89" s="615" t="n">
        <v>0</v>
      </c>
      <c r="AG89" s="203" t="n">
        <v>0</v>
      </c>
      <c r="AH89" s="203" t="n">
        <v>0</v>
      </c>
      <c r="AI89" s="203" t="n">
        <v>0</v>
      </c>
      <c r="AJ89" s="203" t="n">
        <v>0</v>
      </c>
      <c r="AK89" s="203" t="n">
        <v>0</v>
      </c>
      <c r="AL89" s="203" t="n">
        <v>0.01</v>
      </c>
      <c r="AM89" s="203" t="n">
        <v>0</v>
      </c>
      <c r="AN89" s="203" t="inlineStr">
        <is>
          <t>Truking / Service</t>
        </is>
      </c>
    </row>
    <row r="90">
      <c r="A90" s="220">
        <f>A89+1</f>
        <v/>
      </c>
      <c r="B90" s="222" t="inlineStr">
        <is>
          <t>Trucking Fee-Im</t>
        </is>
      </c>
      <c r="C90" s="222" t="inlineStr">
        <is>
          <t>BRILLIANT TRANSPORT AND TRADING Co., Ltd.</t>
        </is>
      </c>
      <c r="D90" s="223" t="inlineStr">
        <is>
          <t>K002-100089305</t>
        </is>
      </c>
      <c r="E90" s="349" t="inlineStr">
        <is>
          <t>BTT24-0002470</t>
        </is>
      </c>
      <c r="F90" s="332" t="n">
        <v>45630</v>
      </c>
      <c r="G90" s="224" t="n"/>
      <c r="H90" s="617" t="n"/>
      <c r="I90" s="617" t="n">
        <v>1192880</v>
      </c>
      <c r="J90" s="221" t="inlineStr">
        <is>
          <t>អនុញ្ញាត (បានប្រកាស)</t>
        </is>
      </c>
      <c r="K90" s="221" t="n"/>
      <c r="L90" s="616">
        <f>I90</f>
        <v/>
      </c>
      <c r="M90" s="588">
        <f>I90-L90</f>
        <v/>
      </c>
      <c r="N90" s="221" t="n"/>
      <c r="O90" s="226">
        <f>U90=E90</f>
        <v/>
      </c>
      <c r="P90" s="226">
        <f>MONTH(F90)-MONTH(T90)</f>
        <v/>
      </c>
      <c r="Q90" s="226">
        <f>$B$5=X90</f>
        <v/>
      </c>
      <c r="R90" s="226">
        <f>I90-AD90</f>
        <v/>
      </c>
      <c r="S90" s="360" t="n"/>
      <c r="T90" s="361" t="n">
        <v>45630</v>
      </c>
      <c r="U90" s="360" t="inlineStr">
        <is>
          <t>BTT24-0002470</t>
        </is>
      </c>
      <c r="V90" s="360" t="n">
        <v>0</v>
      </c>
      <c r="W90" s="360" t="inlineStr">
        <is>
          <t>បុគ្គលជាប់អាករ</t>
        </is>
      </c>
      <c r="X90" s="360" t="inlineStr">
        <is>
          <t>L001-901640009</t>
        </is>
      </c>
      <c r="Y90" s="360" t="inlineStr">
        <is>
          <t>ហូលីដេ ឌីហ្សាញ (ខេមបូឌា) ឯ.ក</t>
        </is>
      </c>
      <c r="Z90" s="362" t="n">
        <v>13121680</v>
      </c>
      <c r="AA90" s="362" t="n">
        <v>11928800</v>
      </c>
      <c r="AB90" s="360" t="n">
        <v>0</v>
      </c>
      <c r="AC90" s="360" t="inlineStr">
        <is>
          <t>-</t>
        </is>
      </c>
      <c r="AD90" s="362" t="n">
        <v>1192880</v>
      </c>
      <c r="AE90" s="360" t="n">
        <v>0</v>
      </c>
      <c r="AF90" s="615" t="n">
        <v>0</v>
      </c>
      <c r="AG90" s="203" t="n">
        <v>0</v>
      </c>
      <c r="AH90" s="203" t="n">
        <v>0</v>
      </c>
      <c r="AI90" s="203" t="n">
        <v>0</v>
      </c>
      <c r="AJ90" s="203" t="n">
        <v>0</v>
      </c>
      <c r="AK90" s="203" t="n">
        <v>0</v>
      </c>
      <c r="AL90" s="203" t="n">
        <v>0.01</v>
      </c>
      <c r="AM90" s="203" t="n">
        <v>0</v>
      </c>
      <c r="AN90" s="203" t="inlineStr">
        <is>
          <t>Truking / Service</t>
        </is>
      </c>
    </row>
    <row r="91">
      <c r="A91" s="220">
        <f>A90+1</f>
        <v/>
      </c>
      <c r="B91" s="222" t="inlineStr">
        <is>
          <t>Lift-On&amp;Lift-Off-Im</t>
        </is>
      </c>
      <c r="C91" s="222" t="inlineStr">
        <is>
          <t>Port Autonome Du Sihanoukville</t>
        </is>
      </c>
      <c r="D91" s="223" t="inlineStr">
        <is>
          <t>L001-100044638</t>
        </is>
      </c>
      <c r="E91" s="349" t="n">
        <v>253254</v>
      </c>
      <c r="F91" s="332" t="n">
        <v>45630</v>
      </c>
      <c r="G91" s="224" t="n"/>
      <c r="H91" s="617" t="n"/>
      <c r="I91" s="617" t="n">
        <v>140244</v>
      </c>
      <c r="J91" s="221" t="inlineStr">
        <is>
          <t>អនុញ្ញាត (បានប្រកាស)</t>
        </is>
      </c>
      <c r="K91" s="221" t="n"/>
      <c r="L91" s="616">
        <f>I91</f>
        <v/>
      </c>
      <c r="M91" s="588">
        <f>I91-L91</f>
        <v/>
      </c>
      <c r="N91" s="221" t="n"/>
      <c r="O91" s="226">
        <f>U91=E91</f>
        <v/>
      </c>
      <c r="P91" s="226">
        <f>MONTH(F91)-MONTH(T91)</f>
        <v/>
      </c>
      <c r="Q91" s="226">
        <f>$B$5=X91</f>
        <v/>
      </c>
      <c r="R91" s="226">
        <f>I91-AD91</f>
        <v/>
      </c>
      <c r="S91" s="360" t="n"/>
      <c r="T91" s="361" t="n">
        <v>45630</v>
      </c>
      <c r="U91" s="360" t="n">
        <v>253254</v>
      </c>
      <c r="V91" s="360" t="n">
        <v>0</v>
      </c>
      <c r="W91" s="360" t="inlineStr">
        <is>
          <t>បុគ្គលជាប់អាករ</t>
        </is>
      </c>
      <c r="X91" s="360" t="inlineStr">
        <is>
          <t>L001-901640009</t>
        </is>
      </c>
      <c r="Y91" s="360" t="inlineStr">
        <is>
          <t>ហូលីដេ ឌីហ្សាញ (ខេមបូឌា) ឯ.ក</t>
        </is>
      </c>
      <c r="Z91" s="362" t="n">
        <v>1542684</v>
      </c>
      <c r="AA91" s="362" t="n">
        <v>1402440</v>
      </c>
      <c r="AB91" s="360" t="n">
        <v>0</v>
      </c>
      <c r="AC91" s="360" t="inlineStr">
        <is>
          <t>-</t>
        </is>
      </c>
      <c r="AD91" s="362" t="n">
        <v>140244</v>
      </c>
      <c r="AE91" s="360" t="n"/>
      <c r="AF91" s="615" t="n"/>
    </row>
    <row r="92">
      <c r="A92" s="220">
        <f>A91+1</f>
        <v/>
      </c>
      <c r="B92" s="222" t="inlineStr">
        <is>
          <t>Terminal Handling Service-Im</t>
        </is>
      </c>
      <c r="C92" s="222" t="inlineStr">
        <is>
          <t>SITC CONTAINER LINES (CAMBODIA) Co., Ltd.</t>
        </is>
      </c>
      <c r="D92" s="223" t="inlineStr">
        <is>
          <t>L001-107035863</t>
        </is>
      </c>
      <c r="E92" s="349" t="inlineStr">
        <is>
          <t>SITC2024-037237</t>
        </is>
      </c>
      <c r="F92" s="332" t="n">
        <v>45627</v>
      </c>
      <c r="G92" s="224" t="n"/>
      <c r="H92" s="617" t="n"/>
      <c r="I92" s="617" t="n">
        <v>861992</v>
      </c>
      <c r="J92" s="221" t="inlineStr">
        <is>
          <t>អនុញ្ញាត (បានប្រកាស)</t>
        </is>
      </c>
      <c r="K92" s="221" t="n"/>
      <c r="L92" s="616">
        <f>I92</f>
        <v/>
      </c>
      <c r="M92" s="588">
        <f>I92-L92</f>
        <v/>
      </c>
      <c r="N92" s="221" t="n"/>
      <c r="O92" s="226">
        <f>U92=E92</f>
        <v/>
      </c>
      <c r="P92" s="226">
        <f>MONTH(F92)-MONTH(T92)</f>
        <v/>
      </c>
      <c r="Q92" s="226">
        <f>$B$5=X92</f>
        <v/>
      </c>
      <c r="R92" s="226">
        <f>I92-AD92</f>
        <v/>
      </c>
      <c r="S92" s="360" t="n"/>
      <c r="T92" s="361" t="n">
        <v>45627</v>
      </c>
      <c r="U92" s="360" t="inlineStr">
        <is>
          <t>SITC2024-037237</t>
        </is>
      </c>
      <c r="V92" s="360" t="n">
        <v>0</v>
      </c>
      <c r="W92" s="360" t="inlineStr">
        <is>
          <t>បុគ្គលជាប់អាករ</t>
        </is>
      </c>
      <c r="X92" s="360" t="inlineStr">
        <is>
          <t>L001-901640009</t>
        </is>
      </c>
      <c r="Y92" s="360" t="inlineStr">
        <is>
          <t>ហូលីដេ ឌីហ្សាញ (ខេមបូឌា) ឯ.ក</t>
        </is>
      </c>
      <c r="Z92" s="362" t="n">
        <v>9481912</v>
      </c>
      <c r="AA92" s="362" t="n">
        <v>8619920</v>
      </c>
      <c r="AB92" s="360" t="n">
        <v>0</v>
      </c>
      <c r="AC92" s="360" t="inlineStr">
        <is>
          <t>-</t>
        </is>
      </c>
      <c r="AD92" s="362" t="n">
        <v>861992</v>
      </c>
      <c r="AE92" s="360" t="n">
        <v>0</v>
      </c>
      <c r="AF92" s="615" t="n">
        <v>0</v>
      </c>
      <c r="AG92" s="203" t="n">
        <v>0</v>
      </c>
      <c r="AH92" s="203" t="n">
        <v>0</v>
      </c>
      <c r="AI92" s="203" t="n">
        <v>0</v>
      </c>
      <c r="AJ92" s="203" t="n">
        <v>0</v>
      </c>
      <c r="AK92" s="203" t="n">
        <v>0</v>
      </c>
      <c r="AL92" s="203" t="n">
        <v>0.01</v>
      </c>
      <c r="AM92" s="203" t="n">
        <v>0</v>
      </c>
      <c r="AN92" s="203" t="inlineStr">
        <is>
          <t>KHCIC,KHDOC,KHTHC,EMF,EIB</t>
        </is>
      </c>
    </row>
    <row r="93">
      <c r="A93" s="220">
        <f>A92+1</f>
        <v/>
      </c>
      <c r="B93" s="222" t="inlineStr">
        <is>
          <t>Trucking Fee-Im</t>
        </is>
      </c>
      <c r="C93" s="222" t="inlineStr">
        <is>
          <t>BRILLIANT TRANSPORT AND TRADING Co., Ltd.</t>
        </is>
      </c>
      <c r="D93" s="223" t="inlineStr">
        <is>
          <t>K002-100089305</t>
        </is>
      </c>
      <c r="E93" s="349" t="inlineStr">
        <is>
          <t>BTT24-0002468</t>
        </is>
      </c>
      <c r="F93" s="332" t="n">
        <v>45630</v>
      </c>
      <c r="G93" s="224" t="n"/>
      <c r="H93" s="617" t="n"/>
      <c r="I93" s="617" t="n">
        <v>959140</v>
      </c>
      <c r="J93" s="221" t="inlineStr">
        <is>
          <t>អនុញ្ញាត (បានប្រកាស)</t>
        </is>
      </c>
      <c r="K93" s="221" t="n"/>
      <c r="L93" s="616">
        <f>I93</f>
        <v/>
      </c>
      <c r="M93" s="588">
        <f>I93-L93</f>
        <v/>
      </c>
      <c r="N93" s="221" t="n"/>
      <c r="O93" s="226">
        <f>U93=E93</f>
        <v/>
      </c>
      <c r="P93" s="226">
        <f>MONTH(F93)-MONTH(T93)</f>
        <v/>
      </c>
      <c r="Q93" s="226">
        <f>$B$5=X93</f>
        <v/>
      </c>
      <c r="R93" s="226">
        <f>I93-AD93</f>
        <v/>
      </c>
      <c r="S93" s="360" t="n"/>
      <c r="T93" s="361" t="n">
        <v>45630</v>
      </c>
      <c r="U93" s="360" t="inlineStr">
        <is>
          <t>BTT24-0002468</t>
        </is>
      </c>
      <c r="V93" s="360" t="n">
        <v>0</v>
      </c>
      <c r="W93" s="360" t="inlineStr">
        <is>
          <t>បុគ្គលជាប់អាករ</t>
        </is>
      </c>
      <c r="X93" s="360" t="inlineStr">
        <is>
          <t>L001-901640009</t>
        </is>
      </c>
      <c r="Y93" s="360" t="inlineStr">
        <is>
          <t>ហូលីដេ ឌីហ្សាញ (ខេមបូឌា) ឯ.ក</t>
        </is>
      </c>
      <c r="Z93" s="362" t="n">
        <v>10550540</v>
      </c>
      <c r="AA93" s="362" t="n">
        <v>9591400</v>
      </c>
      <c r="AB93" s="360" t="n">
        <v>0</v>
      </c>
      <c r="AC93" s="360" t="inlineStr">
        <is>
          <t>-</t>
        </is>
      </c>
      <c r="AD93" s="362" t="n">
        <v>959140</v>
      </c>
      <c r="AE93" s="360" t="n">
        <v>0</v>
      </c>
      <c r="AF93" s="615" t="n">
        <v>0</v>
      </c>
      <c r="AG93" s="203" t="n">
        <v>0</v>
      </c>
      <c r="AH93" s="203" t="n">
        <v>0</v>
      </c>
      <c r="AI93" s="203" t="n">
        <v>0</v>
      </c>
      <c r="AJ93" s="203" t="n">
        <v>0</v>
      </c>
      <c r="AK93" s="203" t="n">
        <v>0</v>
      </c>
      <c r="AL93" s="203" t="n">
        <v>0.01</v>
      </c>
      <c r="AM93" s="203" t="n">
        <v>0</v>
      </c>
      <c r="AN93" s="203" t="inlineStr">
        <is>
          <t>Truking / Service</t>
        </is>
      </c>
    </row>
    <row r="94">
      <c r="A94" s="220">
        <f>A93+1</f>
        <v/>
      </c>
      <c r="B94" s="222" t="inlineStr">
        <is>
          <t>Storage charge-Im</t>
        </is>
      </c>
      <c r="C94" s="222" t="inlineStr">
        <is>
          <t>Port Autonome Du Sihanoukville</t>
        </is>
      </c>
      <c r="D94" s="223" t="inlineStr">
        <is>
          <t>L001-100044638</t>
        </is>
      </c>
      <c r="E94" s="349" t="n">
        <v>253839</v>
      </c>
      <c r="F94" s="332" t="n">
        <v>45631</v>
      </c>
      <c r="G94" s="224" t="n"/>
      <c r="H94" s="617" t="n"/>
      <c r="I94" s="617" t="n">
        <v>29009</v>
      </c>
      <c r="J94" s="221" t="inlineStr">
        <is>
          <t>អនុញ្ញាត (បានប្រកាស)</t>
        </is>
      </c>
      <c r="K94" s="221" t="n"/>
      <c r="L94" s="616">
        <f>I94</f>
        <v/>
      </c>
      <c r="M94" s="588">
        <f>I94-L94</f>
        <v/>
      </c>
      <c r="N94" s="221" t="n"/>
      <c r="O94" s="226">
        <f>U94=E94</f>
        <v/>
      </c>
      <c r="P94" s="226">
        <f>MONTH(F94)-MONTH(T94)</f>
        <v/>
      </c>
      <c r="Q94" s="226">
        <f>$B$5=X94</f>
        <v/>
      </c>
      <c r="R94" s="226">
        <f>I94-AD94</f>
        <v/>
      </c>
      <c r="S94" s="360" t="n"/>
      <c r="T94" s="361" t="n">
        <v>45631</v>
      </c>
      <c r="U94" s="360" t="n">
        <v>253839</v>
      </c>
      <c r="V94" s="360" t="n">
        <v>0</v>
      </c>
      <c r="W94" s="360" t="inlineStr">
        <is>
          <t>បុគ្គលជាប់អាករ</t>
        </is>
      </c>
      <c r="X94" s="360" t="inlineStr">
        <is>
          <t>L001-901640009</t>
        </is>
      </c>
      <c r="Y94" s="360" t="inlineStr">
        <is>
          <t>ហូលីដេ ឌីហ្សាញ (ខេមបូឌា) ឯ.ក</t>
        </is>
      </c>
      <c r="Z94" s="362" t="n">
        <v>319097</v>
      </c>
      <c r="AA94" s="362" t="n">
        <v>290088</v>
      </c>
      <c r="AB94" s="360" t="n">
        <v>0</v>
      </c>
      <c r="AC94" s="360" t="inlineStr">
        <is>
          <t>-</t>
        </is>
      </c>
      <c r="AD94" s="362" t="n">
        <v>29009</v>
      </c>
      <c r="AE94" s="360" t="n"/>
      <c r="AF94" s="615" t="n"/>
    </row>
    <row r="95">
      <c r="A95" s="220">
        <f>A94+1</f>
        <v/>
      </c>
      <c r="B95" s="222" t="inlineStr">
        <is>
          <t>Storage charge-Im</t>
        </is>
      </c>
      <c r="C95" s="222" t="inlineStr">
        <is>
          <t>Port Autonome Du Sihanoukville</t>
        </is>
      </c>
      <c r="D95" s="223" t="inlineStr">
        <is>
          <t>L001-100044638</t>
        </is>
      </c>
      <c r="E95" s="349" t="n">
        <v>253838</v>
      </c>
      <c r="F95" s="332" t="n">
        <v>45631</v>
      </c>
      <c r="G95" s="224" t="n"/>
      <c r="H95" s="617" t="n"/>
      <c r="I95" s="617" t="n">
        <v>14504</v>
      </c>
      <c r="J95" s="221" t="inlineStr">
        <is>
          <t>អនុញ្ញាត (បានប្រកាស)</t>
        </is>
      </c>
      <c r="K95" s="221" t="n"/>
      <c r="L95" s="616">
        <f>I95</f>
        <v/>
      </c>
      <c r="M95" s="588">
        <f>I95-L95</f>
        <v/>
      </c>
      <c r="N95" s="221" t="n"/>
      <c r="O95" s="226">
        <f>U95=E95</f>
        <v/>
      </c>
      <c r="P95" s="226">
        <f>MONTH(F95)-MONTH(T95)</f>
        <v/>
      </c>
      <c r="Q95" s="226">
        <f>$B$5=X95</f>
        <v/>
      </c>
      <c r="R95" s="226">
        <f>I95-AD95</f>
        <v/>
      </c>
      <c r="S95" s="360" t="n"/>
      <c r="T95" s="361" t="n">
        <v>45631</v>
      </c>
      <c r="U95" s="360" t="n">
        <v>253838</v>
      </c>
      <c r="V95" s="360" t="n">
        <v>0</v>
      </c>
      <c r="W95" s="360" t="inlineStr">
        <is>
          <t>បុគ្គលជាប់អាករ</t>
        </is>
      </c>
      <c r="X95" s="360" t="inlineStr">
        <is>
          <t>L001-901640009</t>
        </is>
      </c>
      <c r="Y95" s="360" t="inlineStr">
        <is>
          <t>ហូលីដេ ឌីហ្សាញ (ខេមបូឌា) ឯ.ក</t>
        </is>
      </c>
      <c r="Z95" s="362" t="n">
        <v>159548</v>
      </c>
      <c r="AA95" s="362" t="n">
        <v>145044</v>
      </c>
      <c r="AB95" s="360" t="n">
        <v>0</v>
      </c>
      <c r="AC95" s="360" t="inlineStr">
        <is>
          <t>-</t>
        </is>
      </c>
      <c r="AD95" s="362" t="n">
        <v>14504</v>
      </c>
      <c r="AE95" s="360" t="n"/>
      <c r="AF95" s="615" t="n"/>
    </row>
    <row r="96">
      <c r="A96" s="220">
        <f>A95+1</f>
        <v/>
      </c>
      <c r="B96" s="222" t="inlineStr">
        <is>
          <t>Storage charge-Im</t>
        </is>
      </c>
      <c r="C96" s="222" t="inlineStr">
        <is>
          <t>Port Autonome Du Sihanoukville</t>
        </is>
      </c>
      <c r="D96" s="223" t="inlineStr">
        <is>
          <t>L001-100044638</t>
        </is>
      </c>
      <c r="E96" s="349" t="n">
        <v>252858</v>
      </c>
      <c r="F96" s="332" t="n">
        <v>45630</v>
      </c>
      <c r="G96" s="224" t="n"/>
      <c r="H96" s="617" t="n"/>
      <c r="I96" s="617" t="n">
        <v>4836</v>
      </c>
      <c r="J96" s="221" t="inlineStr">
        <is>
          <t>អនុញ្ញាត (បានប្រកាស)</t>
        </is>
      </c>
      <c r="K96" s="221" t="n"/>
      <c r="L96" s="616">
        <f>I96</f>
        <v/>
      </c>
      <c r="M96" s="588">
        <f>I96-L96</f>
        <v/>
      </c>
      <c r="N96" s="221" t="n"/>
      <c r="O96" s="226">
        <f>U96=E96</f>
        <v/>
      </c>
      <c r="P96" s="226">
        <f>MONTH(F96)-MONTH(T96)</f>
        <v/>
      </c>
      <c r="Q96" s="226">
        <f>$B$5=X96</f>
        <v/>
      </c>
      <c r="R96" s="226">
        <f>I96-AD96</f>
        <v/>
      </c>
      <c r="S96" s="360" t="n"/>
      <c r="T96" s="361" t="n">
        <v>45630</v>
      </c>
      <c r="U96" s="360" t="n">
        <v>252858</v>
      </c>
      <c r="V96" s="360" t="n">
        <v>0</v>
      </c>
      <c r="W96" s="360" t="inlineStr">
        <is>
          <t>បុគ្គលជាប់អាករ</t>
        </is>
      </c>
      <c r="X96" s="360" t="inlineStr">
        <is>
          <t>L001-901640009</t>
        </is>
      </c>
      <c r="Y96" s="360" t="inlineStr">
        <is>
          <t>ហូលីដេ ឌីហ្សាញ (ខេមបូឌា) ឯ.ក</t>
        </is>
      </c>
      <c r="Z96" s="362" t="n">
        <v>53196</v>
      </c>
      <c r="AA96" s="362" t="n">
        <v>48360</v>
      </c>
      <c r="AB96" s="360" t="n">
        <v>0</v>
      </c>
      <c r="AC96" s="360" t="inlineStr">
        <is>
          <t>-</t>
        </is>
      </c>
      <c r="AD96" s="362" t="n">
        <v>4836</v>
      </c>
      <c r="AE96" s="360" t="n"/>
      <c r="AF96" s="615" t="n"/>
    </row>
    <row r="97">
      <c r="A97" s="220">
        <f>A96+1</f>
        <v/>
      </c>
      <c r="B97" s="222" t="inlineStr">
        <is>
          <t>Lift-On&amp;Lift-Off-Im</t>
        </is>
      </c>
      <c r="C97" s="222" t="inlineStr">
        <is>
          <t>Port Autonome Du Sihanoukville</t>
        </is>
      </c>
      <c r="D97" s="223" t="inlineStr">
        <is>
          <t>L001-100044638</t>
        </is>
      </c>
      <c r="E97" s="349" t="n">
        <v>252495</v>
      </c>
      <c r="F97" s="332" t="n">
        <v>45629</v>
      </c>
      <c r="G97" s="224" t="n"/>
      <c r="H97" s="617" t="n"/>
      <c r="I97" s="617" t="n">
        <v>520128</v>
      </c>
      <c r="J97" s="221" t="inlineStr">
        <is>
          <t>អនុញ្ញាត (បានប្រកាស)</t>
        </is>
      </c>
      <c r="K97" s="221" t="n"/>
      <c r="L97" s="616">
        <f>I97</f>
        <v/>
      </c>
      <c r="M97" s="588">
        <f>I97-L97</f>
        <v/>
      </c>
      <c r="N97" s="221" t="n"/>
      <c r="O97" s="226">
        <f>U97=E97</f>
        <v/>
      </c>
      <c r="P97" s="226">
        <f>MONTH(F97)-MONTH(T97)</f>
        <v/>
      </c>
      <c r="Q97" s="226">
        <f>$B$5=X97</f>
        <v/>
      </c>
      <c r="R97" s="226">
        <f>I97-AD97</f>
        <v/>
      </c>
      <c r="S97" s="360" t="n"/>
      <c r="T97" s="361" t="n">
        <v>45629</v>
      </c>
      <c r="U97" s="360" t="n">
        <v>252495</v>
      </c>
      <c r="V97" s="360" t="n">
        <v>0</v>
      </c>
      <c r="W97" s="360" t="inlineStr">
        <is>
          <t>បុគ្គលជាប់អាករ</t>
        </is>
      </c>
      <c r="X97" s="360" t="inlineStr">
        <is>
          <t>L001-901640009</t>
        </is>
      </c>
      <c r="Y97" s="360" t="inlineStr">
        <is>
          <t>ហូលីដេ ឌីហ្សាញ (ខេមបូឌា) ឯ.ក</t>
        </is>
      </c>
      <c r="Z97" s="362" t="n">
        <v>5721408</v>
      </c>
      <c r="AA97" s="362" t="n">
        <v>5201280</v>
      </c>
      <c r="AB97" s="360" t="n">
        <v>0</v>
      </c>
      <c r="AC97" s="360" t="inlineStr">
        <is>
          <t>-</t>
        </is>
      </c>
      <c r="AD97" s="362" t="n">
        <v>520128</v>
      </c>
      <c r="AE97" s="360" t="n"/>
      <c r="AF97" s="615" t="n"/>
    </row>
    <row r="98">
      <c r="A98" s="220">
        <f>A97+1</f>
        <v/>
      </c>
      <c r="B98" s="222" t="inlineStr">
        <is>
          <t>Trucking Fee-Im</t>
        </is>
      </c>
      <c r="C98" s="222" t="inlineStr">
        <is>
          <t>BRILLIANT TRANSPORT AND TRADING Co., Ltd.</t>
        </is>
      </c>
      <c r="D98" s="223" t="inlineStr">
        <is>
          <t>K002-100089305</t>
        </is>
      </c>
      <c r="E98" s="349" t="inlineStr">
        <is>
          <t>BTT24-0002467</t>
        </is>
      </c>
      <c r="F98" s="332" t="n">
        <v>45629</v>
      </c>
      <c r="G98" s="224" t="n"/>
      <c r="H98" s="617" t="n"/>
      <c r="I98" s="617" t="n">
        <v>2390976</v>
      </c>
      <c r="J98" s="221" t="inlineStr">
        <is>
          <t>អនុញ្ញាត (បានប្រកាស)</t>
        </is>
      </c>
      <c r="K98" s="221" t="n"/>
      <c r="L98" s="616">
        <f>I98</f>
        <v/>
      </c>
      <c r="M98" s="588">
        <f>I98-L98</f>
        <v/>
      </c>
      <c r="N98" s="221" t="n"/>
      <c r="O98" s="226">
        <f>U98=E98</f>
        <v/>
      </c>
      <c r="P98" s="226">
        <f>MONTH(F98)-MONTH(T98)</f>
        <v/>
      </c>
      <c r="Q98" s="226">
        <f>$B$5=X98</f>
        <v/>
      </c>
      <c r="R98" s="226">
        <f>I98-AD98</f>
        <v/>
      </c>
      <c r="S98" s="360" t="n"/>
      <c r="T98" s="361" t="n">
        <v>45629</v>
      </c>
      <c r="U98" s="360" t="inlineStr">
        <is>
          <t>BTT24-0002467</t>
        </is>
      </c>
      <c r="V98" s="360" t="n">
        <v>0</v>
      </c>
      <c r="W98" s="360" t="inlineStr">
        <is>
          <t>បុគ្គលជាប់អាករ</t>
        </is>
      </c>
      <c r="X98" s="360" t="inlineStr">
        <is>
          <t>L001-901640009</t>
        </is>
      </c>
      <c r="Y98" s="360" t="inlineStr">
        <is>
          <t>ហូលីដេ ឌីហ្សាញ (ខេមបូឌា) ឯ.ក</t>
        </is>
      </c>
      <c r="Z98" s="362" t="n">
        <v>26300736</v>
      </c>
      <c r="AA98" s="362" t="n">
        <v>23909760</v>
      </c>
      <c r="AB98" s="360" t="n">
        <v>0</v>
      </c>
      <c r="AC98" s="360" t="inlineStr">
        <is>
          <t>-</t>
        </is>
      </c>
      <c r="AD98" s="362" t="n">
        <v>2390976</v>
      </c>
      <c r="AE98" s="360" t="n">
        <v>0</v>
      </c>
      <c r="AF98" s="615" t="n">
        <v>0</v>
      </c>
      <c r="AG98" s="203" t="n">
        <v>0</v>
      </c>
      <c r="AH98" s="203" t="n">
        <v>0</v>
      </c>
      <c r="AI98" s="203" t="n">
        <v>0</v>
      </c>
      <c r="AJ98" s="203" t="n">
        <v>0</v>
      </c>
      <c r="AK98" s="203" t="n">
        <v>0</v>
      </c>
      <c r="AL98" s="203" t="n">
        <v>0.01</v>
      </c>
      <c r="AM98" s="203" t="n">
        <v>0</v>
      </c>
      <c r="AN98" s="203" t="inlineStr">
        <is>
          <t>Truking / Service</t>
        </is>
      </c>
    </row>
    <row r="99">
      <c r="A99" s="220">
        <f>A98+1</f>
        <v/>
      </c>
      <c r="B99" s="222" t="inlineStr">
        <is>
          <t>Protective Case</t>
        </is>
      </c>
      <c r="C99" s="222" t="inlineStr">
        <is>
          <t>HENG CAI (CAMBODIA) PRINTING Co., Ltd.</t>
        </is>
      </c>
      <c r="D99" s="223" t="inlineStr">
        <is>
          <t>K010-901504622</t>
        </is>
      </c>
      <c r="E99" s="349" t="n">
        <v>2500044</v>
      </c>
      <c r="F99" s="332" t="n">
        <v>45747</v>
      </c>
      <c r="G99" s="224" t="n"/>
      <c r="H99" s="617" t="n"/>
      <c r="I99" s="617" t="n">
        <v>1444800</v>
      </c>
      <c r="J99" s="221" t="inlineStr">
        <is>
          <t>អនុញ្ញាត (បានប្រកាស)</t>
        </is>
      </c>
      <c r="K99" s="221" t="n"/>
      <c r="L99" s="616">
        <f>I99</f>
        <v/>
      </c>
      <c r="M99" s="588">
        <f>I99-L99</f>
        <v/>
      </c>
      <c r="N99" s="221" t="n"/>
      <c r="O99" s="226">
        <f>U99=E99</f>
        <v/>
      </c>
      <c r="P99" s="226">
        <f>MONTH(F99)-MONTH(T99)</f>
        <v/>
      </c>
      <c r="Q99" s="226">
        <f>$B$5=X99</f>
        <v/>
      </c>
      <c r="R99" s="226">
        <f>I99-AD99</f>
        <v/>
      </c>
      <c r="S99" s="360" t="n"/>
      <c r="T99" s="361" t="n">
        <v>45747</v>
      </c>
      <c r="U99" s="360" t="n">
        <v>2500044</v>
      </c>
      <c r="V99" s="360" t="n">
        <v>0</v>
      </c>
      <c r="W99" s="360" t="inlineStr">
        <is>
          <t>បុគ្គលជាប់អាករ</t>
        </is>
      </c>
      <c r="X99" s="360" t="inlineStr">
        <is>
          <t>L001-901640009</t>
        </is>
      </c>
      <c r="Y99" s="360" t="inlineStr">
        <is>
          <t>ហូលីដេ ឌីហ្សាញ (ខេមបូឌា) ឯ.ក</t>
        </is>
      </c>
      <c r="Z99" s="362" t="n">
        <v>15892800</v>
      </c>
      <c r="AA99" s="362" t="n">
        <v>14448000</v>
      </c>
      <c r="AB99" s="360" t="n">
        <v>0</v>
      </c>
      <c r="AC99" s="360" t="inlineStr">
        <is>
          <t>-</t>
        </is>
      </c>
      <c r="AD99" s="362" t="n">
        <v>1444800</v>
      </c>
      <c r="AE99" s="360" t="n">
        <v>0</v>
      </c>
      <c r="AF99" s="615" t="n">
        <v>0</v>
      </c>
      <c r="AG99" s="203" t="n">
        <v>0</v>
      </c>
      <c r="AH99" s="203" t="n">
        <v>0</v>
      </c>
      <c r="AI99" s="203" t="n">
        <v>0</v>
      </c>
      <c r="AJ99" s="203" t="n">
        <v>0</v>
      </c>
      <c r="AK99" s="203" t="n">
        <v>0</v>
      </c>
      <c r="AL99" s="203" t="n">
        <v>0.01</v>
      </c>
      <c r="AM99" s="203" t="n">
        <v>0</v>
      </c>
      <c r="AN99" s="203" t="inlineStr">
        <is>
          <t>Protective case</t>
        </is>
      </c>
      <c r="AO99" s="203" t="inlineStr">
        <is>
          <t>បានប្រកាសនិងបង់ពន្ធ</t>
        </is>
      </c>
    </row>
    <row r="100">
      <c r="A100" s="220">
        <f>A99+1</f>
        <v/>
      </c>
      <c r="B100" s="222" t="inlineStr">
        <is>
          <t>Protective Case</t>
        </is>
      </c>
      <c r="C100" s="222" t="inlineStr">
        <is>
          <t>HENG CAI (CAMBODIA) PRINTING Co., Ltd.</t>
        </is>
      </c>
      <c r="D100" s="223" t="inlineStr">
        <is>
          <t>K010-901504622</t>
        </is>
      </c>
      <c r="E100" s="349" t="n">
        <v>2500067</v>
      </c>
      <c r="F100" s="332" t="n">
        <v>45800</v>
      </c>
      <c r="G100" s="224" t="n"/>
      <c r="H100" s="617" t="n"/>
      <c r="I100" s="617" t="n">
        <v>235376</v>
      </c>
      <c r="J100" s="221" t="inlineStr">
        <is>
          <t>អនុញ្ញាត (បានប្រកាស)</t>
        </is>
      </c>
      <c r="K100" s="221" t="n"/>
      <c r="L100" s="616">
        <f>I100</f>
        <v/>
      </c>
      <c r="M100" s="588">
        <f>I100-L100</f>
        <v/>
      </c>
      <c r="N100" s="221" t="n"/>
      <c r="O100" s="226">
        <f>U100=E100</f>
        <v/>
      </c>
      <c r="P100" s="226">
        <f>MONTH(F100)-MONTH(T100)</f>
        <v/>
      </c>
      <c r="Q100" s="226">
        <f>$B$5=X100</f>
        <v/>
      </c>
      <c r="R100" s="226">
        <f>I100-AD100</f>
        <v/>
      </c>
      <c r="S100" s="360" t="n"/>
      <c r="T100" s="361" t="n">
        <v>45800</v>
      </c>
      <c r="U100" s="360" t="n">
        <v>2500067</v>
      </c>
      <c r="V100" s="360" t="n">
        <v>0</v>
      </c>
      <c r="W100" s="360" t="inlineStr">
        <is>
          <t>បុគ្គលជាប់អាករ</t>
        </is>
      </c>
      <c r="X100" s="360" t="inlineStr">
        <is>
          <t>L001-901640009</t>
        </is>
      </c>
      <c r="Y100" s="360" t="inlineStr">
        <is>
          <t>ហូលីដេ ឌីហ្សាញ (ខេមបូឌា) ឯ.ក</t>
        </is>
      </c>
      <c r="Z100" s="362" t="n">
        <v>2589140</v>
      </c>
      <c r="AA100" s="362" t="n">
        <v>2353764</v>
      </c>
      <c r="AB100" s="360" t="n">
        <v>0</v>
      </c>
      <c r="AC100" s="360" t="inlineStr">
        <is>
          <t>-</t>
        </is>
      </c>
      <c r="AD100" s="362" t="n">
        <v>235376</v>
      </c>
      <c r="AE100" s="360" t="n">
        <v>0</v>
      </c>
      <c r="AF100" s="615" t="n">
        <v>0</v>
      </c>
      <c r="AG100" s="203" t="n">
        <v>0</v>
      </c>
      <c r="AH100" s="203" t="n">
        <v>0</v>
      </c>
      <c r="AI100" s="203" t="n">
        <v>0</v>
      </c>
      <c r="AJ100" s="203" t="n">
        <v>0</v>
      </c>
      <c r="AK100" s="203" t="n">
        <v>0</v>
      </c>
      <c r="AL100" s="203" t="n">
        <v>0.01</v>
      </c>
      <c r="AM100" s="203" t="n">
        <v>0</v>
      </c>
      <c r="AN100" s="203" t="inlineStr">
        <is>
          <t>Protective case</t>
        </is>
      </c>
      <c r="AO100" s="203" t="inlineStr">
        <is>
          <t>បានប្រកាសនិងបង់ពន្ធ</t>
        </is>
      </c>
    </row>
    <row r="101">
      <c r="A101" s="220">
        <f>A100+1</f>
        <v/>
      </c>
      <c r="B101" s="222" t="inlineStr">
        <is>
          <t>Lift-On&amp;Lift-Off-Im</t>
        </is>
      </c>
      <c r="C101" s="222" t="inlineStr">
        <is>
          <t>Port Autonome Du Sihanoukville</t>
        </is>
      </c>
      <c r="D101" s="223" t="inlineStr">
        <is>
          <t>L001-100044638</t>
        </is>
      </c>
      <c r="E101" s="349" t="n">
        <v>253242</v>
      </c>
      <c r="F101" s="332" t="n">
        <v>45630</v>
      </c>
      <c r="G101" s="224" t="n"/>
      <c r="H101" s="617" t="n"/>
      <c r="I101" s="617" t="n">
        <v>175305</v>
      </c>
      <c r="J101" s="221" t="inlineStr">
        <is>
          <t>អនុញ្ញាត (បានប្រកាស)</t>
        </is>
      </c>
      <c r="K101" s="221" t="n"/>
      <c r="L101" s="616">
        <f>I101</f>
        <v/>
      </c>
      <c r="M101" s="588">
        <f>I101-L101</f>
        <v/>
      </c>
      <c r="N101" s="221" t="n"/>
      <c r="O101" s="226">
        <f>U101=E101</f>
        <v/>
      </c>
      <c r="P101" s="226">
        <f>MONTH(F101)-MONTH(T101)</f>
        <v/>
      </c>
      <c r="Q101" s="226">
        <f>$B$5=X101</f>
        <v/>
      </c>
      <c r="R101" s="226">
        <f>I101-AD101</f>
        <v/>
      </c>
      <c r="S101" s="360" t="n"/>
      <c r="T101" s="361" t="n">
        <v>45630</v>
      </c>
      <c r="U101" s="360" t="n">
        <v>253242</v>
      </c>
      <c r="V101" s="360" t="n">
        <v>0</v>
      </c>
      <c r="W101" s="360" t="inlineStr">
        <is>
          <t>បុគ្គលជាប់អាករ</t>
        </is>
      </c>
      <c r="X101" s="360" t="inlineStr">
        <is>
          <t>L001-901640009</t>
        </is>
      </c>
      <c r="Y101" s="360" t="inlineStr">
        <is>
          <t>ហូលីដេ ឌីហ្សាញ (ខេមបូឌា) ឯ.ក</t>
        </is>
      </c>
      <c r="Z101" s="362" t="n">
        <v>1928355</v>
      </c>
      <c r="AA101" s="362" t="n">
        <v>1753050</v>
      </c>
      <c r="AB101" s="360" t="n">
        <v>0</v>
      </c>
      <c r="AC101" s="360" t="inlineStr">
        <is>
          <t>-</t>
        </is>
      </c>
      <c r="AD101" s="362" t="n">
        <v>175305</v>
      </c>
      <c r="AE101" s="360" t="n"/>
      <c r="AF101" s="615" t="n"/>
    </row>
    <row r="102">
      <c r="A102" s="220">
        <f>A101+1</f>
        <v/>
      </c>
      <c r="B102" s="222" t="inlineStr">
        <is>
          <t>Lift-On&amp;Lift-Off-Im</t>
        </is>
      </c>
      <c r="C102" s="222" t="inlineStr">
        <is>
          <t>Port Autonome Du Sihanoukville</t>
        </is>
      </c>
      <c r="D102" s="223" t="inlineStr">
        <is>
          <t>L001-100044638</t>
        </is>
      </c>
      <c r="E102" s="349" t="n">
        <v>264225</v>
      </c>
      <c r="F102" s="332" t="n">
        <v>45644</v>
      </c>
      <c r="G102" s="224" t="n"/>
      <c r="H102" s="617" t="n"/>
      <c r="I102" s="617" t="n">
        <v>206277</v>
      </c>
      <c r="J102" s="221" t="inlineStr">
        <is>
          <t>អនុញ្ញាត (បានប្រកាស)</t>
        </is>
      </c>
      <c r="K102" s="221" t="n"/>
      <c r="L102" s="616">
        <f>I102</f>
        <v/>
      </c>
      <c r="M102" s="588">
        <f>I102-L102</f>
        <v/>
      </c>
      <c r="N102" s="221" t="n"/>
      <c r="O102" s="226">
        <f>U102=E102</f>
        <v/>
      </c>
      <c r="P102" s="226">
        <f>MONTH(F102)-MONTH(T102)</f>
        <v/>
      </c>
      <c r="Q102" s="226">
        <f>$B$5=X102</f>
        <v/>
      </c>
      <c r="R102" s="226">
        <f>I102-AD102</f>
        <v/>
      </c>
      <c r="S102" s="360" t="n"/>
      <c r="T102" s="361" t="n">
        <v>45644</v>
      </c>
      <c r="U102" s="360" t="n">
        <v>264225</v>
      </c>
      <c r="V102" s="360" t="n">
        <v>0</v>
      </c>
      <c r="W102" s="360" t="inlineStr">
        <is>
          <t>បុគ្គលជាប់អាករ</t>
        </is>
      </c>
      <c r="X102" s="360" t="inlineStr">
        <is>
          <t>L001-901640009</t>
        </is>
      </c>
      <c r="Y102" s="360" t="inlineStr">
        <is>
          <t>ហូលីដេ ឌីហ្សាញ (ខេមបូឌា) ឯ.ក</t>
        </is>
      </c>
      <c r="Z102" s="362" t="n">
        <v>2269050</v>
      </c>
      <c r="AA102" s="362" t="n">
        <v>2062773</v>
      </c>
      <c r="AB102" s="360" t="n">
        <v>0</v>
      </c>
      <c r="AC102" s="360" t="inlineStr">
        <is>
          <t>-</t>
        </is>
      </c>
      <c r="AD102" s="362" t="n">
        <v>206277</v>
      </c>
      <c r="AE102" s="360" t="n"/>
      <c r="AF102" s="615" t="n"/>
    </row>
    <row r="103">
      <c r="A103" s="220">
        <f>A102+1</f>
        <v/>
      </c>
      <c r="B103" s="222" t="inlineStr">
        <is>
          <t>Terminal Handling Service-Im</t>
        </is>
      </c>
      <c r="C103" s="222" t="inlineStr">
        <is>
          <t>SITC CONTAINER LINES (CAMBODIA) Co., Ltd.</t>
        </is>
      </c>
      <c r="D103" s="223" t="inlineStr">
        <is>
          <t>L001-107035863</t>
        </is>
      </c>
      <c r="E103" s="349" t="inlineStr">
        <is>
          <t>SITC2024-038868</t>
        </is>
      </c>
      <c r="F103" s="332" t="n">
        <v>45638</v>
      </c>
      <c r="G103" s="224" t="n"/>
      <c r="H103" s="617" t="n"/>
      <c r="I103" s="617" t="n">
        <v>1108416</v>
      </c>
      <c r="J103" s="221" t="inlineStr">
        <is>
          <t>អនុញ្ញាត (បានប្រកាស)</t>
        </is>
      </c>
      <c r="K103" s="221" t="n"/>
      <c r="L103" s="616">
        <f>I103</f>
        <v/>
      </c>
      <c r="M103" s="588">
        <f>I103-L103</f>
        <v/>
      </c>
      <c r="N103" s="221" t="n"/>
      <c r="O103" s="226">
        <f>U103=E103</f>
        <v/>
      </c>
      <c r="P103" s="226">
        <f>MONTH(F103)-MONTH(T103)</f>
        <v/>
      </c>
      <c r="Q103" s="226">
        <f>$B$5=X103</f>
        <v/>
      </c>
      <c r="R103" s="226">
        <f>I103-AD103</f>
        <v/>
      </c>
      <c r="S103" s="360" t="n"/>
      <c r="T103" s="361" t="n">
        <v>45638</v>
      </c>
      <c r="U103" s="360" t="inlineStr">
        <is>
          <t>SITC2024-038868</t>
        </is>
      </c>
      <c r="V103" s="360" t="n">
        <v>0</v>
      </c>
      <c r="W103" s="360" t="inlineStr">
        <is>
          <t>បុគ្គលជាប់អាករ</t>
        </is>
      </c>
      <c r="X103" s="360" t="inlineStr">
        <is>
          <t>L001-901640009</t>
        </is>
      </c>
      <c r="Y103" s="360" t="inlineStr">
        <is>
          <t>ហូលីដេ ឌីហ្សាញ (ខេមបូឌា) ឯ.ក</t>
        </is>
      </c>
      <c r="Z103" s="362" t="n">
        <v>12192576</v>
      </c>
      <c r="AA103" s="362" t="n">
        <v>11084160</v>
      </c>
      <c r="AB103" s="360" t="n">
        <v>0</v>
      </c>
      <c r="AC103" s="360" t="inlineStr">
        <is>
          <t>-</t>
        </is>
      </c>
      <c r="AD103" s="362" t="n">
        <v>1108416</v>
      </c>
      <c r="AE103" s="360" t="n">
        <v>0</v>
      </c>
      <c r="AF103" s="615" t="n">
        <v>0</v>
      </c>
      <c r="AG103" s="203" t="n">
        <v>0</v>
      </c>
      <c r="AH103" s="203" t="n">
        <v>0</v>
      </c>
      <c r="AI103" s="203" t="n">
        <v>0</v>
      </c>
      <c r="AJ103" s="203" t="n">
        <v>0</v>
      </c>
      <c r="AK103" s="203" t="n">
        <v>0</v>
      </c>
      <c r="AL103" s="203" t="n">
        <v>0.01</v>
      </c>
      <c r="AM103" s="203" t="n">
        <v>0</v>
      </c>
      <c r="AN103" s="203" t="inlineStr">
        <is>
          <t>EIB,EMF,KHCIC,KHDOC,KHTHC</t>
        </is>
      </c>
    </row>
    <row r="104">
      <c r="A104" s="220">
        <f>A103+1</f>
        <v/>
      </c>
      <c r="B104" s="222" t="inlineStr">
        <is>
          <t>Trucking Fee-Im</t>
        </is>
      </c>
      <c r="C104" s="222" t="inlineStr">
        <is>
          <t>BRILLIANT TRANSPORT AND TRADING Co., Ltd.</t>
        </is>
      </c>
      <c r="D104" s="223" t="inlineStr">
        <is>
          <t>K002-100089305</t>
        </is>
      </c>
      <c r="E104" s="349" t="inlineStr">
        <is>
          <t>BTT24-0002585</t>
        </is>
      </c>
      <c r="F104" s="332" t="n">
        <v>45644</v>
      </c>
      <c r="G104" s="224" t="n"/>
      <c r="H104" s="617" t="n"/>
      <c r="I104" s="617" t="n">
        <v>2231655</v>
      </c>
      <c r="J104" s="221" t="inlineStr">
        <is>
          <t>អនុញ្ញាត (បានប្រកាស)</t>
        </is>
      </c>
      <c r="K104" s="221" t="n"/>
      <c r="L104" s="616">
        <f>I104</f>
        <v/>
      </c>
      <c r="M104" s="588">
        <f>I104-L104</f>
        <v/>
      </c>
      <c r="N104" s="221" t="n"/>
      <c r="O104" s="226">
        <f>U104=E104</f>
        <v/>
      </c>
      <c r="P104" s="226">
        <f>MONTH(F104)-MONTH(T104)</f>
        <v/>
      </c>
      <c r="Q104" s="226">
        <f>$B$5=X104</f>
        <v/>
      </c>
      <c r="R104" s="226">
        <f>I104-AD104</f>
        <v/>
      </c>
      <c r="S104" s="360" t="n"/>
      <c r="T104" s="361" t="n">
        <v>45644</v>
      </c>
      <c r="U104" s="360" t="inlineStr">
        <is>
          <t>BTT24-0002585</t>
        </is>
      </c>
      <c r="V104" s="360" t="n">
        <v>0</v>
      </c>
      <c r="W104" s="360" t="inlineStr">
        <is>
          <t>បុគ្គលជាប់អាករ</t>
        </is>
      </c>
      <c r="X104" s="360" t="inlineStr">
        <is>
          <t>L001-901640009</t>
        </is>
      </c>
      <c r="Y104" s="360" t="inlineStr">
        <is>
          <t>ហូលីដេ ឌីហ្សាញ (ខេមបូឌា) ឯ.ក</t>
        </is>
      </c>
      <c r="Z104" s="362" t="n">
        <v>24548205</v>
      </c>
      <c r="AA104" s="362" t="n">
        <v>22316550</v>
      </c>
      <c r="AB104" s="360" t="n">
        <v>0</v>
      </c>
      <c r="AC104" s="360" t="inlineStr">
        <is>
          <t>-</t>
        </is>
      </c>
      <c r="AD104" s="362" t="n">
        <v>2231655</v>
      </c>
      <c r="AE104" s="360" t="n">
        <v>0</v>
      </c>
      <c r="AF104" s="615" t="n">
        <v>0</v>
      </c>
      <c r="AG104" s="203" t="n">
        <v>0</v>
      </c>
      <c r="AH104" s="203" t="n">
        <v>0</v>
      </c>
      <c r="AI104" s="203" t="n">
        <v>0</v>
      </c>
      <c r="AJ104" s="203" t="n">
        <v>0</v>
      </c>
      <c r="AK104" s="203" t="n">
        <v>0</v>
      </c>
      <c r="AL104" s="203" t="n">
        <v>0.01</v>
      </c>
      <c r="AM104" s="203" t="n">
        <v>0</v>
      </c>
      <c r="AN104" s="203" t="inlineStr">
        <is>
          <t>Truking / Service</t>
        </is>
      </c>
    </row>
    <row r="105">
      <c r="A105" s="220">
        <f>A104+1</f>
        <v/>
      </c>
      <c r="B105" s="222" t="inlineStr">
        <is>
          <t>Lift-On&amp;Lift-Off-Im</t>
        </is>
      </c>
      <c r="C105" s="222" t="inlineStr">
        <is>
          <t>Port Autonome Du Sihanoukville</t>
        </is>
      </c>
      <c r="D105" s="223" t="inlineStr">
        <is>
          <t>L001-100044638</t>
        </is>
      </c>
      <c r="E105" s="349" t="n">
        <v>264000</v>
      </c>
      <c r="F105" s="332" t="n">
        <v>45643</v>
      </c>
      <c r="G105" s="224" t="n"/>
      <c r="H105" s="617" t="n"/>
      <c r="I105" s="617" t="n">
        <v>337596</v>
      </c>
      <c r="J105" s="221" t="inlineStr">
        <is>
          <t>អនុញ្ញាត (បានប្រកាស)</t>
        </is>
      </c>
      <c r="K105" s="221" t="n"/>
      <c r="L105" s="616">
        <f>I105</f>
        <v/>
      </c>
      <c r="M105" s="588">
        <f>I105-L105</f>
        <v/>
      </c>
      <c r="N105" s="221" t="n"/>
      <c r="O105" s="226">
        <f>U105=E105</f>
        <v/>
      </c>
      <c r="P105" s="226">
        <f>MONTH(F105)-MONTH(T105)</f>
        <v/>
      </c>
      <c r="Q105" s="226">
        <f>$B$5=X105</f>
        <v/>
      </c>
      <c r="R105" s="226">
        <f>I105-AD105</f>
        <v/>
      </c>
      <c r="S105" s="360" t="n"/>
      <c r="T105" s="361" t="n">
        <v>45643</v>
      </c>
      <c r="U105" s="360" t="n">
        <v>264000</v>
      </c>
      <c r="V105" s="360" t="n">
        <v>0</v>
      </c>
      <c r="W105" s="360" t="inlineStr">
        <is>
          <t>បុគ្គលជាប់អាករ</t>
        </is>
      </c>
      <c r="X105" s="360" t="inlineStr">
        <is>
          <t>L001-901640009</t>
        </is>
      </c>
      <c r="Y105" s="360" t="inlineStr">
        <is>
          <t>ហូលីដេ ឌីហ្សាញ (ខេមបូឌា) ឯ.ក</t>
        </is>
      </c>
      <c r="Z105" s="362" t="n">
        <v>3713556</v>
      </c>
      <c r="AA105" s="362" t="n">
        <v>3375960</v>
      </c>
      <c r="AB105" s="360" t="n">
        <v>0</v>
      </c>
      <c r="AC105" s="360" t="inlineStr">
        <is>
          <t>-</t>
        </is>
      </c>
      <c r="AD105" s="362" t="n">
        <v>337596</v>
      </c>
      <c r="AE105" s="360" t="n"/>
      <c r="AF105" s="615" t="n"/>
    </row>
    <row r="106">
      <c r="A106" s="220">
        <f>A105+1</f>
        <v/>
      </c>
      <c r="B106" s="222" t="inlineStr">
        <is>
          <t>Terminal Handling Service-Im</t>
        </is>
      </c>
      <c r="C106" s="222" t="inlineStr">
        <is>
          <t>SITC CONTAINER LINES (CAMBODIA) Co., Ltd.</t>
        </is>
      </c>
      <c r="D106" s="223" t="inlineStr">
        <is>
          <t>L001-107035863</t>
        </is>
      </c>
      <c r="E106" s="349" t="inlineStr">
        <is>
          <t>SITC2024-039126</t>
        </is>
      </c>
      <c r="F106" s="332" t="n">
        <v>45639</v>
      </c>
      <c r="G106" s="224" t="n"/>
      <c r="H106" s="617" t="n"/>
      <c r="I106" s="617" t="n">
        <v>2026584</v>
      </c>
      <c r="J106" s="221" t="inlineStr">
        <is>
          <t>អនុញ្ញាត (បានប្រកាស)</t>
        </is>
      </c>
      <c r="K106" s="221" t="n"/>
      <c r="L106" s="616">
        <f>I106</f>
        <v/>
      </c>
      <c r="M106" s="588">
        <f>I106-L106</f>
        <v/>
      </c>
      <c r="N106" s="221" t="n"/>
      <c r="O106" s="226">
        <f>U106=E106</f>
        <v/>
      </c>
      <c r="P106" s="226">
        <f>MONTH(F106)-MONTH(T106)</f>
        <v/>
      </c>
      <c r="Q106" s="226">
        <f>$B$5=X106</f>
        <v/>
      </c>
      <c r="R106" s="226">
        <f>I106-AD106</f>
        <v/>
      </c>
      <c r="S106" s="360" t="n"/>
      <c r="T106" s="361" t="n">
        <v>45639</v>
      </c>
      <c r="U106" s="360" t="inlineStr">
        <is>
          <t>SITC2024-039126</t>
        </is>
      </c>
      <c r="V106" s="360" t="n">
        <v>0</v>
      </c>
      <c r="W106" s="360" t="inlineStr">
        <is>
          <t>បុគ្គលជាប់អាករ</t>
        </is>
      </c>
      <c r="X106" s="360" t="inlineStr">
        <is>
          <t>L001-901640009</t>
        </is>
      </c>
      <c r="Y106" s="360" t="inlineStr">
        <is>
          <t>ហូលីដេ ឌីហ្សាញ (ខេមបូឌា) ឯ.ក</t>
        </is>
      </c>
      <c r="Z106" s="362" t="n">
        <v>22292424</v>
      </c>
      <c r="AA106" s="362" t="n">
        <v>20265840</v>
      </c>
      <c r="AB106" s="360" t="n">
        <v>0</v>
      </c>
      <c r="AC106" s="360" t="inlineStr">
        <is>
          <t>-</t>
        </is>
      </c>
      <c r="AD106" s="362" t="n">
        <v>2026584</v>
      </c>
      <c r="AE106" s="360" t="n">
        <v>0</v>
      </c>
      <c r="AF106" s="615" t="n">
        <v>0</v>
      </c>
      <c r="AG106" s="203" t="n">
        <v>0</v>
      </c>
      <c r="AH106" s="203" t="n">
        <v>0</v>
      </c>
      <c r="AI106" s="203" t="n">
        <v>0</v>
      </c>
      <c r="AJ106" s="203" t="n">
        <v>0</v>
      </c>
      <c r="AK106" s="203" t="n">
        <v>0</v>
      </c>
      <c r="AL106" s="203" t="n">
        <v>0.01</v>
      </c>
      <c r="AM106" s="203" t="n">
        <v>0</v>
      </c>
      <c r="AN106" s="203" t="inlineStr">
        <is>
          <t>KHTHC,KHCIC,KHTHC,EIB,KHDOC,KHCIC,EIB,EMF,EMF</t>
        </is>
      </c>
    </row>
    <row r="107">
      <c r="A107" s="220">
        <f>A106+1</f>
        <v/>
      </c>
      <c r="B107" s="222" t="inlineStr">
        <is>
          <t>Trucking Fee-Im</t>
        </is>
      </c>
      <c r="C107" s="222" t="inlineStr">
        <is>
          <t>BRILLIANT TRANSPORT AND TRADING Co., Ltd.</t>
        </is>
      </c>
      <c r="D107" s="223" t="inlineStr">
        <is>
          <t>K002-100089305</t>
        </is>
      </c>
      <c r="E107" s="349" t="inlineStr">
        <is>
          <t>BTT24-0002584</t>
        </is>
      </c>
      <c r="F107" s="332" t="n">
        <v>45643</v>
      </c>
      <c r="G107" s="224" t="n"/>
      <c r="H107" s="617" t="n"/>
      <c r="I107" s="617" t="n">
        <v>2347096</v>
      </c>
      <c r="J107" s="221" t="inlineStr">
        <is>
          <t>អនុញ្ញាត (បានប្រកាស)</t>
        </is>
      </c>
      <c r="K107" s="221" t="n"/>
      <c r="L107" s="616">
        <f>I107</f>
        <v/>
      </c>
      <c r="M107" s="588">
        <f>I107-L107</f>
        <v/>
      </c>
      <c r="N107" s="221" t="n"/>
      <c r="O107" s="226">
        <f>U107=E107</f>
        <v/>
      </c>
      <c r="P107" s="226">
        <f>MONTH(F107)-MONTH(T107)</f>
        <v/>
      </c>
      <c r="Q107" s="226">
        <f>$B$5=X107</f>
        <v/>
      </c>
      <c r="R107" s="226">
        <f>I107-AD107</f>
        <v/>
      </c>
      <c r="S107" s="360" t="n"/>
      <c r="T107" s="361" t="n">
        <v>45643</v>
      </c>
      <c r="U107" s="360" t="inlineStr">
        <is>
          <t>BTT24-0002584</t>
        </is>
      </c>
      <c r="V107" s="360" t="n">
        <v>0</v>
      </c>
      <c r="W107" s="360" t="inlineStr">
        <is>
          <t>បុគ្គលជាប់អាករ</t>
        </is>
      </c>
      <c r="X107" s="360" t="inlineStr">
        <is>
          <t>L001-901640009</t>
        </is>
      </c>
      <c r="Y107" s="360" t="inlineStr">
        <is>
          <t>ហូលីដេ ឌីហ្សាញ (ខេមបូឌា) ឯ.ក</t>
        </is>
      </c>
      <c r="Z107" s="362" t="n">
        <v>25818056</v>
      </c>
      <c r="AA107" s="362" t="n">
        <v>23470960</v>
      </c>
      <c r="AB107" s="360" t="n">
        <v>0</v>
      </c>
      <c r="AC107" s="360" t="inlineStr">
        <is>
          <t>-</t>
        </is>
      </c>
      <c r="AD107" s="362" t="n">
        <v>2347096</v>
      </c>
      <c r="AE107" s="360" t="n">
        <v>0</v>
      </c>
      <c r="AF107" s="615" t="n">
        <v>0</v>
      </c>
      <c r="AG107" s="203" t="n">
        <v>0</v>
      </c>
      <c r="AH107" s="203" t="n">
        <v>0</v>
      </c>
      <c r="AI107" s="203" t="n">
        <v>0</v>
      </c>
      <c r="AJ107" s="203" t="n">
        <v>0</v>
      </c>
      <c r="AK107" s="203" t="n">
        <v>0</v>
      </c>
      <c r="AL107" s="203" t="n">
        <v>0.01</v>
      </c>
      <c r="AM107" s="203" t="n">
        <v>0</v>
      </c>
      <c r="AN107" s="203" t="inlineStr">
        <is>
          <t>Truking / Service</t>
        </is>
      </c>
    </row>
    <row r="108">
      <c r="A108" s="220">
        <f>A107+1</f>
        <v/>
      </c>
      <c r="B108" s="222" t="inlineStr">
        <is>
          <t>Lift-On&amp;Lift-Off-Im</t>
        </is>
      </c>
      <c r="C108" s="222" t="inlineStr">
        <is>
          <t>Port Autonome Du Sihanoukville</t>
        </is>
      </c>
      <c r="D108" s="223" t="inlineStr">
        <is>
          <t>L001-100044638</t>
        </is>
      </c>
      <c r="E108" s="349" t="n">
        <v>256639</v>
      </c>
      <c r="F108" s="332" t="n">
        <v>45635</v>
      </c>
      <c r="G108" s="224" t="n"/>
      <c r="H108" s="617" t="n"/>
      <c r="I108" s="617" t="n">
        <v>175175</v>
      </c>
      <c r="J108" s="221" t="inlineStr">
        <is>
          <t>អនុញ្ញាត (បានប្រកាស)</t>
        </is>
      </c>
      <c r="K108" s="221" t="n"/>
      <c r="L108" s="616">
        <f>I108</f>
        <v/>
      </c>
      <c r="M108" s="588">
        <f>I108-L108</f>
        <v/>
      </c>
      <c r="N108" s="221" t="n"/>
      <c r="O108" s="226">
        <f>U108=E108</f>
        <v/>
      </c>
      <c r="P108" s="226">
        <f>MONTH(F108)-MONTH(T108)</f>
        <v/>
      </c>
      <c r="Q108" s="226">
        <f>$B$5=X108</f>
        <v/>
      </c>
      <c r="R108" s="226">
        <f>I108-AD108</f>
        <v/>
      </c>
      <c r="S108" s="360" t="n"/>
      <c r="T108" s="361" t="n">
        <v>45635</v>
      </c>
      <c r="U108" s="360" t="n">
        <v>256639</v>
      </c>
      <c r="V108" s="360" t="n">
        <v>0</v>
      </c>
      <c r="W108" s="360" t="inlineStr">
        <is>
          <t>បុគ្គលជាប់អាករ</t>
        </is>
      </c>
      <c r="X108" s="360" t="inlineStr">
        <is>
          <t>L001-901640009</t>
        </is>
      </c>
      <c r="Y108" s="360" t="inlineStr">
        <is>
          <t>ហូលីដេ ឌីហ្សាញ (ខេមបូឌា) ឯ.ក</t>
        </is>
      </c>
      <c r="Z108" s="362" t="n">
        <v>1926920</v>
      </c>
      <c r="AA108" s="362" t="n">
        <v>1751745</v>
      </c>
      <c r="AB108" s="360" t="n">
        <v>0</v>
      </c>
      <c r="AC108" s="360" t="inlineStr">
        <is>
          <t>-</t>
        </is>
      </c>
      <c r="AD108" s="362" t="n">
        <v>175175</v>
      </c>
      <c r="AE108" s="360" t="n"/>
      <c r="AF108" s="615" t="n"/>
    </row>
    <row r="109">
      <c r="A109" s="220">
        <f>A108+1</f>
        <v/>
      </c>
      <c r="B109" s="222" t="inlineStr">
        <is>
          <t>Tax Filling for 09-2024</t>
        </is>
      </c>
      <c r="C109" s="222" t="inlineStr">
        <is>
          <t>L S CONSULTING CO., LTD.</t>
        </is>
      </c>
      <c r="D109" s="223" t="inlineStr">
        <is>
          <t>K010-901700169</t>
        </is>
      </c>
      <c r="E109" s="349" t="inlineStr">
        <is>
          <t>24-00887</t>
        </is>
      </c>
      <c r="F109" s="332" t="n">
        <v>45570</v>
      </c>
      <c r="G109" s="224" t="n"/>
      <c r="H109" s="617" t="n"/>
      <c r="I109" s="617" t="n">
        <v>121770</v>
      </c>
      <c r="J109" s="221" t="inlineStr">
        <is>
          <t>អនុញ្ញាត (បានប្រកាស)</t>
        </is>
      </c>
      <c r="K109" s="221" t="n"/>
      <c r="L109" s="616">
        <f>I109</f>
        <v/>
      </c>
      <c r="M109" s="588">
        <f>I109-L109</f>
        <v/>
      </c>
      <c r="N109" s="221" t="n"/>
      <c r="O109" s="226">
        <f>U109=E109</f>
        <v/>
      </c>
      <c r="P109" s="226">
        <f>MONTH(F109)-MONTH(T109)</f>
        <v/>
      </c>
      <c r="Q109" s="226">
        <f>$B$5=X109</f>
        <v/>
      </c>
      <c r="R109" s="226">
        <f>I109-AD109</f>
        <v/>
      </c>
      <c r="S109" s="360" t="n"/>
      <c r="T109" s="361" t="n">
        <v>45570</v>
      </c>
      <c r="U109" s="360" t="inlineStr">
        <is>
          <t>24-00887</t>
        </is>
      </c>
      <c r="V109" s="360" t="n">
        <v>0</v>
      </c>
      <c r="W109" s="360" t="inlineStr">
        <is>
          <t>បុគ្គលជាប់អាករ</t>
        </is>
      </c>
      <c r="X109" s="360" t="inlineStr">
        <is>
          <t>L001-901640009</t>
        </is>
      </c>
      <c r="Y109" s="360" t="inlineStr">
        <is>
          <t>ហូលីដេ ឌីហ្សាញ (ខេមបូឌា) ឯ.ក</t>
        </is>
      </c>
      <c r="Z109" s="362" t="n">
        <v>1339470</v>
      </c>
      <c r="AA109" s="362" t="n">
        <v>1217700</v>
      </c>
      <c r="AB109" s="360" t="n">
        <v>0</v>
      </c>
      <c r="AC109" s="360" t="inlineStr">
        <is>
          <t>-</t>
        </is>
      </c>
      <c r="AD109" s="362" t="n">
        <v>121770</v>
      </c>
      <c r="AE109" s="360" t="n">
        <v>0</v>
      </c>
      <c r="AF109" s="615" t="n">
        <v>0</v>
      </c>
      <c r="AG109" s="203" t="n">
        <v>0</v>
      </c>
      <c r="AH109" s="203" t="n">
        <v>0</v>
      </c>
      <c r="AI109" s="203" t="n">
        <v>0</v>
      </c>
      <c r="AJ109" s="203" t="n">
        <v>0</v>
      </c>
      <c r="AK109" s="203" t="n">
        <v>0</v>
      </c>
      <c r="AL109" s="203" t="n">
        <v>0.01</v>
      </c>
      <c r="AM109" s="203" t="n">
        <v>0</v>
      </c>
      <c r="AN109" s="203" t="inlineStr">
        <is>
          <t>Tax Filling fee</t>
        </is>
      </c>
      <c r="AO109" s="203" t="inlineStr">
        <is>
          <t>បានប្រកាសនិងបង់ពន្ធ</t>
        </is>
      </c>
    </row>
    <row r="110">
      <c r="A110" s="220">
        <f>A109+1</f>
        <v/>
      </c>
      <c r="B110" s="222" t="inlineStr">
        <is>
          <t>Trucking Fee-Im</t>
        </is>
      </c>
      <c r="C110" s="222" t="inlineStr">
        <is>
          <t>BRILLIANT TRANSPORT AND TRADING Co., Ltd.</t>
        </is>
      </c>
      <c r="D110" s="223" t="inlineStr">
        <is>
          <t>K002-100089305</t>
        </is>
      </c>
      <c r="E110" s="349" t="inlineStr">
        <is>
          <t>BTT24-0002533</t>
        </is>
      </c>
      <c r="F110" s="332" t="n">
        <v>45635</v>
      </c>
      <c r="G110" s="224" t="n"/>
      <c r="H110" s="617" t="n"/>
      <c r="I110" s="617" t="n">
        <v>1191992</v>
      </c>
      <c r="J110" s="221" t="inlineStr">
        <is>
          <t>អនុញ្ញាត (បានប្រកាស)</t>
        </is>
      </c>
      <c r="K110" s="221" t="n"/>
      <c r="L110" s="616">
        <f>I110</f>
        <v/>
      </c>
      <c r="M110" s="588">
        <f>I110-L110</f>
        <v/>
      </c>
      <c r="N110" s="221" t="n"/>
      <c r="O110" s="226">
        <f>U110=E110</f>
        <v/>
      </c>
      <c r="P110" s="226">
        <f>MONTH(F110)-MONTH(T110)</f>
        <v/>
      </c>
      <c r="Q110" s="226">
        <f>$B$5=X110</f>
        <v/>
      </c>
      <c r="R110" s="226">
        <f>I110-AD110</f>
        <v/>
      </c>
      <c r="S110" s="360" t="inlineStr">
        <is>
          <t>មិនបានប្រកាស</t>
        </is>
      </c>
      <c r="T110" s="361" t="n">
        <v>45635</v>
      </c>
      <c r="U110" s="360" t="inlineStr">
        <is>
          <t>BTT24-0002533</t>
        </is>
      </c>
      <c r="V110" s="360" t="n">
        <v>0</v>
      </c>
      <c r="W110" s="360" t="inlineStr">
        <is>
          <t>បុគ្គលជាប់អាករ</t>
        </is>
      </c>
      <c r="X110" s="360" t="inlineStr">
        <is>
          <t>L001-901640009</t>
        </is>
      </c>
      <c r="Y110" s="360" t="inlineStr">
        <is>
          <t>ហូលីដេ ឌីហ្សាញ (ខេមបូឌា) ឯ.ក</t>
        </is>
      </c>
      <c r="Z110" s="362" t="n">
        <v>13111912</v>
      </c>
      <c r="AA110" s="362" t="n">
        <v>11919920</v>
      </c>
      <c r="AB110" s="360" t="n">
        <v>0</v>
      </c>
      <c r="AC110" s="360" t="inlineStr">
        <is>
          <t>-</t>
        </is>
      </c>
      <c r="AD110" s="362" t="n">
        <v>1191992</v>
      </c>
      <c r="AE110" s="360" t="n">
        <v>0</v>
      </c>
      <c r="AF110" s="615" t="n">
        <v>0</v>
      </c>
      <c r="AG110" s="203" t="n">
        <v>0</v>
      </c>
      <c r="AH110" s="203" t="n">
        <v>0</v>
      </c>
      <c r="AI110" s="203" t="n">
        <v>0</v>
      </c>
      <c r="AJ110" s="203" t="n">
        <v>0</v>
      </c>
      <c r="AK110" s="203" t="n">
        <v>0</v>
      </c>
      <c r="AL110" s="203" t="n">
        <v>0.01</v>
      </c>
      <c r="AM110" s="203" t="n">
        <v>0</v>
      </c>
      <c r="AN110" s="203" t="inlineStr">
        <is>
          <t>Truking / Service</t>
        </is>
      </c>
    </row>
    <row r="111">
      <c r="A111" s="220">
        <f>A110+1</f>
        <v/>
      </c>
      <c r="B111" s="222" t="inlineStr">
        <is>
          <t>Lift-On&amp;Lift-Off-Im</t>
        </is>
      </c>
      <c r="C111" s="222" t="inlineStr">
        <is>
          <t>Port Autonome Du Sihanoukville</t>
        </is>
      </c>
      <c r="D111" s="223" t="inlineStr">
        <is>
          <t>L001-100044638</t>
        </is>
      </c>
      <c r="E111" s="349" t="n">
        <v>256938</v>
      </c>
      <c r="F111" s="332" t="n">
        <v>45635</v>
      </c>
      <c r="G111" s="224" t="n"/>
      <c r="H111" s="617" t="n"/>
      <c r="I111" s="617" t="n">
        <v>183631</v>
      </c>
      <c r="J111" s="221" t="inlineStr">
        <is>
          <t>អនុញ្ញាត (បានប្រកាស)</t>
        </is>
      </c>
      <c r="K111" s="221" t="n"/>
      <c r="L111" s="616">
        <f>I111</f>
        <v/>
      </c>
      <c r="M111" s="588">
        <f>I111-L111</f>
        <v/>
      </c>
      <c r="N111" s="221" t="n"/>
      <c r="O111" s="226">
        <f>U111=E111</f>
        <v/>
      </c>
      <c r="P111" s="226">
        <f>MONTH(F111)-MONTH(T111)</f>
        <v/>
      </c>
      <c r="Q111" s="226">
        <f>$B$5=X111</f>
        <v/>
      </c>
      <c r="R111" s="226">
        <f>I111-AD111</f>
        <v/>
      </c>
      <c r="S111" s="360" t="n"/>
      <c r="T111" s="361" t="n">
        <v>45635</v>
      </c>
      <c r="U111" s="360" t="n">
        <v>256938</v>
      </c>
      <c r="V111" s="360" t="n">
        <v>0</v>
      </c>
      <c r="W111" s="360" t="inlineStr">
        <is>
          <t>បុគ្គលជាប់អាករ</t>
        </is>
      </c>
      <c r="X111" s="360" t="inlineStr">
        <is>
          <t>L001-901640009</t>
        </is>
      </c>
      <c r="Y111" s="360" t="inlineStr">
        <is>
          <t>ហូលីដេ ឌីហ្សាញ (ខេមបូឌា) ឯ.ក</t>
        </is>
      </c>
      <c r="Z111" s="362" t="n">
        <v>2019943</v>
      </c>
      <c r="AA111" s="362" t="n">
        <v>1836312</v>
      </c>
      <c r="AB111" s="360" t="n">
        <v>0</v>
      </c>
      <c r="AC111" s="360" t="inlineStr">
        <is>
          <t>-</t>
        </is>
      </c>
      <c r="AD111" s="362" t="n">
        <v>183631</v>
      </c>
      <c r="AE111" s="360" t="n"/>
      <c r="AF111" s="615" t="n"/>
    </row>
    <row r="112">
      <c r="A112" s="220">
        <f>A111+1</f>
        <v/>
      </c>
      <c r="B112" s="222" t="inlineStr">
        <is>
          <t>Terminal Handling Service-Im</t>
        </is>
      </c>
      <c r="C112" s="222" t="inlineStr">
        <is>
          <t>SITC CONTAINER LINES (CAMBODIA) Co., Ltd.</t>
        </is>
      </c>
      <c r="D112" s="223" t="inlineStr">
        <is>
          <t>L001-107035863</t>
        </is>
      </c>
      <c r="E112" s="349" t="inlineStr">
        <is>
          <t>SITC2024-037686</t>
        </is>
      </c>
      <c r="F112" s="332" t="n">
        <v>45629</v>
      </c>
      <c r="G112" s="224" t="n"/>
      <c r="H112" s="617" t="n"/>
      <c r="I112" s="617" t="n">
        <v>991872</v>
      </c>
      <c r="J112" s="221" t="inlineStr">
        <is>
          <t>អនុញ្ញាត (បានប្រកាស)</t>
        </is>
      </c>
      <c r="K112" s="221" t="n"/>
      <c r="L112" s="616">
        <f>I112</f>
        <v/>
      </c>
      <c r="M112" s="588">
        <f>I112-L112</f>
        <v/>
      </c>
      <c r="N112" s="221" t="n"/>
      <c r="O112" s="226">
        <f>U112=E112</f>
        <v/>
      </c>
      <c r="P112" s="226">
        <f>MONTH(F112)-MONTH(T112)</f>
        <v/>
      </c>
      <c r="Q112" s="226">
        <f>$B$5=X112</f>
        <v/>
      </c>
      <c r="R112" s="226">
        <f>I112-AD112</f>
        <v/>
      </c>
      <c r="S112" s="360" t="inlineStr">
        <is>
          <t>មិនបានប្រកាស</t>
        </is>
      </c>
      <c r="T112" s="361" t="n">
        <v>45629</v>
      </c>
      <c r="U112" s="360" t="inlineStr">
        <is>
          <t>SITC2024-037686</t>
        </is>
      </c>
      <c r="V112" s="360" t="n">
        <v>0</v>
      </c>
      <c r="W112" s="360" t="inlineStr">
        <is>
          <t>បុគ្គលជាប់អាករ</t>
        </is>
      </c>
      <c r="X112" s="360" t="inlineStr">
        <is>
          <t>L001-901640009</t>
        </is>
      </c>
      <c r="Y112" s="360" t="inlineStr">
        <is>
          <t>ហូលីដេ ឌីហ្សាញ (ខេមបូឌា) ឯ.ក</t>
        </is>
      </c>
      <c r="Z112" s="362" t="n">
        <v>10910592</v>
      </c>
      <c r="AA112" s="362" t="n">
        <v>9918720</v>
      </c>
      <c r="AB112" s="360" t="n">
        <v>0</v>
      </c>
      <c r="AC112" s="360" t="inlineStr">
        <is>
          <t>-</t>
        </is>
      </c>
      <c r="AD112" s="362" t="n">
        <v>991872</v>
      </c>
      <c r="AE112" s="360" t="n">
        <v>0</v>
      </c>
      <c r="AF112" s="615" t="n">
        <v>0</v>
      </c>
      <c r="AG112" s="203" t="n">
        <v>0</v>
      </c>
      <c r="AH112" s="203" t="n">
        <v>0</v>
      </c>
      <c r="AI112" s="203" t="n">
        <v>0</v>
      </c>
      <c r="AJ112" s="203" t="n">
        <v>0</v>
      </c>
      <c r="AK112" s="203" t="n">
        <v>0</v>
      </c>
      <c r="AL112" s="203" t="n">
        <v>0.01</v>
      </c>
      <c r="AM112" s="203" t="n">
        <v>0</v>
      </c>
      <c r="AN112" s="203" t="inlineStr">
        <is>
          <t>EMF,KHTHC,EIB,KHCIC,KHDOC</t>
        </is>
      </c>
    </row>
    <row r="113">
      <c r="A113" s="220">
        <f>A112+1</f>
        <v/>
      </c>
      <c r="B113" s="222" t="inlineStr">
        <is>
          <t>Trucking Fee-Im</t>
        </is>
      </c>
      <c r="C113" s="222" t="inlineStr">
        <is>
          <t>BRILLIANT TRANSPORT AND TRADING Co., Ltd.</t>
        </is>
      </c>
      <c r="D113" s="223" t="inlineStr">
        <is>
          <t>K002-100089305</t>
        </is>
      </c>
      <c r="E113" s="349" t="inlineStr">
        <is>
          <t>BTT24-0002532</t>
        </is>
      </c>
      <c r="F113" s="332" t="n">
        <v>45635</v>
      </c>
      <c r="G113" s="224" t="n"/>
      <c r="H113" s="617" t="n"/>
      <c r="I113" s="617" t="n">
        <v>1989338</v>
      </c>
      <c r="J113" s="221" t="inlineStr">
        <is>
          <t>អនុញ្ញាត (បានប្រកាស)</t>
        </is>
      </c>
      <c r="K113" s="221" t="n"/>
      <c r="L113" s="616">
        <f>I113</f>
        <v/>
      </c>
      <c r="M113" s="588">
        <f>I113-L113</f>
        <v/>
      </c>
      <c r="N113" s="221" t="n"/>
      <c r="O113" s="226">
        <f>U113=E113</f>
        <v/>
      </c>
      <c r="P113" s="226">
        <f>MONTH(F113)-MONTH(T113)</f>
        <v/>
      </c>
      <c r="Q113" s="226">
        <f>$B$5=X113</f>
        <v/>
      </c>
      <c r="R113" s="226">
        <f>I113-AD113</f>
        <v/>
      </c>
      <c r="S113" s="360" t="n"/>
      <c r="T113" s="361" t="n">
        <v>45635</v>
      </c>
      <c r="U113" s="360" t="inlineStr">
        <is>
          <t>BTT24-0002532</t>
        </is>
      </c>
      <c r="V113" s="360" t="n">
        <v>0</v>
      </c>
      <c r="W113" s="360" t="inlineStr">
        <is>
          <t>បុគ្គលជាប់អាករ</t>
        </is>
      </c>
      <c r="X113" s="360" t="inlineStr">
        <is>
          <t>L001-901640009</t>
        </is>
      </c>
      <c r="Y113" s="360" t="inlineStr">
        <is>
          <t>ហូលីដេ ឌីហ្សាញ (ខេមបូឌា) ឯ.ក</t>
        </is>
      </c>
      <c r="Z113" s="362" t="n">
        <v>21882718</v>
      </c>
      <c r="AA113" s="362" t="n">
        <v>19893380</v>
      </c>
      <c r="AB113" s="360" t="n">
        <v>0</v>
      </c>
      <c r="AC113" s="360" t="inlineStr">
        <is>
          <t>-</t>
        </is>
      </c>
      <c r="AD113" s="362" t="n">
        <v>1989338</v>
      </c>
      <c r="AE113" s="360" t="n">
        <v>0</v>
      </c>
      <c r="AF113" s="615" t="n">
        <v>0</v>
      </c>
      <c r="AG113" s="203" t="n">
        <v>0</v>
      </c>
      <c r="AH113" s="203" t="n">
        <v>0</v>
      </c>
      <c r="AI113" s="203" t="n">
        <v>0</v>
      </c>
      <c r="AJ113" s="203" t="n">
        <v>0</v>
      </c>
      <c r="AK113" s="203" t="n">
        <v>0</v>
      </c>
      <c r="AL113" s="203" t="n">
        <v>0.01</v>
      </c>
      <c r="AM113" s="203" t="n">
        <v>0</v>
      </c>
      <c r="AN113" s="203" t="inlineStr">
        <is>
          <t>Truking / Service</t>
        </is>
      </c>
    </row>
    <row r="114">
      <c r="A114" s="220">
        <f>A113+1</f>
        <v/>
      </c>
      <c r="B114" s="222" t="inlineStr">
        <is>
          <t>Lift-On&amp;Lift-Off-Im</t>
        </is>
      </c>
      <c r="C114" s="222" t="inlineStr">
        <is>
          <t>Port Autonome Du Sihanoukville</t>
        </is>
      </c>
      <c r="D114" s="223" t="inlineStr">
        <is>
          <t>L001-100044638</t>
        </is>
      </c>
      <c r="E114" s="349" t="n">
        <v>255973</v>
      </c>
      <c r="F114" s="332" t="n">
        <v>45633</v>
      </c>
      <c r="G114" s="224" t="n"/>
      <c r="H114" s="617" t="n"/>
      <c r="I114" s="617" t="n">
        <v>210262</v>
      </c>
      <c r="J114" s="221" t="inlineStr">
        <is>
          <t>អនុញ្ញាត (បានប្រកាស)</t>
        </is>
      </c>
      <c r="K114" s="221" t="n"/>
      <c r="L114" s="616">
        <f>I114</f>
        <v/>
      </c>
      <c r="M114" s="588">
        <f>I114-L114</f>
        <v/>
      </c>
      <c r="N114" s="221" t="n"/>
      <c r="O114" s="226">
        <f>U114=E114</f>
        <v/>
      </c>
      <c r="P114" s="226">
        <f>MONTH(F114)-MONTH(T114)</f>
        <v/>
      </c>
      <c r="Q114" s="226">
        <f>$B$5=X114</f>
        <v/>
      </c>
      <c r="R114" s="226">
        <f>I114-AD114</f>
        <v/>
      </c>
      <c r="S114" s="360" t="inlineStr">
        <is>
          <t>មិនបានប្រកាស</t>
        </is>
      </c>
      <c r="T114" s="361" t="n">
        <v>45633</v>
      </c>
      <c r="U114" s="360" t="n">
        <v>255973</v>
      </c>
      <c r="V114" s="360" t="n">
        <v>0</v>
      </c>
      <c r="W114" s="360" t="inlineStr">
        <is>
          <t>បុគ្គលជាប់អាករ</t>
        </is>
      </c>
      <c r="X114" s="360" t="inlineStr">
        <is>
          <t>L001-901640009</t>
        </is>
      </c>
      <c r="Y114" s="360" t="inlineStr">
        <is>
          <t>ហូលីដេ ឌីហ្សាញ (ខេមបូឌា) ឯ.ក</t>
        </is>
      </c>
      <c r="Z114" s="362" t="n">
        <v>2312878</v>
      </c>
      <c r="AA114" s="362" t="n">
        <v>2102616</v>
      </c>
      <c r="AB114" s="360" t="n">
        <v>0</v>
      </c>
      <c r="AC114" s="360" t="inlineStr">
        <is>
          <t>-</t>
        </is>
      </c>
      <c r="AD114" s="362" t="n">
        <v>210262</v>
      </c>
      <c r="AE114" s="360" t="n"/>
      <c r="AF114" s="615" t="n"/>
    </row>
    <row r="115">
      <c r="A115" s="220">
        <f>A114+1</f>
        <v/>
      </c>
      <c r="B115" s="222" t="inlineStr">
        <is>
          <t>Terminal Handling Service-Im</t>
        </is>
      </c>
      <c r="C115" s="222" t="inlineStr">
        <is>
          <t>SITC CONTAINER LINES (CAMBODIA) Co., Ltd.</t>
        </is>
      </c>
      <c r="D115" s="223" t="inlineStr">
        <is>
          <t>L001-107035863</t>
        </is>
      </c>
      <c r="E115" s="349" t="inlineStr">
        <is>
          <t>SITC2024-037903</t>
        </is>
      </c>
      <c r="F115" s="332" t="n">
        <v>45629</v>
      </c>
      <c r="G115" s="224" t="n"/>
      <c r="H115" s="617" t="n"/>
      <c r="I115" s="617" t="n">
        <v>1282176</v>
      </c>
      <c r="J115" s="221" t="inlineStr">
        <is>
          <t>អនុញ្ញាត (បានប្រកាស)</t>
        </is>
      </c>
      <c r="K115" s="221" t="n"/>
      <c r="L115" s="616">
        <f>I115</f>
        <v/>
      </c>
      <c r="M115" s="588">
        <f>I115-L115</f>
        <v/>
      </c>
      <c r="N115" s="221" t="n"/>
      <c r="O115" s="226">
        <f>U115=E115</f>
        <v/>
      </c>
      <c r="P115" s="226">
        <f>MONTH(F115)-MONTH(T115)</f>
        <v/>
      </c>
      <c r="Q115" s="226">
        <f>$B$5=X115</f>
        <v/>
      </c>
      <c r="R115" s="226">
        <f>I115-AD115</f>
        <v/>
      </c>
      <c r="S115" s="360" t="n"/>
      <c r="T115" s="361" t="n">
        <v>45629</v>
      </c>
      <c r="U115" s="360" t="inlineStr">
        <is>
          <t>SITC2024-037903</t>
        </is>
      </c>
      <c r="V115" s="360" t="n">
        <v>0</v>
      </c>
      <c r="W115" s="360" t="inlineStr">
        <is>
          <t>បុគ្គលជាប់អាករ</t>
        </is>
      </c>
      <c r="X115" s="360" t="inlineStr">
        <is>
          <t>L001-901640009</t>
        </is>
      </c>
      <c r="Y115" s="360" t="inlineStr">
        <is>
          <t>ហូលីដេ ឌីហ្សាញ (ខេមបូឌា) ឯ.ក</t>
        </is>
      </c>
      <c r="Z115" s="362" t="n">
        <v>14103936</v>
      </c>
      <c r="AA115" s="362" t="n">
        <v>12821760</v>
      </c>
      <c r="AB115" s="360" t="n">
        <v>0</v>
      </c>
      <c r="AC115" s="360" t="inlineStr">
        <is>
          <t>-</t>
        </is>
      </c>
      <c r="AD115" s="362" t="n">
        <v>1282176</v>
      </c>
      <c r="AE115" s="360" t="n">
        <v>0</v>
      </c>
      <c r="AF115" s="615" t="n">
        <v>0</v>
      </c>
      <c r="AG115" s="203" t="n">
        <v>0</v>
      </c>
      <c r="AH115" s="203" t="n">
        <v>0</v>
      </c>
      <c r="AI115" s="203" t="n">
        <v>0</v>
      </c>
      <c r="AJ115" s="203" t="n">
        <v>0</v>
      </c>
      <c r="AK115" s="203" t="n">
        <v>0</v>
      </c>
      <c r="AL115" s="203" t="n">
        <v>0.01</v>
      </c>
      <c r="AM115" s="203" t="n">
        <v>0</v>
      </c>
      <c r="AN115" s="203" t="inlineStr">
        <is>
          <t>EMF,KHCIC,EIB,KHTHC,KHDOC</t>
        </is>
      </c>
    </row>
    <row r="116">
      <c r="A116" s="220">
        <f>A115+1</f>
        <v/>
      </c>
      <c r="B116" s="222" t="inlineStr">
        <is>
          <t>Trucking Fee-Im</t>
        </is>
      </c>
      <c r="C116" s="222" t="inlineStr">
        <is>
          <t>BRILLIANT TRANSPORT AND TRADING Co., Ltd.</t>
        </is>
      </c>
      <c r="D116" s="223" t="inlineStr">
        <is>
          <t>K002-100089305</t>
        </is>
      </c>
      <c r="E116" s="349" t="inlineStr">
        <is>
          <t>BTT24-0002472</t>
        </is>
      </c>
      <c r="F116" s="332" t="n">
        <v>45632</v>
      </c>
      <c r="G116" s="224" t="n"/>
      <c r="H116" s="617" t="n"/>
      <c r="I116" s="617" t="n">
        <v>1446052</v>
      </c>
      <c r="J116" s="221" t="inlineStr">
        <is>
          <t>អនុញ្ញាត (បានប្រកាស)</t>
        </is>
      </c>
      <c r="K116" s="221" t="n"/>
      <c r="L116" s="616">
        <f>I116</f>
        <v/>
      </c>
      <c r="M116" s="588">
        <f>I116-L116</f>
        <v/>
      </c>
      <c r="N116" s="221" t="n"/>
      <c r="O116" s="226">
        <f>U116=E116</f>
        <v/>
      </c>
      <c r="P116" s="226">
        <f>MONTH(F116)-MONTH(T116)</f>
        <v/>
      </c>
      <c r="Q116" s="226">
        <f>$B$5=X116</f>
        <v/>
      </c>
      <c r="R116" s="226">
        <f>I116-AD116</f>
        <v/>
      </c>
      <c r="S116" s="360" t="n"/>
      <c r="T116" s="361" t="n">
        <v>45632</v>
      </c>
      <c r="U116" s="360" t="inlineStr">
        <is>
          <t>BTT24-0002472</t>
        </is>
      </c>
      <c r="V116" s="360" t="n">
        <v>0</v>
      </c>
      <c r="W116" s="360" t="inlineStr">
        <is>
          <t>បុគ្គលជាប់អាករ</t>
        </is>
      </c>
      <c r="X116" s="360" t="inlineStr">
        <is>
          <t>L001-901640009</t>
        </is>
      </c>
      <c r="Y116" s="360" t="inlineStr">
        <is>
          <t>ហូលីដេ ឌីហ្សាញ (ខេមបូឌា) ឯ.ក</t>
        </is>
      </c>
      <c r="Z116" s="362" t="n">
        <v>15906572</v>
      </c>
      <c r="AA116" s="362" t="n">
        <v>14460520</v>
      </c>
      <c r="AB116" s="360" t="n">
        <v>0</v>
      </c>
      <c r="AC116" s="360" t="inlineStr">
        <is>
          <t>-</t>
        </is>
      </c>
      <c r="AD116" s="362" t="n">
        <v>1446052</v>
      </c>
      <c r="AE116" s="360" t="n">
        <v>0</v>
      </c>
      <c r="AF116" s="615" t="n">
        <v>0</v>
      </c>
      <c r="AG116" s="203" t="n">
        <v>0</v>
      </c>
      <c r="AH116" s="203" t="n">
        <v>0</v>
      </c>
      <c r="AI116" s="203" t="n">
        <v>0</v>
      </c>
      <c r="AJ116" s="203" t="n">
        <v>0</v>
      </c>
      <c r="AK116" s="203" t="n">
        <v>0</v>
      </c>
      <c r="AL116" s="203" t="n">
        <v>0.01</v>
      </c>
      <c r="AM116" s="203" t="n">
        <v>0</v>
      </c>
      <c r="AN116" s="203" t="inlineStr">
        <is>
          <t>Truking / Service</t>
        </is>
      </c>
    </row>
    <row r="117">
      <c r="A117" s="220">
        <f>A116+1</f>
        <v/>
      </c>
      <c r="B117" s="222" t="inlineStr">
        <is>
          <t>Lift-On&amp;Lift-Off-Im</t>
        </is>
      </c>
      <c r="C117" s="222" t="inlineStr">
        <is>
          <t>Port Autonome Du Sihanoukville</t>
        </is>
      </c>
      <c r="D117" s="223" t="inlineStr">
        <is>
          <t>L001-100044638</t>
        </is>
      </c>
      <c r="E117" s="349" t="n">
        <v>253246</v>
      </c>
      <c r="F117" s="332" t="n">
        <v>45630</v>
      </c>
      <c r="G117" s="224" t="n"/>
      <c r="H117" s="617" t="n"/>
      <c r="I117" s="617" t="n">
        <v>35061</v>
      </c>
      <c r="J117" s="221" t="inlineStr">
        <is>
          <t>អនុញ្ញាត (បានប្រកាស)</t>
        </is>
      </c>
      <c r="K117" s="221" t="n"/>
      <c r="L117" s="616">
        <f>I117</f>
        <v/>
      </c>
      <c r="M117" s="588">
        <f>I117-L117</f>
        <v/>
      </c>
      <c r="N117" s="221" t="n"/>
      <c r="O117" s="226">
        <f>U117=E117</f>
        <v/>
      </c>
      <c r="P117" s="226">
        <f>MONTH(F117)-MONTH(T117)</f>
        <v/>
      </c>
      <c r="Q117" s="226">
        <f>$B$5=X117</f>
        <v/>
      </c>
      <c r="R117" s="226">
        <f>I117-AD117</f>
        <v/>
      </c>
      <c r="S117" s="360" t="n"/>
      <c r="T117" s="361" t="n">
        <v>45630</v>
      </c>
      <c r="U117" s="360" t="n">
        <v>253246</v>
      </c>
      <c r="V117" s="360" t="n">
        <v>0</v>
      </c>
      <c r="W117" s="360" t="inlineStr">
        <is>
          <t>បុគ្គលជាប់អាករ</t>
        </is>
      </c>
      <c r="X117" s="360" t="inlineStr">
        <is>
          <t>L001-901640009</t>
        </is>
      </c>
      <c r="Y117" s="360" t="inlineStr">
        <is>
          <t>ហូលីដេ ឌីហ្សាញ (ខេមបូឌា) ឯ.ក</t>
        </is>
      </c>
      <c r="Z117" s="362" t="n">
        <v>385671</v>
      </c>
      <c r="AA117" s="362" t="n">
        <v>350610</v>
      </c>
      <c r="AB117" s="360" t="n">
        <v>0</v>
      </c>
      <c r="AC117" s="360" t="inlineStr">
        <is>
          <t>-</t>
        </is>
      </c>
      <c r="AD117" s="362" t="n">
        <v>35061</v>
      </c>
      <c r="AE117" s="360" t="n"/>
      <c r="AF117" s="615" t="n"/>
    </row>
    <row r="118">
      <c r="A118" s="220">
        <f>A117+1</f>
        <v/>
      </c>
      <c r="B118" s="222" t="inlineStr">
        <is>
          <t>Trucking Fee-Im</t>
        </is>
      </c>
      <c r="C118" s="222" t="inlineStr">
        <is>
          <t>BRILLIANT TRANSPORT AND TRADING Co., Ltd.</t>
        </is>
      </c>
      <c r="D118" s="223" t="inlineStr">
        <is>
          <t>K002-100089305</t>
        </is>
      </c>
      <c r="E118" s="349" t="inlineStr">
        <is>
          <t>BTT24-0002471</t>
        </is>
      </c>
      <c r="F118" s="332" t="n">
        <v>45630</v>
      </c>
      <c r="G118" s="224" t="n"/>
      <c r="H118" s="617" t="n"/>
      <c r="I118" s="617" t="n">
        <v>257920</v>
      </c>
      <c r="J118" s="221" t="inlineStr">
        <is>
          <t>អនុញ្ញាត (បានប្រកាស)</t>
        </is>
      </c>
      <c r="K118" s="221" t="n"/>
      <c r="L118" s="616">
        <f>I118</f>
        <v/>
      </c>
      <c r="M118" s="588">
        <f>I118-L118</f>
        <v/>
      </c>
      <c r="N118" s="221" t="n"/>
      <c r="O118" s="226">
        <f>U118=E118</f>
        <v/>
      </c>
      <c r="P118" s="226">
        <f>MONTH(F118)-MONTH(T118)</f>
        <v/>
      </c>
      <c r="Q118" s="226">
        <f>$B$5=X118</f>
        <v/>
      </c>
      <c r="R118" s="226">
        <f>I118-AD118</f>
        <v/>
      </c>
      <c r="S118" s="360" t="n"/>
      <c r="T118" s="361" t="n">
        <v>45630</v>
      </c>
      <c r="U118" s="360" t="inlineStr">
        <is>
          <t>BTT24-0002471</t>
        </is>
      </c>
      <c r="V118" s="360" t="n">
        <v>0</v>
      </c>
      <c r="W118" s="360" t="inlineStr">
        <is>
          <t>បុគ្គលជាប់អាករ</t>
        </is>
      </c>
      <c r="X118" s="360" t="inlineStr">
        <is>
          <t>L001-901640009</t>
        </is>
      </c>
      <c r="Y118" s="360" t="inlineStr">
        <is>
          <t>ហូលីដេ ឌីហ្សាញ (ខេមបូឌា) ឯ.ក</t>
        </is>
      </c>
      <c r="Z118" s="362" t="n">
        <v>2837120</v>
      </c>
      <c r="AA118" s="362" t="n">
        <v>2579200</v>
      </c>
      <c r="AB118" s="360" t="n">
        <v>0</v>
      </c>
      <c r="AC118" s="360" t="inlineStr">
        <is>
          <t>-</t>
        </is>
      </c>
      <c r="AD118" s="362" t="n">
        <v>257920</v>
      </c>
      <c r="AE118" s="360" t="n">
        <v>0</v>
      </c>
      <c r="AF118" s="615" t="n">
        <v>0</v>
      </c>
      <c r="AG118" s="203" t="n">
        <v>0</v>
      </c>
      <c r="AH118" s="203" t="n">
        <v>0</v>
      </c>
      <c r="AI118" s="203" t="n">
        <v>0</v>
      </c>
      <c r="AJ118" s="203" t="n">
        <v>0</v>
      </c>
      <c r="AK118" s="203" t="n">
        <v>0</v>
      </c>
      <c r="AL118" s="203" t="n">
        <v>0.01</v>
      </c>
      <c r="AM118" s="203" t="n">
        <v>0</v>
      </c>
      <c r="AN118" s="203" t="inlineStr">
        <is>
          <t>Truking / Service</t>
        </is>
      </c>
    </row>
    <row r="119">
      <c r="A119" s="220">
        <f>A118+1</f>
        <v/>
      </c>
      <c r="B119" s="222" t="inlineStr">
        <is>
          <t>Tax Filling for 10-2024</t>
        </is>
      </c>
      <c r="C119" s="222" t="inlineStr">
        <is>
          <t>L S CONSULTING CO., LTD.</t>
        </is>
      </c>
      <c r="D119" s="223" t="inlineStr">
        <is>
          <t>K010-901700169</t>
        </is>
      </c>
      <c r="E119" s="349" t="inlineStr">
        <is>
          <t>24-00985</t>
        </is>
      </c>
      <c r="F119" s="332" t="n">
        <v>45602</v>
      </c>
      <c r="G119" s="224" t="n"/>
      <c r="H119" s="617" t="n"/>
      <c r="I119" s="617" t="n">
        <v>121920</v>
      </c>
      <c r="J119" s="221" t="inlineStr">
        <is>
          <t>អនុញ្ញាត (បានប្រកាស)</t>
        </is>
      </c>
      <c r="K119" s="221" t="n"/>
      <c r="L119" s="616">
        <f>I119</f>
        <v/>
      </c>
      <c r="M119" s="588">
        <f>I119-L119</f>
        <v/>
      </c>
      <c r="N119" s="221" t="n"/>
      <c r="O119" s="226">
        <f>U119=E119</f>
        <v/>
      </c>
      <c r="P119" s="226">
        <f>MONTH(F119)-MONTH(T119)</f>
        <v/>
      </c>
      <c r="Q119" s="226">
        <f>$B$5=X119</f>
        <v/>
      </c>
      <c r="R119" s="226">
        <f>I119-AD119</f>
        <v/>
      </c>
      <c r="S119" s="360" t="n"/>
      <c r="T119" s="361" t="n">
        <v>45602</v>
      </c>
      <c r="U119" s="360" t="inlineStr">
        <is>
          <t>24-00985</t>
        </is>
      </c>
      <c r="V119" s="360" t="n">
        <v>0</v>
      </c>
      <c r="W119" s="360" t="inlineStr">
        <is>
          <t>បុគ្គលជាប់អាករ</t>
        </is>
      </c>
      <c r="X119" s="360" t="inlineStr">
        <is>
          <t>L001-901640009</t>
        </is>
      </c>
      <c r="Y119" s="360" t="inlineStr">
        <is>
          <t>ហូលីដេ ឌីហ្សាញ (ខេមបូឌា) ឯ.ក</t>
        </is>
      </c>
      <c r="Z119" s="362" t="n">
        <v>1341120</v>
      </c>
      <c r="AA119" s="362" t="n">
        <v>1219200</v>
      </c>
      <c r="AB119" s="360" t="n">
        <v>0</v>
      </c>
      <c r="AC119" s="360" t="inlineStr">
        <is>
          <t>-</t>
        </is>
      </c>
      <c r="AD119" s="362" t="n">
        <v>121920</v>
      </c>
      <c r="AE119" s="360" t="n">
        <v>0</v>
      </c>
      <c r="AF119" s="615" t="n">
        <v>0</v>
      </c>
      <c r="AG119" s="203" t="n">
        <v>0</v>
      </c>
      <c r="AH119" s="203" t="n">
        <v>0</v>
      </c>
      <c r="AI119" s="203" t="n">
        <v>0</v>
      </c>
      <c r="AJ119" s="203" t="n">
        <v>0</v>
      </c>
      <c r="AK119" s="203" t="n">
        <v>0</v>
      </c>
      <c r="AL119" s="203" t="n">
        <v>0.01</v>
      </c>
      <c r="AM119" s="203" t="n">
        <v>0</v>
      </c>
      <c r="AN119" s="203" t="inlineStr">
        <is>
          <t>Tax Filling fee</t>
        </is>
      </c>
      <c r="AO119" s="203" t="inlineStr">
        <is>
          <t>បានប្រកាសនិងបង់ពន្ធ</t>
        </is>
      </c>
    </row>
    <row r="120">
      <c r="A120" s="220">
        <f>A119+1</f>
        <v/>
      </c>
      <c r="B120" s="222" t="inlineStr">
        <is>
          <t>Trucking Fee-Im</t>
        </is>
      </c>
      <c r="C120" s="222" t="inlineStr">
        <is>
          <t>BRILLIANT TRANSPORT AND TRADING Co., Ltd.</t>
        </is>
      </c>
      <c r="D120" s="223" t="inlineStr">
        <is>
          <t>K002-100089305</t>
        </is>
      </c>
      <c r="E120" s="349" t="inlineStr">
        <is>
          <t>BTT25-0000184</t>
        </is>
      </c>
      <c r="F120" s="332" t="n">
        <v>45677</v>
      </c>
      <c r="G120" s="224" t="n"/>
      <c r="H120" s="617" t="n"/>
      <c r="I120" s="617" t="n">
        <v>2598540</v>
      </c>
      <c r="J120" s="221" t="inlineStr">
        <is>
          <t>អនុញ្ញាត (បានប្រកាស)</t>
        </is>
      </c>
      <c r="K120" s="221" t="n"/>
      <c r="L120" s="616">
        <f>I120</f>
        <v/>
      </c>
      <c r="M120" s="588">
        <f>I120-L120</f>
        <v/>
      </c>
      <c r="N120" s="221" t="n"/>
      <c r="O120" s="226">
        <f>U120=E120</f>
        <v/>
      </c>
      <c r="P120" s="226">
        <f>MONTH(F120)-MONTH(T120)</f>
        <v/>
      </c>
      <c r="Q120" s="226">
        <f>$B$5=X120</f>
        <v/>
      </c>
      <c r="R120" s="226">
        <f>I120-AD120</f>
        <v/>
      </c>
      <c r="S120" s="360" t="n"/>
      <c r="T120" s="361" t="n">
        <v>45677</v>
      </c>
      <c r="U120" s="360" t="inlineStr">
        <is>
          <t>BTT25-0000184</t>
        </is>
      </c>
      <c r="V120" s="360" t="n">
        <v>0</v>
      </c>
      <c r="W120" s="360" t="inlineStr">
        <is>
          <t>បុគ្គលជាប់អាករ</t>
        </is>
      </c>
      <c r="X120" s="360" t="inlineStr">
        <is>
          <t>L001-901640009</t>
        </is>
      </c>
      <c r="Y120" s="360" t="inlineStr">
        <is>
          <t>ហូលីដេ ឌីហ្សាញ (ខេមបូឌា) ឯ.ក</t>
        </is>
      </c>
      <c r="Z120" s="362" t="n">
        <v>28583940</v>
      </c>
      <c r="AA120" s="362" t="n">
        <v>25985400</v>
      </c>
      <c r="AB120" s="360" t="n">
        <v>0</v>
      </c>
      <c r="AC120" s="360" t="inlineStr">
        <is>
          <t>-</t>
        </is>
      </c>
      <c r="AD120" s="362" t="n">
        <v>2598540</v>
      </c>
      <c r="AE120" s="360" t="n">
        <v>0</v>
      </c>
      <c r="AF120" s="615" t="n">
        <v>0</v>
      </c>
      <c r="AG120" s="203" t="n">
        <v>0</v>
      </c>
      <c r="AH120" s="203" t="n">
        <v>0</v>
      </c>
      <c r="AI120" s="203" t="n">
        <v>0</v>
      </c>
      <c r="AJ120" s="203" t="n">
        <v>0</v>
      </c>
      <c r="AK120" s="203" t="n">
        <v>0</v>
      </c>
      <c r="AL120" s="203" t="n">
        <v>0.01</v>
      </c>
      <c r="AM120" s="203" t="n">
        <v>0</v>
      </c>
      <c r="AN120" s="203" t="inlineStr">
        <is>
          <t>Truking / Service</t>
        </is>
      </c>
    </row>
    <row r="121">
      <c r="A121" s="220">
        <f>A120+1</f>
        <v/>
      </c>
      <c r="B121" s="222" t="inlineStr">
        <is>
          <t>Trucking Fee-Im</t>
        </is>
      </c>
      <c r="C121" s="222" t="inlineStr">
        <is>
          <t>BRILLIANT TRANSPORT AND TRADING Co., Ltd.</t>
        </is>
      </c>
      <c r="D121" s="223" t="inlineStr">
        <is>
          <t>K002-100089305</t>
        </is>
      </c>
      <c r="E121" s="349" t="inlineStr">
        <is>
          <t>BTT25-0000195</t>
        </is>
      </c>
      <c r="F121" s="332" t="n">
        <v>45678</v>
      </c>
      <c r="G121" s="224" t="n"/>
      <c r="H121" s="617" t="n"/>
      <c r="I121" s="617" t="n">
        <v>3295722</v>
      </c>
      <c r="J121" s="221" t="inlineStr">
        <is>
          <t>អនុញ្ញាត (បានប្រកាស)</t>
        </is>
      </c>
      <c r="K121" s="221" t="n"/>
      <c r="L121" s="616">
        <f>I121</f>
        <v/>
      </c>
      <c r="M121" s="588">
        <f>I121-L121</f>
        <v/>
      </c>
      <c r="N121" s="221" t="n"/>
      <c r="O121" s="226">
        <f>U121=E121</f>
        <v/>
      </c>
      <c r="P121" s="226">
        <f>MONTH(F121)-MONTH(T121)</f>
        <v/>
      </c>
      <c r="Q121" s="226">
        <f>$B$5=X121</f>
        <v/>
      </c>
      <c r="R121" s="226">
        <f>I121-AD121</f>
        <v/>
      </c>
      <c r="S121" s="360" t="n"/>
      <c r="T121" s="361" t="n">
        <v>45678</v>
      </c>
      <c r="U121" s="360" t="inlineStr">
        <is>
          <t>BTT25-0000195</t>
        </is>
      </c>
      <c r="V121" s="360" t="n">
        <v>0</v>
      </c>
      <c r="W121" s="360" t="inlineStr">
        <is>
          <t>បុគ្គលជាប់អាករ</t>
        </is>
      </c>
      <c r="X121" s="360" t="inlineStr">
        <is>
          <t>L001-901640009</t>
        </is>
      </c>
      <c r="Y121" s="360" t="inlineStr">
        <is>
          <t>ហូលីដេ ឌីហ្សាញ (ខេមបូឌា) ឯ.ក</t>
        </is>
      </c>
      <c r="Z121" s="362" t="n">
        <v>36252942</v>
      </c>
      <c r="AA121" s="362" t="n">
        <v>32957220</v>
      </c>
      <c r="AB121" s="360" t="n">
        <v>0</v>
      </c>
      <c r="AC121" s="360" t="inlineStr">
        <is>
          <t>-</t>
        </is>
      </c>
      <c r="AD121" s="362" t="n">
        <v>3295722</v>
      </c>
      <c r="AE121" s="360" t="n">
        <v>0</v>
      </c>
      <c r="AF121" s="615" t="n">
        <v>0</v>
      </c>
      <c r="AG121" s="203" t="n">
        <v>0</v>
      </c>
      <c r="AH121" s="203" t="n">
        <v>0</v>
      </c>
      <c r="AI121" s="203" t="n">
        <v>0</v>
      </c>
      <c r="AJ121" s="203" t="n">
        <v>0</v>
      </c>
      <c r="AK121" s="203" t="n">
        <v>0</v>
      </c>
      <c r="AL121" s="203" t="n">
        <v>0.01</v>
      </c>
      <c r="AM121" s="203" t="n">
        <v>0</v>
      </c>
      <c r="AN121" s="203" t="inlineStr">
        <is>
          <t>Truking / Service</t>
        </is>
      </c>
    </row>
    <row r="122">
      <c r="A122" s="220">
        <f>A121+1</f>
        <v/>
      </c>
      <c r="B122" s="222" t="inlineStr">
        <is>
          <t>Trucking Fee-Im</t>
        </is>
      </c>
      <c r="C122" s="222" t="inlineStr">
        <is>
          <t>BRILLIANT TRANSPORT AND TRADING Co., Ltd.</t>
        </is>
      </c>
      <c r="D122" s="223" t="inlineStr">
        <is>
          <t>K002-100089305</t>
        </is>
      </c>
      <c r="E122" s="349" t="inlineStr">
        <is>
          <t>BTT25-0000194</t>
        </is>
      </c>
      <c r="F122" s="332" t="n">
        <v>45678</v>
      </c>
      <c r="G122" s="224" t="n"/>
      <c r="H122" s="617" t="n"/>
      <c r="I122" s="617" t="n">
        <v>2360994</v>
      </c>
      <c r="J122" s="221" t="inlineStr">
        <is>
          <t>អនុញ្ញាត (បានប្រកាស)</t>
        </is>
      </c>
      <c r="K122" s="221" t="n"/>
      <c r="L122" s="616">
        <f>I122</f>
        <v/>
      </c>
      <c r="M122" s="588">
        <f>I122-L122</f>
        <v/>
      </c>
      <c r="N122" s="221" t="n"/>
      <c r="O122" s="226">
        <f>U122=E122</f>
        <v/>
      </c>
      <c r="P122" s="226">
        <f>MONTH(F122)-MONTH(T122)</f>
        <v/>
      </c>
      <c r="Q122" s="226">
        <f>$B$5=X122</f>
        <v/>
      </c>
      <c r="R122" s="226">
        <f>I122-AD122</f>
        <v/>
      </c>
      <c r="S122" s="360" t="n"/>
      <c r="T122" s="361" t="n">
        <v>45678</v>
      </c>
      <c r="U122" s="360" t="inlineStr">
        <is>
          <t>BTT25-0000194</t>
        </is>
      </c>
      <c r="V122" s="360" t="n">
        <v>0</v>
      </c>
      <c r="W122" s="360" t="inlineStr">
        <is>
          <t>បុគ្គលជាប់អាករ</t>
        </is>
      </c>
      <c r="X122" s="360" t="inlineStr">
        <is>
          <t>L001-901640009</t>
        </is>
      </c>
      <c r="Y122" s="360" t="inlineStr">
        <is>
          <t>ហូលីដេ ឌីហ្សាញ (ខេមបូឌា) ឯ.ក</t>
        </is>
      </c>
      <c r="Z122" s="362" t="n">
        <v>25970934</v>
      </c>
      <c r="AA122" s="362" t="n">
        <v>23609940</v>
      </c>
      <c r="AB122" s="360" t="n">
        <v>0</v>
      </c>
      <c r="AC122" s="360" t="inlineStr">
        <is>
          <t>-</t>
        </is>
      </c>
      <c r="AD122" s="362" t="n">
        <v>2360994</v>
      </c>
      <c r="AE122" s="360" t="n">
        <v>0</v>
      </c>
      <c r="AF122" s="615" t="n">
        <v>0</v>
      </c>
      <c r="AG122" s="203" t="n">
        <v>0</v>
      </c>
      <c r="AH122" s="203" t="n">
        <v>0</v>
      </c>
      <c r="AI122" s="203" t="n">
        <v>0</v>
      </c>
      <c r="AJ122" s="203" t="n">
        <v>0</v>
      </c>
      <c r="AK122" s="203" t="n">
        <v>0</v>
      </c>
      <c r="AL122" s="203" t="n">
        <v>0.01</v>
      </c>
      <c r="AM122" s="203" t="n">
        <v>0</v>
      </c>
      <c r="AN122" s="203" t="inlineStr">
        <is>
          <t>Truking / Service</t>
        </is>
      </c>
    </row>
    <row r="123">
      <c r="A123" s="220">
        <f>A122+1</f>
        <v/>
      </c>
      <c r="B123" s="222" t="inlineStr">
        <is>
          <t>Trucking Fee-Im</t>
        </is>
      </c>
      <c r="C123" s="222" t="inlineStr">
        <is>
          <t>BRILLIANT TRANSPORT AND TRADING Co., Ltd.</t>
        </is>
      </c>
      <c r="D123" s="223" t="inlineStr">
        <is>
          <t>K002-100089305</t>
        </is>
      </c>
      <c r="E123" s="349" t="inlineStr">
        <is>
          <t>BTT25-0000193</t>
        </is>
      </c>
      <c r="F123" s="332" t="n">
        <v>45678</v>
      </c>
      <c r="G123" s="224" t="n"/>
      <c r="H123" s="617" t="n"/>
      <c r="I123" s="617" t="n">
        <v>3996768</v>
      </c>
      <c r="J123" s="221" t="inlineStr">
        <is>
          <t>អនុញ្ញាត (បានប្រកាស)</t>
        </is>
      </c>
      <c r="K123" s="221" t="n"/>
      <c r="L123" s="616">
        <f>I123</f>
        <v/>
      </c>
      <c r="M123" s="588">
        <f>I123-L123</f>
        <v/>
      </c>
      <c r="N123" s="221" t="n"/>
      <c r="O123" s="226">
        <f>U123=E123</f>
        <v/>
      </c>
      <c r="P123" s="226">
        <f>MONTH(F123)-MONTH(T123)</f>
        <v/>
      </c>
      <c r="Q123" s="226">
        <f>$B$5=X123</f>
        <v/>
      </c>
      <c r="R123" s="226">
        <f>I123-AD123</f>
        <v/>
      </c>
      <c r="S123" s="360" t="n"/>
      <c r="T123" s="361" t="n">
        <v>45678</v>
      </c>
      <c r="U123" s="360" t="inlineStr">
        <is>
          <t>BTT25-0000193</t>
        </is>
      </c>
      <c r="V123" s="360" t="n">
        <v>0</v>
      </c>
      <c r="W123" s="360" t="inlineStr">
        <is>
          <t>បុគ្គលជាប់អាករ</t>
        </is>
      </c>
      <c r="X123" s="360" t="inlineStr">
        <is>
          <t>L001-901640009</t>
        </is>
      </c>
      <c r="Y123" s="360" t="inlineStr">
        <is>
          <t>ហូលីដេ ឌីហ្សាញ (ខេមបូឌា) ឯ.ក</t>
        </is>
      </c>
      <c r="Z123" s="362" t="n">
        <v>43964448</v>
      </c>
      <c r="AA123" s="362" t="n">
        <v>39967680</v>
      </c>
      <c r="AB123" s="360" t="n">
        <v>0</v>
      </c>
      <c r="AC123" s="360" t="inlineStr">
        <is>
          <t>-</t>
        </is>
      </c>
      <c r="AD123" s="362" t="n">
        <v>3996768</v>
      </c>
      <c r="AE123" s="360" t="n">
        <v>0</v>
      </c>
      <c r="AF123" s="615" t="n">
        <v>0</v>
      </c>
      <c r="AG123" s="203" t="n">
        <v>0</v>
      </c>
      <c r="AH123" s="203" t="n">
        <v>0</v>
      </c>
      <c r="AI123" s="203" t="n">
        <v>0</v>
      </c>
      <c r="AJ123" s="203" t="n">
        <v>0</v>
      </c>
      <c r="AK123" s="203" t="n">
        <v>0</v>
      </c>
      <c r="AL123" s="203" t="n">
        <v>0.01</v>
      </c>
      <c r="AM123" s="203" t="n">
        <v>0</v>
      </c>
      <c r="AN123" s="203" t="inlineStr">
        <is>
          <t>Truking / Service</t>
        </is>
      </c>
    </row>
    <row r="124">
      <c r="A124" s="220">
        <f>A123+1</f>
        <v/>
      </c>
      <c r="B124" s="222" t="inlineStr">
        <is>
          <t>Trucking Fee-Im</t>
        </is>
      </c>
      <c r="C124" s="222" t="inlineStr">
        <is>
          <t>BRILLIANT TRANSPORT AND TRADING Co., Ltd.</t>
        </is>
      </c>
      <c r="D124" s="223" t="inlineStr">
        <is>
          <t>K002-100089305</t>
        </is>
      </c>
      <c r="E124" s="349" t="inlineStr">
        <is>
          <t>BTT25-0000192</t>
        </is>
      </c>
      <c r="F124" s="332" t="n">
        <v>45678</v>
      </c>
      <c r="G124" s="224" t="n"/>
      <c r="H124" s="617" t="n"/>
      <c r="I124" s="617" t="n">
        <v>2127312</v>
      </c>
      <c r="J124" s="221" t="inlineStr">
        <is>
          <t>អនុញ្ញាត (បានប្រកាស)</t>
        </is>
      </c>
      <c r="K124" s="221" t="n"/>
      <c r="L124" s="616">
        <f>I124</f>
        <v/>
      </c>
      <c r="M124" s="588">
        <f>I124-L124</f>
        <v/>
      </c>
      <c r="N124" s="221" t="n"/>
      <c r="O124" s="226">
        <f>U124=E124</f>
        <v/>
      </c>
      <c r="P124" s="226">
        <f>MONTH(F124)-MONTH(T124)</f>
        <v/>
      </c>
      <c r="Q124" s="226">
        <f>$B$5=X124</f>
        <v/>
      </c>
      <c r="R124" s="226">
        <f>I124-AD124</f>
        <v/>
      </c>
      <c r="S124" s="360" t="inlineStr">
        <is>
          <t>Wrong invoice number</t>
        </is>
      </c>
      <c r="T124" s="361" t="n">
        <v>45678</v>
      </c>
      <c r="U124" s="360" t="inlineStr">
        <is>
          <t>BTT25-0000192</t>
        </is>
      </c>
      <c r="V124" s="360" t="n">
        <v>0</v>
      </c>
      <c r="W124" s="360" t="inlineStr">
        <is>
          <t>បុគ្គលជាប់អាករ</t>
        </is>
      </c>
      <c r="X124" s="360" t="inlineStr">
        <is>
          <t>L001-901640009</t>
        </is>
      </c>
      <c r="Y124" s="360" t="inlineStr">
        <is>
          <t>ហូលីដេ ឌីហ្សាញ (ខេមបូឌា) ឯ.ក</t>
        </is>
      </c>
      <c r="Z124" s="362" t="n">
        <v>23400432</v>
      </c>
      <c r="AA124" s="362" t="n">
        <v>21273120</v>
      </c>
      <c r="AB124" s="360" t="n">
        <v>0</v>
      </c>
      <c r="AC124" s="360" t="inlineStr">
        <is>
          <t>-</t>
        </is>
      </c>
      <c r="AD124" s="362" t="n">
        <v>2127312</v>
      </c>
      <c r="AE124" s="360" t="n">
        <v>0</v>
      </c>
      <c r="AF124" s="615" t="n">
        <v>0</v>
      </c>
      <c r="AG124" s="203" t="n">
        <v>0</v>
      </c>
      <c r="AH124" s="203" t="n">
        <v>0</v>
      </c>
      <c r="AI124" s="203" t="n">
        <v>0</v>
      </c>
      <c r="AJ124" s="203" t="n">
        <v>0</v>
      </c>
      <c r="AK124" s="203" t="n">
        <v>0</v>
      </c>
      <c r="AL124" s="203" t="n">
        <v>0.01</v>
      </c>
      <c r="AM124" s="203" t="n">
        <v>0</v>
      </c>
      <c r="AN124" s="203" t="inlineStr">
        <is>
          <t>Truking / Service</t>
        </is>
      </c>
    </row>
    <row r="125">
      <c r="A125" s="220">
        <f>A124+1</f>
        <v/>
      </c>
      <c r="B125" s="222" t="inlineStr">
        <is>
          <t>Trucking Fee-Im</t>
        </is>
      </c>
      <c r="C125" s="222" t="inlineStr">
        <is>
          <t>BRILLIANT TRANSPORT AND TRADING Co., Ltd.</t>
        </is>
      </c>
      <c r="D125" s="223" t="inlineStr">
        <is>
          <t>K002-100089305</t>
        </is>
      </c>
      <c r="E125" s="349" t="inlineStr">
        <is>
          <t>BTT25-0000191</t>
        </is>
      </c>
      <c r="F125" s="332" t="n">
        <v>45678</v>
      </c>
      <c r="G125" s="224" t="n"/>
      <c r="H125" s="617" t="n"/>
      <c r="I125" s="617" t="n">
        <v>1893630</v>
      </c>
      <c r="J125" s="221" t="inlineStr">
        <is>
          <t>អនុញ្ញាត (បានប្រកាស)</t>
        </is>
      </c>
      <c r="K125" s="221" t="n"/>
      <c r="L125" s="616">
        <f>I125</f>
        <v/>
      </c>
      <c r="M125" s="588">
        <f>I125-L125</f>
        <v/>
      </c>
      <c r="N125" s="221" t="n"/>
      <c r="O125" s="226">
        <f>U125=E125</f>
        <v/>
      </c>
      <c r="P125" s="226">
        <f>MONTH(F125)-MONTH(T125)</f>
        <v/>
      </c>
      <c r="Q125" s="226">
        <f>$B$5=X125</f>
        <v/>
      </c>
      <c r="R125" s="226">
        <f>I125-AD125</f>
        <v/>
      </c>
      <c r="S125" s="360" t="n"/>
      <c r="T125" s="361" t="n">
        <v>45678</v>
      </c>
      <c r="U125" s="360" t="inlineStr">
        <is>
          <t>BTT25-0000191</t>
        </is>
      </c>
      <c r="V125" s="360" t="n">
        <v>0</v>
      </c>
      <c r="W125" s="360" t="inlineStr">
        <is>
          <t>បុគ្គលជាប់អាករ</t>
        </is>
      </c>
      <c r="X125" s="360" t="inlineStr">
        <is>
          <t>L001-901640009</t>
        </is>
      </c>
      <c r="Y125" s="360" t="inlineStr">
        <is>
          <t>ហូលីដេ ឌីហ្សាញ (ខេមបូឌា) ឯ.ក</t>
        </is>
      </c>
      <c r="Z125" s="362" t="n">
        <v>20829930</v>
      </c>
      <c r="AA125" s="362" t="n">
        <v>18936300</v>
      </c>
      <c r="AB125" s="360" t="n">
        <v>0</v>
      </c>
      <c r="AC125" s="360" t="inlineStr">
        <is>
          <t>-</t>
        </is>
      </c>
      <c r="AD125" s="362" t="n">
        <v>1893630</v>
      </c>
      <c r="AE125" s="360" t="n">
        <v>0</v>
      </c>
      <c r="AF125" s="615" t="n">
        <v>0</v>
      </c>
      <c r="AG125" s="203" t="n">
        <v>0</v>
      </c>
      <c r="AH125" s="203" t="n">
        <v>0</v>
      </c>
      <c r="AI125" s="203" t="n">
        <v>0</v>
      </c>
      <c r="AJ125" s="203" t="n">
        <v>0</v>
      </c>
      <c r="AK125" s="203" t="n">
        <v>0</v>
      </c>
      <c r="AL125" s="203" t="n">
        <v>0.01</v>
      </c>
      <c r="AM125" s="203" t="n">
        <v>0</v>
      </c>
      <c r="AN125" s="203" t="inlineStr">
        <is>
          <t>Truking / Service</t>
        </is>
      </c>
    </row>
    <row r="126">
      <c r="A126" s="220">
        <f>A125+1</f>
        <v/>
      </c>
      <c r="B126" s="222" t="inlineStr">
        <is>
          <t>Trucking Fee-Im</t>
        </is>
      </c>
      <c r="C126" s="222" t="inlineStr">
        <is>
          <t>BRILLIANT TRANSPORT AND TRADING Co., Ltd.</t>
        </is>
      </c>
      <c r="D126" s="223" t="inlineStr">
        <is>
          <t>K002-100089305</t>
        </is>
      </c>
      <c r="E126" s="349" t="inlineStr">
        <is>
          <t>BTT25-0000190</t>
        </is>
      </c>
      <c r="F126" s="332" t="n">
        <v>45678</v>
      </c>
      <c r="G126" s="224" t="n"/>
      <c r="H126" s="617" t="n"/>
      <c r="I126" s="617" t="n">
        <v>1893630</v>
      </c>
      <c r="J126" s="221" t="inlineStr">
        <is>
          <t>អនុញ្ញាត (បានប្រកាស)</t>
        </is>
      </c>
      <c r="K126" s="221" t="n"/>
      <c r="L126" s="616">
        <f>I126</f>
        <v/>
      </c>
      <c r="M126" s="588">
        <f>I126-L126</f>
        <v/>
      </c>
      <c r="N126" s="221" t="n"/>
      <c r="O126" s="226">
        <f>U126=E126</f>
        <v/>
      </c>
      <c r="P126" s="226">
        <f>MONTH(F126)-MONTH(T126)</f>
        <v/>
      </c>
      <c r="Q126" s="226">
        <f>$B$5=X126</f>
        <v/>
      </c>
      <c r="R126" s="226">
        <f>I126-AD126</f>
        <v/>
      </c>
      <c r="S126" s="360" t="n"/>
      <c r="T126" s="361" t="n">
        <v>45678</v>
      </c>
      <c r="U126" s="360" t="inlineStr">
        <is>
          <t>BTT25-0000190</t>
        </is>
      </c>
      <c r="V126" s="360" t="n">
        <v>0</v>
      </c>
      <c r="W126" s="360" t="inlineStr">
        <is>
          <t>បុគ្គលជាប់អាករ</t>
        </is>
      </c>
      <c r="X126" s="360" t="inlineStr">
        <is>
          <t>L001-901640009</t>
        </is>
      </c>
      <c r="Y126" s="360" t="inlineStr">
        <is>
          <t>ហូលីដេ ឌីហ្សាញ (ខេមបូឌា) ឯ.ក</t>
        </is>
      </c>
      <c r="Z126" s="362" t="n">
        <v>20829930</v>
      </c>
      <c r="AA126" s="362" t="n">
        <v>18936300</v>
      </c>
      <c r="AB126" s="360" t="n">
        <v>0</v>
      </c>
      <c r="AC126" s="360" t="inlineStr">
        <is>
          <t>-</t>
        </is>
      </c>
      <c r="AD126" s="362" t="n">
        <v>1893630</v>
      </c>
      <c r="AE126" s="360" t="n">
        <v>0</v>
      </c>
      <c r="AF126" s="615" t="n">
        <v>0</v>
      </c>
      <c r="AG126" s="203" t="n">
        <v>0</v>
      </c>
      <c r="AH126" s="203" t="n">
        <v>0</v>
      </c>
      <c r="AI126" s="203" t="n">
        <v>0</v>
      </c>
      <c r="AJ126" s="203" t="n">
        <v>0</v>
      </c>
      <c r="AK126" s="203" t="n">
        <v>0</v>
      </c>
      <c r="AL126" s="203" t="n">
        <v>0.01</v>
      </c>
      <c r="AM126" s="203" t="n">
        <v>0</v>
      </c>
      <c r="AN126" s="203" t="inlineStr">
        <is>
          <t>Truking / Service</t>
        </is>
      </c>
    </row>
    <row r="127">
      <c r="A127" s="220">
        <f>A126+1</f>
        <v/>
      </c>
      <c r="B127" s="222" t="inlineStr">
        <is>
          <t>Trucking Fee-Im</t>
        </is>
      </c>
      <c r="C127" s="222" t="inlineStr">
        <is>
          <t>BRILLIANT TRANSPORT AND TRADING Co., Ltd.</t>
        </is>
      </c>
      <c r="D127" s="223" t="inlineStr">
        <is>
          <t>K002-100089305</t>
        </is>
      </c>
      <c r="E127" s="349" t="inlineStr">
        <is>
          <t>BTT25-0000189</t>
        </is>
      </c>
      <c r="F127" s="332" t="n">
        <v>45677</v>
      </c>
      <c r="G127" s="224" t="n"/>
      <c r="H127" s="617" t="n"/>
      <c r="I127" s="617" t="n">
        <v>1896450</v>
      </c>
      <c r="J127" s="221" t="inlineStr">
        <is>
          <t>អនុញ្ញាត (បានប្រកាស)</t>
        </is>
      </c>
      <c r="K127" s="221" t="n"/>
      <c r="L127" s="616">
        <f>I127</f>
        <v/>
      </c>
      <c r="M127" s="588">
        <f>I127-L127</f>
        <v/>
      </c>
      <c r="N127" s="221" t="n"/>
      <c r="O127" s="226">
        <f>U127=E127</f>
        <v/>
      </c>
      <c r="P127" s="226">
        <f>MONTH(F127)-MONTH(T127)</f>
        <v/>
      </c>
      <c r="Q127" s="226">
        <f>$B$5=X127</f>
        <v/>
      </c>
      <c r="R127" s="226">
        <f>I127-AD127</f>
        <v/>
      </c>
      <c r="S127" s="360" t="n"/>
      <c r="T127" s="361" t="n">
        <v>45677</v>
      </c>
      <c r="U127" s="360" t="inlineStr">
        <is>
          <t>BTT25-0000189</t>
        </is>
      </c>
      <c r="V127" s="360" t="n">
        <v>0</v>
      </c>
      <c r="W127" s="360" t="inlineStr">
        <is>
          <t>បុគ្គលជាប់អាករ</t>
        </is>
      </c>
      <c r="X127" s="360" t="inlineStr">
        <is>
          <t>L001-901640009</t>
        </is>
      </c>
      <c r="Y127" s="360" t="inlineStr">
        <is>
          <t>ហូលីដេ ឌីហ្សាញ (ខេមបូឌា) ឯ.ក</t>
        </is>
      </c>
      <c r="Z127" s="362" t="n">
        <v>20860950</v>
      </c>
      <c r="AA127" s="362" t="n">
        <v>18964500</v>
      </c>
      <c r="AB127" s="360" t="n">
        <v>0</v>
      </c>
      <c r="AC127" s="360" t="inlineStr">
        <is>
          <t>-</t>
        </is>
      </c>
      <c r="AD127" s="362" t="n">
        <v>1896450</v>
      </c>
      <c r="AE127" s="360" t="n">
        <v>0</v>
      </c>
      <c r="AF127" s="615" t="n">
        <v>0</v>
      </c>
      <c r="AG127" s="203" t="n">
        <v>0</v>
      </c>
      <c r="AH127" s="203" t="n">
        <v>0</v>
      </c>
      <c r="AI127" s="203" t="n">
        <v>0</v>
      </c>
      <c r="AJ127" s="203" t="n">
        <v>0</v>
      </c>
      <c r="AK127" s="203" t="n">
        <v>0</v>
      </c>
      <c r="AL127" s="203" t="n">
        <v>0.01</v>
      </c>
      <c r="AM127" s="203" t="n">
        <v>0</v>
      </c>
      <c r="AN127" s="203" t="inlineStr">
        <is>
          <t>Truking / Service</t>
        </is>
      </c>
    </row>
    <row r="128">
      <c r="A128" s="220">
        <f>A127+1</f>
        <v/>
      </c>
      <c r="B128" s="222" t="inlineStr">
        <is>
          <t>Trucking Fee-Im</t>
        </is>
      </c>
      <c r="C128" s="222" t="inlineStr">
        <is>
          <t>BRILLIANT TRANSPORT AND TRADING Co., Ltd.</t>
        </is>
      </c>
      <c r="D128" s="223" t="inlineStr">
        <is>
          <t>K002-100089305</t>
        </is>
      </c>
      <c r="E128" s="349" t="inlineStr">
        <is>
          <t>BTT25-0000187</t>
        </is>
      </c>
      <c r="F128" s="332" t="n">
        <v>45677</v>
      </c>
      <c r="G128" s="224" t="n"/>
      <c r="H128" s="617" t="n"/>
      <c r="I128" s="617" t="n">
        <v>2054790</v>
      </c>
      <c r="J128" s="221" t="inlineStr">
        <is>
          <t>អនុញ្ញាត (បានប្រកាស)</t>
        </is>
      </c>
      <c r="K128" s="221" t="n"/>
      <c r="L128" s="616">
        <f>I128</f>
        <v/>
      </c>
      <c r="M128" s="588">
        <f>I128-L128</f>
        <v/>
      </c>
      <c r="N128" s="221" t="n"/>
      <c r="O128" s="226">
        <f>U128=E128</f>
        <v/>
      </c>
      <c r="P128" s="226">
        <f>MONTH(F128)-MONTH(T128)</f>
        <v/>
      </c>
      <c r="Q128" s="226">
        <f>$B$5=X128</f>
        <v/>
      </c>
      <c r="R128" s="226">
        <f>I128-AD128</f>
        <v/>
      </c>
      <c r="S128" s="360" t="n"/>
      <c r="T128" s="361" t="n">
        <v>45678</v>
      </c>
      <c r="U128" s="360" t="inlineStr">
        <is>
          <t>BTT25-0000187</t>
        </is>
      </c>
      <c r="V128" s="360" t="n">
        <v>0</v>
      </c>
      <c r="W128" s="360" t="inlineStr">
        <is>
          <t>បុគ្គលជាប់អាករ</t>
        </is>
      </c>
      <c r="X128" s="360" t="inlineStr">
        <is>
          <t>L001-901640009</t>
        </is>
      </c>
      <c r="Y128" s="360" t="inlineStr">
        <is>
          <t>ហូលីដេ ឌីហ្សាញ (ខេមបូឌា) ឯ.ក</t>
        </is>
      </c>
      <c r="Z128" s="362" t="n">
        <v>22602690</v>
      </c>
      <c r="AA128" s="362" t="n">
        <v>20547900</v>
      </c>
      <c r="AB128" s="360" t="n">
        <v>0</v>
      </c>
      <c r="AC128" s="360" t="inlineStr">
        <is>
          <t>-</t>
        </is>
      </c>
      <c r="AD128" s="362" t="n">
        <v>2054790</v>
      </c>
      <c r="AE128" s="360" t="n">
        <v>0</v>
      </c>
      <c r="AF128" s="615" t="n">
        <v>0</v>
      </c>
      <c r="AG128" s="203" t="n">
        <v>0</v>
      </c>
      <c r="AH128" s="203" t="n">
        <v>0</v>
      </c>
      <c r="AI128" s="203" t="n">
        <v>0</v>
      </c>
      <c r="AJ128" s="203" t="n">
        <v>0</v>
      </c>
      <c r="AK128" s="203" t="n">
        <v>0</v>
      </c>
      <c r="AL128" s="203" t="n">
        <v>0.01</v>
      </c>
      <c r="AM128" s="203" t="n">
        <v>0</v>
      </c>
      <c r="AN128" s="203" t="inlineStr">
        <is>
          <t>Truking / Service</t>
        </is>
      </c>
    </row>
    <row r="129">
      <c r="A129" s="220">
        <f>A128+1</f>
        <v/>
      </c>
      <c r="B129" s="222" t="inlineStr">
        <is>
          <t>Trucking Fee-Im</t>
        </is>
      </c>
      <c r="C129" s="222" t="inlineStr">
        <is>
          <t>BRILLIANT TRANSPORT AND TRADING Co., Ltd.</t>
        </is>
      </c>
      <c r="D129" s="223" t="inlineStr">
        <is>
          <t>K002-100089305</t>
        </is>
      </c>
      <c r="E129" s="349" t="inlineStr">
        <is>
          <t>BTT25-0000185</t>
        </is>
      </c>
      <c r="F129" s="332" t="n">
        <v>45677</v>
      </c>
      <c r="G129" s="224" t="n"/>
      <c r="H129" s="617" t="n"/>
      <c r="I129" s="617" t="n">
        <v>1662420</v>
      </c>
      <c r="J129" s="221" t="inlineStr">
        <is>
          <t>អនុញ្ញាត (បានប្រកាស)</t>
        </is>
      </c>
      <c r="K129" s="221" t="n"/>
      <c r="L129" s="616">
        <f>I129</f>
        <v/>
      </c>
      <c r="M129" s="588">
        <f>I129-L129</f>
        <v/>
      </c>
      <c r="N129" s="221" t="n"/>
      <c r="O129" s="226">
        <f>U129=E129</f>
        <v/>
      </c>
      <c r="P129" s="226">
        <f>MONTH(F129)-MONTH(T129)</f>
        <v/>
      </c>
      <c r="Q129" s="226">
        <f>$B$5=X129</f>
        <v/>
      </c>
      <c r="R129" s="226">
        <f>I129-AD129</f>
        <v/>
      </c>
      <c r="S129" s="360" t="n"/>
      <c r="T129" s="361" t="n">
        <v>45677</v>
      </c>
      <c r="U129" s="360" t="inlineStr">
        <is>
          <t>BTT25-0000185</t>
        </is>
      </c>
      <c r="V129" s="360" t="n">
        <v>0</v>
      </c>
      <c r="W129" s="360" t="inlineStr">
        <is>
          <t>បុគ្គលជាប់អាករ</t>
        </is>
      </c>
      <c r="X129" s="360" t="inlineStr">
        <is>
          <t>L001-901640009</t>
        </is>
      </c>
      <c r="Y129" s="360" t="inlineStr">
        <is>
          <t>ហូលីដេ ឌីហ្សាញ (ខេមបូឌា) ឯ.ក</t>
        </is>
      </c>
      <c r="Z129" s="362" t="n">
        <v>18286620</v>
      </c>
      <c r="AA129" s="362" t="n">
        <v>16624200</v>
      </c>
      <c r="AB129" s="360" t="n">
        <v>0</v>
      </c>
      <c r="AC129" s="360" t="inlineStr">
        <is>
          <t>-</t>
        </is>
      </c>
      <c r="AD129" s="362" t="n">
        <v>1662420</v>
      </c>
      <c r="AE129" s="360" t="n">
        <v>0</v>
      </c>
      <c r="AF129" s="615" t="n">
        <v>0</v>
      </c>
      <c r="AG129" s="203" t="n">
        <v>0</v>
      </c>
      <c r="AH129" s="203" t="n">
        <v>0</v>
      </c>
      <c r="AI129" s="203" t="n">
        <v>0</v>
      </c>
      <c r="AJ129" s="203" t="n">
        <v>0</v>
      </c>
      <c r="AK129" s="203" t="n">
        <v>0</v>
      </c>
      <c r="AL129" s="203" t="n">
        <v>0.01</v>
      </c>
      <c r="AM129" s="203" t="n">
        <v>0</v>
      </c>
      <c r="AN129" s="203" t="inlineStr">
        <is>
          <t>Truking / Service</t>
        </is>
      </c>
    </row>
    <row r="130">
      <c r="A130" s="220">
        <f>A129+1</f>
        <v/>
      </c>
      <c r="B130" s="222" t="inlineStr">
        <is>
          <t>Tax Filling for 11-2024</t>
        </is>
      </c>
      <c r="C130" s="222" t="inlineStr">
        <is>
          <t>L S CONSULTING CO., LTD.</t>
        </is>
      </c>
      <c r="D130" s="223" t="inlineStr">
        <is>
          <t>K010-901700169</t>
        </is>
      </c>
      <c r="E130" s="349" t="inlineStr">
        <is>
          <t>24-01085</t>
        </is>
      </c>
      <c r="F130" s="332" t="n">
        <v>45631</v>
      </c>
      <c r="G130" s="224" t="n"/>
      <c r="H130" s="617" t="n"/>
      <c r="I130" s="617" t="n">
        <v>120870</v>
      </c>
      <c r="J130" s="221" t="inlineStr">
        <is>
          <t>អនុញ្ញាត (បានប្រកាស)</t>
        </is>
      </c>
      <c r="K130" s="221" t="n"/>
      <c r="L130" s="616">
        <f>I130</f>
        <v/>
      </c>
      <c r="M130" s="588">
        <f>I130-L130</f>
        <v/>
      </c>
      <c r="N130" s="221" t="n"/>
      <c r="O130" s="226">
        <f>U130=E130</f>
        <v/>
      </c>
      <c r="P130" s="226">
        <f>MONTH(F130)-MONTH(T130)</f>
        <v/>
      </c>
      <c r="Q130" s="226">
        <f>$B$5=X130</f>
        <v/>
      </c>
      <c r="R130" s="226">
        <f>I130-AD130</f>
        <v/>
      </c>
      <c r="S130" s="360" t="n"/>
      <c r="T130" s="361" t="n">
        <v>45631</v>
      </c>
      <c r="U130" s="360" t="inlineStr">
        <is>
          <t>24-01085</t>
        </is>
      </c>
      <c r="V130" s="360" t="n">
        <v>0</v>
      </c>
      <c r="W130" s="360" t="inlineStr">
        <is>
          <t>បុគ្គលជាប់អាករ</t>
        </is>
      </c>
      <c r="X130" s="360" t="inlineStr">
        <is>
          <t>L001-901640009</t>
        </is>
      </c>
      <c r="Y130" s="360" t="inlineStr">
        <is>
          <t>ហូលីដេ ឌីហ្សាញ (ខេមបូឌា) ឯ.ក</t>
        </is>
      </c>
      <c r="Z130" s="362" t="n">
        <v>1329570</v>
      </c>
      <c r="AA130" s="362" t="n">
        <v>1208700</v>
      </c>
      <c r="AB130" s="360" t="n">
        <v>0</v>
      </c>
      <c r="AC130" s="360" t="inlineStr">
        <is>
          <t>-</t>
        </is>
      </c>
      <c r="AD130" s="362" t="n">
        <v>120870</v>
      </c>
      <c r="AE130" s="360" t="n">
        <v>0</v>
      </c>
      <c r="AF130" s="615" t="n">
        <v>0</v>
      </c>
      <c r="AG130" s="203" t="n">
        <v>0</v>
      </c>
      <c r="AH130" s="203" t="n">
        <v>0</v>
      </c>
      <c r="AI130" s="203" t="n">
        <v>0</v>
      </c>
      <c r="AJ130" s="203" t="n">
        <v>0</v>
      </c>
      <c r="AK130" s="203" t="n">
        <v>0</v>
      </c>
      <c r="AL130" s="203" t="n">
        <v>0.01</v>
      </c>
      <c r="AM130" s="203" t="n">
        <v>0</v>
      </c>
      <c r="AN130" s="203" t="inlineStr">
        <is>
          <t>Tax Filling fee</t>
        </is>
      </c>
      <c r="AO130" s="203" t="inlineStr">
        <is>
          <t>បានប្រកាសនិងបង់ពន្ធ</t>
        </is>
      </c>
    </row>
    <row r="131">
      <c r="A131" s="220">
        <f>A130+1</f>
        <v/>
      </c>
      <c r="B131" s="222" t="inlineStr">
        <is>
          <t>Tax Filling for 12-2024</t>
        </is>
      </c>
      <c r="C131" s="222" t="inlineStr">
        <is>
          <t>L S CONSULTING CO., LTD.</t>
        </is>
      </c>
      <c r="D131" s="223" t="inlineStr">
        <is>
          <t>K010-901700169</t>
        </is>
      </c>
      <c r="E131" s="349" t="inlineStr">
        <is>
          <t>25-00027</t>
        </is>
      </c>
      <c r="F131" s="332" t="n">
        <v>45663</v>
      </c>
      <c r="G131" s="224" t="n"/>
      <c r="H131" s="617" t="n"/>
      <c r="I131" s="617" t="n">
        <v>120990</v>
      </c>
      <c r="J131" s="221" t="inlineStr">
        <is>
          <t>អនុញ្ញាត (បានប្រកាស)</t>
        </is>
      </c>
      <c r="K131" s="221" t="n"/>
      <c r="L131" s="616">
        <f>I131</f>
        <v/>
      </c>
      <c r="M131" s="588">
        <f>I131-L131</f>
        <v/>
      </c>
      <c r="N131" s="221" t="n"/>
      <c r="O131" s="226">
        <f>U131=E131</f>
        <v/>
      </c>
      <c r="P131" s="226">
        <f>MONTH(F131)-MONTH(T131)</f>
        <v/>
      </c>
      <c r="Q131" s="226">
        <f>$B$5=X131</f>
        <v/>
      </c>
      <c r="R131" s="226">
        <f>I131-AD131</f>
        <v/>
      </c>
      <c r="S131" s="360" t="n"/>
      <c r="T131" s="361" t="n">
        <v>45663</v>
      </c>
      <c r="U131" s="360" t="inlineStr">
        <is>
          <t>25-00027</t>
        </is>
      </c>
      <c r="V131" s="360" t="n">
        <v>0</v>
      </c>
      <c r="W131" s="360" t="inlineStr">
        <is>
          <t>បុគ្គលជាប់អាករ</t>
        </is>
      </c>
      <c r="X131" s="360" t="inlineStr">
        <is>
          <t>L001-901640009</t>
        </is>
      </c>
      <c r="Y131" s="360" t="inlineStr">
        <is>
          <t>ហូលីដេ ឌីហ្សាញ (ខេមបូឌា) ឯ.ក</t>
        </is>
      </c>
      <c r="Z131" s="362" t="n">
        <v>1330890</v>
      </c>
      <c r="AA131" s="362" t="n">
        <v>1209900</v>
      </c>
      <c r="AB131" s="360" t="n">
        <v>0</v>
      </c>
      <c r="AC131" s="360" t="inlineStr">
        <is>
          <t>-</t>
        </is>
      </c>
      <c r="AD131" s="362" t="n">
        <v>120990</v>
      </c>
      <c r="AE131" s="360" t="n">
        <v>0</v>
      </c>
      <c r="AF131" s="615" t="n">
        <v>0</v>
      </c>
      <c r="AG131" s="203" t="n">
        <v>0</v>
      </c>
      <c r="AH131" s="203" t="n">
        <v>0</v>
      </c>
      <c r="AI131" s="203" t="n">
        <v>0</v>
      </c>
      <c r="AJ131" s="203" t="n">
        <v>0</v>
      </c>
      <c r="AK131" s="203" t="n">
        <v>0</v>
      </c>
      <c r="AL131" s="203" t="n">
        <v>0.01</v>
      </c>
      <c r="AM131" s="203" t="n">
        <v>0</v>
      </c>
      <c r="AN131" s="203" t="inlineStr">
        <is>
          <t>Tax Filling fee</t>
        </is>
      </c>
      <c r="AO131" s="203" t="inlineStr">
        <is>
          <t>បានប្រកាសនិងបង់ពន្ធ</t>
        </is>
      </c>
    </row>
    <row r="132">
      <c r="A132" s="220">
        <f>A131+1</f>
        <v/>
      </c>
      <c r="B132" s="222" t="inlineStr">
        <is>
          <t>Tax Filling &amp; Annual Income Tax Return 2024</t>
        </is>
      </c>
      <c r="C132" s="222" t="inlineStr">
        <is>
          <t>L S CONSULTING CO., LTD.</t>
        </is>
      </c>
      <c r="D132" s="223" t="inlineStr">
        <is>
          <t>K010-901700169</t>
        </is>
      </c>
      <c r="E132" s="349" t="inlineStr">
        <is>
          <t>25-00133</t>
        </is>
      </c>
      <c r="F132" s="332" t="n">
        <v>45693</v>
      </c>
      <c r="G132" s="224" t="n"/>
      <c r="H132" s="617" t="n"/>
      <c r="I132" s="617" t="n">
        <v>321600</v>
      </c>
      <c r="J132" s="221" t="inlineStr">
        <is>
          <t>អនុញ្ញាត (បានប្រកាស)</t>
        </is>
      </c>
      <c r="K132" s="221" t="n"/>
      <c r="L132" s="616">
        <f>I132</f>
        <v/>
      </c>
      <c r="M132" s="588">
        <f>I132-L132</f>
        <v/>
      </c>
      <c r="N132" s="221" t="n"/>
      <c r="O132" s="226">
        <f>U132=E132</f>
        <v/>
      </c>
      <c r="P132" s="226">
        <f>MONTH(F132)-MONTH(T132)</f>
        <v/>
      </c>
      <c r="Q132" s="226">
        <f>$B$5=X132</f>
        <v/>
      </c>
      <c r="R132" s="226">
        <f>I132-AD132</f>
        <v/>
      </c>
      <c r="S132" s="360" t="n"/>
      <c r="T132" s="361" t="n">
        <v>45693</v>
      </c>
      <c r="U132" s="360" t="inlineStr">
        <is>
          <t>25-00133</t>
        </is>
      </c>
      <c r="V132" s="360" t="n">
        <v>0</v>
      </c>
      <c r="W132" s="360" t="inlineStr">
        <is>
          <t>បុគ្គលជាប់អាករ</t>
        </is>
      </c>
      <c r="X132" s="360" t="inlineStr">
        <is>
          <t>L001-901640009</t>
        </is>
      </c>
      <c r="Y132" s="360" t="inlineStr">
        <is>
          <t>ហូលីដេ ឌីហ្សាញ (ខេមបូឌា) ឯ.ក</t>
        </is>
      </c>
      <c r="Z132" s="362" t="n">
        <v>3537600</v>
      </c>
      <c r="AA132" s="362" t="n">
        <v>3216000</v>
      </c>
      <c r="AB132" s="360" t="n">
        <v>0</v>
      </c>
      <c r="AC132" s="360" t="inlineStr">
        <is>
          <t>-</t>
        </is>
      </c>
      <c r="AD132" s="362" t="n">
        <v>321600</v>
      </c>
      <c r="AE132" s="360" t="n">
        <v>0</v>
      </c>
      <c r="AF132" s="615" t="n">
        <v>0</v>
      </c>
      <c r="AG132" s="203" t="n">
        <v>0</v>
      </c>
      <c r="AH132" s="203" t="n">
        <v>0</v>
      </c>
      <c r="AI132" s="203" t="n">
        <v>0</v>
      </c>
      <c r="AJ132" s="203" t="n">
        <v>0</v>
      </c>
      <c r="AK132" s="203" t="n">
        <v>0</v>
      </c>
      <c r="AL132" s="203" t="n">
        <v>0.01</v>
      </c>
      <c r="AM132" s="203" t="n">
        <v>0</v>
      </c>
      <c r="AN132" s="203" t="inlineStr">
        <is>
          <t>Tax Filling fee</t>
        </is>
      </c>
      <c r="AO132" s="203" t="inlineStr">
        <is>
          <t>បានប្រកាសនិងបង់ពន្ធ</t>
        </is>
      </c>
    </row>
    <row r="133">
      <c r="A133" s="220">
        <f>A132+1</f>
        <v/>
      </c>
      <c r="B133" s="222" t="inlineStr">
        <is>
          <t>Tax Filling 02-2025</t>
        </is>
      </c>
      <c r="C133" s="222" t="inlineStr">
        <is>
          <t>L S CONSULTING CO., LTD.</t>
        </is>
      </c>
      <c r="D133" s="223" t="inlineStr">
        <is>
          <t>K010-901700169</t>
        </is>
      </c>
      <c r="E133" s="349" t="inlineStr">
        <is>
          <t>25-00240</t>
        </is>
      </c>
      <c r="F133" s="332" t="n">
        <v>45721</v>
      </c>
      <c r="G133" s="224" t="n"/>
      <c r="H133" s="617" t="n"/>
      <c r="I133" s="617" t="n">
        <v>120330</v>
      </c>
      <c r="J133" s="221" t="inlineStr">
        <is>
          <t>អនុញ្ញាត (បានប្រកាស)</t>
        </is>
      </c>
      <c r="K133" s="221" t="n"/>
      <c r="L133" s="616">
        <f>I133</f>
        <v/>
      </c>
      <c r="M133" s="588">
        <f>I133-L133</f>
        <v/>
      </c>
      <c r="N133" s="221" t="n"/>
      <c r="O133" s="226">
        <f>U133=E133</f>
        <v/>
      </c>
      <c r="P133" s="226">
        <f>MONTH(F133)-MONTH(T133)</f>
        <v/>
      </c>
      <c r="Q133" s="226">
        <f>$B$5=X133</f>
        <v/>
      </c>
      <c r="R133" s="226">
        <f>I133-AD133</f>
        <v/>
      </c>
      <c r="S133" s="360" t="n"/>
      <c r="T133" s="361" t="n">
        <v>45721</v>
      </c>
      <c r="U133" s="360" t="inlineStr">
        <is>
          <t>25-00240</t>
        </is>
      </c>
      <c r="V133" s="360" t="n">
        <v>0</v>
      </c>
      <c r="W133" s="360" t="inlineStr">
        <is>
          <t>បុគ្គលជាប់អាករ</t>
        </is>
      </c>
      <c r="X133" s="360" t="inlineStr">
        <is>
          <t>L001-901640009</t>
        </is>
      </c>
      <c r="Y133" s="360" t="inlineStr">
        <is>
          <t>ហូលីដេ ឌីហ្សាញ (ខេមបូឌា) ឯ.ក</t>
        </is>
      </c>
      <c r="Z133" s="362" t="n">
        <v>1323630</v>
      </c>
      <c r="AA133" s="362" t="n">
        <v>1203300</v>
      </c>
      <c r="AB133" s="360" t="n">
        <v>0</v>
      </c>
      <c r="AC133" s="360" t="inlineStr">
        <is>
          <t>-</t>
        </is>
      </c>
      <c r="AD133" s="362" t="n">
        <v>120330</v>
      </c>
      <c r="AE133" s="360" t="n">
        <v>0</v>
      </c>
      <c r="AF133" s="615" t="n">
        <v>0</v>
      </c>
      <c r="AG133" s="203" t="n">
        <v>0</v>
      </c>
      <c r="AH133" s="203" t="n">
        <v>0</v>
      </c>
      <c r="AI133" s="203" t="n">
        <v>0</v>
      </c>
      <c r="AJ133" s="203" t="n">
        <v>0</v>
      </c>
      <c r="AK133" s="203" t="n">
        <v>0</v>
      </c>
      <c r="AL133" s="203" t="n">
        <v>0.01</v>
      </c>
      <c r="AM133" s="203" t="n">
        <v>0</v>
      </c>
      <c r="AN133" s="203" t="inlineStr">
        <is>
          <t>Tax Filling fee</t>
        </is>
      </c>
      <c r="AO133" s="203" t="inlineStr">
        <is>
          <t>បានប្រកាសនិងបង់ពន្ធ</t>
        </is>
      </c>
    </row>
    <row r="134">
      <c r="A134" s="220">
        <f>A133+1</f>
        <v/>
      </c>
      <c r="B134" s="222" t="inlineStr">
        <is>
          <t>Tax Filling 03-2025</t>
        </is>
      </c>
      <c r="C134" s="222" t="inlineStr">
        <is>
          <t>L S CONSULTING CO., LTD.</t>
        </is>
      </c>
      <c r="D134" s="223" t="inlineStr">
        <is>
          <t>K010-901700169</t>
        </is>
      </c>
      <c r="E134" s="349" t="inlineStr">
        <is>
          <t>25-00347</t>
        </is>
      </c>
      <c r="F134" s="332" t="n">
        <v>45752</v>
      </c>
      <c r="G134" s="224" t="n"/>
      <c r="H134" s="617" t="n"/>
      <c r="I134" s="617" t="n">
        <v>120090</v>
      </c>
      <c r="J134" s="221" t="inlineStr">
        <is>
          <t>អនុញ្ញាត (បានប្រកាស)</t>
        </is>
      </c>
      <c r="K134" s="221" t="n"/>
      <c r="L134" s="616">
        <f>I134</f>
        <v/>
      </c>
      <c r="M134" s="588">
        <f>I134-L134</f>
        <v/>
      </c>
      <c r="N134" s="221" t="n"/>
      <c r="O134" s="226">
        <f>U134=E134</f>
        <v/>
      </c>
      <c r="P134" s="226">
        <f>MONTH(F134)-MONTH(T134)</f>
        <v/>
      </c>
      <c r="Q134" s="226">
        <f>$B$5=X134</f>
        <v/>
      </c>
      <c r="R134" s="226">
        <f>I134-AD134</f>
        <v/>
      </c>
      <c r="S134" s="360" t="n"/>
      <c r="T134" s="361" t="n">
        <v>45752</v>
      </c>
      <c r="U134" s="360" t="inlineStr">
        <is>
          <t>25-00347</t>
        </is>
      </c>
      <c r="V134" s="360" t="n">
        <v>0</v>
      </c>
      <c r="W134" s="360" t="inlineStr">
        <is>
          <t>បុគ្គលជាប់អាករ</t>
        </is>
      </c>
      <c r="X134" s="360" t="inlineStr">
        <is>
          <t>L001-901640009</t>
        </is>
      </c>
      <c r="Y134" s="360" t="inlineStr">
        <is>
          <t>ហូលីដេ ឌីហ្សាញ (ខេមបូឌា) ឯ.ក</t>
        </is>
      </c>
      <c r="Z134" s="362" t="n">
        <v>1320990</v>
      </c>
      <c r="AA134" s="362" t="n">
        <v>1200900</v>
      </c>
      <c r="AB134" s="360" t="n">
        <v>0</v>
      </c>
      <c r="AC134" s="360" t="inlineStr">
        <is>
          <t>-</t>
        </is>
      </c>
      <c r="AD134" s="362" t="n">
        <v>120090</v>
      </c>
      <c r="AE134" s="360" t="n">
        <v>0</v>
      </c>
      <c r="AF134" s="615" t="n">
        <v>0</v>
      </c>
      <c r="AG134" s="203" t="n">
        <v>0</v>
      </c>
      <c r="AH134" s="203" t="n">
        <v>0</v>
      </c>
      <c r="AI134" s="203" t="n">
        <v>0</v>
      </c>
      <c r="AJ134" s="203" t="n">
        <v>0</v>
      </c>
      <c r="AK134" s="203" t="n">
        <v>0</v>
      </c>
      <c r="AL134" s="203" t="n">
        <v>0.01</v>
      </c>
      <c r="AM134" s="203" t="n">
        <v>0</v>
      </c>
      <c r="AN134" s="203" t="inlineStr">
        <is>
          <t>Tax Filling fee</t>
        </is>
      </c>
      <c r="AO134" s="203" t="inlineStr">
        <is>
          <t>បានប្រកាសនិងបង់ពន្ធ</t>
        </is>
      </c>
    </row>
    <row r="135">
      <c r="A135" s="220">
        <f>A134+1</f>
        <v/>
      </c>
      <c r="B135" s="222" t="inlineStr">
        <is>
          <t>Trucking Fee-Im</t>
        </is>
      </c>
      <c r="C135" s="222" t="inlineStr">
        <is>
          <t>BRILLIANT TRANSPORT AND TRADING Co., Ltd.</t>
        </is>
      </c>
      <c r="D135" s="223" t="inlineStr">
        <is>
          <t>K002-100089305</t>
        </is>
      </c>
      <c r="E135" s="349" t="inlineStr">
        <is>
          <t>BTT25-0000196</t>
        </is>
      </c>
      <c r="F135" s="332" t="n">
        <v>45678</v>
      </c>
      <c r="G135" s="224" t="n"/>
      <c r="H135" s="617" t="n"/>
      <c r="I135" s="617" t="n">
        <v>2828358</v>
      </c>
      <c r="J135" s="221" t="inlineStr">
        <is>
          <t>អនុញ្ញាត (បានប្រកាស)</t>
        </is>
      </c>
      <c r="K135" s="221" t="n"/>
      <c r="L135" s="616">
        <f>I135</f>
        <v/>
      </c>
      <c r="M135" s="588">
        <f>I135-L135</f>
        <v/>
      </c>
      <c r="N135" s="221" t="n"/>
      <c r="O135" s="226">
        <f>U135=E135</f>
        <v/>
      </c>
      <c r="P135" s="226">
        <f>MONTH(F135)-MONTH(T135)</f>
        <v/>
      </c>
      <c r="Q135" s="226">
        <f>$B$5=X135</f>
        <v/>
      </c>
      <c r="R135" s="226">
        <f>I135-AD135</f>
        <v/>
      </c>
      <c r="S135" s="360" t="n"/>
      <c r="T135" s="361" t="n">
        <v>45678</v>
      </c>
      <c r="U135" s="360" t="inlineStr">
        <is>
          <t>BTT25-0000196</t>
        </is>
      </c>
      <c r="V135" s="360" t="n">
        <v>0</v>
      </c>
      <c r="W135" s="360" t="inlineStr">
        <is>
          <t>បុគ្គលជាប់អាករ</t>
        </is>
      </c>
      <c r="X135" s="360" t="inlineStr">
        <is>
          <t>L001-901640009</t>
        </is>
      </c>
      <c r="Y135" s="360" t="inlineStr">
        <is>
          <t>ហូលីដេ ឌីហ្សាញ (ខេមបូឌា) ឯ.ក</t>
        </is>
      </c>
      <c r="Z135" s="362" t="n">
        <v>31111938</v>
      </c>
      <c r="AA135" s="362" t="n">
        <v>28283580</v>
      </c>
      <c r="AB135" s="360" t="n">
        <v>0</v>
      </c>
      <c r="AC135" s="360" t="inlineStr">
        <is>
          <t>-</t>
        </is>
      </c>
      <c r="AD135" s="362" t="n">
        <v>2828358</v>
      </c>
      <c r="AE135" s="360" t="n">
        <v>0</v>
      </c>
      <c r="AF135" s="615" t="n">
        <v>0</v>
      </c>
      <c r="AG135" s="203" t="n">
        <v>0</v>
      </c>
      <c r="AH135" s="203" t="n">
        <v>0</v>
      </c>
      <c r="AI135" s="203" t="n">
        <v>0</v>
      </c>
      <c r="AJ135" s="203" t="n">
        <v>0</v>
      </c>
      <c r="AK135" s="203" t="n">
        <v>0</v>
      </c>
      <c r="AL135" s="203" t="n">
        <v>0.01</v>
      </c>
      <c r="AM135" s="203" t="n">
        <v>0</v>
      </c>
      <c r="AN135" s="203" t="inlineStr">
        <is>
          <t>Truking / Service</t>
        </is>
      </c>
    </row>
    <row r="136">
      <c r="A136" s="220">
        <f>A135+1</f>
        <v/>
      </c>
      <c r="B136" s="222" t="inlineStr">
        <is>
          <t>Trucking Fee-Im</t>
        </is>
      </c>
      <c r="C136" s="222" t="inlineStr">
        <is>
          <t>BRILLIANT TRANSPORT AND TRADING Co., Ltd.</t>
        </is>
      </c>
      <c r="D136" s="223" t="inlineStr">
        <is>
          <t>K002-100089305</t>
        </is>
      </c>
      <c r="E136" s="349" t="inlineStr">
        <is>
          <t>BTT25-0000188</t>
        </is>
      </c>
      <c r="F136" s="332" t="n">
        <v>45677</v>
      </c>
      <c r="G136" s="224" t="n"/>
      <c r="H136" s="617" t="n"/>
      <c r="I136" s="617" t="n">
        <v>2364510</v>
      </c>
      <c r="J136" s="221" t="inlineStr">
        <is>
          <t>អនុញ្ញាត (បានប្រកាស)</t>
        </is>
      </c>
      <c r="K136" s="221" t="n"/>
      <c r="L136" s="616">
        <f>I136</f>
        <v/>
      </c>
      <c r="M136" s="588">
        <f>I136-L136</f>
        <v/>
      </c>
      <c r="N136" s="221" t="n"/>
      <c r="O136" s="226">
        <f>U136=E136</f>
        <v/>
      </c>
      <c r="P136" s="226">
        <f>MONTH(F136)-MONTH(T136)</f>
        <v/>
      </c>
      <c r="Q136" s="226">
        <f>$B$5=X136</f>
        <v/>
      </c>
      <c r="R136" s="226">
        <f>I136-AD136</f>
        <v/>
      </c>
      <c r="S136" s="360" t="n"/>
      <c r="T136" s="361" t="n">
        <v>45677</v>
      </c>
      <c r="U136" s="360" t="inlineStr">
        <is>
          <t>BTT25-0000188</t>
        </is>
      </c>
      <c r="V136" s="360" t="n">
        <v>0</v>
      </c>
      <c r="W136" s="360" t="inlineStr">
        <is>
          <t>បុគ្គលជាប់អាករ</t>
        </is>
      </c>
      <c r="X136" s="360" t="inlineStr">
        <is>
          <t>L001-901640009</t>
        </is>
      </c>
      <c r="Y136" s="360" t="inlineStr">
        <is>
          <t>ហូលីដេ ឌីហ្សាញ (ខេមបូឌា) ឯ.ក</t>
        </is>
      </c>
      <c r="Z136" s="362" t="n">
        <v>26009610</v>
      </c>
      <c r="AA136" s="362" t="n">
        <v>23645100</v>
      </c>
      <c r="AB136" s="360" t="n">
        <v>0</v>
      </c>
      <c r="AC136" s="360" t="inlineStr">
        <is>
          <t>-</t>
        </is>
      </c>
      <c r="AD136" s="362" t="n">
        <v>2364510</v>
      </c>
      <c r="AE136" s="360" t="n">
        <v>0</v>
      </c>
      <c r="AF136" s="615" t="n">
        <v>0</v>
      </c>
      <c r="AG136" s="203" t="n">
        <v>0</v>
      </c>
      <c r="AH136" s="203" t="n">
        <v>0</v>
      </c>
      <c r="AI136" s="203" t="n">
        <v>0</v>
      </c>
      <c r="AJ136" s="203" t="n">
        <v>0</v>
      </c>
      <c r="AK136" s="203" t="n">
        <v>0</v>
      </c>
      <c r="AL136" s="203" t="n">
        <v>0.01</v>
      </c>
      <c r="AM136" s="203" t="n">
        <v>0</v>
      </c>
      <c r="AN136" s="203" t="inlineStr">
        <is>
          <t>Truking / Service</t>
        </is>
      </c>
    </row>
    <row r="137">
      <c r="A137" s="220">
        <f>A136+1</f>
        <v/>
      </c>
      <c r="B137" s="222" t="inlineStr">
        <is>
          <t>Lift-On&amp;Lift-Off-Im</t>
        </is>
      </c>
      <c r="C137" s="222" t="inlineStr">
        <is>
          <t>Port Autonome Du Sihanoukville</t>
        </is>
      </c>
      <c r="D137" s="223" t="inlineStr">
        <is>
          <t>L001-100044638</t>
        </is>
      </c>
      <c r="E137" s="349" t="n">
        <v>202500014701</v>
      </c>
      <c r="F137" s="332" t="n">
        <v>45675</v>
      </c>
      <c r="G137" s="224" t="n"/>
      <c r="H137" s="617" t="n"/>
      <c r="I137" s="617" t="n">
        <v>175175</v>
      </c>
      <c r="J137" s="221" t="inlineStr">
        <is>
          <t>អនុញ្ញាត (បានប្រកាស)</t>
        </is>
      </c>
      <c r="K137" s="221" t="n"/>
      <c r="L137" s="616">
        <f>I137</f>
        <v/>
      </c>
      <c r="M137" s="588">
        <f>I137-L137</f>
        <v/>
      </c>
      <c r="N137" s="221" t="n"/>
      <c r="O137" s="226">
        <f>U137=E137</f>
        <v/>
      </c>
      <c r="P137" s="226">
        <f>MONTH(F137)-MONTH(T137)</f>
        <v/>
      </c>
      <c r="Q137" s="226">
        <f>$B$5=X137</f>
        <v/>
      </c>
      <c r="R137" s="226">
        <f>I137-AD137</f>
        <v/>
      </c>
      <c r="S137" s="360" t="n"/>
      <c r="T137" s="361" t="n">
        <v>45675</v>
      </c>
      <c r="U137" s="360" t="n">
        <v>202500014701</v>
      </c>
      <c r="V137" s="360" t="n">
        <v>0</v>
      </c>
      <c r="W137" s="360" t="inlineStr">
        <is>
          <t>បុគ្គលជាប់អាករ</t>
        </is>
      </c>
      <c r="X137" s="360" t="inlineStr">
        <is>
          <t>L001-901640009</t>
        </is>
      </c>
      <c r="Y137" s="360" t="inlineStr">
        <is>
          <t>ហូលីដេ ឌីហ្សាញ (ខេមបូឌា) ឯ.ក</t>
        </is>
      </c>
      <c r="Z137" s="362" t="n">
        <v>1926920</v>
      </c>
      <c r="AA137" s="362" t="n">
        <v>1751745</v>
      </c>
      <c r="AB137" s="360" t="n">
        <v>0</v>
      </c>
      <c r="AC137" s="360" t="inlineStr">
        <is>
          <t>-</t>
        </is>
      </c>
      <c r="AD137" s="362" t="n">
        <v>175175</v>
      </c>
      <c r="AE137" s="360" t="n">
        <v>0</v>
      </c>
      <c r="AF137" s="615" t="n">
        <v>0</v>
      </c>
      <c r="AG137" s="203" t="n">
        <v>0</v>
      </c>
      <c r="AH137" s="203" t="n">
        <v>0</v>
      </c>
      <c r="AI137" s="203" t="n">
        <v>0</v>
      </c>
      <c r="AJ137" s="203" t="n">
        <v>0</v>
      </c>
      <c r="AK137" s="203" t="n">
        <v>0</v>
      </c>
      <c r="AL137" s="203" t="n">
        <v>0.01</v>
      </c>
      <c r="AM137" s="203" t="n">
        <v>0</v>
      </c>
      <c r="AN137" s="203" t="inlineStr">
        <is>
          <t>LOLO</t>
        </is>
      </c>
    </row>
    <row r="138">
      <c r="A138" s="220">
        <f>A137+1</f>
        <v/>
      </c>
      <c r="B138" s="222" t="inlineStr">
        <is>
          <t>Lift-On&amp;Lift-Off-Im</t>
        </is>
      </c>
      <c r="C138" s="222" t="inlineStr">
        <is>
          <t>Port Autonome Du Sihanoukville</t>
        </is>
      </c>
      <c r="D138" s="223" t="inlineStr">
        <is>
          <t>L001-100044638</t>
        </is>
      </c>
      <c r="E138" s="349" t="n">
        <v>202500022891</v>
      </c>
      <c r="F138" s="332" t="n">
        <v>45686</v>
      </c>
      <c r="G138" s="224" t="n"/>
      <c r="H138" s="617" t="n"/>
      <c r="I138" s="617" t="n">
        <v>489636</v>
      </c>
      <c r="J138" s="221" t="inlineStr">
        <is>
          <t>អនុញ្ញាត (បានប្រកាស)</t>
        </is>
      </c>
      <c r="K138" s="221" t="n"/>
      <c r="L138" s="616">
        <f>I138</f>
        <v/>
      </c>
      <c r="M138" s="588">
        <f>I138-L138</f>
        <v/>
      </c>
      <c r="N138" s="221" t="n"/>
      <c r="O138" s="226">
        <f>U138=E138</f>
        <v/>
      </c>
      <c r="P138" s="226">
        <f>MONTH(F138)-MONTH(T138)</f>
        <v/>
      </c>
      <c r="Q138" s="226">
        <f>$B$5=X138</f>
        <v/>
      </c>
      <c r="R138" s="226">
        <f>I138-AD138</f>
        <v/>
      </c>
      <c r="S138" s="360" t="n"/>
      <c r="T138" s="361" t="n">
        <v>45686</v>
      </c>
      <c r="U138" s="360" t="n">
        <v>202500022891</v>
      </c>
      <c r="V138" s="360" t="n">
        <v>0</v>
      </c>
      <c r="W138" s="360" t="inlineStr">
        <is>
          <t>បុគ្គលជាប់អាករ</t>
        </is>
      </c>
      <c r="X138" s="360" t="inlineStr">
        <is>
          <t>L001-901640009</t>
        </is>
      </c>
      <c r="Y138" s="360" t="inlineStr">
        <is>
          <t>ហូលីដេ ឌីហ្សាញ (ខេមបូឌា) ឯ.ក</t>
        </is>
      </c>
      <c r="Z138" s="362" t="n">
        <v>5385996</v>
      </c>
      <c r="AA138" s="362" t="n">
        <v>4896360</v>
      </c>
      <c r="AB138" s="360" t="n">
        <v>0</v>
      </c>
      <c r="AC138" s="360" t="inlineStr">
        <is>
          <t>-</t>
        </is>
      </c>
      <c r="AD138" s="362" t="n">
        <v>489636</v>
      </c>
      <c r="AE138" s="360" t="n">
        <v>0</v>
      </c>
      <c r="AF138" s="615" t="n">
        <v>0</v>
      </c>
      <c r="AG138" s="203" t="n">
        <v>0</v>
      </c>
      <c r="AH138" s="203" t="n">
        <v>0</v>
      </c>
      <c r="AI138" s="203" t="n">
        <v>0</v>
      </c>
      <c r="AJ138" s="203" t="n">
        <v>0</v>
      </c>
      <c r="AK138" s="203" t="n">
        <v>0</v>
      </c>
      <c r="AL138" s="203" t="n">
        <v>0.01</v>
      </c>
      <c r="AM138" s="203" t="n">
        <v>0</v>
      </c>
      <c r="AN138" s="203" t="inlineStr">
        <is>
          <t>LOLO</t>
        </is>
      </c>
    </row>
    <row r="139">
      <c r="A139" s="220">
        <f>A138+1</f>
        <v/>
      </c>
      <c r="B139" s="222" t="inlineStr">
        <is>
          <t>Terminal Handling Service-Im</t>
        </is>
      </c>
      <c r="C139" s="222" t="inlineStr">
        <is>
          <t>SITC CONTAINER LINES (CAMBODIA) Co., Ltd.</t>
        </is>
      </c>
      <c r="D139" s="223" t="inlineStr">
        <is>
          <t>L001-107035863</t>
        </is>
      </c>
      <c r="E139" s="349" t="inlineStr">
        <is>
          <t>SITC2025-003610</t>
        </is>
      </c>
      <c r="F139" s="332" t="n">
        <v>45682</v>
      </c>
      <c r="G139" s="224" t="n"/>
      <c r="H139" s="617" t="n"/>
      <c r="I139" s="617" t="n">
        <v>2953616</v>
      </c>
      <c r="J139" s="221" t="inlineStr">
        <is>
          <t>អនុញ្ញាត (បានប្រកាស)</t>
        </is>
      </c>
      <c r="K139" s="221" t="n"/>
      <c r="L139" s="616">
        <f>I139</f>
        <v/>
      </c>
      <c r="M139" s="588">
        <f>I139-L139</f>
        <v/>
      </c>
      <c r="N139" s="221" t="n"/>
      <c r="O139" s="226">
        <f>U139=E139</f>
        <v/>
      </c>
      <c r="P139" s="226">
        <f>MONTH(F139)-MONTH(T139)</f>
        <v/>
      </c>
      <c r="Q139" s="226">
        <f>$B$5=X139</f>
        <v/>
      </c>
      <c r="R139" s="226">
        <f>I139-AD139</f>
        <v/>
      </c>
      <c r="S139" s="360" t="n"/>
      <c r="T139" s="361" t="n">
        <v>45682</v>
      </c>
      <c r="U139" s="360" t="inlineStr">
        <is>
          <t>SITC2025-003610</t>
        </is>
      </c>
      <c r="V139" s="360" t="n">
        <v>0</v>
      </c>
      <c r="W139" s="360" t="inlineStr">
        <is>
          <t>បុគ្គលជាប់អាករ</t>
        </is>
      </c>
      <c r="X139" s="360" t="inlineStr">
        <is>
          <t>L001-901640009</t>
        </is>
      </c>
      <c r="Y139" s="360" t="inlineStr">
        <is>
          <t>ហូលីដេ ឌីហ្សាញ (ខេមបូឌា) ឯ.ក</t>
        </is>
      </c>
      <c r="Z139" s="362" t="n">
        <v>32489776</v>
      </c>
      <c r="AA139" s="362" t="n">
        <v>29536160</v>
      </c>
      <c r="AB139" s="360" t="n">
        <v>0</v>
      </c>
      <c r="AC139" s="360" t="inlineStr">
        <is>
          <t>-</t>
        </is>
      </c>
      <c r="AD139" s="362" t="n">
        <v>2953616</v>
      </c>
      <c r="AE139" s="360" t="n">
        <v>0</v>
      </c>
      <c r="AF139" s="615" t="n">
        <v>0</v>
      </c>
      <c r="AG139" s="203" t="n">
        <v>0</v>
      </c>
      <c r="AH139" s="203" t="n">
        <v>0</v>
      </c>
      <c r="AI139" s="203" t="n">
        <v>0</v>
      </c>
      <c r="AJ139" s="203" t="n">
        <v>0</v>
      </c>
      <c r="AK139" s="203" t="n">
        <v>0</v>
      </c>
      <c r="AL139" s="203" t="n">
        <v>0.01</v>
      </c>
      <c r="AM139" s="203" t="n">
        <v>0</v>
      </c>
      <c r="AN139" s="203" t="inlineStr">
        <is>
          <t>KHDOC,KHTHC,EMF,EIB,KHCIC</t>
        </is>
      </c>
    </row>
    <row r="140">
      <c r="A140" s="220">
        <f>A139+1</f>
        <v/>
      </c>
      <c r="B140" s="222" t="inlineStr">
        <is>
          <t>Trucking Fee-Im</t>
        </is>
      </c>
      <c r="C140" s="222" t="inlineStr">
        <is>
          <t>BRILLIANT TRANSPORT AND TRADING Co., Ltd.</t>
        </is>
      </c>
      <c r="D140" s="223" t="inlineStr">
        <is>
          <t>K002-100089305</t>
        </is>
      </c>
      <c r="E140" s="349" t="inlineStr">
        <is>
          <t>BTT25-0000256</t>
        </is>
      </c>
      <c r="F140" s="332" t="n">
        <v>45686</v>
      </c>
      <c r="G140" s="224" t="n"/>
      <c r="H140" s="617" t="n"/>
      <c r="I140" s="617" t="n">
        <v>3288360</v>
      </c>
      <c r="J140" s="221" t="inlineStr">
        <is>
          <t>អនុញ្ញាត (បានប្រកាស)</t>
        </is>
      </c>
      <c r="K140" s="221" t="n"/>
      <c r="L140" s="616">
        <f>I140</f>
        <v/>
      </c>
      <c r="M140" s="588">
        <f>I140-L140</f>
        <v/>
      </c>
      <c r="N140" s="221" t="n"/>
      <c r="O140" s="226">
        <f>U140=E140</f>
        <v/>
      </c>
      <c r="P140" s="226">
        <f>MONTH(F140)-MONTH(T140)</f>
        <v/>
      </c>
      <c r="Q140" s="226">
        <f>$B$5=X140</f>
        <v/>
      </c>
      <c r="R140" s="226">
        <f>I140-AD140</f>
        <v/>
      </c>
      <c r="S140" s="360" t="n"/>
      <c r="T140" s="361" t="n">
        <v>45686</v>
      </c>
      <c r="U140" s="360" t="inlineStr">
        <is>
          <t>BTT25-0000256</t>
        </is>
      </c>
      <c r="V140" s="360" t="n">
        <v>0</v>
      </c>
      <c r="W140" s="360" t="inlineStr">
        <is>
          <t>បុគ្គលជាប់អាករ</t>
        </is>
      </c>
      <c r="X140" s="360" t="inlineStr">
        <is>
          <t>L001-901640009</t>
        </is>
      </c>
      <c r="Y140" s="360" t="inlineStr">
        <is>
          <t>ហូលីដេ ឌីហ្សាញ (ខេមបូឌា) ឯ.ក</t>
        </is>
      </c>
      <c r="Z140" s="362" t="n">
        <v>36171960</v>
      </c>
      <c r="AA140" s="362" t="n">
        <v>32883600</v>
      </c>
      <c r="AB140" s="360" t="n">
        <v>0</v>
      </c>
      <c r="AC140" s="360" t="inlineStr">
        <is>
          <t>-</t>
        </is>
      </c>
      <c r="AD140" s="362" t="n">
        <v>3288360</v>
      </c>
      <c r="AE140" s="360" t="n">
        <v>0</v>
      </c>
      <c r="AF140" s="615" t="n">
        <v>0</v>
      </c>
      <c r="AG140" s="203" t="n">
        <v>0</v>
      </c>
      <c r="AH140" s="203" t="n">
        <v>0</v>
      </c>
      <c r="AI140" s="203" t="n">
        <v>0</v>
      </c>
      <c r="AJ140" s="203" t="n">
        <v>0</v>
      </c>
      <c r="AK140" s="203" t="n">
        <v>0</v>
      </c>
      <c r="AL140" s="203" t="n">
        <v>0.01</v>
      </c>
      <c r="AM140" s="203" t="n">
        <v>0</v>
      </c>
      <c r="AN140" s="203" t="inlineStr">
        <is>
          <t>Truking / Service</t>
        </is>
      </c>
    </row>
    <row r="141">
      <c r="A141" s="220">
        <f>A140+1</f>
        <v/>
      </c>
      <c r="B141" s="222" t="inlineStr">
        <is>
          <t>Lift-On&amp;Lift-Off-Im</t>
        </is>
      </c>
      <c r="C141" s="222" t="inlineStr">
        <is>
          <t>Port Autonome Du Sihanoukville</t>
        </is>
      </c>
      <c r="D141" s="223" t="inlineStr">
        <is>
          <t>L001-100044638</t>
        </is>
      </c>
      <c r="E141" s="349" t="n">
        <v>202500016641</v>
      </c>
      <c r="F141" s="332" t="n">
        <v>45678</v>
      </c>
      <c r="G141" s="224" t="n"/>
      <c r="H141" s="617" t="n"/>
      <c r="I141" s="617" t="n">
        <v>175262</v>
      </c>
      <c r="J141" s="221" t="inlineStr">
        <is>
          <t>អនុញ្ញាត (បានប្រកាស)</t>
        </is>
      </c>
      <c r="K141" s="221" t="n"/>
      <c r="L141" s="616">
        <f>I141</f>
        <v/>
      </c>
      <c r="M141" s="588">
        <f>I141-L141</f>
        <v/>
      </c>
      <c r="N141" s="221" t="n"/>
      <c r="O141" s="226">
        <f>U141=E141</f>
        <v/>
      </c>
      <c r="P141" s="226">
        <f>MONTH(F141)-MONTH(T141)</f>
        <v/>
      </c>
      <c r="Q141" s="226">
        <f>$B$5=X141</f>
        <v/>
      </c>
      <c r="R141" s="226">
        <f>I141-AD141</f>
        <v/>
      </c>
      <c r="S141" s="360" t="n"/>
      <c r="T141" s="361" t="n">
        <v>45678</v>
      </c>
      <c r="U141" s="360" t="n">
        <v>202500016641</v>
      </c>
      <c r="V141" s="360" t="n">
        <v>0</v>
      </c>
      <c r="W141" s="360" t="inlineStr">
        <is>
          <t>បុគ្គលជាប់អាករ</t>
        </is>
      </c>
      <c r="X141" s="360" t="inlineStr">
        <is>
          <t>L001-901640009</t>
        </is>
      </c>
      <c r="Y141" s="360" t="inlineStr">
        <is>
          <t>ហូលីដេ ឌីហ្សាញ (ខេមបូឌា) ឯ.ក</t>
        </is>
      </c>
      <c r="Z141" s="362" t="n">
        <v>1927877</v>
      </c>
      <c r="AA141" s="362" t="n">
        <v>1752615</v>
      </c>
      <c r="AB141" s="360" t="n">
        <v>0</v>
      </c>
      <c r="AC141" s="360" t="inlineStr">
        <is>
          <t>-</t>
        </is>
      </c>
      <c r="AD141" s="362" t="n">
        <v>175262</v>
      </c>
      <c r="AE141" s="360" t="n">
        <v>0</v>
      </c>
      <c r="AF141" s="615" t="n">
        <v>0</v>
      </c>
      <c r="AG141" s="203" t="n">
        <v>0</v>
      </c>
      <c r="AH141" s="203" t="n">
        <v>0</v>
      </c>
      <c r="AI141" s="203" t="n">
        <v>0</v>
      </c>
      <c r="AJ141" s="203" t="n">
        <v>0</v>
      </c>
      <c r="AK141" s="203" t="n">
        <v>0</v>
      </c>
      <c r="AL141" s="203" t="n">
        <v>0.01</v>
      </c>
      <c r="AM141" s="203" t="n">
        <v>0</v>
      </c>
      <c r="AN141" s="203" t="inlineStr">
        <is>
          <t>LOLO</t>
        </is>
      </c>
    </row>
    <row r="142">
      <c r="A142" s="220">
        <f>A141+1</f>
        <v/>
      </c>
      <c r="B142" s="222" t="inlineStr">
        <is>
          <t>Terminal Handling Service-Im</t>
        </is>
      </c>
      <c r="C142" s="222" t="inlineStr">
        <is>
          <t>SITC CONTAINER LINES (CAMBODIA) Co., Ltd.</t>
        </is>
      </c>
      <c r="D142" s="223" t="inlineStr">
        <is>
          <t>L001-107035863</t>
        </is>
      </c>
      <c r="E142" s="349" t="inlineStr">
        <is>
          <t>SITC2025-002264</t>
        </is>
      </c>
      <c r="F142" s="332" t="n">
        <v>45673</v>
      </c>
      <c r="G142" s="224" t="n"/>
      <c r="H142" s="617" t="n"/>
      <c r="I142" s="617" t="n">
        <v>1070650</v>
      </c>
      <c r="J142" s="221" t="inlineStr">
        <is>
          <t>អនុញ្ញាត (បានប្រកាស)</t>
        </is>
      </c>
      <c r="K142" s="221" t="n"/>
      <c r="L142" s="616">
        <f>I142</f>
        <v/>
      </c>
      <c r="M142" s="588">
        <f>I142-L142</f>
        <v/>
      </c>
      <c r="N142" s="221" t="n"/>
      <c r="O142" s="226">
        <f>U142=E142</f>
        <v/>
      </c>
      <c r="P142" s="226">
        <f>MONTH(F142)-MONTH(T142)</f>
        <v/>
      </c>
      <c r="Q142" s="226">
        <f>$B$5=X142</f>
        <v/>
      </c>
      <c r="R142" s="226">
        <f>I142-AD142</f>
        <v/>
      </c>
      <c r="S142" s="360" t="inlineStr">
        <is>
          <t>ប្រកាសខុស</t>
        </is>
      </c>
      <c r="T142" s="361" t="n">
        <v>45673</v>
      </c>
      <c r="U142" s="360" t="inlineStr">
        <is>
          <t>SITC2025-002264</t>
        </is>
      </c>
      <c r="V142" s="360" t="n">
        <v>0</v>
      </c>
      <c r="W142" s="360" t="inlineStr">
        <is>
          <t>បុគ្គលជាប់អាករ</t>
        </is>
      </c>
      <c r="X142" s="360" t="inlineStr">
        <is>
          <t>L001-901640009</t>
        </is>
      </c>
      <c r="Y142" s="360" t="inlineStr">
        <is>
          <t>ហូលីដេ ឌីហ្សាញ (ខេមបូឌា) ឯ.ក</t>
        </is>
      </c>
      <c r="Z142" s="362" t="n">
        <v>11777150</v>
      </c>
      <c r="AA142" s="362" t="n">
        <v>10706500</v>
      </c>
      <c r="AB142" s="360" t="n">
        <v>0</v>
      </c>
      <c r="AC142" s="360" t="inlineStr">
        <is>
          <t>-</t>
        </is>
      </c>
      <c r="AD142" s="362" t="n">
        <v>1070650</v>
      </c>
      <c r="AE142" s="360" t="n">
        <v>0</v>
      </c>
      <c r="AF142" s="615" t="n">
        <v>0</v>
      </c>
      <c r="AG142" s="203" t="n">
        <v>0</v>
      </c>
      <c r="AH142" s="203" t="n">
        <v>0</v>
      </c>
      <c r="AI142" s="203" t="n">
        <v>0</v>
      </c>
      <c r="AJ142" s="203" t="n">
        <v>0</v>
      </c>
      <c r="AK142" s="203" t="n">
        <v>0</v>
      </c>
      <c r="AL142" s="203" t="n">
        <v>0.01</v>
      </c>
      <c r="AM142" s="203" t="n">
        <v>0</v>
      </c>
      <c r="AN142" s="203" t="inlineStr">
        <is>
          <t>KHCIC,EIB,EMF,KHTHC,KHDOC</t>
        </is>
      </c>
    </row>
    <row r="143">
      <c r="A143" s="220">
        <f>A142+1</f>
        <v/>
      </c>
      <c r="B143" s="222" t="inlineStr">
        <is>
          <t>Trucking Fee-Im</t>
        </is>
      </c>
      <c r="C143" s="222" t="inlineStr">
        <is>
          <t>BRILLIANT TRANSPORT AND TRADING Co., Ltd.</t>
        </is>
      </c>
      <c r="D143" s="223" t="inlineStr">
        <is>
          <t>K002-100089305</t>
        </is>
      </c>
      <c r="E143" s="349" t="inlineStr">
        <is>
          <t>BTT25-0000225</t>
        </is>
      </c>
      <c r="F143" s="332" t="n">
        <v>45678</v>
      </c>
      <c r="G143" s="224" t="n"/>
      <c r="H143" s="617" t="n"/>
      <c r="I143" s="617" t="n">
        <v>1192584</v>
      </c>
      <c r="J143" s="221" t="inlineStr">
        <is>
          <t>អនុញ្ញាត (បានប្រកាស)</t>
        </is>
      </c>
      <c r="K143" s="221" t="n"/>
      <c r="L143" s="616">
        <f>I143</f>
        <v/>
      </c>
      <c r="M143" s="588">
        <f>I143-L143</f>
        <v/>
      </c>
      <c r="N143" s="221" t="n"/>
      <c r="O143" s="226">
        <f>U143=E143</f>
        <v/>
      </c>
      <c r="P143" s="226">
        <f>MONTH(F143)-MONTH(T143)</f>
        <v/>
      </c>
      <c r="Q143" s="226">
        <f>$B$5=X143</f>
        <v/>
      </c>
      <c r="R143" s="226">
        <f>I143-AD143</f>
        <v/>
      </c>
      <c r="S143" s="360" t="n"/>
      <c r="T143" s="361" t="n">
        <v>45678</v>
      </c>
      <c r="U143" s="360" t="inlineStr">
        <is>
          <t>BTT25-0000225</t>
        </is>
      </c>
      <c r="V143" s="360" t="n">
        <v>0</v>
      </c>
      <c r="W143" s="360" t="inlineStr">
        <is>
          <t>បុគ្គលជាប់អាករ</t>
        </is>
      </c>
      <c r="X143" s="360" t="inlineStr">
        <is>
          <t>L001-901640009</t>
        </is>
      </c>
      <c r="Y143" s="360" t="inlineStr">
        <is>
          <t>ហូលីដេ ឌីហ្សាញ (ខេមបូឌា) ឯ.ក</t>
        </is>
      </c>
      <c r="Z143" s="362" t="n">
        <v>13118424</v>
      </c>
      <c r="AA143" s="362" t="n">
        <v>11925840</v>
      </c>
      <c r="AB143" s="360" t="n">
        <v>0</v>
      </c>
      <c r="AC143" s="360" t="inlineStr">
        <is>
          <t>-</t>
        </is>
      </c>
      <c r="AD143" s="362" t="n">
        <v>1192584</v>
      </c>
      <c r="AE143" s="360" t="n">
        <v>0</v>
      </c>
      <c r="AF143" s="615" t="n">
        <v>0</v>
      </c>
      <c r="AG143" s="203" t="n">
        <v>0</v>
      </c>
      <c r="AH143" s="203" t="n">
        <v>0</v>
      </c>
      <c r="AI143" s="203" t="n">
        <v>0</v>
      </c>
      <c r="AJ143" s="203" t="n">
        <v>0</v>
      </c>
      <c r="AK143" s="203" t="n">
        <v>0</v>
      </c>
      <c r="AL143" s="203" t="n">
        <v>0.01</v>
      </c>
      <c r="AM143" s="203" t="n">
        <v>0</v>
      </c>
      <c r="AN143" s="203" t="inlineStr">
        <is>
          <t>Truking / Service</t>
        </is>
      </c>
    </row>
    <row r="144">
      <c r="A144" s="220">
        <f>A143+1</f>
        <v/>
      </c>
      <c r="B144" s="222" t="inlineStr">
        <is>
          <t>Tax Filling 04-2025</t>
        </is>
      </c>
      <c r="C144" s="222" t="inlineStr">
        <is>
          <t>L S CONSULTING CO., LTD.</t>
        </is>
      </c>
      <c r="D144" s="223" t="inlineStr">
        <is>
          <t>K010-901700169</t>
        </is>
      </c>
      <c r="E144" s="349" t="inlineStr">
        <is>
          <t>25-00455</t>
        </is>
      </c>
      <c r="F144" s="332" t="n">
        <v>45782</v>
      </c>
      <c r="G144" s="224" t="n"/>
      <c r="H144" s="617" t="n"/>
      <c r="I144" s="617" t="n">
        <v>120120</v>
      </c>
      <c r="J144" s="221" t="inlineStr">
        <is>
          <t>អនុញ្ញាត (បានប្រកាស)</t>
        </is>
      </c>
      <c r="K144" s="221" t="n"/>
      <c r="L144" s="616">
        <f>I144</f>
        <v/>
      </c>
      <c r="M144" s="588">
        <f>I144-L144</f>
        <v/>
      </c>
      <c r="N144" s="221" t="n"/>
      <c r="O144" s="226">
        <f>U144=E144</f>
        <v/>
      </c>
      <c r="P144" s="226">
        <f>MONTH(F144)-MONTH(T144)</f>
        <v/>
      </c>
      <c r="Q144" s="226">
        <f>$B$5=X144</f>
        <v/>
      </c>
      <c r="R144" s="226">
        <f>I144-AD144</f>
        <v/>
      </c>
      <c r="S144" s="360" t="n"/>
      <c r="T144" s="361" t="n">
        <v>45782</v>
      </c>
      <c r="U144" s="360" t="inlineStr">
        <is>
          <t>25-00455</t>
        </is>
      </c>
      <c r="V144" s="360" t="n">
        <v>0</v>
      </c>
      <c r="W144" s="360" t="inlineStr">
        <is>
          <t>បុគ្គលជាប់អាករ</t>
        </is>
      </c>
      <c r="X144" s="360" t="inlineStr">
        <is>
          <t>L001-901640009</t>
        </is>
      </c>
      <c r="Y144" s="360" t="inlineStr">
        <is>
          <t>ហូលីដេ ឌីហ្សាញ (ខេមបូឌា) ឯ.ក</t>
        </is>
      </c>
      <c r="Z144" s="362" t="n">
        <v>1321320</v>
      </c>
      <c r="AA144" s="362" t="n">
        <v>1201200</v>
      </c>
      <c r="AB144" s="360" t="n">
        <v>0</v>
      </c>
      <c r="AC144" s="360" t="inlineStr">
        <is>
          <t>-</t>
        </is>
      </c>
      <c r="AD144" s="362" t="n">
        <v>120120</v>
      </c>
      <c r="AE144" s="360" t="n">
        <v>0</v>
      </c>
      <c r="AF144" s="615" t="n">
        <v>0</v>
      </c>
      <c r="AG144" s="203" t="n">
        <v>0</v>
      </c>
      <c r="AH144" s="203" t="n">
        <v>0</v>
      </c>
      <c r="AI144" s="203" t="n">
        <v>0</v>
      </c>
      <c r="AJ144" s="203" t="n">
        <v>0</v>
      </c>
      <c r="AK144" s="203" t="n">
        <v>0</v>
      </c>
      <c r="AL144" s="203" t="n">
        <v>0.01</v>
      </c>
      <c r="AM144" s="203" t="n">
        <v>0</v>
      </c>
      <c r="AN144" s="203" t="inlineStr">
        <is>
          <t>Tax Filling fee</t>
        </is>
      </c>
      <c r="AO144" s="203" t="inlineStr">
        <is>
          <t>បានប្រកាសនិងបង់ពន្ធ</t>
        </is>
      </c>
    </row>
    <row r="145">
      <c r="A145" s="220">
        <f>A144+1</f>
        <v/>
      </c>
      <c r="B145" s="222" t="inlineStr">
        <is>
          <t>Trucking Fee-Im</t>
        </is>
      </c>
      <c r="C145" s="222" t="inlineStr">
        <is>
          <t>BRILLIANT TRANSPORT AND TRADING Co., Ltd.</t>
        </is>
      </c>
      <c r="D145" s="223" t="inlineStr">
        <is>
          <t>K002-100089305</t>
        </is>
      </c>
      <c r="E145" s="349" t="inlineStr">
        <is>
          <t>BTT25-0000167</t>
        </is>
      </c>
      <c r="F145" s="332" t="n">
        <v>45674</v>
      </c>
      <c r="G145" s="224" t="n"/>
      <c r="H145" s="617" t="n"/>
      <c r="I145" s="617" t="n">
        <v>1091317</v>
      </c>
      <c r="J145" s="221" t="inlineStr">
        <is>
          <t>អនុញ្ញាត (បានប្រកាស)</t>
        </is>
      </c>
      <c r="K145" s="221" t="n"/>
      <c r="L145" s="616">
        <f>I145</f>
        <v/>
      </c>
      <c r="M145" s="588">
        <f>I145-L145</f>
        <v/>
      </c>
      <c r="N145" s="221" t="n"/>
      <c r="O145" s="226">
        <f>U145=E145</f>
        <v/>
      </c>
      <c r="P145" s="226">
        <f>MONTH(F145)-MONTH(T145)</f>
        <v/>
      </c>
      <c r="Q145" s="226">
        <f>$B$5=X145</f>
        <v/>
      </c>
      <c r="R145" s="226">
        <f>I145-AD145</f>
        <v/>
      </c>
      <c r="S145" s="360" t="n"/>
      <c r="T145" s="361" t="n">
        <v>45674</v>
      </c>
      <c r="U145" s="360" t="inlineStr">
        <is>
          <t>BTT25-0000167</t>
        </is>
      </c>
      <c r="V145" s="360" t="n">
        <v>0</v>
      </c>
      <c r="W145" s="360" t="inlineStr">
        <is>
          <t>បុគ្គលជាប់អាករ</t>
        </is>
      </c>
      <c r="X145" s="360" t="inlineStr">
        <is>
          <t>L001-901640009</t>
        </is>
      </c>
      <c r="Y145" s="360" t="inlineStr">
        <is>
          <t>ហូលីដេ ឌីហ្សាញ (ខេមបូឌា) ឯ.ក</t>
        </is>
      </c>
      <c r="Z145" s="362" t="n">
        <v>12004487</v>
      </c>
      <c r="AA145" s="362" t="n">
        <v>10913170</v>
      </c>
      <c r="AB145" s="360" t="n">
        <v>0</v>
      </c>
      <c r="AC145" s="360" t="inlineStr">
        <is>
          <t>-</t>
        </is>
      </c>
      <c r="AD145" s="362" t="n">
        <v>1091317</v>
      </c>
      <c r="AE145" s="360" t="n">
        <v>0</v>
      </c>
      <c r="AF145" s="615" t="n">
        <v>0</v>
      </c>
      <c r="AG145" s="203" t="n">
        <v>0</v>
      </c>
      <c r="AH145" s="203" t="n">
        <v>0</v>
      </c>
      <c r="AI145" s="203" t="n">
        <v>0</v>
      </c>
      <c r="AJ145" s="203" t="n">
        <v>0</v>
      </c>
      <c r="AK145" s="203" t="n">
        <v>0</v>
      </c>
      <c r="AL145" s="203" t="n">
        <v>0.01</v>
      </c>
      <c r="AM145" s="203" t="n">
        <v>0</v>
      </c>
      <c r="AN145" s="203" t="inlineStr">
        <is>
          <t>Truking / Service</t>
        </is>
      </c>
    </row>
    <row r="146">
      <c r="A146" s="220">
        <f>A145+1</f>
        <v/>
      </c>
      <c r="B146" s="222" t="inlineStr">
        <is>
          <t>Lift-On&amp;Lift-Off-Im</t>
        </is>
      </c>
      <c r="C146" s="222" t="inlineStr">
        <is>
          <t>Port Autonome Du Sihanoukville</t>
        </is>
      </c>
      <c r="D146" s="223" t="inlineStr">
        <is>
          <t>L001-100044638</t>
        </is>
      </c>
      <c r="E146" s="349" t="n">
        <v>202500011302</v>
      </c>
      <c r="F146" s="332" t="n">
        <v>45672</v>
      </c>
      <c r="G146" s="224" t="n"/>
      <c r="H146" s="617" t="n"/>
      <c r="I146" s="617" t="n">
        <v>421150</v>
      </c>
      <c r="J146" s="221" t="inlineStr">
        <is>
          <t>អនុញ្ញាត (បានប្រកាស)</t>
        </is>
      </c>
      <c r="K146" s="221" t="n"/>
      <c r="L146" s="616">
        <f>I146</f>
        <v/>
      </c>
      <c r="M146" s="588">
        <f>I146-L146</f>
        <v/>
      </c>
      <c r="N146" s="221" t="n"/>
      <c r="O146" s="226">
        <f>U146=E146</f>
        <v/>
      </c>
      <c r="P146" s="226">
        <f>MONTH(F146)-MONTH(T146)</f>
        <v/>
      </c>
      <c r="Q146" s="226">
        <f>$B$5=X146</f>
        <v/>
      </c>
      <c r="R146" s="226">
        <f>I146-AD146</f>
        <v/>
      </c>
      <c r="S146" s="360" t="n"/>
      <c r="T146" s="361" t="n">
        <v>45672</v>
      </c>
      <c r="U146" s="360" t="n">
        <v>202500011302</v>
      </c>
      <c r="V146" s="360" t="n">
        <v>0</v>
      </c>
      <c r="W146" s="360" t="inlineStr">
        <is>
          <t>បុគ្គលជាប់អាករ</t>
        </is>
      </c>
      <c r="X146" s="360" t="inlineStr">
        <is>
          <t>L001-901640009</t>
        </is>
      </c>
      <c r="Y146" s="360" t="inlineStr">
        <is>
          <t>ហូលីដេ ឌីហ្សាញ (ខេមបូឌា) ឯ.ក</t>
        </is>
      </c>
      <c r="Z146" s="362" t="n">
        <v>4632646</v>
      </c>
      <c r="AA146" s="362" t="n">
        <v>4211496</v>
      </c>
      <c r="AB146" s="360" t="n">
        <v>0</v>
      </c>
      <c r="AC146" s="360" t="inlineStr">
        <is>
          <t>-</t>
        </is>
      </c>
      <c r="AD146" s="362" t="n">
        <v>421150</v>
      </c>
      <c r="AE146" s="360" t="n">
        <v>0</v>
      </c>
      <c r="AF146" s="615" t="n">
        <v>0</v>
      </c>
      <c r="AG146" s="203" t="n">
        <v>0</v>
      </c>
      <c r="AH146" s="203" t="n">
        <v>0</v>
      </c>
      <c r="AI146" s="203" t="n">
        <v>0</v>
      </c>
      <c r="AJ146" s="203" t="n">
        <v>0</v>
      </c>
      <c r="AK146" s="203" t="n">
        <v>0</v>
      </c>
      <c r="AL146" s="203" t="n">
        <v>0.01</v>
      </c>
      <c r="AM146" s="203" t="n">
        <v>0</v>
      </c>
      <c r="AN146" s="203" t="inlineStr">
        <is>
          <t>LOLO</t>
        </is>
      </c>
    </row>
    <row r="147">
      <c r="A147" s="220">
        <f>A146+1</f>
        <v/>
      </c>
      <c r="B147" s="222" t="inlineStr">
        <is>
          <t>Terminal Handling Service-Im</t>
        </is>
      </c>
      <c r="C147" s="222" t="inlineStr">
        <is>
          <t>SITC CONTAINER LINES (CAMBODIA) Co., Ltd.</t>
        </is>
      </c>
      <c r="D147" s="223" t="inlineStr">
        <is>
          <t>L001-107035863</t>
        </is>
      </c>
      <c r="E147" s="349" t="inlineStr">
        <is>
          <t>SITC2025-001566</t>
        </is>
      </c>
      <c r="F147" s="332" t="n">
        <v>45668</v>
      </c>
      <c r="G147" s="224" t="n"/>
      <c r="H147" s="617" t="n"/>
      <c r="I147" s="617" t="n">
        <v>2546460</v>
      </c>
      <c r="J147" s="221" t="inlineStr">
        <is>
          <t>អនុញ្ញាត (បានប្រកាស)</t>
        </is>
      </c>
      <c r="K147" s="221" t="n"/>
      <c r="L147" s="616">
        <f>I147</f>
        <v/>
      </c>
      <c r="M147" s="588">
        <f>I147-L147</f>
        <v/>
      </c>
      <c r="N147" s="221" t="n"/>
      <c r="O147" s="226">
        <f>U147=E147</f>
        <v/>
      </c>
      <c r="P147" s="226">
        <f>MONTH(F147)-MONTH(T147)</f>
        <v/>
      </c>
      <c r="Q147" s="226">
        <f>$B$5=X147</f>
        <v/>
      </c>
      <c r="R147" s="226">
        <f>I147-AD147</f>
        <v/>
      </c>
      <c r="S147" s="360" t="n"/>
      <c r="T147" s="361" t="n">
        <v>45668</v>
      </c>
      <c r="U147" s="360" t="inlineStr">
        <is>
          <t>SITC2025-001566</t>
        </is>
      </c>
      <c r="V147" s="360" t="n">
        <v>0</v>
      </c>
      <c r="W147" s="360" t="inlineStr">
        <is>
          <t>បុគ្គលជាប់អាករ</t>
        </is>
      </c>
      <c r="X147" s="360" t="inlineStr">
        <is>
          <t>L001-901640009</t>
        </is>
      </c>
      <c r="Y147" s="360" t="inlineStr">
        <is>
          <t>ហូលីដេ ឌីហ្សាញ (ខេមបូឌា) ឯ.ក</t>
        </is>
      </c>
      <c r="Z147" s="362" t="n">
        <v>28011060</v>
      </c>
      <c r="AA147" s="362" t="n">
        <v>25464600</v>
      </c>
      <c r="AB147" s="360" t="n">
        <v>0</v>
      </c>
      <c r="AC147" s="360" t="inlineStr">
        <is>
          <t>-</t>
        </is>
      </c>
      <c r="AD147" s="362" t="n">
        <v>2546460</v>
      </c>
      <c r="AE147" s="360" t="n">
        <v>0</v>
      </c>
      <c r="AF147" s="615" t="n">
        <v>0</v>
      </c>
      <c r="AG147" s="203" t="n">
        <v>0</v>
      </c>
      <c r="AH147" s="203" t="n">
        <v>0</v>
      </c>
      <c r="AI147" s="203" t="n">
        <v>0</v>
      </c>
      <c r="AJ147" s="203" t="n">
        <v>0</v>
      </c>
      <c r="AK147" s="203" t="n">
        <v>0</v>
      </c>
      <c r="AL147" s="203" t="n">
        <v>0.01</v>
      </c>
      <c r="AM147" s="203" t="n">
        <v>0</v>
      </c>
      <c r="AN147" s="203" t="inlineStr">
        <is>
          <t>KHTHC,KHDOC,EIB,KHCIC,EMF</t>
        </is>
      </c>
    </row>
    <row r="148">
      <c r="A148" s="220">
        <f>A147+1</f>
        <v/>
      </c>
      <c r="B148" s="222" t="inlineStr">
        <is>
          <t>Trucking Fee-Im</t>
        </is>
      </c>
      <c r="C148" s="222" t="inlineStr">
        <is>
          <t>BRILLIANT TRANSPORT AND TRADING Co., Ltd.</t>
        </is>
      </c>
      <c r="D148" s="223" t="inlineStr">
        <is>
          <t>K002-100089305</t>
        </is>
      </c>
      <c r="E148" s="349" t="inlineStr">
        <is>
          <t>BTT25-0000166</t>
        </is>
      </c>
      <c r="F148" s="332" t="n">
        <v>45672</v>
      </c>
      <c r="G148" s="224" t="n"/>
      <c r="H148" s="617" t="n"/>
      <c r="I148" s="617" t="n">
        <v>2831868</v>
      </c>
      <c r="J148" s="221" t="inlineStr">
        <is>
          <t>អនុញ្ញាត (បានប្រកាស)</t>
        </is>
      </c>
      <c r="K148" s="221" t="n"/>
      <c r="L148" s="616">
        <f>I148</f>
        <v/>
      </c>
      <c r="M148" s="588">
        <f>I148-L148</f>
        <v/>
      </c>
      <c r="N148" s="221" t="n"/>
      <c r="O148" s="226">
        <f>U148=E148</f>
        <v/>
      </c>
      <c r="P148" s="226">
        <f>MONTH(F148)-MONTH(T148)</f>
        <v/>
      </c>
      <c r="Q148" s="226">
        <f>$B$5=X148</f>
        <v/>
      </c>
      <c r="R148" s="226">
        <f>I148-AD148</f>
        <v/>
      </c>
      <c r="S148" s="360" t="n"/>
      <c r="T148" s="361" t="n">
        <v>45672</v>
      </c>
      <c r="U148" s="360" t="inlineStr">
        <is>
          <t>BTT25-0000166</t>
        </is>
      </c>
      <c r="V148" s="360" t="n">
        <v>0</v>
      </c>
      <c r="W148" s="360" t="inlineStr">
        <is>
          <t>បុគ្គលជាប់អាករ</t>
        </is>
      </c>
      <c r="X148" s="360" t="inlineStr">
        <is>
          <t>L001-901640009</t>
        </is>
      </c>
      <c r="Y148" s="360" t="inlineStr">
        <is>
          <t>ហូលីដេ ឌីហ្សាញ (ខេមបូឌា) ឯ.ក</t>
        </is>
      </c>
      <c r="Z148" s="362" t="n">
        <v>31150548</v>
      </c>
      <c r="AA148" s="362" t="n">
        <v>28318680</v>
      </c>
      <c r="AB148" s="360" t="n">
        <v>0</v>
      </c>
      <c r="AC148" s="360" t="inlineStr">
        <is>
          <t>-</t>
        </is>
      </c>
      <c r="AD148" s="362" t="n">
        <v>2831868</v>
      </c>
      <c r="AE148" s="360" t="n">
        <v>0</v>
      </c>
      <c r="AF148" s="615" t="n">
        <v>0</v>
      </c>
      <c r="AG148" s="203" t="n">
        <v>0</v>
      </c>
      <c r="AH148" s="203" t="n">
        <v>0</v>
      </c>
      <c r="AI148" s="203" t="n">
        <v>0</v>
      </c>
      <c r="AJ148" s="203" t="n">
        <v>0</v>
      </c>
      <c r="AK148" s="203" t="n">
        <v>0</v>
      </c>
      <c r="AL148" s="203" t="n">
        <v>0.01</v>
      </c>
      <c r="AM148" s="203" t="n">
        <v>0</v>
      </c>
      <c r="AN148" s="203" t="inlineStr">
        <is>
          <t>Truking / Service</t>
        </is>
      </c>
    </row>
    <row r="149">
      <c r="A149" s="220">
        <f>A148+1</f>
        <v/>
      </c>
      <c r="B149" s="222" t="inlineStr">
        <is>
          <t>Lift-On&amp;Lift-Off-Im</t>
        </is>
      </c>
      <c r="C149" s="222" t="inlineStr">
        <is>
          <t>Port Autonome Du Sihanoukville</t>
        </is>
      </c>
      <c r="D149" s="223" t="inlineStr">
        <is>
          <t>L001-100044638</t>
        </is>
      </c>
      <c r="E149" s="349" t="n">
        <v>202500009636</v>
      </c>
      <c r="F149" s="332" t="n">
        <v>45670</v>
      </c>
      <c r="G149" s="224" t="n"/>
      <c r="H149" s="617" t="n"/>
      <c r="I149" s="617" t="n">
        <v>175827</v>
      </c>
      <c r="J149" s="221" t="inlineStr">
        <is>
          <t>អនុញ្ញាត (បានប្រកាស)</t>
        </is>
      </c>
      <c r="K149" s="221" t="n"/>
      <c r="L149" s="616">
        <f>I149</f>
        <v/>
      </c>
      <c r="M149" s="588">
        <f>I149-L149</f>
        <v/>
      </c>
      <c r="N149" s="221" t="n"/>
      <c r="O149" s="226">
        <f>U149=E149</f>
        <v/>
      </c>
      <c r="P149" s="226">
        <f>MONTH(F149)-MONTH(T149)</f>
        <v/>
      </c>
      <c r="Q149" s="226">
        <f>$B$5=X149</f>
        <v/>
      </c>
      <c r="R149" s="226">
        <f>I149-AD149</f>
        <v/>
      </c>
      <c r="S149" s="360" t="n"/>
      <c r="T149" s="361" t="n">
        <v>45670</v>
      </c>
      <c r="U149" s="360" t="n">
        <v>202500009636</v>
      </c>
      <c r="V149" s="360" t="n">
        <v>0</v>
      </c>
      <c r="W149" s="360" t="inlineStr">
        <is>
          <t>បុគ្គលជាប់អាករ</t>
        </is>
      </c>
      <c r="X149" s="360" t="inlineStr">
        <is>
          <t>L001-901640009</t>
        </is>
      </c>
      <c r="Y149" s="360" t="inlineStr">
        <is>
          <t>ហូលីដេ ឌីហ្សាញ (ខេមបូឌា) ឯ.ក</t>
        </is>
      </c>
      <c r="Z149" s="362" t="n">
        <v>1934097</v>
      </c>
      <c r="AA149" s="362" t="n">
        <v>1758270</v>
      </c>
      <c r="AB149" s="360" t="n">
        <v>0</v>
      </c>
      <c r="AC149" s="360" t="inlineStr">
        <is>
          <t>-</t>
        </is>
      </c>
      <c r="AD149" s="362" t="n">
        <v>175827</v>
      </c>
      <c r="AE149" s="360" t="n">
        <v>0</v>
      </c>
      <c r="AF149" s="615" t="n">
        <v>0</v>
      </c>
      <c r="AG149" s="203" t="n">
        <v>0</v>
      </c>
      <c r="AH149" s="203" t="n">
        <v>0</v>
      </c>
      <c r="AI149" s="203" t="n">
        <v>0</v>
      </c>
      <c r="AJ149" s="203" t="n">
        <v>0</v>
      </c>
      <c r="AK149" s="203" t="n">
        <v>0</v>
      </c>
      <c r="AL149" s="203" t="n">
        <v>0.01</v>
      </c>
      <c r="AM149" s="203" t="n">
        <v>0</v>
      </c>
      <c r="AN149" s="203" t="inlineStr">
        <is>
          <t>LOLO</t>
        </is>
      </c>
    </row>
    <row r="150">
      <c r="A150" s="220">
        <f>A149+1</f>
        <v/>
      </c>
      <c r="B150" s="222" t="inlineStr">
        <is>
          <t>Trucking Fee-Im</t>
        </is>
      </c>
      <c r="C150" s="222" t="inlineStr">
        <is>
          <t>BRILLIANT TRANSPORT AND TRADING Co., Ltd.</t>
        </is>
      </c>
      <c r="D150" s="223" t="inlineStr">
        <is>
          <t>K002-100089305</t>
        </is>
      </c>
      <c r="E150" s="349" t="inlineStr">
        <is>
          <t>BTT25-0000165</t>
        </is>
      </c>
      <c r="F150" s="332" t="n">
        <v>45670</v>
      </c>
      <c r="G150" s="224" t="n"/>
      <c r="H150" s="617" t="n"/>
      <c r="I150" s="617" t="n">
        <v>1216642</v>
      </c>
      <c r="J150" s="221" t="inlineStr">
        <is>
          <t>អនុញ្ញាត (បានប្រកាស)</t>
        </is>
      </c>
      <c r="K150" s="221" t="n"/>
      <c r="L150" s="616">
        <f>I150</f>
        <v/>
      </c>
      <c r="M150" s="588">
        <f>I150-L150</f>
        <v/>
      </c>
      <c r="N150" s="221" t="n"/>
      <c r="O150" s="226">
        <f>U150=E150</f>
        <v/>
      </c>
      <c r="P150" s="226">
        <f>MONTH(F150)-MONTH(T150)</f>
        <v/>
      </c>
      <c r="Q150" s="226">
        <f>$B$5=X150</f>
        <v/>
      </c>
      <c r="R150" s="226">
        <f>I150-AD150</f>
        <v/>
      </c>
      <c r="S150" s="360" t="n"/>
      <c r="T150" s="361" t="n">
        <v>45670</v>
      </c>
      <c r="U150" s="360" t="inlineStr">
        <is>
          <t>BTT25-0000165</t>
        </is>
      </c>
      <c r="V150" s="360" t="n">
        <v>0</v>
      </c>
      <c r="W150" s="360" t="inlineStr">
        <is>
          <t>បុគ្គលជាប់អាករ</t>
        </is>
      </c>
      <c r="X150" s="360" t="inlineStr">
        <is>
          <t>L001-901640009</t>
        </is>
      </c>
      <c r="Y150" s="360" t="inlineStr">
        <is>
          <t>ហូលីដេ ឌីហ្សាញ (ខេមបូឌា) ឯ.ក</t>
        </is>
      </c>
      <c r="Z150" s="362" t="n">
        <v>13383062</v>
      </c>
      <c r="AA150" s="362" t="n">
        <v>12166420</v>
      </c>
      <c r="AB150" s="360" t="n">
        <v>0</v>
      </c>
      <c r="AC150" s="360" t="inlineStr">
        <is>
          <t>-</t>
        </is>
      </c>
      <c r="AD150" s="362" t="n">
        <v>1216642</v>
      </c>
      <c r="AE150" s="360" t="n">
        <v>0</v>
      </c>
      <c r="AF150" s="615" t="n">
        <v>0</v>
      </c>
      <c r="AG150" s="203" t="n">
        <v>0</v>
      </c>
      <c r="AH150" s="203" t="n">
        <v>0</v>
      </c>
      <c r="AI150" s="203" t="n">
        <v>0</v>
      </c>
      <c r="AJ150" s="203" t="n">
        <v>0</v>
      </c>
      <c r="AK150" s="203" t="n">
        <v>0</v>
      </c>
      <c r="AL150" s="203" t="n">
        <v>0.01</v>
      </c>
      <c r="AM150" s="203" t="n">
        <v>0</v>
      </c>
      <c r="AN150" s="203" t="inlineStr">
        <is>
          <t>Truking / Service</t>
        </is>
      </c>
    </row>
    <row r="151">
      <c r="A151" s="220">
        <f>A150+1</f>
        <v/>
      </c>
      <c r="B151" s="222" t="inlineStr">
        <is>
          <t>Screw Air Compressor</t>
        </is>
      </c>
      <c r="C151" s="222" t="inlineStr">
        <is>
          <t>ZHEJIANG KAISHAN MACHINERY (CAMBODIA) CO., LTD.</t>
        </is>
      </c>
      <c r="D151" s="223" t="inlineStr">
        <is>
          <t>K010-901800323</t>
        </is>
      </c>
      <c r="E151" s="349" t="inlineStr">
        <is>
          <t>2025-000067</t>
        </is>
      </c>
      <c r="F151" s="332" t="n">
        <v>45789</v>
      </c>
      <c r="G151" s="224" t="n"/>
      <c r="H151" s="617" t="n"/>
      <c r="I151" s="617" t="n">
        <v>720540</v>
      </c>
      <c r="J151" s="221" t="inlineStr">
        <is>
          <t>អនុញ្ញាត (បានប្រកាស)</t>
        </is>
      </c>
      <c r="K151" s="221" t="n"/>
      <c r="L151" s="616">
        <f>I151</f>
        <v/>
      </c>
      <c r="M151" s="588">
        <f>I151-L151</f>
        <v/>
      </c>
      <c r="N151" s="221" t="n"/>
      <c r="O151" s="226">
        <f>U151=E151</f>
        <v/>
      </c>
      <c r="P151" s="226">
        <f>MONTH(F151)-MONTH(T151)</f>
        <v/>
      </c>
      <c r="Q151" s="226">
        <f>$B$5=X151</f>
        <v/>
      </c>
      <c r="R151" s="226">
        <f>I151-AD151</f>
        <v/>
      </c>
      <c r="S151" s="360" t="n"/>
      <c r="T151" s="361" t="n">
        <v>45792</v>
      </c>
      <c r="U151" s="360" t="inlineStr">
        <is>
          <t>2025-000067</t>
        </is>
      </c>
      <c r="V151" s="360" t="n">
        <v>0</v>
      </c>
      <c r="W151" s="360" t="inlineStr">
        <is>
          <t>បុគ្គលជាប់អាករ</t>
        </is>
      </c>
      <c r="X151" s="360" t="inlineStr">
        <is>
          <t>L001-901640009</t>
        </is>
      </c>
      <c r="Y151" s="360" t="inlineStr">
        <is>
          <t>ហូលីដេ ឌីហ្សាញ (ខេមបូឌា) ឯ.ក</t>
        </is>
      </c>
      <c r="Z151" s="362" t="n">
        <v>7925940</v>
      </c>
      <c r="AA151" s="362" t="n">
        <v>7205400</v>
      </c>
      <c r="AB151" s="360" t="n">
        <v>0</v>
      </c>
      <c r="AC151" s="360" t="inlineStr">
        <is>
          <t>-</t>
        </is>
      </c>
      <c r="AD151" s="362" t="n">
        <v>720540</v>
      </c>
      <c r="AE151" s="360" t="n">
        <v>0</v>
      </c>
      <c r="AF151" s="615" t="n">
        <v>0</v>
      </c>
      <c r="AG151" s="203" t="n">
        <v>0</v>
      </c>
      <c r="AH151" s="203" t="n">
        <v>0</v>
      </c>
      <c r="AI151" s="203" t="n">
        <v>0</v>
      </c>
      <c r="AJ151" s="203" t="n">
        <v>0</v>
      </c>
      <c r="AK151" s="203" t="n">
        <v>0</v>
      </c>
      <c r="AL151" s="203" t="n">
        <v>0.01</v>
      </c>
      <c r="AM151" s="203" t="n">
        <v>0</v>
      </c>
      <c r="AN151" s="203" t="inlineStr">
        <is>
          <t>Screw air compressor -Brand:KAISHAN,Model:BMVF37,Year：2025</t>
        </is>
      </c>
      <c r="AO151" s="203" t="inlineStr">
        <is>
          <t>បានប្រកាសនិងបង់ពន្ធ</t>
        </is>
      </c>
    </row>
    <row r="152">
      <c r="A152" s="220">
        <f>A151+1</f>
        <v/>
      </c>
      <c r="B152" s="222" t="inlineStr">
        <is>
          <t>Transportation Fee</t>
        </is>
      </c>
      <c r="C152" s="222" t="inlineStr">
        <is>
          <t>XI LE DA INTERNATIONAL LOGISTICS CO., LTD.</t>
        </is>
      </c>
      <c r="D152" s="223" t="inlineStr">
        <is>
          <t>K010-901905389</t>
        </is>
      </c>
      <c r="E152" s="349" t="n">
        <v>103</v>
      </c>
      <c r="F152" s="332" t="n">
        <v>45576</v>
      </c>
      <c r="G152" s="224" t="n"/>
      <c r="H152" s="617" t="n"/>
      <c r="I152" s="617" t="n">
        <v>113358</v>
      </c>
      <c r="J152" s="221" t="inlineStr">
        <is>
          <t>អនុញ្ញាត (បានប្រកាស)</t>
        </is>
      </c>
      <c r="K152" s="221" t="n"/>
      <c r="L152" s="616">
        <f>I152</f>
        <v/>
      </c>
      <c r="M152" s="588">
        <f>I152-L152</f>
        <v/>
      </c>
      <c r="N152" s="221" t="n"/>
      <c r="O152" s="226">
        <f>U152=E152</f>
        <v/>
      </c>
      <c r="P152" s="226">
        <f>MONTH(F152)-MONTH(T152)</f>
        <v/>
      </c>
      <c r="Q152" s="226">
        <f>$B$5=X152</f>
        <v/>
      </c>
      <c r="R152" s="226">
        <f>I152-AD152</f>
        <v/>
      </c>
      <c r="S152" s="360" t="n"/>
      <c r="T152" s="361" t="n">
        <v>45576</v>
      </c>
      <c r="U152" s="360" t="n">
        <v>103</v>
      </c>
      <c r="V152" s="360" t="n">
        <v>0</v>
      </c>
      <c r="W152" s="360" t="inlineStr">
        <is>
          <t>បុគ្គលជាប់អាករ</t>
        </is>
      </c>
      <c r="X152" s="360" t="inlineStr">
        <is>
          <t>L001-901640009</t>
        </is>
      </c>
      <c r="Y152" s="360" t="inlineStr">
        <is>
          <t>ហូលីដេ ឌីហ្សាញ (ខេមបូឌា) ឯ.ក</t>
        </is>
      </c>
      <c r="Z152" s="362" t="n">
        <v>1246935</v>
      </c>
      <c r="AA152" s="362" t="n">
        <v>1133577</v>
      </c>
      <c r="AB152" s="360" t="n">
        <v>0</v>
      </c>
      <c r="AC152" s="360" t="inlineStr">
        <is>
          <t>-</t>
        </is>
      </c>
      <c r="AD152" s="362" t="n">
        <v>113358</v>
      </c>
      <c r="AE152" s="360" t="n">
        <v>0</v>
      </c>
      <c r="AF152" s="615" t="n">
        <v>0</v>
      </c>
      <c r="AG152" s="203" t="n">
        <v>0</v>
      </c>
      <c r="AH152" s="203" t="n">
        <v>0</v>
      </c>
      <c r="AI152" s="203" t="n">
        <v>0</v>
      </c>
      <c r="AJ152" s="203" t="n">
        <v>0</v>
      </c>
      <c r="AK152" s="203" t="n">
        <v>0</v>
      </c>
      <c r="AL152" s="203" t="n">
        <v>0.01</v>
      </c>
      <c r="AM152" s="203" t="n">
        <v>0</v>
      </c>
      <c r="AN152" s="203" t="inlineStr">
        <is>
          <t>Transportation Fee</t>
        </is>
      </c>
      <c r="AO152" s="203" t="inlineStr">
        <is>
          <t>បានប្រកាសនិងបង់ពន្ធ</t>
        </is>
      </c>
    </row>
    <row r="153">
      <c r="A153" s="220">
        <f>A152+1</f>
        <v/>
      </c>
      <c r="B153" s="222" t="inlineStr">
        <is>
          <t>Transportation Fee</t>
        </is>
      </c>
      <c r="C153" s="222" t="inlineStr">
        <is>
          <t>XI LE DA INTERNATIONAL LOGISTICS CO., LTD.</t>
        </is>
      </c>
      <c r="D153" s="223" t="inlineStr">
        <is>
          <t>K010-901905389</t>
        </is>
      </c>
      <c r="E153" s="349" t="n">
        <v>139</v>
      </c>
      <c r="F153" s="332" t="n">
        <v>45651</v>
      </c>
      <c r="G153" s="224" t="n"/>
      <c r="H153" s="617" t="n"/>
      <c r="I153" s="617" t="n">
        <v>10048</v>
      </c>
      <c r="J153" s="221" t="inlineStr">
        <is>
          <t>អនុញ្ញាត (បានប្រកាស)</t>
        </is>
      </c>
      <c r="K153" s="221" t="n"/>
      <c r="L153" s="616">
        <f>I153</f>
        <v/>
      </c>
      <c r="M153" s="588">
        <f>I153-L153</f>
        <v/>
      </c>
      <c r="N153" s="221" t="n"/>
      <c r="O153" s="226">
        <f>U153=E153</f>
        <v/>
      </c>
      <c r="P153" s="226">
        <f>MONTH(F153)-MONTH(T153)</f>
        <v/>
      </c>
      <c r="Q153" s="226">
        <f>$B$5=X153</f>
        <v/>
      </c>
      <c r="R153" s="226">
        <f>I153-AD153</f>
        <v/>
      </c>
      <c r="S153" s="360" t="n"/>
      <c r="T153" s="361" t="n">
        <v>45651</v>
      </c>
      <c r="U153" s="360" t="n">
        <v>139</v>
      </c>
      <c r="V153" s="360" t="n">
        <v>0</v>
      </c>
      <c r="W153" s="360" t="inlineStr">
        <is>
          <t>បុគ្គលជាប់អាករ</t>
        </is>
      </c>
      <c r="X153" s="360" t="inlineStr">
        <is>
          <t>L001-901640009</t>
        </is>
      </c>
      <c r="Y153" s="360" t="inlineStr">
        <is>
          <t>ហូលីដេ ឌីហ្សាញ (ខេមបូឌា) ឯ.ក</t>
        </is>
      </c>
      <c r="Z153" s="362" t="n">
        <v>110523</v>
      </c>
      <c r="AA153" s="362" t="n">
        <v>100475</v>
      </c>
      <c r="AB153" s="360" t="n">
        <v>0</v>
      </c>
      <c r="AC153" s="360" t="inlineStr">
        <is>
          <t>-</t>
        </is>
      </c>
      <c r="AD153" s="362" t="n">
        <v>10048</v>
      </c>
      <c r="AE153" s="360" t="n">
        <v>0</v>
      </c>
      <c r="AF153" s="615" t="n">
        <v>0</v>
      </c>
      <c r="AG153" s="203" t="n">
        <v>0</v>
      </c>
      <c r="AH153" s="203" t="n">
        <v>0</v>
      </c>
      <c r="AI153" s="203" t="n">
        <v>0</v>
      </c>
      <c r="AJ153" s="203" t="n">
        <v>0</v>
      </c>
      <c r="AK153" s="203" t="n">
        <v>0</v>
      </c>
      <c r="AL153" s="203" t="n">
        <v>0.01</v>
      </c>
      <c r="AM153" s="203" t="n">
        <v>0</v>
      </c>
      <c r="AN153" s="203" t="inlineStr">
        <is>
          <t>Transportation Fee</t>
        </is>
      </c>
      <c r="AO153" s="203" t="inlineStr">
        <is>
          <t>បានប្រកាសនិងបង់ពន្ធ</t>
        </is>
      </c>
    </row>
    <row r="154">
      <c r="A154" s="220">
        <f>A153+1</f>
        <v/>
      </c>
      <c r="B154" s="222" t="inlineStr">
        <is>
          <t>Transportation Fee</t>
        </is>
      </c>
      <c r="C154" s="222" t="inlineStr">
        <is>
          <t>XI LE DA INTERNATIONAL LOGISTICS CO., LTD.</t>
        </is>
      </c>
      <c r="D154" s="223" t="inlineStr">
        <is>
          <t>K010-901905389</t>
        </is>
      </c>
      <c r="E154" s="349" t="n">
        <v>8</v>
      </c>
      <c r="F154" s="332" t="n">
        <v>45689</v>
      </c>
      <c r="G154" s="224" t="n"/>
      <c r="H154" s="617" t="n"/>
      <c r="I154" s="617" t="n">
        <v>52481</v>
      </c>
      <c r="J154" s="221" t="inlineStr">
        <is>
          <t>ព្យួរទុក (មិនមានទិន្នន័យ)</t>
        </is>
      </c>
      <c r="K154" s="221" t="n"/>
      <c r="L154" s="616" t="n"/>
      <c r="M154" s="588">
        <f>I154-L154</f>
        <v/>
      </c>
      <c r="N154" s="221" t="n"/>
      <c r="O154" s="226">
        <f>U154=E154</f>
        <v/>
      </c>
      <c r="P154" s="226">
        <f>MONTH(F154)-MONTH(T154)</f>
        <v/>
      </c>
      <c r="Q154" s="226">
        <f>$B$5=X154</f>
        <v/>
      </c>
      <c r="R154" s="226">
        <f>I154-AD154</f>
        <v/>
      </c>
      <c r="S154" s="360" t="n"/>
      <c r="T154" s="361" t="n">
        <v>45671</v>
      </c>
      <c r="U154" s="360" t="n">
        <v>8</v>
      </c>
      <c r="V154" s="360" t="n">
        <v>0</v>
      </c>
      <c r="W154" s="360" t="inlineStr">
        <is>
          <t>បុគ្គលជាប់អាករ</t>
        </is>
      </c>
      <c r="X154" s="360" t="inlineStr">
        <is>
          <t>L001-901640009</t>
        </is>
      </c>
      <c r="Y154" s="360" t="inlineStr">
        <is>
          <t>ហូលីដេ ឌីហ្សាញ (ខេមបូឌា) ឯ.ក</t>
        </is>
      </c>
      <c r="Z154" s="362" t="n">
        <v>577291</v>
      </c>
      <c r="AA154" s="362" t="n">
        <v>524810</v>
      </c>
      <c r="AB154" s="360" t="n">
        <v>0</v>
      </c>
      <c r="AC154" s="360" t="inlineStr">
        <is>
          <t>-</t>
        </is>
      </c>
      <c r="AD154" s="362" t="n">
        <v>52481</v>
      </c>
      <c r="AE154" s="360" t="n">
        <v>0</v>
      </c>
      <c r="AF154" s="615" t="n">
        <v>0</v>
      </c>
      <c r="AG154" s="203" t="n">
        <v>0</v>
      </c>
      <c r="AH154" s="203" t="n">
        <v>0</v>
      </c>
      <c r="AI154" s="203" t="n">
        <v>0</v>
      </c>
      <c r="AJ154" s="203" t="n">
        <v>0</v>
      </c>
      <c r="AK154" s="203" t="n">
        <v>0</v>
      </c>
      <c r="AL154" s="203" t="n">
        <v>0.01</v>
      </c>
      <c r="AM154" s="203" t="n">
        <v>0</v>
      </c>
      <c r="AN154" s="203" t="inlineStr">
        <is>
          <t>Transportation Fee</t>
        </is>
      </c>
      <c r="AO154" s="203" t="inlineStr">
        <is>
          <t>បានប្រកាសនិងបង់ពន្</t>
        </is>
      </c>
    </row>
    <row r="155">
      <c r="A155" s="220">
        <f>A154+1</f>
        <v/>
      </c>
      <c r="B155" s="222" t="inlineStr">
        <is>
          <t>Lift-On&amp;Lift-Off-Im</t>
        </is>
      </c>
      <c r="C155" s="222" t="inlineStr">
        <is>
          <t>Port Autonome Du Sihanoukville</t>
        </is>
      </c>
      <c r="D155" s="223" t="inlineStr">
        <is>
          <t>L001-100044638</t>
        </is>
      </c>
      <c r="E155" s="349" t="n">
        <v>202500007883</v>
      </c>
      <c r="F155" s="332" t="n">
        <v>45667</v>
      </c>
      <c r="G155" s="224" t="n"/>
      <c r="H155" s="617" t="n"/>
      <c r="I155" s="617" t="n">
        <v>207355</v>
      </c>
      <c r="J155" s="221" t="inlineStr">
        <is>
          <t>អនុញ្ញាត (បានប្រកាស)</t>
        </is>
      </c>
      <c r="K155" s="221" t="n"/>
      <c r="L155" s="616">
        <f>I155</f>
        <v/>
      </c>
      <c r="M155" s="588">
        <f>I155-L155</f>
        <v/>
      </c>
      <c r="N155" s="221" t="n"/>
      <c r="O155" s="226">
        <f>U155=E155</f>
        <v/>
      </c>
      <c r="P155" s="226">
        <f>MONTH(F155)-MONTH(T155)</f>
        <v/>
      </c>
      <c r="Q155" s="226">
        <f>$B$5=X155</f>
        <v/>
      </c>
      <c r="R155" s="226">
        <f>I155-AD155</f>
        <v/>
      </c>
      <c r="S155" s="360" t="n"/>
      <c r="T155" s="361" t="n">
        <v>45667</v>
      </c>
      <c r="U155" s="360" t="n">
        <v>202500007883</v>
      </c>
      <c r="V155" s="360" t="n">
        <v>0</v>
      </c>
      <c r="W155" s="360" t="inlineStr">
        <is>
          <t>បុគ្គលជាប់អាករ</t>
        </is>
      </c>
      <c r="X155" s="360" t="inlineStr">
        <is>
          <t>L001-901640009</t>
        </is>
      </c>
      <c r="Y155" s="360" t="inlineStr">
        <is>
          <t>ហូលីដេ ឌីហ្សាញ (ខេមបូឌា) ឯ.ក</t>
        </is>
      </c>
      <c r="Z155" s="362" t="n">
        <v>2280901</v>
      </c>
      <c r="AA155" s="362" t="n">
        <v>2073546</v>
      </c>
      <c r="AB155" s="360" t="n">
        <v>0</v>
      </c>
      <c r="AC155" s="360" t="inlineStr">
        <is>
          <t>-</t>
        </is>
      </c>
      <c r="AD155" s="362" t="n">
        <v>207355</v>
      </c>
      <c r="AE155" s="360" t="n">
        <v>0</v>
      </c>
      <c r="AF155" s="615" t="n">
        <v>0</v>
      </c>
      <c r="AG155" s="203" t="n">
        <v>0</v>
      </c>
      <c r="AH155" s="203" t="n">
        <v>0</v>
      </c>
      <c r="AI155" s="203" t="n">
        <v>0</v>
      </c>
      <c r="AJ155" s="203" t="n">
        <v>0</v>
      </c>
      <c r="AK155" s="203" t="n">
        <v>0</v>
      </c>
      <c r="AL155" s="203" t="n">
        <v>0.01</v>
      </c>
      <c r="AM155" s="203" t="n">
        <v>0</v>
      </c>
      <c r="AN155" s="203" t="inlineStr">
        <is>
          <t>LOLO</t>
        </is>
      </c>
    </row>
    <row r="156">
      <c r="A156" s="220">
        <f>A155+1</f>
        <v/>
      </c>
      <c r="B156" s="222" t="inlineStr">
        <is>
          <t>Transportation Fee</t>
        </is>
      </c>
      <c r="C156" s="222" t="inlineStr">
        <is>
          <t>XI LE DA INTERNATIONAL LOGISTICS CO., LTD.</t>
        </is>
      </c>
      <c r="D156" s="223" t="inlineStr">
        <is>
          <t>K010-901905389</t>
        </is>
      </c>
      <c r="E156" s="349" t="n">
        <v>56</v>
      </c>
      <c r="F156" s="332" t="n">
        <v>45756</v>
      </c>
      <c r="G156" s="224" t="n"/>
      <c r="H156" s="617" t="n"/>
      <c r="I156" s="617" t="n">
        <v>10104</v>
      </c>
      <c r="J156" s="221" t="inlineStr">
        <is>
          <t>ព្យួរទុក (មិនមានទិន្នន័យ)</t>
        </is>
      </c>
      <c r="K156" s="221" t="n"/>
      <c r="L156" s="616" t="n"/>
      <c r="M156" s="588">
        <f>I156-L156</f>
        <v/>
      </c>
      <c r="N156" s="221" t="n"/>
      <c r="O156" s="226">
        <f>U156=E156</f>
        <v/>
      </c>
      <c r="P156" s="226">
        <f>MONTH(F156)-MONTH(T156)</f>
        <v/>
      </c>
      <c r="Q156" s="226">
        <f>$B$5=X156</f>
        <v/>
      </c>
      <c r="R156" s="226">
        <f>I156-AD156</f>
        <v/>
      </c>
      <c r="S156" s="360" t="n"/>
      <c r="T156" s="361" t="n">
        <v>45756</v>
      </c>
      <c r="U156" s="360" t="n">
        <v>58</v>
      </c>
      <c r="V156" s="360" t="n">
        <v>0</v>
      </c>
      <c r="W156" s="360" t="inlineStr">
        <is>
          <t>បុគ្គលជាប់អាករ</t>
        </is>
      </c>
      <c r="X156" s="360" t="inlineStr">
        <is>
          <t>L001-901640009</t>
        </is>
      </c>
      <c r="Y156" s="360" t="inlineStr">
        <is>
          <t>ហូលីដេ ឌីហ្សាញ (ខេមបូឌា) ឯ.ក</t>
        </is>
      </c>
      <c r="Z156" s="362" t="n">
        <v>111139</v>
      </c>
      <c r="AA156" s="362" t="n">
        <v>101035</v>
      </c>
      <c r="AB156" s="360" t="n">
        <v>0</v>
      </c>
      <c r="AC156" s="360" t="inlineStr">
        <is>
          <t>-</t>
        </is>
      </c>
      <c r="AD156" s="362" t="n">
        <v>10104</v>
      </c>
      <c r="AE156" s="360" t="n">
        <v>0</v>
      </c>
      <c r="AF156" s="615" t="n">
        <v>0</v>
      </c>
      <c r="AG156" s="203" t="n">
        <v>0</v>
      </c>
      <c r="AH156" s="203" t="n">
        <v>0</v>
      </c>
      <c r="AI156" s="203" t="n">
        <v>0</v>
      </c>
      <c r="AJ156" s="203" t="n">
        <v>0</v>
      </c>
      <c r="AK156" s="203" t="n">
        <v>0</v>
      </c>
      <c r="AL156" s="203" t="n">
        <v>0.01</v>
      </c>
      <c r="AM156" s="203" t="n">
        <v>0</v>
      </c>
      <c r="AN156" s="203" t="inlineStr">
        <is>
          <t>Transportation Fee</t>
        </is>
      </c>
      <c r="AO156" s="203" t="inlineStr">
        <is>
          <t>បានប្រកាសនិងបង់ពន្ធ</t>
        </is>
      </c>
    </row>
    <row r="157">
      <c r="A157" s="220">
        <f>A156+1</f>
        <v/>
      </c>
      <c r="B157" s="222" t="inlineStr">
        <is>
          <t>Terminal Handling Service-Im</t>
        </is>
      </c>
      <c r="C157" s="222" t="inlineStr">
        <is>
          <t>SITC CONTAINER LINES (CAMBODIA) Co., Ltd.</t>
        </is>
      </c>
      <c r="D157" s="223" t="inlineStr">
        <is>
          <t>L001-107035863</t>
        </is>
      </c>
      <c r="E157" s="349" t="inlineStr">
        <is>
          <t>SITC2025-000741</t>
        </is>
      </c>
      <c r="F157" s="332" t="n">
        <v>45661</v>
      </c>
      <c r="G157" s="224" t="n"/>
      <c r="H157" s="617" t="n"/>
      <c r="I157" s="617" t="n">
        <v>1112832</v>
      </c>
      <c r="J157" s="221" t="inlineStr">
        <is>
          <t>អនុញ្ញាត (បានប្រកាស)</t>
        </is>
      </c>
      <c r="K157" s="221" t="n"/>
      <c r="L157" s="616">
        <f>I157</f>
        <v/>
      </c>
      <c r="M157" s="588">
        <f>I157-L157</f>
        <v/>
      </c>
      <c r="N157" s="221" t="n"/>
      <c r="O157" s="226">
        <f>U157=E157</f>
        <v/>
      </c>
      <c r="P157" s="226">
        <f>MONTH(F157)-MONTH(T157)</f>
        <v/>
      </c>
      <c r="Q157" s="226">
        <f>$B$5=X157</f>
        <v/>
      </c>
      <c r="R157" s="226">
        <f>I157-AD157</f>
        <v/>
      </c>
      <c r="S157" s="360" t="n"/>
      <c r="T157" s="361" t="n">
        <v>45661</v>
      </c>
      <c r="U157" s="360" t="inlineStr">
        <is>
          <t>SITC2025-000741</t>
        </is>
      </c>
      <c r="V157" s="360" t="n">
        <v>0</v>
      </c>
      <c r="W157" s="360" t="inlineStr">
        <is>
          <t>បុគ្គលជាប់អាករ</t>
        </is>
      </c>
      <c r="X157" s="360" t="inlineStr">
        <is>
          <t>L001-901640009</t>
        </is>
      </c>
      <c r="Y157" s="360" t="inlineStr">
        <is>
          <t>ហូលីដេ ឌីហ្សាញ (ខេមបូឌា) ឯ.ក</t>
        </is>
      </c>
      <c r="Z157" s="362" t="n">
        <v>12241152</v>
      </c>
      <c r="AA157" s="362" t="n">
        <v>11128320</v>
      </c>
      <c r="AB157" s="360" t="n">
        <v>0</v>
      </c>
      <c r="AC157" s="360" t="inlineStr">
        <is>
          <t>-</t>
        </is>
      </c>
      <c r="AD157" s="362" t="n">
        <v>1112832</v>
      </c>
      <c r="AE157" s="360" t="n">
        <v>0</v>
      </c>
      <c r="AF157" s="615" t="n">
        <v>0</v>
      </c>
      <c r="AG157" s="203" t="n">
        <v>0</v>
      </c>
      <c r="AH157" s="203" t="n">
        <v>0</v>
      </c>
      <c r="AI157" s="203" t="n">
        <v>0</v>
      </c>
      <c r="AJ157" s="203" t="n">
        <v>0</v>
      </c>
      <c r="AK157" s="203" t="n">
        <v>0</v>
      </c>
      <c r="AL157" s="203" t="n">
        <v>0.01</v>
      </c>
      <c r="AM157" s="203" t="n">
        <v>0</v>
      </c>
      <c r="AN157" s="203" t="inlineStr">
        <is>
          <t>KHDOC,KHTHC,EIB,KHCIC,EMF</t>
        </is>
      </c>
    </row>
    <row r="158">
      <c r="A158" s="220">
        <f>A157+1</f>
        <v/>
      </c>
      <c r="B158" s="222" t="inlineStr">
        <is>
          <t>Trucking Fee-Im</t>
        </is>
      </c>
      <c r="C158" s="222" t="inlineStr">
        <is>
          <t>BRILLIANT TRANSPORT AND TRADING Co., Ltd.</t>
        </is>
      </c>
      <c r="D158" s="223" t="inlineStr">
        <is>
          <t>K002-100089305</t>
        </is>
      </c>
      <c r="E158" s="349" t="inlineStr">
        <is>
          <t>BTT25-0000104</t>
        </is>
      </c>
      <c r="F158" s="332" t="n">
        <v>45667</v>
      </c>
      <c r="G158" s="224" t="n"/>
      <c r="H158" s="617" t="n"/>
      <c r="I158" s="617" t="n">
        <v>2243310</v>
      </c>
      <c r="J158" s="221" t="inlineStr">
        <is>
          <t>អនុញ្ញាត (បានប្រកាស)</t>
        </is>
      </c>
      <c r="K158" s="221" t="n"/>
      <c r="L158" s="616">
        <f>I158</f>
        <v/>
      </c>
      <c r="M158" s="588">
        <f>I158-L158</f>
        <v/>
      </c>
      <c r="N158" s="221" t="n"/>
      <c r="O158" s="226">
        <f>U158=E158</f>
        <v/>
      </c>
      <c r="P158" s="226">
        <f>MONTH(F158)-MONTH(T158)</f>
        <v/>
      </c>
      <c r="Q158" s="226">
        <f>$B$5=X158</f>
        <v/>
      </c>
      <c r="R158" s="226">
        <f>I158-AD158</f>
        <v/>
      </c>
      <c r="S158" s="360" t="n"/>
      <c r="T158" s="361" t="n">
        <v>45667</v>
      </c>
      <c r="U158" s="360" t="inlineStr">
        <is>
          <t>BTT25-0000104</t>
        </is>
      </c>
      <c r="V158" s="360" t="n">
        <v>0</v>
      </c>
      <c r="W158" s="360" t="inlineStr">
        <is>
          <t>បុគ្គលជាប់អាករ</t>
        </is>
      </c>
      <c r="X158" s="360" t="inlineStr">
        <is>
          <t>L001-901640009</t>
        </is>
      </c>
      <c r="Y158" s="360" t="inlineStr">
        <is>
          <t>ហូលីដេ ឌីហ្សាញ (ខេមបូឌា) ឯ.ក</t>
        </is>
      </c>
      <c r="Z158" s="362" t="n">
        <v>24676410</v>
      </c>
      <c r="AA158" s="362" t="n">
        <v>22433100</v>
      </c>
      <c r="AB158" s="360" t="n">
        <v>0</v>
      </c>
      <c r="AC158" s="360" t="inlineStr">
        <is>
          <t>-</t>
        </is>
      </c>
      <c r="AD158" s="362" t="n">
        <v>2243310</v>
      </c>
      <c r="AE158" s="360" t="n">
        <v>0</v>
      </c>
      <c r="AF158" s="615" t="n">
        <v>0</v>
      </c>
      <c r="AG158" s="203" t="n">
        <v>0</v>
      </c>
      <c r="AH158" s="203" t="n">
        <v>0</v>
      </c>
      <c r="AI158" s="203" t="n">
        <v>0</v>
      </c>
      <c r="AJ158" s="203" t="n">
        <v>0</v>
      </c>
      <c r="AK158" s="203" t="n">
        <v>0</v>
      </c>
      <c r="AL158" s="203" t="n">
        <v>0.01</v>
      </c>
      <c r="AM158" s="203" t="n">
        <v>0</v>
      </c>
      <c r="AN158" s="203" t="inlineStr">
        <is>
          <t>Truking / Service</t>
        </is>
      </c>
    </row>
    <row r="159">
      <c r="A159" s="220">
        <f>A158+1</f>
        <v/>
      </c>
      <c r="B159" s="222" t="inlineStr">
        <is>
          <t>Lift-On&amp;Lift-Off-Im</t>
        </is>
      </c>
      <c r="C159" s="222" t="inlineStr">
        <is>
          <t>Port Autonome Du Sihanoukville</t>
        </is>
      </c>
      <c r="D159" s="223" t="inlineStr">
        <is>
          <t>L001-100044638</t>
        </is>
      </c>
      <c r="E159" s="349" t="n">
        <v>202500007788</v>
      </c>
      <c r="F159" s="332" t="n">
        <v>45667</v>
      </c>
      <c r="G159" s="224" t="n"/>
      <c r="H159" s="617" t="n"/>
      <c r="I159" s="617" t="n">
        <v>184315</v>
      </c>
      <c r="J159" s="221" t="inlineStr">
        <is>
          <t>អនុញ្ញាត (បានប្រកាស)</t>
        </is>
      </c>
      <c r="K159" s="221" t="n"/>
      <c r="L159" s="616">
        <f>I159</f>
        <v/>
      </c>
      <c r="M159" s="588">
        <f>I159-L159</f>
        <v/>
      </c>
      <c r="N159" s="221" t="n"/>
      <c r="O159" s="226">
        <f>U159=E159</f>
        <v/>
      </c>
      <c r="P159" s="226">
        <f>MONTH(F159)-MONTH(T159)</f>
        <v/>
      </c>
      <c r="Q159" s="226">
        <f>$B$5=X159</f>
        <v/>
      </c>
      <c r="R159" s="226">
        <f>I159-AD159</f>
        <v/>
      </c>
      <c r="S159" s="360" t="n"/>
      <c r="T159" s="361" t="n">
        <v>45667</v>
      </c>
      <c r="U159" s="360" t="n">
        <v>202500007788</v>
      </c>
      <c r="V159" s="360" t="n">
        <v>0</v>
      </c>
      <c r="W159" s="360" t="inlineStr">
        <is>
          <t>បុគ្គលជាប់អាករ</t>
        </is>
      </c>
      <c r="X159" s="360" t="inlineStr">
        <is>
          <t>L001-901640009</t>
        </is>
      </c>
      <c r="Y159" s="360" t="inlineStr">
        <is>
          <t>ហូលីដេ ឌីហ្សាញ (ខេមបូឌា) ឯ.ក</t>
        </is>
      </c>
      <c r="Z159" s="362" t="n">
        <v>2027467</v>
      </c>
      <c r="AA159" s="362" t="n">
        <v>1843152</v>
      </c>
      <c r="AB159" s="360" t="n">
        <v>0</v>
      </c>
      <c r="AC159" s="360" t="inlineStr">
        <is>
          <t>-</t>
        </is>
      </c>
      <c r="AD159" s="362" t="n">
        <v>184315</v>
      </c>
      <c r="AE159" s="360" t="n">
        <v>0</v>
      </c>
      <c r="AF159" s="615" t="n">
        <v>0</v>
      </c>
      <c r="AG159" s="203" t="n">
        <v>0</v>
      </c>
      <c r="AH159" s="203" t="n">
        <v>0</v>
      </c>
      <c r="AI159" s="203" t="n">
        <v>0</v>
      </c>
      <c r="AJ159" s="203" t="n">
        <v>0</v>
      </c>
      <c r="AK159" s="203" t="n">
        <v>0</v>
      </c>
      <c r="AL159" s="203" t="n">
        <v>0.01</v>
      </c>
      <c r="AM159" s="203" t="n">
        <v>0</v>
      </c>
      <c r="AN159" s="203" t="inlineStr">
        <is>
          <t>LOLO</t>
        </is>
      </c>
    </row>
    <row r="160">
      <c r="A160" s="220">
        <f>A159+1</f>
        <v/>
      </c>
      <c r="B160" s="222" t="inlineStr">
        <is>
          <t>Terminal Handling Service-Im</t>
        </is>
      </c>
      <c r="C160" s="222" t="inlineStr">
        <is>
          <t>SITC CONTAINER LINES (CAMBODIA) Co., Ltd.</t>
        </is>
      </c>
      <c r="D160" s="223" t="inlineStr">
        <is>
          <t>L001-107035863</t>
        </is>
      </c>
      <c r="E160" s="349" t="inlineStr">
        <is>
          <t>SITC2025-000644</t>
        </is>
      </c>
      <c r="F160" s="332" t="n">
        <v>45661</v>
      </c>
      <c r="G160" s="224" t="n"/>
      <c r="H160" s="617" t="n"/>
      <c r="I160" s="617" t="n">
        <v>991872</v>
      </c>
      <c r="J160" s="221" t="inlineStr">
        <is>
          <t>អនុញ្ញាត (បានប្រកាស)</t>
        </is>
      </c>
      <c r="K160" s="221" t="n"/>
      <c r="L160" s="616">
        <f>I160</f>
        <v/>
      </c>
      <c r="M160" s="588">
        <f>I160-L160</f>
        <v/>
      </c>
      <c r="N160" s="221" t="n"/>
      <c r="O160" s="226">
        <f>U160=E160</f>
        <v/>
      </c>
      <c r="P160" s="226">
        <f>MONTH(F160)-MONTH(T160)</f>
        <v/>
      </c>
      <c r="Q160" s="226">
        <f>$B$5=X160</f>
        <v/>
      </c>
      <c r="R160" s="226">
        <f>I160-AD160</f>
        <v/>
      </c>
      <c r="S160" s="360" t="n"/>
      <c r="T160" s="361" t="n">
        <v>45661</v>
      </c>
      <c r="U160" s="360" t="inlineStr">
        <is>
          <t>SITC2025-000644</t>
        </is>
      </c>
      <c r="V160" s="360" t="n">
        <v>0</v>
      </c>
      <c r="W160" s="360" t="inlineStr">
        <is>
          <t>បុគ្គលជាប់អាករ</t>
        </is>
      </c>
      <c r="X160" s="360" t="inlineStr">
        <is>
          <t>L001-901640009</t>
        </is>
      </c>
      <c r="Y160" s="360" t="inlineStr">
        <is>
          <t>ហូលីដេ ឌីហ្សាញ (ខេមបូឌា) ឯ.ក</t>
        </is>
      </c>
      <c r="Z160" s="362" t="n">
        <v>10910592</v>
      </c>
      <c r="AA160" s="362" t="n">
        <v>9918720</v>
      </c>
      <c r="AB160" s="360" t="n">
        <v>0</v>
      </c>
      <c r="AC160" s="360" t="inlineStr">
        <is>
          <t>-</t>
        </is>
      </c>
      <c r="AD160" s="362" t="n">
        <v>991872</v>
      </c>
      <c r="AE160" s="360" t="n">
        <v>0</v>
      </c>
      <c r="AF160" s="615" t="n">
        <v>0</v>
      </c>
      <c r="AG160" s="203" t="n">
        <v>0</v>
      </c>
      <c r="AH160" s="203" t="n">
        <v>0</v>
      </c>
      <c r="AI160" s="203" t="n">
        <v>0</v>
      </c>
      <c r="AJ160" s="203" t="n">
        <v>0</v>
      </c>
      <c r="AK160" s="203" t="n">
        <v>0</v>
      </c>
      <c r="AL160" s="203" t="n">
        <v>0.01</v>
      </c>
      <c r="AM160" s="203" t="n">
        <v>0</v>
      </c>
      <c r="AN160" s="203" t="inlineStr">
        <is>
          <t>KHCIC,KHTHC,EMF,EIB,KHDOC</t>
        </is>
      </c>
    </row>
    <row r="161">
      <c r="A161" s="220">
        <f>A160+1</f>
        <v/>
      </c>
      <c r="B161" s="222" t="inlineStr">
        <is>
          <t>Trucking Fee-Im</t>
        </is>
      </c>
      <c r="C161" s="222" t="inlineStr">
        <is>
          <t>BRILLIANT TRANSPORT AND TRADING Co., Ltd.</t>
        </is>
      </c>
      <c r="D161" s="223" t="inlineStr">
        <is>
          <t>K002-100089305</t>
        </is>
      </c>
      <c r="E161" s="349" t="inlineStr">
        <is>
          <t>BTT25-0000103</t>
        </is>
      </c>
      <c r="F161" s="332" t="n">
        <v>45667</v>
      </c>
      <c r="G161" s="224" t="n"/>
      <c r="H161" s="617" t="n"/>
      <c r="I161" s="617" t="n">
        <v>1996748</v>
      </c>
      <c r="J161" s="221" t="inlineStr">
        <is>
          <t>អនុញ្ញាត (បានប្រកាស)</t>
        </is>
      </c>
      <c r="K161" s="221" t="n"/>
      <c r="L161" s="616">
        <f>I161</f>
        <v/>
      </c>
      <c r="M161" s="588">
        <f>I161-L161</f>
        <v/>
      </c>
      <c r="N161" s="221" t="n"/>
      <c r="O161" s="226">
        <f>U161=E161</f>
        <v/>
      </c>
      <c r="P161" s="226">
        <f>MONTH(F161)-MONTH(T161)</f>
        <v/>
      </c>
      <c r="Q161" s="226">
        <f>$B$5=X161</f>
        <v/>
      </c>
      <c r="R161" s="226">
        <f>I161-AD161</f>
        <v/>
      </c>
      <c r="S161" s="360" t="n"/>
      <c r="T161" s="361" t="n">
        <v>45667</v>
      </c>
      <c r="U161" s="360" t="inlineStr">
        <is>
          <t>BTT25-0000103</t>
        </is>
      </c>
      <c r="V161" s="360" t="n">
        <v>0</v>
      </c>
      <c r="W161" s="360" t="inlineStr">
        <is>
          <t>បុគ្គលជាប់អាករ</t>
        </is>
      </c>
      <c r="X161" s="360" t="inlineStr">
        <is>
          <t>L001-901640009</t>
        </is>
      </c>
      <c r="Y161" s="360" t="inlineStr">
        <is>
          <t>ហូលីដេ ឌីហ្សាញ (ខេមបូឌា) ឯ.ក</t>
        </is>
      </c>
      <c r="Z161" s="362" t="n">
        <v>21964228</v>
      </c>
      <c r="AA161" s="362" t="n">
        <v>19967480</v>
      </c>
      <c r="AB161" s="360" t="n">
        <v>0</v>
      </c>
      <c r="AC161" s="360" t="inlineStr">
        <is>
          <t>-</t>
        </is>
      </c>
      <c r="AD161" s="362" t="n">
        <v>1996748</v>
      </c>
      <c r="AE161" s="360" t="n">
        <v>0</v>
      </c>
      <c r="AF161" s="615" t="n">
        <v>0</v>
      </c>
      <c r="AG161" s="203" t="n">
        <v>0</v>
      </c>
      <c r="AH161" s="203" t="n">
        <v>0</v>
      </c>
      <c r="AI161" s="203" t="n">
        <v>0</v>
      </c>
      <c r="AJ161" s="203" t="n">
        <v>0</v>
      </c>
      <c r="AK161" s="203" t="n">
        <v>0</v>
      </c>
      <c r="AL161" s="203" t="n">
        <v>0.01</v>
      </c>
      <c r="AM161" s="203" t="n">
        <v>0</v>
      </c>
      <c r="AN161" s="203" t="inlineStr">
        <is>
          <t>Truking / Service</t>
        </is>
      </c>
    </row>
    <row r="162">
      <c r="A162" s="220">
        <f>A161+1</f>
        <v/>
      </c>
      <c r="B162" s="222" t="inlineStr">
        <is>
          <t>Lift-On&amp;Lift-Off-Im</t>
        </is>
      </c>
      <c r="C162" s="222" t="inlineStr">
        <is>
          <t>Port Autonome Du Sihanoukville</t>
        </is>
      </c>
      <c r="D162" s="223" t="inlineStr">
        <is>
          <t>L001-100044638</t>
        </is>
      </c>
      <c r="E162" s="349" t="n">
        <v>202500008230</v>
      </c>
      <c r="F162" s="332" t="n">
        <v>45668</v>
      </c>
      <c r="G162" s="224" t="n"/>
      <c r="H162" s="617" t="n"/>
      <c r="I162" s="617" t="n">
        <v>351654</v>
      </c>
      <c r="J162" s="221" t="inlineStr">
        <is>
          <t>អនុញ្ញាត (បានប្រកាស)</t>
        </is>
      </c>
      <c r="K162" s="221" t="n"/>
      <c r="L162" s="616">
        <f>I162</f>
        <v/>
      </c>
      <c r="M162" s="588">
        <f>I162-L162</f>
        <v/>
      </c>
      <c r="N162" s="221" t="n"/>
      <c r="O162" s="226">
        <f>U162=E162</f>
        <v/>
      </c>
      <c r="P162" s="226">
        <f>MONTH(F162)-MONTH(T162)</f>
        <v/>
      </c>
      <c r="Q162" s="226">
        <f>$B$5=X162</f>
        <v/>
      </c>
      <c r="R162" s="226">
        <f>I162-AD162</f>
        <v/>
      </c>
      <c r="S162" s="360" t="n"/>
      <c r="T162" s="361" t="n">
        <v>45668</v>
      </c>
      <c r="U162" s="360" t="n">
        <v>202500008230</v>
      </c>
      <c r="V162" s="360" t="n">
        <v>0</v>
      </c>
      <c r="W162" s="360" t="inlineStr">
        <is>
          <t>បុគ្គលជាប់អាករ</t>
        </is>
      </c>
      <c r="X162" s="360" t="inlineStr">
        <is>
          <t>L001-901640009</t>
        </is>
      </c>
      <c r="Y162" s="360" t="inlineStr">
        <is>
          <t>ហូលីដេ ឌីហ្សាញ (ខេមបូឌា) ឯ.ក</t>
        </is>
      </c>
      <c r="Z162" s="362" t="n">
        <v>3868194</v>
      </c>
      <c r="AA162" s="362" t="n">
        <v>3516540</v>
      </c>
      <c r="AB162" s="360" t="n">
        <v>0</v>
      </c>
      <c r="AC162" s="360" t="inlineStr">
        <is>
          <t>-</t>
        </is>
      </c>
      <c r="AD162" s="362" t="n">
        <v>351654</v>
      </c>
      <c r="AE162" s="360" t="n">
        <v>0</v>
      </c>
      <c r="AF162" s="615" t="n">
        <v>0</v>
      </c>
      <c r="AG162" s="203" t="n">
        <v>0</v>
      </c>
      <c r="AH162" s="203" t="n">
        <v>0</v>
      </c>
      <c r="AI162" s="203" t="n">
        <v>0</v>
      </c>
      <c r="AJ162" s="203" t="n">
        <v>0</v>
      </c>
      <c r="AK162" s="203" t="n">
        <v>0</v>
      </c>
      <c r="AL162" s="203" t="n">
        <v>0.01</v>
      </c>
      <c r="AM162" s="203" t="n">
        <v>0</v>
      </c>
      <c r="AN162" s="203" t="inlineStr">
        <is>
          <t>LOLO</t>
        </is>
      </c>
    </row>
    <row r="163">
      <c r="A163" s="220">
        <f>A162+1</f>
        <v/>
      </c>
      <c r="B163" s="222" t="inlineStr">
        <is>
          <t>Trucking Fee-Im</t>
        </is>
      </c>
      <c r="C163" s="222" t="inlineStr">
        <is>
          <t>BRILLIANT TRANSPORT AND TRADING Co., Ltd.</t>
        </is>
      </c>
      <c r="D163" s="223" t="inlineStr">
        <is>
          <t>K002-100089305</t>
        </is>
      </c>
      <c r="E163" s="349" t="inlineStr">
        <is>
          <t>BTT25-0000102</t>
        </is>
      </c>
      <c r="F163" s="332" t="n">
        <v>45667</v>
      </c>
      <c r="G163" s="224" t="n"/>
      <c r="H163" s="617" t="n"/>
      <c r="I163" s="617" t="n">
        <v>2182680</v>
      </c>
      <c r="J163" s="221" t="inlineStr">
        <is>
          <t>អនុញ្ញាត (បានប្រកាស)</t>
        </is>
      </c>
      <c r="K163" s="221" t="n"/>
      <c r="L163" s="616">
        <f>I163</f>
        <v/>
      </c>
      <c r="M163" s="588">
        <f>I163-L163</f>
        <v/>
      </c>
      <c r="N163" s="221" t="n"/>
      <c r="O163" s="226">
        <f>U163=E163</f>
        <v/>
      </c>
      <c r="P163" s="226">
        <f>MONTH(F163)-MONTH(T163)</f>
        <v/>
      </c>
      <c r="Q163" s="226">
        <f>$B$5=X163</f>
        <v/>
      </c>
      <c r="R163" s="226">
        <f>I163-AD163</f>
        <v/>
      </c>
      <c r="S163" s="360" t="n"/>
      <c r="T163" s="361" t="n">
        <v>45667</v>
      </c>
      <c r="U163" s="360" t="inlineStr">
        <is>
          <t>BTT25-0000102</t>
        </is>
      </c>
      <c r="V163" s="360" t="n">
        <v>0</v>
      </c>
      <c r="W163" s="360" t="inlineStr">
        <is>
          <t>បុគ្គលជាប់អាករ</t>
        </is>
      </c>
      <c r="X163" s="360" t="inlineStr">
        <is>
          <t>L001-901640009</t>
        </is>
      </c>
      <c r="Y163" s="360" t="inlineStr">
        <is>
          <t>ហូលីដេ ឌីហ្សាញ (ខេមបូឌា) ឯ.ក</t>
        </is>
      </c>
      <c r="Z163" s="362" t="n">
        <v>24009480</v>
      </c>
      <c r="AA163" s="362" t="n">
        <v>21826800</v>
      </c>
      <c r="AB163" s="360" t="n">
        <v>0</v>
      </c>
      <c r="AC163" s="360" t="inlineStr">
        <is>
          <t>-</t>
        </is>
      </c>
      <c r="AD163" s="362" t="n">
        <v>2182680</v>
      </c>
      <c r="AE163" s="360" t="n">
        <v>0</v>
      </c>
      <c r="AF163" s="615" t="n">
        <v>0</v>
      </c>
      <c r="AG163" s="203" t="n">
        <v>0</v>
      </c>
      <c r="AH163" s="203" t="n">
        <v>0</v>
      </c>
      <c r="AI163" s="203" t="n">
        <v>0</v>
      </c>
      <c r="AJ163" s="203" t="n">
        <v>0</v>
      </c>
      <c r="AK163" s="203" t="n">
        <v>0</v>
      </c>
      <c r="AL163" s="203" t="n">
        <v>0.01</v>
      </c>
      <c r="AM163" s="203" t="n">
        <v>0</v>
      </c>
      <c r="AN163" s="203" t="inlineStr">
        <is>
          <t>Truking / Service</t>
        </is>
      </c>
    </row>
    <row r="164">
      <c r="A164" s="220">
        <f>A163+1</f>
        <v/>
      </c>
      <c r="B164" s="222" t="inlineStr">
        <is>
          <t>Trucking Fee-Im</t>
        </is>
      </c>
      <c r="C164" s="222" t="inlineStr">
        <is>
          <t>BRILLIANT TRANSPORT AND TRADING Co., Ltd.</t>
        </is>
      </c>
      <c r="D164" s="223" t="inlineStr">
        <is>
          <t>K002-100089305</t>
        </is>
      </c>
      <c r="E164" s="349" t="inlineStr">
        <is>
          <t>BTT25-0000045</t>
        </is>
      </c>
      <c r="F164" s="332" t="n">
        <v>45659</v>
      </c>
      <c r="G164" s="224" t="n"/>
      <c r="H164" s="617" t="n"/>
      <c r="I164" s="617" t="n">
        <v>1679259</v>
      </c>
      <c r="J164" s="221" t="inlineStr">
        <is>
          <t>អនុញ្ញាត (បានប្រកាស)</t>
        </is>
      </c>
      <c r="K164" s="221" t="n"/>
      <c r="L164" s="616">
        <f>I164</f>
        <v/>
      </c>
      <c r="M164" s="588">
        <f>I164-L164</f>
        <v/>
      </c>
      <c r="N164" s="221" t="n"/>
      <c r="O164" s="226">
        <f>U164=E164</f>
        <v/>
      </c>
      <c r="P164" s="226">
        <f>MONTH(F164)-MONTH(T164)</f>
        <v/>
      </c>
      <c r="Q164" s="226">
        <f>$B$5=X164</f>
        <v/>
      </c>
      <c r="R164" s="226">
        <f>I164-AD164</f>
        <v/>
      </c>
      <c r="S164" s="360" t="n"/>
      <c r="T164" s="361" t="n">
        <v>45659</v>
      </c>
      <c r="U164" s="360" t="inlineStr">
        <is>
          <t>BTT25-0000045</t>
        </is>
      </c>
      <c r="V164" s="360" t="n">
        <v>0</v>
      </c>
      <c r="W164" s="360" t="inlineStr">
        <is>
          <t>បុគ្គលជាប់អាករ</t>
        </is>
      </c>
      <c r="X164" s="360" t="inlineStr">
        <is>
          <t>L001-901640009</t>
        </is>
      </c>
      <c r="Y164" s="360" t="inlineStr">
        <is>
          <t>ហូលីដេ ឌីហ្សាញ (ខេមបូឌា) ឯ.ក</t>
        </is>
      </c>
      <c r="Z164" s="362" t="n">
        <v>18471849</v>
      </c>
      <c r="AA164" s="362" t="n">
        <v>16792590</v>
      </c>
      <c r="AB164" s="360" t="n">
        <v>0</v>
      </c>
      <c r="AC164" s="360" t="inlineStr">
        <is>
          <t>-</t>
        </is>
      </c>
      <c r="AD164" s="362" t="n">
        <v>1679259</v>
      </c>
      <c r="AE164" s="360" t="n">
        <v>0</v>
      </c>
      <c r="AF164" s="615" t="n">
        <v>0</v>
      </c>
      <c r="AG164" s="203" t="n">
        <v>0</v>
      </c>
      <c r="AH164" s="203" t="n">
        <v>0</v>
      </c>
      <c r="AI164" s="203" t="n">
        <v>0</v>
      </c>
      <c r="AJ164" s="203" t="n">
        <v>0</v>
      </c>
      <c r="AK164" s="203" t="n">
        <v>0</v>
      </c>
      <c r="AL164" s="203" t="n">
        <v>0.01</v>
      </c>
      <c r="AM164" s="203" t="n">
        <v>0</v>
      </c>
      <c r="AN164" s="203" t="inlineStr">
        <is>
          <t>Truking / Service</t>
        </is>
      </c>
    </row>
    <row r="165">
      <c r="A165" s="220">
        <f>A164+1</f>
        <v/>
      </c>
      <c r="B165" s="222" t="inlineStr">
        <is>
          <t>Lift-On&amp;Lift-Off-Im</t>
        </is>
      </c>
      <c r="C165" s="222" t="inlineStr">
        <is>
          <t>Port Autonome Du Sihanoukville</t>
        </is>
      </c>
      <c r="D165" s="223" t="inlineStr">
        <is>
          <t>L001-100044638</t>
        </is>
      </c>
      <c r="E165" s="349" t="n">
        <v>202500002577</v>
      </c>
      <c r="F165" s="332" t="n">
        <v>45660</v>
      </c>
      <c r="G165" s="224" t="n"/>
      <c r="H165" s="617" t="n"/>
      <c r="I165" s="617" t="n">
        <v>252806</v>
      </c>
      <c r="J165" s="221" t="inlineStr">
        <is>
          <t>អនុញ្ញាត (បានប្រកាស)</t>
        </is>
      </c>
      <c r="K165" s="221" t="n"/>
      <c r="L165" s="616">
        <f>I165</f>
        <v/>
      </c>
      <c r="M165" s="588">
        <f>I165-L165</f>
        <v/>
      </c>
      <c r="N165" s="221" t="n"/>
      <c r="O165" s="226">
        <f>U165=E165</f>
        <v/>
      </c>
      <c r="P165" s="226">
        <f>MONTH(F165)-MONTH(T165)</f>
        <v/>
      </c>
      <c r="Q165" s="226">
        <f>$B$5=X165</f>
        <v/>
      </c>
      <c r="R165" s="226">
        <f>I165-AD165</f>
        <v/>
      </c>
      <c r="S165" s="360" t="n"/>
      <c r="T165" s="361" t="n">
        <v>45660</v>
      </c>
      <c r="U165" s="360" t="n">
        <v>202500002577</v>
      </c>
      <c r="V165" s="360" t="n">
        <v>0</v>
      </c>
      <c r="W165" s="360" t="inlineStr">
        <is>
          <t>បុគ្គលជាប់អាករ</t>
        </is>
      </c>
      <c r="X165" s="360" t="inlineStr">
        <is>
          <t>L001-901640009</t>
        </is>
      </c>
      <c r="Y165" s="360" t="inlineStr">
        <is>
          <t>ហូលីដេ ឌីហ្សាញ (ខេមបូឌា) ឯ.ក</t>
        </is>
      </c>
      <c r="Z165" s="362" t="n">
        <v>2780870</v>
      </c>
      <c r="AA165" s="362" t="n">
        <v>2528064</v>
      </c>
      <c r="AB165" s="360" t="n">
        <v>0</v>
      </c>
      <c r="AC165" s="360" t="inlineStr">
        <is>
          <t>-</t>
        </is>
      </c>
      <c r="AD165" s="362" t="n">
        <v>252806</v>
      </c>
      <c r="AE165" s="360" t="n">
        <v>0</v>
      </c>
      <c r="AF165" s="615" t="n">
        <v>0</v>
      </c>
      <c r="AG165" s="203" t="n">
        <v>0</v>
      </c>
      <c r="AH165" s="203" t="n">
        <v>0</v>
      </c>
      <c r="AI165" s="203" t="n">
        <v>0</v>
      </c>
      <c r="AJ165" s="203" t="n">
        <v>0</v>
      </c>
      <c r="AK165" s="203" t="n">
        <v>0</v>
      </c>
      <c r="AL165" s="203" t="n">
        <v>0.01</v>
      </c>
      <c r="AM165" s="203" t="n">
        <v>0</v>
      </c>
      <c r="AN165" s="203" t="inlineStr">
        <is>
          <t>LOLO</t>
        </is>
      </c>
    </row>
    <row r="166">
      <c r="A166" s="220">
        <f>A165+1</f>
        <v/>
      </c>
      <c r="B166" s="222" t="inlineStr">
        <is>
          <t>Terminal Handling Service-Im</t>
        </is>
      </c>
      <c r="C166" s="222" t="inlineStr">
        <is>
          <t>SITC CONTAINER LINES (CAMBODIA) Co., Ltd.</t>
        </is>
      </c>
      <c r="D166" s="223" t="inlineStr">
        <is>
          <t>L001-107035863</t>
        </is>
      </c>
      <c r="E166" s="349" t="inlineStr">
        <is>
          <t>SITC2025-000059</t>
        </is>
      </c>
      <c r="F166" s="332" t="n">
        <v>45659</v>
      </c>
      <c r="G166" s="224" t="n"/>
      <c r="H166" s="617" t="n"/>
      <c r="I166" s="617" t="n">
        <v>1353072</v>
      </c>
      <c r="J166" s="221" t="inlineStr">
        <is>
          <t>អនុញ្ញាត (បានប្រកាស)</t>
        </is>
      </c>
      <c r="K166" s="221" t="n"/>
      <c r="L166" s="616">
        <f>I166</f>
        <v/>
      </c>
      <c r="M166" s="588">
        <f>I166-L166</f>
        <v/>
      </c>
      <c r="N166" s="221" t="n"/>
      <c r="O166" s="226">
        <f>U166=E166</f>
        <v/>
      </c>
      <c r="P166" s="226">
        <f>MONTH(F166)-MONTH(T166)</f>
        <v/>
      </c>
      <c r="Q166" s="226">
        <f>$B$5=X166</f>
        <v/>
      </c>
      <c r="R166" s="226">
        <f>I166-AD166</f>
        <v/>
      </c>
      <c r="S166" s="360" t="n"/>
      <c r="T166" s="361" t="n">
        <v>45659</v>
      </c>
      <c r="U166" s="360" t="inlineStr">
        <is>
          <t>SITC2025-000059</t>
        </is>
      </c>
      <c r="V166" s="360" t="n">
        <v>0</v>
      </c>
      <c r="W166" s="360" t="inlineStr">
        <is>
          <t>បុគ្គលជាប់អាករ</t>
        </is>
      </c>
      <c r="X166" s="360" t="inlineStr">
        <is>
          <t>L001-901640009</t>
        </is>
      </c>
      <c r="Y166" s="360" t="inlineStr">
        <is>
          <t>ហូលីដេ ឌីហ្សាញ (ខេមបូឌា) ឯ.ក</t>
        </is>
      </c>
      <c r="Z166" s="362" t="n">
        <v>14883792</v>
      </c>
      <c r="AA166" s="362" t="n">
        <v>13530720</v>
      </c>
      <c r="AB166" s="360" t="n">
        <v>0</v>
      </c>
      <c r="AC166" s="360" t="inlineStr">
        <is>
          <t>-</t>
        </is>
      </c>
      <c r="AD166" s="362" t="n">
        <v>1353072</v>
      </c>
      <c r="AE166" s="360" t="n">
        <v>0</v>
      </c>
      <c r="AF166" s="615" t="n">
        <v>0</v>
      </c>
      <c r="AG166" s="203" t="n">
        <v>0</v>
      </c>
      <c r="AH166" s="203" t="n">
        <v>0</v>
      </c>
      <c r="AI166" s="203" t="n">
        <v>0</v>
      </c>
      <c r="AJ166" s="203" t="n">
        <v>0</v>
      </c>
      <c r="AK166" s="203" t="n">
        <v>0</v>
      </c>
      <c r="AL166" s="203" t="n">
        <v>0.01</v>
      </c>
      <c r="AM166" s="203" t="n">
        <v>0</v>
      </c>
      <c r="AN166" s="203" t="inlineStr">
        <is>
          <t>EMF,KHCIC,KHDOC,KHTHC,EIB</t>
        </is>
      </c>
    </row>
    <row r="167">
      <c r="A167" s="220">
        <f>A166+1</f>
        <v/>
      </c>
      <c r="B167" s="222" t="inlineStr">
        <is>
          <t>Trucking Fee-Im</t>
        </is>
      </c>
      <c r="C167" s="222" t="inlineStr">
        <is>
          <t>BRILLIANT TRANSPORT AND TRADING Co., Ltd.</t>
        </is>
      </c>
      <c r="D167" s="223" t="inlineStr">
        <is>
          <t>K002-100089305</t>
        </is>
      </c>
      <c r="E167" s="349" t="inlineStr">
        <is>
          <t>BTT25-0000051</t>
        </is>
      </c>
      <c r="F167" s="332" t="n">
        <v>45660</v>
      </c>
      <c r="G167" s="224" t="n"/>
      <c r="H167" s="617" t="n"/>
      <c r="I167" s="617" t="n">
        <v>2729664</v>
      </c>
      <c r="J167" s="221" t="inlineStr">
        <is>
          <t>អនុញ្ញាត (បានប្រកាស)</t>
        </is>
      </c>
      <c r="K167" s="221" t="n"/>
      <c r="L167" s="616">
        <f>I167</f>
        <v/>
      </c>
      <c r="M167" s="588">
        <f>I167-L167</f>
        <v/>
      </c>
      <c r="N167" s="221" t="n"/>
      <c r="O167" s="226">
        <f>U167=E167</f>
        <v/>
      </c>
      <c r="P167" s="226">
        <f>MONTH(F167)-MONTH(T167)</f>
        <v/>
      </c>
      <c r="Q167" s="226">
        <f>$B$5=X167</f>
        <v/>
      </c>
      <c r="R167" s="226">
        <f>I167-AD167</f>
        <v/>
      </c>
      <c r="S167" s="360" t="n"/>
      <c r="T167" s="361" t="n">
        <v>45660</v>
      </c>
      <c r="U167" s="360" t="inlineStr">
        <is>
          <t>BTT25-0000051</t>
        </is>
      </c>
      <c r="V167" s="360" t="n">
        <v>0</v>
      </c>
      <c r="W167" s="360" t="inlineStr">
        <is>
          <t>បុគ្គលជាប់អាករ</t>
        </is>
      </c>
      <c r="X167" s="360" t="inlineStr">
        <is>
          <t>L001-901640009</t>
        </is>
      </c>
      <c r="Y167" s="360" t="inlineStr">
        <is>
          <t>ហូលីដេ ឌីហ្សាញ (ខេមបូឌា) ឯ.ក</t>
        </is>
      </c>
      <c r="Z167" s="362" t="n">
        <v>30026304</v>
      </c>
      <c r="AA167" s="362" t="n">
        <v>27296640</v>
      </c>
      <c r="AB167" s="360" t="n">
        <v>0</v>
      </c>
      <c r="AC167" s="360" t="inlineStr">
        <is>
          <t>-</t>
        </is>
      </c>
      <c r="AD167" s="362" t="n">
        <v>2729664</v>
      </c>
      <c r="AE167" s="360" t="n">
        <v>0</v>
      </c>
      <c r="AF167" s="615" t="n">
        <v>0</v>
      </c>
      <c r="AG167" s="203" t="n">
        <v>0</v>
      </c>
      <c r="AH167" s="203" t="n">
        <v>0</v>
      </c>
      <c r="AI167" s="203" t="n">
        <v>0</v>
      </c>
      <c r="AJ167" s="203" t="n">
        <v>0</v>
      </c>
      <c r="AK167" s="203" t="n">
        <v>0</v>
      </c>
      <c r="AL167" s="203" t="n">
        <v>0.01</v>
      </c>
      <c r="AM167" s="203" t="n">
        <v>0</v>
      </c>
      <c r="AN167" s="203" t="inlineStr">
        <is>
          <t>Truking / Service</t>
        </is>
      </c>
    </row>
    <row r="168">
      <c r="A168" s="220">
        <f>A167+1</f>
        <v/>
      </c>
      <c r="B168" s="222" t="inlineStr">
        <is>
          <t>Lift-On&amp;Lift-Off-Im</t>
        </is>
      </c>
      <c r="C168" s="222" t="inlineStr">
        <is>
          <t>Port Autonome Du Sihanoukville</t>
        </is>
      </c>
      <c r="D168" s="223" t="inlineStr">
        <is>
          <t>L001-100044638</t>
        </is>
      </c>
      <c r="E168" s="349" t="n">
        <v>202500001279</v>
      </c>
      <c r="F168" s="332" t="n">
        <v>45659</v>
      </c>
      <c r="G168" s="224" t="n"/>
      <c r="H168" s="617" t="n"/>
      <c r="I168" s="617" t="n">
        <v>245244</v>
      </c>
      <c r="J168" s="221" t="inlineStr">
        <is>
          <t>អនុញ្ញាត (បានប្រកាស)</t>
        </is>
      </c>
      <c r="K168" s="221" t="n"/>
      <c r="L168" s="616">
        <f>I168</f>
        <v/>
      </c>
      <c r="M168" s="588">
        <f>I168-L168</f>
        <v/>
      </c>
      <c r="N168" s="221" t="n"/>
      <c r="O168" s="226">
        <f>U168=E168</f>
        <v/>
      </c>
      <c r="P168" s="226">
        <f>MONTH(F168)-MONTH(T168)</f>
        <v/>
      </c>
      <c r="Q168" s="226">
        <f>$B$5=X168</f>
        <v/>
      </c>
      <c r="R168" s="226">
        <f>I168-AD168</f>
        <v/>
      </c>
      <c r="S168" s="360" t="n"/>
      <c r="T168" s="361" t="n">
        <v>45659</v>
      </c>
      <c r="U168" s="360" t="n">
        <v>202500001279</v>
      </c>
      <c r="V168" s="360" t="n">
        <v>0</v>
      </c>
      <c r="W168" s="360" t="inlineStr">
        <is>
          <t>បុគ្គលជាប់អាករ</t>
        </is>
      </c>
      <c r="X168" s="360" t="inlineStr">
        <is>
          <t>L001-901640009</t>
        </is>
      </c>
      <c r="Y168" s="360" t="inlineStr">
        <is>
          <t>ហូលីដេ ឌីហ្សាញ (ខេមបូឌា) ឯ.ក</t>
        </is>
      </c>
      <c r="Z168" s="362" t="n">
        <v>2697687</v>
      </c>
      <c r="AA168" s="362" t="n">
        <v>2452443</v>
      </c>
      <c r="AB168" s="360" t="n">
        <v>0</v>
      </c>
      <c r="AC168" s="360" t="inlineStr">
        <is>
          <t>-</t>
        </is>
      </c>
      <c r="AD168" s="362" t="n">
        <v>245244</v>
      </c>
      <c r="AE168" s="360" t="n">
        <v>0</v>
      </c>
      <c r="AF168" s="615" t="n">
        <v>0</v>
      </c>
      <c r="AG168" s="203" t="n">
        <v>0</v>
      </c>
      <c r="AH168" s="203" t="n">
        <v>0</v>
      </c>
      <c r="AI168" s="203" t="n">
        <v>0</v>
      </c>
      <c r="AJ168" s="203" t="n">
        <v>0</v>
      </c>
      <c r="AK168" s="203" t="n">
        <v>0</v>
      </c>
      <c r="AL168" s="203" t="n">
        <v>0.01</v>
      </c>
      <c r="AM168" s="203" t="n">
        <v>0</v>
      </c>
      <c r="AN168" s="203" t="inlineStr">
        <is>
          <t>LOLO</t>
        </is>
      </c>
    </row>
    <row r="169">
      <c r="A169" s="220">
        <f>A168+1</f>
        <v/>
      </c>
      <c r="B169" s="222" t="inlineStr">
        <is>
          <t>Terminal Handling Service-Im</t>
        </is>
      </c>
      <c r="C169" s="222" t="inlineStr">
        <is>
          <t>SITC CONTAINER LINES (CAMBODIA) Co., Ltd.</t>
        </is>
      </c>
      <c r="D169" s="223" t="inlineStr">
        <is>
          <t>L001-107035863</t>
        </is>
      </c>
      <c r="E169" s="349" t="inlineStr">
        <is>
          <t>SITC2024-041372</t>
        </is>
      </c>
      <c r="F169" s="332" t="n">
        <v>45658</v>
      </c>
      <c r="G169" s="224" t="n"/>
      <c r="H169" s="617" t="n"/>
      <c r="I169" s="617" t="n">
        <v>1489250</v>
      </c>
      <c r="J169" s="221" t="inlineStr">
        <is>
          <t>ព្យួរទុក (មិនមានទិន្នន័យ)</t>
        </is>
      </c>
      <c r="K169" s="221" t="n"/>
      <c r="L169" s="616" t="n"/>
      <c r="M169" s="588">
        <f>I169-L169</f>
        <v/>
      </c>
      <c r="N169" s="221" t="n"/>
      <c r="O169" s="226">
        <f>U169=E169</f>
        <v/>
      </c>
      <c r="P169" s="226">
        <f>MONTH(F169)-MONTH(T169)</f>
        <v/>
      </c>
      <c r="Q169" s="226">
        <f>$B$5=X169</f>
        <v/>
      </c>
      <c r="R169" s="226">
        <f>I169-AD169</f>
        <v/>
      </c>
      <c r="S169" s="360" t="n"/>
      <c r="T169" s="361" t="n">
        <v>45666</v>
      </c>
      <c r="U169" s="360" t="inlineStr">
        <is>
          <t>SITC2025-001372</t>
        </is>
      </c>
      <c r="V169" s="360" t="n"/>
      <c r="W169" s="360" t="inlineStr">
        <is>
          <t>បុគ្គលជាប់អាករ</t>
        </is>
      </c>
      <c r="X169" s="360" t="inlineStr">
        <is>
          <t>L001-901900091</t>
        </is>
      </c>
      <c r="Y169" s="360" t="inlineStr">
        <is>
          <t>អ៊ីធើនិធី គ្លូប៊ល ស្ព័តធីង ហ្គូដស៍ ឯ.ក</t>
        </is>
      </c>
      <c r="Z169" s="362" t="n">
        <v>1599444</v>
      </c>
      <c r="AA169" s="362" t="n">
        <v>1454040</v>
      </c>
      <c r="AB169" s="360" t="n">
        <v>0</v>
      </c>
      <c r="AC169" s="360" t="inlineStr">
        <is>
          <t>-</t>
        </is>
      </c>
      <c r="AD169" s="362" t="n">
        <v>145404</v>
      </c>
      <c r="AE169" s="360" t="n">
        <v>0</v>
      </c>
      <c r="AF169" s="615" t="n">
        <v>0</v>
      </c>
      <c r="AG169" s="203" t="n">
        <v>0</v>
      </c>
      <c r="AH169" s="203" t="n">
        <v>0</v>
      </c>
      <c r="AI169" s="203" t="n">
        <v>0</v>
      </c>
      <c r="AJ169" s="203" t="n">
        <v>0</v>
      </c>
      <c r="AK169" s="203" t="n">
        <v>0</v>
      </c>
      <c r="AL169" s="203" t="n">
        <v>0.01</v>
      </c>
      <c r="AN169" s="203" t="inlineStr">
        <is>
          <t>KHCIC,KHTHC,KHDOC,EM</t>
        </is>
      </c>
    </row>
    <row r="170">
      <c r="A170" s="220">
        <f>A169+1</f>
        <v/>
      </c>
      <c r="B170" s="222" t="inlineStr">
        <is>
          <t>Transportation Fee</t>
        </is>
      </c>
      <c r="C170" s="222" t="inlineStr">
        <is>
          <t>XI LE DA INTERNATIONAL LOGISTICS CO., LTD.</t>
        </is>
      </c>
      <c r="D170" s="223" t="inlineStr">
        <is>
          <t>K010-901905389</t>
        </is>
      </c>
      <c r="E170" s="349" t="n">
        <v>79</v>
      </c>
      <c r="F170" s="332" t="n">
        <v>45776</v>
      </c>
      <c r="G170" s="224" t="n"/>
      <c r="H170" s="617" t="n"/>
      <c r="I170" s="617" t="n">
        <v>2566</v>
      </c>
      <c r="J170" s="221" t="inlineStr">
        <is>
          <t>អនុញ្ញាត (បានប្រកាស)</t>
        </is>
      </c>
      <c r="K170" s="221" t="n"/>
      <c r="L170" s="616">
        <f>I170</f>
        <v/>
      </c>
      <c r="M170" s="588">
        <f>I170-L170</f>
        <v/>
      </c>
      <c r="N170" s="221" t="n"/>
      <c r="O170" s="226">
        <f>U170=E170</f>
        <v/>
      </c>
      <c r="P170" s="226">
        <f>MONTH(F170)-MONTH(T170)</f>
        <v/>
      </c>
      <c r="Q170" s="226">
        <f>$B$5=X170</f>
        <v/>
      </c>
      <c r="R170" s="226">
        <f>I170-AD170</f>
        <v/>
      </c>
      <c r="S170" s="360" t="n"/>
      <c r="T170" s="361" t="n">
        <v>45776</v>
      </c>
      <c r="U170" s="360" t="n">
        <v>79</v>
      </c>
      <c r="V170" s="360" t="n">
        <v>0</v>
      </c>
      <c r="W170" s="360" t="inlineStr">
        <is>
          <t>បុគ្គលជាប់អាករ</t>
        </is>
      </c>
      <c r="X170" s="360" t="inlineStr">
        <is>
          <t>L001-901640009</t>
        </is>
      </c>
      <c r="Y170" s="360" t="inlineStr">
        <is>
          <t>ហូលីដេ ឌីហ្សាញ (ខេមបូឌា) ឯ.ក</t>
        </is>
      </c>
      <c r="Z170" s="362" t="n">
        <v>28221</v>
      </c>
      <c r="AA170" s="362" t="n">
        <v>25655</v>
      </c>
      <c r="AB170" s="360" t="n">
        <v>0</v>
      </c>
      <c r="AC170" s="360" t="inlineStr">
        <is>
          <t>-</t>
        </is>
      </c>
      <c r="AD170" s="362" t="n">
        <v>2566</v>
      </c>
      <c r="AE170" s="360" t="n">
        <v>0</v>
      </c>
      <c r="AF170" s="615" t="n">
        <v>0</v>
      </c>
      <c r="AG170" s="203" t="n">
        <v>0</v>
      </c>
      <c r="AH170" s="203" t="n">
        <v>0</v>
      </c>
      <c r="AI170" s="203" t="n">
        <v>0</v>
      </c>
      <c r="AJ170" s="203" t="n">
        <v>0</v>
      </c>
      <c r="AK170" s="203" t="n">
        <v>0</v>
      </c>
      <c r="AL170" s="203" t="n">
        <v>0.01</v>
      </c>
      <c r="AM170" s="203" t="n">
        <v>0</v>
      </c>
      <c r="AN170" s="203" t="inlineStr">
        <is>
          <t>Transportation Fee</t>
        </is>
      </c>
      <c r="AO170" s="203" t="inlineStr">
        <is>
          <t>បានប្រកាសនិងបង់ពន្ធ</t>
        </is>
      </c>
    </row>
    <row r="171">
      <c r="A171" s="220">
        <f>A170+1</f>
        <v/>
      </c>
      <c r="B171" s="222" t="inlineStr">
        <is>
          <t>CREDIT</t>
        </is>
      </c>
      <c r="C171" s="222" t="inlineStr">
        <is>
          <t>EXPEDITORS CAMBODIA LTD.</t>
        </is>
      </c>
      <c r="D171" s="223" t="inlineStr">
        <is>
          <t>L001-100045898</t>
        </is>
      </c>
      <c r="E171" s="349" t="inlineStr">
        <is>
          <t>TI-0306317-50</t>
        </is>
      </c>
      <c r="F171" s="332" t="n">
        <v>45688</v>
      </c>
      <c r="G171" s="224" t="n"/>
      <c r="H171" s="617" t="n"/>
      <c r="I171" s="617" t="n">
        <v>-30522</v>
      </c>
      <c r="J171" s="221" t="inlineStr">
        <is>
          <t>អនុញ្ញាត (បានប្រកាស)</t>
        </is>
      </c>
      <c r="K171" s="221" t="n"/>
      <c r="L171" s="616">
        <f>I171</f>
        <v/>
      </c>
      <c r="M171" s="588">
        <f>I171-L171</f>
        <v/>
      </c>
      <c r="N171" s="221" t="n"/>
      <c r="O171" s="226">
        <f>U171=E171</f>
        <v/>
      </c>
      <c r="P171" s="226">
        <f>MONTH(F171)-MONTH(T171)</f>
        <v/>
      </c>
      <c r="Q171" s="226">
        <f>$B$5=X171</f>
        <v/>
      </c>
      <c r="R171" s="226">
        <f>I171-AD171</f>
        <v/>
      </c>
      <c r="S171" s="360" t="n"/>
      <c r="T171" s="361" t="n"/>
      <c r="U171" s="360" t="n"/>
      <c r="V171" s="360" t="n"/>
      <c r="W171" s="360" t="n"/>
      <c r="X171" s="360" t="n"/>
      <c r="Y171" s="360" t="n"/>
      <c r="Z171" s="362" t="n"/>
      <c r="AA171" s="362" t="n"/>
      <c r="AB171" s="360" t="n"/>
      <c r="AC171" s="360" t="n"/>
      <c r="AD171" s="362" t="n"/>
      <c r="AE171" s="360" t="n"/>
      <c r="AF171" s="615" t="n"/>
    </row>
    <row r="172">
      <c r="A172" s="220">
        <f>A171+1</f>
        <v/>
      </c>
      <c r="B172" s="222" t="inlineStr">
        <is>
          <t>CREDIT</t>
        </is>
      </c>
      <c r="C172" s="222" t="inlineStr">
        <is>
          <t>EXPEDITORS CAMBODIA LTD.</t>
        </is>
      </c>
      <c r="D172" s="223" t="inlineStr">
        <is>
          <t>L001-100045898</t>
        </is>
      </c>
      <c r="E172" s="349" t="inlineStr">
        <is>
          <t>TI-0306317-49</t>
        </is>
      </c>
      <c r="F172" s="332" t="n">
        <v>45688</v>
      </c>
      <c r="G172" s="224" t="n"/>
      <c r="H172" s="617" t="n"/>
      <c r="I172" s="617" t="n">
        <v>-24486</v>
      </c>
      <c r="J172" s="221" t="inlineStr">
        <is>
          <t>អនុញ្ញាត (បានប្រកាស)</t>
        </is>
      </c>
      <c r="K172" s="221" t="n"/>
      <c r="L172" s="616">
        <f>I172</f>
        <v/>
      </c>
      <c r="M172" s="588">
        <f>I172-L172</f>
        <v/>
      </c>
      <c r="N172" s="221" t="n"/>
      <c r="O172" s="226">
        <f>U172=E172</f>
        <v/>
      </c>
      <c r="P172" s="226">
        <f>MONTH(F172)-MONTH(T172)</f>
        <v/>
      </c>
      <c r="Q172" s="226">
        <f>$B$5=X172</f>
        <v/>
      </c>
      <c r="R172" s="226">
        <f>I172-AD172</f>
        <v/>
      </c>
      <c r="S172" s="360" t="n"/>
      <c r="T172" s="361" t="n"/>
      <c r="U172" s="360" t="n"/>
      <c r="V172" s="360" t="n"/>
      <c r="W172" s="360" t="n"/>
      <c r="X172" s="360" t="n"/>
      <c r="Y172" s="360" t="n"/>
      <c r="Z172" s="362" t="n"/>
      <c r="AA172" s="362" t="n"/>
      <c r="AB172" s="360" t="n"/>
      <c r="AC172" s="360" t="n"/>
      <c r="AD172" s="362" t="n"/>
      <c r="AE172" s="360" t="n"/>
      <c r="AF172" s="615" t="n"/>
    </row>
    <row r="173">
      <c r="A173" s="220">
        <f>A172+1</f>
        <v/>
      </c>
      <c r="B173" s="222" t="inlineStr">
        <is>
          <t>CREDIT</t>
        </is>
      </c>
      <c r="C173" s="222" t="inlineStr">
        <is>
          <t>EXPEDITORS CAMBODIA LTD.</t>
        </is>
      </c>
      <c r="D173" s="223" t="inlineStr">
        <is>
          <t>L001-100045898</t>
        </is>
      </c>
      <c r="E173" s="349" t="inlineStr">
        <is>
          <t>TI-0306317-48</t>
        </is>
      </c>
      <c r="F173" s="332" t="n">
        <v>45688</v>
      </c>
      <c r="G173" s="224" t="n"/>
      <c r="H173" s="617" t="n"/>
      <c r="I173" s="617" t="n">
        <v>-225895</v>
      </c>
      <c r="J173" s="221" t="inlineStr">
        <is>
          <t>អនុញ្ញាត (បានប្រកាស)</t>
        </is>
      </c>
      <c r="K173" s="221" t="n"/>
      <c r="L173" s="616">
        <f>I173</f>
        <v/>
      </c>
      <c r="M173" s="588">
        <f>I173-L173</f>
        <v/>
      </c>
      <c r="N173" s="221" t="n"/>
      <c r="O173" s="226">
        <f>U173=E173</f>
        <v/>
      </c>
      <c r="P173" s="226">
        <f>MONTH(F173)-MONTH(T173)</f>
        <v/>
      </c>
      <c r="Q173" s="226">
        <f>$B$5=X173</f>
        <v/>
      </c>
      <c r="R173" s="226">
        <f>I173-AD173</f>
        <v/>
      </c>
      <c r="S173" s="360" t="n"/>
      <c r="T173" s="361" t="n"/>
      <c r="U173" s="360" t="n"/>
      <c r="V173" s="360" t="n"/>
      <c r="W173" s="360" t="n"/>
      <c r="X173" s="360" t="n"/>
      <c r="Y173" s="360" t="n"/>
      <c r="Z173" s="362" t="n"/>
      <c r="AA173" s="362" t="n"/>
      <c r="AB173" s="360" t="n"/>
      <c r="AC173" s="360" t="n"/>
      <c r="AD173" s="362" t="n"/>
      <c r="AE173" s="360" t="n"/>
      <c r="AF173" s="615" t="n"/>
    </row>
    <row r="174">
      <c r="A174" s="220">
        <f>A173+1</f>
        <v/>
      </c>
      <c r="B174" s="222" t="inlineStr">
        <is>
          <t>CREDIT</t>
        </is>
      </c>
      <c r="C174" s="222" t="inlineStr">
        <is>
          <t>EXPEDITORS CAMBODIA LTD.</t>
        </is>
      </c>
      <c r="D174" s="223" t="inlineStr">
        <is>
          <t>L001-100045898</t>
        </is>
      </c>
      <c r="E174" s="349" t="inlineStr">
        <is>
          <t>TI-0306317-47</t>
        </is>
      </c>
      <c r="F174" s="332" t="n">
        <v>45688</v>
      </c>
      <c r="G174" s="224" t="n"/>
      <c r="H174" s="617" t="n"/>
      <c r="I174" s="617" t="n">
        <v>-54944</v>
      </c>
      <c r="J174" s="221" t="inlineStr">
        <is>
          <t>អនុញ្ញាត (បានប្រកាស)</t>
        </is>
      </c>
      <c r="K174" s="221" t="n"/>
      <c r="L174" s="616">
        <f>I174</f>
        <v/>
      </c>
      <c r="M174" s="588">
        <f>I174-L174</f>
        <v/>
      </c>
      <c r="N174" s="221" t="n"/>
      <c r="O174" s="226">
        <f>U174=E174</f>
        <v/>
      </c>
      <c r="P174" s="226">
        <f>MONTH(F174)-MONTH(T174)</f>
        <v/>
      </c>
      <c r="Q174" s="226">
        <f>$B$5=X174</f>
        <v/>
      </c>
      <c r="R174" s="226">
        <f>I174-AD174</f>
        <v/>
      </c>
      <c r="S174" s="360" t="n"/>
      <c r="T174" s="361" t="n"/>
      <c r="U174" s="360" t="n"/>
      <c r="V174" s="360" t="n"/>
      <c r="W174" s="360" t="n"/>
      <c r="X174" s="360" t="n"/>
      <c r="Y174" s="360" t="n"/>
      <c r="Z174" s="362" t="n"/>
      <c r="AA174" s="362" t="n"/>
      <c r="AB174" s="360" t="n"/>
      <c r="AC174" s="360" t="n"/>
      <c r="AD174" s="362" t="n"/>
      <c r="AE174" s="360" t="n"/>
      <c r="AF174" s="615" t="n"/>
    </row>
    <row r="175">
      <c r="A175" s="220">
        <f>A174+1</f>
        <v/>
      </c>
      <c r="B175" s="222" t="inlineStr">
        <is>
          <t>CREDIT</t>
        </is>
      </c>
      <c r="C175" s="222" t="inlineStr">
        <is>
          <t>EXPEDITORS CAMBODIA LTD.</t>
        </is>
      </c>
      <c r="D175" s="223" t="inlineStr">
        <is>
          <t>L001-100045898</t>
        </is>
      </c>
      <c r="E175" s="349" t="inlineStr">
        <is>
          <t>TI-0306317-46</t>
        </is>
      </c>
      <c r="F175" s="332" t="n">
        <v>45688</v>
      </c>
      <c r="G175" s="224" t="n"/>
      <c r="H175" s="617" t="n"/>
      <c r="I175" s="617" t="n">
        <v>-171571</v>
      </c>
      <c r="J175" s="221" t="inlineStr">
        <is>
          <t>អនុញ្ញាត (បានប្រកាស)</t>
        </is>
      </c>
      <c r="K175" s="221" t="n"/>
      <c r="L175" s="616">
        <f>I175</f>
        <v/>
      </c>
      <c r="M175" s="588">
        <f>I175-L175</f>
        <v/>
      </c>
      <c r="N175" s="221" t="n"/>
      <c r="O175" s="226">
        <f>U175=E175</f>
        <v/>
      </c>
      <c r="P175" s="226">
        <f>MONTH(F175)-MONTH(T175)</f>
        <v/>
      </c>
      <c r="Q175" s="226">
        <f>$B$5=X175</f>
        <v/>
      </c>
      <c r="R175" s="226">
        <f>I175-AD175</f>
        <v/>
      </c>
      <c r="S175" s="360" t="n"/>
      <c r="T175" s="361" t="n"/>
      <c r="U175" s="360" t="n"/>
      <c r="V175" s="360" t="n"/>
      <c r="W175" s="360" t="n"/>
      <c r="X175" s="360" t="n"/>
      <c r="Y175" s="360" t="n"/>
      <c r="Z175" s="362" t="n"/>
      <c r="AA175" s="362" t="n"/>
      <c r="AB175" s="360" t="n"/>
      <c r="AC175" s="360" t="n"/>
      <c r="AD175" s="362" t="n"/>
      <c r="AE175" s="360" t="n"/>
      <c r="AF175" s="615" t="n"/>
    </row>
    <row r="176">
      <c r="A176" s="220">
        <f>A175+1</f>
        <v/>
      </c>
      <c r="B176" s="222" t="inlineStr">
        <is>
          <t>CREDIT</t>
        </is>
      </c>
      <c r="C176" s="222" t="inlineStr">
        <is>
          <t>EXPEDITORS CAMBODIA LTD.</t>
        </is>
      </c>
      <c r="D176" s="223" t="inlineStr">
        <is>
          <t>L001-100045898</t>
        </is>
      </c>
      <c r="E176" s="349" t="inlineStr">
        <is>
          <t>TI-0306317-45</t>
        </is>
      </c>
      <c r="F176" s="332" t="n">
        <v>45688</v>
      </c>
      <c r="G176" s="224" t="n"/>
      <c r="H176" s="617" t="n"/>
      <c r="I176" s="617" t="n">
        <v>-24478</v>
      </c>
      <c r="J176" s="221" t="inlineStr">
        <is>
          <t>អនុញ្ញាត (បានប្រកាស)</t>
        </is>
      </c>
      <c r="K176" s="221" t="n"/>
      <c r="L176" s="616">
        <f>I176</f>
        <v/>
      </c>
      <c r="M176" s="588">
        <f>I176-L176</f>
        <v/>
      </c>
      <c r="N176" s="221" t="n"/>
      <c r="O176" s="226">
        <f>U176=E176</f>
        <v/>
      </c>
      <c r="P176" s="226">
        <f>MONTH(F176)-MONTH(T176)</f>
        <v/>
      </c>
      <c r="Q176" s="226">
        <f>$B$5=X176</f>
        <v/>
      </c>
      <c r="R176" s="226">
        <f>I176-AD176</f>
        <v/>
      </c>
      <c r="S176" s="360" t="n"/>
      <c r="T176" s="361" t="n"/>
      <c r="U176" s="360" t="n"/>
      <c r="V176" s="360" t="n"/>
      <c r="W176" s="360" t="n"/>
      <c r="X176" s="360" t="n"/>
      <c r="Y176" s="360" t="n"/>
      <c r="Z176" s="362" t="n"/>
      <c r="AA176" s="362" t="n"/>
      <c r="AB176" s="360" t="n"/>
      <c r="AC176" s="360" t="n"/>
      <c r="AD176" s="362" t="n"/>
      <c r="AE176" s="360" t="n"/>
      <c r="AF176" s="615" t="n"/>
    </row>
    <row r="177">
      <c r="A177" s="220">
        <f>A176+1</f>
        <v/>
      </c>
      <c r="B177" s="222" t="inlineStr">
        <is>
          <t>CREDIT</t>
        </is>
      </c>
      <c r="C177" s="222" t="inlineStr">
        <is>
          <t>EXPEDITORS CAMBODIA LTD.</t>
        </is>
      </c>
      <c r="D177" s="223" t="inlineStr">
        <is>
          <t>L001-100045898</t>
        </is>
      </c>
      <c r="E177" s="349" t="inlineStr">
        <is>
          <t>TI-0306317-44</t>
        </is>
      </c>
      <c r="F177" s="332" t="n">
        <v>45688</v>
      </c>
      <c r="G177" s="224" t="n"/>
      <c r="H177" s="617" t="n"/>
      <c r="I177" s="617" t="n">
        <v>-24486</v>
      </c>
      <c r="J177" s="221" t="inlineStr">
        <is>
          <t>អនុញ្ញាត (បានប្រកាស)</t>
        </is>
      </c>
      <c r="K177" s="221" t="n"/>
      <c r="L177" s="616">
        <f>I177</f>
        <v/>
      </c>
      <c r="M177" s="588">
        <f>I177-L177</f>
        <v/>
      </c>
      <c r="N177" s="221" t="n"/>
      <c r="O177" s="226">
        <f>U177=E177</f>
        <v/>
      </c>
      <c r="P177" s="226">
        <f>MONTH(F177)-MONTH(T177)</f>
        <v/>
      </c>
      <c r="Q177" s="226">
        <f>$B$5=X177</f>
        <v/>
      </c>
      <c r="R177" s="226">
        <f>I177-AD177</f>
        <v/>
      </c>
      <c r="S177" s="360" t="n"/>
      <c r="T177" s="361" t="n"/>
      <c r="U177" s="360" t="n"/>
      <c r="V177" s="360" t="n"/>
      <c r="W177" s="360" t="n"/>
      <c r="X177" s="360" t="n"/>
      <c r="Y177" s="360" t="n"/>
      <c r="Z177" s="362" t="n"/>
      <c r="AA177" s="362" t="n"/>
      <c r="AB177" s="360" t="n"/>
      <c r="AC177" s="360" t="n"/>
      <c r="AD177" s="362" t="n"/>
      <c r="AE177" s="360" t="n"/>
      <c r="AF177" s="615" t="n"/>
    </row>
    <row r="178">
      <c r="A178" s="220">
        <f>A177+1</f>
        <v/>
      </c>
      <c r="B178" s="222" t="inlineStr">
        <is>
          <t>CREDIT</t>
        </is>
      </c>
      <c r="C178" s="222" t="inlineStr">
        <is>
          <t>EXPEDITORS CAMBODIA LTD.</t>
        </is>
      </c>
      <c r="D178" s="223" t="inlineStr">
        <is>
          <t>L001-100045898</t>
        </is>
      </c>
      <c r="E178" s="349" t="inlineStr">
        <is>
          <t>TI-0306317-43</t>
        </is>
      </c>
      <c r="F178" s="332" t="n">
        <v>45688</v>
      </c>
      <c r="G178" s="224" t="n"/>
      <c r="H178" s="617" t="n"/>
      <c r="I178" s="617" t="n">
        <v>-189957</v>
      </c>
      <c r="J178" s="221" t="inlineStr">
        <is>
          <t>អនុញ្ញាត (បានប្រកាស)</t>
        </is>
      </c>
      <c r="K178" s="221" t="n"/>
      <c r="L178" s="616">
        <f>I178</f>
        <v/>
      </c>
      <c r="M178" s="588">
        <f>I178-L178</f>
        <v/>
      </c>
      <c r="N178" s="221" t="n"/>
      <c r="O178" s="226">
        <f>U178=E178</f>
        <v/>
      </c>
      <c r="P178" s="226">
        <f>MONTH(F178)-MONTH(T178)</f>
        <v/>
      </c>
      <c r="Q178" s="226">
        <f>$B$5=X178</f>
        <v/>
      </c>
      <c r="R178" s="226">
        <f>I178-AD178</f>
        <v/>
      </c>
      <c r="S178" s="360" t="n"/>
      <c r="T178" s="361" t="n"/>
      <c r="U178" s="360" t="n"/>
      <c r="V178" s="360" t="n"/>
      <c r="W178" s="360" t="n"/>
      <c r="X178" s="360" t="n"/>
      <c r="Y178" s="360" t="n"/>
      <c r="Z178" s="362" t="n"/>
      <c r="AA178" s="362" t="n"/>
      <c r="AB178" s="360" t="n"/>
      <c r="AC178" s="360" t="n"/>
      <c r="AD178" s="362" t="n"/>
      <c r="AE178" s="360" t="n"/>
      <c r="AF178" s="615" t="n"/>
    </row>
    <row r="179">
      <c r="A179" s="220">
        <f>A178+1</f>
        <v/>
      </c>
      <c r="B179" s="222" t="inlineStr">
        <is>
          <t>CREDIT</t>
        </is>
      </c>
      <c r="C179" s="222" t="inlineStr">
        <is>
          <t>EXPEDITORS CAMBODIA LTD.</t>
        </is>
      </c>
      <c r="D179" s="223" t="inlineStr">
        <is>
          <t>L001-100045898</t>
        </is>
      </c>
      <c r="E179" s="349" t="inlineStr">
        <is>
          <t>TI-0306317-42</t>
        </is>
      </c>
      <c r="F179" s="332" t="n">
        <v>45688</v>
      </c>
      <c r="G179" s="224" t="n"/>
      <c r="H179" s="617" t="n"/>
      <c r="I179" s="617" t="n">
        <v>-116414</v>
      </c>
      <c r="J179" s="221" t="inlineStr">
        <is>
          <t>អនុញ្ញាត (បានប្រកាស)</t>
        </is>
      </c>
      <c r="K179" s="221" t="n"/>
      <c r="L179" s="616">
        <f>I179</f>
        <v/>
      </c>
      <c r="M179" s="588">
        <f>I179-L179</f>
        <v/>
      </c>
      <c r="N179" s="221" t="n"/>
      <c r="O179" s="226">
        <f>U179=E179</f>
        <v/>
      </c>
      <c r="P179" s="226">
        <f>MONTH(F179)-MONTH(T179)</f>
        <v/>
      </c>
      <c r="Q179" s="226">
        <f>$B$5=X179</f>
        <v/>
      </c>
      <c r="R179" s="226">
        <f>I179-AD179</f>
        <v/>
      </c>
      <c r="S179" s="360" t="n"/>
      <c r="T179" s="361" t="n"/>
      <c r="U179" s="360" t="n"/>
      <c r="V179" s="360" t="n"/>
      <c r="W179" s="360" t="n"/>
      <c r="X179" s="360" t="n"/>
      <c r="Y179" s="360" t="n"/>
      <c r="Z179" s="362" t="n"/>
      <c r="AA179" s="362" t="n"/>
      <c r="AB179" s="360" t="n"/>
      <c r="AC179" s="360" t="n"/>
      <c r="AD179" s="362" t="n"/>
      <c r="AE179" s="360" t="n"/>
      <c r="AF179" s="615" t="n"/>
    </row>
    <row r="180">
      <c r="A180" s="220">
        <f>A179+1</f>
        <v/>
      </c>
      <c r="B180" s="222" t="inlineStr">
        <is>
          <t>CREDIT</t>
        </is>
      </c>
      <c r="C180" s="222" t="inlineStr">
        <is>
          <t>EXPEDITORS CAMBODIA LTD.</t>
        </is>
      </c>
      <c r="D180" s="223" t="inlineStr">
        <is>
          <t>L001-100045898</t>
        </is>
      </c>
      <c r="E180" s="349" t="inlineStr">
        <is>
          <t>TI-0306317-41</t>
        </is>
      </c>
      <c r="F180" s="332" t="n">
        <v>45688</v>
      </c>
      <c r="G180" s="224" t="n"/>
      <c r="H180" s="617" t="n"/>
      <c r="I180" s="617" t="n">
        <v>-189956.91</v>
      </c>
      <c r="J180" s="221" t="inlineStr">
        <is>
          <t>អនុញ្ញាត (បានប្រកាស)</t>
        </is>
      </c>
      <c r="K180" s="221" t="n"/>
      <c r="L180" s="616">
        <f>I180</f>
        <v/>
      </c>
      <c r="M180" s="588">
        <f>I180-L180</f>
        <v/>
      </c>
      <c r="N180" s="221" t="n"/>
      <c r="O180" s="226">
        <f>U180=E180</f>
        <v/>
      </c>
      <c r="P180" s="226">
        <f>MONTH(F180)-MONTH(T180)</f>
        <v/>
      </c>
      <c r="Q180" s="226">
        <f>$B$5=X180</f>
        <v/>
      </c>
      <c r="R180" s="226">
        <f>I180-AD180</f>
        <v/>
      </c>
      <c r="S180" s="360" t="n"/>
      <c r="T180" s="361" t="n"/>
      <c r="U180" s="360" t="n"/>
      <c r="V180" s="360" t="n"/>
      <c r="W180" s="360" t="n"/>
      <c r="X180" s="360" t="n"/>
      <c r="Y180" s="360" t="n"/>
      <c r="Z180" s="362" t="n"/>
      <c r="AA180" s="362" t="n"/>
      <c r="AB180" s="360" t="n"/>
      <c r="AC180" s="360" t="n"/>
      <c r="AD180" s="362" t="n"/>
      <c r="AE180" s="360" t="n"/>
      <c r="AF180" s="615" t="n"/>
    </row>
    <row r="181">
      <c r="A181" s="220">
        <f>A180+1</f>
        <v/>
      </c>
      <c r="B181" s="222" t="inlineStr">
        <is>
          <t>CREDIT</t>
        </is>
      </c>
      <c r="C181" s="222" t="inlineStr">
        <is>
          <t>EXPEDITORS CAMBODIA LTD.</t>
        </is>
      </c>
      <c r="D181" s="223" t="inlineStr">
        <is>
          <t>L001-100045898</t>
        </is>
      </c>
      <c r="E181" s="349" t="inlineStr">
        <is>
          <t>TI-0306317-40</t>
        </is>
      </c>
      <c r="F181" s="332" t="n">
        <v>45688</v>
      </c>
      <c r="G181" s="224" t="n"/>
      <c r="H181" s="617" t="n"/>
      <c r="I181" s="617" t="n">
        <v>-189973</v>
      </c>
      <c r="J181" s="221" t="inlineStr">
        <is>
          <t>អនុញ្ញាត (បានប្រកាស)</t>
        </is>
      </c>
      <c r="K181" s="221" t="n"/>
      <c r="L181" s="616">
        <f>I181</f>
        <v/>
      </c>
      <c r="M181" s="588">
        <f>I181-L181</f>
        <v/>
      </c>
      <c r="N181" s="221" t="n"/>
      <c r="O181" s="226">
        <f>U181=E181</f>
        <v/>
      </c>
      <c r="P181" s="226">
        <f>MONTH(F181)-MONTH(T181)</f>
        <v/>
      </c>
      <c r="Q181" s="226">
        <f>$B$5=X181</f>
        <v/>
      </c>
      <c r="R181" s="226">
        <f>I181-AD181</f>
        <v/>
      </c>
      <c r="S181" s="360" t="n"/>
      <c r="T181" s="361" t="n"/>
      <c r="U181" s="360" t="n"/>
      <c r="V181" s="360" t="n"/>
      <c r="W181" s="360" t="n"/>
      <c r="X181" s="360" t="n"/>
      <c r="Y181" s="360" t="n"/>
      <c r="Z181" s="362" t="n"/>
      <c r="AA181" s="362" t="n"/>
      <c r="AB181" s="360" t="n"/>
      <c r="AC181" s="360" t="n"/>
      <c r="AD181" s="362" t="n"/>
      <c r="AE181" s="360" t="n"/>
      <c r="AF181" s="615" t="n"/>
    </row>
    <row r="182">
      <c r="A182" s="220">
        <f>A181+1</f>
        <v/>
      </c>
      <c r="B182" s="222" t="inlineStr">
        <is>
          <t>CREDIT</t>
        </is>
      </c>
      <c r="C182" s="222" t="inlineStr">
        <is>
          <t>EXPEDITORS CAMBODIA LTD.</t>
        </is>
      </c>
      <c r="D182" s="223" t="inlineStr">
        <is>
          <t>L001-100045898</t>
        </is>
      </c>
      <c r="E182" s="349" t="inlineStr">
        <is>
          <t>TI-0306317-39</t>
        </is>
      </c>
      <c r="F182" s="332" t="n">
        <v>45688</v>
      </c>
      <c r="G182" s="224" t="n"/>
      <c r="H182" s="617" t="n"/>
      <c r="I182" s="617" t="n">
        <v>-62167</v>
      </c>
      <c r="J182" s="221" t="inlineStr">
        <is>
          <t>អនុញ្ញាត (បានប្រកាស)</t>
        </is>
      </c>
      <c r="K182" s="221" t="n"/>
      <c r="L182" s="616">
        <f>I182</f>
        <v/>
      </c>
      <c r="M182" s="588">
        <f>I182-L182</f>
        <v/>
      </c>
      <c r="N182" s="221" t="n"/>
      <c r="O182" s="226">
        <f>U182=E182</f>
        <v/>
      </c>
      <c r="P182" s="226">
        <f>MONTH(F182)-MONTH(T182)</f>
        <v/>
      </c>
      <c r="Q182" s="226">
        <f>$B$5=X182</f>
        <v/>
      </c>
      <c r="R182" s="226">
        <f>I182-AD182</f>
        <v/>
      </c>
      <c r="S182" s="360" t="n"/>
      <c r="T182" s="361" t="n"/>
      <c r="U182" s="360" t="n"/>
      <c r="V182" s="360" t="n"/>
      <c r="W182" s="360" t="n"/>
      <c r="X182" s="360" t="n"/>
      <c r="Y182" s="360" t="n"/>
      <c r="Z182" s="362" t="n"/>
      <c r="AA182" s="362" t="n"/>
      <c r="AB182" s="360" t="n"/>
      <c r="AC182" s="360" t="n"/>
      <c r="AD182" s="362" t="n"/>
      <c r="AE182" s="360" t="n"/>
      <c r="AF182" s="615" t="n"/>
    </row>
    <row r="183">
      <c r="A183" s="220">
        <f>A182+1</f>
        <v/>
      </c>
      <c r="B183" s="222" t="inlineStr">
        <is>
          <t>CREDIT</t>
        </is>
      </c>
      <c r="C183" s="222" t="inlineStr">
        <is>
          <t>EXPEDITORS CAMBODIA LTD.</t>
        </is>
      </c>
      <c r="D183" s="223" t="inlineStr">
        <is>
          <t>L001-100045898</t>
        </is>
      </c>
      <c r="E183" s="349" t="inlineStr">
        <is>
          <t>TI-0306317-38</t>
        </is>
      </c>
      <c r="F183" s="332" t="n">
        <v>45688</v>
      </c>
      <c r="G183" s="224" t="n"/>
      <c r="H183" s="617" t="n"/>
      <c r="I183" s="617" t="n">
        <v>-192834</v>
      </c>
      <c r="J183" s="221" t="inlineStr">
        <is>
          <t>អនុញ្ញាត (បានប្រកាស)</t>
        </is>
      </c>
      <c r="K183" s="221" t="n"/>
      <c r="L183" s="616">
        <f>I183</f>
        <v/>
      </c>
      <c r="M183" s="588">
        <f>I183-L183</f>
        <v/>
      </c>
      <c r="N183" s="221" t="n"/>
      <c r="O183" s="226">
        <f>U183=E183</f>
        <v/>
      </c>
      <c r="P183" s="226">
        <f>MONTH(F183)-MONTH(T183)</f>
        <v/>
      </c>
      <c r="Q183" s="226">
        <f>$B$5=X183</f>
        <v/>
      </c>
      <c r="R183" s="226">
        <f>I183-AD183</f>
        <v/>
      </c>
      <c r="S183" s="360" t="n"/>
      <c r="T183" s="361" t="n"/>
      <c r="U183" s="360" t="n"/>
      <c r="V183" s="360" t="n"/>
      <c r="W183" s="360" t="n"/>
      <c r="X183" s="360" t="n"/>
      <c r="Y183" s="360" t="n"/>
      <c r="Z183" s="362" t="n"/>
      <c r="AA183" s="362" t="n"/>
      <c r="AB183" s="360" t="n"/>
      <c r="AC183" s="360" t="n"/>
      <c r="AD183" s="362" t="n"/>
      <c r="AE183" s="360" t="n"/>
      <c r="AF183" s="615" t="n"/>
    </row>
    <row r="184">
      <c r="A184" s="220">
        <f>A183+1</f>
        <v/>
      </c>
      <c r="B184" s="222" t="inlineStr">
        <is>
          <t>CREDIT</t>
        </is>
      </c>
      <c r="C184" s="222" t="inlineStr">
        <is>
          <t>EXPEDITORS CAMBODIA LTD.</t>
        </is>
      </c>
      <c r="D184" s="223" t="inlineStr">
        <is>
          <t>L001-100045898</t>
        </is>
      </c>
      <c r="E184" s="349" t="inlineStr">
        <is>
          <t>TI-0306317-37</t>
        </is>
      </c>
      <c r="F184" s="332" t="n">
        <v>45688</v>
      </c>
      <c r="G184" s="224" t="n"/>
      <c r="H184" s="617" t="n"/>
      <c r="I184" s="617" t="n">
        <v>-99501</v>
      </c>
      <c r="J184" s="221" t="inlineStr">
        <is>
          <t>អនុញ្ញាត (បានប្រកាស)</t>
        </is>
      </c>
      <c r="K184" s="221" t="n"/>
      <c r="L184" s="616">
        <f>I184</f>
        <v/>
      </c>
      <c r="M184" s="588">
        <f>I184-L184</f>
        <v/>
      </c>
      <c r="N184" s="221" t="n"/>
      <c r="O184" s="226">
        <f>U184=E184</f>
        <v/>
      </c>
      <c r="P184" s="226">
        <f>MONTH(F184)-MONTH(T184)</f>
        <v/>
      </c>
      <c r="Q184" s="226">
        <f>$B$5=X184</f>
        <v/>
      </c>
      <c r="R184" s="226">
        <f>I184-AD184</f>
        <v/>
      </c>
      <c r="S184" s="360" t="n"/>
      <c r="T184" s="361" t="n"/>
      <c r="U184" s="360" t="n"/>
      <c r="V184" s="360" t="n"/>
      <c r="W184" s="360" t="n"/>
      <c r="X184" s="360" t="n"/>
      <c r="Y184" s="360" t="n"/>
      <c r="Z184" s="362" t="n"/>
      <c r="AA184" s="362" t="n"/>
      <c r="AB184" s="360" t="n"/>
      <c r="AC184" s="360" t="n"/>
      <c r="AD184" s="362" t="n"/>
      <c r="AE184" s="360" t="n"/>
      <c r="AF184" s="615" t="n"/>
    </row>
    <row r="185">
      <c r="A185" s="220">
        <f>A184+1</f>
        <v/>
      </c>
      <c r="B185" s="222" t="inlineStr">
        <is>
          <t>CREDIT</t>
        </is>
      </c>
      <c r="C185" s="222" t="inlineStr">
        <is>
          <t>EXPEDITORS CAMBODIA LTD.</t>
        </is>
      </c>
      <c r="D185" s="223" t="inlineStr">
        <is>
          <t>L001-100045898</t>
        </is>
      </c>
      <c r="E185" s="349" t="inlineStr">
        <is>
          <t>TI-0306317-36</t>
        </is>
      </c>
      <c r="F185" s="332" t="n">
        <v>45688</v>
      </c>
      <c r="G185" s="224" t="n"/>
      <c r="H185" s="617" t="n"/>
      <c r="I185" s="617" t="n">
        <v>-62167</v>
      </c>
      <c r="J185" s="221" t="inlineStr">
        <is>
          <t>អនុញ្ញាត (បានប្រកាស)</t>
        </is>
      </c>
      <c r="K185" s="221" t="n"/>
      <c r="L185" s="616">
        <f>I185</f>
        <v/>
      </c>
      <c r="M185" s="588">
        <f>I185-L185</f>
        <v/>
      </c>
      <c r="N185" s="221" t="n"/>
      <c r="O185" s="226">
        <f>U185=E185</f>
        <v/>
      </c>
      <c r="P185" s="226">
        <f>MONTH(F185)-MONTH(T185)</f>
        <v/>
      </c>
      <c r="Q185" s="226">
        <f>$B$5=X185</f>
        <v/>
      </c>
      <c r="R185" s="226">
        <f>I185-AD185</f>
        <v/>
      </c>
      <c r="S185" s="360" t="n"/>
      <c r="T185" s="361" t="n"/>
      <c r="U185" s="360" t="n"/>
      <c r="V185" s="360" t="n"/>
      <c r="W185" s="360" t="n"/>
      <c r="X185" s="360" t="n"/>
      <c r="Y185" s="360" t="n"/>
      <c r="Z185" s="362" t="n"/>
      <c r="AA185" s="362" t="n"/>
      <c r="AB185" s="360" t="n"/>
      <c r="AC185" s="360" t="n"/>
      <c r="AD185" s="362" t="n"/>
      <c r="AE185" s="360" t="n"/>
      <c r="AF185" s="615" t="n"/>
    </row>
    <row r="186">
      <c r="A186" s="220">
        <f>A185+1</f>
        <v/>
      </c>
      <c r="B186" s="222" t="inlineStr">
        <is>
          <t>CREDIT</t>
        </is>
      </c>
      <c r="C186" s="222" t="inlineStr">
        <is>
          <t>EXPEDITORS CAMBODIA LTD.</t>
        </is>
      </c>
      <c r="D186" s="223" t="inlineStr">
        <is>
          <t>L001-100045898</t>
        </is>
      </c>
      <c r="E186" s="349" t="inlineStr">
        <is>
          <t>TI-0306317-35</t>
        </is>
      </c>
      <c r="F186" s="332" t="n">
        <v>45688</v>
      </c>
      <c r="G186" s="224" t="n"/>
      <c r="H186" s="617" t="n"/>
      <c r="I186" s="617" t="n">
        <v>-192834</v>
      </c>
      <c r="J186" s="221" t="inlineStr">
        <is>
          <t>អនុញ្ញាត (បានប្រកាស)</t>
        </is>
      </c>
      <c r="K186" s="221" t="n"/>
      <c r="L186" s="616">
        <f>I186</f>
        <v/>
      </c>
      <c r="M186" s="588">
        <f>I186-L186</f>
        <v/>
      </c>
      <c r="N186" s="221" t="n"/>
      <c r="O186" s="226">
        <f>U186=E186</f>
        <v/>
      </c>
      <c r="P186" s="226">
        <f>MONTH(F186)-MONTH(T186)</f>
        <v/>
      </c>
      <c r="Q186" s="226">
        <f>$B$5=X186</f>
        <v/>
      </c>
      <c r="R186" s="226">
        <f>I186-AD186</f>
        <v/>
      </c>
      <c r="S186" s="360" t="n"/>
      <c r="T186" s="361" t="n"/>
      <c r="U186" s="360" t="n"/>
      <c r="V186" s="360" t="n"/>
      <c r="W186" s="360" t="n"/>
      <c r="X186" s="360" t="n"/>
      <c r="Y186" s="360" t="n"/>
      <c r="Z186" s="362" t="n"/>
      <c r="AA186" s="362" t="n"/>
      <c r="AB186" s="360" t="n"/>
      <c r="AC186" s="360" t="n"/>
      <c r="AD186" s="362" t="n"/>
      <c r="AE186" s="360" t="n"/>
      <c r="AF186" s="615" t="n"/>
    </row>
    <row r="187">
      <c r="A187" s="220">
        <f>A186+1</f>
        <v/>
      </c>
      <c r="B187" s="222" t="inlineStr">
        <is>
          <t>CREDIT</t>
        </is>
      </c>
      <c r="C187" s="222" t="inlineStr">
        <is>
          <t>EXPEDITORS CAMBODIA LTD.</t>
        </is>
      </c>
      <c r="D187" s="223" t="inlineStr">
        <is>
          <t>L001-100045898</t>
        </is>
      </c>
      <c r="E187" s="349" t="inlineStr">
        <is>
          <t>TI-0306317-34</t>
        </is>
      </c>
      <c r="F187" s="332" t="n">
        <v>45688</v>
      </c>
      <c r="G187" s="224" t="n"/>
      <c r="H187" s="617" t="n"/>
      <c r="I187" s="617" t="n">
        <v>-24836</v>
      </c>
      <c r="J187" s="221" t="inlineStr">
        <is>
          <t>អនុញ្ញាត (បានប្រកាស)</t>
        </is>
      </c>
      <c r="K187" s="221" t="n"/>
      <c r="L187" s="616">
        <f>I187</f>
        <v/>
      </c>
      <c r="M187" s="588">
        <f>I187-L187</f>
        <v/>
      </c>
      <c r="N187" s="221" t="n"/>
      <c r="O187" s="226">
        <f>U187=E187</f>
        <v/>
      </c>
      <c r="P187" s="226">
        <f>MONTH(F187)-MONTH(T187)</f>
        <v/>
      </c>
      <c r="Q187" s="226">
        <f>$B$5=X187</f>
        <v/>
      </c>
      <c r="R187" s="226">
        <f>I187-AD187</f>
        <v/>
      </c>
      <c r="S187" s="360" t="n"/>
      <c r="T187" s="361" t="n"/>
      <c r="U187" s="360" t="n"/>
      <c r="V187" s="360" t="n"/>
      <c r="W187" s="360" t="n"/>
      <c r="X187" s="360" t="n"/>
      <c r="Y187" s="360" t="n"/>
      <c r="Z187" s="362" t="n"/>
      <c r="AA187" s="362" t="n"/>
      <c r="AB187" s="360" t="n"/>
      <c r="AC187" s="360" t="n"/>
      <c r="AD187" s="362" t="n"/>
      <c r="AE187" s="360" t="n"/>
      <c r="AF187" s="615" t="n"/>
    </row>
    <row r="188">
      <c r="A188" s="220">
        <f>A187+1</f>
        <v/>
      </c>
      <c r="B188" s="222" t="inlineStr">
        <is>
          <t>CREDIT</t>
        </is>
      </c>
      <c r="C188" s="222" t="inlineStr">
        <is>
          <t>EXPEDITORS CAMBODIA LTD.</t>
        </is>
      </c>
      <c r="D188" s="223" t="inlineStr">
        <is>
          <t>L001-100045898</t>
        </is>
      </c>
      <c r="E188" s="349" t="inlineStr">
        <is>
          <t>TI-0306317-33</t>
        </is>
      </c>
      <c r="F188" s="332" t="n">
        <v>45688</v>
      </c>
      <c r="G188" s="224" t="n"/>
      <c r="H188" s="617" t="n"/>
      <c r="I188" s="617" t="n">
        <v>-24836</v>
      </c>
      <c r="J188" s="221" t="inlineStr">
        <is>
          <t>អនុញ្ញាត (បានប្រកាស)</t>
        </is>
      </c>
      <c r="K188" s="221" t="n"/>
      <c r="L188" s="616">
        <f>I188</f>
        <v/>
      </c>
      <c r="M188" s="588">
        <f>I188-L188</f>
        <v/>
      </c>
      <c r="N188" s="221" t="n"/>
      <c r="O188" s="226">
        <f>U188=E188</f>
        <v/>
      </c>
      <c r="P188" s="226">
        <f>MONTH(F188)-MONTH(T188)</f>
        <v/>
      </c>
      <c r="Q188" s="226">
        <f>$B$5=X188</f>
        <v/>
      </c>
      <c r="R188" s="226">
        <f>I188-AD188</f>
        <v/>
      </c>
      <c r="S188" s="360" t="n"/>
      <c r="T188" s="361" t="n"/>
      <c r="U188" s="360" t="n"/>
      <c r="V188" s="360" t="n"/>
      <c r="W188" s="360" t="n"/>
      <c r="X188" s="360" t="n"/>
      <c r="Y188" s="360" t="n"/>
      <c r="Z188" s="362" t="n"/>
      <c r="AA188" s="362" t="n"/>
      <c r="AB188" s="360" t="n"/>
      <c r="AC188" s="360" t="n"/>
      <c r="AD188" s="362" t="n"/>
      <c r="AE188" s="360" t="n"/>
      <c r="AF188" s="615" t="n"/>
    </row>
    <row r="189">
      <c r="A189" s="220">
        <f>A188+1</f>
        <v/>
      </c>
      <c r="B189" s="222" t="inlineStr">
        <is>
          <t>CREDIT</t>
        </is>
      </c>
      <c r="C189" s="222" t="inlineStr">
        <is>
          <t>EXPEDITORS CAMBODIA LTD.</t>
        </is>
      </c>
      <c r="D189" s="223" t="inlineStr">
        <is>
          <t>L001-100045898</t>
        </is>
      </c>
      <c r="E189" s="349" t="inlineStr">
        <is>
          <t>TI-0306317-32</t>
        </is>
      </c>
      <c r="F189" s="332" t="n">
        <v>45688</v>
      </c>
      <c r="G189" s="224" t="n"/>
      <c r="H189" s="617" t="n"/>
      <c r="I189" s="617" t="n">
        <v>-30872</v>
      </c>
      <c r="J189" s="221" t="inlineStr">
        <is>
          <t>អនុញ្ញាត (បានប្រកាស)</t>
        </is>
      </c>
      <c r="K189" s="221" t="n"/>
      <c r="L189" s="616">
        <f>I189</f>
        <v/>
      </c>
      <c r="M189" s="588">
        <f>I189-L189</f>
        <v/>
      </c>
      <c r="N189" s="221" t="n"/>
      <c r="O189" s="226">
        <f>U189=E189</f>
        <v/>
      </c>
      <c r="P189" s="226">
        <f>MONTH(F189)-MONTH(T189)</f>
        <v/>
      </c>
      <c r="Q189" s="226">
        <f>$B$5=X189</f>
        <v/>
      </c>
      <c r="R189" s="226">
        <f>I189-AD189</f>
        <v/>
      </c>
      <c r="S189" s="360" t="inlineStr">
        <is>
          <t>Wrong invoice number</t>
        </is>
      </c>
      <c r="T189" s="361" t="n"/>
      <c r="U189" s="360" t="n"/>
      <c r="V189" s="360" t="n"/>
      <c r="W189" s="360" t="n"/>
      <c r="X189" s="360" t="n"/>
      <c r="Y189" s="360" t="n"/>
      <c r="Z189" s="362" t="n"/>
      <c r="AA189" s="362" t="n"/>
      <c r="AB189" s="360" t="n"/>
      <c r="AC189" s="360" t="n"/>
      <c r="AD189" s="362" t="n"/>
      <c r="AE189" s="360" t="n"/>
      <c r="AF189" s="615" t="n"/>
    </row>
    <row r="190">
      <c r="A190" s="220">
        <f>A189+1</f>
        <v/>
      </c>
      <c r="B190" s="222" t="inlineStr">
        <is>
          <t>CREDIT</t>
        </is>
      </c>
      <c r="C190" s="222" t="inlineStr">
        <is>
          <t>EXPEDITORS CAMBODIA LTD.</t>
        </is>
      </c>
      <c r="D190" s="223" t="inlineStr">
        <is>
          <t>L001-100045898</t>
        </is>
      </c>
      <c r="E190" s="349" t="inlineStr">
        <is>
          <t>TI-0306317-31</t>
        </is>
      </c>
      <c r="F190" s="332" t="n">
        <v>45688</v>
      </c>
      <c r="G190" s="224" t="n"/>
      <c r="H190" s="617" t="n"/>
      <c r="I190" s="617" t="n">
        <v>-62167</v>
      </c>
      <c r="J190" s="221" t="inlineStr">
        <is>
          <t>អនុញ្ញាត (បានប្រកាស)</t>
        </is>
      </c>
      <c r="K190" s="221" t="n"/>
      <c r="L190" s="616">
        <f>I190</f>
        <v/>
      </c>
      <c r="M190" s="588">
        <f>I190-L190</f>
        <v/>
      </c>
      <c r="N190" s="221" t="n"/>
      <c r="O190" s="226">
        <f>U190=E190</f>
        <v/>
      </c>
      <c r="P190" s="226">
        <f>MONTH(F190)-MONTH(T190)</f>
        <v/>
      </c>
      <c r="Q190" s="226">
        <f>$B$5=X190</f>
        <v/>
      </c>
      <c r="R190" s="226">
        <f>I190-AD190</f>
        <v/>
      </c>
      <c r="S190" s="360" t="n"/>
      <c r="T190" s="361" t="n"/>
      <c r="U190" s="360" t="n"/>
      <c r="V190" s="360" t="n"/>
      <c r="W190" s="360" t="n"/>
      <c r="X190" s="360" t="n"/>
      <c r="Y190" s="360" t="n"/>
      <c r="Z190" s="362" t="n"/>
      <c r="AA190" s="362" t="n"/>
      <c r="AB190" s="360" t="n"/>
      <c r="AC190" s="360" t="n"/>
      <c r="AD190" s="362" t="n"/>
      <c r="AE190" s="360" t="n"/>
      <c r="AF190" s="615" t="n"/>
    </row>
    <row r="191">
      <c r="A191" s="220">
        <f>A190+1</f>
        <v/>
      </c>
      <c r="B191" s="222" t="inlineStr">
        <is>
          <t>CREDIT</t>
        </is>
      </c>
      <c r="C191" s="222" t="inlineStr">
        <is>
          <t>EXPEDITORS CAMBODIA LTD.</t>
        </is>
      </c>
      <c r="D191" s="223" t="inlineStr">
        <is>
          <t>L001-100045898</t>
        </is>
      </c>
      <c r="E191" s="349" t="inlineStr">
        <is>
          <t>TI-0306317-30</t>
        </is>
      </c>
      <c r="F191" s="332" t="n">
        <v>45688</v>
      </c>
      <c r="G191" s="224" t="n"/>
      <c r="H191" s="617" t="n"/>
      <c r="I191" s="617" t="n">
        <v>-24836</v>
      </c>
      <c r="J191" s="221" t="inlineStr">
        <is>
          <t>អនុញ្ញាត (បានប្រកាស)</t>
        </is>
      </c>
      <c r="K191" s="221" t="n"/>
      <c r="L191" s="616">
        <f>I191</f>
        <v/>
      </c>
      <c r="M191" s="588">
        <f>I191-L191</f>
        <v/>
      </c>
      <c r="N191" s="221" t="n"/>
      <c r="O191" s="226">
        <f>U191=E191</f>
        <v/>
      </c>
      <c r="P191" s="226">
        <f>MONTH(F191)-MONTH(T191)</f>
        <v/>
      </c>
      <c r="Q191" s="226">
        <f>$B$5=X191</f>
        <v/>
      </c>
      <c r="R191" s="226">
        <f>I191-AD191</f>
        <v/>
      </c>
      <c r="S191" s="360" t="n"/>
      <c r="T191" s="361" t="n"/>
      <c r="U191" s="360" t="n"/>
      <c r="V191" s="360" t="n"/>
      <c r="W191" s="360" t="n"/>
      <c r="X191" s="360" t="n"/>
      <c r="Y191" s="360" t="n"/>
      <c r="Z191" s="362" t="n"/>
      <c r="AA191" s="362" t="n"/>
      <c r="AB191" s="360" t="n"/>
      <c r="AC191" s="360" t="n"/>
      <c r="AD191" s="362" t="n"/>
      <c r="AE191" s="360" t="n"/>
      <c r="AF191" s="615" t="n"/>
    </row>
    <row r="192">
      <c r="A192" s="220">
        <f>A191+1</f>
        <v/>
      </c>
      <c r="B192" s="222" t="inlineStr">
        <is>
          <t>CREDIT</t>
        </is>
      </c>
      <c r="C192" s="222" t="inlineStr">
        <is>
          <t>EXPEDITORS CAMBODIA LTD.</t>
        </is>
      </c>
      <c r="D192" s="223" t="inlineStr">
        <is>
          <t>L001-100045898</t>
        </is>
      </c>
      <c r="E192" s="349" t="inlineStr">
        <is>
          <t>TI-0306317-29</t>
        </is>
      </c>
      <c r="F192" s="332" t="n">
        <v>45688</v>
      </c>
      <c r="G192" s="224" t="n"/>
      <c r="H192" s="617" t="n"/>
      <c r="I192" s="617" t="n">
        <v>-253194</v>
      </c>
      <c r="J192" s="221" t="inlineStr">
        <is>
          <t>អនុញ្ញាត (បានប្រកាស)</t>
        </is>
      </c>
      <c r="K192" s="221" t="n"/>
      <c r="L192" s="616">
        <f>I192</f>
        <v/>
      </c>
      <c r="M192" s="588">
        <f>I192-L192</f>
        <v/>
      </c>
      <c r="N192" s="221" t="n"/>
      <c r="O192" s="226">
        <f>U192=E192</f>
        <v/>
      </c>
      <c r="P192" s="226">
        <f>MONTH(F192)-MONTH(T192)</f>
        <v/>
      </c>
      <c r="Q192" s="226">
        <f>$B$5=X192</f>
        <v/>
      </c>
      <c r="R192" s="226">
        <f>I192-AD192</f>
        <v/>
      </c>
      <c r="S192" s="360" t="n"/>
      <c r="T192" s="361" t="n"/>
      <c r="U192" s="360" t="n"/>
      <c r="V192" s="360" t="n"/>
      <c r="W192" s="360" t="n"/>
      <c r="X192" s="360" t="n"/>
      <c r="Y192" s="360" t="n"/>
      <c r="Z192" s="362" t="n"/>
      <c r="AA192" s="362" t="n"/>
      <c r="AB192" s="360" t="n"/>
      <c r="AC192" s="360" t="n"/>
      <c r="AD192" s="362" t="n"/>
      <c r="AE192" s="360" t="n"/>
      <c r="AF192" s="615" t="n"/>
    </row>
    <row r="193">
      <c r="A193" s="220">
        <f>A192+1</f>
        <v/>
      </c>
      <c r="B193" s="222" t="inlineStr">
        <is>
          <t>CREDIT</t>
        </is>
      </c>
      <c r="C193" s="222" t="inlineStr">
        <is>
          <t>EXPEDITORS CAMBODIA LTD.</t>
        </is>
      </c>
      <c r="D193" s="223" t="inlineStr">
        <is>
          <t>L001-100045898</t>
        </is>
      </c>
      <c r="E193" s="349" t="inlineStr">
        <is>
          <t>TI-0306317-28</t>
        </is>
      </c>
      <c r="F193" s="332" t="n">
        <v>45688</v>
      </c>
      <c r="G193" s="224" t="n"/>
      <c r="H193" s="617" t="n"/>
      <c r="I193" s="617" t="n">
        <v>-37319</v>
      </c>
      <c r="J193" s="221" t="inlineStr">
        <is>
          <t>អនុញ្ញាត (បានប្រកាស)</t>
        </is>
      </c>
      <c r="K193" s="221" t="n"/>
      <c r="L193" s="616">
        <f>I193</f>
        <v/>
      </c>
      <c r="M193" s="588">
        <f>I193-L193</f>
        <v/>
      </c>
      <c r="N193" s="221" t="n"/>
      <c r="O193" s="226">
        <f>U193=E193</f>
        <v/>
      </c>
      <c r="P193" s="226">
        <f>MONTH(F193)-MONTH(T193)</f>
        <v/>
      </c>
      <c r="Q193" s="226">
        <f>$B$5=X193</f>
        <v/>
      </c>
      <c r="R193" s="226">
        <f>I193-AD193</f>
        <v/>
      </c>
      <c r="S193" s="360" t="n"/>
      <c r="T193" s="361" t="n"/>
      <c r="U193" s="360" t="n"/>
      <c r="V193" s="360" t="n"/>
      <c r="W193" s="360" t="n"/>
      <c r="X193" s="360" t="n"/>
      <c r="Y193" s="360" t="n"/>
      <c r="Z193" s="362" t="n"/>
      <c r="AA193" s="362" t="n"/>
      <c r="AB193" s="360" t="n"/>
      <c r="AC193" s="360" t="n"/>
      <c r="AD193" s="362" t="n"/>
      <c r="AE193" s="360" t="n"/>
      <c r="AF193" s="615" t="n"/>
    </row>
    <row r="194">
      <c r="A194" s="220">
        <f>A193+1</f>
        <v/>
      </c>
      <c r="B194" s="222" t="inlineStr">
        <is>
          <t>CREDIT</t>
        </is>
      </c>
      <c r="C194" s="222" t="inlineStr">
        <is>
          <t>EXPEDITORS CAMBODIA LTD.</t>
        </is>
      </c>
      <c r="D194" s="223" t="inlineStr">
        <is>
          <t>L001-100045898</t>
        </is>
      </c>
      <c r="E194" s="349" t="inlineStr">
        <is>
          <t>TI-0306317-27</t>
        </is>
      </c>
      <c r="F194" s="332" t="n">
        <v>45688</v>
      </c>
      <c r="G194" s="224" t="n"/>
      <c r="H194" s="617" t="n"/>
      <c r="I194" s="617" t="n">
        <v>-216978</v>
      </c>
      <c r="J194" s="221" t="inlineStr">
        <is>
          <t>អនុញ្ញាត (បានប្រកាស)</t>
        </is>
      </c>
      <c r="K194" s="221" t="n"/>
      <c r="L194" s="616">
        <f>I194</f>
        <v/>
      </c>
      <c r="M194" s="588">
        <f>I194-L194</f>
        <v/>
      </c>
      <c r="N194" s="221" t="n"/>
      <c r="O194" s="226">
        <f>U194=E194</f>
        <v/>
      </c>
      <c r="P194" s="226">
        <f>MONTH(F194)-MONTH(T194)</f>
        <v/>
      </c>
      <c r="Q194" s="226">
        <f>$B$5=X194</f>
        <v/>
      </c>
      <c r="R194" s="226">
        <f>I194-AD194</f>
        <v/>
      </c>
      <c r="S194" s="360" t="n"/>
      <c r="T194" s="361" t="n"/>
      <c r="U194" s="360" t="n"/>
      <c r="V194" s="360" t="n"/>
      <c r="W194" s="360" t="n"/>
      <c r="X194" s="360" t="n"/>
      <c r="Y194" s="360" t="n"/>
      <c r="Z194" s="362" t="n"/>
      <c r="AA194" s="362" t="n"/>
      <c r="AB194" s="360" t="n"/>
      <c r="AC194" s="360" t="n"/>
      <c r="AD194" s="362" t="n"/>
      <c r="AE194" s="360" t="n"/>
      <c r="AF194" s="615" t="n"/>
    </row>
    <row r="195">
      <c r="A195" s="220">
        <f>A194+1</f>
        <v/>
      </c>
      <c r="B195" s="222" t="inlineStr">
        <is>
          <t>CREDIT</t>
        </is>
      </c>
      <c r="C195" s="222" t="inlineStr">
        <is>
          <t>EXPEDITORS CAMBODIA LTD.</t>
        </is>
      </c>
      <c r="D195" s="223" t="inlineStr">
        <is>
          <t>L001-100045898</t>
        </is>
      </c>
      <c r="E195" s="349" t="inlineStr">
        <is>
          <t>TI-0306317-26</t>
        </is>
      </c>
      <c r="F195" s="332" t="n">
        <v>45688</v>
      </c>
      <c r="G195" s="224" t="n"/>
      <c r="H195" s="617" t="n"/>
      <c r="I195" s="617" t="n">
        <v>-253194</v>
      </c>
      <c r="J195" s="221" t="inlineStr">
        <is>
          <t>អនុញ្ញាត (បានប្រកាស)</t>
        </is>
      </c>
      <c r="K195" s="221" t="n"/>
      <c r="L195" s="616">
        <f>I195</f>
        <v/>
      </c>
      <c r="M195" s="588">
        <f>I195-L195</f>
        <v/>
      </c>
      <c r="N195" s="221" t="n"/>
      <c r="O195" s="226">
        <f>U195=E195</f>
        <v/>
      </c>
      <c r="P195" s="226">
        <f>MONTH(F195)-MONTH(T195)</f>
        <v/>
      </c>
      <c r="Q195" s="226">
        <f>$B$5=X195</f>
        <v/>
      </c>
      <c r="R195" s="226">
        <f>I195-AD195</f>
        <v/>
      </c>
      <c r="S195" s="360" t="n"/>
      <c r="T195" s="361" t="n"/>
      <c r="U195" s="360" t="n"/>
      <c r="V195" s="360" t="n"/>
      <c r="W195" s="360" t="n"/>
      <c r="X195" s="360" t="n"/>
      <c r="Y195" s="360" t="n"/>
      <c r="Z195" s="362" t="n"/>
      <c r="AA195" s="362" t="n"/>
      <c r="AB195" s="360" t="n"/>
      <c r="AC195" s="360" t="n"/>
      <c r="AD195" s="362" t="n"/>
      <c r="AE195" s="360" t="n"/>
      <c r="AF195" s="615" t="n"/>
    </row>
    <row r="196">
      <c r="A196" s="220">
        <f>A195+1</f>
        <v/>
      </c>
      <c r="B196" s="222" t="inlineStr">
        <is>
          <t>CREDIT</t>
        </is>
      </c>
      <c r="C196" s="222" t="inlineStr">
        <is>
          <t>EXPEDITORS CAMBODIA LTD.</t>
        </is>
      </c>
      <c r="D196" s="223" t="inlineStr">
        <is>
          <t>L001-100045898</t>
        </is>
      </c>
      <c r="E196" s="349" t="inlineStr">
        <is>
          <t>TI-0306317-25</t>
        </is>
      </c>
      <c r="F196" s="332" t="n">
        <v>45688</v>
      </c>
      <c r="G196" s="224" t="n"/>
      <c r="H196" s="617" t="n"/>
      <c r="I196" s="617" t="n">
        <v>-155499</v>
      </c>
      <c r="J196" s="221" t="inlineStr">
        <is>
          <t>អនុញ្ញាត (បានប្រកាស)</t>
        </is>
      </c>
      <c r="K196" s="221" t="n"/>
      <c r="L196" s="616">
        <f>I196</f>
        <v/>
      </c>
      <c r="M196" s="588">
        <f>I196-L196</f>
        <v/>
      </c>
      <c r="N196" s="221" t="n"/>
      <c r="O196" s="226">
        <f>U196=E196</f>
        <v/>
      </c>
      <c r="P196" s="226">
        <f>MONTH(F196)-MONTH(T196)</f>
        <v/>
      </c>
      <c r="Q196" s="226">
        <f>$B$5=X196</f>
        <v/>
      </c>
      <c r="R196" s="226">
        <f>I196-AD196</f>
        <v/>
      </c>
      <c r="S196" s="360" t="n"/>
      <c r="T196" s="361" t="n"/>
      <c r="U196" s="360" t="n"/>
      <c r="V196" s="360" t="n"/>
      <c r="W196" s="360" t="n"/>
      <c r="X196" s="360" t="n"/>
      <c r="Y196" s="360" t="n"/>
      <c r="Z196" s="362" t="n"/>
      <c r="AA196" s="362" t="n"/>
      <c r="AB196" s="360" t="n"/>
      <c r="AC196" s="360" t="n"/>
      <c r="AD196" s="362" t="n"/>
      <c r="AE196" s="360" t="n"/>
      <c r="AF196" s="615" t="n"/>
    </row>
    <row r="197">
      <c r="A197" s="220">
        <f>A196+1</f>
        <v/>
      </c>
      <c r="B197" s="222" t="inlineStr">
        <is>
          <t>CREDIT</t>
        </is>
      </c>
      <c r="C197" s="222" t="inlineStr">
        <is>
          <t>EXPEDITORS CAMBODIA LTD.</t>
        </is>
      </c>
      <c r="D197" s="223" t="inlineStr">
        <is>
          <t>L001-100045898</t>
        </is>
      </c>
      <c r="E197" s="349" t="inlineStr">
        <is>
          <t>TI-0306317-24</t>
        </is>
      </c>
      <c r="F197" s="332" t="n">
        <v>45688</v>
      </c>
      <c r="G197" s="224" t="n"/>
      <c r="H197" s="617" t="n"/>
      <c r="I197" s="617" t="n">
        <v>-43503</v>
      </c>
      <c r="J197" s="221" t="inlineStr">
        <is>
          <t>អនុញ្ញាត (បានប្រកាស)</t>
        </is>
      </c>
      <c r="K197" s="221" t="n"/>
      <c r="L197" s="616">
        <f>I197</f>
        <v/>
      </c>
      <c r="M197" s="588">
        <f>I197-L197</f>
        <v/>
      </c>
      <c r="N197" s="221" t="n"/>
      <c r="O197" s="226">
        <f>U197=E197</f>
        <v/>
      </c>
      <c r="P197" s="226">
        <f>MONTH(F197)-MONTH(T197)</f>
        <v/>
      </c>
      <c r="Q197" s="226">
        <f>$B$5=X197</f>
        <v/>
      </c>
      <c r="R197" s="226">
        <f>I197-AD197</f>
        <v/>
      </c>
      <c r="S197" s="360" t="n"/>
      <c r="T197" s="361" t="n"/>
      <c r="U197" s="360" t="n"/>
      <c r="V197" s="360" t="n"/>
      <c r="W197" s="360" t="n"/>
      <c r="X197" s="360" t="n"/>
      <c r="Y197" s="360" t="n"/>
      <c r="Z197" s="362" t="n"/>
      <c r="AA197" s="362" t="n"/>
      <c r="AB197" s="360" t="n"/>
      <c r="AC197" s="360" t="n"/>
      <c r="AD197" s="362" t="n"/>
      <c r="AE197" s="360" t="n"/>
      <c r="AF197" s="615" t="n"/>
    </row>
    <row r="198">
      <c r="A198" s="220">
        <f>A197+1</f>
        <v/>
      </c>
      <c r="B198" s="222" t="inlineStr">
        <is>
          <t>CREDIT</t>
        </is>
      </c>
      <c r="C198" s="222" t="inlineStr">
        <is>
          <t>EXPEDITORS CAMBODIA LTD.</t>
        </is>
      </c>
      <c r="D198" s="223" t="inlineStr">
        <is>
          <t>L001-100045898</t>
        </is>
      </c>
      <c r="E198" s="349" t="inlineStr">
        <is>
          <t>TI-0306317-23</t>
        </is>
      </c>
      <c r="F198" s="332" t="n">
        <v>45688</v>
      </c>
      <c r="G198" s="224" t="n"/>
      <c r="H198" s="617" t="n"/>
      <c r="I198" s="617" t="n">
        <v>-24832</v>
      </c>
      <c r="J198" s="221" t="inlineStr">
        <is>
          <t>អនុញ្ញាត (បានប្រកាស)</t>
        </is>
      </c>
      <c r="K198" s="221" t="n"/>
      <c r="L198" s="616">
        <f>I198</f>
        <v/>
      </c>
      <c r="M198" s="588">
        <f>I198-L198</f>
        <v/>
      </c>
      <c r="N198" s="221" t="n"/>
      <c r="O198" s="226">
        <f>U198=E198</f>
        <v/>
      </c>
      <c r="P198" s="226">
        <f>MONTH(F198)-MONTH(T198)</f>
        <v/>
      </c>
      <c r="Q198" s="226">
        <f>$B$5=X198</f>
        <v/>
      </c>
      <c r="R198" s="226">
        <f>I198-AD198</f>
        <v/>
      </c>
      <c r="S198" s="360" t="n"/>
      <c r="T198" s="361" t="n"/>
      <c r="U198" s="360" t="n"/>
      <c r="V198" s="360" t="n"/>
      <c r="W198" s="360" t="n"/>
      <c r="X198" s="360" t="n"/>
      <c r="Y198" s="360" t="n"/>
      <c r="Z198" s="362" t="n"/>
      <c r="AA198" s="362" t="n"/>
      <c r="AB198" s="360" t="n"/>
      <c r="AC198" s="360" t="n"/>
      <c r="AD198" s="362" t="n"/>
      <c r="AE198" s="360" t="n"/>
      <c r="AF198" s="615" t="n"/>
    </row>
    <row r="199">
      <c r="A199" s="220">
        <f>A198+1</f>
        <v/>
      </c>
      <c r="B199" s="222" t="inlineStr">
        <is>
          <t>CREDIT</t>
        </is>
      </c>
      <c r="C199" s="222" t="inlineStr">
        <is>
          <t>EXPEDITORS CAMBODIA LTD.</t>
        </is>
      </c>
      <c r="D199" s="223" t="inlineStr">
        <is>
          <t>L001-100045898</t>
        </is>
      </c>
      <c r="E199" s="349" t="inlineStr">
        <is>
          <t>TI-0306317-22</t>
        </is>
      </c>
      <c r="F199" s="332" t="n">
        <v>45688</v>
      </c>
      <c r="G199" s="224" t="n"/>
      <c r="H199" s="617" t="n"/>
      <c r="I199" s="617" t="n">
        <v>-92910</v>
      </c>
      <c r="J199" s="221" t="inlineStr">
        <is>
          <t>អនុញ្ញាត (បានប្រកាស)</t>
        </is>
      </c>
      <c r="K199" s="221" t="n"/>
      <c r="L199" s="616">
        <f>I199</f>
        <v/>
      </c>
      <c r="M199" s="588">
        <f>I199-L199</f>
        <v/>
      </c>
      <c r="N199" s="221" t="n"/>
      <c r="O199" s="226">
        <f>U199=E199</f>
        <v/>
      </c>
      <c r="P199" s="226">
        <f>MONTH(F199)-MONTH(T199)</f>
        <v/>
      </c>
      <c r="Q199" s="226">
        <f>$B$5=X199</f>
        <v/>
      </c>
      <c r="R199" s="226">
        <f>I199-AD199</f>
        <v/>
      </c>
      <c r="S199" s="360" t="n"/>
      <c r="T199" s="361" t="n"/>
      <c r="U199" s="360" t="n"/>
      <c r="V199" s="360" t="n"/>
      <c r="W199" s="360" t="n"/>
      <c r="X199" s="360" t="n"/>
      <c r="Y199" s="360" t="n"/>
      <c r="Z199" s="362" t="n"/>
      <c r="AA199" s="362" t="n"/>
      <c r="AB199" s="360" t="n"/>
      <c r="AC199" s="360" t="n"/>
      <c r="AD199" s="362" t="n"/>
      <c r="AE199" s="360" t="n"/>
      <c r="AF199" s="615" t="n"/>
    </row>
    <row r="200">
      <c r="A200" s="220">
        <f>A199+1</f>
        <v/>
      </c>
      <c r="B200" s="222" t="inlineStr">
        <is>
          <t>CREDIT</t>
        </is>
      </c>
      <c r="C200" s="222" t="inlineStr">
        <is>
          <t>EXPEDITORS CAMBODIA LTD.</t>
        </is>
      </c>
      <c r="D200" s="223" t="inlineStr">
        <is>
          <t>L001-100045898</t>
        </is>
      </c>
      <c r="E200" s="349" t="inlineStr">
        <is>
          <t>TI-0306317-21</t>
        </is>
      </c>
      <c r="F200" s="332" t="n">
        <v>45688</v>
      </c>
      <c r="G200" s="224" t="n"/>
      <c r="H200" s="617" t="n"/>
      <c r="I200" s="617" t="n">
        <v>-43503</v>
      </c>
      <c r="J200" s="221" t="inlineStr">
        <is>
          <t>អនុញ្ញាត (បានប្រកាស)</t>
        </is>
      </c>
      <c r="K200" s="221" t="n"/>
      <c r="L200" s="616">
        <f>I200</f>
        <v/>
      </c>
      <c r="M200" s="588">
        <f>I200-L200</f>
        <v/>
      </c>
      <c r="N200" s="221" t="n"/>
      <c r="O200" s="226">
        <f>U200=E200</f>
        <v/>
      </c>
      <c r="P200" s="226">
        <f>MONTH(F200)-MONTH(T200)</f>
        <v/>
      </c>
      <c r="Q200" s="226">
        <f>$B$5=X200</f>
        <v/>
      </c>
      <c r="R200" s="226">
        <f>I200-AD200</f>
        <v/>
      </c>
      <c r="S200" s="360" t="n"/>
      <c r="T200" s="361" t="n"/>
      <c r="U200" s="360" t="n"/>
      <c r="V200" s="360" t="n"/>
      <c r="W200" s="360" t="n"/>
      <c r="X200" s="360" t="n"/>
      <c r="Y200" s="360" t="n"/>
      <c r="Z200" s="362" t="n"/>
      <c r="AA200" s="362" t="n"/>
      <c r="AB200" s="360" t="n"/>
      <c r="AC200" s="360" t="n"/>
      <c r="AD200" s="362" t="n"/>
      <c r="AE200" s="360" t="n"/>
      <c r="AF200" s="615" t="n"/>
    </row>
    <row r="201">
      <c r="A201" s="220">
        <f>A200+1</f>
        <v/>
      </c>
      <c r="B201" s="222" t="inlineStr">
        <is>
          <t>CREDIT</t>
        </is>
      </c>
      <c r="C201" s="222" t="inlineStr">
        <is>
          <t>EXPEDITORS CAMBODIA LTD.</t>
        </is>
      </c>
      <c r="D201" s="223" t="inlineStr">
        <is>
          <t>L001-100045898</t>
        </is>
      </c>
      <c r="E201" s="349" t="inlineStr">
        <is>
          <t>TI-0306317-20</t>
        </is>
      </c>
      <c r="F201" s="332" t="n">
        <v>45688</v>
      </c>
      <c r="G201" s="224" t="n"/>
      <c r="H201" s="617" t="n"/>
      <c r="I201" s="617" t="n">
        <v>-49539</v>
      </c>
      <c r="J201" s="221" t="inlineStr">
        <is>
          <t>អនុញ្ញាត (បានប្រកាស)</t>
        </is>
      </c>
      <c r="K201" s="221" t="n"/>
      <c r="L201" s="616">
        <f>I201</f>
        <v/>
      </c>
      <c r="M201" s="588">
        <f>I201-L201</f>
        <v/>
      </c>
      <c r="N201" s="221" t="n"/>
      <c r="O201" s="226">
        <f>U201=E201</f>
        <v/>
      </c>
      <c r="P201" s="226">
        <f>MONTH(F201)-MONTH(T201)</f>
        <v/>
      </c>
      <c r="Q201" s="226">
        <f>$B$5=X201</f>
        <v/>
      </c>
      <c r="R201" s="226">
        <f>I201-AD201</f>
        <v/>
      </c>
      <c r="S201" s="360" t="n"/>
      <c r="T201" s="361" t="n"/>
      <c r="U201" s="360" t="n"/>
      <c r="V201" s="360" t="n"/>
      <c r="W201" s="360" t="n"/>
      <c r="X201" s="360" t="n"/>
      <c r="Y201" s="360" t="n"/>
      <c r="Z201" s="362" t="n"/>
      <c r="AA201" s="362" t="n"/>
      <c r="AB201" s="360" t="n"/>
      <c r="AC201" s="360" t="n"/>
      <c r="AD201" s="362" t="n"/>
      <c r="AE201" s="360" t="n"/>
      <c r="AF201" s="615" t="n"/>
    </row>
    <row r="202">
      <c r="A202" s="220">
        <f>A201+1</f>
        <v/>
      </c>
      <c r="B202" s="222" t="inlineStr">
        <is>
          <t>CREDIT</t>
        </is>
      </c>
      <c r="C202" s="222" t="inlineStr">
        <is>
          <t>EXPEDITORS CAMBODIA LTD.</t>
        </is>
      </c>
      <c r="D202" s="223" t="inlineStr">
        <is>
          <t>L001-100045898</t>
        </is>
      </c>
      <c r="E202" s="349" t="inlineStr">
        <is>
          <t>TI-0306317-19</t>
        </is>
      </c>
      <c r="F202" s="332" t="n">
        <v>45688</v>
      </c>
      <c r="G202" s="224" t="n"/>
      <c r="H202" s="617" t="n"/>
      <c r="I202" s="617" t="n">
        <v>-43503</v>
      </c>
      <c r="J202" s="221" t="inlineStr">
        <is>
          <t>អនុញ្ញាត (បានប្រកាស)</t>
        </is>
      </c>
      <c r="K202" s="221" t="n"/>
      <c r="L202" s="616">
        <f>I202</f>
        <v/>
      </c>
      <c r="M202" s="588">
        <f>I202-L202</f>
        <v/>
      </c>
      <c r="N202" s="221" t="n"/>
      <c r="O202" s="226">
        <f>U202=E202</f>
        <v/>
      </c>
      <c r="P202" s="226">
        <f>MONTH(F202)-MONTH(T202)</f>
        <v/>
      </c>
      <c r="Q202" s="226">
        <f>$B$5=X202</f>
        <v/>
      </c>
      <c r="R202" s="226">
        <f>I202-AD202</f>
        <v/>
      </c>
      <c r="S202" s="360" t="n"/>
      <c r="T202" s="361" t="n"/>
      <c r="U202" s="360" t="n"/>
      <c r="V202" s="360" t="n"/>
      <c r="W202" s="360" t="n"/>
      <c r="X202" s="360" t="n"/>
      <c r="Y202" s="360" t="n"/>
      <c r="Z202" s="362" t="n"/>
      <c r="AA202" s="362" t="n"/>
      <c r="AB202" s="360" t="n"/>
      <c r="AC202" s="360" t="n"/>
      <c r="AD202" s="362" t="n"/>
      <c r="AE202" s="360" t="n"/>
      <c r="AF202" s="615" t="n"/>
    </row>
    <row r="203">
      <c r="A203" s="220">
        <f>A202+1</f>
        <v/>
      </c>
      <c r="B203" s="222" t="inlineStr">
        <is>
          <t>CREDIT</t>
        </is>
      </c>
      <c r="C203" s="222" t="inlineStr">
        <is>
          <t>EXPEDITORS CAMBODIA LTD.</t>
        </is>
      </c>
      <c r="D203" s="223" t="inlineStr">
        <is>
          <t>L001-100045898</t>
        </is>
      </c>
      <c r="E203" s="349" t="inlineStr">
        <is>
          <t>TI-0306317-18</t>
        </is>
      </c>
      <c r="F203" s="332" t="n">
        <v>45688</v>
      </c>
      <c r="G203" s="224" t="n"/>
      <c r="H203" s="617" t="n"/>
      <c r="I203" s="617" t="n">
        <v>-123645</v>
      </c>
      <c r="J203" s="221" t="inlineStr">
        <is>
          <t>អនុញ្ញាត (បានប្រកាស)</t>
        </is>
      </c>
      <c r="K203" s="221" t="n"/>
      <c r="L203" s="616">
        <f>I203</f>
        <v/>
      </c>
      <c r="M203" s="588">
        <f>I203-L203</f>
        <v/>
      </c>
      <c r="N203" s="221" t="n"/>
      <c r="O203" s="226">
        <f>U203=E203</f>
        <v/>
      </c>
      <c r="P203" s="226">
        <f>MONTH(F203)-MONTH(T203)</f>
        <v/>
      </c>
      <c r="Q203" s="226">
        <f>$B$5=X203</f>
        <v/>
      </c>
      <c r="R203" s="226">
        <f>I203-AD203</f>
        <v/>
      </c>
      <c r="S203" s="360" t="n"/>
      <c r="T203" s="361" t="n"/>
      <c r="U203" s="360" t="n"/>
      <c r="V203" s="360" t="n"/>
      <c r="W203" s="360" t="n"/>
      <c r="X203" s="360" t="n"/>
      <c r="Y203" s="360" t="n"/>
      <c r="Z203" s="362" t="n"/>
      <c r="AA203" s="362" t="n"/>
      <c r="AB203" s="360" t="n"/>
      <c r="AC203" s="360" t="n"/>
      <c r="AD203" s="362" t="n"/>
      <c r="AE203" s="360" t="n"/>
      <c r="AF203" s="615" t="n"/>
    </row>
    <row r="204">
      <c r="A204" s="220">
        <f>A203+1</f>
        <v/>
      </c>
      <c r="B204" s="222" t="inlineStr">
        <is>
          <t>CREDIT</t>
        </is>
      </c>
      <c r="C204" s="222" t="inlineStr">
        <is>
          <t>EXPEDITORS CAMBODIA LTD.</t>
        </is>
      </c>
      <c r="D204" s="223" t="inlineStr">
        <is>
          <t>L001-100045898</t>
        </is>
      </c>
      <c r="E204" s="349" t="inlineStr">
        <is>
          <t>TI-0306317-17</t>
        </is>
      </c>
      <c r="F204" s="332" t="n">
        <v>45688</v>
      </c>
      <c r="G204" s="224" t="n"/>
      <c r="H204" s="617" t="n"/>
      <c r="I204" s="617" t="n">
        <v>-148908</v>
      </c>
      <c r="J204" s="221" t="inlineStr">
        <is>
          <t>អនុញ្ញាត (បានប្រកាស)</t>
        </is>
      </c>
      <c r="K204" s="221" t="n"/>
      <c r="L204" s="616">
        <f>I204</f>
        <v/>
      </c>
      <c r="M204" s="588">
        <f>I204-L204</f>
        <v/>
      </c>
      <c r="N204" s="221" t="n"/>
      <c r="O204" s="226">
        <f>U204=E204</f>
        <v/>
      </c>
      <c r="P204" s="226">
        <f>MONTH(F204)-MONTH(T204)</f>
        <v/>
      </c>
      <c r="Q204" s="226">
        <f>$B$5=X204</f>
        <v/>
      </c>
      <c r="R204" s="226">
        <f>I204-AD204</f>
        <v/>
      </c>
      <c r="S204" s="360" t="n"/>
      <c r="T204" s="361" t="n"/>
      <c r="U204" s="360" t="n"/>
      <c r="V204" s="360" t="n"/>
      <c r="W204" s="360" t="n"/>
      <c r="X204" s="360" t="n"/>
      <c r="Y204" s="360" t="n"/>
      <c r="Z204" s="362" t="n"/>
      <c r="AA204" s="362" t="n"/>
      <c r="AB204" s="360" t="n"/>
      <c r="AC204" s="360" t="n"/>
      <c r="AD204" s="362" t="n"/>
      <c r="AE204" s="360" t="n"/>
      <c r="AF204" s="615" t="n"/>
    </row>
    <row r="205">
      <c r="A205" s="220">
        <f>A204+1</f>
        <v/>
      </c>
      <c r="B205" s="222" t="inlineStr">
        <is>
          <t>CREDIT</t>
        </is>
      </c>
      <c r="C205" s="222" t="inlineStr">
        <is>
          <t>EXPEDITORS CAMBODIA LTD.</t>
        </is>
      </c>
      <c r="D205" s="223" t="inlineStr">
        <is>
          <t>L001-100045898</t>
        </is>
      </c>
      <c r="E205" s="349" t="inlineStr">
        <is>
          <t>TI-0306317-16</t>
        </is>
      </c>
      <c r="F205" s="332" t="n">
        <v>45688</v>
      </c>
      <c r="G205" s="224" t="n"/>
      <c r="H205" s="617" t="n"/>
      <c r="I205" s="617" t="n">
        <v>-42252</v>
      </c>
      <c r="J205" s="221" t="inlineStr">
        <is>
          <t>អនុញ្ញាត (បានប្រកាស)</t>
        </is>
      </c>
      <c r="K205" s="221" t="n"/>
      <c r="L205" s="616">
        <f>I205</f>
        <v/>
      </c>
      <c r="M205" s="588">
        <f>I205-L205</f>
        <v/>
      </c>
      <c r="N205" s="221" t="n"/>
      <c r="O205" s="226">
        <f>U205=E205</f>
        <v/>
      </c>
      <c r="P205" s="226">
        <f>MONTH(F205)-MONTH(T205)</f>
        <v/>
      </c>
      <c r="Q205" s="226">
        <f>$B$5=X205</f>
        <v/>
      </c>
      <c r="R205" s="226">
        <f>I205-AD205</f>
        <v/>
      </c>
      <c r="S205" s="360" t="n"/>
      <c r="T205" s="361" t="n"/>
      <c r="U205" s="360" t="n"/>
      <c r="V205" s="360" t="n"/>
      <c r="W205" s="360" t="n"/>
      <c r="X205" s="360" t="n"/>
      <c r="Y205" s="360" t="n"/>
      <c r="Z205" s="362" t="n"/>
      <c r="AA205" s="362" t="n"/>
      <c r="AB205" s="360" t="n"/>
      <c r="AC205" s="360" t="n"/>
      <c r="AD205" s="362" t="n"/>
      <c r="AE205" s="360" t="n"/>
      <c r="AF205" s="615" t="n"/>
    </row>
    <row r="206">
      <c r="A206" s="220">
        <f>A205+1</f>
        <v/>
      </c>
      <c r="B206" s="222" t="inlineStr">
        <is>
          <t>CREDIT</t>
        </is>
      </c>
      <c r="C206" s="222" t="inlineStr">
        <is>
          <t>EXPEDITORS CAMBODIA LTD.</t>
        </is>
      </c>
      <c r="D206" s="223" t="inlineStr">
        <is>
          <t>L001-100045898</t>
        </is>
      </c>
      <c r="E206" s="349" t="inlineStr">
        <is>
          <t>TI-0306317-15</t>
        </is>
      </c>
      <c r="F206" s="332" t="n">
        <v>45688</v>
      </c>
      <c r="G206" s="224" t="n"/>
      <c r="H206" s="617" t="n"/>
      <c r="I206" s="617" t="n">
        <v>-60360</v>
      </c>
      <c r="J206" s="221" t="inlineStr">
        <is>
          <t>អនុញ្ញាត (បានប្រកាស)</t>
        </is>
      </c>
      <c r="K206" s="221" t="n"/>
      <c r="L206" s="616">
        <f>I206</f>
        <v/>
      </c>
      <c r="M206" s="588">
        <f>I206-L206</f>
        <v/>
      </c>
      <c r="N206" s="221" t="n"/>
      <c r="O206" s="226">
        <f>U206=E206</f>
        <v/>
      </c>
      <c r="P206" s="226">
        <f>MONTH(F206)-MONTH(T206)</f>
        <v/>
      </c>
      <c r="Q206" s="226">
        <f>$B$5=X206</f>
        <v/>
      </c>
      <c r="R206" s="226">
        <f>I206-AD206</f>
        <v/>
      </c>
      <c r="S206" s="360" t="n"/>
      <c r="T206" s="361" t="n"/>
      <c r="U206" s="360" t="n"/>
      <c r="V206" s="360" t="n"/>
      <c r="W206" s="360" t="n"/>
      <c r="X206" s="360" t="n"/>
      <c r="Y206" s="360" t="n"/>
      <c r="Z206" s="362" t="n"/>
      <c r="AA206" s="362" t="n"/>
      <c r="AB206" s="360" t="n"/>
      <c r="AC206" s="360" t="n"/>
      <c r="AD206" s="362" t="n"/>
      <c r="AE206" s="360" t="n"/>
      <c r="AF206" s="615" t="n"/>
    </row>
    <row r="207">
      <c r="A207" s="220">
        <f>A206+1</f>
        <v/>
      </c>
      <c r="B207" s="222" t="inlineStr">
        <is>
          <t>CREDIT</t>
        </is>
      </c>
      <c r="C207" s="222" t="inlineStr">
        <is>
          <t>EXPEDITORS CAMBODIA LTD.</t>
        </is>
      </c>
      <c r="D207" s="223" t="inlineStr">
        <is>
          <t>L001-100045898</t>
        </is>
      </c>
      <c r="E207" s="349" t="inlineStr">
        <is>
          <t>TI-0306317-14</t>
        </is>
      </c>
      <c r="F207" s="332" t="n">
        <v>45688</v>
      </c>
      <c r="G207" s="224" t="n"/>
      <c r="H207" s="617" t="n"/>
      <c r="I207" s="617" t="n">
        <v>-78468</v>
      </c>
      <c r="J207" s="221" t="inlineStr">
        <is>
          <t>អនុញ្ញាត (បានប្រកាស)</t>
        </is>
      </c>
      <c r="K207" s="221" t="n"/>
      <c r="L207" s="616">
        <f>I207</f>
        <v/>
      </c>
      <c r="M207" s="588">
        <f>I207-L207</f>
        <v/>
      </c>
      <c r="N207" s="221" t="n"/>
      <c r="O207" s="226">
        <f>U207=E207</f>
        <v/>
      </c>
      <c r="P207" s="226">
        <f>MONTH(F207)-MONTH(T207)</f>
        <v/>
      </c>
      <c r="Q207" s="226">
        <f>$B$5=X207</f>
        <v/>
      </c>
      <c r="R207" s="226">
        <f>I207-AD207</f>
        <v/>
      </c>
      <c r="S207" s="360" t="n"/>
      <c r="T207" s="361" t="n"/>
      <c r="U207" s="360" t="n"/>
      <c r="V207" s="360" t="n"/>
      <c r="W207" s="360" t="n"/>
      <c r="X207" s="360" t="n"/>
      <c r="Y207" s="360" t="n"/>
      <c r="Z207" s="362" t="n"/>
      <c r="AA207" s="362" t="n"/>
      <c r="AB207" s="360" t="n"/>
      <c r="AC207" s="360" t="n"/>
      <c r="AD207" s="362" t="n"/>
      <c r="AE207" s="360" t="n"/>
      <c r="AF207" s="615" t="n"/>
    </row>
    <row r="208">
      <c r="A208" s="220">
        <f>A207+1</f>
        <v/>
      </c>
      <c r="B208" s="222" t="inlineStr">
        <is>
          <t>CREDIT</t>
        </is>
      </c>
      <c r="C208" s="222" t="inlineStr">
        <is>
          <t>EXPEDITORS CAMBODIA LTD.</t>
        </is>
      </c>
      <c r="D208" s="223" t="inlineStr">
        <is>
          <t>L001-100045898</t>
        </is>
      </c>
      <c r="E208" s="349" t="inlineStr">
        <is>
          <t>TI-0306317-13</t>
        </is>
      </c>
      <c r="F208" s="332" t="n">
        <v>45688</v>
      </c>
      <c r="G208" s="224" t="n"/>
      <c r="H208" s="617" t="n"/>
      <c r="I208" s="617" t="n">
        <v>-187116</v>
      </c>
      <c r="J208" s="221" t="inlineStr">
        <is>
          <t>អនុញ្ញាត (បានប្រកាស)</t>
        </is>
      </c>
      <c r="K208" s="221" t="n"/>
      <c r="L208" s="616">
        <f>I208</f>
        <v/>
      </c>
      <c r="M208" s="588">
        <f>I208-L208</f>
        <v/>
      </c>
      <c r="N208" s="221" t="n"/>
      <c r="O208" s="226">
        <f>U208=E208</f>
        <v/>
      </c>
      <c r="P208" s="226">
        <f>MONTH(F208)-MONTH(T208)</f>
        <v/>
      </c>
      <c r="Q208" s="226">
        <f>$B$5=X208</f>
        <v/>
      </c>
      <c r="R208" s="226">
        <f>I208-AD208</f>
        <v/>
      </c>
      <c r="S208" s="360" t="n"/>
      <c r="T208" s="361" t="n"/>
      <c r="U208" s="360" t="n"/>
      <c r="V208" s="360" t="n"/>
      <c r="W208" s="360" t="n"/>
      <c r="X208" s="360" t="n"/>
      <c r="Y208" s="360" t="n"/>
      <c r="Z208" s="362" t="n"/>
      <c r="AA208" s="362" t="n"/>
      <c r="AB208" s="360" t="n"/>
      <c r="AC208" s="360" t="n"/>
      <c r="AD208" s="362" t="n"/>
      <c r="AE208" s="360" t="n"/>
      <c r="AF208" s="615" t="n"/>
    </row>
    <row r="209">
      <c r="A209" s="220">
        <f>A208+1</f>
        <v/>
      </c>
      <c r="B209" s="222" t="inlineStr">
        <is>
          <t>CREDIT</t>
        </is>
      </c>
      <c r="C209" s="222" t="inlineStr">
        <is>
          <t>EXPEDITORS CAMBODIA LTD.</t>
        </is>
      </c>
      <c r="D209" s="223" t="inlineStr">
        <is>
          <t>L001-100045898</t>
        </is>
      </c>
      <c r="E209" s="349" t="inlineStr">
        <is>
          <t>TI-0306317-12</t>
        </is>
      </c>
      <c r="F209" s="332" t="n">
        <v>45688</v>
      </c>
      <c r="G209" s="224" t="n"/>
      <c r="H209" s="617" t="n"/>
      <c r="I209" s="617" t="n">
        <v>-18108</v>
      </c>
      <c r="J209" s="221" t="inlineStr">
        <is>
          <t>អនុញ្ញាត (បានប្រកាស)</t>
        </is>
      </c>
      <c r="K209" s="221" t="n"/>
      <c r="L209" s="616">
        <f>I209</f>
        <v/>
      </c>
      <c r="M209" s="588">
        <f>I209-L209</f>
        <v/>
      </c>
      <c r="N209" s="221" t="n"/>
      <c r="O209" s="226">
        <f>U209=E209</f>
        <v/>
      </c>
      <c r="P209" s="226">
        <f>MONTH(F209)-MONTH(T209)</f>
        <v/>
      </c>
      <c r="Q209" s="226">
        <f>$B$5=X209</f>
        <v/>
      </c>
      <c r="R209" s="226">
        <f>I209-AD209</f>
        <v/>
      </c>
      <c r="S209" s="360" t="n"/>
      <c r="T209" s="361" t="n"/>
      <c r="U209" s="360" t="n"/>
      <c r="V209" s="360" t="n"/>
      <c r="W209" s="360" t="n"/>
      <c r="X209" s="360" t="n"/>
      <c r="Y209" s="360" t="n"/>
      <c r="Z209" s="362" t="n"/>
      <c r="AA209" s="362" t="n"/>
      <c r="AB209" s="360" t="n"/>
      <c r="AC209" s="360" t="n"/>
      <c r="AD209" s="362" t="n"/>
      <c r="AE209" s="360" t="n"/>
      <c r="AF209" s="615" t="n"/>
    </row>
    <row r="210">
      <c r="A210" s="220">
        <f>A209+1</f>
        <v/>
      </c>
      <c r="B210" s="222" t="inlineStr">
        <is>
          <t>CREDIT</t>
        </is>
      </c>
      <c r="C210" s="222" t="inlineStr">
        <is>
          <t>EXPEDITORS CAMBODIA LTD.</t>
        </is>
      </c>
      <c r="D210" s="223" t="inlineStr">
        <is>
          <t>L001-100045898</t>
        </is>
      </c>
      <c r="E210" s="349" t="inlineStr">
        <is>
          <t>TI-0306317-11</t>
        </is>
      </c>
      <c r="F210" s="332" t="n">
        <v>45688</v>
      </c>
      <c r="G210" s="224" t="n"/>
      <c r="H210" s="617" t="n"/>
      <c r="I210" s="617" t="n">
        <v>-78468</v>
      </c>
      <c r="J210" s="221" t="inlineStr">
        <is>
          <t>អនុញ្ញាត (បានប្រកាស)</t>
        </is>
      </c>
      <c r="K210" s="221" t="n"/>
      <c r="L210" s="616">
        <f>I210</f>
        <v/>
      </c>
      <c r="M210" s="588">
        <f>I210-L210</f>
        <v/>
      </c>
      <c r="N210" s="221" t="n"/>
      <c r="O210" s="226">
        <f>U210=E210</f>
        <v/>
      </c>
      <c r="P210" s="226">
        <f>MONTH(F210)-MONTH(T210)</f>
        <v/>
      </c>
      <c r="Q210" s="226">
        <f>$B$5=X210</f>
        <v/>
      </c>
      <c r="R210" s="226">
        <f>I210-AD210</f>
        <v/>
      </c>
      <c r="S210" s="360" t="inlineStr">
        <is>
          <t>Wrong invoice number</t>
        </is>
      </c>
      <c r="T210" s="361" t="n"/>
      <c r="U210" s="360" t="n"/>
      <c r="V210" s="360" t="n"/>
      <c r="W210" s="360" t="n"/>
      <c r="X210" s="360" t="n"/>
      <c r="Y210" s="360" t="n"/>
      <c r="Z210" s="362" t="n"/>
      <c r="AA210" s="362" t="n"/>
      <c r="AB210" s="360" t="n"/>
      <c r="AC210" s="360" t="n"/>
      <c r="AD210" s="362" t="n"/>
      <c r="AE210" s="360" t="n"/>
      <c r="AF210" s="615" t="n"/>
    </row>
    <row r="211">
      <c r="A211" s="220">
        <f>A210+1</f>
        <v/>
      </c>
      <c r="B211" s="222" t="inlineStr">
        <is>
          <t>CREDIT</t>
        </is>
      </c>
      <c r="C211" s="222" t="inlineStr">
        <is>
          <t>EXPEDITORS CAMBODIA LTD.</t>
        </is>
      </c>
      <c r="D211" s="223" t="inlineStr">
        <is>
          <t>L001-100045898</t>
        </is>
      </c>
      <c r="E211" s="349" t="inlineStr">
        <is>
          <t>TI-0306317-10</t>
        </is>
      </c>
      <c r="F211" s="332" t="n">
        <v>45688</v>
      </c>
      <c r="G211" s="224" t="n"/>
      <c r="H211" s="617" t="n"/>
      <c r="I211" s="617" t="n">
        <v>-96576</v>
      </c>
      <c r="J211" s="221" t="inlineStr">
        <is>
          <t>អនុញ្ញាត (បានប្រកាស)</t>
        </is>
      </c>
      <c r="K211" s="221" t="n"/>
      <c r="L211" s="616">
        <f>I211</f>
        <v/>
      </c>
      <c r="M211" s="588">
        <f>I211-L211</f>
        <v/>
      </c>
      <c r="N211" s="221" t="n"/>
      <c r="O211" s="226">
        <f>U211=E211</f>
        <v/>
      </c>
      <c r="P211" s="226">
        <f>MONTH(F211)-MONTH(T211)</f>
        <v/>
      </c>
      <c r="Q211" s="226">
        <f>$B$5=X211</f>
        <v/>
      </c>
      <c r="R211" s="226">
        <f>I211-AD211</f>
        <v/>
      </c>
      <c r="S211" s="360" t="n"/>
      <c r="T211" s="361" t="n"/>
      <c r="U211" s="360" t="n"/>
      <c r="V211" s="360" t="n"/>
      <c r="W211" s="360" t="n"/>
      <c r="X211" s="360" t="n"/>
      <c r="Y211" s="360" t="n"/>
      <c r="Z211" s="362" t="n"/>
      <c r="AA211" s="362" t="n"/>
      <c r="AB211" s="360" t="n"/>
      <c r="AC211" s="360" t="n"/>
      <c r="AD211" s="362" t="n"/>
      <c r="AE211" s="360" t="n"/>
      <c r="AF211" s="615" t="n"/>
    </row>
    <row r="212">
      <c r="A212" s="220">
        <f>A211+1</f>
        <v/>
      </c>
      <c r="B212" s="222" t="inlineStr">
        <is>
          <t>CREDIT</t>
        </is>
      </c>
      <c r="C212" s="222" t="inlineStr">
        <is>
          <t>EXPEDITORS CAMBODIA LTD.</t>
        </is>
      </c>
      <c r="D212" s="223" t="inlineStr">
        <is>
          <t>L001-100045898</t>
        </is>
      </c>
      <c r="E212" s="349" t="inlineStr">
        <is>
          <t>TI-0306317-9</t>
        </is>
      </c>
      <c r="F212" s="332" t="n">
        <v>45688</v>
      </c>
      <c r="G212" s="224" t="n"/>
      <c r="H212" s="617" t="n"/>
      <c r="I212" s="617" t="n">
        <v>-247476</v>
      </c>
      <c r="J212" s="221" t="inlineStr">
        <is>
          <t>អនុញ្ញាត (បានប្រកាស)</t>
        </is>
      </c>
      <c r="K212" s="221" t="n"/>
      <c r="L212" s="616">
        <f>I212</f>
        <v/>
      </c>
      <c r="M212" s="588">
        <f>I212-L212</f>
        <v/>
      </c>
      <c r="N212" s="221" t="n"/>
      <c r="O212" s="226">
        <f>U212=E212</f>
        <v/>
      </c>
      <c r="P212" s="226">
        <f>MONTH(F212)-MONTH(T212)</f>
        <v/>
      </c>
      <c r="Q212" s="226">
        <f>$B$5=X212</f>
        <v/>
      </c>
      <c r="R212" s="226">
        <f>I212-AD212</f>
        <v/>
      </c>
      <c r="S212" s="360" t="n"/>
      <c r="T212" s="361" t="n"/>
      <c r="U212" s="360" t="n"/>
      <c r="V212" s="360" t="n"/>
      <c r="W212" s="360" t="n"/>
      <c r="X212" s="360" t="n"/>
      <c r="Y212" s="360" t="n"/>
      <c r="Z212" s="362" t="n"/>
      <c r="AA212" s="362" t="n"/>
      <c r="AB212" s="360" t="n"/>
      <c r="AC212" s="360" t="n"/>
      <c r="AD212" s="362" t="n"/>
      <c r="AE212" s="360" t="n"/>
      <c r="AF212" s="615" t="n"/>
    </row>
    <row r="213">
      <c r="A213" s="220">
        <f>A212+1</f>
        <v/>
      </c>
      <c r="B213" s="222" t="inlineStr">
        <is>
          <t>CREDIT</t>
        </is>
      </c>
      <c r="C213" s="222" t="inlineStr">
        <is>
          <t>EXPEDITORS CAMBODIA LTD.</t>
        </is>
      </c>
      <c r="D213" s="223" t="inlineStr">
        <is>
          <t>L001-100045898</t>
        </is>
      </c>
      <c r="E213" s="349" t="inlineStr">
        <is>
          <t>TI-0306317-8</t>
        </is>
      </c>
      <c r="F213" s="332" t="n">
        <v>45688</v>
      </c>
      <c r="G213" s="224" t="n"/>
      <c r="H213" s="617" t="n"/>
      <c r="I213" s="617" t="n">
        <v>-30180</v>
      </c>
      <c r="J213" s="221" t="inlineStr">
        <is>
          <t>អនុញ្ញាត (បានប្រកាស)</t>
        </is>
      </c>
      <c r="K213" s="221" t="n"/>
      <c r="L213" s="616">
        <f>I213</f>
        <v/>
      </c>
      <c r="M213" s="588">
        <f>I213-L213</f>
        <v/>
      </c>
      <c r="N213" s="221" t="n"/>
      <c r="O213" s="226">
        <f>U213=E213</f>
        <v/>
      </c>
      <c r="P213" s="226">
        <f>MONTH(F213)-MONTH(T213)</f>
        <v/>
      </c>
      <c r="Q213" s="226">
        <f>$B$5=X213</f>
        <v/>
      </c>
      <c r="R213" s="226">
        <f>I213-AD213</f>
        <v/>
      </c>
      <c r="S213" s="360" t="n"/>
      <c r="T213" s="361" t="n"/>
      <c r="U213" s="360" t="n"/>
      <c r="V213" s="360" t="n"/>
      <c r="W213" s="360" t="n"/>
      <c r="X213" s="360" t="n"/>
      <c r="Y213" s="360" t="n"/>
      <c r="Z213" s="362" t="n"/>
      <c r="AA213" s="362" t="n"/>
      <c r="AB213" s="360" t="n"/>
      <c r="AC213" s="360" t="n"/>
      <c r="AD213" s="362" t="n"/>
      <c r="AE213" s="360" t="n"/>
      <c r="AF213" s="615" t="n"/>
    </row>
    <row r="214">
      <c r="A214" s="220">
        <f>A213+1</f>
        <v/>
      </c>
      <c r="B214" s="222" t="inlineStr">
        <is>
          <t>CREDIT</t>
        </is>
      </c>
      <c r="C214" s="222" t="inlineStr">
        <is>
          <t>EXPEDITORS CAMBODIA LTD.</t>
        </is>
      </c>
      <c r="D214" s="223" t="inlineStr">
        <is>
          <t>L001-100045898</t>
        </is>
      </c>
      <c r="E214" s="349" t="inlineStr">
        <is>
          <t>TI-0306317-7</t>
        </is>
      </c>
      <c r="F214" s="332" t="n">
        <v>45688</v>
      </c>
      <c r="G214" s="224" t="n"/>
      <c r="H214" s="617" t="n"/>
      <c r="I214" s="617" t="n">
        <v>-24144</v>
      </c>
      <c r="J214" s="221" t="inlineStr">
        <is>
          <t>អនុញ្ញាត (បានប្រកាស)</t>
        </is>
      </c>
      <c r="K214" s="221" t="n"/>
      <c r="L214" s="616">
        <f>I214</f>
        <v/>
      </c>
      <c r="M214" s="588">
        <f>I214-L214</f>
        <v/>
      </c>
      <c r="N214" s="221" t="n"/>
      <c r="O214" s="226">
        <f>U214=E214</f>
        <v/>
      </c>
      <c r="P214" s="226">
        <f>MONTH(F214)-MONTH(T214)</f>
        <v/>
      </c>
      <c r="Q214" s="226">
        <f>$B$5=X214</f>
        <v/>
      </c>
      <c r="R214" s="226">
        <f>I214-AD214</f>
        <v/>
      </c>
      <c r="S214" s="360" t="n"/>
      <c r="T214" s="361" t="n"/>
      <c r="U214" s="360" t="n"/>
      <c r="V214" s="360" t="n"/>
      <c r="W214" s="360" t="n"/>
      <c r="X214" s="360" t="n"/>
      <c r="Y214" s="360" t="n"/>
      <c r="Z214" s="362" t="n"/>
      <c r="AA214" s="362" t="n"/>
      <c r="AB214" s="360" t="n"/>
      <c r="AC214" s="360" t="n"/>
      <c r="AD214" s="362" t="n"/>
      <c r="AE214" s="360" t="n"/>
      <c r="AF214" s="615" t="n"/>
    </row>
    <row r="215">
      <c r="A215" s="220">
        <f>A214+1</f>
        <v/>
      </c>
      <c r="B215" s="222" t="inlineStr">
        <is>
          <t>CREDIT</t>
        </is>
      </c>
      <c r="C215" s="222" t="inlineStr">
        <is>
          <t>EXPEDITORS CAMBODIA LTD.</t>
        </is>
      </c>
      <c r="D215" s="223" t="inlineStr">
        <is>
          <t>L001-100045898</t>
        </is>
      </c>
      <c r="E215" s="349" t="inlineStr">
        <is>
          <t>TI-0306317-6</t>
        </is>
      </c>
      <c r="F215" s="332" t="n">
        <v>45688</v>
      </c>
      <c r="G215" s="224" t="n"/>
      <c r="H215" s="617" t="n"/>
      <c r="I215" s="617" t="n">
        <v>-30180</v>
      </c>
      <c r="J215" s="221" t="inlineStr">
        <is>
          <t>អនុញ្ញាត (បានប្រកាស)</t>
        </is>
      </c>
      <c r="K215" s="221" t="n"/>
      <c r="L215" s="616">
        <f>I215</f>
        <v/>
      </c>
      <c r="M215" s="588">
        <f>I215-L215</f>
        <v/>
      </c>
      <c r="N215" s="221" t="n"/>
      <c r="O215" s="226">
        <f>U215=E215</f>
        <v/>
      </c>
      <c r="P215" s="226">
        <f>MONTH(F215)-MONTH(T215)</f>
        <v/>
      </c>
      <c r="Q215" s="226">
        <f>$B$5=X215</f>
        <v/>
      </c>
      <c r="R215" s="226">
        <f>I215-AD215</f>
        <v/>
      </c>
      <c r="S215" s="360" t="n"/>
      <c r="T215" s="361" t="n"/>
      <c r="U215" s="360" t="n"/>
      <c r="V215" s="360" t="n"/>
      <c r="W215" s="360" t="n"/>
      <c r="X215" s="360" t="n"/>
      <c r="Y215" s="360" t="n"/>
      <c r="Z215" s="362" t="n"/>
      <c r="AA215" s="362" t="n"/>
      <c r="AB215" s="360" t="n"/>
      <c r="AC215" s="360" t="n"/>
      <c r="AD215" s="362" t="n"/>
      <c r="AE215" s="360" t="n"/>
      <c r="AF215" s="615" t="n"/>
    </row>
    <row r="216">
      <c r="A216" s="220">
        <f>A215+1</f>
        <v/>
      </c>
      <c r="B216" s="222" t="inlineStr">
        <is>
          <t>CREDIT</t>
        </is>
      </c>
      <c r="C216" s="222" t="inlineStr">
        <is>
          <t>EXPEDITORS CAMBODIA LTD.</t>
        </is>
      </c>
      <c r="D216" s="223" t="inlineStr">
        <is>
          <t>L001-100045898</t>
        </is>
      </c>
      <c r="E216" s="349" t="inlineStr">
        <is>
          <t>TI-0306317-5</t>
        </is>
      </c>
      <c r="F216" s="332" t="n">
        <v>45688</v>
      </c>
      <c r="G216" s="224" t="n"/>
      <c r="H216" s="617" t="n"/>
      <c r="I216" s="617" t="n">
        <v>-48288</v>
      </c>
      <c r="J216" s="221" t="inlineStr">
        <is>
          <t>អនុញ្ញាត (បានប្រកាស)</t>
        </is>
      </c>
      <c r="K216" s="221" t="n"/>
      <c r="L216" s="616">
        <f>I216</f>
        <v/>
      </c>
      <c r="M216" s="588">
        <f>I216-L216</f>
        <v/>
      </c>
      <c r="N216" s="221" t="n"/>
      <c r="O216" s="226">
        <f>U216=E216</f>
        <v/>
      </c>
      <c r="P216" s="226">
        <f>MONTH(F216)-MONTH(T216)</f>
        <v/>
      </c>
      <c r="Q216" s="226">
        <f>$B$5=X216</f>
        <v/>
      </c>
      <c r="R216" s="226">
        <f>I216-AD216</f>
        <v/>
      </c>
      <c r="S216" s="360" t="n"/>
      <c r="T216" s="361" t="n"/>
      <c r="U216" s="360" t="n"/>
      <c r="V216" s="360" t="n"/>
      <c r="W216" s="360" t="n"/>
      <c r="X216" s="360" t="n"/>
      <c r="Y216" s="360" t="n"/>
      <c r="Z216" s="362" t="n"/>
      <c r="AA216" s="362" t="n"/>
      <c r="AB216" s="360" t="n"/>
      <c r="AC216" s="360" t="n"/>
      <c r="AD216" s="362" t="n"/>
      <c r="AE216" s="360" t="n"/>
      <c r="AF216" s="615" t="n"/>
    </row>
    <row r="217">
      <c r="A217" s="220">
        <f>A216+1</f>
        <v/>
      </c>
      <c r="B217" s="222" t="inlineStr">
        <is>
          <t>CREDIT</t>
        </is>
      </c>
      <c r="C217" s="222" t="inlineStr">
        <is>
          <t>EXPEDITORS CAMBODIA LTD.</t>
        </is>
      </c>
      <c r="D217" s="223" t="inlineStr">
        <is>
          <t>L001-100045898</t>
        </is>
      </c>
      <c r="E217" s="349" t="inlineStr">
        <is>
          <t>TI-0306317-4</t>
        </is>
      </c>
      <c r="F217" s="332" t="n">
        <v>45688</v>
      </c>
      <c r="G217" s="224" t="n"/>
      <c r="H217" s="617" t="n"/>
      <c r="I217" s="617" t="n">
        <v>-169008</v>
      </c>
      <c r="J217" s="221" t="inlineStr">
        <is>
          <t>អនុញ្ញាត (បានប្រកាស)</t>
        </is>
      </c>
      <c r="K217" s="221" t="n"/>
      <c r="L217" s="616">
        <f>I217</f>
        <v/>
      </c>
      <c r="M217" s="588">
        <f>I217-L217</f>
        <v/>
      </c>
      <c r="N217" s="221" t="n"/>
      <c r="O217" s="226">
        <f>U217=E217</f>
        <v/>
      </c>
      <c r="P217" s="226">
        <f>MONTH(F217)-MONTH(T217)</f>
        <v/>
      </c>
      <c r="Q217" s="226">
        <f>$B$5=X217</f>
        <v/>
      </c>
      <c r="R217" s="226">
        <f>I217-AD217</f>
        <v/>
      </c>
      <c r="S217" s="360" t="n"/>
      <c r="T217" s="361" t="n"/>
      <c r="U217" s="360" t="n"/>
      <c r="V217" s="360" t="n"/>
      <c r="W217" s="360" t="n"/>
      <c r="X217" s="360" t="n"/>
      <c r="Y217" s="360" t="n"/>
      <c r="Z217" s="362" t="n"/>
      <c r="AA217" s="362" t="n"/>
      <c r="AB217" s="360" t="n"/>
      <c r="AC217" s="360" t="n"/>
      <c r="AD217" s="362" t="n"/>
      <c r="AE217" s="360" t="n"/>
      <c r="AF217" s="615" t="n"/>
    </row>
    <row r="218">
      <c r="A218" s="220">
        <f>A217+1</f>
        <v/>
      </c>
      <c r="B218" s="222" t="inlineStr">
        <is>
          <t>CREDIT</t>
        </is>
      </c>
      <c r="C218" s="222" t="inlineStr">
        <is>
          <t>EXPEDITORS CAMBODIA LTD.</t>
        </is>
      </c>
      <c r="D218" s="223" t="inlineStr">
        <is>
          <t>L001-100045898</t>
        </is>
      </c>
      <c r="E218" s="349" t="inlineStr">
        <is>
          <t>TI-0306317-3</t>
        </is>
      </c>
      <c r="F218" s="332" t="n">
        <v>45688</v>
      </c>
      <c r="G218" s="224" t="n"/>
      <c r="H218" s="617" t="n"/>
      <c r="I218" s="617" t="n">
        <v>-48288</v>
      </c>
      <c r="J218" s="221" t="inlineStr">
        <is>
          <t>អនុញ្ញាត (បានប្រកាស)</t>
        </is>
      </c>
      <c r="K218" s="221" t="n"/>
      <c r="L218" s="616">
        <f>I218</f>
        <v/>
      </c>
      <c r="M218" s="588">
        <f>I218-L218</f>
        <v/>
      </c>
      <c r="N218" s="221" t="n"/>
      <c r="O218" s="226">
        <f>U218=E218</f>
        <v/>
      </c>
      <c r="P218" s="226">
        <f>MONTH(F218)-MONTH(T218)</f>
        <v/>
      </c>
      <c r="Q218" s="226">
        <f>$B$5=X218</f>
        <v/>
      </c>
      <c r="R218" s="226">
        <f>I218-AD218</f>
        <v/>
      </c>
      <c r="S218" s="360" t="n"/>
      <c r="T218" s="361" t="n"/>
      <c r="U218" s="360" t="n"/>
      <c r="V218" s="360" t="n"/>
      <c r="W218" s="360" t="n"/>
      <c r="X218" s="360" t="n"/>
      <c r="Y218" s="360" t="n"/>
      <c r="Z218" s="362" t="n"/>
      <c r="AA218" s="362" t="n"/>
      <c r="AB218" s="360" t="n"/>
      <c r="AC218" s="360" t="n"/>
      <c r="AD218" s="362" t="n"/>
      <c r="AE218" s="360" t="n"/>
      <c r="AF218" s="615" t="n"/>
    </row>
    <row r="219">
      <c r="A219" s="220">
        <f>A218+1</f>
        <v/>
      </c>
      <c r="B219" s="222" t="inlineStr">
        <is>
          <t>CREDIT</t>
        </is>
      </c>
      <c r="C219" s="222" t="inlineStr">
        <is>
          <t>EXPEDITORS CAMBODIA LTD.</t>
        </is>
      </c>
      <c r="D219" s="223" t="inlineStr">
        <is>
          <t>L001-100045898</t>
        </is>
      </c>
      <c r="E219" s="349" t="inlineStr">
        <is>
          <t>TI-0306317-2</t>
        </is>
      </c>
      <c r="F219" s="332" t="n">
        <v>45688</v>
      </c>
      <c r="G219" s="224" t="n"/>
      <c r="H219" s="617" t="n"/>
      <c r="I219" s="617" t="n">
        <v>-60360</v>
      </c>
      <c r="J219" s="221" t="inlineStr">
        <is>
          <t>អនុញ្ញាត (បានប្រកាស)</t>
        </is>
      </c>
      <c r="K219" s="221" t="n"/>
      <c r="L219" s="616">
        <f>I219</f>
        <v/>
      </c>
      <c r="M219" s="588">
        <f>I219-L219</f>
        <v/>
      </c>
      <c r="N219" s="221" t="n"/>
      <c r="O219" s="226">
        <f>U219=E219</f>
        <v/>
      </c>
      <c r="P219" s="226">
        <f>MONTH(F219)-MONTH(T219)</f>
        <v/>
      </c>
      <c r="Q219" s="226">
        <f>$B$5=X219</f>
        <v/>
      </c>
      <c r="R219" s="226">
        <f>I219-AD219</f>
        <v/>
      </c>
      <c r="S219" s="360" t="n"/>
      <c r="T219" s="361" t="n"/>
      <c r="U219" s="360" t="n"/>
      <c r="V219" s="360" t="n"/>
      <c r="W219" s="360" t="n"/>
      <c r="X219" s="360" t="n"/>
      <c r="Y219" s="360" t="n"/>
      <c r="Z219" s="362" t="n"/>
      <c r="AA219" s="362" t="n"/>
      <c r="AB219" s="360" t="n"/>
      <c r="AC219" s="360" t="n"/>
      <c r="AD219" s="362" t="n"/>
      <c r="AE219" s="360" t="n"/>
      <c r="AF219" s="615" t="n"/>
    </row>
    <row r="220">
      <c r="A220" s="220">
        <f>A219+1</f>
        <v/>
      </c>
      <c r="B220" s="222" t="inlineStr">
        <is>
          <t>CREDIT</t>
        </is>
      </c>
      <c r="C220" s="222" t="inlineStr">
        <is>
          <t>EXPEDITORS CAMBODIA LTD.</t>
        </is>
      </c>
      <c r="D220" s="223" t="inlineStr">
        <is>
          <t>L001-100045898</t>
        </is>
      </c>
      <c r="E220" s="349" t="inlineStr">
        <is>
          <t>TI-0306317-1</t>
        </is>
      </c>
      <c r="F220" s="332" t="n">
        <v>45688</v>
      </c>
      <c r="G220" s="224" t="n"/>
      <c r="H220" s="617" t="n"/>
      <c r="I220" s="617" t="n">
        <v>-38228</v>
      </c>
      <c r="J220" s="221" t="inlineStr">
        <is>
          <t>អនុញ្ញាត (បានប្រកាស)</t>
        </is>
      </c>
      <c r="K220" s="221" t="n"/>
      <c r="L220" s="616">
        <f>I220</f>
        <v/>
      </c>
      <c r="M220" s="588">
        <f>I220-L220</f>
        <v/>
      </c>
      <c r="N220" s="221" t="n"/>
      <c r="O220" s="226">
        <f>U220=E220</f>
        <v/>
      </c>
      <c r="P220" s="226">
        <f>MONTH(F220)-MONTH(T220)</f>
        <v/>
      </c>
      <c r="Q220" s="226">
        <f>$B$5=X220</f>
        <v/>
      </c>
      <c r="R220" s="226">
        <f>I220-AD220</f>
        <v/>
      </c>
      <c r="S220" s="360" t="n"/>
      <c r="T220" s="361" t="n"/>
      <c r="U220" s="360" t="n"/>
      <c r="V220" s="360" t="n"/>
      <c r="W220" s="360" t="n"/>
      <c r="X220" s="360" t="n"/>
      <c r="Y220" s="360" t="n"/>
      <c r="Z220" s="362" t="n"/>
      <c r="AA220" s="362" t="n"/>
      <c r="AB220" s="360" t="n"/>
      <c r="AC220" s="360" t="n"/>
      <c r="AD220" s="362" t="n"/>
      <c r="AE220" s="360" t="n"/>
      <c r="AF220" s="615" t="n"/>
    </row>
    <row r="221">
      <c r="A221" s="220">
        <f>A220+1</f>
        <v/>
      </c>
      <c r="B221" s="222" t="inlineStr">
        <is>
          <t>CREDIT</t>
        </is>
      </c>
      <c r="C221" s="222" t="inlineStr">
        <is>
          <t>EXPEDITORS CAMBODIA LTD.</t>
        </is>
      </c>
      <c r="D221" s="223" t="inlineStr">
        <is>
          <t>L001-100045898</t>
        </is>
      </c>
      <c r="E221" s="349" t="inlineStr">
        <is>
          <t>TI-0306317</t>
        </is>
      </c>
      <c r="F221" s="332" t="n">
        <v>45688</v>
      </c>
      <c r="G221" s="224" t="n"/>
      <c r="H221" s="617" t="n"/>
      <c r="I221" s="617" t="n">
        <v>-126756</v>
      </c>
      <c r="J221" s="221" t="inlineStr">
        <is>
          <t>អនុញ្ញាត (បានប្រកាស)</t>
        </is>
      </c>
      <c r="K221" s="221" t="n"/>
      <c r="L221" s="616">
        <f>I221</f>
        <v/>
      </c>
      <c r="M221" s="588">
        <f>I221-L221</f>
        <v/>
      </c>
      <c r="N221" s="221" t="n"/>
      <c r="O221" s="226">
        <f>U221=E221</f>
        <v/>
      </c>
      <c r="P221" s="226">
        <f>MONTH(F221)-MONTH(T221)</f>
        <v/>
      </c>
      <c r="Q221" s="226">
        <f>$B$5=X221</f>
        <v/>
      </c>
      <c r="R221" s="226">
        <f>I221-AD221</f>
        <v/>
      </c>
      <c r="S221" s="360" t="n"/>
      <c r="T221" s="361" t="n"/>
      <c r="U221" s="360" t="n"/>
      <c r="V221" s="360" t="n"/>
      <c r="W221" s="360" t="n"/>
      <c r="X221" s="360" t="n"/>
      <c r="Y221" s="360" t="n"/>
      <c r="Z221" s="362" t="n"/>
      <c r="AA221" s="362" t="n"/>
      <c r="AB221" s="360" t="n"/>
      <c r="AC221" s="360" t="n"/>
      <c r="AD221" s="362" t="n"/>
      <c r="AE221" s="360" t="n"/>
      <c r="AF221" s="615" t="n"/>
    </row>
    <row r="222">
      <c r="A222" s="220">
        <f>A221+1</f>
        <v/>
      </c>
      <c r="B222" s="222" t="inlineStr">
        <is>
          <t>Label Paper</t>
        </is>
      </c>
      <c r="C222" s="222" t="inlineStr">
        <is>
          <t>JIA CHENG FA (CAMBODIA) CO., LTD.</t>
        </is>
      </c>
      <c r="D222" s="223" t="inlineStr">
        <is>
          <t>K010-902104844</t>
        </is>
      </c>
      <c r="E222" s="349" t="inlineStr">
        <is>
          <t>T202500064</t>
        </is>
      </c>
      <c r="F222" s="332" t="n">
        <v>45722</v>
      </c>
      <c r="G222" s="224" t="n"/>
      <c r="H222" s="617" t="n"/>
      <c r="I222" s="617" t="n">
        <v>4922480</v>
      </c>
      <c r="J222" s="221" t="inlineStr">
        <is>
          <t>អនុញ្ញាត (បានប្រកាស)</t>
        </is>
      </c>
      <c r="K222" s="221" t="n"/>
      <c r="L222" s="616">
        <f>I222</f>
        <v/>
      </c>
      <c r="M222" s="588">
        <f>I222-L222</f>
        <v/>
      </c>
      <c r="N222" s="221" t="n"/>
      <c r="O222" s="226">
        <f>U222=E222</f>
        <v/>
      </c>
      <c r="P222" s="226">
        <f>MONTH(F222)-MONTH(T222)</f>
        <v/>
      </c>
      <c r="Q222" s="226">
        <f>$B$5=X222</f>
        <v/>
      </c>
      <c r="R222" s="226">
        <f>I222-AD222</f>
        <v/>
      </c>
      <c r="S222" s="360" t="n"/>
      <c r="T222" s="361" t="n">
        <v>45722</v>
      </c>
      <c r="U222" s="360" t="inlineStr">
        <is>
          <t>T202500064</t>
        </is>
      </c>
      <c r="V222" s="360" t="n">
        <v>0</v>
      </c>
      <c r="W222" s="360" t="inlineStr">
        <is>
          <t>បុគ្គលជាប់អាករ</t>
        </is>
      </c>
      <c r="X222" s="360" t="inlineStr">
        <is>
          <t>L001-901640009</t>
        </is>
      </c>
      <c r="Y222" s="360" t="inlineStr">
        <is>
          <t>ហូលីដេ ឌីហ្សាញ (ខេមបូឌា) ឯ.ក</t>
        </is>
      </c>
      <c r="Z222" s="362" t="n">
        <v>54147277</v>
      </c>
      <c r="AA222" s="362" t="n">
        <v>49224797</v>
      </c>
      <c r="AB222" s="360" t="n">
        <v>0</v>
      </c>
      <c r="AC222" s="360" t="inlineStr">
        <is>
          <t>-</t>
        </is>
      </c>
      <c r="AD222" s="362" t="n">
        <v>4922480</v>
      </c>
      <c r="AE222" s="360" t="n">
        <v>0</v>
      </c>
      <c r="AF222" s="615" t="n">
        <v>0</v>
      </c>
      <c r="AG222" s="203" t="n">
        <v>0</v>
      </c>
      <c r="AH222" s="203" t="n">
        <v>0</v>
      </c>
      <c r="AI222" s="203" t="n">
        <v>0</v>
      </c>
      <c r="AJ222" s="203" t="n">
        <v>0</v>
      </c>
      <c r="AK222" s="203" t="n">
        <v>0</v>
      </c>
      <c r="AL222" s="203" t="n">
        <v>0.01</v>
      </c>
      <c r="AM222" s="203" t="n">
        <v>0</v>
      </c>
      <c r="AN222" s="203" t="inlineStr">
        <is>
          <t>LABEL PAPER</t>
        </is>
      </c>
      <c r="AO222" s="203" t="inlineStr">
        <is>
          <t>បានប្រកាសនិងបង់ពន្ធ</t>
        </is>
      </c>
    </row>
    <row r="223">
      <c r="A223" s="220">
        <f>A222+1</f>
        <v/>
      </c>
      <c r="B223" s="222" t="inlineStr">
        <is>
          <t>Label Paper</t>
        </is>
      </c>
      <c r="C223" s="222" t="inlineStr">
        <is>
          <t>JIA CHENG FA (CAMBODIA) CO., LTD.</t>
        </is>
      </c>
      <c r="D223" s="223" t="inlineStr">
        <is>
          <t>K010-902104844</t>
        </is>
      </c>
      <c r="E223" s="349" t="inlineStr">
        <is>
          <t>T202500093</t>
        </is>
      </c>
      <c r="F223" s="332" t="n">
        <v>45744</v>
      </c>
      <c r="G223" s="224" t="n"/>
      <c r="H223" s="617" t="n"/>
      <c r="I223" s="617" t="n">
        <v>35177345</v>
      </c>
      <c r="J223" s="221" t="inlineStr">
        <is>
          <t>អនុញ្ញាត (បានប្រកាស)</t>
        </is>
      </c>
      <c r="K223" s="221" t="n"/>
      <c r="L223" s="616">
        <f>I223</f>
        <v/>
      </c>
      <c r="M223" s="588">
        <f>I223-L223</f>
        <v/>
      </c>
      <c r="N223" s="221" t="inlineStr">
        <is>
          <t>បានពិនិត្យវិក្កយបត្រ</t>
        </is>
      </c>
      <c r="O223" s="226">
        <f>U223=E223</f>
        <v/>
      </c>
      <c r="P223" s="226">
        <f>MONTH(F223)-MONTH(T223)</f>
        <v/>
      </c>
      <c r="Q223" s="226">
        <f>$B$5=X223</f>
        <v/>
      </c>
      <c r="R223" s="226">
        <f>I223-AD223</f>
        <v/>
      </c>
      <c r="S223" s="360" t="n"/>
      <c r="T223" s="361" t="n">
        <v>45744</v>
      </c>
      <c r="U223" s="360" t="inlineStr">
        <is>
          <t>T202500093</t>
        </is>
      </c>
      <c r="V223" s="360" t="n">
        <v>0</v>
      </c>
      <c r="W223" s="360" t="inlineStr">
        <is>
          <t>បុគ្គលជាប់អាករ</t>
        </is>
      </c>
      <c r="X223" s="360" t="inlineStr">
        <is>
          <t>L001-901640009</t>
        </is>
      </c>
      <c r="Y223" s="360" t="inlineStr">
        <is>
          <t>ហូលីដេ ឌីហ្សាញ (ខេមបូឌា) ឯ.ក</t>
        </is>
      </c>
      <c r="Z223" s="362" t="n">
        <v>386950793</v>
      </c>
      <c r="AA223" s="362" t="n">
        <v>351773448</v>
      </c>
      <c r="AB223" s="360" t="n">
        <v>0</v>
      </c>
      <c r="AC223" s="360" t="inlineStr">
        <is>
          <t>-</t>
        </is>
      </c>
      <c r="AD223" s="362" t="n">
        <v>35177345</v>
      </c>
      <c r="AE223" s="360" t="n">
        <v>0</v>
      </c>
      <c r="AF223" s="615" t="n">
        <v>0</v>
      </c>
      <c r="AG223" s="203" t="n">
        <v>0</v>
      </c>
      <c r="AH223" s="203" t="n">
        <v>0</v>
      </c>
      <c r="AI223" s="203" t="n">
        <v>0</v>
      </c>
      <c r="AJ223" s="203" t="n">
        <v>0</v>
      </c>
      <c r="AK223" s="203" t="n">
        <v>0</v>
      </c>
      <c r="AL223" s="203" t="n">
        <v>0.01</v>
      </c>
      <c r="AM223" s="203" t="n">
        <v>0</v>
      </c>
      <c r="AN223" s="203" t="inlineStr">
        <is>
          <t>LABEL PAPER</t>
        </is>
      </c>
      <c r="AO223" s="203" t="inlineStr">
        <is>
          <t>បានប្រកាសនិងបង់ពន្ធ</t>
        </is>
      </c>
    </row>
    <row r="224">
      <c r="A224" s="220">
        <f>A223+1</f>
        <v/>
      </c>
      <c r="B224" s="222" t="inlineStr">
        <is>
          <t>Label Paper</t>
        </is>
      </c>
      <c r="C224" s="222" t="inlineStr">
        <is>
          <t>JIA CHENG FA (CAMBODIA) CO., LTD.</t>
        </is>
      </c>
      <c r="D224" s="223" t="inlineStr">
        <is>
          <t>K010-902104844</t>
        </is>
      </c>
      <c r="E224" s="349" t="inlineStr">
        <is>
          <t>T202500145</t>
        </is>
      </c>
      <c r="F224" s="332" t="n">
        <v>45777</v>
      </c>
      <c r="G224" s="224" t="n"/>
      <c r="H224" s="617" t="n"/>
      <c r="I224" s="617" t="n">
        <v>5998255</v>
      </c>
      <c r="J224" s="221" t="inlineStr">
        <is>
          <t>អនុញ្ញាត (បានប្រកាស)</t>
        </is>
      </c>
      <c r="K224" s="221" t="n"/>
      <c r="L224" s="616">
        <f>I224</f>
        <v/>
      </c>
      <c r="M224" s="588">
        <f>I224-L224</f>
        <v/>
      </c>
      <c r="N224" s="221" t="inlineStr">
        <is>
          <t>បានពិនិត្យវិក្កយបត្រ</t>
        </is>
      </c>
      <c r="O224" s="226">
        <f>U224=E224</f>
        <v/>
      </c>
      <c r="P224" s="226">
        <f>MONTH(F224)-MONTH(T224)</f>
        <v/>
      </c>
      <c r="Q224" s="226">
        <f>$B$5=X224</f>
        <v/>
      </c>
      <c r="R224" s="226">
        <f>I224-AD224</f>
        <v/>
      </c>
      <c r="S224" s="360" t="n"/>
      <c r="T224" s="361" t="n">
        <v>45777</v>
      </c>
      <c r="U224" s="360" t="inlineStr">
        <is>
          <t>T202500145</t>
        </is>
      </c>
      <c r="V224" s="360" t="n">
        <v>0</v>
      </c>
      <c r="W224" s="360" t="inlineStr">
        <is>
          <t>បុគ្គលជាប់អាករ</t>
        </is>
      </c>
      <c r="X224" s="360" t="inlineStr">
        <is>
          <t>L001-901640009</t>
        </is>
      </c>
      <c r="Y224" s="360" t="inlineStr">
        <is>
          <t>ហូលីដេ ឌីហ្សាញ (ខេមបូឌា) ឯ.ក</t>
        </is>
      </c>
      <c r="Z224" s="362" t="n">
        <v>65980809</v>
      </c>
      <c r="AA224" s="362" t="n">
        <v>59982554</v>
      </c>
      <c r="AB224" s="360" t="n">
        <v>0</v>
      </c>
      <c r="AC224" s="360" t="inlineStr">
        <is>
          <t>-</t>
        </is>
      </c>
      <c r="AD224" s="362" t="n">
        <v>5998255</v>
      </c>
      <c r="AE224" s="360" t="n">
        <v>0</v>
      </c>
      <c r="AF224" s="615" t="n">
        <v>0</v>
      </c>
      <c r="AG224" s="203" t="n">
        <v>0</v>
      </c>
      <c r="AH224" s="203" t="n">
        <v>0</v>
      </c>
      <c r="AI224" s="203" t="n">
        <v>0</v>
      </c>
      <c r="AJ224" s="203" t="n">
        <v>0</v>
      </c>
      <c r="AK224" s="203" t="n">
        <v>0</v>
      </c>
      <c r="AL224" s="203" t="n">
        <v>0.01</v>
      </c>
      <c r="AM224" s="203" t="n">
        <v>0</v>
      </c>
      <c r="AN224" s="203" t="inlineStr">
        <is>
          <t>LABEL PAPER</t>
        </is>
      </c>
      <c r="AO224" s="203" t="inlineStr">
        <is>
          <t>បានប្រកាសនិងបង់ពន្ធ</t>
        </is>
      </c>
    </row>
    <row r="225">
      <c r="A225" s="220">
        <f>A224+1</f>
        <v/>
      </c>
      <c r="B225" s="222" t="inlineStr">
        <is>
          <t>Label Paper</t>
        </is>
      </c>
      <c r="C225" s="222" t="inlineStr">
        <is>
          <t>JIA CHENG FA (CAMBODIA) CO., LTD.</t>
        </is>
      </c>
      <c r="D225" s="223" t="inlineStr">
        <is>
          <t>K010-902104844</t>
        </is>
      </c>
      <c r="E225" s="349" t="inlineStr">
        <is>
          <t>T202500169</t>
        </is>
      </c>
      <c r="F225" s="332" t="n">
        <v>45807</v>
      </c>
      <c r="G225" s="224" t="n"/>
      <c r="H225" s="617" t="n"/>
      <c r="I225" s="617" t="n">
        <v>6455343</v>
      </c>
      <c r="J225" s="221" t="inlineStr">
        <is>
          <t>អនុញ្ញាត (បានប្រកាស)</t>
        </is>
      </c>
      <c r="K225" s="221" t="n"/>
      <c r="L225" s="616">
        <f>I225</f>
        <v/>
      </c>
      <c r="M225" s="588">
        <f>I225-L225</f>
        <v/>
      </c>
      <c r="N225" s="221" t="inlineStr">
        <is>
          <t>បានពិនិត្យវិក្កយបត្រ</t>
        </is>
      </c>
      <c r="O225" s="226">
        <f>U225=E225</f>
        <v/>
      </c>
      <c r="P225" s="226">
        <f>MONTH(F225)-MONTH(T225)</f>
        <v/>
      </c>
      <c r="Q225" s="226">
        <f>$B$5=X225</f>
        <v/>
      </c>
      <c r="R225" s="226">
        <f>I225-AD225</f>
        <v/>
      </c>
      <c r="S225" s="360" t="n"/>
      <c r="T225" s="361" t="n">
        <v>45807</v>
      </c>
      <c r="U225" s="360" t="inlineStr">
        <is>
          <t>T202500169</t>
        </is>
      </c>
      <c r="V225" s="360" t="n">
        <v>0</v>
      </c>
      <c r="W225" s="360" t="inlineStr">
        <is>
          <t>បុគ្គលជាប់អាករ</t>
        </is>
      </c>
      <c r="X225" s="360" t="inlineStr">
        <is>
          <t>L001-901640009</t>
        </is>
      </c>
      <c r="Y225" s="360" t="inlineStr">
        <is>
          <t>ហូលីដេ ឌីហ្សាញ (ខេមបូឌា) ឯ.ក</t>
        </is>
      </c>
      <c r="Z225" s="362" t="n">
        <v>71008770</v>
      </c>
      <c r="AA225" s="362" t="n">
        <v>64553427</v>
      </c>
      <c r="AB225" s="360" t="n">
        <v>0</v>
      </c>
      <c r="AC225" s="360" t="inlineStr">
        <is>
          <t>-</t>
        </is>
      </c>
      <c r="AD225" s="362" t="n">
        <v>6455343</v>
      </c>
      <c r="AE225" s="360" t="n">
        <v>0</v>
      </c>
      <c r="AF225" s="615" t="n">
        <v>0</v>
      </c>
      <c r="AG225" s="203" t="n">
        <v>0</v>
      </c>
      <c r="AH225" s="203" t="n">
        <v>0</v>
      </c>
      <c r="AI225" s="203" t="n">
        <v>0</v>
      </c>
      <c r="AJ225" s="203" t="n">
        <v>0</v>
      </c>
      <c r="AK225" s="203" t="n">
        <v>0</v>
      </c>
      <c r="AL225" s="203" t="n">
        <v>0.01</v>
      </c>
      <c r="AM225" s="203" t="n">
        <v>0</v>
      </c>
      <c r="AN225" s="203" t="inlineStr">
        <is>
          <t>LABEL PAPER</t>
        </is>
      </c>
      <c r="AO225" s="203" t="inlineStr">
        <is>
          <t>បានប្រកាសនិងបង់ពន្ធ</t>
        </is>
      </c>
    </row>
    <row r="226">
      <c r="A226" s="220">
        <f>A225+1</f>
        <v/>
      </c>
      <c r="B226" s="222" t="inlineStr">
        <is>
          <t>Lift-On&amp;Lift-Off-Im</t>
        </is>
      </c>
      <c r="C226" s="222" t="inlineStr">
        <is>
          <t>Port Autonome Du Sihanoukville</t>
        </is>
      </c>
      <c r="D226" s="223" t="inlineStr">
        <is>
          <t>L001-100044638</t>
        </is>
      </c>
      <c r="E226" s="349" t="n">
        <v>202500043532</v>
      </c>
      <c r="F226" s="332" t="n">
        <v>45715</v>
      </c>
      <c r="G226" s="224" t="n"/>
      <c r="H226" s="617" t="n"/>
      <c r="I226" s="617" t="n">
        <v>591876</v>
      </c>
      <c r="J226" s="221" t="inlineStr">
        <is>
          <t>អនុញ្ញាត (បានប្រកាស)</t>
        </is>
      </c>
      <c r="K226" s="221" t="n"/>
      <c r="L226" s="616">
        <f>I226</f>
        <v/>
      </c>
      <c r="M226" s="588">
        <f>I226-L226</f>
        <v/>
      </c>
      <c r="N226" s="221" t="n"/>
      <c r="O226" s="226">
        <f>U226=E226</f>
        <v/>
      </c>
      <c r="P226" s="226">
        <f>MONTH(F226)-MONTH(T226)</f>
        <v/>
      </c>
      <c r="Q226" s="226">
        <f>$B$5=X226</f>
        <v/>
      </c>
      <c r="R226" s="226">
        <f>I226-AD226</f>
        <v/>
      </c>
      <c r="S226" s="360" t="n"/>
      <c r="T226" s="361" t="n">
        <v>45715</v>
      </c>
      <c r="U226" s="360" t="n">
        <v>202500043532</v>
      </c>
      <c r="V226" s="360" t="n">
        <v>0</v>
      </c>
      <c r="W226" s="360" t="inlineStr">
        <is>
          <t>បុគ្គលជាប់អាករ</t>
        </is>
      </c>
      <c r="X226" s="360" t="inlineStr">
        <is>
          <t>L001-901640009</t>
        </is>
      </c>
      <c r="Y226" s="360" t="inlineStr">
        <is>
          <t>ហូលីដេ ឌីហ្សាញ (ខេមបូឌា) ឯ.ក</t>
        </is>
      </c>
      <c r="Z226" s="362" t="n">
        <v>6672996</v>
      </c>
      <c r="AA226" s="362" t="n">
        <v>6066360</v>
      </c>
      <c r="AB226" s="360" t="n">
        <v>0</v>
      </c>
      <c r="AC226" s="360" t="inlineStr">
        <is>
          <t>-</t>
        </is>
      </c>
      <c r="AD226" s="362" t="n">
        <v>606636</v>
      </c>
      <c r="AE226" s="360" t="n">
        <v>0</v>
      </c>
      <c r="AF226" s="615" t="n">
        <v>0</v>
      </c>
      <c r="AG226" s="203" t="n">
        <v>0</v>
      </c>
      <c r="AH226" s="203" t="n">
        <v>0</v>
      </c>
      <c r="AI226" s="203" t="n">
        <v>0</v>
      </c>
      <c r="AJ226" s="203" t="n">
        <v>0</v>
      </c>
      <c r="AK226" s="203" t="n">
        <v>0</v>
      </c>
      <c r="AL226" s="203" t="n">
        <v>0.01</v>
      </c>
      <c r="AM226" s="203" t="n">
        <v>0</v>
      </c>
      <c r="AN226" s="203" t="inlineStr">
        <is>
          <t>LOLO</t>
        </is>
      </c>
    </row>
    <row r="227">
      <c r="A227" s="220">
        <f>A226+1</f>
        <v/>
      </c>
      <c r="B227" s="222" t="inlineStr">
        <is>
          <t>Terminal Handling Service-Im</t>
        </is>
      </c>
      <c r="C227" s="222" t="inlineStr">
        <is>
          <t>SITC CONTAINER LINES (CAMBODIA) Co., Ltd.</t>
        </is>
      </c>
      <c r="D227" s="223" t="inlineStr">
        <is>
          <t>L001-107035863</t>
        </is>
      </c>
      <c r="E227" s="349" t="inlineStr">
        <is>
          <t>SITC2025-005903</t>
        </is>
      </c>
      <c r="F227" s="332" t="n">
        <v>45712</v>
      </c>
      <c r="G227" s="224" t="n"/>
      <c r="H227" s="617" t="n"/>
      <c r="I227" s="617" t="n">
        <v>3513636</v>
      </c>
      <c r="J227" s="221" t="inlineStr">
        <is>
          <t>អនុញ្ញាត (បានប្រកាស)</t>
        </is>
      </c>
      <c r="K227" s="221" t="n"/>
      <c r="L227" s="616">
        <f>I227</f>
        <v/>
      </c>
      <c r="M227" s="588">
        <f>I227-L227</f>
        <v/>
      </c>
      <c r="N227" s="221" t="n"/>
      <c r="O227" s="226">
        <f>U227=E227</f>
        <v/>
      </c>
      <c r="P227" s="226">
        <f>MONTH(F227)-MONTH(T227)</f>
        <v/>
      </c>
      <c r="Q227" s="226">
        <f>$B$5=X227</f>
        <v/>
      </c>
      <c r="R227" s="226">
        <f>I227-AD227</f>
        <v/>
      </c>
      <c r="S227" s="360" t="n"/>
      <c r="T227" s="361" t="n">
        <v>45712</v>
      </c>
      <c r="U227" s="360" t="inlineStr">
        <is>
          <t>SITC2025-005903</t>
        </is>
      </c>
      <c r="V227" s="360" t="n">
        <v>0</v>
      </c>
      <c r="W227" s="360" t="inlineStr">
        <is>
          <t>បុគ្គលជាប់អាករ</t>
        </is>
      </c>
      <c r="X227" s="360" t="inlineStr">
        <is>
          <t>L001-901640009</t>
        </is>
      </c>
      <c r="Y227" s="360" t="inlineStr">
        <is>
          <t>ហូលីដេ ឌីហ្សាញ (ខេមបូឌា) ឯ.ក</t>
        </is>
      </c>
      <c r="Z227" s="362" t="n">
        <v>38649996</v>
      </c>
      <c r="AA227" s="362" t="n">
        <v>35136360</v>
      </c>
      <c r="AB227" s="360" t="n">
        <v>0</v>
      </c>
      <c r="AC227" s="360" t="inlineStr">
        <is>
          <t>-</t>
        </is>
      </c>
      <c r="AD227" s="362" t="n">
        <v>3513636</v>
      </c>
      <c r="AE227" s="360" t="n">
        <v>0</v>
      </c>
      <c r="AF227" s="615" t="n">
        <v>0</v>
      </c>
      <c r="AG227" s="203" t="n">
        <v>0</v>
      </c>
      <c r="AH227" s="203" t="n">
        <v>0</v>
      </c>
      <c r="AI227" s="203" t="n">
        <v>0</v>
      </c>
      <c r="AJ227" s="203" t="n">
        <v>0</v>
      </c>
      <c r="AK227" s="203" t="n">
        <v>0</v>
      </c>
      <c r="AL227" s="203" t="n">
        <v>0.01</v>
      </c>
      <c r="AM227" s="203" t="n">
        <v>0</v>
      </c>
      <c r="AN227" s="203" t="inlineStr">
        <is>
          <t>EMF,KHTHC,KHCIC,KHTHC,KHCIC,EMF,EIB,EIB,KHDOC</t>
        </is>
      </c>
    </row>
    <row r="228">
      <c r="A228" s="220">
        <f>A227+1</f>
        <v/>
      </c>
      <c r="B228" s="222" t="inlineStr">
        <is>
          <t>Trucking Fee-Im</t>
        </is>
      </c>
      <c r="C228" s="222" t="inlineStr">
        <is>
          <t>BRILLIANT TRANSPORT AND TRADING Co., Ltd.</t>
        </is>
      </c>
      <c r="D228" s="223" t="inlineStr">
        <is>
          <t>K002-100089305</t>
        </is>
      </c>
      <c r="E228" s="349" t="inlineStr">
        <is>
          <t>BTT25-0000437</t>
        </is>
      </c>
      <c r="F228" s="332" t="n">
        <v>45715</v>
      </c>
      <c r="G228" s="224" t="n"/>
      <c r="H228" s="617" t="n"/>
      <c r="I228" s="617" t="n">
        <v>4206490</v>
      </c>
      <c r="J228" s="221" t="inlineStr">
        <is>
          <t>អនុញ្ញាត (បានប្រកាស)</t>
        </is>
      </c>
      <c r="K228" s="221" t="n"/>
      <c r="L228" s="616">
        <f>I228</f>
        <v/>
      </c>
      <c r="M228" s="588">
        <f>I228-L228</f>
        <v/>
      </c>
      <c r="N228" s="221" t="n"/>
      <c r="O228" s="226">
        <f>U228=E228</f>
        <v/>
      </c>
      <c r="P228" s="226">
        <f>MONTH(F228)-MONTH(T228)</f>
        <v/>
      </c>
      <c r="Q228" s="226">
        <f>$B$5=X228</f>
        <v/>
      </c>
      <c r="R228" s="226">
        <f>I228-AD228</f>
        <v/>
      </c>
      <c r="S228" s="360" t="n"/>
      <c r="T228" s="361" t="n">
        <v>45715</v>
      </c>
      <c r="U228" s="360" t="inlineStr">
        <is>
          <t>BTT25-0000437</t>
        </is>
      </c>
      <c r="V228" s="360" t="n">
        <v>0</v>
      </c>
      <c r="W228" s="360" t="inlineStr">
        <is>
          <t>បុគ្គលជាប់អាករ</t>
        </is>
      </c>
      <c r="X228" s="360" t="inlineStr">
        <is>
          <t>L001-901640009</t>
        </is>
      </c>
      <c r="Y228" s="360" t="inlineStr">
        <is>
          <t>ហូលីដេ ឌីហ្សាញ (ខេមបូឌា) ឯ.ក</t>
        </is>
      </c>
      <c r="Z228" s="362" t="n">
        <v>46271390</v>
      </c>
      <c r="AA228" s="362" t="n">
        <v>42064900</v>
      </c>
      <c r="AB228" s="360" t="n">
        <v>0</v>
      </c>
      <c r="AC228" s="360" t="inlineStr">
        <is>
          <t>-</t>
        </is>
      </c>
      <c r="AD228" s="362" t="n">
        <v>4206490</v>
      </c>
      <c r="AE228" s="360" t="n">
        <v>0</v>
      </c>
      <c r="AF228" s="615" t="n">
        <v>0</v>
      </c>
      <c r="AG228" s="203" t="n">
        <v>0</v>
      </c>
      <c r="AH228" s="203" t="n">
        <v>0</v>
      </c>
      <c r="AI228" s="203" t="n">
        <v>0</v>
      </c>
      <c r="AJ228" s="203" t="n">
        <v>0</v>
      </c>
      <c r="AK228" s="203" t="n">
        <v>0</v>
      </c>
      <c r="AL228" s="203" t="n">
        <v>0.01</v>
      </c>
      <c r="AM228" s="203" t="n">
        <v>0</v>
      </c>
      <c r="AN228" s="203" t="inlineStr">
        <is>
          <t>Truking / Service</t>
        </is>
      </c>
    </row>
    <row r="229">
      <c r="A229" s="220">
        <f>A228+1</f>
        <v/>
      </c>
      <c r="B229" s="222" t="inlineStr">
        <is>
          <t>Lift-On&amp;Lift-Off-Im</t>
        </is>
      </c>
      <c r="C229" s="222" t="inlineStr">
        <is>
          <t>Port Autonome Du Sihanoukville</t>
        </is>
      </c>
      <c r="D229" s="223" t="inlineStr">
        <is>
          <t>L001-100044638</t>
        </is>
      </c>
      <c r="E229" s="349" t="n">
        <v>202500041308</v>
      </c>
      <c r="F229" s="332" t="n">
        <v>45712</v>
      </c>
      <c r="G229" s="224" t="n"/>
      <c r="H229" s="617" t="n"/>
      <c r="I229" s="617" t="n">
        <v>69791</v>
      </c>
      <c r="J229" s="221" t="inlineStr">
        <is>
          <t>អនុញ្ញាត (បានប្រកាស)</t>
        </is>
      </c>
      <c r="K229" s="221" t="n"/>
      <c r="L229" s="616">
        <f>I229</f>
        <v/>
      </c>
      <c r="M229" s="588">
        <f>I229-L229</f>
        <v/>
      </c>
      <c r="N229" s="221" t="n"/>
      <c r="O229" s="226">
        <f>U229=E229</f>
        <v/>
      </c>
      <c r="P229" s="226">
        <f>MONTH(F229)-MONTH(T229)</f>
        <v/>
      </c>
      <c r="Q229" s="226">
        <f>$B$5=X229</f>
        <v/>
      </c>
      <c r="R229" s="226">
        <f>I229-AD229</f>
        <v/>
      </c>
      <c r="S229" s="360" t="n"/>
      <c r="T229" s="361" t="n">
        <v>45712</v>
      </c>
      <c r="U229" s="360" t="n">
        <v>202500041308</v>
      </c>
      <c r="V229" s="360" t="n">
        <v>0</v>
      </c>
      <c r="W229" s="360" t="inlineStr">
        <is>
          <t>បុគ្គលជាប់អាករ</t>
        </is>
      </c>
      <c r="X229" s="360" t="inlineStr">
        <is>
          <t>L001-901640009</t>
        </is>
      </c>
      <c r="Y229" s="360" t="inlineStr">
        <is>
          <t>ហូលីដេ ឌីហ្សាញ (ខេមបូឌា) ឯ.ក</t>
        </is>
      </c>
      <c r="Z229" s="362" t="n">
        <v>767705</v>
      </c>
      <c r="AA229" s="362" t="n">
        <v>697914</v>
      </c>
      <c r="AB229" s="360" t="n">
        <v>0</v>
      </c>
      <c r="AC229" s="360" t="inlineStr">
        <is>
          <t>-</t>
        </is>
      </c>
      <c r="AD229" s="362" t="n">
        <v>69791</v>
      </c>
      <c r="AE229" s="360" t="n">
        <v>0</v>
      </c>
      <c r="AF229" s="615" t="n">
        <v>0</v>
      </c>
      <c r="AG229" s="203" t="n">
        <v>0</v>
      </c>
      <c r="AH229" s="203" t="n">
        <v>0</v>
      </c>
      <c r="AI229" s="203" t="n">
        <v>0</v>
      </c>
      <c r="AJ229" s="203" t="n">
        <v>0</v>
      </c>
      <c r="AK229" s="203" t="n">
        <v>0</v>
      </c>
      <c r="AL229" s="203" t="n">
        <v>0.01</v>
      </c>
      <c r="AM229" s="203" t="n">
        <v>0</v>
      </c>
      <c r="AN229" s="203" t="inlineStr">
        <is>
          <t>LOLO</t>
        </is>
      </c>
    </row>
    <row r="230">
      <c r="A230" s="220">
        <f>A229+1</f>
        <v/>
      </c>
      <c r="B230" s="222" t="inlineStr">
        <is>
          <t>Trucking Fee-Im</t>
        </is>
      </c>
      <c r="C230" s="222" t="inlineStr">
        <is>
          <t>BRILLIANT TRANSPORT AND TRADING Co., Ltd.</t>
        </is>
      </c>
      <c r="D230" s="223" t="inlineStr">
        <is>
          <t>K002-100089305</t>
        </is>
      </c>
      <c r="E230" s="349" t="inlineStr">
        <is>
          <t>BTT25-0000436</t>
        </is>
      </c>
      <c r="F230" s="332" t="n">
        <v>45709</v>
      </c>
      <c r="G230" s="224" t="n"/>
      <c r="H230" s="617" t="n"/>
      <c r="I230" s="617" t="n">
        <v>489464</v>
      </c>
      <c r="J230" s="221" t="inlineStr">
        <is>
          <t>អនុញ្ញាត (បានប្រកាស)</t>
        </is>
      </c>
      <c r="K230" s="221" t="n"/>
      <c r="L230" s="616">
        <f>I230</f>
        <v/>
      </c>
      <c r="M230" s="588">
        <f>I230-L230</f>
        <v/>
      </c>
      <c r="N230" s="221" t="n"/>
      <c r="O230" s="226">
        <f>U230=E230</f>
        <v/>
      </c>
      <c r="P230" s="226">
        <f>MONTH(F230)-MONTH(T230)</f>
        <v/>
      </c>
      <c r="Q230" s="226">
        <f>$B$5=X230</f>
        <v/>
      </c>
      <c r="R230" s="226">
        <f>I230-AD230</f>
        <v/>
      </c>
      <c r="S230" s="360" t="n"/>
      <c r="T230" s="361" t="n">
        <v>45709</v>
      </c>
      <c r="U230" s="360" t="inlineStr">
        <is>
          <t>BTT25-0000436</t>
        </is>
      </c>
      <c r="V230" s="360" t="n">
        <v>0</v>
      </c>
      <c r="W230" s="360" t="inlineStr">
        <is>
          <t>បុគ្គលជាប់អាករ</t>
        </is>
      </c>
      <c r="X230" s="360" t="inlineStr">
        <is>
          <t>L001-901640009</t>
        </is>
      </c>
      <c r="Y230" s="360" t="inlineStr">
        <is>
          <t>ហូលីដេ ឌីហ្សាញ (ខេមបូឌា) ឯ.ក</t>
        </is>
      </c>
      <c r="Z230" s="362" t="n">
        <v>5384104</v>
      </c>
      <c r="AA230" s="362" t="n">
        <v>4894640</v>
      </c>
      <c r="AB230" s="360" t="n">
        <v>0</v>
      </c>
      <c r="AC230" s="360" t="inlineStr">
        <is>
          <t>-</t>
        </is>
      </c>
      <c r="AD230" s="362" t="n">
        <v>489464</v>
      </c>
      <c r="AE230" s="360" t="n">
        <v>0</v>
      </c>
      <c r="AF230" s="615" t="n">
        <v>0</v>
      </c>
      <c r="AG230" s="203" t="n">
        <v>0</v>
      </c>
      <c r="AH230" s="203" t="n">
        <v>0</v>
      </c>
      <c r="AI230" s="203" t="n">
        <v>0</v>
      </c>
      <c r="AJ230" s="203" t="n">
        <v>0</v>
      </c>
      <c r="AK230" s="203" t="n">
        <v>0</v>
      </c>
      <c r="AL230" s="203" t="n">
        <v>0.01</v>
      </c>
      <c r="AM230" s="203" t="n">
        <v>0</v>
      </c>
      <c r="AN230" s="203" t="inlineStr">
        <is>
          <t>Truking / Service</t>
        </is>
      </c>
    </row>
    <row r="231">
      <c r="A231" s="220">
        <f>A230+1</f>
        <v/>
      </c>
      <c r="B231" s="222" t="inlineStr">
        <is>
          <t>Lift-On&amp;Lift-Off-Im</t>
        </is>
      </c>
      <c r="C231" s="222" t="inlineStr">
        <is>
          <t>Port Autonome Du Sihanoukville</t>
        </is>
      </c>
      <c r="D231" s="223" t="inlineStr">
        <is>
          <t>L001-100044638</t>
        </is>
      </c>
      <c r="E231" s="349" t="n">
        <v>202500038487</v>
      </c>
      <c r="F231" s="332" t="n">
        <v>45707</v>
      </c>
      <c r="G231" s="224" t="n"/>
      <c r="H231" s="617" t="n"/>
      <c r="I231" s="617" t="n">
        <v>349392</v>
      </c>
      <c r="J231" s="221" t="inlineStr">
        <is>
          <t>អនុញ្ញាត (បានប្រកាស)</t>
        </is>
      </c>
      <c r="K231" s="221" t="n"/>
      <c r="L231" s="616">
        <f>I231</f>
        <v/>
      </c>
      <c r="M231" s="588">
        <f>I231-L231</f>
        <v/>
      </c>
      <c r="N231" s="221" t="n"/>
      <c r="O231" s="226">
        <f>U231=E231</f>
        <v/>
      </c>
      <c r="P231" s="226">
        <f>MONTH(F231)-MONTH(T231)</f>
        <v/>
      </c>
      <c r="Q231" s="226">
        <f>$B$5=X231</f>
        <v/>
      </c>
      <c r="R231" s="226">
        <f>I231-AD231</f>
        <v/>
      </c>
      <c r="S231" s="360" t="n"/>
      <c r="T231" s="361" t="n">
        <v>45707</v>
      </c>
      <c r="U231" s="360" t="n">
        <v>202500038487</v>
      </c>
      <c r="V231" s="360" t="n">
        <v>0</v>
      </c>
      <c r="W231" s="360" t="inlineStr">
        <is>
          <t>បុគ្គលជាប់អាករ</t>
        </is>
      </c>
      <c r="X231" s="360" t="inlineStr">
        <is>
          <t>L001-901640009</t>
        </is>
      </c>
      <c r="Y231" s="360" t="inlineStr">
        <is>
          <t>ហូលីដេ ឌីហ្សាញ (ខេមបូឌា) ឯ.ក</t>
        </is>
      </c>
      <c r="Z231" s="362" t="n">
        <v>3843312</v>
      </c>
      <c r="AA231" s="362" t="n">
        <v>3493920</v>
      </c>
      <c r="AB231" s="360" t="n">
        <v>0</v>
      </c>
      <c r="AC231" s="360" t="inlineStr">
        <is>
          <t>-</t>
        </is>
      </c>
      <c r="AD231" s="362" t="n">
        <v>349392</v>
      </c>
      <c r="AE231" s="360" t="n">
        <v>0</v>
      </c>
      <c r="AF231" s="615" t="n">
        <v>0</v>
      </c>
      <c r="AG231" s="203" t="n">
        <v>0</v>
      </c>
      <c r="AH231" s="203" t="n">
        <v>0</v>
      </c>
      <c r="AI231" s="203" t="n">
        <v>0</v>
      </c>
      <c r="AJ231" s="203" t="n">
        <v>0</v>
      </c>
      <c r="AK231" s="203" t="n">
        <v>0</v>
      </c>
      <c r="AL231" s="203" t="n">
        <v>0.01</v>
      </c>
      <c r="AM231" s="203" t="n">
        <v>0</v>
      </c>
      <c r="AN231" s="203" t="inlineStr">
        <is>
          <t>LOLO</t>
        </is>
      </c>
    </row>
    <row r="232">
      <c r="A232" s="220">
        <f>A231+1</f>
        <v/>
      </c>
      <c r="B232" s="222" t="inlineStr">
        <is>
          <t>Security Service</t>
        </is>
      </c>
      <c r="C232" s="222" t="inlineStr">
        <is>
          <t>V.P.R.Y SECURITY CO., LTD.</t>
        </is>
      </c>
      <c r="D232" s="223" t="inlineStr">
        <is>
          <t>K010-902303788</t>
        </is>
      </c>
      <c r="E232" s="349" t="inlineStr">
        <is>
          <t>VPRY24-00132</t>
        </is>
      </c>
      <c r="F232" s="332" t="n">
        <v>45590</v>
      </c>
      <c r="G232" s="224" t="n"/>
      <c r="H232" s="617" t="n"/>
      <c r="I232" s="617" t="n">
        <v>2044714</v>
      </c>
      <c r="J232" s="221" t="inlineStr">
        <is>
          <t>អនុញ្ញាត (បានប្រកាស)</t>
        </is>
      </c>
      <c r="K232" s="618">
        <f>L232</f>
        <v/>
      </c>
      <c r="L232" s="616">
        <f>AD232</f>
        <v/>
      </c>
      <c r="M232" s="588">
        <f>I232-L232</f>
        <v/>
      </c>
      <c r="N232" s="221" t="n"/>
      <c r="O232" s="226">
        <f>U232=E232</f>
        <v/>
      </c>
      <c r="P232" s="226">
        <f>MONTH(F232)-MONTH(T232)</f>
        <v/>
      </c>
      <c r="Q232" s="226">
        <f>$B$5=X232</f>
        <v/>
      </c>
      <c r="R232" s="226">
        <f>I232-AD232</f>
        <v/>
      </c>
      <c r="S232" s="360" t="n"/>
      <c r="T232" s="361" t="n">
        <v>45590</v>
      </c>
      <c r="U232" s="360" t="inlineStr">
        <is>
          <t>VPRY24-00132</t>
        </is>
      </c>
      <c r="V232" s="360" t="n">
        <v>0</v>
      </c>
      <c r="W232" s="360" t="inlineStr">
        <is>
          <t>បុគ្គលជាប់អាករ</t>
        </is>
      </c>
      <c r="X232" s="360" t="inlineStr">
        <is>
          <t>L001-901640009</t>
        </is>
      </c>
      <c r="Y232" s="360" t="inlineStr">
        <is>
          <t>ហូលីដេ ឌីហ្សាញ (ខេមបូឌា) ឯ.ក</t>
        </is>
      </c>
      <c r="Z232" s="362" t="n">
        <v>22491848</v>
      </c>
      <c r="AA232" s="362" t="n">
        <v>20447135</v>
      </c>
      <c r="AB232" s="360" t="n">
        <v>0</v>
      </c>
      <c r="AC232" s="360" t="inlineStr">
        <is>
          <t>-</t>
        </is>
      </c>
      <c r="AD232" s="362" t="n">
        <v>2044713</v>
      </c>
      <c r="AE232" s="360" t="n">
        <v>0</v>
      </c>
      <c r="AF232" s="615" t="n">
        <v>0</v>
      </c>
      <c r="AG232" s="203" t="n">
        <v>0</v>
      </c>
      <c r="AH232" s="203" t="n">
        <v>0</v>
      </c>
      <c r="AI232" s="203" t="n">
        <v>0</v>
      </c>
      <c r="AJ232" s="203" t="n">
        <v>0</v>
      </c>
      <c r="AK232" s="203" t="n">
        <v>0</v>
      </c>
      <c r="AL232" s="203" t="n">
        <v>0.01</v>
      </c>
      <c r="AM232" s="203" t="n">
        <v>0</v>
      </c>
      <c r="AN232" s="203" t="inlineStr">
        <is>
          <t>SERVICE</t>
        </is>
      </c>
      <c r="AO232" s="203" t="inlineStr">
        <is>
          <t>បានប្រកាសនិងបង់ពន្ធ</t>
        </is>
      </c>
    </row>
    <row r="233">
      <c r="A233" s="220">
        <f>A232+1</f>
        <v/>
      </c>
      <c r="B233" s="222" t="inlineStr">
        <is>
          <t>Trucking Fee-Im</t>
        </is>
      </c>
      <c r="C233" s="222" t="inlineStr">
        <is>
          <t>BRILLIANT TRANSPORT AND TRADING Co., Ltd.</t>
        </is>
      </c>
      <c r="D233" s="223" t="inlineStr">
        <is>
          <t>K002-100089305</t>
        </is>
      </c>
      <c r="E233" s="349" t="inlineStr">
        <is>
          <t>BTT25-0000403</t>
        </is>
      </c>
      <c r="F233" s="332" t="n">
        <v>45707</v>
      </c>
      <c r="G233" s="224" t="n"/>
      <c r="H233" s="617" t="n"/>
      <c r="I233" s="617" t="n">
        <v>2152576</v>
      </c>
      <c r="J233" s="221" t="inlineStr">
        <is>
          <t>អនុញ្ញាត (បានប្រកាស)</t>
        </is>
      </c>
      <c r="K233" s="221" t="n"/>
      <c r="L233" s="616">
        <f>I233</f>
        <v/>
      </c>
      <c r="M233" s="588">
        <f>I233-L233</f>
        <v/>
      </c>
      <c r="N233" s="221" t="n"/>
      <c r="O233" s="226">
        <f>U233=E233</f>
        <v/>
      </c>
      <c r="P233" s="226">
        <f>MONTH(F233)-MONTH(T233)</f>
        <v/>
      </c>
      <c r="Q233" s="226">
        <f>$B$5=X233</f>
        <v/>
      </c>
      <c r="R233" s="226">
        <f>I233-AD233</f>
        <v/>
      </c>
      <c r="S233" s="360" t="n"/>
      <c r="T233" s="361" t="n">
        <v>45707</v>
      </c>
      <c r="U233" s="360" t="inlineStr">
        <is>
          <t>BTT25-0000403</t>
        </is>
      </c>
      <c r="V233" s="360" t="n">
        <v>0</v>
      </c>
      <c r="W233" s="360" t="inlineStr">
        <is>
          <t>បុគ្គលជាប់អាករ</t>
        </is>
      </c>
      <c r="X233" s="360" t="inlineStr">
        <is>
          <t>L001-901640009</t>
        </is>
      </c>
      <c r="Y233" s="360" t="inlineStr">
        <is>
          <t>ហូលីដេ ឌីហ្សាញ (ខេមបូឌា) ឯ.ក</t>
        </is>
      </c>
      <c r="Z233" s="362" t="n">
        <v>23678336</v>
      </c>
      <c r="AA233" s="362" t="n">
        <v>21525760</v>
      </c>
      <c r="AB233" s="360" t="n">
        <v>0</v>
      </c>
      <c r="AC233" s="360" t="inlineStr">
        <is>
          <t>-</t>
        </is>
      </c>
      <c r="AD233" s="362" t="n">
        <v>2152576</v>
      </c>
      <c r="AE233" s="360" t="n">
        <v>0</v>
      </c>
      <c r="AF233" s="615" t="n">
        <v>0</v>
      </c>
      <c r="AG233" s="203" t="n">
        <v>0</v>
      </c>
      <c r="AH233" s="203" t="n">
        <v>0</v>
      </c>
      <c r="AI233" s="203" t="n">
        <v>0</v>
      </c>
      <c r="AJ233" s="203" t="n">
        <v>0</v>
      </c>
      <c r="AK233" s="203" t="n">
        <v>0</v>
      </c>
      <c r="AL233" s="203" t="n">
        <v>0.01</v>
      </c>
      <c r="AM233" s="203" t="n">
        <v>0</v>
      </c>
      <c r="AN233" s="203" t="inlineStr">
        <is>
          <t>Truking / Service</t>
        </is>
      </c>
    </row>
    <row r="234">
      <c r="A234" s="220">
        <f>A233+1</f>
        <v/>
      </c>
      <c r="B234" s="222" t="inlineStr">
        <is>
          <t>Lift-On&amp;Lift-Off-Im</t>
        </is>
      </c>
      <c r="C234" s="222" t="inlineStr">
        <is>
          <t>Port Autonome Du Sihanoukville</t>
        </is>
      </c>
      <c r="D234" s="223" t="inlineStr">
        <is>
          <t>L001-100044638</t>
        </is>
      </c>
      <c r="E234" s="349" t="n">
        <v>202500034018</v>
      </c>
      <c r="F234" s="332" t="n">
        <v>45700</v>
      </c>
      <c r="G234" s="224" t="n"/>
      <c r="H234" s="617" t="n"/>
      <c r="I234" s="617" t="n">
        <v>342770</v>
      </c>
      <c r="J234" s="221" t="inlineStr">
        <is>
          <t>អនុញ្ញាត (បានប្រកាស)</t>
        </is>
      </c>
      <c r="K234" s="221" t="n"/>
      <c r="L234" s="616">
        <f>I234</f>
        <v/>
      </c>
      <c r="M234" s="588">
        <f>I234-L234</f>
        <v/>
      </c>
      <c r="N234" s="221" t="n"/>
      <c r="O234" s="226">
        <f>U234=E234</f>
        <v/>
      </c>
      <c r="P234" s="226">
        <f>MONTH(F234)-MONTH(T234)</f>
        <v/>
      </c>
      <c r="Q234" s="226">
        <f>$B$5=X234</f>
        <v/>
      </c>
      <c r="R234" s="226">
        <f>I234-AD234</f>
        <v/>
      </c>
      <c r="S234" s="360" t="n"/>
      <c r="T234" s="361" t="n">
        <v>45700</v>
      </c>
      <c r="U234" s="360" t="n">
        <v>202500034018</v>
      </c>
      <c r="V234" s="360" t="n">
        <v>0</v>
      </c>
      <c r="W234" s="360" t="inlineStr">
        <is>
          <t>បុគ្គលជាប់អាករ</t>
        </is>
      </c>
      <c r="X234" s="360" t="inlineStr">
        <is>
          <t>L001-901640009</t>
        </is>
      </c>
      <c r="Y234" s="360" t="inlineStr">
        <is>
          <t>ហូលីដេ ឌីហ្សាញ (ខេមបូឌា) ឯ.ក</t>
        </is>
      </c>
      <c r="Z234" s="362" t="n">
        <v>3770465</v>
      </c>
      <c r="AA234" s="362" t="n">
        <v>3427695</v>
      </c>
      <c r="AB234" s="360" t="n">
        <v>0</v>
      </c>
      <c r="AC234" s="360" t="inlineStr">
        <is>
          <t>-</t>
        </is>
      </c>
      <c r="AD234" s="362" t="n">
        <v>342770</v>
      </c>
      <c r="AE234" s="360" t="n">
        <v>0</v>
      </c>
      <c r="AF234" s="615" t="n">
        <v>0</v>
      </c>
      <c r="AG234" s="203" t="n">
        <v>0</v>
      </c>
      <c r="AH234" s="203" t="n">
        <v>0</v>
      </c>
      <c r="AI234" s="203" t="n">
        <v>0</v>
      </c>
      <c r="AJ234" s="203" t="n">
        <v>0</v>
      </c>
      <c r="AK234" s="203" t="n">
        <v>0</v>
      </c>
      <c r="AL234" s="203" t="n">
        <v>0.01</v>
      </c>
      <c r="AM234" s="203" t="n">
        <v>0</v>
      </c>
      <c r="AN234" s="203" t="inlineStr">
        <is>
          <t>LOLO</t>
        </is>
      </c>
    </row>
    <row r="235">
      <c r="A235" s="220">
        <f>A234+1</f>
        <v/>
      </c>
      <c r="B235" s="222" t="inlineStr">
        <is>
          <t>Security Service</t>
        </is>
      </c>
      <c r="C235" s="222" t="inlineStr">
        <is>
          <t>V.P.R.Y SECURITY CO., LTD.</t>
        </is>
      </c>
      <c r="D235" s="223" t="inlineStr">
        <is>
          <t>K010-902303788</t>
        </is>
      </c>
      <c r="E235" s="349" t="inlineStr">
        <is>
          <t>VPRY2024-00148</t>
        </is>
      </c>
      <c r="F235" s="332" t="n">
        <v>45621</v>
      </c>
      <c r="G235" s="224" t="n"/>
      <c r="H235" s="617" t="n"/>
      <c r="I235" s="617" t="n">
        <v>2021049</v>
      </c>
      <c r="J235" s="221" t="inlineStr">
        <is>
          <t>ព្យួរទុក (មិនមានទិន្នន័យ)</t>
        </is>
      </c>
      <c r="K235" s="221" t="n"/>
      <c r="L235" s="616" t="n"/>
      <c r="M235" s="588">
        <f>I235-L235</f>
        <v/>
      </c>
      <c r="N235" s="221" t="n"/>
      <c r="O235" s="226">
        <f>U235=E235</f>
        <v/>
      </c>
      <c r="P235" s="226">
        <f>MONTH(F235)-MONTH(T235)</f>
        <v/>
      </c>
      <c r="Q235" s="226">
        <f>$B$5=X235</f>
        <v/>
      </c>
      <c r="R235" s="226">
        <f>I235-AD235</f>
        <v/>
      </c>
      <c r="S235" s="360" t="n"/>
      <c r="T235" s="361" t="n">
        <v>45621</v>
      </c>
      <c r="U235" s="360" t="inlineStr">
        <is>
          <t>VPRY24-00148</t>
        </is>
      </c>
      <c r="V235" s="360" t="n">
        <v>0</v>
      </c>
      <c r="W235" s="360" t="inlineStr">
        <is>
          <t>បុគ្គលជាប់អាករ</t>
        </is>
      </c>
      <c r="X235" s="360" t="inlineStr">
        <is>
          <t>L001-901640009</t>
        </is>
      </c>
      <c r="Y235" s="360" t="inlineStr">
        <is>
          <t>ហូលីដេ ឌីហ្សាញ (ខេមបូឌា) ឯ.ក</t>
        </is>
      </c>
      <c r="Z235" s="362" t="n">
        <v>22231539</v>
      </c>
      <c r="AA235" s="362" t="n">
        <v>20210490</v>
      </c>
      <c r="AB235" s="360" t="n">
        <v>0</v>
      </c>
      <c r="AC235" s="360" t="inlineStr">
        <is>
          <t>-</t>
        </is>
      </c>
      <c r="AD235" s="362" t="n">
        <v>2021049</v>
      </c>
      <c r="AE235" s="360" t="n">
        <v>0</v>
      </c>
      <c r="AF235" s="615" t="n">
        <v>0</v>
      </c>
      <c r="AG235" s="203" t="n">
        <v>0</v>
      </c>
      <c r="AH235" s="203" t="n">
        <v>0</v>
      </c>
      <c r="AI235" s="203" t="n">
        <v>0</v>
      </c>
      <c r="AJ235" s="203" t="n">
        <v>0</v>
      </c>
      <c r="AK235" s="203" t="n">
        <v>0</v>
      </c>
      <c r="AL235" s="203" t="n">
        <v>0.01</v>
      </c>
      <c r="AM235" s="203" t="n">
        <v>0</v>
      </c>
      <c r="AN235" s="203" t="inlineStr">
        <is>
          <t>SECURITY SERVICE</t>
        </is>
      </c>
      <c r="AO235" s="203" t="inlineStr">
        <is>
          <t>បានប្រកាសនិងបង់ពន្ធ</t>
        </is>
      </c>
    </row>
    <row r="236">
      <c r="A236" s="220">
        <f>A235+1</f>
        <v/>
      </c>
      <c r="B236" s="222" t="inlineStr">
        <is>
          <t>Security Service</t>
        </is>
      </c>
      <c r="C236" s="222" t="inlineStr">
        <is>
          <t>V.P.R.Y SECURITY CO., LTD.</t>
        </is>
      </c>
      <c r="D236" s="223" t="inlineStr">
        <is>
          <t>K010-902303788</t>
        </is>
      </c>
      <c r="E236" s="349" t="inlineStr">
        <is>
          <t>VPRY24-00169</t>
        </is>
      </c>
      <c r="F236" s="332" t="n">
        <v>45653</v>
      </c>
      <c r="G236" s="224" t="n"/>
      <c r="H236" s="617" t="n"/>
      <c r="I236" s="617" t="n">
        <v>2024574</v>
      </c>
      <c r="J236" s="221" t="inlineStr">
        <is>
          <t>អនុញ្ញាត (បានប្រកាស)</t>
        </is>
      </c>
      <c r="K236" s="618">
        <f>L236</f>
        <v/>
      </c>
      <c r="L236" s="616">
        <f>AD236</f>
        <v/>
      </c>
      <c r="M236" s="588">
        <f>I236-L236</f>
        <v/>
      </c>
      <c r="N236" s="221" t="n"/>
      <c r="O236" s="226">
        <f>U236=E236</f>
        <v/>
      </c>
      <c r="P236" s="226">
        <f>MONTH(F236)-MONTH(T236)</f>
        <v/>
      </c>
      <c r="Q236" s="226">
        <f>$B$5=X236</f>
        <v/>
      </c>
      <c r="R236" s="226">
        <f>I236-AD236</f>
        <v/>
      </c>
      <c r="S236" s="360" t="n"/>
      <c r="T236" s="361" t="n">
        <v>45653</v>
      </c>
      <c r="U236" s="360" t="inlineStr">
        <is>
          <t>VPRY24-00169</t>
        </is>
      </c>
      <c r="V236" s="360" t="n">
        <v>0</v>
      </c>
      <c r="W236" s="360" t="inlineStr">
        <is>
          <t>បុគ្គលជាប់អាករ</t>
        </is>
      </c>
      <c r="X236" s="360" t="inlineStr">
        <is>
          <t>L001-901640009</t>
        </is>
      </c>
      <c r="Y236" s="360" t="inlineStr">
        <is>
          <t>ហូលីដេ ឌីហ្សាញ (ខេមបូឌា) ឯ.ក</t>
        </is>
      </c>
      <c r="Z236" s="362" t="n">
        <v>22270308</v>
      </c>
      <c r="AA236" s="362" t="n">
        <v>20245735</v>
      </c>
      <c r="AB236" s="360" t="n">
        <v>0</v>
      </c>
      <c r="AC236" s="360" t="inlineStr">
        <is>
          <t>-</t>
        </is>
      </c>
      <c r="AD236" s="362" t="n">
        <v>2024573</v>
      </c>
      <c r="AE236" s="360" t="n">
        <v>0</v>
      </c>
      <c r="AF236" s="615" t="n">
        <v>0</v>
      </c>
      <c r="AG236" s="203" t="n">
        <v>0</v>
      </c>
      <c r="AH236" s="203" t="n">
        <v>0</v>
      </c>
      <c r="AI236" s="203" t="n">
        <v>0</v>
      </c>
      <c r="AJ236" s="203" t="n">
        <v>0</v>
      </c>
      <c r="AK236" s="203" t="n">
        <v>0</v>
      </c>
      <c r="AL236" s="203" t="n">
        <v>0.01</v>
      </c>
      <c r="AM236" s="203" t="n">
        <v>0</v>
      </c>
      <c r="AN236" s="203" t="inlineStr">
        <is>
          <t>SECURITY SERVICES</t>
        </is>
      </c>
      <c r="AO236" s="203" t="inlineStr">
        <is>
          <t>បានប្រកាសនិងបង់ពន្ធ</t>
        </is>
      </c>
    </row>
    <row r="237">
      <c r="A237" s="220">
        <f>A236+1</f>
        <v/>
      </c>
      <c r="B237" s="222" t="inlineStr">
        <is>
          <t>Security Service</t>
        </is>
      </c>
      <c r="C237" s="222" t="inlineStr">
        <is>
          <t>V.P.R.Y SECURITY CO., LTD.</t>
        </is>
      </c>
      <c r="D237" s="223" t="inlineStr">
        <is>
          <t>K010-902303788</t>
        </is>
      </c>
      <c r="E237" s="349" t="inlineStr">
        <is>
          <t>VPRY24-00009</t>
        </is>
      </c>
      <c r="F237" s="332" t="n">
        <v>45682</v>
      </c>
      <c r="G237" s="224" t="n"/>
      <c r="H237" s="617" t="n"/>
      <c r="I237" s="617" t="n">
        <v>2026084</v>
      </c>
      <c r="J237" s="221" t="inlineStr">
        <is>
          <t>អនុញ្ញាត (បានប្រកាស)</t>
        </is>
      </c>
      <c r="K237" s="221" t="n"/>
      <c r="L237" s="616">
        <f>I237</f>
        <v/>
      </c>
      <c r="M237" s="588">
        <f>I237-L237</f>
        <v/>
      </c>
      <c r="N237" s="221" t="n"/>
      <c r="O237" s="226">
        <f>U237=E237</f>
        <v/>
      </c>
      <c r="P237" s="226">
        <f>MONTH(F237)-MONTH(T237)</f>
        <v/>
      </c>
      <c r="Q237" s="226">
        <f>$B$5=X237</f>
        <v/>
      </c>
      <c r="R237" s="226">
        <f>I237-AD237</f>
        <v/>
      </c>
      <c r="S237" s="360" t="n"/>
      <c r="T237" s="361" t="n">
        <v>45682</v>
      </c>
      <c r="U237" s="360" t="inlineStr">
        <is>
          <t>VPRY24-00009</t>
        </is>
      </c>
      <c r="V237" s="360" t="n">
        <v>0</v>
      </c>
      <c r="W237" s="360" t="inlineStr">
        <is>
          <t>បុគ្គលជាប់អាករ</t>
        </is>
      </c>
      <c r="X237" s="360" t="inlineStr">
        <is>
          <t>L001-901640009</t>
        </is>
      </c>
      <c r="Y237" s="360" t="inlineStr">
        <is>
          <t>ហូលីដេ ឌីហ្សាញ (ខេមបូឌា) ឯ.ក</t>
        </is>
      </c>
      <c r="Z237" s="362" t="n">
        <v>22286924</v>
      </c>
      <c r="AA237" s="362" t="n">
        <v>20260840</v>
      </c>
      <c r="AB237" s="360" t="n">
        <v>0</v>
      </c>
      <c r="AC237" s="360" t="inlineStr">
        <is>
          <t>-</t>
        </is>
      </c>
      <c r="AD237" s="362" t="n">
        <v>2026084</v>
      </c>
      <c r="AE237" s="360" t="n">
        <v>0</v>
      </c>
      <c r="AF237" s="615" t="n">
        <v>0</v>
      </c>
      <c r="AG237" s="203" t="n">
        <v>0</v>
      </c>
      <c r="AH237" s="203" t="n">
        <v>0</v>
      </c>
      <c r="AI237" s="203" t="n">
        <v>0</v>
      </c>
      <c r="AJ237" s="203" t="n">
        <v>0</v>
      </c>
      <c r="AK237" s="203" t="n">
        <v>0</v>
      </c>
      <c r="AL237" s="203" t="n">
        <v>0.01</v>
      </c>
      <c r="AM237" s="203" t="n">
        <v>0</v>
      </c>
      <c r="AN237" s="203" t="inlineStr">
        <is>
          <t>SECURITY SERVICES</t>
        </is>
      </c>
      <c r="AO237" s="203" t="inlineStr">
        <is>
          <t>បានប្រកាសនិងបង់ពន្ធ</t>
        </is>
      </c>
    </row>
    <row r="238">
      <c r="A238" s="220">
        <f>A237+1</f>
        <v/>
      </c>
      <c r="B238" s="222" t="inlineStr">
        <is>
          <t>Security Service</t>
        </is>
      </c>
      <c r="C238" s="222" t="inlineStr">
        <is>
          <t>V.P.R.Y SECURITY CO., LTD.</t>
        </is>
      </c>
      <c r="D238" s="223" t="inlineStr">
        <is>
          <t>K010-902303788</t>
        </is>
      </c>
      <c r="E238" s="349" t="inlineStr">
        <is>
          <t>VPRY24-00032</t>
        </is>
      </c>
      <c r="F238" s="332" t="n">
        <v>45715</v>
      </c>
      <c r="G238" s="224" t="n"/>
      <c r="H238" s="617" t="n"/>
      <c r="I238" s="617" t="n">
        <v>2019035</v>
      </c>
      <c r="J238" s="221" t="inlineStr">
        <is>
          <t>អនុញ្ញាត (បានប្រកាស)</t>
        </is>
      </c>
      <c r="K238" s="221" t="n"/>
      <c r="L238" s="616">
        <f>I238</f>
        <v/>
      </c>
      <c r="M238" s="588">
        <f>I238-L238</f>
        <v/>
      </c>
      <c r="N238" s="221" t="n"/>
      <c r="O238" s="226">
        <f>U238=E238</f>
        <v/>
      </c>
      <c r="P238" s="226">
        <f>MONTH(F238)-MONTH(T238)</f>
        <v/>
      </c>
      <c r="Q238" s="226">
        <f>$B$5=X238</f>
        <v/>
      </c>
      <c r="R238" s="226">
        <f>I238-AD238</f>
        <v/>
      </c>
      <c r="S238" s="360" t="n"/>
      <c r="T238" s="361" t="n">
        <v>45690</v>
      </c>
      <c r="U238" s="360" t="inlineStr">
        <is>
          <t>VPRY24-00032</t>
        </is>
      </c>
      <c r="V238" s="360" t="n">
        <v>0</v>
      </c>
      <c r="W238" s="360" t="inlineStr">
        <is>
          <t>បុគ្គលជាប់អាករ</t>
        </is>
      </c>
      <c r="X238" s="360" t="inlineStr">
        <is>
          <t>L001-901640009</t>
        </is>
      </c>
      <c r="Y238" s="360" t="inlineStr">
        <is>
          <t>ហូលីដេ ឌីហ្សាញ (ខេមបូឌា) ឯ.ក</t>
        </is>
      </c>
      <c r="Z238" s="362" t="n">
        <v>22209385</v>
      </c>
      <c r="AA238" s="362" t="n">
        <v>20190350</v>
      </c>
      <c r="AB238" s="360" t="n">
        <v>0</v>
      </c>
      <c r="AC238" s="360" t="inlineStr">
        <is>
          <t>-</t>
        </is>
      </c>
      <c r="AD238" s="362" t="n">
        <v>2019035</v>
      </c>
      <c r="AE238" s="360" t="n">
        <v>0</v>
      </c>
      <c r="AF238" s="615" t="n">
        <v>0</v>
      </c>
      <c r="AG238" s="203" t="n">
        <v>0</v>
      </c>
      <c r="AH238" s="203" t="n">
        <v>0</v>
      </c>
      <c r="AI238" s="203" t="n">
        <v>0</v>
      </c>
      <c r="AJ238" s="203" t="n">
        <v>0</v>
      </c>
      <c r="AK238" s="203" t="n">
        <v>0</v>
      </c>
      <c r="AL238" s="203" t="n">
        <v>0.01</v>
      </c>
      <c r="AM238" s="203" t="n">
        <v>0</v>
      </c>
      <c r="AN238" s="203" t="inlineStr">
        <is>
          <t>Service</t>
        </is>
      </c>
      <c r="AO238" s="203" t="inlineStr">
        <is>
          <t>បានប្រកាសនិងបង់ពន្ធ</t>
        </is>
      </c>
    </row>
    <row r="239">
      <c r="A239" s="220">
        <f>A238+1</f>
        <v/>
      </c>
      <c r="B239" s="222" t="inlineStr">
        <is>
          <t>Terminal Handling Service-Im</t>
        </is>
      </c>
      <c r="C239" s="222" t="inlineStr">
        <is>
          <t>SITC CONTAINER LINES (CAMBODIA) Co., Ltd.</t>
        </is>
      </c>
      <c r="D239" s="223" t="inlineStr">
        <is>
          <t>L001-107035863</t>
        </is>
      </c>
      <c r="E239" s="349" t="inlineStr">
        <is>
          <t>SITC2025-005017</t>
        </is>
      </c>
      <c r="F239" s="332" t="n">
        <v>45695</v>
      </c>
      <c r="G239" s="224" t="n"/>
      <c r="H239" s="617" t="n"/>
      <c r="I239" s="617" t="n">
        <v>1831752</v>
      </c>
      <c r="J239" s="221" t="inlineStr">
        <is>
          <t>អនុញ្ញាត (បានប្រកាស)</t>
        </is>
      </c>
      <c r="K239" s="221" t="n"/>
      <c r="L239" s="616">
        <f>I239</f>
        <v/>
      </c>
      <c r="M239" s="588">
        <f>I239-L239</f>
        <v/>
      </c>
      <c r="N239" s="221" t="n"/>
      <c r="O239" s="226">
        <f>U239=E239</f>
        <v/>
      </c>
      <c r="P239" s="226">
        <f>MONTH(F239)-MONTH(T239)</f>
        <v/>
      </c>
      <c r="Q239" s="226">
        <f>$B$5=X239</f>
        <v/>
      </c>
      <c r="R239" s="226">
        <f>I239-AD239</f>
        <v/>
      </c>
      <c r="S239" s="360" t="n"/>
      <c r="T239" s="361" t="n">
        <v>45695</v>
      </c>
      <c r="U239" s="360" t="inlineStr">
        <is>
          <t>SITC2025-005017</t>
        </is>
      </c>
      <c r="V239" s="360" t="n">
        <v>0</v>
      </c>
      <c r="W239" s="360" t="inlineStr">
        <is>
          <t>បុគ្គលជាប់អាករ</t>
        </is>
      </c>
      <c r="X239" s="360" t="inlineStr">
        <is>
          <t>L001-901640009</t>
        </is>
      </c>
      <c r="Y239" s="360" t="inlineStr">
        <is>
          <t>ហូលីដេ ឌីហ្សាញ (ខេមបូឌា) ឯ.ក</t>
        </is>
      </c>
      <c r="Z239" s="362" t="n">
        <v>20149272</v>
      </c>
      <c r="AA239" s="362" t="n">
        <v>18317520</v>
      </c>
      <c r="AB239" s="360" t="n">
        <v>0</v>
      </c>
      <c r="AC239" s="360" t="inlineStr">
        <is>
          <t>-</t>
        </is>
      </c>
      <c r="AD239" s="362" t="n">
        <v>1831752</v>
      </c>
      <c r="AE239" s="360" t="n">
        <v>0</v>
      </c>
      <c r="AF239" s="615" t="n">
        <v>0</v>
      </c>
      <c r="AG239" s="203" t="n">
        <v>0</v>
      </c>
      <c r="AH239" s="203" t="n">
        <v>0</v>
      </c>
      <c r="AI239" s="203" t="n">
        <v>0</v>
      </c>
      <c r="AJ239" s="203" t="n">
        <v>0</v>
      </c>
      <c r="AK239" s="203" t="n">
        <v>0</v>
      </c>
      <c r="AL239" s="203" t="n">
        <v>0.01</v>
      </c>
      <c r="AM239" s="203" t="n">
        <v>0</v>
      </c>
      <c r="AN239" s="203" t="inlineStr">
        <is>
          <t>KHTHC,EIB,EMF,KHCIC,KHDOC</t>
        </is>
      </c>
    </row>
    <row r="240">
      <c r="A240" s="220">
        <f>A239+1</f>
        <v/>
      </c>
      <c r="B240" s="222" t="inlineStr">
        <is>
          <t>Trucking Fee-Im</t>
        </is>
      </c>
      <c r="C240" s="222" t="inlineStr">
        <is>
          <t>BRILLIANT TRANSPORT AND TRADING Co., Ltd.</t>
        </is>
      </c>
      <c r="D240" s="223" t="inlineStr">
        <is>
          <t>K002-100089305</t>
        </is>
      </c>
      <c r="E240" s="349" t="inlineStr">
        <is>
          <t>BTT25-0000355</t>
        </is>
      </c>
      <c r="F240" s="332" t="n">
        <v>45695</v>
      </c>
      <c r="G240" s="224" t="n"/>
      <c r="H240" s="617" t="n"/>
      <c r="I240" s="617" t="n">
        <v>3692289</v>
      </c>
      <c r="J240" s="221" t="inlineStr">
        <is>
          <t>អនុញ្ញាត (បានប្រកាស)</t>
        </is>
      </c>
      <c r="K240" s="221" t="n"/>
      <c r="L240" s="616">
        <f>I240</f>
        <v/>
      </c>
      <c r="M240" s="588">
        <f>I240-L240</f>
        <v/>
      </c>
      <c r="N240" s="221" t="n"/>
      <c r="O240" s="226">
        <f>U240=E240</f>
        <v/>
      </c>
      <c r="P240" s="226">
        <f>MONTH(F240)-MONTH(T240)</f>
        <v/>
      </c>
      <c r="Q240" s="226">
        <f>$B$5=X240</f>
        <v/>
      </c>
      <c r="R240" s="226">
        <f>I240-AD240</f>
        <v/>
      </c>
      <c r="S240" s="360" t="n"/>
      <c r="T240" s="361" t="n">
        <v>45700</v>
      </c>
      <c r="U240" s="360" t="inlineStr">
        <is>
          <t>BTT25-0000355</t>
        </is>
      </c>
      <c r="V240" s="360" t="n">
        <v>0</v>
      </c>
      <c r="W240" s="360" t="inlineStr">
        <is>
          <t>បុគ្គលជាប់អាករ</t>
        </is>
      </c>
      <c r="X240" s="360" t="inlineStr">
        <is>
          <t>L001-901640009</t>
        </is>
      </c>
      <c r="Y240" s="360" t="inlineStr">
        <is>
          <t>ហូលីដេ ឌីហ្សាញ (ខេមបូឌា) ឯ.ក</t>
        </is>
      </c>
      <c r="Z240" s="362" t="n">
        <v>40615179</v>
      </c>
      <c r="AA240" s="362" t="n">
        <v>36922890</v>
      </c>
      <c r="AB240" s="360" t="n">
        <v>0</v>
      </c>
      <c r="AC240" s="360" t="inlineStr">
        <is>
          <t>-</t>
        </is>
      </c>
      <c r="AD240" s="362" t="n">
        <v>3692289</v>
      </c>
      <c r="AE240" s="360" t="n">
        <v>0</v>
      </c>
      <c r="AF240" s="615" t="n">
        <v>0</v>
      </c>
      <c r="AG240" s="203" t="n">
        <v>0</v>
      </c>
      <c r="AH240" s="203" t="n">
        <v>0</v>
      </c>
      <c r="AI240" s="203" t="n">
        <v>0</v>
      </c>
      <c r="AJ240" s="203" t="n">
        <v>0</v>
      </c>
      <c r="AK240" s="203" t="n">
        <v>0</v>
      </c>
      <c r="AL240" s="203" t="n">
        <v>0.01</v>
      </c>
      <c r="AM240" s="203" t="n">
        <v>0</v>
      </c>
      <c r="AN240" s="203" t="inlineStr">
        <is>
          <t>Truking / Service</t>
        </is>
      </c>
    </row>
    <row r="241">
      <c r="A241" s="220">
        <f>A240+1</f>
        <v/>
      </c>
      <c r="B241" s="222" t="inlineStr">
        <is>
          <t>Lift-On&amp;Lift-Off-Im</t>
        </is>
      </c>
      <c r="C241" s="222" t="inlineStr">
        <is>
          <t>Port Autonome Du Sihanoukville</t>
        </is>
      </c>
      <c r="D241" s="223" t="inlineStr">
        <is>
          <t>L001-100044638</t>
        </is>
      </c>
      <c r="E241" s="349" t="n">
        <v>202500032421</v>
      </c>
      <c r="F241" s="332" t="n">
        <v>45698</v>
      </c>
      <c r="G241" s="224" t="n"/>
      <c r="H241" s="617" t="n"/>
      <c r="I241" s="617" t="n">
        <v>160278</v>
      </c>
      <c r="J241" s="221" t="inlineStr">
        <is>
          <t>អនុញ្ញាត (បានប្រកាស)</t>
        </is>
      </c>
      <c r="K241" s="221" t="n"/>
      <c r="L241" s="616">
        <f>I241</f>
        <v/>
      </c>
      <c r="M241" s="588">
        <f>I241-L241</f>
        <v/>
      </c>
      <c r="N241" s="221" t="n"/>
      <c r="O241" s="226">
        <f>U241=E241</f>
        <v/>
      </c>
      <c r="P241" s="226">
        <f>MONTH(F241)-MONTH(T241)</f>
        <v/>
      </c>
      <c r="Q241" s="226">
        <f>$B$5=X241</f>
        <v/>
      </c>
      <c r="R241" s="226">
        <f>I241-AD241</f>
        <v/>
      </c>
      <c r="S241" s="360" t="n"/>
      <c r="T241" s="361" t="n">
        <v>45698</v>
      </c>
      <c r="U241" s="360" t="n">
        <v>202500032421</v>
      </c>
      <c r="V241" s="360" t="n">
        <v>0</v>
      </c>
      <c r="W241" s="360" t="inlineStr">
        <is>
          <t>បុគ្គលជាប់អាករ</t>
        </is>
      </c>
      <c r="X241" s="360" t="inlineStr">
        <is>
          <t>L001-901640009</t>
        </is>
      </c>
      <c r="Y241" s="360" t="inlineStr">
        <is>
          <t>ហូលីដេ ឌីហ្សាញ (ខេមបូឌា) ឯ.ក</t>
        </is>
      </c>
      <c r="Z241" s="362" t="n">
        <v>1763061</v>
      </c>
      <c r="AA241" s="362" t="n">
        <v>1602783</v>
      </c>
      <c r="AB241" s="360" t="n">
        <v>0</v>
      </c>
      <c r="AC241" s="360" t="inlineStr">
        <is>
          <t>-</t>
        </is>
      </c>
      <c r="AD241" s="362" t="n">
        <v>160278</v>
      </c>
      <c r="AE241" s="360" t="n">
        <v>0</v>
      </c>
      <c r="AF241" s="615" t="n">
        <v>0</v>
      </c>
      <c r="AG241" s="203" t="n">
        <v>0</v>
      </c>
      <c r="AH241" s="203" t="n">
        <v>0</v>
      </c>
      <c r="AI241" s="203" t="n">
        <v>0</v>
      </c>
      <c r="AJ241" s="203" t="n">
        <v>0</v>
      </c>
      <c r="AK241" s="203" t="n">
        <v>0</v>
      </c>
      <c r="AL241" s="203" t="n">
        <v>0.01</v>
      </c>
      <c r="AM241" s="203" t="n">
        <v>0</v>
      </c>
      <c r="AN241" s="203" t="inlineStr">
        <is>
          <t>LOLO</t>
        </is>
      </c>
    </row>
    <row r="242">
      <c r="A242" s="220">
        <f>A241+1</f>
        <v/>
      </c>
      <c r="B242" s="222" t="inlineStr">
        <is>
          <t>Security Service</t>
        </is>
      </c>
      <c r="C242" s="222" t="inlineStr">
        <is>
          <t>V.P.R.Y SECURITY CO., LTD.</t>
        </is>
      </c>
      <c r="D242" s="223" t="inlineStr">
        <is>
          <t>K010-902303788</t>
        </is>
      </c>
      <c r="E242" s="349" t="inlineStr">
        <is>
          <t>VPRY24-00050</t>
        </is>
      </c>
      <c r="F242" s="332" t="n">
        <v>45742</v>
      </c>
      <c r="G242" s="224" t="n"/>
      <c r="H242" s="617" t="n"/>
      <c r="I242" s="617" t="n">
        <v>2203652</v>
      </c>
      <c r="J242" s="221" t="inlineStr">
        <is>
          <t>ព្យួរទុក (មិនមានទិន្នន័យ)</t>
        </is>
      </c>
      <c r="K242" s="221" t="n"/>
      <c r="L242" s="616" t="n"/>
      <c r="M242" s="588">
        <f>I242-L242</f>
        <v/>
      </c>
      <c r="N242" s="221" t="n"/>
      <c r="O242" s="226">
        <f>U242=E242</f>
        <v/>
      </c>
      <c r="P242" s="226">
        <f>MONTH(F242)-MONTH(T242)</f>
        <v/>
      </c>
      <c r="Q242" s="226">
        <f>$B$5=X242</f>
        <v/>
      </c>
      <c r="R242" s="226">
        <f>I242-AD242</f>
        <v/>
      </c>
      <c r="S242" s="360" t="n"/>
      <c r="T242" s="361" t="n">
        <v>45742</v>
      </c>
      <c r="U242" s="360" t="inlineStr">
        <is>
          <t>VPRY25-00050</t>
        </is>
      </c>
      <c r="V242" s="360" t="n">
        <v>0</v>
      </c>
      <c r="W242" s="360" t="inlineStr">
        <is>
          <t>បុគ្គលជាប់អាករ</t>
        </is>
      </c>
      <c r="X242" s="360" t="inlineStr">
        <is>
          <t>L001-901640009</t>
        </is>
      </c>
      <c r="Y242" s="360" t="inlineStr">
        <is>
          <t>ហូលីដេ ឌីហ្សាញ (ខេមបូឌា) ឯ.ក</t>
        </is>
      </c>
      <c r="Z242" s="362" t="n">
        <v>24240167</v>
      </c>
      <c r="AA242" s="362" t="n">
        <v>22036515</v>
      </c>
      <c r="AB242" s="360" t="n">
        <v>0</v>
      </c>
      <c r="AC242" s="360" t="inlineStr">
        <is>
          <t>-</t>
        </is>
      </c>
      <c r="AD242" s="362" t="n">
        <v>2203652</v>
      </c>
      <c r="AE242" s="360" t="n">
        <v>0</v>
      </c>
      <c r="AF242" s="615" t="n">
        <v>0</v>
      </c>
      <c r="AG242" s="203" t="n">
        <v>0</v>
      </c>
      <c r="AH242" s="203" t="n">
        <v>0</v>
      </c>
      <c r="AI242" s="203" t="n">
        <v>0</v>
      </c>
      <c r="AJ242" s="203" t="n">
        <v>0</v>
      </c>
      <c r="AK242" s="203" t="n">
        <v>0</v>
      </c>
      <c r="AL242" s="203" t="n">
        <v>0.01</v>
      </c>
      <c r="AM242" s="203" t="n">
        <v>0</v>
      </c>
      <c r="AN242" s="203" t="inlineStr">
        <is>
          <t>Service</t>
        </is>
      </c>
      <c r="AO242" s="203" t="inlineStr">
        <is>
          <t>បានប្រកាសនិងបង់ពន្ធ</t>
        </is>
      </c>
    </row>
    <row r="243">
      <c r="A243" s="220">
        <f>A242+1</f>
        <v/>
      </c>
      <c r="B243" s="222" t="inlineStr">
        <is>
          <t>Trucking Fee-Im</t>
        </is>
      </c>
      <c r="C243" s="222" t="inlineStr">
        <is>
          <t>BRILLIANT TRANSPORT AND TRADING Co., Ltd.</t>
        </is>
      </c>
      <c r="D243" s="223" t="inlineStr">
        <is>
          <t>K002-100089305</t>
        </is>
      </c>
      <c r="E243" s="349" t="inlineStr">
        <is>
          <t>BTT25-0000316</t>
        </is>
      </c>
      <c r="F243" s="332" t="n">
        <v>45691</v>
      </c>
      <c r="G243" s="224" t="n"/>
      <c r="H243" s="617" t="n"/>
      <c r="I243" s="617" t="n">
        <v>186621</v>
      </c>
      <c r="J243" s="221" t="inlineStr">
        <is>
          <t>អនុញ្ញាត (បានប្រកាស)</t>
        </is>
      </c>
      <c r="K243" s="221" t="n"/>
      <c r="L243" s="616">
        <f>I243</f>
        <v/>
      </c>
      <c r="M243" s="588">
        <f>I243-L243</f>
        <v/>
      </c>
      <c r="N243" s="221" t="n"/>
      <c r="O243" s="226">
        <f>U243=E243</f>
        <v/>
      </c>
      <c r="P243" s="226">
        <f>MONTH(F243)-MONTH(T243)</f>
        <v/>
      </c>
      <c r="Q243" s="226">
        <f>$B$5=X243</f>
        <v/>
      </c>
      <c r="R243" s="226">
        <f>I243-AD243</f>
        <v/>
      </c>
      <c r="S243" s="360" t="n"/>
      <c r="T243" s="361" t="n">
        <v>45691</v>
      </c>
      <c r="U243" s="360" t="inlineStr">
        <is>
          <t>BTT25-0000316</t>
        </is>
      </c>
      <c r="V243" s="360" t="n">
        <v>0</v>
      </c>
      <c r="W243" s="360" t="inlineStr">
        <is>
          <t>បុគ្គលជាប់អាករ</t>
        </is>
      </c>
      <c r="X243" s="360" t="inlineStr">
        <is>
          <t>L001-901640009</t>
        </is>
      </c>
      <c r="Y243" s="360" t="inlineStr">
        <is>
          <t>ហូលីដេ ឌីហ្សាញ (ខេមបូឌា) ឯ.ក</t>
        </is>
      </c>
      <c r="Z243" s="362" t="n">
        <v>2052829</v>
      </c>
      <c r="AA243" s="362" t="n">
        <v>1866208</v>
      </c>
      <c r="AB243" s="360" t="n">
        <v>0</v>
      </c>
      <c r="AC243" s="360" t="inlineStr">
        <is>
          <t>-</t>
        </is>
      </c>
      <c r="AD243" s="362" t="n">
        <v>186621</v>
      </c>
      <c r="AE243" s="360" t="n">
        <v>0</v>
      </c>
      <c r="AF243" s="615" t="n">
        <v>0</v>
      </c>
      <c r="AG243" s="203" t="n">
        <v>0</v>
      </c>
      <c r="AH243" s="203" t="n">
        <v>0</v>
      </c>
      <c r="AI243" s="203" t="n">
        <v>0</v>
      </c>
      <c r="AJ243" s="203" t="n">
        <v>0</v>
      </c>
      <c r="AK243" s="203" t="n">
        <v>0</v>
      </c>
      <c r="AL243" s="203" t="n">
        <v>0.01</v>
      </c>
      <c r="AM243" s="203" t="n">
        <v>0</v>
      </c>
      <c r="AN243" s="203" t="inlineStr">
        <is>
          <t>Truking / Service</t>
        </is>
      </c>
    </row>
    <row r="244">
      <c r="A244" s="220">
        <f>A243+1</f>
        <v/>
      </c>
      <c r="B244" s="222" t="inlineStr">
        <is>
          <t>Trucking Fee-Im</t>
        </is>
      </c>
      <c r="C244" s="222" t="inlineStr">
        <is>
          <t>BRILLIANT TRANSPORT AND TRADING Co., Ltd.</t>
        </is>
      </c>
      <c r="D244" s="223" t="inlineStr">
        <is>
          <t>K002-100089305</t>
        </is>
      </c>
      <c r="E244" s="349" t="inlineStr">
        <is>
          <t>BTT25-0000448</t>
        </is>
      </c>
      <c r="F244" s="332" t="n">
        <v>45691</v>
      </c>
      <c r="G244" s="224" t="n"/>
      <c r="H244" s="617" t="n"/>
      <c r="I244" s="617" t="n">
        <v>150423</v>
      </c>
      <c r="J244" s="221" t="inlineStr">
        <is>
          <t>អនុញ្ញាត (បានប្រកាស)</t>
        </is>
      </c>
      <c r="K244" s="221" t="n"/>
      <c r="L244" s="616">
        <f>I244</f>
        <v/>
      </c>
      <c r="M244" s="588">
        <f>I244-L244</f>
        <v/>
      </c>
      <c r="N244" s="221" t="n"/>
      <c r="O244" s="226">
        <f>U244=E244</f>
        <v/>
      </c>
      <c r="P244" s="226">
        <f>MONTH(F244)-MONTH(T244)</f>
        <v/>
      </c>
      <c r="Q244" s="226">
        <f>$B$5=X244</f>
        <v/>
      </c>
      <c r="R244" s="226">
        <f>I244-AD244</f>
        <v/>
      </c>
      <c r="S244" s="360" t="n"/>
      <c r="T244" s="361" t="n">
        <v>45691</v>
      </c>
      <c r="U244" s="360" t="inlineStr">
        <is>
          <t>BTT25-0000448</t>
        </is>
      </c>
      <c r="V244" s="360" t="n">
        <v>0</v>
      </c>
      <c r="W244" s="360" t="inlineStr">
        <is>
          <t>បុគ្គលជាប់អាករ</t>
        </is>
      </c>
      <c r="X244" s="360" t="inlineStr">
        <is>
          <t>L001-901640009</t>
        </is>
      </c>
      <c r="Y244" s="360" t="inlineStr">
        <is>
          <t>ហូលីដេ ឌីហ្សាញ (ខេមបូឌា) ឯ.ក</t>
        </is>
      </c>
      <c r="Z244" s="362" t="n">
        <v>1654651</v>
      </c>
      <c r="AA244" s="362" t="n">
        <v>1504228</v>
      </c>
      <c r="AB244" s="360" t="n">
        <v>0</v>
      </c>
      <c r="AC244" s="360" t="inlineStr">
        <is>
          <t>-</t>
        </is>
      </c>
      <c r="AD244" s="362" t="n">
        <v>150423</v>
      </c>
      <c r="AE244" s="360" t="n">
        <v>0</v>
      </c>
      <c r="AF244" s="615" t="n">
        <v>0</v>
      </c>
      <c r="AG244" s="203" t="n">
        <v>0</v>
      </c>
      <c r="AH244" s="203" t="n">
        <v>0</v>
      </c>
      <c r="AI244" s="203" t="n">
        <v>0</v>
      </c>
      <c r="AJ244" s="203" t="n">
        <v>0</v>
      </c>
      <c r="AK244" s="203" t="n">
        <v>0</v>
      </c>
      <c r="AL244" s="203" t="n">
        <v>0.01</v>
      </c>
      <c r="AM244" s="203" t="n">
        <v>0</v>
      </c>
      <c r="AN244" s="203" t="inlineStr">
        <is>
          <t>Truking / Service</t>
        </is>
      </c>
    </row>
    <row r="245">
      <c r="A245" s="220">
        <f>A244+1</f>
        <v/>
      </c>
      <c r="B245" s="222" t="inlineStr">
        <is>
          <t>Trucking Fee-Im</t>
        </is>
      </c>
      <c r="C245" s="222" t="inlineStr">
        <is>
          <t>BRILLIANT TRANSPORT AND TRADING Co., Ltd.</t>
        </is>
      </c>
      <c r="D245" s="223" t="inlineStr">
        <is>
          <t>K002-100089305</t>
        </is>
      </c>
      <c r="E245" s="349" t="inlineStr">
        <is>
          <t>BTT25-0000354</t>
        </is>
      </c>
      <c r="F245" s="332" t="n">
        <v>45698</v>
      </c>
      <c r="G245" s="224" t="n"/>
      <c r="H245" s="617" t="n"/>
      <c r="I245" s="617" t="n">
        <v>1739361</v>
      </c>
      <c r="J245" s="221" t="inlineStr">
        <is>
          <t>អនុញ្ញាត (បានប្រកាស)</t>
        </is>
      </c>
      <c r="K245" s="221" t="n"/>
      <c r="L245" s="616">
        <f>I245</f>
        <v/>
      </c>
      <c r="M245" s="588">
        <f>I245-L245</f>
        <v/>
      </c>
      <c r="N245" s="221" t="n"/>
      <c r="O245" s="226">
        <f>U245=E245</f>
        <v/>
      </c>
      <c r="P245" s="226">
        <f>MONTH(F245)-MONTH(T245)</f>
        <v/>
      </c>
      <c r="Q245" s="226">
        <f>$B$5=X245</f>
        <v/>
      </c>
      <c r="R245" s="226">
        <f>I245-AD245</f>
        <v/>
      </c>
      <c r="S245" s="360" t="n"/>
      <c r="T245" s="361" t="n">
        <v>45698</v>
      </c>
      <c r="U245" s="360" t="inlineStr">
        <is>
          <t>BTT25-0000354</t>
        </is>
      </c>
      <c r="V245" s="360" t="n">
        <v>0</v>
      </c>
      <c r="W245" s="360" t="inlineStr">
        <is>
          <t>បុគ្គលជាប់អាករ</t>
        </is>
      </c>
      <c r="X245" s="360" t="inlineStr">
        <is>
          <t>L001-901640009</t>
        </is>
      </c>
      <c r="Y245" s="360" t="inlineStr">
        <is>
          <t>ហូលីដេ ឌីហ្សាញ (ខេមបូឌា) ឯ.ក</t>
        </is>
      </c>
      <c r="Z245" s="362" t="n">
        <v>19132971</v>
      </c>
      <c r="AA245" s="362" t="n">
        <v>17393610</v>
      </c>
      <c r="AB245" s="360" t="n">
        <v>0</v>
      </c>
      <c r="AC245" s="360" t="inlineStr">
        <is>
          <t>-</t>
        </is>
      </c>
      <c r="AD245" s="362" t="n">
        <v>1739361</v>
      </c>
      <c r="AE245" s="360" t="n">
        <v>0</v>
      </c>
      <c r="AF245" s="615" t="n">
        <v>0</v>
      </c>
      <c r="AG245" s="203" t="n">
        <v>0</v>
      </c>
      <c r="AH245" s="203" t="n">
        <v>0</v>
      </c>
      <c r="AI245" s="203" t="n">
        <v>0</v>
      </c>
      <c r="AJ245" s="203" t="n">
        <v>0</v>
      </c>
      <c r="AK245" s="203" t="n">
        <v>0</v>
      </c>
      <c r="AL245" s="203" t="n">
        <v>0.01</v>
      </c>
      <c r="AM245" s="203" t="n">
        <v>0</v>
      </c>
      <c r="AN245" s="203" t="inlineStr">
        <is>
          <t>Truking / Service</t>
        </is>
      </c>
    </row>
    <row r="246">
      <c r="A246" s="220">
        <f>A245+1</f>
        <v/>
      </c>
      <c r="B246" s="222" t="inlineStr">
        <is>
          <t>Terminal Handling Service-Im</t>
        </is>
      </c>
      <c r="C246" s="222" t="inlineStr">
        <is>
          <t>SITC CONTAINER LINES (CAMBODIA) Co., Ltd.</t>
        </is>
      </c>
      <c r="D246" s="223" t="inlineStr">
        <is>
          <t>L001-107035863</t>
        </is>
      </c>
      <c r="E246" s="349" t="inlineStr">
        <is>
          <t>SITC2025-004731</t>
        </is>
      </c>
      <c r="F246" s="332" t="n">
        <v>45693</v>
      </c>
      <c r="G246" s="224" t="n"/>
      <c r="H246" s="617" t="n"/>
      <c r="I246" s="617" t="n">
        <v>868320</v>
      </c>
      <c r="J246" s="221" t="inlineStr">
        <is>
          <t>អនុញ្ញាត (បានប្រកាស)</t>
        </is>
      </c>
      <c r="K246" s="221" t="n"/>
      <c r="L246" s="616">
        <f>I246</f>
        <v/>
      </c>
      <c r="M246" s="588">
        <f>I246-L246</f>
        <v/>
      </c>
      <c r="N246" s="221" t="n"/>
      <c r="O246" s="226">
        <f>U246=E246</f>
        <v/>
      </c>
      <c r="P246" s="226">
        <f>MONTH(F246)-MONTH(T246)</f>
        <v/>
      </c>
      <c r="Q246" s="226">
        <f>$B$5=X246</f>
        <v/>
      </c>
      <c r="R246" s="226">
        <f>I246-AD246</f>
        <v/>
      </c>
      <c r="S246" s="360" t="n"/>
      <c r="T246" s="361" t="n">
        <v>45693</v>
      </c>
      <c r="U246" s="360" t="inlineStr">
        <is>
          <t>SITC2025-004731</t>
        </is>
      </c>
      <c r="V246" s="360" t="n">
        <v>0</v>
      </c>
      <c r="W246" s="360" t="inlineStr">
        <is>
          <t>បុគ្គលជាប់អាករ</t>
        </is>
      </c>
      <c r="X246" s="360" t="inlineStr">
        <is>
          <t>L001-901640009</t>
        </is>
      </c>
      <c r="Y246" s="360" t="inlineStr">
        <is>
          <t>ហូលីដេ ឌីហ្សាញ (ខេមបូឌា) ឯ.ក</t>
        </is>
      </c>
      <c r="Z246" s="362" t="n">
        <v>9551520</v>
      </c>
      <c r="AA246" s="362" t="n">
        <v>8683200</v>
      </c>
      <c r="AB246" s="360" t="n">
        <v>0</v>
      </c>
      <c r="AC246" s="360" t="inlineStr">
        <is>
          <t>-</t>
        </is>
      </c>
      <c r="AD246" s="362" t="n">
        <v>868320</v>
      </c>
      <c r="AE246" s="360" t="n">
        <v>0</v>
      </c>
      <c r="AF246" s="615" t="n">
        <v>0</v>
      </c>
      <c r="AG246" s="203" t="n">
        <v>0</v>
      </c>
      <c r="AH246" s="203" t="n">
        <v>0</v>
      </c>
      <c r="AI246" s="203" t="n">
        <v>0</v>
      </c>
      <c r="AJ246" s="203" t="n">
        <v>0</v>
      </c>
      <c r="AK246" s="203" t="n">
        <v>0</v>
      </c>
      <c r="AL246" s="203" t="n">
        <v>0.01</v>
      </c>
      <c r="AM246" s="203" t="n">
        <v>0</v>
      </c>
      <c r="AN246" s="203" t="inlineStr">
        <is>
          <t>KHCIC,KHTHC,KHDOC,EIB,EMF</t>
        </is>
      </c>
    </row>
    <row r="247">
      <c r="A247" s="220">
        <f>A246+1</f>
        <v/>
      </c>
      <c r="B247" s="222" t="inlineStr">
        <is>
          <t>Security Service</t>
        </is>
      </c>
      <c r="C247" s="222" t="inlineStr">
        <is>
          <t>V.P.R.Y SECURITY CO., LTD.</t>
        </is>
      </c>
      <c r="D247" s="223" t="inlineStr">
        <is>
          <t>K010-902303788</t>
        </is>
      </c>
      <c r="E247" s="349" t="inlineStr">
        <is>
          <t>VPRY24-00085</t>
        </is>
      </c>
      <c r="F247" s="332" t="n">
        <v>45775</v>
      </c>
      <c r="G247" s="224" t="n"/>
      <c r="H247" s="617" t="n"/>
      <c r="I247" s="617" t="n">
        <v>2203101</v>
      </c>
      <c r="J247" s="221" t="inlineStr">
        <is>
          <t>ព្យួរទុក (មិនមានទិន្នន័យ)</t>
        </is>
      </c>
      <c r="K247" s="221" t="n"/>
      <c r="L247" s="616" t="n"/>
      <c r="M247" s="588">
        <f>I247-L247</f>
        <v/>
      </c>
      <c r="N247" s="221" t="n"/>
      <c r="O247" s="226">
        <f>U247=E247</f>
        <v/>
      </c>
      <c r="P247" s="226">
        <f>MONTH(F247)-MONTH(T247)</f>
        <v/>
      </c>
      <c r="Q247" s="226">
        <f>$B$5=X247</f>
        <v/>
      </c>
      <c r="R247" s="226">
        <f>I247-AD247</f>
        <v/>
      </c>
      <c r="S247" s="360" t="n"/>
      <c r="T247" s="361" t="n">
        <v>45775</v>
      </c>
      <c r="U247" s="360" t="inlineStr">
        <is>
          <t>VPRY25-00085</t>
        </is>
      </c>
      <c r="V247" s="360" t="n">
        <v>0</v>
      </c>
      <c r="W247" s="360" t="inlineStr">
        <is>
          <t>បុគ្គលជាប់អាករ</t>
        </is>
      </c>
      <c r="X247" s="360" t="inlineStr">
        <is>
          <t>L001-901640009</t>
        </is>
      </c>
      <c r="Y247" s="360" t="inlineStr">
        <is>
          <t>ហូលីដេ ឌីហ្សាញ (ខេមបូឌា) ឯ.ក</t>
        </is>
      </c>
      <c r="Z247" s="362" t="n">
        <v>24234111</v>
      </c>
      <c r="AA247" s="362" t="n">
        <v>22031010</v>
      </c>
      <c r="AB247" s="360" t="n">
        <v>0</v>
      </c>
      <c r="AC247" s="360" t="inlineStr">
        <is>
          <t>-</t>
        </is>
      </c>
      <c r="AD247" s="362" t="n">
        <v>2203101</v>
      </c>
      <c r="AE247" s="360" t="n">
        <v>0</v>
      </c>
      <c r="AF247" s="615" t="n">
        <v>0</v>
      </c>
      <c r="AG247" s="203" t="n">
        <v>0</v>
      </c>
      <c r="AH247" s="203" t="n">
        <v>0</v>
      </c>
      <c r="AI247" s="203" t="n">
        <v>0</v>
      </c>
      <c r="AJ247" s="203" t="n">
        <v>0</v>
      </c>
      <c r="AK247" s="203" t="n">
        <v>0</v>
      </c>
      <c r="AL247" s="203" t="n">
        <v>0.01</v>
      </c>
      <c r="AM247" s="203" t="n">
        <v>0</v>
      </c>
      <c r="AN247" s="203" t="inlineStr">
        <is>
          <t>Service</t>
        </is>
      </c>
      <c r="AO247" s="203" t="inlineStr">
        <is>
          <t>បានប្រកាសនិងបង់ពន្ធ</t>
        </is>
      </c>
    </row>
    <row r="248">
      <c r="A248" s="220">
        <f>A247+1</f>
        <v/>
      </c>
      <c r="B248" s="222" t="inlineStr">
        <is>
          <t>Security Service</t>
        </is>
      </c>
      <c r="C248" s="222" t="inlineStr">
        <is>
          <t>V.P.R.Y SECURITY CO., LTD.</t>
        </is>
      </c>
      <c r="D248" s="223" t="inlineStr">
        <is>
          <t>K010-902303788</t>
        </is>
      </c>
      <c r="E248" s="349" t="inlineStr">
        <is>
          <t>VPRY24-00091</t>
        </is>
      </c>
      <c r="F248" s="332" t="n">
        <v>45805</v>
      </c>
      <c r="G248" s="224" t="n"/>
      <c r="H248" s="617" t="n"/>
      <c r="I248" s="617" t="n">
        <v>2203652</v>
      </c>
      <c r="J248" s="221" t="inlineStr">
        <is>
          <t>ព្យួរទុក (មិនមានទិន្នន័យ)</t>
        </is>
      </c>
      <c r="K248" s="221" t="n"/>
      <c r="L248" s="616" t="n"/>
      <c r="M248" s="588">
        <f>I248-L248</f>
        <v/>
      </c>
      <c r="N248" s="221" t="n"/>
      <c r="O248" s="226">
        <f>U248=E248</f>
        <v/>
      </c>
      <c r="P248" s="226">
        <f>MONTH(F248)-MONTH(T248)</f>
        <v/>
      </c>
      <c r="Q248" s="226">
        <f>$B$5=X248</f>
        <v/>
      </c>
      <c r="R248" s="226">
        <f>I248-AD248</f>
        <v/>
      </c>
      <c r="S248" s="360" t="n"/>
      <c r="T248" s="361" t="n">
        <v>45805</v>
      </c>
      <c r="U248" s="360" t="inlineStr">
        <is>
          <t>VPRY25-00091</t>
        </is>
      </c>
      <c r="V248" s="360" t="n">
        <v>0</v>
      </c>
      <c r="W248" s="360" t="inlineStr">
        <is>
          <t>បុគ្គលជាប់អាករ</t>
        </is>
      </c>
      <c r="X248" s="360" t="inlineStr">
        <is>
          <t>L001-901640009</t>
        </is>
      </c>
      <c r="Y248" s="360" t="inlineStr">
        <is>
          <t>ហូលីដេ ឌីហ្សាញ (ខេមបូឌា) ឯ.ក</t>
        </is>
      </c>
      <c r="Z248" s="362" t="n">
        <v>24240167</v>
      </c>
      <c r="AA248" s="362" t="n">
        <v>22036515</v>
      </c>
      <c r="AB248" s="360" t="n">
        <v>0</v>
      </c>
      <c r="AC248" s="360" t="inlineStr">
        <is>
          <t>-</t>
        </is>
      </c>
      <c r="AD248" s="362" t="n">
        <v>2203652</v>
      </c>
      <c r="AE248" s="360" t="n">
        <v>0</v>
      </c>
      <c r="AF248" s="615" t="n">
        <v>0</v>
      </c>
      <c r="AG248" s="203" t="n">
        <v>0</v>
      </c>
      <c r="AH248" s="203" t="n">
        <v>0</v>
      </c>
      <c r="AI248" s="203" t="n">
        <v>0</v>
      </c>
      <c r="AJ248" s="203" t="n">
        <v>0</v>
      </c>
      <c r="AK248" s="203" t="n">
        <v>0</v>
      </c>
      <c r="AL248" s="203" t="n">
        <v>0.01</v>
      </c>
      <c r="AM248" s="203" t="n">
        <v>0</v>
      </c>
      <c r="AN248" s="203" t="inlineStr">
        <is>
          <t>Service</t>
        </is>
      </c>
      <c r="AO248" s="203" t="inlineStr">
        <is>
          <t>បានប្រកាសនិងបង់ពន្ធ</t>
        </is>
      </c>
    </row>
    <row r="249">
      <c r="A249" s="220">
        <f>A248+1</f>
        <v/>
      </c>
      <c r="B249" s="222" t="inlineStr">
        <is>
          <t>Transportation Fee</t>
        </is>
      </c>
      <c r="C249" s="222" t="inlineStr">
        <is>
          <t>YE E DA INTERNATIONAL LOGISTICS CO., LTD.</t>
        </is>
      </c>
      <c r="D249" s="223" t="inlineStr">
        <is>
          <t>K010-902401220</t>
        </is>
      </c>
      <c r="E249" s="349" t="n">
        <v>10</v>
      </c>
      <c r="F249" s="332" t="n">
        <v>45714</v>
      </c>
      <c r="G249" s="224" t="n"/>
      <c r="H249" s="617" t="n"/>
      <c r="I249" s="617" t="n">
        <v>398795</v>
      </c>
      <c r="J249" s="221" t="inlineStr">
        <is>
          <t>អនុញ្ញាត (បានប្រកាស)</t>
        </is>
      </c>
      <c r="K249" s="221" t="n"/>
      <c r="L249" s="616">
        <f>I249</f>
        <v/>
      </c>
      <c r="M249" s="588">
        <f>I249-L249</f>
        <v/>
      </c>
      <c r="N249" s="221" t="n"/>
      <c r="O249" s="226">
        <f>U249=E249</f>
        <v/>
      </c>
      <c r="P249" s="226">
        <f>MONTH(F249)-MONTH(T249)</f>
        <v/>
      </c>
      <c r="Q249" s="226">
        <f>$B$5=X249</f>
        <v/>
      </c>
      <c r="R249" s="226">
        <f>I249-AD249</f>
        <v/>
      </c>
      <c r="S249" s="360" t="n"/>
      <c r="T249" s="361" t="n">
        <v>45714</v>
      </c>
      <c r="U249" s="360" t="n">
        <v>10</v>
      </c>
      <c r="V249" s="360" t="n">
        <v>0</v>
      </c>
      <c r="W249" s="360" t="n">
        <v>0</v>
      </c>
      <c r="X249" s="360" t="inlineStr">
        <is>
          <t>L001-901640009</t>
        </is>
      </c>
      <c r="Y249" s="360" t="n">
        <v>0</v>
      </c>
      <c r="Z249" s="362" t="n">
        <v>0</v>
      </c>
      <c r="AA249" s="362" t="n">
        <v>0</v>
      </c>
      <c r="AB249" s="360" t="n">
        <v>0</v>
      </c>
      <c r="AC249" s="360" t="n">
        <v>0</v>
      </c>
      <c r="AD249" s="362" t="n">
        <v>398795</v>
      </c>
      <c r="AE249" s="360" t="n">
        <v>0</v>
      </c>
      <c r="AF249" s="615" t="n">
        <v>0</v>
      </c>
      <c r="AG249" s="203" t="n">
        <v>0</v>
      </c>
      <c r="AH249" s="203" t="n">
        <v>0</v>
      </c>
      <c r="AI249" s="203" t="n">
        <v>0</v>
      </c>
      <c r="AJ249" s="203" t="n">
        <v>0</v>
      </c>
      <c r="AK249" s="203" t="n">
        <v>0</v>
      </c>
      <c r="AL249" s="203" t="n">
        <v>0</v>
      </c>
      <c r="AM249" s="203" t="n">
        <v>0</v>
      </c>
      <c r="AN249" s="203" t="n">
        <v>0</v>
      </c>
      <c r="AO249" s="203" t="n">
        <v>0</v>
      </c>
    </row>
    <row r="250">
      <c r="A250" s="220">
        <f>A249+1</f>
        <v/>
      </c>
      <c r="B250" s="222" t="inlineStr">
        <is>
          <t>Transportation Fee</t>
        </is>
      </c>
      <c r="C250" s="222" t="inlineStr">
        <is>
          <t>YE E DA INTERNATIONAL LOGISTICS CO., LTD.</t>
        </is>
      </c>
      <c r="D250" s="223" t="inlineStr">
        <is>
          <t>K010-902401220</t>
        </is>
      </c>
      <c r="E250" s="349" t="n">
        <v>15</v>
      </c>
      <c r="F250" s="332" t="n">
        <v>45743</v>
      </c>
      <c r="G250" s="224" t="n"/>
      <c r="H250" s="617" t="n"/>
      <c r="I250" s="617" t="n">
        <v>1996209</v>
      </c>
      <c r="J250" s="221" t="inlineStr">
        <is>
          <t>អនុញ្ញាត (បានប្រកាស)</t>
        </is>
      </c>
      <c r="K250" s="221" t="n"/>
      <c r="L250" s="616">
        <f>I250</f>
        <v/>
      </c>
      <c r="M250" s="588">
        <f>I250-L250</f>
        <v/>
      </c>
      <c r="N250" s="221" t="n"/>
      <c r="O250" s="226">
        <f>U250=E250</f>
        <v/>
      </c>
      <c r="P250" s="226">
        <f>MONTH(F250)-MONTH(T250)</f>
        <v/>
      </c>
      <c r="Q250" s="226">
        <f>$B$5=X250</f>
        <v/>
      </c>
      <c r="R250" s="226">
        <f>I250-AD250</f>
        <v/>
      </c>
      <c r="S250" s="360" t="n"/>
      <c r="T250" s="361" t="n">
        <v>45743</v>
      </c>
      <c r="U250" s="360" t="n">
        <v>15</v>
      </c>
      <c r="V250" s="360" t="n">
        <v>0</v>
      </c>
      <c r="W250" s="360" t="inlineStr">
        <is>
          <t>បុគ្គលជាប់អាករ</t>
        </is>
      </c>
      <c r="X250" s="360" t="inlineStr">
        <is>
          <t>L001-901640009</t>
        </is>
      </c>
      <c r="Y250" s="360" t="inlineStr">
        <is>
          <t>ហូលីដេ ឌីហ្សាញ (ខេមបូឌា) ឯ.ក</t>
        </is>
      </c>
      <c r="Z250" s="362" t="n">
        <v>21958294</v>
      </c>
      <c r="AA250" s="362" t="n">
        <v>19962085</v>
      </c>
      <c r="AB250" s="360" t="n">
        <v>0</v>
      </c>
      <c r="AC250" s="360" t="inlineStr">
        <is>
          <t>-</t>
        </is>
      </c>
      <c r="AD250" s="362" t="n">
        <v>1996209</v>
      </c>
      <c r="AE250" s="360" t="n">
        <v>0</v>
      </c>
      <c r="AF250" s="615" t="n">
        <v>0</v>
      </c>
      <c r="AG250" s="203" t="n">
        <v>0</v>
      </c>
      <c r="AH250" s="203" t="n">
        <v>0</v>
      </c>
      <c r="AI250" s="203" t="n">
        <v>0</v>
      </c>
      <c r="AJ250" s="203" t="n">
        <v>0</v>
      </c>
      <c r="AK250" s="203" t="n">
        <v>0</v>
      </c>
      <c r="AL250" s="203" t="n">
        <v>0.01</v>
      </c>
      <c r="AM250" s="203" t="n">
        <v>0</v>
      </c>
      <c r="AN250" s="203" t="inlineStr">
        <is>
          <t>Transportation Fee</t>
        </is>
      </c>
      <c r="AO250" s="203" t="inlineStr">
        <is>
          <t>បានប្រកាសនិងបង់ពន្ធ</t>
        </is>
      </c>
    </row>
    <row r="251">
      <c r="A251" s="220">
        <f>A250+1</f>
        <v/>
      </c>
      <c r="B251" s="222" t="inlineStr">
        <is>
          <t>Transportation Fee</t>
        </is>
      </c>
      <c r="C251" s="222" t="inlineStr">
        <is>
          <t>YE E DA INTERNATIONAL LOGISTICS CO., LTD.</t>
        </is>
      </c>
      <c r="D251" s="223" t="inlineStr">
        <is>
          <t>K010-902401220</t>
        </is>
      </c>
      <c r="E251" s="349" t="n">
        <v>18</v>
      </c>
      <c r="F251" s="332" t="n">
        <v>45772</v>
      </c>
      <c r="G251" s="224" t="n"/>
      <c r="H251" s="617" t="n"/>
      <c r="I251" s="617" t="n">
        <v>3339703</v>
      </c>
      <c r="J251" s="221" t="inlineStr">
        <is>
          <t>អនុញ្ញាត (បានប្រកាស)</t>
        </is>
      </c>
      <c r="K251" s="221" t="n"/>
      <c r="L251" s="616">
        <f>I251</f>
        <v/>
      </c>
      <c r="M251" s="588">
        <f>I251-L251</f>
        <v/>
      </c>
      <c r="N251" s="221" t="n"/>
      <c r="O251" s="226">
        <f>U251=E251</f>
        <v/>
      </c>
      <c r="P251" s="226">
        <f>MONTH(F251)-MONTH(T251)</f>
        <v/>
      </c>
      <c r="Q251" s="226">
        <f>$B$5=X251</f>
        <v/>
      </c>
      <c r="R251" s="226">
        <f>I251-AD251</f>
        <v/>
      </c>
      <c r="S251" s="360" t="n"/>
      <c r="T251" s="361" t="n">
        <v>45772</v>
      </c>
      <c r="U251" s="360" t="n">
        <v>18</v>
      </c>
      <c r="V251" s="360" t="n">
        <v>0</v>
      </c>
      <c r="W251" s="360" t="inlineStr">
        <is>
          <t>បុគ្គលជាប់អាករ</t>
        </is>
      </c>
      <c r="X251" s="360" t="inlineStr">
        <is>
          <t>L001-901640009</t>
        </is>
      </c>
      <c r="Y251" s="360" t="inlineStr">
        <is>
          <t>ហូលីដេ ឌីហ្សាញ (ខេមបូឌា) ឯ.ក</t>
        </is>
      </c>
      <c r="Z251" s="362" t="n">
        <v>36736732</v>
      </c>
      <c r="AA251" s="362" t="n">
        <v>33397029</v>
      </c>
      <c r="AB251" s="360" t="n">
        <v>0</v>
      </c>
      <c r="AC251" s="360" t="inlineStr">
        <is>
          <t>-</t>
        </is>
      </c>
      <c r="AD251" s="362" t="n">
        <v>3339703</v>
      </c>
      <c r="AE251" s="360" t="n">
        <v>0</v>
      </c>
      <c r="AF251" s="615" t="n">
        <v>0</v>
      </c>
      <c r="AG251" s="203" t="n">
        <v>0</v>
      </c>
      <c r="AH251" s="203" t="n">
        <v>0</v>
      </c>
      <c r="AI251" s="203" t="n">
        <v>0</v>
      </c>
      <c r="AJ251" s="203" t="n">
        <v>0</v>
      </c>
      <c r="AK251" s="203" t="n">
        <v>0</v>
      </c>
      <c r="AL251" s="203" t="n">
        <v>0.01</v>
      </c>
      <c r="AM251" s="203" t="n">
        <v>0</v>
      </c>
      <c r="AN251" s="203" t="inlineStr">
        <is>
          <t>Transportation Fee</t>
        </is>
      </c>
      <c r="AO251" s="203" t="inlineStr">
        <is>
          <t>បានប្រកាសនិងបង់ពន្ធ</t>
        </is>
      </c>
    </row>
    <row r="252">
      <c r="A252" s="220">
        <f>A251+1</f>
        <v/>
      </c>
      <c r="B252" s="222" t="inlineStr">
        <is>
          <t>THC, Doc, Admin, Agency Fee-Im</t>
        </is>
      </c>
      <c r="C252" s="222" t="inlineStr">
        <is>
          <t>STRAITS INTERNATIONAL Pte . Ltd.</t>
        </is>
      </c>
      <c r="D252" s="223" t="inlineStr">
        <is>
          <t>L001-100045162</t>
        </is>
      </c>
      <c r="E252" s="349" t="n">
        <v>2431343</v>
      </c>
      <c r="F252" s="332" t="n">
        <v>45643</v>
      </c>
      <c r="G252" s="224" t="n"/>
      <c r="H252" s="617" t="n"/>
      <c r="I252" s="617" t="n">
        <v>1476983</v>
      </c>
      <c r="J252" s="221" t="inlineStr">
        <is>
          <t>អនុញ្ញាត (បានប្រកាស)</t>
        </is>
      </c>
      <c r="K252" s="221" t="n"/>
      <c r="L252" s="616">
        <f>I252</f>
        <v/>
      </c>
      <c r="M252" s="588">
        <f>I252-L252</f>
        <v/>
      </c>
      <c r="N252" s="221" t="n"/>
      <c r="O252" s="226">
        <f>U252=E252</f>
        <v/>
      </c>
      <c r="P252" s="226">
        <f>MONTH(F252)-MONTH(T252)</f>
        <v/>
      </c>
      <c r="Q252" s="226">
        <f>$B$5=X252</f>
        <v/>
      </c>
      <c r="R252" s="226">
        <f>I252-AD252</f>
        <v/>
      </c>
      <c r="S252" s="360" t="inlineStr">
        <is>
          <t>ប្រកាសខុស</t>
        </is>
      </c>
      <c r="T252" s="361" t="n">
        <v>45643</v>
      </c>
      <c r="U252" s="360" t="n">
        <v>2431343</v>
      </c>
      <c r="V252" s="360" t="n">
        <v>0</v>
      </c>
      <c r="W252" s="360" t="inlineStr">
        <is>
          <t>បុគ្គលជាប់អាករ</t>
        </is>
      </c>
      <c r="X252" s="360" t="inlineStr">
        <is>
          <t>L001-901640009</t>
        </is>
      </c>
      <c r="Y252" s="360" t="inlineStr">
        <is>
          <t>ហូលីដេ ឌីហ្សាញ (ខេមបូឌា) ឯ.ក</t>
        </is>
      </c>
      <c r="Z252" s="362" t="n">
        <v>16246808</v>
      </c>
      <c r="AA252" s="362" t="n">
        <v>14769825</v>
      </c>
      <c r="AB252" s="360" t="n">
        <v>0</v>
      </c>
      <c r="AC252" s="360" t="inlineStr">
        <is>
          <t>-</t>
        </is>
      </c>
      <c r="AD252" s="362" t="n">
        <v>1476983</v>
      </c>
      <c r="AE252" s="360" t="n">
        <v>0</v>
      </c>
      <c r="AF252" s="615" t="n">
        <v>0</v>
      </c>
      <c r="AG252" s="203" t="n">
        <v>0</v>
      </c>
      <c r="AH252" s="203" t="n">
        <v>0</v>
      </c>
      <c r="AI252" s="203" t="n">
        <v>0</v>
      </c>
      <c r="AJ252" s="203" t="n">
        <v>0</v>
      </c>
      <c r="AK252" s="203" t="n">
        <v>0</v>
      </c>
      <c r="AL252" s="203" t="n">
        <v>0.01</v>
      </c>
      <c r="AM252" s="203" t="n">
        <v>0</v>
      </c>
      <c r="AN252" s="203" t="inlineStr">
        <is>
          <t>THC&amp;LOCAL CHARGES</t>
        </is>
      </c>
      <c r="AO252" s="203" t="inlineStr">
        <is>
          <t>បានប្រកាសនិងបង់ពន្ធ</t>
        </is>
      </c>
    </row>
    <row r="253">
      <c r="A253" s="220">
        <f>A252+1</f>
        <v/>
      </c>
      <c r="B253" s="222" t="inlineStr">
        <is>
          <t>THC, Doc, CIC Fee-Im</t>
        </is>
      </c>
      <c r="C253" s="222" t="inlineStr">
        <is>
          <t>STRAITS INTERNATIONAL Pte . Ltd.</t>
        </is>
      </c>
      <c r="D253" s="223" t="inlineStr">
        <is>
          <t>L001-100045162</t>
        </is>
      </c>
      <c r="E253" s="349" t="n">
        <v>2501560</v>
      </c>
      <c r="F253" s="332" t="n">
        <v>45671</v>
      </c>
      <c r="G253" s="224" t="n"/>
      <c r="H253" s="617" t="n"/>
      <c r="I253" s="617" t="n">
        <v>993102</v>
      </c>
      <c r="J253" s="221" t="inlineStr">
        <is>
          <t>អនុញ្ញាត (បានប្រកាស)</t>
        </is>
      </c>
      <c r="K253" s="221" t="n"/>
      <c r="L253" s="616">
        <f>I253</f>
        <v/>
      </c>
      <c r="M253" s="588">
        <f>I253-L253</f>
        <v/>
      </c>
      <c r="N253" s="221" t="n"/>
      <c r="O253" s="226">
        <f>U253=E253</f>
        <v/>
      </c>
      <c r="P253" s="226">
        <f>MONTH(F253)-MONTH(T253)</f>
        <v/>
      </c>
      <c r="Q253" s="226">
        <f>$B$5=X253</f>
        <v/>
      </c>
      <c r="R253" s="226">
        <f>I253-AD253</f>
        <v/>
      </c>
      <c r="S253" s="360" t="n"/>
      <c r="T253" s="361" t="n">
        <v>45671</v>
      </c>
      <c r="U253" s="360" t="n">
        <v>2501560</v>
      </c>
      <c r="V253" s="360" t="n">
        <v>0</v>
      </c>
      <c r="W253" s="360" t="inlineStr">
        <is>
          <t>បុគ្គលជាប់អាករ</t>
        </is>
      </c>
      <c r="X253" s="360" t="inlineStr">
        <is>
          <t>L001-901640009</t>
        </is>
      </c>
      <c r="Y253" s="360" t="inlineStr">
        <is>
          <t>ហូលីដេ ឌីហ្សាញ (ខេមបូឌា) ឯ.ក</t>
        </is>
      </c>
      <c r="Z253" s="362" t="n">
        <v>10924122</v>
      </c>
      <c r="AA253" s="362" t="n">
        <v>9931020</v>
      </c>
      <c r="AB253" s="360" t="n">
        <v>0</v>
      </c>
      <c r="AC253" s="360" t="inlineStr">
        <is>
          <t>-</t>
        </is>
      </c>
      <c r="AD253" s="362" t="n">
        <v>993102</v>
      </c>
      <c r="AE253" s="360" t="n">
        <v>0</v>
      </c>
      <c r="AF253" s="615" t="n">
        <v>0</v>
      </c>
      <c r="AG253" s="203" t="n">
        <v>0</v>
      </c>
      <c r="AH253" s="203" t="n">
        <v>0</v>
      </c>
      <c r="AI253" s="203" t="n">
        <v>0</v>
      </c>
      <c r="AJ253" s="203" t="n">
        <v>0</v>
      </c>
      <c r="AK253" s="203" t="n">
        <v>0</v>
      </c>
      <c r="AL253" s="203" t="n">
        <v>0.01</v>
      </c>
      <c r="AM253" s="203" t="n">
        <v>0</v>
      </c>
      <c r="AN253" s="203" t="inlineStr">
        <is>
          <t>THC&amp;LOCAL CHARGES</t>
        </is>
      </c>
      <c r="AO253" s="203" t="inlineStr">
        <is>
          <t>បានប្រកាសនិងបង់ពន្ធ</t>
        </is>
      </c>
    </row>
    <row r="254">
      <c r="A254" s="220">
        <f>A253+1</f>
        <v/>
      </c>
      <c r="B254" s="222" t="inlineStr">
        <is>
          <t>THC, Doc, CIC Fee-Im</t>
        </is>
      </c>
      <c r="C254" s="222" t="inlineStr">
        <is>
          <t>STRAITS INTERNATIONAL Pte . Ltd.</t>
        </is>
      </c>
      <c r="D254" s="223" t="inlineStr">
        <is>
          <t>L001-100045162</t>
        </is>
      </c>
      <c r="E254" s="349" t="n">
        <v>2501027</v>
      </c>
      <c r="F254" s="332" t="n">
        <v>45665</v>
      </c>
      <c r="G254" s="224" t="n"/>
      <c r="H254" s="617" t="n"/>
      <c r="I254" s="617" t="n">
        <v>992856</v>
      </c>
      <c r="J254" s="221" t="inlineStr">
        <is>
          <t>អនុញ្ញាត (បានប្រកាស)</t>
        </is>
      </c>
      <c r="K254" s="221" t="n"/>
      <c r="L254" s="616">
        <f>I254</f>
        <v/>
      </c>
      <c r="M254" s="588">
        <f>I254-L254</f>
        <v/>
      </c>
      <c r="N254" s="221" t="n"/>
      <c r="O254" s="226">
        <f>U254=E254</f>
        <v/>
      </c>
      <c r="P254" s="226">
        <f>MONTH(F254)-MONTH(T254)</f>
        <v/>
      </c>
      <c r="Q254" s="226">
        <f>$B$5=X254</f>
        <v/>
      </c>
      <c r="R254" s="226">
        <f>I254-AD254</f>
        <v/>
      </c>
      <c r="S254" s="360" t="n"/>
      <c r="T254" s="361" t="n">
        <v>45665</v>
      </c>
      <c r="U254" s="360" t="n">
        <v>2501027</v>
      </c>
      <c r="V254" s="360" t="n">
        <v>0</v>
      </c>
      <c r="W254" s="360" t="inlineStr">
        <is>
          <t>បុគ្គលជាប់អាករ</t>
        </is>
      </c>
      <c r="X254" s="360" t="inlineStr">
        <is>
          <t>L001-901640009</t>
        </is>
      </c>
      <c r="Y254" s="360" t="inlineStr">
        <is>
          <t>ហូលីដេ ឌីហ្សាញ (ខេមបូឌា) ឯ.ក</t>
        </is>
      </c>
      <c r="Z254" s="362" t="n">
        <v>10921416</v>
      </c>
      <c r="AA254" s="362" t="n">
        <v>9928560</v>
      </c>
      <c r="AB254" s="360" t="n">
        <v>0</v>
      </c>
      <c r="AC254" s="360" t="inlineStr">
        <is>
          <t>-</t>
        </is>
      </c>
      <c r="AD254" s="362" t="n">
        <v>992856</v>
      </c>
      <c r="AE254" s="360" t="n">
        <v>0</v>
      </c>
      <c r="AF254" s="615" t="n">
        <v>0</v>
      </c>
      <c r="AG254" s="203" t="n">
        <v>0</v>
      </c>
      <c r="AH254" s="203" t="n">
        <v>0</v>
      </c>
      <c r="AI254" s="203" t="n">
        <v>0</v>
      </c>
      <c r="AJ254" s="203" t="n">
        <v>0</v>
      </c>
      <c r="AK254" s="203" t="n">
        <v>0</v>
      </c>
      <c r="AL254" s="203" t="n">
        <v>0.01</v>
      </c>
      <c r="AM254" s="203" t="n">
        <v>0</v>
      </c>
      <c r="AN254" s="203" t="inlineStr">
        <is>
          <t>THC&amp;LOCAL CHARGES</t>
        </is>
      </c>
      <c r="AO254" s="203" t="inlineStr">
        <is>
          <t>បានប្រកាសនិងបង់ពន្ធ</t>
        </is>
      </c>
    </row>
    <row r="255">
      <c r="A255" s="220">
        <f>A254+1</f>
        <v/>
      </c>
      <c r="B255" s="222" t="inlineStr">
        <is>
          <t>Lift-On &amp; Lift-On-Im</t>
        </is>
      </c>
      <c r="C255" s="222" t="inlineStr">
        <is>
          <t>Port Autonome Du Sihanoukville</t>
        </is>
      </c>
      <c r="D255" s="223" t="inlineStr">
        <is>
          <t>L001-100044638</t>
        </is>
      </c>
      <c r="E255" s="349" t="n">
        <v>202500060076</v>
      </c>
      <c r="F255" s="332" t="n">
        <v>45736</v>
      </c>
      <c r="G255" s="224" t="n"/>
      <c r="H255" s="617" t="n"/>
      <c r="I255" s="617" t="n">
        <v>488053</v>
      </c>
      <c r="J255" s="221" t="inlineStr">
        <is>
          <t>អនុញ្ញាត (បានប្រកាស)</t>
        </is>
      </c>
      <c r="K255" s="221" t="n"/>
      <c r="L255" s="616">
        <f>I255</f>
        <v/>
      </c>
      <c r="M255" s="588">
        <f>I255-L255</f>
        <v/>
      </c>
      <c r="N255" s="221" t="n"/>
      <c r="O255" s="226">
        <f>U255=E255</f>
        <v/>
      </c>
      <c r="P255" s="226">
        <f>MONTH(F255)-MONTH(T255)</f>
        <v/>
      </c>
      <c r="Q255" s="226">
        <f>$B$5=X255</f>
        <v/>
      </c>
      <c r="R255" s="226">
        <f>I255-AD255</f>
        <v/>
      </c>
      <c r="S255" s="360" t="n"/>
      <c r="T255" s="361" t="n">
        <v>45736</v>
      </c>
      <c r="U255" s="360" t="n">
        <v>202500060076</v>
      </c>
      <c r="V255" s="360" t="n">
        <v>0</v>
      </c>
      <c r="W255" s="360" t="inlineStr">
        <is>
          <t>បុគ្គលជាប់អាករ</t>
        </is>
      </c>
      <c r="X255" s="360" t="inlineStr">
        <is>
          <t>L001-901640009</t>
        </is>
      </c>
      <c r="Y255" s="360" t="inlineStr">
        <is>
          <t>ហូលីដេ ឌីហ្សាញ (ខេមបូឌា) ឯ.ក</t>
        </is>
      </c>
      <c r="Z255" s="362" t="n">
        <v>5368579</v>
      </c>
      <c r="AA255" s="362" t="n">
        <v>4880526</v>
      </c>
      <c r="AB255" s="360" t="n">
        <v>0</v>
      </c>
      <c r="AC255" s="360" t="inlineStr">
        <is>
          <t>-</t>
        </is>
      </c>
      <c r="AD255" s="362" t="n">
        <v>488053</v>
      </c>
      <c r="AE255" s="360" t="n">
        <v>0</v>
      </c>
      <c r="AF255" s="615" t="n">
        <v>0</v>
      </c>
      <c r="AG255" s="203" t="n">
        <v>0</v>
      </c>
      <c r="AH255" s="203" t="n">
        <v>0</v>
      </c>
      <c r="AI255" s="203" t="n">
        <v>0</v>
      </c>
      <c r="AJ255" s="203" t="n">
        <v>0</v>
      </c>
      <c r="AK255" s="203" t="n">
        <v>0</v>
      </c>
      <c r="AL255" s="203" t="n">
        <v>0.01</v>
      </c>
      <c r="AM255" s="203" t="n">
        <v>0</v>
      </c>
      <c r="AN255" s="203" t="inlineStr">
        <is>
          <t>LOLO</t>
        </is>
      </c>
    </row>
    <row r="256">
      <c r="A256" s="220">
        <f>A255+1</f>
        <v/>
      </c>
      <c r="B256" s="222" t="inlineStr">
        <is>
          <t>Terminal Handling Charge</t>
        </is>
      </c>
      <c r="C256" s="222" t="inlineStr">
        <is>
          <t>SITC CONTAINER LINES (CAMBODIA) Co., Ltd.</t>
        </is>
      </c>
      <c r="D256" s="223" t="inlineStr">
        <is>
          <t>L001-107035863</t>
        </is>
      </c>
      <c r="E256" s="349" t="inlineStr">
        <is>
          <t>SITC2025-008751</t>
        </is>
      </c>
      <c r="F256" s="332" t="n">
        <v>45734</v>
      </c>
      <c r="G256" s="224" t="n"/>
      <c r="H256" s="617" t="n"/>
      <c r="I256" s="617" t="n">
        <v>2941138</v>
      </c>
      <c r="J256" s="221" t="inlineStr">
        <is>
          <t>អនុញ្ញាត (បានប្រកាស)</t>
        </is>
      </c>
      <c r="K256" s="221" t="n"/>
      <c r="L256" s="616">
        <f>I256</f>
        <v/>
      </c>
      <c r="M256" s="588">
        <f>I256-L256</f>
        <v/>
      </c>
      <c r="N256" s="221" t="n"/>
      <c r="O256" s="226">
        <f>U256=E256</f>
        <v/>
      </c>
      <c r="P256" s="226">
        <f>MONTH(F256)-MONTH(T256)</f>
        <v/>
      </c>
      <c r="Q256" s="226">
        <f>$B$5=X256</f>
        <v/>
      </c>
      <c r="R256" s="226">
        <f>I256-AD256</f>
        <v/>
      </c>
      <c r="S256" s="360" t="n"/>
      <c r="T256" s="361" t="n">
        <v>45734</v>
      </c>
      <c r="U256" s="360" t="inlineStr">
        <is>
          <t>SITC2025-008751</t>
        </is>
      </c>
      <c r="V256" s="360" t="n">
        <v>0</v>
      </c>
      <c r="W256" s="360" t="inlineStr">
        <is>
          <t>បុគ្គលជាប់អាករ</t>
        </is>
      </c>
      <c r="X256" s="360" t="inlineStr">
        <is>
          <t>L001-901640009</t>
        </is>
      </c>
      <c r="Y256" s="360" t="inlineStr">
        <is>
          <t>ហូលីដេ ឌីហ្សាញ (ខេមបូឌា) ឯ.ក</t>
        </is>
      </c>
      <c r="Z256" s="362" t="n">
        <v>32352518</v>
      </c>
      <c r="AA256" s="362" t="n">
        <v>29411380</v>
      </c>
      <c r="AB256" s="360" t="n">
        <v>0</v>
      </c>
      <c r="AC256" s="360" t="inlineStr">
        <is>
          <t>-</t>
        </is>
      </c>
      <c r="AD256" s="362" t="n">
        <v>2941138</v>
      </c>
      <c r="AE256" s="360" t="n">
        <v>0</v>
      </c>
      <c r="AF256" s="615" t="n">
        <v>0</v>
      </c>
      <c r="AG256" s="203" t="n">
        <v>0</v>
      </c>
      <c r="AH256" s="203" t="n">
        <v>0</v>
      </c>
      <c r="AI256" s="203" t="n">
        <v>0</v>
      </c>
      <c r="AJ256" s="203" t="n">
        <v>0</v>
      </c>
      <c r="AK256" s="203" t="n">
        <v>0</v>
      </c>
      <c r="AL256" s="203" t="n">
        <v>0.01</v>
      </c>
      <c r="AM256" s="203" t="n">
        <v>0</v>
      </c>
      <c r="AN256" s="203" t="inlineStr">
        <is>
          <t>EMF,KHTHC,KHDOC,KHCIC,EIB</t>
        </is>
      </c>
    </row>
    <row r="257">
      <c r="A257" s="220">
        <f>A256+1</f>
        <v/>
      </c>
      <c r="B257" s="222" t="inlineStr">
        <is>
          <t>Trucking &amp; Clearance-Im</t>
        </is>
      </c>
      <c r="C257" s="222" t="inlineStr">
        <is>
          <t>BRILLIANT TRANSPORT AND TRADING Co., Ltd.</t>
        </is>
      </c>
      <c r="D257" s="223" t="inlineStr">
        <is>
          <t>K002-100089305</t>
        </is>
      </c>
      <c r="E257" s="349" t="inlineStr">
        <is>
          <t>BTT25-0000615</t>
        </is>
      </c>
      <c r="F257" s="332" t="n">
        <v>45736</v>
      </c>
      <c r="G257" s="224" t="n"/>
      <c r="H257" s="617" t="n"/>
      <c r="I257" s="617" t="n">
        <v>3297761</v>
      </c>
      <c r="J257" s="221" t="inlineStr">
        <is>
          <t>អនុញ្ញាត (បានប្រកាស)</t>
        </is>
      </c>
      <c r="K257" s="221" t="n"/>
      <c r="L257" s="616">
        <f>I257</f>
        <v/>
      </c>
      <c r="M257" s="588">
        <f>I257-L257</f>
        <v/>
      </c>
      <c r="N257" s="221" t="n"/>
      <c r="O257" s="226">
        <f>U257=E257</f>
        <v/>
      </c>
      <c r="P257" s="226">
        <f>MONTH(F257)-MONTH(T257)</f>
        <v/>
      </c>
      <c r="Q257" s="226">
        <f>$B$5=X257</f>
        <v/>
      </c>
      <c r="R257" s="226">
        <f>I257-AD257</f>
        <v/>
      </c>
      <c r="S257" s="360" t="inlineStr">
        <is>
          <t>Wrong invoice number</t>
        </is>
      </c>
      <c r="T257" s="361" t="n">
        <v>45736</v>
      </c>
      <c r="U257" s="360" t="inlineStr">
        <is>
          <t>BTT25-0000615</t>
        </is>
      </c>
      <c r="V257" s="360" t="n">
        <v>0</v>
      </c>
      <c r="W257" s="360" t="inlineStr">
        <is>
          <t>បុគ្គលជាប់អាករ</t>
        </is>
      </c>
      <c r="X257" s="360" t="inlineStr">
        <is>
          <t>L001-901640009</t>
        </is>
      </c>
      <c r="Y257" s="360" t="inlineStr">
        <is>
          <t>ហូលីដេ ឌីហ្សាញ (ខេមបូឌា) ឯ.ក</t>
        </is>
      </c>
      <c r="Z257" s="362" t="n">
        <v>36275371</v>
      </c>
      <c r="AA257" s="362" t="n">
        <v>32977610</v>
      </c>
      <c r="AB257" s="360" t="n">
        <v>0</v>
      </c>
      <c r="AC257" s="360" t="inlineStr">
        <is>
          <t>-</t>
        </is>
      </c>
      <c r="AD257" s="362" t="n">
        <v>3297761</v>
      </c>
      <c r="AE257" s="360" t="n">
        <v>0</v>
      </c>
      <c r="AF257" s="615" t="n">
        <v>0</v>
      </c>
      <c r="AG257" s="203" t="n">
        <v>0</v>
      </c>
      <c r="AH257" s="203" t="n">
        <v>0</v>
      </c>
      <c r="AI257" s="203" t="n">
        <v>0</v>
      </c>
      <c r="AJ257" s="203" t="n">
        <v>0</v>
      </c>
      <c r="AK257" s="203" t="n">
        <v>0</v>
      </c>
      <c r="AL257" s="203" t="n">
        <v>0.01</v>
      </c>
      <c r="AM257" s="203" t="n">
        <v>0</v>
      </c>
      <c r="AN257" s="203" t="inlineStr">
        <is>
          <t>Truking / Service</t>
        </is>
      </c>
    </row>
    <row r="258">
      <c r="A258" s="220">
        <f>A257+1</f>
        <v/>
      </c>
      <c r="B258" s="222" t="inlineStr">
        <is>
          <t>Lift-On &amp; Lift-On-Im</t>
        </is>
      </c>
      <c r="C258" s="222" t="inlineStr">
        <is>
          <t>Port Autonome Du Sihanoukville</t>
        </is>
      </c>
      <c r="D258" s="223" t="inlineStr">
        <is>
          <t>L001-100044638</t>
        </is>
      </c>
      <c r="E258" s="349" t="n">
        <v>202500060156</v>
      </c>
      <c r="F258" s="332" t="n">
        <v>45736</v>
      </c>
      <c r="G258" s="224" t="n"/>
      <c r="H258" s="617" t="n"/>
      <c r="I258" s="617" t="n">
        <v>174305</v>
      </c>
      <c r="J258" s="221" t="inlineStr">
        <is>
          <t>អនុញ្ញាត (បានប្រកាស)</t>
        </is>
      </c>
      <c r="K258" s="221" t="n"/>
      <c r="L258" s="616">
        <f>I258</f>
        <v/>
      </c>
      <c r="M258" s="588">
        <f>I258-L258</f>
        <v/>
      </c>
      <c r="N258" s="221" t="n"/>
      <c r="O258" s="226">
        <f>U258=E258</f>
        <v/>
      </c>
      <c r="P258" s="226">
        <f>MONTH(F258)-MONTH(T258)</f>
        <v/>
      </c>
      <c r="Q258" s="226">
        <f>$B$5=X258</f>
        <v/>
      </c>
      <c r="R258" s="226">
        <f>I258-AD258</f>
        <v/>
      </c>
      <c r="S258" s="360" t="inlineStr">
        <is>
          <t>Wrong invoice number</t>
        </is>
      </c>
      <c r="T258" s="361" t="n">
        <v>45736</v>
      </c>
      <c r="U258" s="360" t="n">
        <v>202500060156</v>
      </c>
      <c r="V258" s="360" t="n">
        <v>0</v>
      </c>
      <c r="W258" s="360" t="inlineStr">
        <is>
          <t>បុគ្គលជាប់អាករ</t>
        </is>
      </c>
      <c r="X258" s="360" t="inlineStr">
        <is>
          <t>L001-901640009</t>
        </is>
      </c>
      <c r="Y258" s="360" t="inlineStr">
        <is>
          <t>ហូលីដេ ឌីហ្សាញ (ខេមបូឌា) ឯ.ក</t>
        </is>
      </c>
      <c r="Z258" s="362" t="n">
        <v>1917350</v>
      </c>
      <c r="AA258" s="362" t="n">
        <v>1743045</v>
      </c>
      <c r="AB258" s="360" t="n">
        <v>0</v>
      </c>
      <c r="AC258" s="360" t="inlineStr">
        <is>
          <t>-</t>
        </is>
      </c>
      <c r="AD258" s="362" t="n">
        <v>174305</v>
      </c>
      <c r="AE258" s="360" t="n">
        <v>0</v>
      </c>
      <c r="AF258" s="615" t="n">
        <v>0</v>
      </c>
      <c r="AG258" s="203" t="n">
        <v>0</v>
      </c>
      <c r="AH258" s="203" t="n">
        <v>0</v>
      </c>
      <c r="AI258" s="203" t="n">
        <v>0</v>
      </c>
      <c r="AJ258" s="203" t="n">
        <v>0</v>
      </c>
      <c r="AK258" s="203" t="n">
        <v>0</v>
      </c>
      <c r="AL258" s="203" t="n">
        <v>0.01</v>
      </c>
      <c r="AM258" s="203" t="n">
        <v>0</v>
      </c>
      <c r="AN258" s="203" t="inlineStr">
        <is>
          <t>LOLO</t>
        </is>
      </c>
    </row>
    <row r="259">
      <c r="A259" s="220">
        <f>A258+1</f>
        <v/>
      </c>
      <c r="B259" s="222" t="inlineStr">
        <is>
          <t>THC, Doc, CIC Fee-Im</t>
        </is>
      </c>
      <c r="C259" s="222" t="inlineStr">
        <is>
          <t>STRAITS INTERNATIONAL Pte . Ltd.</t>
        </is>
      </c>
      <c r="D259" s="223" t="inlineStr">
        <is>
          <t>L001-100045162</t>
        </is>
      </c>
      <c r="E259" s="349" t="n">
        <v>2512466</v>
      </c>
      <c r="F259" s="332" t="n">
        <v>45797</v>
      </c>
      <c r="G259" s="224" t="n"/>
      <c r="H259" s="617" t="n"/>
      <c r="I259" s="617" t="n">
        <v>236177</v>
      </c>
      <c r="J259" s="221" t="inlineStr">
        <is>
          <t>អនុញ្ញាត (បានប្រកាស)</t>
        </is>
      </c>
      <c r="K259" s="221" t="n"/>
      <c r="L259" s="616">
        <f>I259</f>
        <v/>
      </c>
      <c r="M259" s="588">
        <f>I259-L259</f>
        <v/>
      </c>
      <c r="N259" s="221" t="n"/>
      <c r="O259" s="226">
        <f>U259=E259</f>
        <v/>
      </c>
      <c r="P259" s="226">
        <f>MONTH(F259)-MONTH(T259)</f>
        <v/>
      </c>
      <c r="Q259" s="226">
        <f>$B$5=X259</f>
        <v/>
      </c>
      <c r="R259" s="226">
        <f>I259-AD259</f>
        <v/>
      </c>
      <c r="S259" s="360" t="n"/>
      <c r="T259" s="361" t="n">
        <v>45797</v>
      </c>
      <c r="U259" s="360" t="n">
        <v>2512466</v>
      </c>
      <c r="V259" s="360" t="n">
        <v>0</v>
      </c>
      <c r="W259" s="360" t="inlineStr">
        <is>
          <t>បុគ្គលជាប់អាករ</t>
        </is>
      </c>
      <c r="X259" s="360" t="inlineStr">
        <is>
          <t>L001-901640009</t>
        </is>
      </c>
      <c r="Y259" s="360" t="inlineStr">
        <is>
          <t>ហូលីដេ ឌីហ្សាញ (ខេមបូឌា) ឯ.ក</t>
        </is>
      </c>
      <c r="Z259" s="362" t="n">
        <v>2597947</v>
      </c>
      <c r="AA259" s="362" t="n">
        <v>2361770</v>
      </c>
      <c r="AB259" s="360" t="n">
        <v>0</v>
      </c>
      <c r="AC259" s="360" t="inlineStr">
        <is>
          <t>-</t>
        </is>
      </c>
      <c r="AD259" s="362" t="n">
        <v>236177</v>
      </c>
      <c r="AE259" s="360" t="n">
        <v>0</v>
      </c>
      <c r="AF259" s="615" t="n">
        <v>0</v>
      </c>
      <c r="AG259" s="203" t="n">
        <v>0</v>
      </c>
      <c r="AH259" s="203" t="n">
        <v>0</v>
      </c>
      <c r="AI259" s="203" t="n">
        <v>0</v>
      </c>
      <c r="AJ259" s="203" t="n">
        <v>0</v>
      </c>
      <c r="AK259" s="203" t="n">
        <v>0</v>
      </c>
      <c r="AL259" s="203" t="n">
        <v>0.01</v>
      </c>
      <c r="AM259" s="203" t="n">
        <v>0</v>
      </c>
      <c r="AN259" s="203" t="inlineStr">
        <is>
          <t>THC&amp;LOCAL CHARGES</t>
        </is>
      </c>
      <c r="AO259" s="203" t="inlineStr">
        <is>
          <t>បានប្រកាសនិងបង់ពន្ធ</t>
        </is>
      </c>
    </row>
    <row r="260">
      <c r="A260" s="220">
        <f>A259+1</f>
        <v/>
      </c>
      <c r="B260" s="222" t="inlineStr">
        <is>
          <t>Trucking &amp; Clearance-Im</t>
        </is>
      </c>
      <c r="C260" s="222" t="inlineStr">
        <is>
          <t>BRILLIANT TRANSPORT AND TRADING Co., Ltd.</t>
        </is>
      </c>
      <c r="D260" s="223" t="inlineStr">
        <is>
          <t>K002-100089305</t>
        </is>
      </c>
      <c r="E260" s="349" t="inlineStr">
        <is>
          <t>BTT25-0000614</t>
        </is>
      </c>
      <c r="F260" s="332" t="n">
        <v>45735</v>
      </c>
      <c r="G260" s="224" t="n"/>
      <c r="H260" s="617" t="n"/>
      <c r="I260" s="617" t="n">
        <v>1098994</v>
      </c>
      <c r="J260" s="221" t="inlineStr">
        <is>
          <t>អនុញ្ញាត (បានប្រកាស)</t>
        </is>
      </c>
      <c r="K260" s="221" t="n"/>
      <c r="L260" s="616">
        <f>I260</f>
        <v/>
      </c>
      <c r="M260" s="588">
        <f>I260-L260</f>
        <v/>
      </c>
      <c r="N260" s="221" t="n"/>
      <c r="O260" s="226">
        <f>U260=E260</f>
        <v/>
      </c>
      <c r="P260" s="226">
        <f>MONTH(F260)-MONTH(T260)</f>
        <v/>
      </c>
      <c r="Q260" s="226">
        <f>$B$5=X260</f>
        <v/>
      </c>
      <c r="R260" s="226">
        <f>I260-AD260</f>
        <v/>
      </c>
      <c r="S260" s="360" t="n"/>
      <c r="T260" s="361" t="n">
        <v>45735</v>
      </c>
      <c r="U260" s="360" t="inlineStr">
        <is>
          <t>BTT25-0000614</t>
        </is>
      </c>
      <c r="V260" s="360" t="n">
        <v>0</v>
      </c>
      <c r="W260" s="360" t="inlineStr">
        <is>
          <t>បុគ្គលជាប់អាករ</t>
        </is>
      </c>
      <c r="X260" s="360" t="inlineStr">
        <is>
          <t>L001-901640009</t>
        </is>
      </c>
      <c r="Y260" s="360" t="inlineStr">
        <is>
          <t>ហូលីដេ ឌីហ្សាញ (ខេមបូឌា) ឯ.ក</t>
        </is>
      </c>
      <c r="Z260" s="362" t="n">
        <v>12088930</v>
      </c>
      <c r="AA260" s="362" t="n">
        <v>10989936</v>
      </c>
      <c r="AB260" s="360" t="n">
        <v>0</v>
      </c>
      <c r="AC260" s="360" t="inlineStr">
        <is>
          <t>-</t>
        </is>
      </c>
      <c r="AD260" s="362" t="n">
        <v>1098994</v>
      </c>
      <c r="AE260" s="360" t="n">
        <v>0</v>
      </c>
      <c r="AF260" s="615" t="n">
        <v>0</v>
      </c>
      <c r="AG260" s="203" t="n">
        <v>0</v>
      </c>
      <c r="AH260" s="203" t="n">
        <v>0</v>
      </c>
      <c r="AI260" s="203" t="n">
        <v>0</v>
      </c>
      <c r="AJ260" s="203" t="n">
        <v>0</v>
      </c>
      <c r="AK260" s="203" t="n">
        <v>0</v>
      </c>
      <c r="AL260" s="203" t="n">
        <v>0.01</v>
      </c>
      <c r="AM260" s="203" t="n">
        <v>0</v>
      </c>
      <c r="AN260" s="203" t="inlineStr">
        <is>
          <t>Truking / Service</t>
        </is>
      </c>
    </row>
    <row r="261">
      <c r="A261" s="220">
        <f>A260+1</f>
        <v/>
      </c>
      <c r="B261" s="222" t="inlineStr">
        <is>
          <t>Lift-On &amp; Lift-On-Im</t>
        </is>
      </c>
      <c r="C261" s="222" t="inlineStr">
        <is>
          <t>Port Autonome Du Sihanoukville</t>
        </is>
      </c>
      <c r="D261" s="223" t="inlineStr">
        <is>
          <t>L001-100044638</t>
        </is>
      </c>
      <c r="E261" s="349" t="n">
        <v>202500054035</v>
      </c>
      <c r="F261" s="332" t="n">
        <v>45729</v>
      </c>
      <c r="G261" s="224" t="n"/>
      <c r="H261" s="617" t="n"/>
      <c r="I261" s="617" t="n">
        <v>592783</v>
      </c>
      <c r="J261" s="221" t="inlineStr">
        <is>
          <t>អនុញ្ញាត (បានប្រកាស)</t>
        </is>
      </c>
      <c r="K261" s="221" t="n"/>
      <c r="L261" s="616">
        <f>I261</f>
        <v/>
      </c>
      <c r="M261" s="588">
        <f>I261-L261</f>
        <v/>
      </c>
      <c r="N261" s="221" t="n"/>
      <c r="O261" s="226">
        <f>U261=E261</f>
        <v/>
      </c>
      <c r="P261" s="226">
        <f>MONTH(F261)-MONTH(T261)</f>
        <v/>
      </c>
      <c r="Q261" s="226">
        <f>$B$5=X261</f>
        <v/>
      </c>
      <c r="R261" s="226">
        <f>I261-AD261</f>
        <v/>
      </c>
      <c r="S261" s="360" t="n"/>
      <c r="T261" s="361" t="n">
        <v>45729</v>
      </c>
      <c r="U261" s="360" t="n">
        <v>202500054035</v>
      </c>
      <c r="V261" s="360" t="n">
        <v>0</v>
      </c>
      <c r="W261" s="360" t="inlineStr">
        <is>
          <t>បុគ្គលជាប់អាករ</t>
        </is>
      </c>
      <c r="X261" s="360" t="inlineStr">
        <is>
          <t>L001-901640009</t>
        </is>
      </c>
      <c r="Y261" s="360" t="inlineStr">
        <is>
          <t>ហូលីដេ ឌីហ្សាញ (ខេមបូឌា) ឯ.ក</t>
        </is>
      </c>
      <c r="Z261" s="362" t="n">
        <v>6520615</v>
      </c>
      <c r="AA261" s="362" t="n">
        <v>5927832</v>
      </c>
      <c r="AB261" s="360" t="n">
        <v>0</v>
      </c>
      <c r="AC261" s="360" t="inlineStr">
        <is>
          <t>-</t>
        </is>
      </c>
      <c r="AD261" s="362" t="n">
        <v>592783</v>
      </c>
      <c r="AE261" s="360" t="n">
        <v>0</v>
      </c>
      <c r="AF261" s="615" t="n">
        <v>0</v>
      </c>
      <c r="AG261" s="203" t="n">
        <v>0</v>
      </c>
      <c r="AH261" s="203" t="n">
        <v>0</v>
      </c>
      <c r="AI261" s="203" t="n">
        <v>0</v>
      </c>
      <c r="AJ261" s="203" t="n">
        <v>0</v>
      </c>
      <c r="AK261" s="203" t="n">
        <v>0</v>
      </c>
      <c r="AL261" s="203" t="n">
        <v>0.01</v>
      </c>
      <c r="AM261" s="203" t="n">
        <v>0</v>
      </c>
      <c r="AN261" s="203" t="inlineStr">
        <is>
          <t>LOLO</t>
        </is>
      </c>
    </row>
    <row r="262">
      <c r="A262" s="220">
        <f>A261+1</f>
        <v/>
      </c>
      <c r="B262" s="222" t="inlineStr">
        <is>
          <t>Terminal Handling Charge</t>
        </is>
      </c>
      <c r="C262" s="222" t="inlineStr">
        <is>
          <t>SITC CONTAINER LINES (CAMBODIA) Co., Ltd.</t>
        </is>
      </c>
      <c r="D262" s="223" t="inlineStr">
        <is>
          <t>L001-107035863</t>
        </is>
      </c>
      <c r="E262" s="349" t="inlineStr">
        <is>
          <t>SITC2025-007856</t>
        </is>
      </c>
      <c r="F262" s="332" t="n">
        <v>45727</v>
      </c>
      <c r="G262" s="224" t="n"/>
      <c r="H262" s="617" t="n"/>
      <c r="I262" s="617" t="n">
        <v>3567120</v>
      </c>
      <c r="J262" s="221" t="inlineStr">
        <is>
          <t>អនុញ្ញាត (បានប្រកាស)</t>
        </is>
      </c>
      <c r="K262" s="221" t="n"/>
      <c r="L262" s="616">
        <f>I262</f>
        <v/>
      </c>
      <c r="M262" s="588">
        <f>I262-L262</f>
        <v/>
      </c>
      <c r="N262" s="221" t="n"/>
      <c r="O262" s="226">
        <f>U262=E262</f>
        <v/>
      </c>
      <c r="P262" s="226">
        <f>MONTH(F262)-MONTH(T262)</f>
        <v/>
      </c>
      <c r="Q262" s="226">
        <f>$B$5=X262</f>
        <v/>
      </c>
      <c r="R262" s="226">
        <f>I262-AD262</f>
        <v/>
      </c>
      <c r="S262" s="360" t="n"/>
      <c r="T262" s="361" t="n">
        <v>45727</v>
      </c>
      <c r="U262" s="360" t="inlineStr">
        <is>
          <t>SITC2025-007856</t>
        </is>
      </c>
      <c r="V262" s="360" t="n">
        <v>0</v>
      </c>
      <c r="W262" s="360" t="inlineStr">
        <is>
          <t>បុគ្គលជាប់អាករ</t>
        </is>
      </c>
      <c r="X262" s="360" t="inlineStr">
        <is>
          <t>L001-901640009</t>
        </is>
      </c>
      <c r="Y262" s="360" t="inlineStr">
        <is>
          <t>ហូលីដេ ឌីហ្សាញ (ខេមបូឌា) ឯ.ក</t>
        </is>
      </c>
      <c r="Z262" s="362" t="n">
        <v>39238320</v>
      </c>
      <c r="AA262" s="362" t="n">
        <v>35671200</v>
      </c>
      <c r="AB262" s="360" t="n">
        <v>0</v>
      </c>
      <c r="AC262" s="360" t="inlineStr">
        <is>
          <t>-</t>
        </is>
      </c>
      <c r="AD262" s="362" t="n">
        <v>3567120</v>
      </c>
      <c r="AE262" s="360" t="n">
        <v>0</v>
      </c>
      <c r="AF262" s="615" t="n">
        <v>0</v>
      </c>
      <c r="AG262" s="203" t="n">
        <v>0</v>
      </c>
      <c r="AH262" s="203" t="n">
        <v>0</v>
      </c>
      <c r="AI262" s="203" t="n">
        <v>0</v>
      </c>
      <c r="AJ262" s="203" t="n">
        <v>0</v>
      </c>
      <c r="AK262" s="203" t="n">
        <v>0</v>
      </c>
      <c r="AL262" s="203" t="n">
        <v>0.01</v>
      </c>
      <c r="AM262" s="203" t="n">
        <v>0</v>
      </c>
      <c r="AN262" s="203" t="inlineStr">
        <is>
          <t>EMF,KHTHC,EIB,KHDOC,KHCIC</t>
        </is>
      </c>
    </row>
    <row r="263">
      <c r="A263" s="220">
        <f>A262+1</f>
        <v/>
      </c>
      <c r="B263" s="222" t="inlineStr">
        <is>
          <t>Trucking &amp; Clearance-Im</t>
        </is>
      </c>
      <c r="C263" s="222" t="inlineStr">
        <is>
          <t>BRILLIANT TRANSPORT AND TRADING Co., Ltd.</t>
        </is>
      </c>
      <c r="D263" s="223" t="inlineStr">
        <is>
          <t>K002-100089305</t>
        </is>
      </c>
      <c r="E263" s="349" t="inlineStr">
        <is>
          <t>BTT25-0000569</t>
        </is>
      </c>
      <c r="F263" s="332" t="n">
        <v>45729</v>
      </c>
      <c r="G263" s="224" t="n"/>
      <c r="H263" s="617" t="n"/>
      <c r="I263" s="617" t="n">
        <v>3995976</v>
      </c>
      <c r="J263" s="221" t="inlineStr">
        <is>
          <t>អនុញ្ញាត (បានប្រកាស)</t>
        </is>
      </c>
      <c r="K263" s="221" t="n"/>
      <c r="L263" s="616">
        <f>I263</f>
        <v/>
      </c>
      <c r="M263" s="588">
        <f>I263-L263</f>
        <v/>
      </c>
      <c r="N263" s="221" t="n"/>
      <c r="O263" s="226">
        <f>U263=E263</f>
        <v/>
      </c>
      <c r="P263" s="226">
        <f>MONTH(F263)-MONTH(T263)</f>
        <v/>
      </c>
      <c r="Q263" s="226">
        <f>$B$5=X263</f>
        <v/>
      </c>
      <c r="R263" s="226">
        <f>I263-AD263</f>
        <v/>
      </c>
      <c r="S263" s="360" t="n"/>
      <c r="T263" s="361" t="n">
        <v>45729</v>
      </c>
      <c r="U263" s="360" t="inlineStr">
        <is>
          <t>BTT25-0000569</t>
        </is>
      </c>
      <c r="V263" s="360" t="n">
        <v>0</v>
      </c>
      <c r="W263" s="360" t="inlineStr">
        <is>
          <t>បុគ្គលជាប់អាករ</t>
        </is>
      </c>
      <c r="X263" s="360" t="inlineStr">
        <is>
          <t>L001-901640009</t>
        </is>
      </c>
      <c r="Y263" s="360" t="inlineStr">
        <is>
          <t>ហូលីដេ ឌីហ្សាញ (ខេមបូឌា) ឯ.ក</t>
        </is>
      </c>
      <c r="Z263" s="362" t="n">
        <v>43955736</v>
      </c>
      <c r="AA263" s="362" t="n">
        <v>39959760</v>
      </c>
      <c r="AB263" s="360" t="n">
        <v>0</v>
      </c>
      <c r="AC263" s="360" t="inlineStr">
        <is>
          <t>-</t>
        </is>
      </c>
      <c r="AD263" s="362" t="n">
        <v>3995976</v>
      </c>
      <c r="AE263" s="360" t="n">
        <v>0</v>
      </c>
      <c r="AF263" s="615" t="n">
        <v>0</v>
      </c>
      <c r="AG263" s="203" t="n">
        <v>0</v>
      </c>
      <c r="AH263" s="203" t="n">
        <v>0</v>
      </c>
      <c r="AI263" s="203" t="n">
        <v>0</v>
      </c>
      <c r="AJ263" s="203" t="n">
        <v>0</v>
      </c>
      <c r="AK263" s="203" t="n">
        <v>0</v>
      </c>
      <c r="AL263" s="203" t="n">
        <v>0.01</v>
      </c>
      <c r="AM263" s="203" t="n">
        <v>0</v>
      </c>
      <c r="AN263" s="203" t="inlineStr">
        <is>
          <t>Truking / Service</t>
        </is>
      </c>
    </row>
    <row r="264">
      <c r="A264" s="220">
        <f>A263+1</f>
        <v/>
      </c>
      <c r="B264" s="222" t="inlineStr">
        <is>
          <t>Lift-On &amp; Lift-On-Im</t>
        </is>
      </c>
      <c r="C264" s="222" t="inlineStr">
        <is>
          <t>Port Autonome Du Sihanoukville</t>
        </is>
      </c>
      <c r="D264" s="223" t="inlineStr">
        <is>
          <t>L001-100044638</t>
        </is>
      </c>
      <c r="E264" s="349" t="n">
        <v>202500054713</v>
      </c>
      <c r="F264" s="332" t="n">
        <v>45730</v>
      </c>
      <c r="G264" s="224" t="n"/>
      <c r="H264" s="617" t="n"/>
      <c r="I264" s="617" t="n">
        <v>68520</v>
      </c>
      <c r="J264" s="221" t="inlineStr">
        <is>
          <t>អនុញ្ញាត (បានប្រកាស)</t>
        </is>
      </c>
      <c r="K264" s="221" t="n"/>
      <c r="L264" s="616">
        <f>I264</f>
        <v/>
      </c>
      <c r="M264" s="588">
        <f>I264-L264</f>
        <v/>
      </c>
      <c r="N264" s="221" t="n"/>
      <c r="O264" s="226">
        <f>U264=E264</f>
        <v/>
      </c>
      <c r="P264" s="226">
        <f>MONTH(F264)-MONTH(T264)</f>
        <v/>
      </c>
      <c r="Q264" s="226">
        <f>$B$5=X264</f>
        <v/>
      </c>
      <c r="R264" s="226">
        <f>I264-AD264</f>
        <v/>
      </c>
      <c r="S264" s="360" t="n"/>
      <c r="T264" s="361" t="n">
        <v>45730</v>
      </c>
      <c r="U264" s="360" t="n">
        <v>202500054713</v>
      </c>
      <c r="V264" s="360" t="n">
        <v>0</v>
      </c>
      <c r="W264" s="360" t="inlineStr">
        <is>
          <t>បុគ្គលជាប់អាករ</t>
        </is>
      </c>
      <c r="X264" s="360" t="inlineStr">
        <is>
          <t>L001-901640009</t>
        </is>
      </c>
      <c r="Y264" s="360" t="inlineStr">
        <is>
          <t>ហូលីដេ ឌីហ្សាញ (ខេមបូឌា) ឯ.ក</t>
        </is>
      </c>
      <c r="Z264" s="362" t="n">
        <v>753717</v>
      </c>
      <c r="AA264" s="362" t="n">
        <v>685197</v>
      </c>
      <c r="AB264" s="360" t="n">
        <v>0</v>
      </c>
      <c r="AC264" s="360" t="inlineStr">
        <is>
          <t>-</t>
        </is>
      </c>
      <c r="AD264" s="362" t="n">
        <v>68520</v>
      </c>
      <c r="AE264" s="360" t="n">
        <v>0</v>
      </c>
      <c r="AF264" s="615" t="n">
        <v>0</v>
      </c>
      <c r="AG264" s="203" t="n">
        <v>0</v>
      </c>
      <c r="AH264" s="203" t="n">
        <v>0</v>
      </c>
      <c r="AI264" s="203" t="n">
        <v>0</v>
      </c>
      <c r="AJ264" s="203" t="n">
        <v>0</v>
      </c>
      <c r="AK264" s="203" t="n">
        <v>0</v>
      </c>
      <c r="AL264" s="203" t="n">
        <v>0.01</v>
      </c>
      <c r="AM264" s="203" t="n">
        <v>0</v>
      </c>
      <c r="AN264" s="203" t="inlineStr">
        <is>
          <t>LOLO</t>
        </is>
      </c>
    </row>
    <row r="265">
      <c r="A265" s="220">
        <f>A264+1</f>
        <v/>
      </c>
      <c r="B265" s="222" t="inlineStr">
        <is>
          <t>Terminal Handling Charge</t>
        </is>
      </c>
      <c r="C265" s="222" t="inlineStr">
        <is>
          <t>SITC CONTAINER LINES (CAMBODIA) Co., Ltd.</t>
        </is>
      </c>
      <c r="D265" s="223" t="inlineStr">
        <is>
          <t>L001-107035863</t>
        </is>
      </c>
      <c r="E265" s="349" t="inlineStr">
        <is>
          <t>SITC2025-007649</t>
        </is>
      </c>
      <c r="F265" s="332" t="n">
        <v>45726</v>
      </c>
      <c r="G265" s="224" t="n"/>
      <c r="H265" s="617" t="n"/>
      <c r="I265" s="617" t="n">
        <v>384672</v>
      </c>
      <c r="J265" s="221" t="inlineStr">
        <is>
          <t>អនុញ្ញាត (បានប្រកាស)</t>
        </is>
      </c>
      <c r="K265" s="221" t="n"/>
      <c r="L265" s="616">
        <f>I265</f>
        <v/>
      </c>
      <c r="M265" s="588">
        <f>I265-L265</f>
        <v/>
      </c>
      <c r="N265" s="221" t="n"/>
      <c r="O265" s="226">
        <f>U265=E265</f>
        <v/>
      </c>
      <c r="P265" s="226">
        <f>MONTH(F265)-MONTH(T265)</f>
        <v/>
      </c>
      <c r="Q265" s="226">
        <f>$B$5=X265</f>
        <v/>
      </c>
      <c r="R265" s="226">
        <f>I265-AD265</f>
        <v/>
      </c>
      <c r="S265" s="360" t="n"/>
      <c r="T265" s="361" t="n">
        <v>45726</v>
      </c>
      <c r="U265" s="360" t="inlineStr">
        <is>
          <t>SITC2025-007649</t>
        </is>
      </c>
      <c r="V265" s="360" t="n">
        <v>0</v>
      </c>
      <c r="W265" s="360" t="inlineStr">
        <is>
          <t>បុគ្គលជាប់អាករ</t>
        </is>
      </c>
      <c r="X265" s="360" t="inlineStr">
        <is>
          <t>L001-901640009</t>
        </is>
      </c>
      <c r="Y265" s="360" t="inlineStr">
        <is>
          <t>ហូលីដេ ឌីហ្សាញ (ខេមបូឌា) ឯ.ក</t>
        </is>
      </c>
      <c r="Z265" s="362" t="n">
        <v>4231392</v>
      </c>
      <c r="AA265" s="362" t="n">
        <v>3846720</v>
      </c>
      <c r="AB265" s="360" t="n">
        <v>0</v>
      </c>
      <c r="AC265" s="360" t="inlineStr">
        <is>
          <t>-</t>
        </is>
      </c>
      <c r="AD265" s="362" t="n">
        <v>384672</v>
      </c>
      <c r="AE265" s="360" t="n">
        <v>0</v>
      </c>
      <c r="AF265" s="615" t="n">
        <v>0</v>
      </c>
      <c r="AG265" s="203" t="n">
        <v>0</v>
      </c>
      <c r="AH265" s="203" t="n">
        <v>0</v>
      </c>
      <c r="AI265" s="203" t="n">
        <v>0</v>
      </c>
      <c r="AJ265" s="203" t="n">
        <v>0</v>
      </c>
      <c r="AK265" s="203" t="n">
        <v>0</v>
      </c>
      <c r="AL265" s="203" t="n">
        <v>0.01</v>
      </c>
      <c r="AM265" s="203" t="n">
        <v>0</v>
      </c>
      <c r="AN265" s="203" t="inlineStr">
        <is>
          <t>KHDOC,EIB,EMF,KHTHC,KHCIC</t>
        </is>
      </c>
    </row>
    <row r="266">
      <c r="A266" s="220">
        <f>A265+1</f>
        <v/>
      </c>
      <c r="B266" s="222" t="inlineStr">
        <is>
          <t>Trucking &amp; Clearance-Im</t>
        </is>
      </c>
      <c r="C266" s="222" t="inlineStr">
        <is>
          <t>BRILLIANT TRANSPORT AND TRADING Co., Ltd.</t>
        </is>
      </c>
      <c r="D266" s="223" t="inlineStr">
        <is>
          <t>K002-100089305</t>
        </is>
      </c>
      <c r="E266" s="349" t="inlineStr">
        <is>
          <t>BTT25-0000568</t>
        </is>
      </c>
      <c r="F266" s="332" t="n">
        <v>45730</v>
      </c>
      <c r="G266" s="224" t="n"/>
      <c r="H266" s="617" t="n"/>
      <c r="I266" s="617" t="n">
        <v>757323</v>
      </c>
      <c r="J266" s="221" t="inlineStr">
        <is>
          <t>អនុញ្ញាត (បានប្រកាស)</t>
        </is>
      </c>
      <c r="K266" s="221" t="n"/>
      <c r="L266" s="616">
        <f>I266</f>
        <v/>
      </c>
      <c r="M266" s="588">
        <f>I266-L266</f>
        <v/>
      </c>
      <c r="N266" s="221" t="n"/>
      <c r="O266" s="226">
        <f>U266=E266</f>
        <v/>
      </c>
      <c r="P266" s="226">
        <f>MONTH(F266)-MONTH(T266)</f>
        <v/>
      </c>
      <c r="Q266" s="226">
        <f>$B$5=X266</f>
        <v/>
      </c>
      <c r="R266" s="226">
        <f>I266-AD266</f>
        <v/>
      </c>
      <c r="S266" s="360" t="n"/>
      <c r="T266" s="361" t="n">
        <v>45730</v>
      </c>
      <c r="U266" s="360" t="inlineStr">
        <is>
          <t>BTT25-0000568</t>
        </is>
      </c>
      <c r="V266" s="360" t="n">
        <v>0</v>
      </c>
      <c r="W266" s="360" t="inlineStr">
        <is>
          <t>បុគ្គលជាប់អាករ</t>
        </is>
      </c>
      <c r="X266" s="360" t="inlineStr">
        <is>
          <t>L001-901640009</t>
        </is>
      </c>
      <c r="Y266" s="360" t="inlineStr">
        <is>
          <t>ហូលីដេ ឌីហ្សាញ (ខេមបូឌា) ឯ.ក</t>
        </is>
      </c>
      <c r="Z266" s="362" t="n">
        <v>8330553</v>
      </c>
      <c r="AA266" s="362" t="n">
        <v>7573230</v>
      </c>
      <c r="AB266" s="360" t="n">
        <v>0</v>
      </c>
      <c r="AC266" s="360" t="inlineStr">
        <is>
          <t>-</t>
        </is>
      </c>
      <c r="AD266" s="362" t="n">
        <v>757323</v>
      </c>
      <c r="AE266" s="360" t="n">
        <v>0</v>
      </c>
      <c r="AF266" s="615" t="n">
        <v>0</v>
      </c>
      <c r="AG266" s="203" t="n">
        <v>0</v>
      </c>
      <c r="AH266" s="203" t="n">
        <v>0</v>
      </c>
      <c r="AI266" s="203" t="n">
        <v>0</v>
      </c>
      <c r="AJ266" s="203" t="n">
        <v>0</v>
      </c>
      <c r="AK266" s="203" t="n">
        <v>0</v>
      </c>
      <c r="AL266" s="203" t="n">
        <v>0.01</v>
      </c>
      <c r="AM266" s="203" t="n">
        <v>0</v>
      </c>
      <c r="AN266" s="203" t="inlineStr">
        <is>
          <t>Truking / Service</t>
        </is>
      </c>
    </row>
    <row r="267">
      <c r="A267" s="220">
        <f>A266+1</f>
        <v/>
      </c>
      <c r="B267" s="222" t="inlineStr">
        <is>
          <t>Lift-On &amp; Lift-On-Im</t>
        </is>
      </c>
      <c r="C267" s="222" t="inlineStr">
        <is>
          <t>Port Autonome Du Sihanoukville</t>
        </is>
      </c>
      <c r="D267" s="223" t="inlineStr">
        <is>
          <t>L001-100044638</t>
        </is>
      </c>
      <c r="E267" s="349" t="n">
        <v>202500048758</v>
      </c>
      <c r="F267" s="332" t="n">
        <v>45722</v>
      </c>
      <c r="G267" s="224" t="n"/>
      <c r="H267" s="617" t="n"/>
      <c r="I267" s="617" t="n">
        <v>673848</v>
      </c>
      <c r="J267" s="221" t="inlineStr">
        <is>
          <t>អនុញ្ញាត (បានប្រកាស)</t>
        </is>
      </c>
      <c r="K267" s="221" t="n"/>
      <c r="L267" s="616">
        <f>I267</f>
        <v/>
      </c>
      <c r="M267" s="588">
        <f>I267-L267</f>
        <v/>
      </c>
      <c r="N267" s="221" t="n"/>
      <c r="O267" s="226">
        <f>U267=E267</f>
        <v/>
      </c>
      <c r="P267" s="226">
        <f>MONTH(F267)-MONTH(T267)</f>
        <v/>
      </c>
      <c r="Q267" s="226">
        <f>$B$5=X267</f>
        <v/>
      </c>
      <c r="R267" s="226">
        <f>I267-AD267</f>
        <v/>
      </c>
      <c r="S267" s="360" t="n"/>
      <c r="T267" s="361" t="n">
        <v>45722</v>
      </c>
      <c r="U267" s="360" t="n">
        <v>202500048758</v>
      </c>
      <c r="V267" s="360" t="n">
        <v>0</v>
      </c>
      <c r="W267" s="360" t="inlineStr">
        <is>
          <t>បុគ្គលជាប់អាករ</t>
        </is>
      </c>
      <c r="X267" s="360" t="inlineStr">
        <is>
          <t>L001-901640009</t>
        </is>
      </c>
      <c r="Y267" s="360" t="inlineStr">
        <is>
          <t>ហូលីដេ ឌីហ្សាញ (ខេមបូឌា) ឯ.ក</t>
        </is>
      </c>
      <c r="Z267" s="362" t="n">
        <v>7412328</v>
      </c>
      <c r="AA267" s="362" t="n">
        <v>6738480</v>
      </c>
      <c r="AB267" s="360" t="n">
        <v>0</v>
      </c>
      <c r="AC267" s="360" t="inlineStr">
        <is>
          <t>-</t>
        </is>
      </c>
      <c r="AD267" s="362" t="n">
        <v>673848</v>
      </c>
      <c r="AE267" s="360" t="n">
        <v>0</v>
      </c>
      <c r="AF267" s="615" t="n">
        <v>0</v>
      </c>
      <c r="AG267" s="203" t="n">
        <v>0</v>
      </c>
      <c r="AH267" s="203" t="n">
        <v>0</v>
      </c>
      <c r="AI267" s="203" t="n">
        <v>0</v>
      </c>
      <c r="AJ267" s="203" t="n">
        <v>0</v>
      </c>
      <c r="AK267" s="203" t="n">
        <v>0</v>
      </c>
      <c r="AL267" s="203" t="n">
        <v>0.01</v>
      </c>
      <c r="AM267" s="203" t="n">
        <v>0</v>
      </c>
      <c r="AN267" s="203" t="inlineStr">
        <is>
          <t>LOLO</t>
        </is>
      </c>
    </row>
    <row r="268">
      <c r="A268" s="220">
        <f>A267+1</f>
        <v/>
      </c>
      <c r="B268" s="222" t="inlineStr">
        <is>
          <t>Terminal Handling Charge</t>
        </is>
      </c>
      <c r="C268" s="222" t="inlineStr">
        <is>
          <t>SITC CONTAINER LINES (CAMBODIA) Co., Ltd.</t>
        </is>
      </c>
      <c r="D268" s="223" t="inlineStr">
        <is>
          <t>L001-107035863</t>
        </is>
      </c>
      <c r="E268" s="349" t="inlineStr">
        <is>
          <t>SITC2025-006919</t>
        </is>
      </c>
      <c r="F268" s="332" t="n">
        <v>45720</v>
      </c>
      <c r="G268" s="224" t="n"/>
      <c r="H268" s="617" t="n"/>
      <c r="I268" s="617" t="n">
        <v>4017018</v>
      </c>
      <c r="J268" s="221" t="inlineStr">
        <is>
          <t>អនុញ្ញាត (បានប្រកាស)</t>
        </is>
      </c>
      <c r="K268" s="221" t="n"/>
      <c r="L268" s="616">
        <f>I268</f>
        <v/>
      </c>
      <c r="M268" s="588">
        <f>I268-L268</f>
        <v/>
      </c>
      <c r="N268" s="221" t="n"/>
      <c r="O268" s="226">
        <f>U268=E268</f>
        <v/>
      </c>
      <c r="P268" s="226">
        <f>MONTH(F268)-MONTH(T268)</f>
        <v/>
      </c>
      <c r="Q268" s="226">
        <f>$B$5=X268</f>
        <v/>
      </c>
      <c r="R268" s="226">
        <f>I268-AD268</f>
        <v/>
      </c>
      <c r="S268" s="360" t="n"/>
      <c r="T268" s="361" t="n">
        <v>45720</v>
      </c>
      <c r="U268" s="360" t="inlineStr">
        <is>
          <t>SITC2025-006919</t>
        </is>
      </c>
      <c r="V268" s="360" t="n">
        <v>0</v>
      </c>
      <c r="W268" s="360" t="inlineStr">
        <is>
          <t>បុគ្គលជាប់អាករ</t>
        </is>
      </c>
      <c r="X268" s="360" t="inlineStr">
        <is>
          <t>L001-901640009</t>
        </is>
      </c>
      <c r="Y268" s="360" t="inlineStr">
        <is>
          <t>ហូលីដេ ឌីហ្សាញ (ខេមបូឌា) ឯ.ក</t>
        </is>
      </c>
      <c r="Z268" s="362" t="n">
        <v>44187198</v>
      </c>
      <c r="AA268" s="362" t="n">
        <v>40170180</v>
      </c>
      <c r="AB268" s="360" t="n">
        <v>0</v>
      </c>
      <c r="AC268" s="360" t="inlineStr">
        <is>
          <t>-</t>
        </is>
      </c>
      <c r="AD268" s="362" t="n">
        <v>4017018</v>
      </c>
      <c r="AE268" s="360" t="n">
        <v>0</v>
      </c>
      <c r="AF268" s="615" t="n">
        <v>0</v>
      </c>
      <c r="AG268" s="203" t="n">
        <v>0</v>
      </c>
      <c r="AH268" s="203" t="n">
        <v>0</v>
      </c>
      <c r="AI268" s="203" t="n">
        <v>0</v>
      </c>
      <c r="AJ268" s="203" t="n">
        <v>0</v>
      </c>
      <c r="AK268" s="203" t="n">
        <v>0</v>
      </c>
      <c r="AL268" s="203" t="n">
        <v>0.01</v>
      </c>
      <c r="AM268" s="203" t="n">
        <v>0</v>
      </c>
      <c r="AN268" s="203" t="inlineStr">
        <is>
          <t>KHTHC,KHDOC,EMF,KHCIC,KHTHC,EIB,KHCIC,EMF,EIB</t>
        </is>
      </c>
    </row>
    <row r="269">
      <c r="A269" s="220">
        <f>A268+1</f>
        <v/>
      </c>
      <c r="B269" s="222" t="inlineStr">
        <is>
          <t>Trucking &amp; Clearance-Im</t>
        </is>
      </c>
      <c r="C269" s="222" t="inlineStr">
        <is>
          <t>BRILLIANT TRANSPORT AND TRADING Co., Ltd.</t>
        </is>
      </c>
      <c r="D269" s="223" t="inlineStr">
        <is>
          <t>K002-100089305</t>
        </is>
      </c>
      <c r="E269" s="349" t="inlineStr">
        <is>
          <t>BTT25-0000516</t>
        </is>
      </c>
      <c r="F269" s="332" t="n">
        <v>45722</v>
      </c>
      <c r="G269" s="224" t="n"/>
      <c r="H269" s="617" t="n"/>
      <c r="I269" s="617" t="n">
        <v>4684046</v>
      </c>
      <c r="J269" s="221" t="inlineStr">
        <is>
          <t>អនុញ្ញាត (បានប្រកាស)</t>
        </is>
      </c>
      <c r="K269" s="221" t="n"/>
      <c r="L269" s="616">
        <f>I269</f>
        <v/>
      </c>
      <c r="M269" s="588">
        <f>I269-L269</f>
        <v/>
      </c>
      <c r="N269" s="221" t="n"/>
      <c r="O269" s="226">
        <f>U269=E269</f>
        <v/>
      </c>
      <c r="P269" s="226">
        <f>MONTH(F269)-MONTH(T269)</f>
        <v/>
      </c>
      <c r="Q269" s="226">
        <f>$B$5=X269</f>
        <v/>
      </c>
      <c r="R269" s="226">
        <f>I269-AD269</f>
        <v/>
      </c>
      <c r="S269" s="360" t="n"/>
      <c r="T269" s="361" t="n">
        <v>45722</v>
      </c>
      <c r="U269" s="360" t="inlineStr">
        <is>
          <t>BTT25-0000516</t>
        </is>
      </c>
      <c r="V269" s="360" t="n">
        <v>0</v>
      </c>
      <c r="W269" s="360" t="inlineStr">
        <is>
          <t>បុគ្គលជាប់អាករ</t>
        </is>
      </c>
      <c r="X269" s="360" t="inlineStr">
        <is>
          <t>L001-901640009</t>
        </is>
      </c>
      <c r="Y269" s="360" t="inlineStr">
        <is>
          <t>ហូលីដេ ឌីហ្សាញ (ខេមបូឌា) ឯ.ក</t>
        </is>
      </c>
      <c r="Z269" s="362" t="n">
        <v>51524504</v>
      </c>
      <c r="AA269" s="362" t="n">
        <v>46840458</v>
      </c>
      <c r="AB269" s="360" t="n">
        <v>0</v>
      </c>
      <c r="AC269" s="360" t="inlineStr">
        <is>
          <t>-</t>
        </is>
      </c>
      <c r="AD269" s="362" t="n">
        <v>4684046</v>
      </c>
      <c r="AE269" s="360" t="n">
        <v>0</v>
      </c>
      <c r="AF269" s="615" t="n">
        <v>0</v>
      </c>
      <c r="AG269" s="203" t="n">
        <v>0</v>
      </c>
      <c r="AH269" s="203" t="n">
        <v>0</v>
      </c>
      <c r="AI269" s="203" t="n">
        <v>0</v>
      </c>
      <c r="AJ269" s="203" t="n">
        <v>0</v>
      </c>
      <c r="AK269" s="203" t="n">
        <v>0</v>
      </c>
      <c r="AL269" s="203" t="n">
        <v>0.01</v>
      </c>
      <c r="AM269" s="203" t="n">
        <v>0</v>
      </c>
      <c r="AN269" s="203" t="inlineStr">
        <is>
          <t>Truking / Service</t>
        </is>
      </c>
    </row>
    <row r="270">
      <c r="A270" s="220">
        <f>A269+1</f>
        <v/>
      </c>
      <c r="B270" s="222" t="inlineStr">
        <is>
          <t>Lift-On &amp; Lift-On-Im</t>
        </is>
      </c>
      <c r="C270" s="222" t="inlineStr">
        <is>
          <t>Port Autonome Du Sihanoukville</t>
        </is>
      </c>
      <c r="D270" s="223" t="inlineStr">
        <is>
          <t>L001-100044638</t>
        </is>
      </c>
      <c r="E270" s="349" t="n">
        <v>202500047536</v>
      </c>
      <c r="F270" s="332" t="n">
        <v>45721</v>
      </c>
      <c r="G270" s="224" t="n"/>
      <c r="H270" s="617" t="n"/>
      <c r="I270" s="617" t="n">
        <v>174479</v>
      </c>
      <c r="J270" s="221" t="inlineStr">
        <is>
          <t>អនុញ្ញាត (បានប្រកាស)</t>
        </is>
      </c>
      <c r="K270" s="221" t="n"/>
      <c r="L270" s="616">
        <f>I270</f>
        <v/>
      </c>
      <c r="M270" s="588">
        <f>I270-L270</f>
        <v/>
      </c>
      <c r="N270" s="221" t="n"/>
      <c r="O270" s="226">
        <f>U270=E270</f>
        <v/>
      </c>
      <c r="P270" s="226">
        <f>MONTH(F270)-MONTH(T270)</f>
        <v/>
      </c>
      <c r="Q270" s="226">
        <f>$B$5=X270</f>
        <v/>
      </c>
      <c r="R270" s="226">
        <f>I270-AD270</f>
        <v/>
      </c>
      <c r="S270" s="360" t="n"/>
      <c r="T270" s="361" t="n">
        <v>45721</v>
      </c>
      <c r="U270" s="360" t="n">
        <v>202500047536</v>
      </c>
      <c r="V270" s="360" t="n">
        <v>0</v>
      </c>
      <c r="W270" s="360" t="inlineStr">
        <is>
          <t>បុគ្គលជាប់អាករ</t>
        </is>
      </c>
      <c r="X270" s="360" t="inlineStr">
        <is>
          <t>L001-901640009</t>
        </is>
      </c>
      <c r="Y270" s="360" t="inlineStr">
        <is>
          <t>ហូលីដេ ឌីហ្សាញ (ខេមបូឌា) ឯ.ក</t>
        </is>
      </c>
      <c r="Z270" s="362" t="n">
        <v>1919264</v>
      </c>
      <c r="AA270" s="362" t="n">
        <v>1744785</v>
      </c>
      <c r="AB270" s="360" t="n">
        <v>0</v>
      </c>
      <c r="AC270" s="360" t="inlineStr">
        <is>
          <t>-</t>
        </is>
      </c>
      <c r="AD270" s="362" t="n">
        <v>174479</v>
      </c>
      <c r="AE270" s="360" t="n">
        <v>0</v>
      </c>
      <c r="AF270" s="615" t="n">
        <v>0</v>
      </c>
      <c r="AG270" s="203" t="n">
        <v>0</v>
      </c>
      <c r="AH270" s="203" t="n">
        <v>0</v>
      </c>
      <c r="AI270" s="203" t="n">
        <v>0</v>
      </c>
      <c r="AJ270" s="203" t="n">
        <v>0</v>
      </c>
      <c r="AK270" s="203" t="n">
        <v>0</v>
      </c>
      <c r="AL270" s="203" t="n">
        <v>0.01</v>
      </c>
      <c r="AM270" s="203" t="n">
        <v>0</v>
      </c>
      <c r="AN270" s="203" t="inlineStr">
        <is>
          <t>LOLO</t>
        </is>
      </c>
    </row>
    <row r="271">
      <c r="A271" s="220">
        <f>A270+1</f>
        <v/>
      </c>
      <c r="B271" s="222" t="inlineStr">
        <is>
          <t>Trucking &amp; Clearance-Im</t>
        </is>
      </c>
      <c r="C271" s="222" t="inlineStr">
        <is>
          <t>BRILLIANT TRANSPORT AND TRADING Co., Ltd.</t>
        </is>
      </c>
      <c r="D271" s="223" t="inlineStr">
        <is>
          <t>K002-100089305</t>
        </is>
      </c>
      <c r="E271" s="349" t="inlineStr">
        <is>
          <t>BTT25-0000616</t>
        </is>
      </c>
      <c r="F271" s="332" t="n">
        <v>45737</v>
      </c>
      <c r="G271" s="224" t="n"/>
      <c r="H271" s="617" t="n"/>
      <c r="I271" s="617" t="n">
        <v>2162700</v>
      </c>
      <c r="J271" s="221" t="inlineStr">
        <is>
          <t>អនុញ្ញាត (បានប្រកាស)</t>
        </is>
      </c>
      <c r="K271" s="221" t="n"/>
      <c r="L271" s="616">
        <f>I271</f>
        <v/>
      </c>
      <c r="M271" s="588">
        <f>I271-L271</f>
        <v/>
      </c>
      <c r="N271" s="221" t="n"/>
      <c r="O271" s="226">
        <f>U271=E271</f>
        <v/>
      </c>
      <c r="P271" s="226">
        <f>MONTH(F271)-MONTH(T271)</f>
        <v/>
      </c>
      <c r="Q271" s="226">
        <f>$B$5=X271</f>
        <v/>
      </c>
      <c r="R271" s="226">
        <f>I271-AD271</f>
        <v/>
      </c>
      <c r="S271" s="360" t="n"/>
      <c r="T271" s="361" t="n">
        <v>45737</v>
      </c>
      <c r="U271" s="360" t="inlineStr">
        <is>
          <t>BTT25-0000616</t>
        </is>
      </c>
      <c r="V271" s="360" t="n">
        <v>0</v>
      </c>
      <c r="W271" s="360" t="inlineStr">
        <is>
          <t>បុគ្គលជាប់អាករ</t>
        </is>
      </c>
      <c r="X271" s="360" t="inlineStr">
        <is>
          <t>L001-901640009</t>
        </is>
      </c>
      <c r="Y271" s="360" t="inlineStr">
        <is>
          <t>ហូលីដេ ឌីហ្សាញ (ខេមបូឌា) ឯ.ក</t>
        </is>
      </c>
      <c r="Z271" s="362" t="n">
        <v>23789700</v>
      </c>
      <c r="AA271" s="362" t="n">
        <v>21627000</v>
      </c>
      <c r="AB271" s="360" t="n">
        <v>0</v>
      </c>
      <c r="AC271" s="360" t="inlineStr">
        <is>
          <t>-</t>
        </is>
      </c>
      <c r="AD271" s="362" t="n">
        <v>2162700</v>
      </c>
      <c r="AE271" s="360" t="n">
        <v>0</v>
      </c>
      <c r="AF271" s="615" t="n">
        <v>0</v>
      </c>
      <c r="AG271" s="203" t="n">
        <v>0</v>
      </c>
      <c r="AH271" s="203" t="n">
        <v>0</v>
      </c>
      <c r="AI271" s="203" t="n">
        <v>0</v>
      </c>
      <c r="AJ271" s="203" t="n">
        <v>0</v>
      </c>
      <c r="AK271" s="203" t="n">
        <v>0</v>
      </c>
      <c r="AL271" s="203" t="n">
        <v>0.01</v>
      </c>
      <c r="AM271" s="203" t="n">
        <v>0</v>
      </c>
      <c r="AN271" s="203" t="inlineStr">
        <is>
          <t>Truking / Service</t>
        </is>
      </c>
    </row>
    <row r="272">
      <c r="A272" s="220">
        <f>A271+1</f>
        <v/>
      </c>
      <c r="B272" s="222" t="inlineStr">
        <is>
          <t>Lift-On &amp; Lift-On-Im</t>
        </is>
      </c>
      <c r="C272" s="222" t="inlineStr">
        <is>
          <t>Port Autonome Du Sihanoukville</t>
        </is>
      </c>
      <c r="D272" s="223" t="inlineStr">
        <is>
          <t>L001-100044638</t>
        </is>
      </c>
      <c r="E272" s="349" t="n">
        <v>202500061144</v>
      </c>
      <c r="F272" s="332" t="n">
        <v>45737</v>
      </c>
      <c r="G272" s="224" t="n"/>
      <c r="H272" s="617" t="n"/>
      <c r="I272" s="617" t="n">
        <v>348435</v>
      </c>
      <c r="J272" s="221" t="inlineStr">
        <is>
          <t>អនុញ្ញាត (បានប្រកាស)</t>
        </is>
      </c>
      <c r="K272" s="221" t="n"/>
      <c r="L272" s="616">
        <f>I272</f>
        <v/>
      </c>
      <c r="M272" s="588">
        <f>I272-L272</f>
        <v/>
      </c>
      <c r="N272" s="221" t="n"/>
      <c r="O272" s="226">
        <f>U272=E272</f>
        <v/>
      </c>
      <c r="P272" s="226">
        <f>MONTH(F272)-MONTH(T272)</f>
        <v/>
      </c>
      <c r="Q272" s="226">
        <f>$B$5=X272</f>
        <v/>
      </c>
      <c r="R272" s="226">
        <f>I272-AD272</f>
        <v/>
      </c>
      <c r="S272" s="360" t="inlineStr">
        <is>
          <t>Wrong invoice number</t>
        </is>
      </c>
      <c r="T272" s="361" t="n">
        <v>45737</v>
      </c>
      <c r="U272" s="360" t="n">
        <v>202500061144</v>
      </c>
      <c r="V272" s="360" t="n">
        <v>0</v>
      </c>
      <c r="W272" s="360" t="inlineStr">
        <is>
          <t>បុគ្គលជាប់អាករ</t>
        </is>
      </c>
      <c r="X272" s="360" t="inlineStr">
        <is>
          <t>L001-901640009</t>
        </is>
      </c>
      <c r="Y272" s="360" t="inlineStr">
        <is>
          <t>ហូលីដេ ឌីហ្សាញ (ខេមបូឌា) ឯ.ក</t>
        </is>
      </c>
      <c r="Z272" s="362" t="n">
        <v>3832785</v>
      </c>
      <c r="AA272" s="362" t="n">
        <v>3484350</v>
      </c>
      <c r="AB272" s="360" t="n">
        <v>0</v>
      </c>
      <c r="AC272" s="360" t="inlineStr">
        <is>
          <t>-</t>
        </is>
      </c>
      <c r="AD272" s="362" t="n">
        <v>348435</v>
      </c>
      <c r="AE272" s="360" t="n">
        <v>0</v>
      </c>
      <c r="AF272" s="615" t="n">
        <v>0</v>
      </c>
      <c r="AG272" s="203" t="n">
        <v>0</v>
      </c>
      <c r="AH272" s="203" t="n">
        <v>0</v>
      </c>
      <c r="AI272" s="203" t="n">
        <v>0</v>
      </c>
      <c r="AJ272" s="203" t="n">
        <v>0</v>
      </c>
      <c r="AK272" s="203" t="n">
        <v>0</v>
      </c>
      <c r="AL272" s="203" t="n">
        <v>0.01</v>
      </c>
      <c r="AM272" s="203" t="n">
        <v>0</v>
      </c>
      <c r="AN272" s="203" t="inlineStr">
        <is>
          <t>LOLO</t>
        </is>
      </c>
    </row>
    <row r="273">
      <c r="A273" s="220">
        <f>A272+1</f>
        <v/>
      </c>
      <c r="B273" s="222" t="inlineStr">
        <is>
          <t>Terminal Handling Service-Im</t>
        </is>
      </c>
      <c r="C273" s="222" t="inlineStr">
        <is>
          <t>MAERSK (CAMBODIA) LTD.</t>
        </is>
      </c>
      <c r="D273" s="223" t="inlineStr">
        <is>
          <t>L001-100045200</t>
        </is>
      </c>
      <c r="E273" s="349" t="n">
        <v>7676087446</v>
      </c>
      <c r="F273" s="332" t="n">
        <v>45617</v>
      </c>
      <c r="G273" s="224" t="n"/>
      <c r="H273" s="617" t="n"/>
      <c r="I273" s="617" t="n">
        <v>195649</v>
      </c>
      <c r="J273" s="221" t="inlineStr">
        <is>
          <t>អនុញ្ញាត (បានប្រកាស)</t>
        </is>
      </c>
      <c r="K273" s="221" t="n"/>
      <c r="L273" s="616">
        <f>I273</f>
        <v/>
      </c>
      <c r="M273" s="588">
        <f>I273-L273</f>
        <v/>
      </c>
      <c r="N273" s="221" t="n"/>
      <c r="O273" s="226">
        <f>U273=E273</f>
        <v/>
      </c>
      <c r="P273" s="226">
        <f>MONTH(F273)-MONTH(T273)</f>
        <v/>
      </c>
      <c r="Q273" s="226">
        <f>$B$5=X273</f>
        <v/>
      </c>
      <c r="R273" s="226">
        <f>I273-AD273</f>
        <v/>
      </c>
      <c r="S273" s="360" t="n"/>
      <c r="T273" s="361" t="n">
        <v>45617</v>
      </c>
      <c r="U273" s="360" t="n">
        <v>7676087446</v>
      </c>
      <c r="V273" s="360" t="n">
        <v>0</v>
      </c>
      <c r="W273" s="360" t="inlineStr">
        <is>
          <t>បុគ្គលជាប់អាករ</t>
        </is>
      </c>
      <c r="X273" s="360" t="inlineStr">
        <is>
          <t>L001-901640009</t>
        </is>
      </c>
      <c r="Y273" s="360" t="inlineStr">
        <is>
          <t>ហូលីដេ ឌីហ្សាញ (ខេមបូឌា) ឯ.ក</t>
        </is>
      </c>
      <c r="Z273" s="362" t="n">
        <v>2152139</v>
      </c>
      <c r="AA273" s="362" t="n">
        <v>1956490</v>
      </c>
      <c r="AB273" s="360" t="n">
        <v>0</v>
      </c>
      <c r="AC273" s="360" t="inlineStr">
        <is>
          <t>-</t>
        </is>
      </c>
      <c r="AD273" s="362" t="n">
        <v>195649</v>
      </c>
      <c r="AE273" s="360" t="n">
        <v>0</v>
      </c>
      <c r="AF273" s="615" t="n">
        <v>0</v>
      </c>
      <c r="AG273" s="203" t="n">
        <v>0</v>
      </c>
      <c r="AH273" s="203" t="n">
        <v>0</v>
      </c>
      <c r="AI273" s="203" t="n">
        <v>0</v>
      </c>
      <c r="AJ273" s="203" t="n">
        <v>0</v>
      </c>
      <c r="AK273" s="203" t="n">
        <v>0</v>
      </c>
      <c r="AL273" s="203" t="n">
        <v>0.01</v>
      </c>
      <c r="AM273" s="203" t="n">
        <v>0</v>
      </c>
      <c r="AN273" s="203" t="inlineStr">
        <is>
          <t>CP1 CONTAINER PROTECT ESSENTIAL</t>
        </is>
      </c>
      <c r="AO273" s="203" t="inlineStr">
        <is>
          <t>បានប្រកាសនិងបង់ពន្ធ</t>
        </is>
      </c>
    </row>
    <row r="274">
      <c r="A274" s="220">
        <f>A273+1</f>
        <v/>
      </c>
      <c r="B274" s="222" t="inlineStr">
        <is>
          <t>Lift-On &amp; Lift-On-Im</t>
        </is>
      </c>
      <c r="C274" s="222" t="inlineStr">
        <is>
          <t>Port Autonome Du Sihanoukville</t>
        </is>
      </c>
      <c r="D274" s="223" t="inlineStr">
        <is>
          <t>L001-100044638</t>
        </is>
      </c>
      <c r="E274" s="349" t="n">
        <v>202500068614</v>
      </c>
      <c r="F274" s="332" t="n">
        <v>45747</v>
      </c>
      <c r="G274" s="224" t="n"/>
      <c r="H274" s="617" t="n"/>
      <c r="I274" s="617" t="n">
        <v>452400</v>
      </c>
      <c r="J274" s="221" t="inlineStr">
        <is>
          <t>អនុញ្ញាត (បានប្រកាស)</t>
        </is>
      </c>
      <c r="K274" s="221" t="n"/>
      <c r="L274" s="616">
        <f>I274</f>
        <v/>
      </c>
      <c r="M274" s="588">
        <f>I274-L274</f>
        <v/>
      </c>
      <c r="N274" s="221" t="n"/>
      <c r="O274" s="226">
        <f>U274=E274</f>
        <v/>
      </c>
      <c r="P274" s="226">
        <f>MONTH(F274)-MONTH(T274)</f>
        <v/>
      </c>
      <c r="Q274" s="226">
        <f>$B$5=X274</f>
        <v/>
      </c>
      <c r="R274" s="226">
        <f>I274-AD274</f>
        <v/>
      </c>
      <c r="S274" s="360" t="n"/>
      <c r="T274" s="361" t="n">
        <v>45747</v>
      </c>
      <c r="U274" s="360" t="n">
        <v>202500068614</v>
      </c>
      <c r="V274" s="360" t="n">
        <v>0</v>
      </c>
      <c r="W274" s="360" t="inlineStr">
        <is>
          <t>បុគ្គលជាប់អាករ</t>
        </is>
      </c>
      <c r="X274" s="360" t="inlineStr">
        <is>
          <t>L001-901640009</t>
        </is>
      </c>
      <c r="Y274" s="360" t="inlineStr">
        <is>
          <t>ហូលីដេ ឌីហ្សាញ (ខេមបូឌា) ឯ.ក</t>
        </is>
      </c>
      <c r="Z274" s="362" t="n">
        <v>4976400</v>
      </c>
      <c r="AA274" s="362" t="n">
        <v>4524000</v>
      </c>
      <c r="AB274" s="360" t="n">
        <v>0</v>
      </c>
      <c r="AC274" s="360" t="inlineStr">
        <is>
          <t>-</t>
        </is>
      </c>
      <c r="AD274" s="362" t="n">
        <v>452400</v>
      </c>
      <c r="AE274" s="360" t="n">
        <v>0</v>
      </c>
      <c r="AF274" s="615" t="n">
        <v>0</v>
      </c>
      <c r="AG274" s="203" t="n">
        <v>0</v>
      </c>
      <c r="AH274" s="203" t="n">
        <v>0</v>
      </c>
      <c r="AI274" s="203" t="n">
        <v>0</v>
      </c>
      <c r="AJ274" s="203" t="n">
        <v>0</v>
      </c>
      <c r="AK274" s="203" t="n">
        <v>0</v>
      </c>
      <c r="AL274" s="203" t="n">
        <v>0.01</v>
      </c>
      <c r="AM274" s="203" t="n">
        <v>0</v>
      </c>
      <c r="AN274" s="203" t="inlineStr">
        <is>
          <t>LOLO</t>
        </is>
      </c>
    </row>
    <row r="275">
      <c r="A275" s="220">
        <f>A274+1</f>
        <v/>
      </c>
      <c r="B275" s="222" t="inlineStr">
        <is>
          <t>Terminal Handling Charge</t>
        </is>
      </c>
      <c r="C275" s="222" t="inlineStr">
        <is>
          <t>SITC CONTAINER LINES (CAMBODIA) Co., Ltd.</t>
        </is>
      </c>
      <c r="D275" s="223" t="inlineStr">
        <is>
          <t>L001-107035863</t>
        </is>
      </c>
      <c r="E275" s="349" t="inlineStr">
        <is>
          <t>SITC2025-009950</t>
        </is>
      </c>
      <c r="F275" s="332" t="n">
        <v>45742</v>
      </c>
      <c r="G275" s="224" t="n"/>
      <c r="H275" s="617" t="n"/>
      <c r="I275" s="617" t="n">
        <v>2730046</v>
      </c>
      <c r="J275" s="221" t="inlineStr">
        <is>
          <t>អនុញ្ញាត (បានប្រកាស)</t>
        </is>
      </c>
      <c r="K275" s="221" t="n"/>
      <c r="L275" s="616">
        <f>I275</f>
        <v/>
      </c>
      <c r="M275" s="588">
        <f>I275-L275</f>
        <v/>
      </c>
      <c r="N275" s="221" t="n"/>
      <c r="O275" s="226">
        <f>U275=E275</f>
        <v/>
      </c>
      <c r="P275" s="226">
        <f>MONTH(F275)-MONTH(T275)</f>
        <v/>
      </c>
      <c r="Q275" s="226">
        <f>$B$5=X275</f>
        <v/>
      </c>
      <c r="R275" s="226">
        <f>I275-AD275</f>
        <v/>
      </c>
      <c r="S275" s="360" t="n"/>
      <c r="T275" s="361" t="n">
        <v>45742</v>
      </c>
      <c r="U275" s="360" t="inlineStr">
        <is>
          <t>SITC2025-009950</t>
        </is>
      </c>
      <c r="V275" s="360" t="n">
        <v>0</v>
      </c>
      <c r="W275" s="360" t="inlineStr">
        <is>
          <t>បុគ្គលជាប់អាករ</t>
        </is>
      </c>
      <c r="X275" s="360" t="inlineStr">
        <is>
          <t>L001-901640009</t>
        </is>
      </c>
      <c r="Y275" s="360" t="inlineStr">
        <is>
          <t>ហូលីដេ ឌីហ្សាញ (ខេមបូឌា) ឯ.ក</t>
        </is>
      </c>
      <c r="Z275" s="362" t="n">
        <v>30030506</v>
      </c>
      <c r="AA275" s="362" t="n">
        <v>27300460</v>
      </c>
      <c r="AB275" s="360" t="n">
        <v>0</v>
      </c>
      <c r="AC275" s="360" t="inlineStr">
        <is>
          <t>-</t>
        </is>
      </c>
      <c r="AD275" s="362" t="n">
        <v>2730046</v>
      </c>
      <c r="AE275" s="360" t="n">
        <v>0</v>
      </c>
      <c r="AF275" s="615" t="n">
        <v>0</v>
      </c>
      <c r="AG275" s="203" t="n">
        <v>0</v>
      </c>
      <c r="AH275" s="203" t="n">
        <v>0</v>
      </c>
      <c r="AI275" s="203" t="n">
        <v>0</v>
      </c>
      <c r="AJ275" s="203" t="n">
        <v>0</v>
      </c>
      <c r="AK275" s="203" t="n">
        <v>0</v>
      </c>
      <c r="AL275" s="203" t="n">
        <v>0.01</v>
      </c>
      <c r="AM275" s="203" t="n">
        <v>0</v>
      </c>
      <c r="AN275" s="203" t="inlineStr">
        <is>
          <t>KHCIC,EIB,EMF,KHDOC,KHTHC</t>
        </is>
      </c>
    </row>
    <row r="276">
      <c r="A276" s="220">
        <f>A275+1</f>
        <v/>
      </c>
      <c r="B276" s="222" t="inlineStr">
        <is>
          <t>Documentation Fee-Im</t>
        </is>
      </c>
      <c r="C276" s="222" t="inlineStr">
        <is>
          <t>MAERSK (CAMBODIA) LTD.</t>
        </is>
      </c>
      <c r="D276" s="223" t="inlineStr">
        <is>
          <t>L001-100045200</t>
        </is>
      </c>
      <c r="E276" s="349" t="n">
        <v>7676087456</v>
      </c>
      <c r="F276" s="332" t="n">
        <v>45617</v>
      </c>
      <c r="G276" s="224" t="n"/>
      <c r="H276" s="617" t="n"/>
      <c r="I276" s="617" t="n">
        <v>1393747</v>
      </c>
      <c r="J276" s="221" t="inlineStr">
        <is>
          <t>អនុញ្ញាត (បានប្រកាស)</t>
        </is>
      </c>
      <c r="K276" s="221" t="n"/>
      <c r="L276" s="616">
        <f>I276</f>
        <v/>
      </c>
      <c r="M276" s="588">
        <f>I276-L276</f>
        <v/>
      </c>
      <c r="N276" s="221" t="n"/>
      <c r="O276" s="226">
        <f>U276=E276</f>
        <v/>
      </c>
      <c r="P276" s="226">
        <f>MONTH(F276)-MONTH(T276)</f>
        <v/>
      </c>
      <c r="Q276" s="226">
        <f>$B$5=X276</f>
        <v/>
      </c>
      <c r="R276" s="226">
        <f>I276-AD276</f>
        <v/>
      </c>
      <c r="S276" s="360" t="n"/>
      <c r="T276" s="361" t="n">
        <v>45617</v>
      </c>
      <c r="U276" s="360" t="n">
        <v>7676087456</v>
      </c>
      <c r="V276" s="360" t="n">
        <v>0</v>
      </c>
      <c r="W276" s="360" t="inlineStr">
        <is>
          <t>បុគ្គលជាប់អាករ</t>
        </is>
      </c>
      <c r="X276" s="360" t="inlineStr">
        <is>
          <t>L001-901640009</t>
        </is>
      </c>
      <c r="Y276" s="360" t="inlineStr">
        <is>
          <t>ហូលីដេ ឌីហ្សាញ (ខេមបូឌា) ឯ.ក</t>
        </is>
      </c>
      <c r="Z276" s="362" t="n">
        <v>15331217</v>
      </c>
      <c r="AA276" s="362" t="n">
        <v>13937470</v>
      </c>
      <c r="AB276" s="360" t="n">
        <v>0</v>
      </c>
      <c r="AC276" s="360" t="inlineStr">
        <is>
          <t>-</t>
        </is>
      </c>
      <c r="AD276" s="362" t="n">
        <v>1393747</v>
      </c>
      <c r="AE276" s="360" t="n">
        <v>0</v>
      </c>
      <c r="AF276" s="615" t="n">
        <v>0</v>
      </c>
      <c r="AG276" s="203" t="n">
        <v>0</v>
      </c>
      <c r="AH276" s="203" t="n">
        <v>0</v>
      </c>
      <c r="AI276" s="203" t="n">
        <v>0</v>
      </c>
      <c r="AJ276" s="203" t="n">
        <v>0</v>
      </c>
      <c r="AK276" s="203" t="n">
        <v>0</v>
      </c>
      <c r="AL276" s="203" t="n">
        <v>0.01</v>
      </c>
      <c r="AM276" s="203" t="n">
        <v>0</v>
      </c>
      <c r="AN276" s="203" t="inlineStr">
        <is>
          <t>CP1 CONTAINER PROTECT ESSENTIAL</t>
        </is>
      </c>
      <c r="AO276" s="203" t="inlineStr">
        <is>
          <t>បានប្រកាសនិងបង់ពន្ធ</t>
        </is>
      </c>
    </row>
    <row r="277">
      <c r="A277" s="220">
        <f>A276+1</f>
        <v/>
      </c>
      <c r="B277" s="222" t="inlineStr">
        <is>
          <t>Terminal Handling Service-Im</t>
        </is>
      </c>
      <c r="C277" s="222" t="inlineStr">
        <is>
          <t>MAERSK (CAMBODIA) LTD.</t>
        </is>
      </c>
      <c r="D277" s="223" t="inlineStr">
        <is>
          <t>L001-100045200</t>
        </is>
      </c>
      <c r="E277" s="349" t="n">
        <v>7676087497</v>
      </c>
      <c r="F277" s="332" t="n">
        <v>45617</v>
      </c>
      <c r="G277" s="224" t="n"/>
      <c r="H277" s="617" t="n"/>
      <c r="I277" s="617" t="n">
        <v>195649</v>
      </c>
      <c r="J277" s="221" t="inlineStr">
        <is>
          <t>អនុញ្ញាត (បានប្រកាស)</t>
        </is>
      </c>
      <c r="K277" s="221" t="n"/>
      <c r="L277" s="616">
        <f>I277</f>
        <v/>
      </c>
      <c r="M277" s="588">
        <f>I277-L277</f>
        <v/>
      </c>
      <c r="N277" s="221" t="n"/>
      <c r="O277" s="226">
        <f>U277=E277</f>
        <v/>
      </c>
      <c r="P277" s="226">
        <f>MONTH(F277)-MONTH(T277)</f>
        <v/>
      </c>
      <c r="Q277" s="226">
        <f>$B$5=X277</f>
        <v/>
      </c>
      <c r="R277" s="226">
        <f>I277-AD277</f>
        <v/>
      </c>
      <c r="S277" s="360" t="n"/>
      <c r="T277" s="361" t="n">
        <v>45617</v>
      </c>
      <c r="U277" s="360" t="n">
        <v>7676087497</v>
      </c>
      <c r="V277" s="360" t="n">
        <v>0</v>
      </c>
      <c r="W277" s="360" t="inlineStr">
        <is>
          <t>បុគ្គលជាប់អាករ</t>
        </is>
      </c>
      <c r="X277" s="360" t="inlineStr">
        <is>
          <t>L001-901640009</t>
        </is>
      </c>
      <c r="Y277" s="360" t="inlineStr">
        <is>
          <t>ហូលីដេ ឌីហ្សាញ (ខេមបូឌា) ឯ.ក</t>
        </is>
      </c>
      <c r="Z277" s="362" t="n">
        <v>2152139</v>
      </c>
      <c r="AA277" s="362" t="n">
        <v>1956490</v>
      </c>
      <c r="AB277" s="360" t="n">
        <v>0</v>
      </c>
      <c r="AC277" s="360" t="inlineStr">
        <is>
          <t>-</t>
        </is>
      </c>
      <c r="AD277" s="362" t="n">
        <v>195649</v>
      </c>
      <c r="AE277" s="360" t="n">
        <v>0</v>
      </c>
      <c r="AF277" s="615" t="n">
        <v>0</v>
      </c>
      <c r="AG277" s="203" t="n">
        <v>0</v>
      </c>
      <c r="AH277" s="203" t="n">
        <v>0</v>
      </c>
      <c r="AI277" s="203" t="n">
        <v>0</v>
      </c>
      <c r="AJ277" s="203" t="n">
        <v>0</v>
      </c>
      <c r="AK277" s="203" t="n">
        <v>0</v>
      </c>
      <c r="AL277" s="203" t="n">
        <v>0.01</v>
      </c>
      <c r="AM277" s="203" t="n">
        <v>0</v>
      </c>
      <c r="AN277" s="203" t="inlineStr">
        <is>
          <t>CP1 CONTAINER PROTECT ESSENTIAL</t>
        </is>
      </c>
      <c r="AO277" s="203" t="inlineStr">
        <is>
          <t>បានប្រកាសនិងបង់ពន្ធ</t>
        </is>
      </c>
    </row>
    <row r="278">
      <c r="A278" s="220">
        <f>A277+1</f>
        <v/>
      </c>
      <c r="B278" s="222" t="inlineStr">
        <is>
          <t>Lift-On &amp; Lift-On-Im</t>
        </is>
      </c>
      <c r="C278" s="222" t="inlineStr">
        <is>
          <t>Port Autonome Du Sihanoukville</t>
        </is>
      </c>
      <c r="D278" s="223" t="inlineStr">
        <is>
          <t>L001-100044638</t>
        </is>
      </c>
      <c r="E278" s="349" t="n">
        <v>202500065599</v>
      </c>
      <c r="F278" s="332" t="n">
        <v>45743</v>
      </c>
      <c r="G278" s="224" t="n"/>
      <c r="H278" s="617" t="n"/>
      <c r="I278" s="617" t="n">
        <v>136868</v>
      </c>
      <c r="J278" s="221" t="inlineStr">
        <is>
          <t>អនុញ្ញាត (បានប្រកាស)</t>
        </is>
      </c>
      <c r="K278" s="221" t="n"/>
      <c r="L278" s="616">
        <f>I278</f>
        <v/>
      </c>
      <c r="M278" s="588">
        <f>I278-L278</f>
        <v/>
      </c>
      <c r="N278" s="221" t="n"/>
      <c r="O278" s="226">
        <f>U278=E278</f>
        <v/>
      </c>
      <c r="P278" s="226">
        <f>MONTH(F278)-MONTH(T278)</f>
        <v/>
      </c>
      <c r="Q278" s="226">
        <f>$B$5=X278</f>
        <v/>
      </c>
      <c r="R278" s="226">
        <f>I278-AD278</f>
        <v/>
      </c>
      <c r="S278" s="360" t="n"/>
      <c r="T278" s="361" t="n">
        <v>45743</v>
      </c>
      <c r="U278" s="360" t="n">
        <v>202500065599</v>
      </c>
      <c r="V278" s="360" t="n">
        <v>0</v>
      </c>
      <c r="W278" s="360" t="inlineStr">
        <is>
          <t>បុគ្គលជាប់អាករ</t>
        </is>
      </c>
      <c r="X278" s="360" t="inlineStr">
        <is>
          <t>L001-901640009</t>
        </is>
      </c>
      <c r="Y278" s="360" t="inlineStr">
        <is>
          <t>ហូលីដេ ឌីហ្សាញ (ខេមបូឌា) ឯ.ក</t>
        </is>
      </c>
      <c r="Z278" s="362" t="n">
        <v>1505552</v>
      </c>
      <c r="AA278" s="362" t="n">
        <v>1368684</v>
      </c>
      <c r="AB278" s="360" t="n">
        <v>0</v>
      </c>
      <c r="AC278" s="360" t="inlineStr">
        <is>
          <t>-</t>
        </is>
      </c>
      <c r="AD278" s="362" t="n">
        <v>136868</v>
      </c>
      <c r="AE278" s="360" t="n">
        <v>0</v>
      </c>
      <c r="AF278" s="615" t="n">
        <v>0</v>
      </c>
      <c r="AG278" s="203" t="n">
        <v>0</v>
      </c>
      <c r="AH278" s="203" t="n">
        <v>0</v>
      </c>
      <c r="AI278" s="203" t="n">
        <v>0</v>
      </c>
      <c r="AJ278" s="203" t="n">
        <v>0</v>
      </c>
      <c r="AK278" s="203" t="n">
        <v>0</v>
      </c>
      <c r="AL278" s="203" t="n">
        <v>0.01</v>
      </c>
      <c r="AM278" s="203" t="n">
        <v>0</v>
      </c>
      <c r="AN278" s="203" t="inlineStr">
        <is>
          <t>LOLO</t>
        </is>
      </c>
    </row>
    <row r="279">
      <c r="A279" s="220">
        <f>A278+1</f>
        <v/>
      </c>
      <c r="B279" s="222" t="inlineStr">
        <is>
          <t>Terminal Handling Charge</t>
        </is>
      </c>
      <c r="C279" s="222" t="inlineStr">
        <is>
          <t>SITC CONTAINER LINES (CAMBODIA) Co., Ltd.</t>
        </is>
      </c>
      <c r="D279" s="223" t="inlineStr">
        <is>
          <t>L001-107035863</t>
        </is>
      </c>
      <c r="E279" s="349" t="inlineStr">
        <is>
          <t>SITC2025-009596</t>
        </is>
      </c>
      <c r="F279" s="332" t="n">
        <v>45740</v>
      </c>
      <c r="G279" s="224" t="n"/>
      <c r="H279" s="617" t="n"/>
      <c r="I279" s="617" t="n">
        <v>745116</v>
      </c>
      <c r="J279" s="221" t="inlineStr">
        <is>
          <t>អនុញ្ញាត (បានប្រកាស)</t>
        </is>
      </c>
      <c r="K279" s="221" t="n"/>
      <c r="L279" s="616">
        <f>I279</f>
        <v/>
      </c>
      <c r="M279" s="588">
        <f>I279-L279</f>
        <v/>
      </c>
      <c r="N279" s="221" t="n"/>
      <c r="O279" s="226">
        <f>U279=E279</f>
        <v/>
      </c>
      <c r="P279" s="226">
        <f>MONTH(F279)-MONTH(T279)</f>
        <v/>
      </c>
      <c r="Q279" s="226">
        <f>$B$5=X279</f>
        <v/>
      </c>
      <c r="R279" s="226">
        <f>I279-AD279</f>
        <v/>
      </c>
      <c r="S279" s="360" t="n"/>
      <c r="T279" s="361" t="n">
        <v>45740</v>
      </c>
      <c r="U279" s="360" t="inlineStr">
        <is>
          <t>SITC2025-009596</t>
        </is>
      </c>
      <c r="V279" s="360" t="n">
        <v>0</v>
      </c>
      <c r="W279" s="360" t="inlineStr">
        <is>
          <t>បុគ្គលជាប់អាករ</t>
        </is>
      </c>
      <c r="X279" s="360" t="inlineStr">
        <is>
          <t>L001-901640009</t>
        </is>
      </c>
      <c r="Y279" s="360" t="inlineStr">
        <is>
          <t>ហូលីដេ ឌីហ្សាញ (ខេមបូឌា) ឯ.ក</t>
        </is>
      </c>
      <c r="Z279" s="362" t="n">
        <v>8196276</v>
      </c>
      <c r="AA279" s="362" t="n">
        <v>7451160</v>
      </c>
      <c r="AB279" s="360" t="n">
        <v>0</v>
      </c>
      <c r="AC279" s="360" t="inlineStr">
        <is>
          <t>-</t>
        </is>
      </c>
      <c r="AD279" s="362" t="n">
        <v>745116</v>
      </c>
      <c r="AE279" s="360" t="n">
        <v>0</v>
      </c>
      <c r="AF279" s="615" t="n">
        <v>0</v>
      </c>
      <c r="AG279" s="203" t="n">
        <v>0</v>
      </c>
      <c r="AH279" s="203" t="n">
        <v>0</v>
      </c>
      <c r="AI279" s="203" t="n">
        <v>0</v>
      </c>
      <c r="AJ279" s="203" t="n">
        <v>0</v>
      </c>
      <c r="AK279" s="203" t="n">
        <v>0</v>
      </c>
      <c r="AL279" s="203" t="n">
        <v>0.01</v>
      </c>
      <c r="AM279" s="203" t="n">
        <v>0</v>
      </c>
      <c r="AN279" s="203" t="inlineStr">
        <is>
          <t>KHTHC,EIB,KHDOC,KHCIC,EMF</t>
        </is>
      </c>
    </row>
    <row r="280">
      <c r="A280" s="220">
        <f>A279+1</f>
        <v/>
      </c>
      <c r="B280" s="222" t="inlineStr">
        <is>
          <t>Trucking &amp; Clearance-Im</t>
        </is>
      </c>
      <c r="C280" s="222" t="inlineStr">
        <is>
          <t>BRILLIANT TRANSPORT AND TRADING Co., Ltd.</t>
        </is>
      </c>
      <c r="D280" s="223" t="inlineStr">
        <is>
          <t>K002-100089305</t>
        </is>
      </c>
      <c r="E280" s="349" t="inlineStr">
        <is>
          <t>BTT25-0000683</t>
        </is>
      </c>
      <c r="F280" s="332" t="n">
        <v>45743</v>
      </c>
      <c r="G280" s="224" t="n"/>
      <c r="H280" s="617" t="n"/>
      <c r="I280" s="617" t="n">
        <v>1488744</v>
      </c>
      <c r="J280" s="221" t="inlineStr">
        <is>
          <t>អនុញ្ញាត (បានប្រកាស)</t>
        </is>
      </c>
      <c r="K280" s="221" t="n"/>
      <c r="L280" s="616">
        <f>I280</f>
        <v/>
      </c>
      <c r="M280" s="588">
        <f>I280-L280</f>
        <v/>
      </c>
      <c r="N280" s="221" t="n"/>
      <c r="O280" s="226">
        <f>U280=E280</f>
        <v/>
      </c>
      <c r="P280" s="226">
        <f>MONTH(F280)-MONTH(T280)</f>
        <v/>
      </c>
      <c r="Q280" s="226">
        <f>$B$5=X280</f>
        <v/>
      </c>
      <c r="R280" s="226">
        <f>I280-AD280</f>
        <v/>
      </c>
      <c r="S280" s="360" t="n"/>
      <c r="T280" s="361" t="n">
        <v>45743</v>
      </c>
      <c r="U280" s="360" t="inlineStr">
        <is>
          <t>BTT25-0000683</t>
        </is>
      </c>
      <c r="V280" s="360" t="n">
        <v>0</v>
      </c>
      <c r="W280" s="360" t="inlineStr">
        <is>
          <t>បុគ្គលជាប់អាករ</t>
        </is>
      </c>
      <c r="X280" s="360" t="inlineStr">
        <is>
          <t>L001-901640009</t>
        </is>
      </c>
      <c r="Y280" s="360" t="inlineStr">
        <is>
          <t>ហូលីដេ ឌីហ្សាញ (ខេមបូឌា) ឯ.ក</t>
        </is>
      </c>
      <c r="Z280" s="362" t="n">
        <v>16376184</v>
      </c>
      <c r="AA280" s="362" t="n">
        <v>14887440</v>
      </c>
      <c r="AB280" s="360" t="n">
        <v>0</v>
      </c>
      <c r="AC280" s="360" t="inlineStr">
        <is>
          <t>-</t>
        </is>
      </c>
      <c r="AD280" s="362" t="n">
        <v>1488744</v>
      </c>
      <c r="AE280" s="360" t="n">
        <v>0</v>
      </c>
      <c r="AF280" s="615" t="n">
        <v>0</v>
      </c>
      <c r="AG280" s="203" t="n">
        <v>0</v>
      </c>
      <c r="AH280" s="203" t="n">
        <v>0</v>
      </c>
      <c r="AI280" s="203" t="n">
        <v>0</v>
      </c>
      <c r="AJ280" s="203" t="n">
        <v>0</v>
      </c>
      <c r="AK280" s="203" t="n">
        <v>0</v>
      </c>
      <c r="AL280" s="203" t="n">
        <v>0.01</v>
      </c>
      <c r="AM280" s="203" t="n">
        <v>0</v>
      </c>
      <c r="AN280" s="203" t="inlineStr">
        <is>
          <t>Truking / Service</t>
        </is>
      </c>
    </row>
    <row r="281">
      <c r="A281" s="220">
        <f>A280+1</f>
        <v/>
      </c>
      <c r="B281" s="222" t="inlineStr">
        <is>
          <t>Cleaning &amp; Gate Charge-Im</t>
        </is>
      </c>
      <c r="C281" s="222" t="inlineStr">
        <is>
          <t>BRILLIANT TRANSPORT AND TRADING Co., Ltd.</t>
        </is>
      </c>
      <c r="D281" s="223" t="inlineStr">
        <is>
          <t>K002-100089305</t>
        </is>
      </c>
      <c r="E281" s="349" t="inlineStr">
        <is>
          <t>BTT25-0000641</t>
        </is>
      </c>
      <c r="F281" s="332" t="n">
        <v>45719</v>
      </c>
      <c r="G281" s="224" t="n"/>
      <c r="H281" s="617" t="n"/>
      <c r="I281" s="617" t="n">
        <v>81824</v>
      </c>
      <c r="J281" s="221" t="inlineStr">
        <is>
          <t>អនុញ្ញាត (បានប្រកាស)</t>
        </is>
      </c>
      <c r="K281" s="221" t="n"/>
      <c r="L281" s="616">
        <f>I281</f>
        <v/>
      </c>
      <c r="M281" s="588">
        <f>I281-L281</f>
        <v/>
      </c>
      <c r="N281" s="221" t="n"/>
      <c r="O281" s="226">
        <f>U281=E281</f>
        <v/>
      </c>
      <c r="P281" s="226">
        <f>MONTH(F281)-MONTH(T281)</f>
        <v/>
      </c>
      <c r="Q281" s="226">
        <f>$B$5=X281</f>
        <v/>
      </c>
      <c r="R281" s="226">
        <f>I281-AD281</f>
        <v/>
      </c>
      <c r="S281" s="360" t="n"/>
      <c r="T281" s="361" t="n">
        <v>45719</v>
      </c>
      <c r="U281" s="360" t="inlineStr">
        <is>
          <t>BTT25-0000641</t>
        </is>
      </c>
      <c r="V281" s="360" t="n">
        <v>0</v>
      </c>
      <c r="W281" s="360" t="inlineStr">
        <is>
          <t>បុគ្គលជាប់អាករ</t>
        </is>
      </c>
      <c r="X281" s="360" t="inlineStr">
        <is>
          <t>L001-901640009</t>
        </is>
      </c>
      <c r="Y281" s="360" t="inlineStr">
        <is>
          <t>ហូលីដេ ឌីហ្សាញ (ខេមបូឌា) ឯ.ក</t>
        </is>
      </c>
      <c r="Z281" s="362" t="n">
        <v>900068</v>
      </c>
      <c r="AA281" s="362" t="n">
        <v>818244</v>
      </c>
      <c r="AB281" s="360" t="n">
        <v>0</v>
      </c>
      <c r="AC281" s="360" t="inlineStr">
        <is>
          <t>-</t>
        </is>
      </c>
      <c r="AD281" s="362" t="n">
        <v>81824</v>
      </c>
      <c r="AE281" s="360" t="n">
        <v>0</v>
      </c>
      <c r="AF281" s="615" t="n">
        <v>0</v>
      </c>
      <c r="AG281" s="203" t="n">
        <v>0</v>
      </c>
      <c r="AH281" s="203" t="n">
        <v>0</v>
      </c>
      <c r="AI281" s="203" t="n">
        <v>0</v>
      </c>
      <c r="AJ281" s="203" t="n">
        <v>0</v>
      </c>
      <c r="AK281" s="203" t="n">
        <v>0</v>
      </c>
      <c r="AL281" s="203" t="n">
        <v>0.01</v>
      </c>
      <c r="AM281" s="203" t="n">
        <v>0</v>
      </c>
      <c r="AN281" s="203" t="inlineStr">
        <is>
          <t>Truking / Service</t>
        </is>
      </c>
    </row>
    <row r="282">
      <c r="A282" s="220">
        <f>A281+1</f>
        <v/>
      </c>
      <c r="B282" s="222" t="inlineStr">
        <is>
          <t>Terminal Handling Service-Im</t>
        </is>
      </c>
      <c r="C282" s="222" t="inlineStr">
        <is>
          <t>MAERSK (CAMBODIA) LTD.</t>
        </is>
      </c>
      <c r="D282" s="223" t="inlineStr">
        <is>
          <t>L001-100045200</t>
        </is>
      </c>
      <c r="E282" s="349" t="n">
        <v>7676087500</v>
      </c>
      <c r="F282" s="332" t="n">
        <v>45617</v>
      </c>
      <c r="G282" s="224" t="n"/>
      <c r="H282" s="617" t="n"/>
      <c r="I282" s="617" t="n">
        <v>195649</v>
      </c>
      <c r="J282" s="221" t="inlineStr">
        <is>
          <t>អនុញ្ញាត (បានប្រកាស)</t>
        </is>
      </c>
      <c r="K282" s="221" t="n"/>
      <c r="L282" s="616">
        <f>I282</f>
        <v/>
      </c>
      <c r="M282" s="588">
        <f>I282-L282</f>
        <v/>
      </c>
      <c r="N282" s="221" t="n"/>
      <c r="O282" s="226">
        <f>U282=E282</f>
        <v/>
      </c>
      <c r="P282" s="226">
        <f>MONTH(F282)-MONTH(T282)</f>
        <v/>
      </c>
      <c r="Q282" s="226">
        <f>$B$5=X282</f>
        <v/>
      </c>
      <c r="R282" s="226">
        <f>I282-AD282</f>
        <v/>
      </c>
      <c r="S282" s="360" t="n"/>
      <c r="T282" s="361" t="n">
        <v>45617</v>
      </c>
      <c r="U282" s="360" t="n">
        <v>7676087500</v>
      </c>
      <c r="V282" s="360" t="n">
        <v>0</v>
      </c>
      <c r="W282" s="360" t="inlineStr">
        <is>
          <t>បុគ្គលជាប់អាករ</t>
        </is>
      </c>
      <c r="X282" s="360" t="inlineStr">
        <is>
          <t>L001-901640009</t>
        </is>
      </c>
      <c r="Y282" s="360" t="inlineStr">
        <is>
          <t>ហូលីដេ ឌីហ្សាញ (ខេមបូឌា) ឯ.ក</t>
        </is>
      </c>
      <c r="Z282" s="362" t="n">
        <v>2152139</v>
      </c>
      <c r="AA282" s="362" t="n">
        <v>1956490</v>
      </c>
      <c r="AB282" s="360" t="n">
        <v>0</v>
      </c>
      <c r="AC282" s="360" t="inlineStr">
        <is>
          <t>-</t>
        </is>
      </c>
      <c r="AD282" s="362" t="n">
        <v>195649</v>
      </c>
      <c r="AE282" s="360" t="n">
        <v>0</v>
      </c>
      <c r="AF282" s="615" t="n">
        <v>0</v>
      </c>
      <c r="AG282" s="203" t="n">
        <v>0</v>
      </c>
      <c r="AH282" s="203" t="n">
        <v>0</v>
      </c>
      <c r="AI282" s="203" t="n">
        <v>0</v>
      </c>
      <c r="AJ282" s="203" t="n">
        <v>0</v>
      </c>
      <c r="AK282" s="203" t="n">
        <v>0</v>
      </c>
      <c r="AL282" s="203" t="n">
        <v>0.01</v>
      </c>
      <c r="AM282" s="203" t="n">
        <v>0</v>
      </c>
      <c r="AN282" s="203" t="inlineStr">
        <is>
          <t>CP1 CONTAINER PROTECT ESSENTIAL</t>
        </is>
      </c>
      <c r="AO282" s="203" t="inlineStr">
        <is>
          <t>បានប្រកាសនិងបង់ពន្ធ</t>
        </is>
      </c>
    </row>
    <row r="283">
      <c r="A283" s="220">
        <f>A282+1</f>
        <v/>
      </c>
      <c r="B283" s="222" t="inlineStr">
        <is>
          <t>Trucking &amp; Clearance-Im</t>
        </is>
      </c>
      <c r="C283" s="222" t="inlineStr">
        <is>
          <t>BRILLIANT TRANSPORT AND TRADING Co., Ltd.</t>
        </is>
      </c>
      <c r="D283" s="223" t="inlineStr">
        <is>
          <t>K002-100089305</t>
        </is>
      </c>
      <c r="E283" s="349" t="inlineStr">
        <is>
          <t>BTT25-0000515</t>
        </is>
      </c>
      <c r="F283" s="332" t="n">
        <v>45721</v>
      </c>
      <c r="G283" s="224" t="n"/>
      <c r="H283" s="617" t="n"/>
      <c r="I283" s="617" t="n">
        <v>1086981</v>
      </c>
      <c r="J283" s="221" t="inlineStr">
        <is>
          <t>អនុញ្ញាត (បានប្រកាស)</t>
        </is>
      </c>
      <c r="K283" s="221" t="n"/>
      <c r="L283" s="616">
        <f>I283</f>
        <v/>
      </c>
      <c r="M283" s="588">
        <f>I283-L283</f>
        <v/>
      </c>
      <c r="N283" s="221" t="n"/>
      <c r="O283" s="226">
        <f>U283=E283</f>
        <v/>
      </c>
      <c r="P283" s="226">
        <f>MONTH(F283)-MONTH(T283)</f>
        <v/>
      </c>
      <c r="Q283" s="226">
        <f>$B$5=X283</f>
        <v/>
      </c>
      <c r="R283" s="226">
        <f>I283-AD283</f>
        <v/>
      </c>
      <c r="S283" s="360" t="n"/>
      <c r="T283" s="361" t="n">
        <v>45721</v>
      </c>
      <c r="U283" s="360" t="inlineStr">
        <is>
          <t>BTT25-0000515</t>
        </is>
      </c>
      <c r="V283" s="360" t="n">
        <v>0</v>
      </c>
      <c r="W283" s="360" t="inlineStr">
        <is>
          <t>បុគ្គលជាប់អាករ</t>
        </is>
      </c>
      <c r="X283" s="360" t="inlineStr">
        <is>
          <t>L001-901640009</t>
        </is>
      </c>
      <c r="Y283" s="360" t="inlineStr">
        <is>
          <t>ហូលីដេ ឌីហ្សាញ (ខេមបូឌា) ឯ.ក</t>
        </is>
      </c>
      <c r="Z283" s="362" t="n">
        <v>11956791</v>
      </c>
      <c r="AA283" s="362" t="n">
        <v>10869810</v>
      </c>
      <c r="AB283" s="360" t="n">
        <v>0</v>
      </c>
      <c r="AC283" s="360" t="inlineStr">
        <is>
          <t>-</t>
        </is>
      </c>
      <c r="AD283" s="362" t="n">
        <v>1086981</v>
      </c>
      <c r="AE283" s="360" t="n">
        <v>0</v>
      </c>
      <c r="AF283" s="615" t="n">
        <v>0</v>
      </c>
      <c r="AG283" s="203" t="n">
        <v>0</v>
      </c>
      <c r="AH283" s="203" t="n">
        <v>0</v>
      </c>
      <c r="AI283" s="203" t="n">
        <v>0</v>
      </c>
      <c r="AJ283" s="203" t="n">
        <v>0</v>
      </c>
      <c r="AK283" s="203" t="n">
        <v>0</v>
      </c>
      <c r="AL283" s="203" t="n">
        <v>0.01</v>
      </c>
      <c r="AM283" s="203" t="n">
        <v>0</v>
      </c>
      <c r="AN283" s="203" t="inlineStr">
        <is>
          <t>Truking / Service</t>
        </is>
      </c>
    </row>
    <row r="284">
      <c r="A284" s="220">
        <f>A283+1</f>
        <v/>
      </c>
      <c r="B284" s="222" t="inlineStr">
        <is>
          <t>Lift-On &amp; Lift-On-Im</t>
        </is>
      </c>
      <c r="C284" s="222" t="inlineStr">
        <is>
          <t>Port Autonome Du Sihanoukville</t>
        </is>
      </c>
      <c r="D284" s="223" t="inlineStr">
        <is>
          <t>L001-100044638</t>
        </is>
      </c>
      <c r="E284" s="349" t="n">
        <v>202500045440</v>
      </c>
      <c r="F284" s="332" t="n">
        <v>45719</v>
      </c>
      <c r="G284" s="224" t="n"/>
      <c r="H284" s="617" t="n"/>
      <c r="I284" s="617" t="n">
        <v>174479</v>
      </c>
      <c r="J284" s="221" t="inlineStr">
        <is>
          <t>អនុញ្ញាត (បានប្រកាស)</t>
        </is>
      </c>
      <c r="K284" s="221" t="n"/>
      <c r="L284" s="616">
        <f>I284</f>
        <v/>
      </c>
      <c r="M284" s="588">
        <f>I284-L284</f>
        <v/>
      </c>
      <c r="N284" s="221" t="n"/>
      <c r="O284" s="226">
        <f>U284=E284</f>
        <v/>
      </c>
      <c r="P284" s="226">
        <f>MONTH(F284)-MONTH(T284)</f>
        <v/>
      </c>
      <c r="Q284" s="226">
        <f>$B$5=X284</f>
        <v/>
      </c>
      <c r="R284" s="226">
        <f>I284-AD284</f>
        <v/>
      </c>
      <c r="S284" s="360" t="n"/>
      <c r="T284" s="361" t="n">
        <v>45719</v>
      </c>
      <c r="U284" s="360" t="n">
        <v>202500045440</v>
      </c>
      <c r="V284" s="360" t="n">
        <v>0</v>
      </c>
      <c r="W284" s="360" t="inlineStr">
        <is>
          <t>បុគ្គលជាប់អាករ</t>
        </is>
      </c>
      <c r="X284" s="360" t="inlineStr">
        <is>
          <t>L001-901640009</t>
        </is>
      </c>
      <c r="Y284" s="360" t="inlineStr">
        <is>
          <t>ហូលីដេ ឌីហ្សាញ (ខេមបូឌា) ឯ.ក</t>
        </is>
      </c>
      <c r="Z284" s="362" t="n">
        <v>1919264</v>
      </c>
      <c r="AA284" s="362" t="n">
        <v>1744785</v>
      </c>
      <c r="AB284" s="360" t="n">
        <v>0</v>
      </c>
      <c r="AC284" s="360" t="inlineStr">
        <is>
          <t>-</t>
        </is>
      </c>
      <c r="AD284" s="362" t="n">
        <v>174479</v>
      </c>
      <c r="AE284" s="360" t="n">
        <v>0</v>
      </c>
      <c r="AF284" s="615" t="n">
        <v>0</v>
      </c>
      <c r="AG284" s="203" t="n">
        <v>0</v>
      </c>
      <c r="AH284" s="203" t="n">
        <v>0</v>
      </c>
      <c r="AI284" s="203" t="n">
        <v>0</v>
      </c>
      <c r="AJ284" s="203" t="n">
        <v>0</v>
      </c>
      <c r="AK284" s="203" t="n">
        <v>0</v>
      </c>
      <c r="AL284" s="203" t="n">
        <v>0.01</v>
      </c>
      <c r="AM284" s="203" t="n">
        <v>0</v>
      </c>
      <c r="AN284" s="203" t="inlineStr">
        <is>
          <t>LOLO</t>
        </is>
      </c>
    </row>
    <row r="285">
      <c r="A285" s="220">
        <f>A284+1</f>
        <v/>
      </c>
      <c r="B285" s="222" t="inlineStr">
        <is>
          <t>Trucking &amp; Clearance-Im</t>
        </is>
      </c>
      <c r="C285" s="222" t="inlineStr">
        <is>
          <t>BRILLIANT TRANSPORT AND TRADING Co., Ltd.</t>
        </is>
      </c>
      <c r="D285" s="223" t="inlineStr">
        <is>
          <t>K002-100089305</t>
        </is>
      </c>
      <c r="E285" s="349" t="inlineStr">
        <is>
          <t>BTT25-0000514</t>
        </is>
      </c>
      <c r="F285" s="332" t="n">
        <v>45719</v>
      </c>
      <c r="G285" s="224" t="n"/>
      <c r="H285" s="617" t="n"/>
      <c r="I285" s="617" t="n">
        <v>1086981</v>
      </c>
      <c r="J285" s="221" t="inlineStr">
        <is>
          <t>អនុញ្ញាត (បានប្រកាស)</t>
        </is>
      </c>
      <c r="K285" s="221" t="n"/>
      <c r="L285" s="616">
        <f>I285</f>
        <v/>
      </c>
      <c r="M285" s="588">
        <f>I285-L285</f>
        <v/>
      </c>
      <c r="N285" s="221" t="n"/>
      <c r="O285" s="226">
        <f>U285=E285</f>
        <v/>
      </c>
      <c r="P285" s="226">
        <f>MONTH(F285)-MONTH(T285)</f>
        <v/>
      </c>
      <c r="Q285" s="226">
        <f>$B$5=X285</f>
        <v/>
      </c>
      <c r="R285" s="226">
        <f>I285-AD285</f>
        <v/>
      </c>
      <c r="S285" s="360" t="n"/>
      <c r="T285" s="361" t="n">
        <v>45719</v>
      </c>
      <c r="U285" s="360" t="inlineStr">
        <is>
          <t>BTT25-0000514</t>
        </is>
      </c>
      <c r="V285" s="360" t="n">
        <v>0</v>
      </c>
      <c r="W285" s="360" t="inlineStr">
        <is>
          <t>បុគ្គលជាប់អាករ</t>
        </is>
      </c>
      <c r="X285" s="360" t="inlineStr">
        <is>
          <t>L001-901640009</t>
        </is>
      </c>
      <c r="Y285" s="360" t="inlineStr">
        <is>
          <t>ហូលីដេ ឌីហ្សាញ (ខេមបូឌា) ឯ.ក</t>
        </is>
      </c>
      <c r="Z285" s="362" t="n">
        <v>11956791</v>
      </c>
      <c r="AA285" s="362" t="n">
        <v>10869810</v>
      </c>
      <c r="AB285" s="360" t="n">
        <v>0</v>
      </c>
      <c r="AC285" s="360" t="inlineStr">
        <is>
          <t>-</t>
        </is>
      </c>
      <c r="AD285" s="362" t="n">
        <v>1086981</v>
      </c>
      <c r="AE285" s="360" t="n">
        <v>0</v>
      </c>
      <c r="AF285" s="615" t="n">
        <v>0</v>
      </c>
      <c r="AG285" s="203" t="n">
        <v>0</v>
      </c>
      <c r="AH285" s="203" t="n">
        <v>0</v>
      </c>
      <c r="AI285" s="203" t="n">
        <v>0</v>
      </c>
      <c r="AJ285" s="203" t="n">
        <v>0</v>
      </c>
      <c r="AK285" s="203" t="n">
        <v>0</v>
      </c>
      <c r="AL285" s="203" t="n">
        <v>0.01</v>
      </c>
      <c r="AM285" s="203" t="n">
        <v>0</v>
      </c>
      <c r="AN285" s="203" t="inlineStr">
        <is>
          <t>Truking / Service</t>
        </is>
      </c>
    </row>
    <row r="286">
      <c r="A286" s="220">
        <f>A285+1</f>
        <v/>
      </c>
      <c r="B286" s="222" t="inlineStr">
        <is>
          <t>Lift-Off-Ex</t>
        </is>
      </c>
      <c r="C286" s="222" t="inlineStr">
        <is>
          <t>Port Autonome Du Sihanoukville</t>
        </is>
      </c>
      <c r="D286" s="223" t="inlineStr">
        <is>
          <t>L001-100044638</t>
        </is>
      </c>
      <c r="E286" s="349" t="n">
        <v>202500067030</v>
      </c>
      <c r="F286" s="332" t="n">
        <v>45742</v>
      </c>
      <c r="G286" s="224" t="n"/>
      <c r="H286" s="617" t="n"/>
      <c r="I286" s="617" t="n">
        <v>6805</v>
      </c>
      <c r="J286" s="221" t="inlineStr">
        <is>
          <t>អនុញ្ញាត (បានប្រកាស)</t>
        </is>
      </c>
      <c r="K286" s="221" t="n"/>
      <c r="L286" s="616">
        <f>I286</f>
        <v/>
      </c>
      <c r="M286" s="588">
        <f>I286-L286</f>
        <v/>
      </c>
      <c r="N286" s="221" t="n"/>
      <c r="O286" s="226">
        <f>U286=E286</f>
        <v/>
      </c>
      <c r="P286" s="226">
        <f>MONTH(F286)-MONTH(T286)</f>
        <v/>
      </c>
      <c r="Q286" s="226">
        <f>$B$5=X286</f>
        <v/>
      </c>
      <c r="R286" s="226">
        <f>I286-AD286</f>
        <v/>
      </c>
      <c r="S286" s="360" t="n"/>
      <c r="T286" s="361" t="n">
        <v>45744</v>
      </c>
      <c r="U286" s="360" t="n">
        <v>202500067030</v>
      </c>
      <c r="V286" s="360" t="n">
        <v>0</v>
      </c>
      <c r="W286" s="360" t="inlineStr">
        <is>
          <t>បុគ្គលជាប់អាករ</t>
        </is>
      </c>
      <c r="X286" s="360" t="inlineStr">
        <is>
          <t>L001-901640009</t>
        </is>
      </c>
      <c r="Y286" s="360" t="inlineStr">
        <is>
          <t>ហូលីដេ ឌីហ្សាញ (ខេមបូឌា) ឯ.ក</t>
        </is>
      </c>
      <c r="Z286" s="362" t="n">
        <v>74856</v>
      </c>
      <c r="AA286" s="362" t="n">
        <v>68051</v>
      </c>
      <c r="AB286" s="360" t="n">
        <v>0</v>
      </c>
      <c r="AC286" s="360" t="inlineStr">
        <is>
          <t>-</t>
        </is>
      </c>
      <c r="AD286" s="362" t="n">
        <v>6805</v>
      </c>
      <c r="AE286" s="360" t="n">
        <v>0</v>
      </c>
      <c r="AF286" s="615" t="n">
        <v>0</v>
      </c>
      <c r="AG286" s="203" t="n">
        <v>0</v>
      </c>
      <c r="AH286" s="203" t="n">
        <v>0</v>
      </c>
      <c r="AI286" s="203" t="n">
        <v>0</v>
      </c>
      <c r="AJ286" s="203" t="n">
        <v>0</v>
      </c>
      <c r="AK286" s="203" t="n">
        <v>0</v>
      </c>
      <c r="AL286" s="203" t="n">
        <v>0.01</v>
      </c>
      <c r="AM286" s="203" t="n">
        <v>0</v>
      </c>
      <c r="AN286" s="203" t="inlineStr">
        <is>
          <t>Lift-off</t>
        </is>
      </c>
    </row>
    <row r="287">
      <c r="A287" s="220">
        <f>A286+1</f>
        <v/>
      </c>
      <c r="B287" s="222" t="inlineStr">
        <is>
          <t>Trucking &amp; Clearance-Ex</t>
        </is>
      </c>
      <c r="C287" s="222" t="inlineStr">
        <is>
          <t>BRILLIANT TRANSPORT AND TRADING Co., Ltd.</t>
        </is>
      </c>
      <c r="D287" s="223" t="inlineStr">
        <is>
          <t>K002-100089305</t>
        </is>
      </c>
      <c r="E287" s="349" t="inlineStr">
        <is>
          <t>BTT25-0000663</t>
        </is>
      </c>
      <c r="F287" s="332" t="n">
        <v>45744</v>
      </c>
      <c r="G287" s="224" t="n"/>
      <c r="H287" s="617" t="n"/>
      <c r="I287" s="617" t="n">
        <v>195346</v>
      </c>
      <c r="J287" s="221" t="inlineStr">
        <is>
          <t>អនុញ្ញាត (បានប្រកាស)</t>
        </is>
      </c>
      <c r="K287" s="221" t="n"/>
      <c r="L287" s="616">
        <f>I287</f>
        <v/>
      </c>
      <c r="M287" s="588">
        <f>I287-L287</f>
        <v/>
      </c>
      <c r="N287" s="221" t="n"/>
      <c r="O287" s="226">
        <f>U287=E287</f>
        <v/>
      </c>
      <c r="P287" s="226">
        <f>MONTH(F287)-MONTH(T287)</f>
        <v/>
      </c>
      <c r="Q287" s="226">
        <f>$B$5=X287</f>
        <v/>
      </c>
      <c r="R287" s="226">
        <f>I287-AD287</f>
        <v/>
      </c>
      <c r="S287" s="360" t="n"/>
      <c r="T287" s="361" t="n">
        <v>45744</v>
      </c>
      <c r="U287" s="360" t="inlineStr">
        <is>
          <t>BTT25-0000663</t>
        </is>
      </c>
      <c r="V287" s="360" t="n">
        <v>0</v>
      </c>
      <c r="W287" s="360" t="inlineStr">
        <is>
          <t>បុគ្គលជាប់អាករ</t>
        </is>
      </c>
      <c r="X287" s="360" t="inlineStr">
        <is>
          <t>L001-901640009</t>
        </is>
      </c>
      <c r="Y287" s="360" t="inlineStr">
        <is>
          <t>ហូលីដេ ឌីហ្សាញ (ខេមបូឌា) ឯ.ក</t>
        </is>
      </c>
      <c r="Z287" s="362" t="n">
        <v>2148810</v>
      </c>
      <c r="AA287" s="362" t="n">
        <v>1953464</v>
      </c>
      <c r="AB287" s="360" t="n">
        <v>0</v>
      </c>
      <c r="AC287" s="360" t="inlineStr">
        <is>
          <t>-</t>
        </is>
      </c>
      <c r="AD287" s="362" t="n">
        <v>195346</v>
      </c>
      <c r="AE287" s="360" t="n">
        <v>0</v>
      </c>
      <c r="AF287" s="615" t="n">
        <v>0</v>
      </c>
      <c r="AG287" s="203" t="n">
        <v>0</v>
      </c>
      <c r="AH287" s="203" t="n">
        <v>0</v>
      </c>
      <c r="AI287" s="203" t="n">
        <v>0</v>
      </c>
      <c r="AJ287" s="203" t="n">
        <v>0</v>
      </c>
      <c r="AK287" s="203" t="n">
        <v>0</v>
      </c>
      <c r="AL287" s="203" t="n">
        <v>0.01</v>
      </c>
      <c r="AM287" s="203" t="n">
        <v>0</v>
      </c>
      <c r="AN287" s="203" t="inlineStr">
        <is>
          <t>Truking / Service</t>
        </is>
      </c>
    </row>
    <row r="288">
      <c r="A288" s="220">
        <f>A287+1</f>
        <v/>
      </c>
      <c r="B288" s="222" t="inlineStr">
        <is>
          <t>Lift-Off-Ex</t>
        </is>
      </c>
      <c r="C288" s="222" t="inlineStr">
        <is>
          <t>Port Autonome Du Sihanoukville</t>
        </is>
      </c>
      <c r="D288" s="223" t="inlineStr">
        <is>
          <t>L001-100044638</t>
        </is>
      </c>
      <c r="E288" s="349" t="n">
        <v>202500064528</v>
      </c>
      <c r="F288" s="332" t="n">
        <v>45742</v>
      </c>
      <c r="G288" s="224" t="n"/>
      <c r="H288" s="617" t="n"/>
      <c r="I288" s="617" t="n">
        <v>20415</v>
      </c>
      <c r="J288" s="221" t="inlineStr">
        <is>
          <t>អនុញ្ញាត (បានប្រកាស)</t>
        </is>
      </c>
      <c r="K288" s="221" t="n"/>
      <c r="L288" s="616">
        <f>I288</f>
        <v/>
      </c>
      <c r="M288" s="588">
        <f>I288-L288</f>
        <v/>
      </c>
      <c r="N288" s="221" t="n"/>
      <c r="O288" s="226">
        <f>U288=E288</f>
        <v/>
      </c>
      <c r="P288" s="226">
        <f>MONTH(F288)-MONTH(T288)</f>
        <v/>
      </c>
      <c r="Q288" s="226">
        <f>$B$5=X288</f>
        <v/>
      </c>
      <c r="R288" s="226">
        <f>I288-AD288</f>
        <v/>
      </c>
      <c r="S288" s="360" t="n"/>
      <c r="T288" s="361" t="n">
        <v>45742</v>
      </c>
      <c r="U288" s="360" t="n">
        <v>202500064528</v>
      </c>
      <c r="V288" s="360" t="n">
        <v>0</v>
      </c>
      <c r="W288" s="360" t="inlineStr">
        <is>
          <t>បុគ្គលជាប់អាករ</t>
        </is>
      </c>
      <c r="X288" s="360" t="inlineStr">
        <is>
          <t>L001-901640009</t>
        </is>
      </c>
      <c r="Y288" s="360" t="inlineStr">
        <is>
          <t>ហូលីដេ ឌីហ្សាញ (ខេមបូឌា) ឯ.ក</t>
        </is>
      </c>
      <c r="Z288" s="362" t="n">
        <v>224568</v>
      </c>
      <c r="AA288" s="362" t="n">
        <v>204153</v>
      </c>
      <c r="AB288" s="360" t="n">
        <v>0</v>
      </c>
      <c r="AC288" s="360" t="inlineStr">
        <is>
          <t>-</t>
        </is>
      </c>
      <c r="AD288" s="362" t="n">
        <v>20415</v>
      </c>
      <c r="AE288" s="360" t="n">
        <v>0</v>
      </c>
      <c r="AF288" s="615" t="n">
        <v>0</v>
      </c>
      <c r="AG288" s="203" t="n">
        <v>0</v>
      </c>
      <c r="AH288" s="203" t="n">
        <v>0</v>
      </c>
      <c r="AI288" s="203" t="n">
        <v>0</v>
      </c>
      <c r="AJ288" s="203" t="n">
        <v>0</v>
      </c>
      <c r="AK288" s="203" t="n">
        <v>0</v>
      </c>
      <c r="AL288" s="203" t="n">
        <v>0.01</v>
      </c>
      <c r="AM288" s="203" t="n">
        <v>0</v>
      </c>
      <c r="AN288" s="203" t="inlineStr">
        <is>
          <t>Lift-off</t>
        </is>
      </c>
    </row>
    <row r="289">
      <c r="A289" s="220">
        <f>A288+1</f>
        <v/>
      </c>
      <c r="B289" s="222" t="inlineStr">
        <is>
          <t>Trucking &amp; Clearance-Ex</t>
        </is>
      </c>
      <c r="C289" s="222" t="inlineStr">
        <is>
          <t>BRILLIANT TRANSPORT AND TRADING Co., Ltd.</t>
        </is>
      </c>
      <c r="D289" s="223" t="inlineStr">
        <is>
          <t>K002-100089305</t>
        </is>
      </c>
      <c r="E289" s="349" t="inlineStr">
        <is>
          <t>BTT25-0000662</t>
        </is>
      </c>
      <c r="F289" s="332" t="n">
        <v>45744</v>
      </c>
      <c r="G289" s="224" t="n"/>
      <c r="H289" s="617" t="n"/>
      <c r="I289" s="617" t="n">
        <v>235376</v>
      </c>
      <c r="J289" s="221" t="inlineStr">
        <is>
          <t>អនុញ្ញាត (បានប្រកាស)</t>
        </is>
      </c>
      <c r="K289" s="221" t="n"/>
      <c r="L289" s="616">
        <f>I289</f>
        <v/>
      </c>
      <c r="M289" s="588">
        <f>I289-L289</f>
        <v/>
      </c>
      <c r="N289" s="221" t="n"/>
      <c r="O289" s="226">
        <f>U289=E289</f>
        <v/>
      </c>
      <c r="P289" s="226">
        <f>MONTH(F289)-MONTH(T289)</f>
        <v/>
      </c>
      <c r="Q289" s="226">
        <f>$B$5=X289</f>
        <v/>
      </c>
      <c r="R289" s="226">
        <f>I289-AD289</f>
        <v/>
      </c>
      <c r="S289" s="360" t="n"/>
      <c r="T289" s="361" t="n">
        <v>45744</v>
      </c>
      <c r="U289" s="360" t="inlineStr">
        <is>
          <t>BTT25-0000662</t>
        </is>
      </c>
      <c r="V289" s="360" t="n">
        <v>0</v>
      </c>
      <c r="W289" s="360" t="inlineStr">
        <is>
          <t>បុគ្គលជាប់អាករ</t>
        </is>
      </c>
      <c r="X289" s="360" t="inlineStr">
        <is>
          <t>L001-901640009</t>
        </is>
      </c>
      <c r="Y289" s="360" t="inlineStr">
        <is>
          <t>ហូលីដេ ឌីហ្សាញ (ខេមបូឌា) ឯ.ក</t>
        </is>
      </c>
      <c r="Z289" s="362" t="n">
        <v>2589140</v>
      </c>
      <c r="AA289" s="362" t="n">
        <v>2353764</v>
      </c>
      <c r="AB289" s="360" t="n">
        <v>0</v>
      </c>
      <c r="AC289" s="360" t="inlineStr">
        <is>
          <t>-</t>
        </is>
      </c>
      <c r="AD289" s="362" t="n">
        <v>235376</v>
      </c>
      <c r="AE289" s="360" t="n">
        <v>0</v>
      </c>
      <c r="AF289" s="615" t="n">
        <v>0</v>
      </c>
      <c r="AG289" s="203" t="n">
        <v>0</v>
      </c>
      <c r="AH289" s="203" t="n">
        <v>0</v>
      </c>
      <c r="AI289" s="203" t="n">
        <v>0</v>
      </c>
      <c r="AJ289" s="203" t="n">
        <v>0</v>
      </c>
      <c r="AK289" s="203" t="n">
        <v>0</v>
      </c>
      <c r="AL289" s="203" t="n">
        <v>0.01</v>
      </c>
      <c r="AM289" s="203" t="n">
        <v>0</v>
      </c>
      <c r="AN289" s="203" t="inlineStr">
        <is>
          <t>Truking / Service</t>
        </is>
      </c>
    </row>
    <row r="290">
      <c r="A290" s="220">
        <f>A289+1</f>
        <v/>
      </c>
      <c r="B290" s="222" t="inlineStr">
        <is>
          <t>Terminal Handling Service-Im</t>
        </is>
      </c>
      <c r="C290" s="222" t="inlineStr">
        <is>
          <t>MAERSK (CAMBODIA) LTD.</t>
        </is>
      </c>
      <c r="D290" s="223" t="inlineStr">
        <is>
          <t>L001-100045200</t>
        </is>
      </c>
      <c r="E290" s="349" t="n">
        <v>7676088789</v>
      </c>
      <c r="F290" s="332" t="n">
        <v>45622</v>
      </c>
      <c r="G290" s="224" t="n"/>
      <c r="H290" s="617" t="n"/>
      <c r="I290" s="617" t="n">
        <v>997479</v>
      </c>
      <c r="J290" s="221" t="inlineStr">
        <is>
          <t>អនុញ្ញាត (បានប្រកាស)</t>
        </is>
      </c>
      <c r="K290" s="221" t="n"/>
      <c r="L290" s="616">
        <f>I290</f>
        <v/>
      </c>
      <c r="M290" s="588">
        <f>I290-L290</f>
        <v/>
      </c>
      <c r="N290" s="221" t="n"/>
      <c r="O290" s="226">
        <f>U290=E290</f>
        <v/>
      </c>
      <c r="P290" s="226">
        <f>MONTH(F290)-MONTH(T290)</f>
        <v/>
      </c>
      <c r="Q290" s="226">
        <f>$B$5=X290</f>
        <v/>
      </c>
      <c r="R290" s="226">
        <f>I290-AD290</f>
        <v/>
      </c>
      <c r="S290" s="360" t="n"/>
      <c r="T290" s="361" t="n">
        <v>45622</v>
      </c>
      <c r="U290" s="360" t="n">
        <v>7676088789</v>
      </c>
      <c r="V290" s="360" t="n">
        <v>0</v>
      </c>
      <c r="W290" s="360" t="inlineStr">
        <is>
          <t>បុគ្គលជាប់អាករ</t>
        </is>
      </c>
      <c r="X290" s="360" t="inlineStr">
        <is>
          <t>L001-901640009</t>
        </is>
      </c>
      <c r="Y290" s="360" t="inlineStr">
        <is>
          <t>ហូលីដេ ឌីហ្សាញ (ខេមបូឌា) ឯ.ក</t>
        </is>
      </c>
      <c r="Z290" s="362" t="n">
        <v>10972269</v>
      </c>
      <c r="AA290" s="362" t="n">
        <v>9974790</v>
      </c>
      <c r="AB290" s="360" t="n">
        <v>0</v>
      </c>
      <c r="AC290" s="360" t="inlineStr">
        <is>
          <t>-</t>
        </is>
      </c>
      <c r="AD290" s="362" t="n">
        <v>997479</v>
      </c>
      <c r="AE290" s="360" t="n">
        <v>0</v>
      </c>
      <c r="AF290" s="615" t="n">
        <v>0</v>
      </c>
      <c r="AG290" s="203" t="n">
        <v>0</v>
      </c>
      <c r="AH290" s="203" t="n">
        <v>0</v>
      </c>
      <c r="AI290" s="203" t="n">
        <v>0</v>
      </c>
      <c r="AJ290" s="203" t="n">
        <v>0</v>
      </c>
      <c r="AK290" s="203" t="n">
        <v>0</v>
      </c>
      <c r="AL290" s="203" t="n">
        <v>0.01</v>
      </c>
      <c r="AM290" s="203" t="n">
        <v>0</v>
      </c>
      <c r="AN290" s="203" t="inlineStr">
        <is>
          <t>CP1 CONTAINER PROTECT ESSENTIAL</t>
        </is>
      </c>
      <c r="AO290" s="203" t="inlineStr">
        <is>
          <t>បានប្រកាសនិងបង់ពន្ធ</t>
        </is>
      </c>
    </row>
    <row r="291">
      <c r="A291" s="220">
        <f>A290+1</f>
        <v/>
      </c>
      <c r="B291" s="222" t="inlineStr">
        <is>
          <t>Terminal Handling Service-Im</t>
        </is>
      </c>
      <c r="C291" s="222" t="inlineStr">
        <is>
          <t>MAERSK (CAMBODIA) LTD.</t>
        </is>
      </c>
      <c r="D291" s="223" t="inlineStr">
        <is>
          <t>L001-100045200</t>
        </is>
      </c>
      <c r="E291" s="349" t="n">
        <v>7676089412</v>
      </c>
      <c r="F291" s="332" t="n">
        <v>45623</v>
      </c>
      <c r="G291" s="224" t="n"/>
      <c r="H291" s="617" t="n"/>
      <c r="I291" s="617" t="n">
        <v>219308</v>
      </c>
      <c r="J291" s="221" t="inlineStr">
        <is>
          <t>អនុញ្ញាត (បានប្រកាស)</t>
        </is>
      </c>
      <c r="K291" s="221" t="n"/>
      <c r="L291" s="616">
        <f>I291</f>
        <v/>
      </c>
      <c r="M291" s="588">
        <f>I291-L291</f>
        <v/>
      </c>
      <c r="N291" s="221" t="n"/>
      <c r="O291" s="226">
        <f>U291=E291</f>
        <v/>
      </c>
      <c r="P291" s="226">
        <f>MONTH(F291)-MONTH(T291)</f>
        <v/>
      </c>
      <c r="Q291" s="226">
        <f>$B$5=X291</f>
        <v/>
      </c>
      <c r="R291" s="226">
        <f>I291-AD291</f>
        <v/>
      </c>
      <c r="S291" s="360" t="n"/>
      <c r="T291" s="361" t="n">
        <v>45623</v>
      </c>
      <c r="U291" s="360" t="n">
        <v>7676089412</v>
      </c>
      <c r="V291" s="360" t="n">
        <v>0</v>
      </c>
      <c r="W291" s="360" t="inlineStr">
        <is>
          <t>បុគ្គលជាប់អាករ</t>
        </is>
      </c>
      <c r="X291" s="360" t="inlineStr">
        <is>
          <t>L001-901640009</t>
        </is>
      </c>
      <c r="Y291" s="360" t="inlineStr">
        <is>
          <t>ហូលីដេ ឌីហ្សាញ (ខេមបូឌា) ឯ.ក</t>
        </is>
      </c>
      <c r="Z291" s="362" t="n">
        <v>2412388</v>
      </c>
      <c r="AA291" s="362" t="n">
        <v>2193080</v>
      </c>
      <c r="AB291" s="360" t="n">
        <v>0</v>
      </c>
      <c r="AC291" s="360" t="inlineStr">
        <is>
          <t>-</t>
        </is>
      </c>
      <c r="AD291" s="362" t="n">
        <v>219308</v>
      </c>
      <c r="AE291" s="360" t="n">
        <v>0</v>
      </c>
      <c r="AF291" s="615" t="n">
        <v>0</v>
      </c>
      <c r="AG291" s="203" t="n">
        <v>0</v>
      </c>
      <c r="AH291" s="203" t="n">
        <v>0</v>
      </c>
      <c r="AI291" s="203" t="n">
        <v>0</v>
      </c>
      <c r="AJ291" s="203" t="n">
        <v>0</v>
      </c>
      <c r="AK291" s="203" t="n">
        <v>0</v>
      </c>
      <c r="AL291" s="203" t="n">
        <v>0.01</v>
      </c>
      <c r="AM291" s="203" t="n">
        <v>0</v>
      </c>
      <c r="AN291" s="203" t="inlineStr">
        <is>
          <t>CP1 CONTAINER PROTECT ESSENTIAL</t>
        </is>
      </c>
      <c r="AO291" s="203" t="inlineStr">
        <is>
          <t>បានប្រកាសនិងបង់ពន្ធ</t>
        </is>
      </c>
    </row>
    <row r="292">
      <c r="A292" s="220">
        <f>A291+1</f>
        <v/>
      </c>
      <c r="B292" s="222" t="inlineStr">
        <is>
          <t>Terminal Handling Service-Im</t>
        </is>
      </c>
      <c r="C292" s="222" t="inlineStr">
        <is>
          <t>MAERSK (CAMBODIA) LTD.</t>
        </is>
      </c>
      <c r="D292" s="223" t="inlineStr">
        <is>
          <t>L001-100045200</t>
        </is>
      </c>
      <c r="E292" s="349" t="n">
        <v>7676096256</v>
      </c>
      <c r="F292" s="332" t="n">
        <v>45650</v>
      </c>
      <c r="G292" s="224" t="n"/>
      <c r="H292" s="617" t="n"/>
      <c r="I292" s="617" t="n">
        <v>1973329</v>
      </c>
      <c r="J292" s="221" t="inlineStr">
        <is>
          <t>អនុញ្ញាត (បានប្រកាស)</t>
        </is>
      </c>
      <c r="K292" s="221" t="n"/>
      <c r="L292" s="616">
        <f>I292</f>
        <v/>
      </c>
      <c r="M292" s="588">
        <f>I292-L292</f>
        <v/>
      </c>
      <c r="N292" s="221" t="n"/>
      <c r="O292" s="226">
        <f>U292=E292</f>
        <v/>
      </c>
      <c r="P292" s="226">
        <f>MONTH(F292)-MONTH(T292)</f>
        <v/>
      </c>
      <c r="Q292" s="226">
        <f>$B$5=X292</f>
        <v/>
      </c>
      <c r="R292" s="226">
        <f>I292-AD292</f>
        <v/>
      </c>
      <c r="S292" s="360" t="n"/>
      <c r="T292" s="361" t="n">
        <v>45650</v>
      </c>
      <c r="U292" s="360" t="n">
        <v>7676096256</v>
      </c>
      <c r="V292" s="360" t="n">
        <v>0</v>
      </c>
      <c r="W292" s="360" t="inlineStr">
        <is>
          <t>បុគ្គលជាប់អាករ</t>
        </is>
      </c>
      <c r="X292" s="360" t="inlineStr">
        <is>
          <t>L001-901640009</t>
        </is>
      </c>
      <c r="Y292" s="360" t="inlineStr">
        <is>
          <t>ហូលីដេ ឌីហ្សាញ (ខេមបូឌា) ឯ.ក</t>
        </is>
      </c>
      <c r="Z292" s="362" t="n">
        <v>21706619</v>
      </c>
      <c r="AA292" s="362" t="n">
        <v>19733290</v>
      </c>
      <c r="AB292" s="360" t="n">
        <v>0</v>
      </c>
      <c r="AC292" s="360" t="inlineStr">
        <is>
          <t>-</t>
        </is>
      </c>
      <c r="AD292" s="362" t="n">
        <v>1973329</v>
      </c>
      <c r="AE292" s="360" t="n">
        <v>0</v>
      </c>
      <c r="AF292" s="615" t="n">
        <v>0</v>
      </c>
      <c r="AG292" s="203" t="n">
        <v>0</v>
      </c>
      <c r="AH292" s="203" t="n">
        <v>0</v>
      </c>
      <c r="AI292" s="203" t="n">
        <v>0</v>
      </c>
      <c r="AJ292" s="203" t="n">
        <v>0</v>
      </c>
      <c r="AK292" s="203" t="n">
        <v>0</v>
      </c>
      <c r="AL292" s="203" t="n">
        <v>0.01</v>
      </c>
      <c r="AM292" s="203" t="n">
        <v>0</v>
      </c>
      <c r="AN292" s="203" t="inlineStr">
        <is>
          <t>CP1 CONTAINER PROTECT ESSENTIAL</t>
        </is>
      </c>
      <c r="AO292" s="203" t="inlineStr">
        <is>
          <t>បានប្រកាសនិងបង់ពន្ធ</t>
        </is>
      </c>
    </row>
    <row r="293">
      <c r="A293" s="220">
        <f>A292+1</f>
        <v/>
      </c>
      <c r="B293" s="222" t="inlineStr">
        <is>
          <t>Terminal Handling Service-Im</t>
        </is>
      </c>
      <c r="C293" s="222" t="inlineStr">
        <is>
          <t>MAERSK (CAMBODIA) LTD.</t>
        </is>
      </c>
      <c r="D293" s="223" t="inlineStr">
        <is>
          <t>L001-100045200</t>
        </is>
      </c>
      <c r="E293" s="349" t="n">
        <v>7676094852</v>
      </c>
      <c r="F293" s="332" t="n">
        <v>45645</v>
      </c>
      <c r="G293" s="224" t="n"/>
      <c r="H293" s="617" t="n"/>
      <c r="I293" s="617" t="n">
        <v>651402</v>
      </c>
      <c r="J293" s="221" t="inlineStr">
        <is>
          <t>អនុញ្ញាត (បានប្រកាស)</t>
        </is>
      </c>
      <c r="K293" s="221" t="n"/>
      <c r="L293" s="616">
        <f>I293</f>
        <v/>
      </c>
      <c r="M293" s="588">
        <f>I293-L293</f>
        <v/>
      </c>
      <c r="N293" s="221" t="n"/>
      <c r="O293" s="226">
        <f>U293=E293</f>
        <v/>
      </c>
      <c r="P293" s="226">
        <f>MONTH(F293)-MONTH(T293)</f>
        <v/>
      </c>
      <c r="Q293" s="226">
        <f>$B$5=X293</f>
        <v/>
      </c>
      <c r="R293" s="226">
        <f>I293-AD293</f>
        <v/>
      </c>
      <c r="S293" s="360" t="n"/>
      <c r="T293" s="361" t="n">
        <v>45645</v>
      </c>
      <c r="U293" s="360" t="n">
        <v>7676094852</v>
      </c>
      <c r="V293" s="360" t="n">
        <v>0</v>
      </c>
      <c r="W293" s="360" t="inlineStr">
        <is>
          <t>បុគ្គលជាប់អាករ</t>
        </is>
      </c>
      <c r="X293" s="360" t="inlineStr">
        <is>
          <t>L001-901640009</t>
        </is>
      </c>
      <c r="Y293" s="360" t="inlineStr">
        <is>
          <t>ហូលីដេ ឌីហ្សាញ (ខេមបូឌា) ឯ.ក</t>
        </is>
      </c>
      <c r="Z293" s="362" t="n">
        <v>7165422</v>
      </c>
      <c r="AA293" s="362" t="n">
        <v>6514020</v>
      </c>
      <c r="AB293" s="360" t="n">
        <v>0</v>
      </c>
      <c r="AC293" s="360" t="inlineStr">
        <is>
          <t>-</t>
        </is>
      </c>
      <c r="AD293" s="362" t="n">
        <v>651402</v>
      </c>
      <c r="AE293" s="360" t="n">
        <v>0</v>
      </c>
      <c r="AF293" s="615" t="n">
        <v>0</v>
      </c>
      <c r="AG293" s="203" t="n">
        <v>0</v>
      </c>
      <c r="AH293" s="203" t="n">
        <v>0</v>
      </c>
      <c r="AI293" s="203" t="n">
        <v>0</v>
      </c>
      <c r="AJ293" s="203" t="n">
        <v>0</v>
      </c>
      <c r="AK293" s="203" t="n">
        <v>0</v>
      </c>
      <c r="AL293" s="203" t="n">
        <v>0.01</v>
      </c>
      <c r="AM293" s="203" t="n">
        <v>0</v>
      </c>
      <c r="AN293" s="203" t="inlineStr">
        <is>
          <t>CP1 CONTAINER PROTECT ESSENTIAL</t>
        </is>
      </c>
      <c r="AO293" s="203" t="inlineStr">
        <is>
          <t>បានប្រកាសនិងបង់ពន្ធ</t>
        </is>
      </c>
    </row>
    <row r="294">
      <c r="A294" s="220">
        <f>A293+1</f>
        <v/>
      </c>
      <c r="B294" s="222" t="inlineStr">
        <is>
          <t>Terminal Handling Service-Im</t>
        </is>
      </c>
      <c r="C294" s="222" t="inlineStr">
        <is>
          <t>MAERSK (CAMBODIA) LTD.</t>
        </is>
      </c>
      <c r="D294" s="223" t="inlineStr">
        <is>
          <t>L001-100045200</t>
        </is>
      </c>
      <c r="E294" s="349" t="n">
        <v>7676091192</v>
      </c>
      <c r="F294" s="332" t="n">
        <v>45630</v>
      </c>
      <c r="G294" s="224" t="n"/>
      <c r="H294" s="617" t="n"/>
      <c r="I294" s="617" t="n">
        <v>1001455</v>
      </c>
      <c r="J294" s="221" t="inlineStr">
        <is>
          <t>អនុញ្ញាត (បានប្រកាស)</t>
        </is>
      </c>
      <c r="K294" s="221" t="n"/>
      <c r="L294" s="616">
        <f>I294</f>
        <v/>
      </c>
      <c r="M294" s="588">
        <f>I294-L294</f>
        <v/>
      </c>
      <c r="N294" s="221" t="n"/>
      <c r="O294" s="226">
        <f>U294=E294</f>
        <v/>
      </c>
      <c r="P294" s="226">
        <f>MONTH(F294)-MONTH(T294)</f>
        <v/>
      </c>
      <c r="Q294" s="226">
        <f>$B$5=X294</f>
        <v/>
      </c>
      <c r="R294" s="226">
        <f>I294-AD294</f>
        <v/>
      </c>
      <c r="S294" s="360" t="inlineStr">
        <is>
          <t>មិនបានប្រកាស</t>
        </is>
      </c>
      <c r="T294" s="361" t="n">
        <v>45630</v>
      </c>
      <c r="U294" s="360" t="n">
        <v>7676091192</v>
      </c>
      <c r="V294" s="360" t="n">
        <v>0</v>
      </c>
      <c r="W294" s="360" t="inlineStr">
        <is>
          <t>បុគ្គលជាប់អាករ</t>
        </is>
      </c>
      <c r="X294" s="360" t="inlineStr">
        <is>
          <t>L001-901640009</t>
        </is>
      </c>
      <c r="Y294" s="360" t="inlineStr">
        <is>
          <t>ហូលីដេ ឌីហ្សាញ (ខេមបូឌា) ឯ.ក</t>
        </is>
      </c>
      <c r="Z294" s="362" t="n">
        <v>11016005</v>
      </c>
      <c r="AA294" s="362" t="n">
        <v>10014550</v>
      </c>
      <c r="AB294" s="360" t="n">
        <v>0</v>
      </c>
      <c r="AC294" s="360" t="inlineStr">
        <is>
          <t>-</t>
        </is>
      </c>
      <c r="AD294" s="362" t="n">
        <v>1001455</v>
      </c>
      <c r="AE294" s="360" t="n">
        <v>0</v>
      </c>
      <c r="AF294" s="615" t="n">
        <v>0</v>
      </c>
      <c r="AG294" s="203" t="n">
        <v>0</v>
      </c>
      <c r="AH294" s="203" t="n">
        <v>0</v>
      </c>
      <c r="AI294" s="203" t="n">
        <v>0</v>
      </c>
      <c r="AJ294" s="203" t="n">
        <v>0</v>
      </c>
      <c r="AK294" s="203" t="n">
        <v>0</v>
      </c>
      <c r="AL294" s="203" t="n">
        <v>0.01</v>
      </c>
      <c r="AM294" s="203" t="n">
        <v>0</v>
      </c>
      <c r="AN294" s="203" t="inlineStr">
        <is>
          <t>CP1 CONTAINER PROTECT ESSENTIAL</t>
        </is>
      </c>
      <c r="AO294" s="203" t="inlineStr">
        <is>
          <t>បានប្រកាសនិងបង់ពន្ធ</t>
        </is>
      </c>
    </row>
    <row r="295">
      <c r="A295" s="220">
        <f>A294+1</f>
        <v/>
      </c>
      <c r="B295" s="222" t="inlineStr">
        <is>
          <t>Terminal Handling Service-Im</t>
        </is>
      </c>
      <c r="C295" s="222" t="inlineStr">
        <is>
          <t>MAERSK (CAMBODIA) LTD.</t>
        </is>
      </c>
      <c r="D295" s="223" t="inlineStr">
        <is>
          <t>L001-100045200</t>
        </is>
      </c>
      <c r="E295" s="349" t="n">
        <v>7676113070</v>
      </c>
      <c r="F295" s="332" t="n">
        <v>45715</v>
      </c>
      <c r="G295" s="224" t="n"/>
      <c r="H295" s="617" t="n"/>
      <c r="I295" s="617" t="n">
        <v>996485</v>
      </c>
      <c r="J295" s="221" t="inlineStr">
        <is>
          <t>អនុញ្ញាត (បានប្រកាស)</t>
        </is>
      </c>
      <c r="K295" s="221" t="n"/>
      <c r="L295" s="616">
        <f>I295</f>
        <v/>
      </c>
      <c r="M295" s="588">
        <f>I295-L295</f>
        <v/>
      </c>
      <c r="N295" s="221" t="n"/>
      <c r="O295" s="226">
        <f>U295=E295</f>
        <v/>
      </c>
      <c r="P295" s="226">
        <f>MONTH(F295)-MONTH(T295)</f>
        <v/>
      </c>
      <c r="Q295" s="226">
        <f>$B$5=X295</f>
        <v/>
      </c>
      <c r="R295" s="226">
        <f>I295-AD295</f>
        <v/>
      </c>
      <c r="S295" s="360" t="inlineStr">
        <is>
          <t>មិនបានប្រកាស</t>
        </is>
      </c>
      <c r="T295" s="361" t="n">
        <v>45715</v>
      </c>
      <c r="U295" s="360" t="n">
        <v>7676113070</v>
      </c>
      <c r="V295" s="360" t="n">
        <v>0</v>
      </c>
      <c r="W295" s="360" t="inlineStr">
        <is>
          <t>បុគ្គលជាប់អាករ</t>
        </is>
      </c>
      <c r="X295" s="360" t="inlineStr">
        <is>
          <t>L001-901640009</t>
        </is>
      </c>
      <c r="Y295" s="360" t="inlineStr">
        <is>
          <t>ហូលីដេ ឌីហ្សាញ (ខេមបូឌា) ឯ.ក</t>
        </is>
      </c>
      <c r="Z295" s="362" t="n">
        <v>10961335</v>
      </c>
      <c r="AA295" s="362" t="n">
        <v>9964850</v>
      </c>
      <c r="AB295" s="360" t="n">
        <v>0</v>
      </c>
      <c r="AC295" s="360" t="inlineStr">
        <is>
          <t>-</t>
        </is>
      </c>
      <c r="AD295" s="362" t="n">
        <v>996485</v>
      </c>
      <c r="AE295" s="360" t="n">
        <v>0</v>
      </c>
      <c r="AF295" s="615" t="n">
        <v>0</v>
      </c>
      <c r="AG295" s="203" t="n">
        <v>0</v>
      </c>
      <c r="AH295" s="203" t="n">
        <v>0</v>
      </c>
      <c r="AI295" s="203" t="n">
        <v>0</v>
      </c>
      <c r="AJ295" s="203" t="n">
        <v>0</v>
      </c>
      <c r="AK295" s="203" t="n">
        <v>0</v>
      </c>
      <c r="AL295" s="203" t="n">
        <v>0.01</v>
      </c>
      <c r="AM295" s="203" t="n">
        <v>0</v>
      </c>
      <c r="AN295" s="203" t="inlineStr">
        <is>
          <t>CP1 CONTAINER PROTECT ESSENTIAL</t>
        </is>
      </c>
      <c r="AO295" s="203" t="inlineStr">
        <is>
          <t>បានប្រកាសនិងបង់ពន្ធ</t>
        </is>
      </c>
    </row>
    <row r="296">
      <c r="A296" s="220">
        <f>A295+1</f>
        <v/>
      </c>
      <c r="B296" s="222" t="inlineStr">
        <is>
          <t>Terminal Handling Charge</t>
        </is>
      </c>
      <c r="C296" s="222" t="inlineStr">
        <is>
          <t>MAERSK (CAMBODIA) LTD.</t>
        </is>
      </c>
      <c r="D296" s="223" t="inlineStr">
        <is>
          <t>L001-100045200</t>
        </is>
      </c>
      <c r="E296" s="349" t="n">
        <v>7676127588</v>
      </c>
      <c r="F296" s="332" t="n">
        <v>45774</v>
      </c>
      <c r="G296" s="224" t="n"/>
      <c r="H296" s="617" t="n"/>
      <c r="I296" s="617" t="n">
        <v>994746</v>
      </c>
      <c r="J296" s="221" t="inlineStr">
        <is>
          <t>អនុញ្ញាត (បានប្រកាស)</t>
        </is>
      </c>
      <c r="K296" s="221" t="n"/>
      <c r="L296" s="616">
        <f>I296</f>
        <v/>
      </c>
      <c r="M296" s="588">
        <f>I296-L296</f>
        <v/>
      </c>
      <c r="N296" s="221" t="n"/>
      <c r="O296" s="226">
        <f>U296=E296</f>
        <v/>
      </c>
      <c r="P296" s="226">
        <f>MONTH(F296)-MONTH(T296)</f>
        <v/>
      </c>
      <c r="Q296" s="226">
        <f>$B$5=X296</f>
        <v/>
      </c>
      <c r="R296" s="226">
        <f>I296-AD296</f>
        <v/>
      </c>
      <c r="S296" s="360" t="n"/>
      <c r="T296" s="361" t="n">
        <v>45774</v>
      </c>
      <c r="U296" s="360" t="n">
        <v>7676127588</v>
      </c>
      <c r="V296" s="360" t="n">
        <v>0</v>
      </c>
      <c r="W296" s="360" t="inlineStr">
        <is>
          <t>បុគ្គលជាប់អាករ</t>
        </is>
      </c>
      <c r="X296" s="360" t="inlineStr">
        <is>
          <t>L001-901640009</t>
        </is>
      </c>
      <c r="Y296" s="360" t="inlineStr">
        <is>
          <t>ហូលីដេ ឌីហ្សាញ (ខេមបូឌា) ឯ.ក</t>
        </is>
      </c>
      <c r="Z296" s="362" t="n">
        <v>10942201</v>
      </c>
      <c r="AA296" s="362" t="n">
        <v>9947455</v>
      </c>
      <c r="AB296" s="360" t="n">
        <v>0</v>
      </c>
      <c r="AC296" s="360" t="inlineStr">
        <is>
          <t>-</t>
        </is>
      </c>
      <c r="AD296" s="362" t="n">
        <v>994746</v>
      </c>
      <c r="AE296" s="360" t="n">
        <v>0</v>
      </c>
      <c r="AF296" s="615" t="n">
        <v>0</v>
      </c>
      <c r="AG296" s="203" t="n">
        <v>0</v>
      </c>
      <c r="AH296" s="203" t="n">
        <v>0</v>
      </c>
      <c r="AI296" s="203" t="n">
        <v>0</v>
      </c>
      <c r="AJ296" s="203" t="n">
        <v>0</v>
      </c>
      <c r="AK296" s="203" t="n">
        <v>0</v>
      </c>
      <c r="AL296" s="203" t="n">
        <v>0.01</v>
      </c>
      <c r="AM296" s="203" t="n">
        <v>0</v>
      </c>
      <c r="AN296" s="203" t="inlineStr">
        <is>
          <t>CP1 CONTAINER PROTECT ESSENTIAL</t>
        </is>
      </c>
      <c r="AO296" s="203" t="inlineStr">
        <is>
          <t>បានប្រកាសនិងបង់ពន្ធ</t>
        </is>
      </c>
    </row>
    <row r="297">
      <c r="A297" s="220">
        <f>A296+1</f>
        <v/>
      </c>
      <c r="B297" s="222" t="inlineStr">
        <is>
          <t>Terminal Handling Charge</t>
        </is>
      </c>
      <c r="C297" s="222" t="inlineStr">
        <is>
          <t>MAERSK (CAMBODIA) LTD.</t>
        </is>
      </c>
      <c r="D297" s="223" t="inlineStr">
        <is>
          <t>L001-100045200</t>
        </is>
      </c>
      <c r="E297" s="349" t="n">
        <v>7676127556</v>
      </c>
      <c r="F297" s="332" t="n">
        <v>45774</v>
      </c>
      <c r="G297" s="224" t="n"/>
      <c r="H297" s="617" t="n"/>
      <c r="I297" s="617" t="n">
        <v>1965473</v>
      </c>
      <c r="J297" s="221" t="inlineStr">
        <is>
          <t>អនុញ្ញាត (បានប្រកាស)</t>
        </is>
      </c>
      <c r="K297" s="221" t="n"/>
      <c r="L297" s="616">
        <f>I297</f>
        <v/>
      </c>
      <c r="M297" s="588">
        <f>I297-L297</f>
        <v/>
      </c>
      <c r="N297" s="221" t="n"/>
      <c r="O297" s="226">
        <f>U297=E297</f>
        <v/>
      </c>
      <c r="P297" s="226">
        <f>MONTH(F297)-MONTH(T297)</f>
        <v/>
      </c>
      <c r="Q297" s="226">
        <f>$B$5=X297</f>
        <v/>
      </c>
      <c r="R297" s="226">
        <f>I297-AD297</f>
        <v/>
      </c>
      <c r="S297" s="360" t="n"/>
      <c r="T297" s="361" t="n">
        <v>45774</v>
      </c>
      <c r="U297" s="360" t="n">
        <v>7676127556</v>
      </c>
      <c r="V297" s="360" t="n">
        <v>0</v>
      </c>
      <c r="W297" s="360" t="inlineStr">
        <is>
          <t>បុគ្គលជាប់អាករ</t>
        </is>
      </c>
      <c r="X297" s="360" t="inlineStr">
        <is>
          <t>L001-901640009</t>
        </is>
      </c>
      <c r="Y297" s="360" t="inlineStr">
        <is>
          <t>ហូលីដេ ឌីហ្សាញ (ខេមបូឌា) ឯ.ក</t>
        </is>
      </c>
      <c r="Z297" s="362" t="n">
        <v>21620203</v>
      </c>
      <c r="AA297" s="362" t="n">
        <v>19654730</v>
      </c>
      <c r="AB297" s="360" t="n">
        <v>0</v>
      </c>
      <c r="AC297" s="360" t="inlineStr">
        <is>
          <t>-</t>
        </is>
      </c>
      <c r="AD297" s="362" t="n">
        <v>1965473</v>
      </c>
      <c r="AE297" s="360" t="n">
        <v>0</v>
      </c>
      <c r="AF297" s="615" t="n">
        <v>0</v>
      </c>
      <c r="AG297" s="203" t="n">
        <v>0</v>
      </c>
      <c r="AH297" s="203" t="n">
        <v>0</v>
      </c>
      <c r="AI297" s="203" t="n">
        <v>0</v>
      </c>
      <c r="AJ297" s="203" t="n">
        <v>0</v>
      </c>
      <c r="AK297" s="203" t="n">
        <v>0</v>
      </c>
      <c r="AL297" s="203" t="n">
        <v>0.01</v>
      </c>
      <c r="AM297" s="203" t="n">
        <v>0</v>
      </c>
      <c r="AN297" s="203" t="inlineStr">
        <is>
          <t>CP1 CONTAINER PROTECT ESSENTIAL</t>
        </is>
      </c>
      <c r="AO297" s="203" t="inlineStr">
        <is>
          <t>បានប្រកាសនិងបង់ពន្ធ</t>
        </is>
      </c>
    </row>
    <row r="298">
      <c r="A298" s="220">
        <f>A297+1</f>
        <v/>
      </c>
      <c r="B298" s="222" t="inlineStr">
        <is>
          <t>Terminal Handling Charge-Im</t>
        </is>
      </c>
      <c r="C298" s="222" t="inlineStr">
        <is>
          <t>MAERSK (CAMBODIA) LTD.</t>
        </is>
      </c>
      <c r="D298" s="223" t="inlineStr">
        <is>
          <t>L001-100045200</t>
        </is>
      </c>
      <c r="E298" s="349" t="n">
        <v>7676136178</v>
      </c>
      <c r="F298" s="332" t="n">
        <v>45803</v>
      </c>
      <c r="G298" s="224" t="n"/>
      <c r="H298" s="617" t="n"/>
      <c r="I298" s="617" t="n">
        <v>2741370</v>
      </c>
      <c r="J298" s="221" t="inlineStr">
        <is>
          <t>អនុញ្ញាត (បានប្រកាស)</t>
        </is>
      </c>
      <c r="K298" s="221" t="n"/>
      <c r="L298" s="616">
        <f>I298</f>
        <v/>
      </c>
      <c r="M298" s="588">
        <f>I298-L298</f>
        <v/>
      </c>
      <c r="N298" s="221" t="n"/>
      <c r="O298" s="226">
        <f>U298=E298</f>
        <v/>
      </c>
      <c r="P298" s="226">
        <f>MONTH(F298)-MONTH(T298)</f>
        <v/>
      </c>
      <c r="Q298" s="226">
        <f>$B$5=X298</f>
        <v/>
      </c>
      <c r="R298" s="226">
        <f>I298-AD298</f>
        <v/>
      </c>
      <c r="S298" s="360" t="n"/>
      <c r="T298" s="361" t="n">
        <v>45803</v>
      </c>
      <c r="U298" s="360" t="n">
        <v>7676136178</v>
      </c>
      <c r="V298" s="360" t="n">
        <v>0</v>
      </c>
      <c r="W298" s="360" t="inlineStr">
        <is>
          <t>បុគ្គលជាប់អាករ</t>
        </is>
      </c>
      <c r="X298" s="360" t="inlineStr">
        <is>
          <t>L001-901640009</t>
        </is>
      </c>
      <c r="Y298" s="360" t="inlineStr">
        <is>
          <t>ហូលីដេ ឌីហ្សាញ (ខេមបូឌា) ឯ.ក</t>
        </is>
      </c>
      <c r="Z298" s="362" t="n">
        <v>30155070</v>
      </c>
      <c r="AA298" s="362" t="n">
        <v>27413700</v>
      </c>
      <c r="AB298" s="360" t="n">
        <v>0</v>
      </c>
      <c r="AC298" s="360" t="inlineStr">
        <is>
          <t>-</t>
        </is>
      </c>
      <c r="AD298" s="362" t="n">
        <v>2741370</v>
      </c>
      <c r="AE298" s="360" t="n">
        <v>0</v>
      </c>
      <c r="AF298" s="615" t="n">
        <v>0</v>
      </c>
      <c r="AG298" s="203" t="n">
        <v>0</v>
      </c>
      <c r="AH298" s="203" t="n">
        <v>0</v>
      </c>
      <c r="AI298" s="203" t="n">
        <v>0</v>
      </c>
      <c r="AJ298" s="203" t="n">
        <v>0</v>
      </c>
      <c r="AK298" s="203" t="n">
        <v>0</v>
      </c>
      <c r="AL298" s="203" t="n">
        <v>0.01</v>
      </c>
      <c r="AM298" s="203" t="n">
        <v>0</v>
      </c>
      <c r="AN298" s="203" t="inlineStr">
        <is>
          <t>CP1 CONTAINER PROTECT ESSENTIAL</t>
        </is>
      </c>
      <c r="AO298" s="203" t="inlineStr">
        <is>
          <t>បានប្រកាសនិងបង់ពន្ធ</t>
        </is>
      </c>
    </row>
    <row r="299">
      <c r="A299" s="220">
        <f>A298+1</f>
        <v/>
      </c>
      <c r="B299" s="222" t="inlineStr">
        <is>
          <t>Toyota Hiace 2025</t>
        </is>
      </c>
      <c r="C299" s="222" t="inlineStr">
        <is>
          <t>TOYOTA (CAMBODIA) CO., LTD.</t>
        </is>
      </c>
      <c r="D299" s="223" t="inlineStr">
        <is>
          <t>L001-100049648</t>
        </is>
      </c>
      <c r="E299" s="349" t="inlineStr">
        <is>
          <t>HQTI-00271</t>
        </is>
      </c>
      <c r="F299" s="332" t="n">
        <v>45776</v>
      </c>
      <c r="G299" s="224" t="n"/>
      <c r="H299" s="617" t="n"/>
      <c r="I299" s="617" t="n">
        <v>23617700</v>
      </c>
      <c r="J299" s="221" t="inlineStr">
        <is>
          <t>អនុញ្ញាត (បានប្រកាស)</t>
        </is>
      </c>
      <c r="K299" s="221" t="n"/>
      <c r="L299" s="616">
        <f>I299</f>
        <v/>
      </c>
      <c r="M299" s="588">
        <f>I299-L299</f>
        <v/>
      </c>
      <c r="N299" s="221" t="inlineStr">
        <is>
          <t>បានពិនិត្យវិក្កយបត្រ</t>
        </is>
      </c>
      <c r="O299" s="226">
        <f>U299=E299</f>
        <v/>
      </c>
      <c r="P299" s="226">
        <f>MONTH(F299)-MONTH(T299)</f>
        <v/>
      </c>
      <c r="Q299" s="226">
        <f>$B$5=X299</f>
        <v/>
      </c>
      <c r="R299" s="226">
        <f>I299-AD299</f>
        <v/>
      </c>
      <c r="S299" s="360" t="n"/>
      <c r="T299" s="361" t="n">
        <v>45776</v>
      </c>
      <c r="U299" s="360" t="inlineStr">
        <is>
          <t>HQTI-00271</t>
        </is>
      </c>
      <c r="V299" s="360" t="n">
        <v>0</v>
      </c>
      <c r="W299" s="360" t="inlineStr">
        <is>
          <t>បុគ្គលជាប់អាករ</t>
        </is>
      </c>
      <c r="X299" s="360" t="inlineStr">
        <is>
          <t>L001-901640009</t>
        </is>
      </c>
      <c r="Y299" s="360" t="inlineStr">
        <is>
          <t>ហូលីដេ ឌីហ្សាញ (ខេមបូឌា) ឯ.ក</t>
        </is>
      </c>
      <c r="Z299" s="362" t="n">
        <v>259794700</v>
      </c>
      <c r="AA299" s="362" t="n">
        <v>236177000</v>
      </c>
      <c r="AB299" s="360" t="n">
        <v>0</v>
      </c>
      <c r="AC299" s="360" t="inlineStr">
        <is>
          <t>-</t>
        </is>
      </c>
      <c r="AD299" s="362" t="n">
        <v>23617700</v>
      </c>
      <c r="AE299" s="360" t="n">
        <v>0</v>
      </c>
      <c r="AF299" s="615" t="n">
        <v>0</v>
      </c>
      <c r="AG299" s="203" t="n">
        <v>0</v>
      </c>
      <c r="AH299" s="203" t="n">
        <v>0</v>
      </c>
      <c r="AI299" s="203" t="n">
        <v>0</v>
      </c>
      <c r="AJ299" s="203" t="n">
        <v>0</v>
      </c>
      <c r="AK299" s="203" t="n">
        <v>0</v>
      </c>
      <c r="AL299" s="203" t="n">
        <v>0.01</v>
      </c>
      <c r="AM299" s="203" t="n">
        <v>0</v>
      </c>
      <c r="AN299" s="203" t="inlineStr">
        <is>
          <t>Sale New CAR - WHS-DFL-2024/12-000029</t>
        </is>
      </c>
      <c r="AO299" s="203" t="inlineStr">
        <is>
          <t>បានប្រកាសនិងបង់ពន្ធ</t>
        </is>
      </c>
    </row>
    <row r="300">
      <c r="A300" s="220">
        <f>A299+1</f>
        <v/>
      </c>
      <c r="B300" s="222" t="inlineStr">
        <is>
          <t>THC, Doc, EMF, CIC Fee-Im</t>
        </is>
      </c>
      <c r="C300" s="222" t="inlineStr">
        <is>
          <t>KERRY LOGISTICS (CAMBODIA) PTE. LTD.</t>
        </is>
      </c>
      <c r="D300" s="223" t="inlineStr">
        <is>
          <t>L001-100074669</t>
        </is>
      </c>
      <c r="E300" s="349" t="inlineStr">
        <is>
          <t>IVO20152</t>
        </is>
      </c>
      <c r="F300" s="332" t="n">
        <v>45649</v>
      </c>
      <c r="G300" s="224" t="n"/>
      <c r="H300" s="617" t="n"/>
      <c r="I300" s="617" t="n">
        <v>1790910</v>
      </c>
      <c r="J300" s="221" t="inlineStr">
        <is>
          <t>អនុញ្ញាត (បានប្រកាស)</t>
        </is>
      </c>
      <c r="K300" s="221" t="n"/>
      <c r="L300" s="616">
        <f>I300</f>
        <v/>
      </c>
      <c r="M300" s="588">
        <f>I300-L300</f>
        <v/>
      </c>
      <c r="N300" s="221" t="n"/>
      <c r="O300" s="226">
        <f>U300=E300</f>
        <v/>
      </c>
      <c r="P300" s="226">
        <f>MONTH(F300)-MONTH(T300)</f>
        <v/>
      </c>
      <c r="Q300" s="226">
        <f>$B$5=X300</f>
        <v/>
      </c>
      <c r="R300" s="226">
        <f>I300-AD300</f>
        <v/>
      </c>
      <c r="S300" s="360" t="n"/>
      <c r="T300" s="361" t="n">
        <v>45649</v>
      </c>
      <c r="U300" s="360" t="inlineStr">
        <is>
          <t>IVO20152</t>
        </is>
      </c>
      <c r="V300" s="360" t="n">
        <v>0</v>
      </c>
      <c r="W300" s="360" t="inlineStr">
        <is>
          <t>បុគ្គលជាប់អាករ</t>
        </is>
      </c>
      <c r="X300" s="360" t="inlineStr">
        <is>
          <t>L001-901640009</t>
        </is>
      </c>
      <c r="Y300" s="360" t="inlineStr">
        <is>
          <t>ហូលីដេ ឌីហ្សាញ (ខេមបូឌា) ឯ.ក</t>
        </is>
      </c>
      <c r="Z300" s="362" t="n">
        <v>19700010</v>
      </c>
      <c r="AA300" s="362" t="n">
        <v>17909100</v>
      </c>
      <c r="AB300" s="360" t="n">
        <v>0</v>
      </c>
      <c r="AC300" s="360" t="inlineStr">
        <is>
          <t>-</t>
        </is>
      </c>
      <c r="AD300" s="362" t="n">
        <v>1790910</v>
      </c>
      <c r="AE300" s="360" t="n">
        <v>0</v>
      </c>
      <c r="AF300" s="615" t="n">
        <v>0</v>
      </c>
      <c r="AG300" s="203" t="n">
        <v>0</v>
      </c>
      <c r="AH300" s="203" t="n">
        <v>0</v>
      </c>
      <c r="AI300" s="203" t="n">
        <v>0</v>
      </c>
      <c r="AJ300" s="203" t="n">
        <v>0</v>
      </c>
      <c r="AK300" s="203" t="n">
        <v>0</v>
      </c>
      <c r="AL300" s="203" t="n">
        <v>0.01</v>
      </c>
      <c r="AM300" s="203" t="n">
        <v>0</v>
      </c>
      <c r="AN300" s="203" t="inlineStr">
        <is>
          <t>នាំចូលទំនិញតាមផ្លូវទឹក</t>
        </is>
      </c>
      <c r="AO300" s="203" t="inlineStr">
        <is>
          <t>បានប្រកាសនិងបង់ពន្ធ</t>
        </is>
      </c>
    </row>
    <row r="301">
      <c r="A301" s="220">
        <f>A300+1</f>
        <v/>
      </c>
      <c r="B301" s="222" t="inlineStr">
        <is>
          <t>THC, Doc, EMF, CIC Fee-Im</t>
        </is>
      </c>
      <c r="C301" s="222" t="inlineStr">
        <is>
          <t>KERRY LOGISTICS (CAMBODIA) PTE. LTD.</t>
        </is>
      </c>
      <c r="D301" s="223" t="inlineStr">
        <is>
          <t>L001-100074669</t>
        </is>
      </c>
      <c r="E301" s="349" t="inlineStr">
        <is>
          <t>IVP00411</t>
        </is>
      </c>
      <c r="F301" s="332" t="n">
        <v>45667</v>
      </c>
      <c r="G301" s="224" t="n"/>
      <c r="H301" s="617" t="n"/>
      <c r="I301" s="617" t="n">
        <v>1800711</v>
      </c>
      <c r="J301" s="221" t="inlineStr">
        <is>
          <t>អនុញ្ញាត (បានប្រកាស)</t>
        </is>
      </c>
      <c r="K301" s="221" t="n"/>
      <c r="L301" s="616">
        <f>I301</f>
        <v/>
      </c>
      <c r="M301" s="588">
        <f>I301-L301</f>
        <v/>
      </c>
      <c r="N301" s="221" t="n"/>
      <c r="O301" s="226">
        <f>U301=E301</f>
        <v/>
      </c>
      <c r="P301" s="226">
        <f>MONTH(F301)-MONTH(T301)</f>
        <v/>
      </c>
      <c r="Q301" s="226">
        <f>$B$5=X301</f>
        <v/>
      </c>
      <c r="R301" s="226">
        <f>I301-AD301</f>
        <v/>
      </c>
      <c r="S301" s="360" t="n"/>
      <c r="T301" s="361" t="n">
        <v>45667</v>
      </c>
      <c r="U301" s="360" t="inlineStr">
        <is>
          <t>IVP00411</t>
        </is>
      </c>
      <c r="V301" s="360" t="n">
        <v>0</v>
      </c>
      <c r="W301" s="360" t="inlineStr">
        <is>
          <t>បុគ្គលជាប់អាករ</t>
        </is>
      </c>
      <c r="X301" s="360" t="inlineStr">
        <is>
          <t>L001-901640009</t>
        </is>
      </c>
      <c r="Y301" s="360" t="inlineStr">
        <is>
          <t>ហូលីដេ ឌីហ្សាញ (ខេមបូឌា) ឯ.ក</t>
        </is>
      </c>
      <c r="Z301" s="362" t="n">
        <v>19807821</v>
      </c>
      <c r="AA301" s="362" t="n">
        <v>18007110</v>
      </c>
      <c r="AB301" s="360" t="n">
        <v>0</v>
      </c>
      <c r="AC301" s="360" t="inlineStr">
        <is>
          <t>-</t>
        </is>
      </c>
      <c r="AD301" s="362" t="n">
        <v>1800711</v>
      </c>
      <c r="AE301" s="360" t="n">
        <v>0</v>
      </c>
      <c r="AF301" s="615" t="n">
        <v>0</v>
      </c>
      <c r="AG301" s="203" t="n">
        <v>0</v>
      </c>
      <c r="AH301" s="203" t="n">
        <v>0</v>
      </c>
      <c r="AI301" s="203" t="n">
        <v>0</v>
      </c>
      <c r="AJ301" s="203" t="n">
        <v>0</v>
      </c>
      <c r="AK301" s="203" t="n">
        <v>0</v>
      </c>
      <c r="AL301" s="203" t="n">
        <v>0.01</v>
      </c>
      <c r="AM301" s="203" t="n">
        <v>0</v>
      </c>
      <c r="AN301" s="203" t="inlineStr">
        <is>
          <t>នាំចូលទំនិញតាមផ្លូវទឹក</t>
        </is>
      </c>
      <c r="AO301" s="203" t="inlineStr">
        <is>
          <t>បានប្រកាសនិងបង់ពន្ធ</t>
        </is>
      </c>
    </row>
    <row r="302">
      <c r="A302" s="220">
        <f>A301+1</f>
        <v/>
      </c>
      <c r="B302" s="222" t="inlineStr">
        <is>
          <t>THC, Doc, EMF, CIC Fee-Im</t>
        </is>
      </c>
      <c r="C302" s="222" t="inlineStr">
        <is>
          <t>KERRY LOGISTICS (CAMBODIA) PTE. LTD.</t>
        </is>
      </c>
      <c r="D302" s="223" t="inlineStr">
        <is>
          <t>L001-100074669</t>
        </is>
      </c>
      <c r="E302" s="349" t="inlineStr">
        <is>
          <t>IVP00210</t>
        </is>
      </c>
      <c r="F302" s="332" t="n">
        <v>45667</v>
      </c>
      <c r="G302" s="224" t="n"/>
      <c r="H302" s="617" t="n"/>
      <c r="I302" s="617" t="n">
        <v>1800711</v>
      </c>
      <c r="J302" s="221" t="inlineStr">
        <is>
          <t>អនុញ្ញាត (បានប្រកាស)</t>
        </is>
      </c>
      <c r="K302" s="221" t="n"/>
      <c r="L302" s="616">
        <f>I302</f>
        <v/>
      </c>
      <c r="M302" s="588">
        <f>I302-L302</f>
        <v/>
      </c>
      <c r="N302" s="221" t="n"/>
      <c r="O302" s="226">
        <f>U302=E302</f>
        <v/>
      </c>
      <c r="P302" s="226">
        <f>MONTH(F302)-MONTH(T302)</f>
        <v/>
      </c>
      <c r="Q302" s="226">
        <f>$B$5=X302</f>
        <v/>
      </c>
      <c r="R302" s="226">
        <f>I302-AD302</f>
        <v/>
      </c>
      <c r="S302" s="360" t="n"/>
      <c r="T302" s="361" t="n">
        <v>45667</v>
      </c>
      <c r="U302" s="360" t="inlineStr">
        <is>
          <t>IVP00210</t>
        </is>
      </c>
      <c r="V302" s="360" t="n">
        <v>0</v>
      </c>
      <c r="W302" s="360" t="inlineStr">
        <is>
          <t>បុគ្គលជាប់អាករ</t>
        </is>
      </c>
      <c r="X302" s="360" t="inlineStr">
        <is>
          <t>L001-901640009</t>
        </is>
      </c>
      <c r="Y302" s="360" t="inlineStr">
        <is>
          <t>ហូលីដេ ឌីហ្សាញ (ខេមបូឌា) ឯ.ក</t>
        </is>
      </c>
      <c r="Z302" s="362" t="n">
        <v>19807821</v>
      </c>
      <c r="AA302" s="362" t="n">
        <v>18007110</v>
      </c>
      <c r="AB302" s="360" t="n">
        <v>0</v>
      </c>
      <c r="AC302" s="360" t="inlineStr">
        <is>
          <t>-</t>
        </is>
      </c>
      <c r="AD302" s="362" t="n">
        <v>1800711</v>
      </c>
      <c r="AE302" s="360" t="n">
        <v>0</v>
      </c>
      <c r="AF302" s="615" t="n">
        <v>0</v>
      </c>
      <c r="AG302" s="203" t="n">
        <v>0</v>
      </c>
      <c r="AH302" s="203" t="n">
        <v>0</v>
      </c>
      <c r="AI302" s="203" t="n">
        <v>0</v>
      </c>
      <c r="AJ302" s="203" t="n">
        <v>0</v>
      </c>
      <c r="AK302" s="203" t="n">
        <v>0</v>
      </c>
      <c r="AL302" s="203" t="n">
        <v>0.01</v>
      </c>
      <c r="AM302" s="203" t="n">
        <v>0</v>
      </c>
      <c r="AN302" s="203" t="inlineStr">
        <is>
          <t>នាំចូលទំនិញតាមផ្លូវទឹក</t>
        </is>
      </c>
      <c r="AO302" s="203" t="inlineStr">
        <is>
          <t>បានប្រកាសនិងបង់ពន្ធ</t>
        </is>
      </c>
    </row>
    <row r="303">
      <c r="A303" s="220">
        <f>A302+1</f>
        <v/>
      </c>
      <c r="B303" s="222" t="inlineStr">
        <is>
          <t>Lift-On &amp; Lift-On-Im</t>
        </is>
      </c>
      <c r="C303" s="222" t="inlineStr">
        <is>
          <t>Port Autonome Du Sihanoukville</t>
        </is>
      </c>
      <c r="D303" s="223" t="inlineStr">
        <is>
          <t>L001-100044638</t>
        </is>
      </c>
      <c r="E303" s="349" t="n">
        <v>202500095405</v>
      </c>
      <c r="F303" s="332" t="n">
        <v>45776</v>
      </c>
      <c r="G303" s="224" t="n"/>
      <c r="H303" s="617" t="n"/>
      <c r="I303" s="617" t="n">
        <v>182537</v>
      </c>
      <c r="J303" s="221" t="inlineStr">
        <is>
          <t>អនុញ្ញាត (បានប្រកាស)</t>
        </is>
      </c>
      <c r="K303" s="221" t="n"/>
      <c r="L303" s="616">
        <f>I303</f>
        <v/>
      </c>
      <c r="M303" s="588">
        <f>I303-L303</f>
        <v/>
      </c>
      <c r="N303" s="221" t="n"/>
      <c r="O303" s="226">
        <f>U303=E303</f>
        <v/>
      </c>
      <c r="P303" s="226">
        <f>MONTH(F303)-MONTH(T303)</f>
        <v/>
      </c>
      <c r="Q303" s="226">
        <f>$B$5=X303</f>
        <v/>
      </c>
      <c r="R303" s="226">
        <f>I303-AD303</f>
        <v/>
      </c>
      <c r="S303" s="360" t="n"/>
      <c r="T303" s="361" t="n">
        <v>45776</v>
      </c>
      <c r="U303" s="360" t="n">
        <v>202500095405</v>
      </c>
      <c r="V303" s="360" t="n">
        <v>0</v>
      </c>
      <c r="W303" s="360" t="inlineStr">
        <is>
          <t>បុគ្គលជាប់អាករ</t>
        </is>
      </c>
      <c r="X303" s="360" t="inlineStr">
        <is>
          <t>L001-901640009</t>
        </is>
      </c>
      <c r="Y303" s="360" t="inlineStr">
        <is>
          <t>ហូលីដេ ឌីហ្សាញ (ខេមបូឌា) ឯ.ក</t>
        </is>
      </c>
      <c r="Z303" s="362" t="n">
        <v>2007905</v>
      </c>
      <c r="AA303" s="362" t="n">
        <v>1825368</v>
      </c>
      <c r="AB303" s="360" t="n">
        <v>0</v>
      </c>
      <c r="AC303" s="360" t="inlineStr">
        <is>
          <t>-</t>
        </is>
      </c>
      <c r="AD303" s="362" t="n">
        <v>182537</v>
      </c>
      <c r="AE303" s="360" t="n">
        <v>0</v>
      </c>
      <c r="AF303" s="615" t="n">
        <v>0</v>
      </c>
      <c r="AG303" s="203" t="n">
        <v>0</v>
      </c>
      <c r="AH303" s="203" t="n">
        <v>0</v>
      </c>
      <c r="AI303" s="203" t="n">
        <v>0</v>
      </c>
      <c r="AJ303" s="203" t="n">
        <v>0</v>
      </c>
      <c r="AK303" s="203" t="n">
        <v>0</v>
      </c>
      <c r="AL303" s="203" t="n">
        <v>0.01</v>
      </c>
      <c r="AM303" s="203" t="n">
        <v>0</v>
      </c>
      <c r="AN303" s="203" t="inlineStr">
        <is>
          <t>LOLO</t>
        </is>
      </c>
    </row>
    <row r="304">
      <c r="A304" s="220">
        <f>A303+1</f>
        <v/>
      </c>
      <c r="B304" s="222" t="inlineStr">
        <is>
          <t>THC, Doc, EMF, CIC Fee-Im</t>
        </is>
      </c>
      <c r="C304" s="222" t="inlineStr">
        <is>
          <t>KERRY LOGISTICS (CAMBODIA) PTE. LTD.</t>
        </is>
      </c>
      <c r="D304" s="223" t="inlineStr">
        <is>
          <t>L001-100074669</t>
        </is>
      </c>
      <c r="E304" s="349" t="inlineStr">
        <is>
          <t>IVP02766</t>
        </is>
      </c>
      <c r="F304" s="332" t="n">
        <v>45705</v>
      </c>
      <c r="G304" s="224" t="n"/>
      <c r="H304" s="617" t="n"/>
      <c r="I304" s="617" t="n">
        <v>1784228</v>
      </c>
      <c r="J304" s="221" t="inlineStr">
        <is>
          <t>អនុញ្ញាត (បានប្រកាស)</t>
        </is>
      </c>
      <c r="K304" s="618">
        <f>L304</f>
        <v/>
      </c>
      <c r="L304" s="616">
        <f>AD304</f>
        <v/>
      </c>
      <c r="M304" s="588">
        <f>I304-L304</f>
        <v/>
      </c>
      <c r="N304" s="221" t="n"/>
      <c r="O304" s="226">
        <f>U304=E304</f>
        <v/>
      </c>
      <c r="P304" s="226">
        <f>MONTH(F304)-MONTH(T304)</f>
        <v/>
      </c>
      <c r="Q304" s="226">
        <f>$B$5=X304</f>
        <v/>
      </c>
      <c r="R304" s="226">
        <f>I304-AD304</f>
        <v/>
      </c>
      <c r="S304" s="360" t="n"/>
      <c r="T304" s="361" t="n">
        <v>45705</v>
      </c>
      <c r="U304" s="360" t="inlineStr">
        <is>
          <t>IVP02766</t>
        </is>
      </c>
      <c r="V304" s="360" t="n">
        <v>0</v>
      </c>
      <c r="W304" s="360" t="inlineStr">
        <is>
          <t>បុគ្គលជាប់អាករ</t>
        </is>
      </c>
      <c r="X304" s="360" t="inlineStr">
        <is>
          <t>L001-901640009</t>
        </is>
      </c>
      <c r="Y304" s="360" t="inlineStr">
        <is>
          <t>ហូលីដេ ឌីហ្សាញ (ខេមបូឌា) ឯ.ក</t>
        </is>
      </c>
      <c r="Z304" s="362" t="n">
        <v>19626502</v>
      </c>
      <c r="AA304" s="362" t="n">
        <v>17842275</v>
      </c>
      <c r="AB304" s="360" t="n">
        <v>0</v>
      </c>
      <c r="AC304" s="360" t="inlineStr">
        <is>
          <t>-</t>
        </is>
      </c>
      <c r="AD304" s="362" t="n">
        <v>1784227</v>
      </c>
      <c r="AE304" s="360" t="n">
        <v>0</v>
      </c>
      <c r="AF304" s="615" t="n">
        <v>0</v>
      </c>
      <c r="AG304" s="203" t="n">
        <v>0</v>
      </c>
      <c r="AH304" s="203" t="n">
        <v>0</v>
      </c>
      <c r="AI304" s="203" t="n">
        <v>0</v>
      </c>
      <c r="AJ304" s="203" t="n">
        <v>0</v>
      </c>
      <c r="AK304" s="203" t="n">
        <v>0</v>
      </c>
      <c r="AL304" s="203" t="n">
        <v>0.01</v>
      </c>
      <c r="AM304" s="203" t="n">
        <v>0</v>
      </c>
      <c r="AN304" s="203" t="inlineStr">
        <is>
          <t>នាំចូលទំនិញតាមផ្លូវទឹក</t>
        </is>
      </c>
      <c r="AO304" s="203" t="inlineStr">
        <is>
          <t>បានប្រកាសនិងបង់ពន្ធ</t>
        </is>
      </c>
    </row>
    <row r="305">
      <c r="A305" s="220">
        <f>A304+1</f>
        <v/>
      </c>
      <c r="B305" s="222" t="inlineStr">
        <is>
          <t>THC, Doc, EMF, CIC Fee-Im</t>
        </is>
      </c>
      <c r="C305" s="222" t="inlineStr">
        <is>
          <t>KERRY LOGISTICS (CAMBODIA) PTE. LTD.</t>
        </is>
      </c>
      <c r="D305" s="223" t="inlineStr">
        <is>
          <t>L001-100074669</t>
        </is>
      </c>
      <c r="E305" s="349" t="inlineStr">
        <is>
          <t>IVP04437</t>
        </is>
      </c>
      <c r="F305" s="332" t="n">
        <v>45735</v>
      </c>
      <c r="G305" s="224" t="n"/>
      <c r="H305" s="617" t="n"/>
      <c r="I305" s="617" t="n">
        <v>1785564</v>
      </c>
      <c r="J305" s="221" t="inlineStr">
        <is>
          <t>អនុញ្ញាត (បានប្រកាស)</t>
        </is>
      </c>
      <c r="K305" s="221" t="n"/>
      <c r="L305" s="616">
        <f>I305</f>
        <v/>
      </c>
      <c r="M305" s="588">
        <f>I305-L305</f>
        <v/>
      </c>
      <c r="N305" s="221" t="n"/>
      <c r="O305" s="226">
        <f>U305=E305</f>
        <v/>
      </c>
      <c r="P305" s="226">
        <f>MONTH(F305)-MONTH(T305)</f>
        <v/>
      </c>
      <c r="Q305" s="226">
        <f>$B$5=X305</f>
        <v/>
      </c>
      <c r="R305" s="226">
        <f>I305-AD305</f>
        <v/>
      </c>
      <c r="S305" s="360" t="n"/>
      <c r="T305" s="361" t="n">
        <v>45735</v>
      </c>
      <c r="U305" s="360" t="inlineStr">
        <is>
          <t>IVP04437</t>
        </is>
      </c>
      <c r="V305" s="360" t="n">
        <v>0</v>
      </c>
      <c r="W305" s="360" t="inlineStr">
        <is>
          <t>បុគ្គលជាប់អាករ</t>
        </is>
      </c>
      <c r="X305" s="360" t="inlineStr">
        <is>
          <t>L001-901640009</t>
        </is>
      </c>
      <c r="Y305" s="360" t="inlineStr">
        <is>
          <t>ហូលីដេ ឌីហ្សាញ (ខេមបូឌា) ឯ.ក</t>
        </is>
      </c>
      <c r="Z305" s="362" t="n">
        <v>19641204</v>
      </c>
      <c r="AA305" s="362" t="n">
        <v>17855640</v>
      </c>
      <c r="AB305" s="360" t="n">
        <v>0</v>
      </c>
      <c r="AC305" s="360" t="inlineStr">
        <is>
          <t>-</t>
        </is>
      </c>
      <c r="AD305" s="362" t="n">
        <v>1785564</v>
      </c>
      <c r="AE305" s="360" t="n">
        <v>0</v>
      </c>
      <c r="AF305" s="615" t="n">
        <v>0</v>
      </c>
      <c r="AG305" s="203" t="n">
        <v>0</v>
      </c>
      <c r="AH305" s="203" t="n">
        <v>0</v>
      </c>
      <c r="AI305" s="203" t="n">
        <v>0</v>
      </c>
      <c r="AJ305" s="203" t="n">
        <v>0</v>
      </c>
      <c r="AK305" s="203" t="n">
        <v>0</v>
      </c>
      <c r="AL305" s="203" t="n">
        <v>0.01</v>
      </c>
      <c r="AM305" s="203" t="n">
        <v>0</v>
      </c>
      <c r="AN305" s="203" t="inlineStr">
        <is>
          <t>នាំចូលទំនិញតាមផ្លូវទឹក</t>
        </is>
      </c>
      <c r="AO305" s="203" t="inlineStr">
        <is>
          <t>បានប្រកាសនិងបង់ពន្ធ</t>
        </is>
      </c>
    </row>
    <row r="306">
      <c r="A306" s="220">
        <f>A305+1</f>
        <v/>
      </c>
      <c r="B306" s="222" t="inlineStr">
        <is>
          <t>THC, Doc, EMF, CIC Fee-Im</t>
        </is>
      </c>
      <c r="C306" s="222" t="inlineStr">
        <is>
          <t>KERRY LOGISTICS (CAMBODIA) PTE. LTD.</t>
        </is>
      </c>
      <c r="D306" s="223" t="inlineStr">
        <is>
          <t>L001-100074669</t>
        </is>
      </c>
      <c r="E306" s="349" t="inlineStr">
        <is>
          <t>IVP03489</t>
        </is>
      </c>
      <c r="F306" s="332" t="n">
        <v>45720</v>
      </c>
      <c r="G306" s="224" t="n"/>
      <c r="H306" s="617" t="n"/>
      <c r="I306" s="617" t="n">
        <v>904030</v>
      </c>
      <c r="J306" s="221" t="inlineStr">
        <is>
          <t>អនុញ្ញាត (បានប្រកាស)</t>
        </is>
      </c>
      <c r="K306" s="618">
        <f>L306</f>
        <v/>
      </c>
      <c r="L306" s="616">
        <f>AD306</f>
        <v/>
      </c>
      <c r="M306" s="588">
        <f>I306-L306</f>
        <v/>
      </c>
      <c r="N306" s="221" t="n"/>
      <c r="O306" s="226">
        <f>U306=E306</f>
        <v/>
      </c>
      <c r="P306" s="226">
        <f>MONTH(F306)-MONTH(T306)</f>
        <v/>
      </c>
      <c r="Q306" s="226">
        <f>$B$5=X306</f>
        <v/>
      </c>
      <c r="R306" s="226">
        <f>I306-AD306</f>
        <v/>
      </c>
      <c r="S306" s="360" t="n"/>
      <c r="T306" s="361" t="n">
        <v>45720</v>
      </c>
      <c r="U306" s="360" t="inlineStr">
        <is>
          <t>IVP03489</t>
        </is>
      </c>
      <c r="V306" s="360" t="n">
        <v>0</v>
      </c>
      <c r="W306" s="360" t="inlineStr">
        <is>
          <t>បុគ្គលជាប់អាករ</t>
        </is>
      </c>
      <c r="X306" s="360" t="inlineStr">
        <is>
          <t>L001-901640009</t>
        </is>
      </c>
      <c r="Y306" s="360" t="inlineStr">
        <is>
          <t>ហូលីដេ ឌីហ្សាញ (ខេមបូឌា) ឯ.ក</t>
        </is>
      </c>
      <c r="Z306" s="362" t="n">
        <v>9944324</v>
      </c>
      <c r="AA306" s="362" t="n">
        <v>9040295</v>
      </c>
      <c r="AB306" s="360" t="n">
        <v>0</v>
      </c>
      <c r="AC306" s="360" t="inlineStr">
        <is>
          <t>-</t>
        </is>
      </c>
      <c r="AD306" s="362" t="n">
        <v>904029</v>
      </c>
      <c r="AE306" s="360" t="n">
        <v>0</v>
      </c>
      <c r="AF306" s="615" t="n">
        <v>0</v>
      </c>
      <c r="AG306" s="203" t="n">
        <v>0</v>
      </c>
      <c r="AH306" s="203" t="n">
        <v>0</v>
      </c>
      <c r="AI306" s="203" t="n">
        <v>0</v>
      </c>
      <c r="AJ306" s="203" t="n">
        <v>0</v>
      </c>
      <c r="AK306" s="203" t="n">
        <v>0</v>
      </c>
      <c r="AL306" s="203" t="n">
        <v>0.01</v>
      </c>
      <c r="AM306" s="203" t="n">
        <v>0</v>
      </c>
      <c r="AN306" s="203" t="inlineStr">
        <is>
          <t>នាំចូលទំនិញតាមផ្លូវទឹក</t>
        </is>
      </c>
      <c r="AO306" s="203" t="inlineStr">
        <is>
          <t>បានប្រកាសនិងបង់ពន្ធ</t>
        </is>
      </c>
    </row>
    <row r="307">
      <c r="A307" s="220">
        <f>A306+1</f>
        <v/>
      </c>
      <c r="B307" s="222" t="inlineStr">
        <is>
          <t>Lift-On &amp; Lift-On-Im</t>
        </is>
      </c>
      <c r="C307" s="222" t="inlineStr">
        <is>
          <t>Port Autonome Du Sihanoukville</t>
        </is>
      </c>
      <c r="D307" s="223" t="inlineStr">
        <is>
          <t>L001-100044638</t>
        </is>
      </c>
      <c r="E307" s="349" t="n">
        <v>202500096098</v>
      </c>
      <c r="F307" s="332" t="n">
        <v>45776</v>
      </c>
      <c r="G307" s="224" t="n"/>
      <c r="H307" s="617" t="n"/>
      <c r="I307" s="617" t="n">
        <v>174131</v>
      </c>
      <c r="J307" s="221" t="inlineStr">
        <is>
          <t>អនុញ្ញាត (បានប្រកាស)</t>
        </is>
      </c>
      <c r="K307" s="221" t="n"/>
      <c r="L307" s="616">
        <f>I307</f>
        <v/>
      </c>
      <c r="M307" s="588">
        <f>I307-L307</f>
        <v/>
      </c>
      <c r="N307" s="221" t="n"/>
      <c r="O307" s="226">
        <f>U307=E307</f>
        <v/>
      </c>
      <c r="P307" s="226">
        <f>MONTH(F307)-MONTH(T307)</f>
        <v/>
      </c>
      <c r="Q307" s="226">
        <f>$B$5=X307</f>
        <v/>
      </c>
      <c r="R307" s="226">
        <f>I307-AD307</f>
        <v/>
      </c>
      <c r="S307" s="360" t="n"/>
      <c r="T307" s="361" t="n">
        <v>45776</v>
      </c>
      <c r="U307" s="360" t="n">
        <v>202500096098</v>
      </c>
      <c r="V307" s="360" t="n">
        <v>0</v>
      </c>
      <c r="W307" s="360" t="inlineStr">
        <is>
          <t>បុគ្គលជាប់អាករ</t>
        </is>
      </c>
      <c r="X307" s="360" t="inlineStr">
        <is>
          <t>L001-901640009</t>
        </is>
      </c>
      <c r="Y307" s="360" t="inlineStr">
        <is>
          <t>ហូលីដេ ឌីហ្សាញ (ខេមបូឌា) ឯ.ក</t>
        </is>
      </c>
      <c r="Z307" s="362" t="n">
        <v>1915436</v>
      </c>
      <c r="AA307" s="362" t="n">
        <v>1741305</v>
      </c>
      <c r="AB307" s="360" t="n">
        <v>0</v>
      </c>
      <c r="AC307" s="360" t="inlineStr">
        <is>
          <t>-</t>
        </is>
      </c>
      <c r="AD307" s="362" t="n">
        <v>174131</v>
      </c>
      <c r="AE307" s="360" t="n">
        <v>0</v>
      </c>
      <c r="AF307" s="615" t="n">
        <v>0</v>
      </c>
      <c r="AG307" s="203" t="n">
        <v>0</v>
      </c>
      <c r="AH307" s="203" t="n">
        <v>0</v>
      </c>
      <c r="AI307" s="203" t="n">
        <v>0</v>
      </c>
      <c r="AJ307" s="203" t="n">
        <v>0</v>
      </c>
      <c r="AK307" s="203" t="n">
        <v>0</v>
      </c>
      <c r="AL307" s="203" t="n">
        <v>0.01</v>
      </c>
      <c r="AM307" s="203" t="n">
        <v>0</v>
      </c>
      <c r="AN307" s="203" t="inlineStr">
        <is>
          <t>LOLO</t>
        </is>
      </c>
    </row>
    <row r="308">
      <c r="A308" s="220">
        <f>A307+1</f>
        <v/>
      </c>
      <c r="B308" s="222" t="inlineStr">
        <is>
          <t>THC, Doc, EMF, CIC Fee-Im</t>
        </is>
      </c>
      <c r="C308" s="222" t="inlineStr">
        <is>
          <t>KERRY LOGISTICS (CAMBODIA) PTE. LTD.</t>
        </is>
      </c>
      <c r="D308" s="223" t="inlineStr">
        <is>
          <t>L001-100074669</t>
        </is>
      </c>
      <c r="E308" s="349" t="inlineStr">
        <is>
          <t>IVP05325</t>
        </is>
      </c>
      <c r="F308" s="332" t="n">
        <v>45751</v>
      </c>
      <c r="G308" s="224" t="n"/>
      <c r="H308" s="617" t="n"/>
      <c r="I308" s="617" t="n">
        <v>902677</v>
      </c>
      <c r="J308" s="221" t="inlineStr">
        <is>
          <t>អនុញ្ញាត (បានប្រកាស)</t>
        </is>
      </c>
      <c r="K308" s="221" t="n"/>
      <c r="L308" s="616">
        <f>I308</f>
        <v/>
      </c>
      <c r="M308" s="588">
        <f>I308-L308</f>
        <v/>
      </c>
      <c r="N308" s="221" t="n"/>
      <c r="O308" s="226">
        <f>U308=E308</f>
        <v/>
      </c>
      <c r="P308" s="226">
        <f>MONTH(F308)-MONTH(T308)</f>
        <v/>
      </c>
      <c r="Q308" s="226">
        <f>$B$5=X308</f>
        <v/>
      </c>
      <c r="R308" s="226">
        <f>I308-AD308</f>
        <v/>
      </c>
      <c r="S308" s="360" t="n"/>
      <c r="T308" s="361" t="n">
        <v>45751</v>
      </c>
      <c r="U308" s="360" t="inlineStr">
        <is>
          <t>IVP05325</t>
        </is>
      </c>
      <c r="V308" s="360" t="n">
        <v>0</v>
      </c>
      <c r="W308" s="360" t="inlineStr">
        <is>
          <t>បុគ្គលជាប់អាករ</t>
        </is>
      </c>
      <c r="X308" s="360" t="inlineStr">
        <is>
          <t>L001-901640009</t>
        </is>
      </c>
      <c r="Y308" s="360" t="inlineStr">
        <is>
          <t>ហូលីដេ ឌីហ្សាញ (ខេមបូឌា) ឯ.ក</t>
        </is>
      </c>
      <c r="Z308" s="362" t="n">
        <v>9929442</v>
      </c>
      <c r="AA308" s="362" t="n">
        <v>9026765</v>
      </c>
      <c r="AB308" s="360" t="n">
        <v>0</v>
      </c>
      <c r="AC308" s="360" t="inlineStr">
        <is>
          <t>-</t>
        </is>
      </c>
      <c r="AD308" s="362" t="n">
        <v>902677</v>
      </c>
      <c r="AE308" s="360" t="n">
        <v>0</v>
      </c>
      <c r="AF308" s="615" t="n">
        <v>0</v>
      </c>
      <c r="AG308" s="203" t="n">
        <v>0</v>
      </c>
      <c r="AH308" s="203" t="n">
        <v>0</v>
      </c>
      <c r="AI308" s="203" t="n">
        <v>0</v>
      </c>
      <c r="AJ308" s="203" t="n">
        <v>0</v>
      </c>
      <c r="AK308" s="203" t="n">
        <v>0</v>
      </c>
      <c r="AL308" s="203" t="n">
        <v>0.01</v>
      </c>
      <c r="AM308" s="203" t="n">
        <v>0</v>
      </c>
      <c r="AN308" s="203" t="inlineStr">
        <is>
          <t>នាំចូលទំនិញតាមផ្លូវទឹក</t>
        </is>
      </c>
      <c r="AO308" s="203" t="inlineStr">
        <is>
          <t>បានប្រកាសនិងបង់ពន្ធ</t>
        </is>
      </c>
    </row>
    <row r="309">
      <c r="A309" s="220">
        <f>A308+1</f>
        <v/>
      </c>
      <c r="B309" s="222" t="inlineStr">
        <is>
          <t>Trucking &amp; Clearance-Im</t>
        </is>
      </c>
      <c r="C309" s="222" t="inlineStr">
        <is>
          <t>BRILLIANT TRANSPORT AND TRADING Co., Ltd.</t>
        </is>
      </c>
      <c r="D309" s="223" t="inlineStr">
        <is>
          <t>K002-100089305</t>
        </is>
      </c>
      <c r="E309" s="349" t="inlineStr">
        <is>
          <t>BTT25-0000926</t>
        </is>
      </c>
      <c r="F309" s="332" t="n">
        <v>45776</v>
      </c>
      <c r="G309" s="224" t="n"/>
      <c r="H309" s="617" t="n"/>
      <c r="I309" s="617" t="n">
        <v>1084813</v>
      </c>
      <c r="J309" s="221" t="inlineStr">
        <is>
          <t>អនុញ្ញាត (បានប្រកាស)</t>
        </is>
      </c>
      <c r="K309" s="221" t="n"/>
      <c r="L309" s="616">
        <f>I309</f>
        <v/>
      </c>
      <c r="M309" s="588">
        <f>I309-L309</f>
        <v/>
      </c>
      <c r="N309" s="221" t="n"/>
      <c r="O309" s="226">
        <f>U309=E309</f>
        <v/>
      </c>
      <c r="P309" s="226">
        <f>MONTH(F309)-MONTH(T309)</f>
        <v/>
      </c>
      <c r="Q309" s="226">
        <f>$B$5=X309</f>
        <v/>
      </c>
      <c r="R309" s="226">
        <f>I309-AD309</f>
        <v/>
      </c>
      <c r="S309" s="360" t="n"/>
      <c r="T309" s="361" t="n">
        <v>45776</v>
      </c>
      <c r="U309" s="360" t="inlineStr">
        <is>
          <t>BTT25-0000926</t>
        </is>
      </c>
      <c r="V309" s="360" t="n">
        <v>0</v>
      </c>
      <c r="W309" s="360" t="inlineStr">
        <is>
          <t>បុគ្គលជាប់អាករ</t>
        </is>
      </c>
      <c r="X309" s="360" t="inlineStr">
        <is>
          <t>L001-901640009</t>
        </is>
      </c>
      <c r="Y309" s="360" t="inlineStr">
        <is>
          <t>ហូលីដេ ឌីហ្សាញ (ខេមបូឌា) ឯ.ក</t>
        </is>
      </c>
      <c r="Z309" s="362" t="n">
        <v>11932943</v>
      </c>
      <c r="AA309" s="362" t="n">
        <v>10848130</v>
      </c>
      <c r="AB309" s="360" t="n">
        <v>0</v>
      </c>
      <c r="AC309" s="360" t="inlineStr">
        <is>
          <t>-</t>
        </is>
      </c>
      <c r="AD309" s="362" t="n">
        <v>1084813</v>
      </c>
      <c r="AE309" s="360" t="n">
        <v>0</v>
      </c>
      <c r="AF309" s="615" t="n">
        <v>0</v>
      </c>
      <c r="AG309" s="203" t="n">
        <v>0</v>
      </c>
      <c r="AH309" s="203" t="n">
        <v>0</v>
      </c>
      <c r="AI309" s="203" t="n">
        <v>0</v>
      </c>
      <c r="AJ309" s="203" t="n">
        <v>0</v>
      </c>
      <c r="AK309" s="203" t="n">
        <v>0</v>
      </c>
      <c r="AL309" s="203" t="n">
        <v>0.01</v>
      </c>
      <c r="AM309" s="203" t="n">
        <v>0</v>
      </c>
      <c r="AN309" s="203" t="inlineStr">
        <is>
          <t>Truking / Service</t>
        </is>
      </c>
    </row>
    <row r="310">
      <c r="A310" s="220">
        <f>A309+1</f>
        <v/>
      </c>
      <c r="B310" s="222" t="inlineStr">
        <is>
          <t>Terminal Handling Charge</t>
        </is>
      </c>
      <c r="C310" s="222" t="inlineStr">
        <is>
          <t>SITC CONTAINER LINES (CAMBODIA) Co., Ltd.</t>
        </is>
      </c>
      <c r="D310" s="223" t="inlineStr">
        <is>
          <t>L001-107035863</t>
        </is>
      </c>
      <c r="E310" s="349" t="inlineStr">
        <is>
          <t>SITC2025-014140</t>
        </is>
      </c>
      <c r="F310" s="332" t="n">
        <v>45772</v>
      </c>
      <c r="G310" s="224" t="n"/>
      <c r="H310" s="617" t="n"/>
      <c r="I310" s="617" t="n">
        <v>984738</v>
      </c>
      <c r="J310" s="221" t="inlineStr">
        <is>
          <t>អនុញ្ញាត (បានប្រកាស)</t>
        </is>
      </c>
      <c r="K310" s="221" t="n"/>
      <c r="L310" s="616">
        <f>I310</f>
        <v/>
      </c>
      <c r="M310" s="588">
        <f>I310-L310</f>
        <v/>
      </c>
      <c r="N310" s="221" t="n"/>
      <c r="O310" s="226">
        <f>U310=E310</f>
        <v/>
      </c>
      <c r="P310" s="226">
        <f>MONTH(F310)-MONTH(T310)</f>
        <v/>
      </c>
      <c r="Q310" s="226">
        <f>$B$5=X310</f>
        <v/>
      </c>
      <c r="R310" s="226">
        <f>I310-AD310</f>
        <v/>
      </c>
      <c r="S310" s="360" t="n"/>
      <c r="T310" s="361" t="n">
        <v>45772</v>
      </c>
      <c r="U310" s="360" t="inlineStr">
        <is>
          <t>SITC2025-014140</t>
        </is>
      </c>
      <c r="V310" s="360" t="n">
        <v>0</v>
      </c>
      <c r="W310" s="360" t="inlineStr">
        <is>
          <t>បុគ្គលជាប់អាករ</t>
        </is>
      </c>
      <c r="X310" s="360" t="inlineStr">
        <is>
          <t>L001-901640009</t>
        </is>
      </c>
      <c r="Y310" s="360" t="inlineStr">
        <is>
          <t>ហូលីដេ ឌីហ្សាញ (ខេមបូឌា) ឯ.ក</t>
        </is>
      </c>
      <c r="Z310" s="362" t="n">
        <v>10832118</v>
      </c>
      <c r="AA310" s="362" t="n">
        <v>9847380</v>
      </c>
      <c r="AB310" s="360" t="n">
        <v>0</v>
      </c>
      <c r="AC310" s="360" t="inlineStr">
        <is>
          <t>-</t>
        </is>
      </c>
      <c r="AD310" s="362" t="n">
        <v>984738</v>
      </c>
      <c r="AE310" s="360" t="n">
        <v>0</v>
      </c>
      <c r="AF310" s="615" t="n">
        <v>0</v>
      </c>
      <c r="AG310" s="203" t="n">
        <v>0</v>
      </c>
      <c r="AH310" s="203" t="n">
        <v>0</v>
      </c>
      <c r="AI310" s="203" t="n">
        <v>0</v>
      </c>
      <c r="AJ310" s="203" t="n">
        <v>0</v>
      </c>
      <c r="AK310" s="203" t="n">
        <v>0</v>
      </c>
      <c r="AL310" s="203" t="n">
        <v>0.01</v>
      </c>
      <c r="AM310" s="203" t="n">
        <v>0</v>
      </c>
      <c r="AN310" s="203" t="inlineStr">
        <is>
          <t>KHCIC,KHTHC,KHDOC,EMF,EIB</t>
        </is>
      </c>
    </row>
    <row r="311">
      <c r="A311" s="220">
        <f>A310+1</f>
        <v/>
      </c>
      <c r="B311" s="222" t="inlineStr">
        <is>
          <t>THC, Doc, EMF, CIC Fee-Im</t>
        </is>
      </c>
      <c r="C311" s="222" t="inlineStr">
        <is>
          <t>KERRY LOGISTICS (CAMBODIA) PTE. LTD.</t>
        </is>
      </c>
      <c r="D311" s="223" t="inlineStr">
        <is>
          <t>L001-100074669</t>
        </is>
      </c>
      <c r="E311" s="349" t="inlineStr">
        <is>
          <t>IVP05323</t>
        </is>
      </c>
      <c r="F311" s="332" t="n">
        <v>45751</v>
      </c>
      <c r="G311" s="224" t="n"/>
      <c r="H311" s="617" t="n"/>
      <c r="I311" s="617" t="n">
        <v>1783337</v>
      </c>
      <c r="J311" s="221" t="inlineStr">
        <is>
          <t>អនុញ្ញាត (បានប្រកាស)</t>
        </is>
      </c>
      <c r="K311" s="221" t="n"/>
      <c r="L311" s="616">
        <f>I311</f>
        <v/>
      </c>
      <c r="M311" s="588">
        <f>I311-L311</f>
        <v/>
      </c>
      <c r="N311" s="221" t="n"/>
      <c r="O311" s="226">
        <f>U311=E311</f>
        <v/>
      </c>
      <c r="P311" s="226">
        <f>MONTH(F311)-MONTH(T311)</f>
        <v/>
      </c>
      <c r="Q311" s="226">
        <f>$B$5=X311</f>
        <v/>
      </c>
      <c r="R311" s="226">
        <f>I311-AD311</f>
        <v/>
      </c>
      <c r="S311" s="360" t="n"/>
      <c r="T311" s="361" t="n">
        <v>45751</v>
      </c>
      <c r="U311" s="360" t="inlineStr">
        <is>
          <t>IVP05323</t>
        </is>
      </c>
      <c r="V311" s="360" t="n">
        <v>0</v>
      </c>
      <c r="W311" s="360" t="inlineStr">
        <is>
          <t>បុគ្គលជាប់អាករ</t>
        </is>
      </c>
      <c r="X311" s="360" t="inlineStr">
        <is>
          <t>L001-901640009</t>
        </is>
      </c>
      <c r="Y311" s="360" t="inlineStr">
        <is>
          <t>ហូលីដេ ឌីហ្សាញ (ខេមបូឌា) ឯ.ក</t>
        </is>
      </c>
      <c r="Z311" s="362" t="n">
        <v>19616702</v>
      </c>
      <c r="AA311" s="362" t="n">
        <v>17833365</v>
      </c>
      <c r="AB311" s="360" t="n">
        <v>0</v>
      </c>
      <c r="AC311" s="360" t="inlineStr">
        <is>
          <t>-</t>
        </is>
      </c>
      <c r="AD311" s="362" t="n">
        <v>1783337</v>
      </c>
      <c r="AE311" s="360" t="n">
        <v>0</v>
      </c>
      <c r="AF311" s="615" t="n">
        <v>0</v>
      </c>
      <c r="AG311" s="203" t="n">
        <v>0</v>
      </c>
      <c r="AH311" s="203" t="n">
        <v>0</v>
      </c>
      <c r="AI311" s="203" t="n">
        <v>0</v>
      </c>
      <c r="AJ311" s="203" t="n">
        <v>0</v>
      </c>
      <c r="AK311" s="203" t="n">
        <v>0</v>
      </c>
      <c r="AL311" s="203" t="n">
        <v>0.01</v>
      </c>
      <c r="AM311" s="203" t="n">
        <v>0</v>
      </c>
      <c r="AN311" s="203" t="inlineStr">
        <is>
          <t>នាំចូលទំនិញតាមផ្លូវទឹក</t>
        </is>
      </c>
      <c r="AO311" s="203" t="inlineStr">
        <is>
          <t>បានប្រកាសនិងបង់ពន្ធ</t>
        </is>
      </c>
    </row>
    <row r="312">
      <c r="A312" s="220">
        <f>A311+1</f>
        <v/>
      </c>
      <c r="B312" s="222" t="inlineStr">
        <is>
          <t>Trucking &amp; Clearance-Im</t>
        </is>
      </c>
      <c r="C312" s="222" t="inlineStr">
        <is>
          <t>BRILLIANT TRANSPORT AND TRADING Co., Ltd.</t>
        </is>
      </c>
      <c r="D312" s="223" t="inlineStr">
        <is>
          <t>K002-100089305</t>
        </is>
      </c>
      <c r="E312" s="349" t="inlineStr">
        <is>
          <t>BTT25-0000925</t>
        </is>
      </c>
      <c r="F312" s="332" t="n">
        <v>45776</v>
      </c>
      <c r="G312" s="224" t="n"/>
      <c r="H312" s="617" t="n"/>
      <c r="I312" s="617" t="n">
        <v>1977482</v>
      </c>
      <c r="J312" s="221" t="inlineStr">
        <is>
          <t>អនុញ្ញាត (បានប្រកាស)</t>
        </is>
      </c>
      <c r="K312" s="221" t="n"/>
      <c r="L312" s="616">
        <f>I312</f>
        <v/>
      </c>
      <c r="M312" s="588">
        <f>I312-L312</f>
        <v/>
      </c>
      <c r="N312" s="221" t="n"/>
      <c r="O312" s="226">
        <f>U312=E312</f>
        <v/>
      </c>
      <c r="P312" s="226">
        <f>MONTH(F312)-MONTH(T312)</f>
        <v/>
      </c>
      <c r="Q312" s="226">
        <f>$B$5=X312</f>
        <v/>
      </c>
      <c r="R312" s="226">
        <f>I312-AD312</f>
        <v/>
      </c>
      <c r="S312" s="360" t="n"/>
      <c r="T312" s="361" t="n">
        <v>45776</v>
      </c>
      <c r="U312" s="360" t="inlineStr">
        <is>
          <t>BTT25-0000925</t>
        </is>
      </c>
      <c r="V312" s="360" t="n">
        <v>0</v>
      </c>
      <c r="W312" s="360" t="inlineStr">
        <is>
          <t>បុគ្គលជាប់អាករ</t>
        </is>
      </c>
      <c r="X312" s="360" t="inlineStr">
        <is>
          <t>L001-901640009</t>
        </is>
      </c>
      <c r="Y312" s="360" t="inlineStr">
        <is>
          <t>ហូលីដេ ឌីហ្សាញ (ខេមបូឌា) ឯ.ក</t>
        </is>
      </c>
      <c r="Z312" s="362" t="n">
        <v>21752302</v>
      </c>
      <c r="AA312" s="362" t="n">
        <v>19774820</v>
      </c>
      <c r="AB312" s="360" t="n">
        <v>0</v>
      </c>
      <c r="AC312" s="360" t="inlineStr">
        <is>
          <t>-</t>
        </is>
      </c>
      <c r="AD312" s="362" t="n">
        <v>1977482</v>
      </c>
      <c r="AE312" s="360" t="n">
        <v>0</v>
      </c>
      <c r="AF312" s="615" t="n">
        <v>0</v>
      </c>
      <c r="AG312" s="203" t="n">
        <v>0</v>
      </c>
      <c r="AH312" s="203" t="n">
        <v>0</v>
      </c>
      <c r="AI312" s="203" t="n">
        <v>0</v>
      </c>
      <c r="AJ312" s="203" t="n">
        <v>0</v>
      </c>
      <c r="AK312" s="203" t="n">
        <v>0</v>
      </c>
      <c r="AL312" s="203" t="n">
        <v>0.01</v>
      </c>
      <c r="AM312" s="203" t="n">
        <v>0</v>
      </c>
      <c r="AN312" s="203" t="inlineStr">
        <is>
          <t>Truking / Service</t>
        </is>
      </c>
    </row>
    <row r="313">
      <c r="A313" s="220">
        <f>A312+1</f>
        <v/>
      </c>
      <c r="B313" s="222" t="inlineStr">
        <is>
          <t>Lift-On &amp; Lift-On-Im</t>
        </is>
      </c>
      <c r="C313" s="222" t="inlineStr">
        <is>
          <t>Port Autonome Du Sihanoukville</t>
        </is>
      </c>
      <c r="D313" s="223" t="inlineStr">
        <is>
          <t>L001-100044638</t>
        </is>
      </c>
      <c r="E313" s="349" t="n">
        <v>202500090154</v>
      </c>
      <c r="F313" s="332" t="n">
        <v>45771</v>
      </c>
      <c r="G313" s="224" t="n"/>
      <c r="H313" s="617" t="n"/>
      <c r="I313" s="617" t="n">
        <v>205354</v>
      </c>
      <c r="J313" s="221" t="inlineStr">
        <is>
          <t>អនុញ្ញាត (បានប្រកាស)</t>
        </is>
      </c>
      <c r="K313" s="221" t="n"/>
      <c r="L313" s="616">
        <f>I313</f>
        <v/>
      </c>
      <c r="M313" s="588">
        <f>I313-L313</f>
        <v/>
      </c>
      <c r="N313" s="221" t="n"/>
      <c r="O313" s="226">
        <f>U313=E313</f>
        <v/>
      </c>
      <c r="P313" s="226">
        <f>MONTH(F313)-MONTH(T313)</f>
        <v/>
      </c>
      <c r="Q313" s="226">
        <f>$B$5=X313</f>
        <v/>
      </c>
      <c r="R313" s="226">
        <f>I313-AD313</f>
        <v/>
      </c>
      <c r="S313" s="360" t="n"/>
      <c r="T313" s="361" t="n">
        <v>45771</v>
      </c>
      <c r="U313" s="360" t="n">
        <v>202500090154</v>
      </c>
      <c r="V313" s="360" t="n">
        <v>0</v>
      </c>
      <c r="W313" s="360" t="inlineStr">
        <is>
          <t>បុគ្គលជាប់អាករ</t>
        </is>
      </c>
      <c r="X313" s="360" t="inlineStr">
        <is>
          <t>L001-901640009</t>
        </is>
      </c>
      <c r="Y313" s="360" t="inlineStr">
        <is>
          <t>ហូលីដេ ឌីហ្សាញ (ខេមបូឌា) ឯ.ក</t>
        </is>
      </c>
      <c r="Z313" s="362" t="n">
        <v>2258893</v>
      </c>
      <c r="AA313" s="362" t="n">
        <v>2053539</v>
      </c>
      <c r="AB313" s="360" t="n">
        <v>0</v>
      </c>
      <c r="AC313" s="360" t="inlineStr">
        <is>
          <t>-</t>
        </is>
      </c>
      <c r="AD313" s="362" t="n">
        <v>205354</v>
      </c>
      <c r="AE313" s="360" t="n">
        <v>0</v>
      </c>
      <c r="AF313" s="615" t="n">
        <v>0</v>
      </c>
      <c r="AG313" s="203" t="n">
        <v>0</v>
      </c>
      <c r="AH313" s="203" t="n">
        <v>0</v>
      </c>
      <c r="AI313" s="203" t="n">
        <v>0</v>
      </c>
      <c r="AJ313" s="203" t="n">
        <v>0</v>
      </c>
      <c r="AK313" s="203" t="n">
        <v>0</v>
      </c>
      <c r="AL313" s="203" t="n">
        <v>0.01</v>
      </c>
      <c r="AM313" s="203" t="n">
        <v>0</v>
      </c>
      <c r="AN313" s="203" t="inlineStr">
        <is>
          <t>LOLO</t>
        </is>
      </c>
    </row>
    <row r="314">
      <c r="A314" s="220">
        <f>A313+1</f>
        <v/>
      </c>
      <c r="B314" s="222" t="inlineStr">
        <is>
          <t>Terminal Handling Charge</t>
        </is>
      </c>
      <c r="C314" s="222" t="inlineStr">
        <is>
          <t>SITC CONTAINER LINES (CAMBODIA) Co., Ltd.</t>
        </is>
      </c>
      <c r="D314" s="223" t="inlineStr">
        <is>
          <t>L001-107035863</t>
        </is>
      </c>
      <c r="E314" s="349" t="inlineStr">
        <is>
          <t>SITC2025-013300</t>
        </is>
      </c>
      <c r="F314" s="332" t="n">
        <v>45768</v>
      </c>
      <c r="G314" s="224" t="n"/>
      <c r="H314" s="617" t="n"/>
      <c r="I314" s="617" t="n">
        <v>1104828</v>
      </c>
      <c r="J314" s="221" t="inlineStr">
        <is>
          <t>អនុញ្ញាត (បានប្រកាស)</t>
        </is>
      </c>
      <c r="K314" s="221" t="n"/>
      <c r="L314" s="616">
        <f>I314</f>
        <v/>
      </c>
      <c r="M314" s="588">
        <f>I314-L314</f>
        <v/>
      </c>
      <c r="N314" s="221" t="n"/>
      <c r="O314" s="226">
        <f>U314=E314</f>
        <v/>
      </c>
      <c r="P314" s="226">
        <f>MONTH(F314)-MONTH(T314)</f>
        <v/>
      </c>
      <c r="Q314" s="226">
        <f>$B$5=X314</f>
        <v/>
      </c>
      <c r="R314" s="226">
        <f>I314-AD314</f>
        <v/>
      </c>
      <c r="S314" s="360" t="n"/>
      <c r="T314" s="361" t="n">
        <v>45768</v>
      </c>
      <c r="U314" s="360" t="inlineStr">
        <is>
          <t>SITC2025-013300</t>
        </is>
      </c>
      <c r="V314" s="360" t="n">
        <v>0</v>
      </c>
      <c r="W314" s="360" t="inlineStr">
        <is>
          <t>បុគ្គលជាប់អាករ</t>
        </is>
      </c>
      <c r="X314" s="360" t="inlineStr">
        <is>
          <t>L001-901640009</t>
        </is>
      </c>
      <c r="Y314" s="360" t="inlineStr">
        <is>
          <t>ហូលីដេ ឌីហ្សាញ (ខេមបូឌា) ឯ.ក</t>
        </is>
      </c>
      <c r="Z314" s="362" t="n">
        <v>12153108</v>
      </c>
      <c r="AA314" s="362" t="n">
        <v>11048280</v>
      </c>
      <c r="AB314" s="360" t="n">
        <v>0</v>
      </c>
      <c r="AC314" s="360" t="inlineStr">
        <is>
          <t>-</t>
        </is>
      </c>
      <c r="AD314" s="362" t="n">
        <v>1104828</v>
      </c>
      <c r="AE314" s="360" t="n">
        <v>0</v>
      </c>
      <c r="AF314" s="615" t="n">
        <v>0</v>
      </c>
      <c r="AG314" s="203" t="n">
        <v>0</v>
      </c>
      <c r="AH314" s="203" t="n">
        <v>0</v>
      </c>
      <c r="AI314" s="203" t="n">
        <v>0</v>
      </c>
      <c r="AJ314" s="203" t="n">
        <v>0</v>
      </c>
      <c r="AK314" s="203" t="n">
        <v>0</v>
      </c>
      <c r="AL314" s="203" t="n">
        <v>0.01</v>
      </c>
      <c r="AM314" s="203" t="n">
        <v>0</v>
      </c>
      <c r="AN314" s="203" t="inlineStr">
        <is>
          <t>KHTHC,KHDOC,EIB,KHCIC,EMF</t>
        </is>
      </c>
    </row>
    <row r="315">
      <c r="A315" s="220">
        <f>A314+1</f>
        <v/>
      </c>
      <c r="B315" s="222" t="inlineStr">
        <is>
          <t>Trucking &amp; Clearance-Im</t>
        </is>
      </c>
      <c r="C315" s="222" t="inlineStr">
        <is>
          <t>BRILLIANT TRANSPORT AND TRADING Co., Ltd.</t>
        </is>
      </c>
      <c r="D315" s="223" t="inlineStr">
        <is>
          <t>K002-100089305</t>
        </is>
      </c>
      <c r="E315" s="349" t="inlineStr">
        <is>
          <t>BTT25-0000924</t>
        </is>
      </c>
      <c r="F315" s="332" t="n">
        <v>45772</v>
      </c>
      <c r="G315" s="224" t="n"/>
      <c r="H315" s="617" t="n"/>
      <c r="I315" s="617" t="n">
        <v>2221665</v>
      </c>
      <c r="J315" s="221" t="inlineStr">
        <is>
          <t>អនុញ្ញាត (បានប្រកាស)</t>
        </is>
      </c>
      <c r="K315" s="221" t="n"/>
      <c r="L315" s="616">
        <f>I315</f>
        <v/>
      </c>
      <c r="M315" s="588">
        <f>I315-L315</f>
        <v/>
      </c>
      <c r="N315" s="221" t="n"/>
      <c r="O315" s="226">
        <f>U315=E315</f>
        <v/>
      </c>
      <c r="P315" s="226">
        <f>MONTH(F315)-MONTH(T315)</f>
        <v/>
      </c>
      <c r="Q315" s="226">
        <f>$B$5=X315</f>
        <v/>
      </c>
      <c r="R315" s="226">
        <f>I315-AD315</f>
        <v/>
      </c>
      <c r="S315" s="360" t="n"/>
      <c r="T315" s="361" t="n">
        <v>45772</v>
      </c>
      <c r="U315" s="360" t="inlineStr">
        <is>
          <t>BTT25-0000924</t>
        </is>
      </c>
      <c r="V315" s="360" t="n">
        <v>0</v>
      </c>
      <c r="W315" s="360" t="inlineStr">
        <is>
          <t>បុគ្គលជាប់អាករ</t>
        </is>
      </c>
      <c r="X315" s="360" t="inlineStr">
        <is>
          <t>L001-901640009</t>
        </is>
      </c>
      <c r="Y315" s="360" t="inlineStr">
        <is>
          <t>ហូលីដេ ឌីហ្សាញ (ខេមបូឌា) ឯ.ក</t>
        </is>
      </c>
      <c r="Z315" s="362" t="n">
        <v>24438315</v>
      </c>
      <c r="AA315" s="362" t="n">
        <v>22216650</v>
      </c>
      <c r="AB315" s="360" t="n">
        <v>0</v>
      </c>
      <c r="AC315" s="360" t="inlineStr">
        <is>
          <t>-</t>
        </is>
      </c>
      <c r="AD315" s="362" t="n">
        <v>2221665</v>
      </c>
      <c r="AE315" s="360" t="n">
        <v>0</v>
      </c>
      <c r="AF315" s="615" t="n">
        <v>0</v>
      </c>
      <c r="AG315" s="203" t="n">
        <v>0</v>
      </c>
      <c r="AH315" s="203" t="n">
        <v>0</v>
      </c>
      <c r="AI315" s="203" t="n">
        <v>0</v>
      </c>
      <c r="AJ315" s="203" t="n">
        <v>0</v>
      </c>
      <c r="AK315" s="203" t="n">
        <v>0</v>
      </c>
      <c r="AL315" s="203" t="n">
        <v>0.01</v>
      </c>
      <c r="AM315" s="203" t="n">
        <v>0</v>
      </c>
      <c r="AN315" s="203" t="inlineStr">
        <is>
          <t>Truking / Service</t>
        </is>
      </c>
    </row>
    <row r="316">
      <c r="A316" s="220">
        <f>A315+1</f>
        <v/>
      </c>
      <c r="B316" s="222" t="inlineStr">
        <is>
          <t>Storage charges-Im</t>
        </is>
      </c>
      <c r="C316" s="222" t="inlineStr">
        <is>
          <t>Port Autonome Du Sihanoukville</t>
        </is>
      </c>
      <c r="D316" s="223" t="inlineStr">
        <is>
          <t>L001-100044638</t>
        </is>
      </c>
      <c r="E316" s="349" t="n">
        <v>202500093601</v>
      </c>
      <c r="F316" s="332" t="n">
        <v>45774</v>
      </c>
      <c r="G316" s="224" t="n"/>
      <c r="H316" s="617" t="n"/>
      <c r="I316" s="617" t="n">
        <v>1201</v>
      </c>
      <c r="J316" s="221" t="inlineStr">
        <is>
          <t>អនុញ្ញាត (បានប្រកាស)</t>
        </is>
      </c>
      <c r="K316" s="221" t="n"/>
      <c r="L316" s="616">
        <f>I316</f>
        <v/>
      </c>
      <c r="M316" s="588">
        <f>I316-L316</f>
        <v/>
      </c>
      <c r="N316" s="221" t="n"/>
      <c r="O316" s="226">
        <f>U316=E316</f>
        <v/>
      </c>
      <c r="P316" s="226">
        <f>MONTH(F316)-MONTH(T316)</f>
        <v/>
      </c>
      <c r="Q316" s="226">
        <f>$B$5=X316</f>
        <v/>
      </c>
      <c r="R316" s="226">
        <f>I316-AD316</f>
        <v/>
      </c>
      <c r="S316" s="360" t="n"/>
      <c r="T316" s="361" t="n">
        <v>45774</v>
      </c>
      <c r="U316" s="360" t="n">
        <v>202500093601</v>
      </c>
      <c r="V316" s="360" t="n">
        <v>0</v>
      </c>
      <c r="W316" s="360" t="inlineStr">
        <is>
          <t>បុគ្គលជាប់អាករ</t>
        </is>
      </c>
      <c r="X316" s="360" t="inlineStr">
        <is>
          <t>L001-901640009</t>
        </is>
      </c>
      <c r="Y316" s="360" t="inlineStr">
        <is>
          <t>ហូលីដេ ឌីហ្សាញ (ខេមបូឌា) ឯ.ក</t>
        </is>
      </c>
      <c r="Z316" s="362" t="n">
        <v>13210</v>
      </c>
      <c r="AA316" s="362" t="n">
        <v>12009</v>
      </c>
      <c r="AB316" s="360" t="n">
        <v>0</v>
      </c>
      <c r="AC316" s="360" t="inlineStr">
        <is>
          <t>-</t>
        </is>
      </c>
      <c r="AD316" s="362" t="n">
        <v>1201</v>
      </c>
      <c r="AE316" s="360" t="n">
        <v>0</v>
      </c>
      <c r="AF316" s="615" t="n">
        <v>0</v>
      </c>
      <c r="AG316" s="203" t="n">
        <v>0</v>
      </c>
      <c r="AH316" s="203" t="n">
        <v>0</v>
      </c>
      <c r="AI316" s="203" t="n">
        <v>0</v>
      </c>
      <c r="AJ316" s="203" t="n">
        <v>0</v>
      </c>
      <c r="AK316" s="203" t="n">
        <v>0</v>
      </c>
      <c r="AL316" s="203" t="n">
        <v>0.01</v>
      </c>
      <c r="AM316" s="203" t="n">
        <v>0</v>
      </c>
      <c r="AN316" s="203" t="inlineStr">
        <is>
          <t>Storage</t>
        </is>
      </c>
    </row>
    <row r="317">
      <c r="A317" s="220">
        <f>A316+1</f>
        <v/>
      </c>
      <c r="B317" s="222" t="inlineStr">
        <is>
          <t>Storage charges-Im</t>
        </is>
      </c>
      <c r="C317" s="222" t="inlineStr">
        <is>
          <t>Port Autonome Du Sihanoukville</t>
        </is>
      </c>
      <c r="D317" s="223" t="inlineStr">
        <is>
          <t>L001-100044638</t>
        </is>
      </c>
      <c r="E317" s="349" t="n">
        <v>202500093568</v>
      </c>
      <c r="F317" s="332" t="n">
        <v>45773</v>
      </c>
      <c r="G317" s="224" t="n"/>
      <c r="H317" s="617" t="n"/>
      <c r="I317" s="617" t="n">
        <v>36027</v>
      </c>
      <c r="J317" s="221" t="inlineStr">
        <is>
          <t>អនុញ្ញាត (បានប្រកាស)</t>
        </is>
      </c>
      <c r="K317" s="221" t="n"/>
      <c r="L317" s="616">
        <f>I317</f>
        <v/>
      </c>
      <c r="M317" s="588">
        <f>I317-L317</f>
        <v/>
      </c>
      <c r="N317" s="221" t="n"/>
      <c r="O317" s="226">
        <f>U317=E317</f>
        <v/>
      </c>
      <c r="P317" s="226">
        <f>MONTH(F317)-MONTH(T317)</f>
        <v/>
      </c>
      <c r="Q317" s="226">
        <f>$B$5=X317</f>
        <v/>
      </c>
      <c r="R317" s="226">
        <f>I317-AD317</f>
        <v/>
      </c>
      <c r="S317" s="360" t="n"/>
      <c r="T317" s="361" t="n">
        <v>45773</v>
      </c>
      <c r="U317" s="360" t="n">
        <v>202500093568</v>
      </c>
      <c r="V317" s="360" t="n">
        <v>0</v>
      </c>
      <c r="W317" s="360" t="inlineStr">
        <is>
          <t>បុគ្គលជាប់អាករ</t>
        </is>
      </c>
      <c r="X317" s="360" t="inlineStr">
        <is>
          <t>L001-901640009</t>
        </is>
      </c>
      <c r="Y317" s="360" t="inlineStr">
        <is>
          <t>ហូលីដេ ឌីហ្សាញ (ខេមបូឌា) ឯ.ក</t>
        </is>
      </c>
      <c r="Z317" s="362" t="n">
        <v>396297</v>
      </c>
      <c r="AA317" s="362" t="n">
        <v>360270</v>
      </c>
      <c r="AB317" s="360" t="n">
        <v>0</v>
      </c>
      <c r="AC317" s="360" t="inlineStr">
        <is>
          <t>-</t>
        </is>
      </c>
      <c r="AD317" s="362" t="n">
        <v>36027</v>
      </c>
      <c r="AE317" s="360" t="n">
        <v>0</v>
      </c>
      <c r="AF317" s="615" t="n">
        <v>0</v>
      </c>
      <c r="AG317" s="203" t="n">
        <v>0</v>
      </c>
      <c r="AH317" s="203" t="n">
        <v>0</v>
      </c>
      <c r="AI317" s="203" t="n">
        <v>0</v>
      </c>
      <c r="AJ317" s="203" t="n">
        <v>0</v>
      </c>
      <c r="AK317" s="203" t="n">
        <v>0</v>
      </c>
      <c r="AL317" s="203" t="n">
        <v>0.01</v>
      </c>
      <c r="AM317" s="203" t="n">
        <v>0</v>
      </c>
      <c r="AN317" s="203" t="inlineStr">
        <is>
          <t>Storage</t>
        </is>
      </c>
    </row>
    <row r="318">
      <c r="A318" s="220">
        <f>A317+1</f>
        <v/>
      </c>
      <c r="B318" s="222" t="inlineStr">
        <is>
          <t>Lift-On &amp; Lift-On-Im</t>
        </is>
      </c>
      <c r="C318" s="222" t="inlineStr">
        <is>
          <t>Port Autonome Du Sihanoukville</t>
        </is>
      </c>
      <c r="D318" s="223" t="inlineStr">
        <is>
          <t>L001-100044638</t>
        </is>
      </c>
      <c r="E318" s="349" t="n">
        <v>202500086733</v>
      </c>
      <c r="F318" s="332" t="n">
        <v>45769</v>
      </c>
      <c r="G318" s="224" t="n"/>
      <c r="H318" s="617" t="n"/>
      <c r="I318" s="617" t="n">
        <v>159760</v>
      </c>
      <c r="J318" s="221" t="inlineStr">
        <is>
          <t>អនុញ្ញាត (បានប្រកាស)</t>
        </is>
      </c>
      <c r="K318" s="221" t="n"/>
      <c r="L318" s="616">
        <f>I318</f>
        <v/>
      </c>
      <c r="M318" s="588">
        <f>I318-L318</f>
        <v/>
      </c>
      <c r="N318" s="221" t="n"/>
      <c r="O318" s="226">
        <f>U318=E318</f>
        <v/>
      </c>
      <c r="P318" s="226">
        <f>MONTH(F318)-MONTH(T318)</f>
        <v/>
      </c>
      <c r="Q318" s="226">
        <f>$B$5=X318</f>
        <v/>
      </c>
      <c r="R318" s="226">
        <f>I318-AD318</f>
        <v/>
      </c>
      <c r="S318" s="360" t="n"/>
      <c r="T318" s="361" t="n">
        <v>45769</v>
      </c>
      <c r="U318" s="360" t="n">
        <v>202500086733</v>
      </c>
      <c r="V318" s="360" t="n">
        <v>0</v>
      </c>
      <c r="W318" s="360" t="inlineStr">
        <is>
          <t>បុគ្គលជាប់អាករ</t>
        </is>
      </c>
      <c r="X318" s="360" t="inlineStr">
        <is>
          <t>L001-901640009</t>
        </is>
      </c>
      <c r="Y318" s="360" t="inlineStr">
        <is>
          <t>ហូលីដេ ឌីហ្សាញ (ខេមបូឌា) ឯ.ក</t>
        </is>
      </c>
      <c r="Z318" s="362" t="n">
        <v>1757356</v>
      </c>
      <c r="AA318" s="362" t="n">
        <v>1597596</v>
      </c>
      <c r="AB318" s="360" t="n">
        <v>0</v>
      </c>
      <c r="AC318" s="360" t="inlineStr">
        <is>
          <t>-</t>
        </is>
      </c>
      <c r="AD318" s="362" t="n">
        <v>159760</v>
      </c>
      <c r="AE318" s="360" t="n">
        <v>0</v>
      </c>
      <c r="AF318" s="615" t="n">
        <v>0</v>
      </c>
      <c r="AG318" s="203" t="n">
        <v>0</v>
      </c>
      <c r="AH318" s="203" t="n">
        <v>0</v>
      </c>
      <c r="AI318" s="203" t="n">
        <v>0</v>
      </c>
      <c r="AJ318" s="203" t="n">
        <v>0</v>
      </c>
      <c r="AK318" s="203" t="n">
        <v>0</v>
      </c>
      <c r="AL318" s="203" t="n">
        <v>0.01</v>
      </c>
      <c r="AM318" s="203" t="n">
        <v>0</v>
      </c>
      <c r="AN318" s="203" t="inlineStr">
        <is>
          <t>LOLO</t>
        </is>
      </c>
    </row>
    <row r="319">
      <c r="A319" s="220">
        <f>A318+1</f>
        <v/>
      </c>
      <c r="B319" s="222" t="inlineStr">
        <is>
          <t>Terminal Handling Charge</t>
        </is>
      </c>
      <c r="C319" s="222" t="inlineStr">
        <is>
          <t>SITC CONTAINER LINES (CAMBODIA) Co., Ltd.</t>
        </is>
      </c>
      <c r="D319" s="223" t="inlineStr">
        <is>
          <t>L001-107035863</t>
        </is>
      </c>
      <c r="E319" s="349" t="inlineStr">
        <is>
          <t>SITC2025-013016</t>
        </is>
      </c>
      <c r="F319" s="332" t="n">
        <v>45764</v>
      </c>
      <c r="G319" s="224" t="n"/>
      <c r="H319" s="617" t="n"/>
      <c r="I319" s="617" t="n">
        <v>865080</v>
      </c>
      <c r="J319" s="221" t="inlineStr">
        <is>
          <t>អនុញ្ញាត (បានប្រកាស)</t>
        </is>
      </c>
      <c r="K319" s="221" t="n"/>
      <c r="L319" s="616">
        <f>I319</f>
        <v/>
      </c>
      <c r="M319" s="588">
        <f>I319-L319</f>
        <v/>
      </c>
      <c r="N319" s="221" t="n"/>
      <c r="O319" s="226">
        <f>U319=E319</f>
        <v/>
      </c>
      <c r="P319" s="226">
        <f>MONTH(F319)-MONTH(T319)</f>
        <v/>
      </c>
      <c r="Q319" s="226">
        <f>$B$5=X319</f>
        <v/>
      </c>
      <c r="R319" s="226">
        <f>I319-AD319</f>
        <v/>
      </c>
      <c r="S319" s="360" t="n"/>
      <c r="T319" s="361" t="n">
        <v>45764</v>
      </c>
      <c r="U319" s="360" t="inlineStr">
        <is>
          <t>SITC2025-013016</t>
        </is>
      </c>
      <c r="V319" s="360" t="n">
        <v>0</v>
      </c>
      <c r="W319" s="360" t="inlineStr">
        <is>
          <t>បុគ្គលជាប់អាករ</t>
        </is>
      </c>
      <c r="X319" s="360" t="inlineStr">
        <is>
          <t>L001-901640009</t>
        </is>
      </c>
      <c r="Y319" s="360" t="inlineStr">
        <is>
          <t>ហូលីដេ ឌីហ្សាញ (ខេមបូឌា) ឯ.ក</t>
        </is>
      </c>
      <c r="Z319" s="362" t="n">
        <v>9515880</v>
      </c>
      <c r="AA319" s="362" t="n">
        <v>8650800</v>
      </c>
      <c r="AB319" s="360" t="n">
        <v>0</v>
      </c>
      <c r="AC319" s="360" t="inlineStr">
        <is>
          <t>-</t>
        </is>
      </c>
      <c r="AD319" s="362" t="n">
        <v>865080</v>
      </c>
      <c r="AE319" s="360" t="n">
        <v>0</v>
      </c>
      <c r="AF319" s="615" t="n">
        <v>0</v>
      </c>
      <c r="AG319" s="203" t="n">
        <v>0</v>
      </c>
      <c r="AH319" s="203" t="n">
        <v>0</v>
      </c>
      <c r="AI319" s="203" t="n">
        <v>0</v>
      </c>
      <c r="AJ319" s="203" t="n">
        <v>0</v>
      </c>
      <c r="AK319" s="203" t="n">
        <v>0</v>
      </c>
      <c r="AL319" s="203" t="n">
        <v>0.01</v>
      </c>
      <c r="AM319" s="203" t="n">
        <v>0</v>
      </c>
      <c r="AN319" s="203" t="inlineStr">
        <is>
          <t>KHDOC,KHTHC,KHCIC,EMF,EIB</t>
        </is>
      </c>
    </row>
    <row r="320">
      <c r="A320" s="220">
        <f>A319+1</f>
        <v/>
      </c>
      <c r="B320" s="222" t="inlineStr">
        <is>
          <t>Trucking &amp; Clearance-Im</t>
        </is>
      </c>
      <c r="C320" s="222" t="inlineStr">
        <is>
          <t>BRILLIANT TRANSPORT AND TRADING Co., Ltd.</t>
        </is>
      </c>
      <c r="D320" s="223" t="inlineStr">
        <is>
          <t>K002-100089305</t>
        </is>
      </c>
      <c r="E320" s="349" t="inlineStr">
        <is>
          <t>BTT25-0000923</t>
        </is>
      </c>
      <c r="F320" s="332" t="n">
        <v>45768</v>
      </c>
      <c r="G320" s="224" t="n"/>
      <c r="H320" s="617" t="n"/>
      <c r="I320" s="617" t="n">
        <v>1733299</v>
      </c>
      <c r="J320" s="221" t="inlineStr">
        <is>
          <t>អនុញ្ញាត (បានប្រកាស)</t>
        </is>
      </c>
      <c r="K320" s="221" t="n"/>
      <c r="L320" s="616">
        <f>I320</f>
        <v/>
      </c>
      <c r="M320" s="588">
        <f>I320-L320</f>
        <v/>
      </c>
      <c r="N320" s="221" t="n"/>
      <c r="O320" s="226">
        <f>U320=E320</f>
        <v/>
      </c>
      <c r="P320" s="226">
        <f>MONTH(F320)-MONTH(T320)</f>
        <v/>
      </c>
      <c r="Q320" s="226">
        <f>$B$5=X320</f>
        <v/>
      </c>
      <c r="R320" s="226">
        <f>I320-AD320</f>
        <v/>
      </c>
      <c r="S320" s="360" t="n"/>
      <c r="T320" s="361" t="n">
        <v>45768</v>
      </c>
      <c r="U320" s="360" t="inlineStr">
        <is>
          <t>BTT25-0000923</t>
        </is>
      </c>
      <c r="V320" s="360" t="n">
        <v>0</v>
      </c>
      <c r="W320" s="360" t="inlineStr">
        <is>
          <t>បុគ្គលជាប់អាករ</t>
        </is>
      </c>
      <c r="X320" s="360" t="inlineStr">
        <is>
          <t>L001-901640009</t>
        </is>
      </c>
      <c r="Y320" s="360" t="inlineStr">
        <is>
          <t>ហូលីដេ ឌីហ្សាញ (ខេមបូឌា) ឯ.ក</t>
        </is>
      </c>
      <c r="Z320" s="362" t="n">
        <v>19066289</v>
      </c>
      <c r="AA320" s="362" t="n">
        <v>17332990</v>
      </c>
      <c r="AB320" s="360" t="n">
        <v>0</v>
      </c>
      <c r="AC320" s="360" t="inlineStr">
        <is>
          <t>-</t>
        </is>
      </c>
      <c r="AD320" s="362" t="n">
        <v>1733299</v>
      </c>
      <c r="AE320" s="360" t="n">
        <v>0</v>
      </c>
      <c r="AF320" s="615" t="n">
        <v>0</v>
      </c>
      <c r="AG320" s="203" t="n">
        <v>0</v>
      </c>
      <c r="AH320" s="203" t="n">
        <v>0</v>
      </c>
      <c r="AI320" s="203" t="n">
        <v>0</v>
      </c>
      <c r="AJ320" s="203" t="n">
        <v>0</v>
      </c>
      <c r="AK320" s="203" t="n">
        <v>0</v>
      </c>
      <c r="AL320" s="203" t="n">
        <v>0.01</v>
      </c>
      <c r="AM320" s="203" t="n">
        <v>0</v>
      </c>
      <c r="AN320" s="203" t="inlineStr">
        <is>
          <t>Truking / Service</t>
        </is>
      </c>
    </row>
    <row r="321">
      <c r="A321" s="220">
        <f>A320+1</f>
        <v/>
      </c>
      <c r="B321" s="222" t="inlineStr">
        <is>
          <t>THC, Doc, EMF, CIC Fee-Im</t>
        </is>
      </c>
      <c r="C321" s="222" t="inlineStr">
        <is>
          <t>KERRY LOGISTICS (CAMBODIA) PTE. LTD.</t>
        </is>
      </c>
      <c r="D321" s="223" t="inlineStr">
        <is>
          <t>L001-100074669</t>
        </is>
      </c>
      <c r="E321" s="349" t="inlineStr">
        <is>
          <t>IVP06305</t>
        </is>
      </c>
      <c r="F321" s="332" t="n">
        <v>45770</v>
      </c>
      <c r="G321" s="224" t="n"/>
      <c r="H321" s="617" t="n"/>
      <c r="I321" s="617" t="n">
        <v>902677</v>
      </c>
      <c r="J321" s="221" t="inlineStr">
        <is>
          <t>អនុញ្ញាត (បានប្រកាស)</t>
        </is>
      </c>
      <c r="K321" s="221" t="n"/>
      <c r="L321" s="616">
        <f>I321</f>
        <v/>
      </c>
      <c r="M321" s="588">
        <f>I321-L321</f>
        <v/>
      </c>
      <c r="N321" s="221" t="n"/>
      <c r="O321" s="226">
        <f>U321=E321</f>
        <v/>
      </c>
      <c r="P321" s="226">
        <f>MONTH(F321)-MONTH(T321)</f>
        <v/>
      </c>
      <c r="Q321" s="226">
        <f>$B$5=X321</f>
        <v/>
      </c>
      <c r="R321" s="226">
        <f>I321-AD321</f>
        <v/>
      </c>
      <c r="S321" s="360" t="n"/>
      <c r="T321" s="361" t="n">
        <v>45770</v>
      </c>
      <c r="U321" s="360" t="inlineStr">
        <is>
          <t>IVP06305</t>
        </is>
      </c>
      <c r="V321" s="360" t="n">
        <v>0</v>
      </c>
      <c r="W321" s="360" t="inlineStr">
        <is>
          <t>បុគ្គលជាប់អាករ</t>
        </is>
      </c>
      <c r="X321" s="360" t="inlineStr">
        <is>
          <t>L001-901640009</t>
        </is>
      </c>
      <c r="Y321" s="360" t="inlineStr">
        <is>
          <t>ហូលីដេ ឌីហ្សាញ (ខេមបូឌា) ឯ.ក</t>
        </is>
      </c>
      <c r="Z321" s="362" t="n">
        <v>9929442</v>
      </c>
      <c r="AA321" s="362" t="n">
        <v>9026765</v>
      </c>
      <c r="AB321" s="360" t="n">
        <v>0</v>
      </c>
      <c r="AC321" s="360" t="inlineStr">
        <is>
          <t>-</t>
        </is>
      </c>
      <c r="AD321" s="362" t="n">
        <v>902677</v>
      </c>
      <c r="AE321" s="360" t="n">
        <v>0</v>
      </c>
      <c r="AF321" s="615" t="n">
        <v>0</v>
      </c>
      <c r="AG321" s="203" t="n">
        <v>0</v>
      </c>
      <c r="AH321" s="203" t="n">
        <v>0</v>
      </c>
      <c r="AI321" s="203" t="n">
        <v>0</v>
      </c>
      <c r="AJ321" s="203" t="n">
        <v>0</v>
      </c>
      <c r="AK321" s="203" t="n">
        <v>0</v>
      </c>
      <c r="AL321" s="203" t="n">
        <v>0.01</v>
      </c>
      <c r="AM321" s="203" t="n">
        <v>0</v>
      </c>
      <c r="AN321" s="203" t="inlineStr">
        <is>
          <t>នាំចូលទំនិញតាមផ្លូវទឹក</t>
        </is>
      </c>
      <c r="AO321" s="203" t="inlineStr">
        <is>
          <t>បានប្រកាសនិងបង់ពន្ធ</t>
        </is>
      </c>
    </row>
    <row r="322">
      <c r="A322" s="220">
        <f>A321+1</f>
        <v/>
      </c>
      <c r="B322" s="222" t="inlineStr">
        <is>
          <t>Lift-On &amp; Lift-On-Im</t>
        </is>
      </c>
      <c r="C322" s="222" t="inlineStr">
        <is>
          <t>Port Autonome Du Sihanoukville</t>
        </is>
      </c>
      <c r="D322" s="223" t="inlineStr">
        <is>
          <t>L001-100044638</t>
        </is>
      </c>
      <c r="E322" s="349" t="n">
        <v>202500096301</v>
      </c>
      <c r="F322" s="332" t="n">
        <v>45777</v>
      </c>
      <c r="G322" s="224" t="n"/>
      <c r="H322" s="617" t="n"/>
      <c r="I322" s="617" t="n">
        <v>174131</v>
      </c>
      <c r="J322" s="221" t="inlineStr">
        <is>
          <t>អនុញ្ញាត (បានប្រកាស)</t>
        </is>
      </c>
      <c r="K322" s="221" t="n"/>
      <c r="L322" s="616">
        <f>I322</f>
        <v/>
      </c>
      <c r="M322" s="588">
        <f>I322-L322</f>
        <v/>
      </c>
      <c r="N322" s="221" t="n"/>
      <c r="O322" s="226">
        <f>U322=E322</f>
        <v/>
      </c>
      <c r="P322" s="226">
        <f>MONTH(F322)-MONTH(T322)</f>
        <v/>
      </c>
      <c r="Q322" s="226">
        <f>$B$5=X322</f>
        <v/>
      </c>
      <c r="R322" s="226">
        <f>I322-AD322</f>
        <v/>
      </c>
      <c r="S322" s="360" t="n"/>
      <c r="T322" s="361" t="n">
        <v>45777</v>
      </c>
      <c r="U322" s="360" t="n">
        <v>202500096301</v>
      </c>
      <c r="V322" s="360" t="n">
        <v>0</v>
      </c>
      <c r="W322" s="360" t="inlineStr">
        <is>
          <t>បុគ្គលជាប់អាករ</t>
        </is>
      </c>
      <c r="X322" s="360" t="inlineStr">
        <is>
          <t>L001-901640009</t>
        </is>
      </c>
      <c r="Y322" s="360" t="inlineStr">
        <is>
          <t>ហូលីដេ ឌីហ្សាញ (ខេមបូឌា) ឯ.ក</t>
        </is>
      </c>
      <c r="Z322" s="362" t="n">
        <v>1915436</v>
      </c>
      <c r="AA322" s="362" t="n">
        <v>1741305</v>
      </c>
      <c r="AB322" s="360" t="n">
        <v>0</v>
      </c>
      <c r="AC322" s="360" t="inlineStr">
        <is>
          <t>-</t>
        </is>
      </c>
      <c r="AD322" s="362" t="n">
        <v>174131</v>
      </c>
      <c r="AE322" s="360" t="n">
        <v>0</v>
      </c>
      <c r="AF322" s="615" t="n">
        <v>0</v>
      </c>
      <c r="AG322" s="203" t="n">
        <v>0</v>
      </c>
      <c r="AH322" s="203" t="n">
        <v>0</v>
      </c>
      <c r="AI322" s="203" t="n">
        <v>0</v>
      </c>
      <c r="AJ322" s="203" t="n">
        <v>0</v>
      </c>
      <c r="AK322" s="203" t="n">
        <v>0</v>
      </c>
      <c r="AL322" s="203" t="n">
        <v>0.01</v>
      </c>
      <c r="AM322" s="203" t="n">
        <v>0</v>
      </c>
      <c r="AN322" s="203" t="inlineStr">
        <is>
          <t>LOLO</t>
        </is>
      </c>
    </row>
    <row r="323">
      <c r="A323" s="220">
        <f>A322+1</f>
        <v/>
      </c>
      <c r="B323" s="222" t="inlineStr">
        <is>
          <t>Demurrage Export</t>
        </is>
      </c>
      <c r="C323" s="222" t="inlineStr">
        <is>
          <t>KERRY LOGISTICS (CAMBODIA) PTE. LTD.</t>
        </is>
      </c>
      <c r="D323" s="223" t="inlineStr">
        <is>
          <t>L001-100074669</t>
        </is>
      </c>
      <c r="E323" s="349" t="inlineStr">
        <is>
          <t>IVP08219</t>
        </is>
      </c>
      <c r="F323" s="332" t="n">
        <v>45805</v>
      </c>
      <c r="G323" s="224" t="n"/>
      <c r="H323" s="617" t="n"/>
      <c r="I323" s="617" t="n">
        <v>14411</v>
      </c>
      <c r="J323" s="221" t="inlineStr">
        <is>
          <t>អនុញ្ញាត (បានប្រកាស)</t>
        </is>
      </c>
      <c r="K323" s="221" t="n"/>
      <c r="L323" s="616">
        <f>I323</f>
        <v/>
      </c>
      <c r="M323" s="588">
        <f>I323-L323</f>
        <v/>
      </c>
      <c r="N323" s="221" t="n"/>
      <c r="O323" s="226">
        <f>U323=E323</f>
        <v/>
      </c>
      <c r="P323" s="226">
        <f>MONTH(F323)-MONTH(T323)</f>
        <v/>
      </c>
      <c r="Q323" s="226">
        <f>$B$5=X323</f>
        <v/>
      </c>
      <c r="R323" s="226">
        <f>I323-AD323</f>
        <v/>
      </c>
      <c r="S323" s="360" t="n"/>
      <c r="T323" s="361" t="n">
        <v>45805</v>
      </c>
      <c r="U323" s="360" t="inlineStr">
        <is>
          <t>IVP08219</t>
        </is>
      </c>
      <c r="V323" s="360" t="n">
        <v>0</v>
      </c>
      <c r="W323" s="360" t="inlineStr">
        <is>
          <t>បុគ្គលជាប់អាករ</t>
        </is>
      </c>
      <c r="X323" s="360" t="inlineStr">
        <is>
          <t>L001-901640009</t>
        </is>
      </c>
      <c r="Y323" s="360" t="inlineStr">
        <is>
          <t>ហូលីដេ ឌីហ្សាញ (ខេមបូឌា) ឯ.ក</t>
        </is>
      </c>
      <c r="Z323" s="362" t="n">
        <v>158519</v>
      </c>
      <c r="AA323" s="362" t="n">
        <v>144108</v>
      </c>
      <c r="AB323" s="360" t="n">
        <v>0</v>
      </c>
      <c r="AC323" s="360" t="inlineStr">
        <is>
          <t>-</t>
        </is>
      </c>
      <c r="AD323" s="362" t="n">
        <v>14411</v>
      </c>
      <c r="AE323" s="360" t="n">
        <v>0</v>
      </c>
      <c r="AF323" s="615" t="n">
        <v>0</v>
      </c>
      <c r="AG323" s="203" t="n">
        <v>0</v>
      </c>
      <c r="AH323" s="203" t="n">
        <v>0</v>
      </c>
      <c r="AI323" s="203" t="n">
        <v>0</v>
      </c>
      <c r="AJ323" s="203" t="n">
        <v>0</v>
      </c>
      <c r="AK323" s="203" t="n">
        <v>0</v>
      </c>
      <c r="AL323" s="203" t="n">
        <v>0.01</v>
      </c>
      <c r="AM323" s="203" t="n">
        <v>0</v>
      </c>
      <c r="AN323" s="203" t="inlineStr">
        <is>
          <t>DEMURRAGE-EXPORT</t>
        </is>
      </c>
      <c r="AO323" s="203" t="inlineStr">
        <is>
          <t>បានប្រកាសនិងបង់ពន្ធ</t>
        </is>
      </c>
    </row>
    <row r="324">
      <c r="A324" s="220">
        <f>A323+1</f>
        <v/>
      </c>
      <c r="B324" s="222" t="inlineStr">
        <is>
          <t>Lift-On &amp; Lift-On-Im</t>
        </is>
      </c>
      <c r="C324" s="222" t="inlineStr">
        <is>
          <t>Port Autonome Du Sihanoukville</t>
        </is>
      </c>
      <c r="D324" s="223" t="inlineStr">
        <is>
          <t>L001-100044638</t>
        </is>
      </c>
      <c r="E324" s="349" t="n">
        <v>202500096304</v>
      </c>
      <c r="F324" s="332" t="n">
        <v>45777</v>
      </c>
      <c r="G324" s="224" t="n"/>
      <c r="H324" s="617" t="n"/>
      <c r="I324" s="617" t="n">
        <v>348261</v>
      </c>
      <c r="J324" s="221" t="inlineStr">
        <is>
          <t>អនុញ្ញាត (បានប្រកាស)</t>
        </is>
      </c>
      <c r="K324" s="221" t="n"/>
      <c r="L324" s="616">
        <f>I324</f>
        <v/>
      </c>
      <c r="M324" s="588">
        <f>I324-L324</f>
        <v/>
      </c>
      <c r="N324" s="221" t="n"/>
      <c r="O324" s="226">
        <f>U324=E324</f>
        <v/>
      </c>
      <c r="P324" s="226">
        <f>MONTH(F324)-MONTH(T324)</f>
        <v/>
      </c>
      <c r="Q324" s="226">
        <f>$B$5=X324</f>
        <v/>
      </c>
      <c r="R324" s="226">
        <f>I324-AD324</f>
        <v/>
      </c>
      <c r="S324" s="360" t="n"/>
      <c r="T324" s="361" t="n">
        <v>45777</v>
      </c>
      <c r="U324" s="360" t="n">
        <v>202500096304</v>
      </c>
      <c r="V324" s="360" t="n">
        <v>0</v>
      </c>
      <c r="W324" s="360" t="inlineStr">
        <is>
          <t>បុគ្គលជាប់អាករ</t>
        </is>
      </c>
      <c r="X324" s="360" t="inlineStr">
        <is>
          <t>L001-901640009</t>
        </is>
      </c>
      <c r="Y324" s="360" t="inlineStr">
        <is>
          <t>ហូលីដេ ឌីហ្សាញ (ខេមបូឌា) ឯ.ក</t>
        </is>
      </c>
      <c r="Z324" s="362" t="n">
        <v>3830871</v>
      </c>
      <c r="AA324" s="362" t="n">
        <v>3482610</v>
      </c>
      <c r="AB324" s="360" t="n">
        <v>0</v>
      </c>
      <c r="AC324" s="360" t="inlineStr">
        <is>
          <t>-</t>
        </is>
      </c>
      <c r="AD324" s="362" t="n">
        <v>348261</v>
      </c>
      <c r="AE324" s="360" t="n">
        <v>0</v>
      </c>
      <c r="AF324" s="615" t="n">
        <v>0</v>
      </c>
      <c r="AG324" s="203" t="n">
        <v>0</v>
      </c>
      <c r="AH324" s="203" t="n">
        <v>0</v>
      </c>
      <c r="AI324" s="203" t="n">
        <v>0</v>
      </c>
      <c r="AJ324" s="203" t="n">
        <v>0</v>
      </c>
      <c r="AK324" s="203" t="n">
        <v>0</v>
      </c>
      <c r="AL324" s="203" t="n">
        <v>0.01</v>
      </c>
      <c r="AM324" s="203" t="n">
        <v>0</v>
      </c>
      <c r="AN324" s="203" t="inlineStr">
        <is>
          <t>LOLO</t>
        </is>
      </c>
    </row>
    <row r="325">
      <c r="A325" s="220">
        <f>A324+1</f>
        <v/>
      </c>
      <c r="B325" s="222" t="inlineStr">
        <is>
          <t>Terminal Handling Charge-Ex</t>
        </is>
      </c>
      <c r="C325" s="222" t="inlineStr">
        <is>
          <t>KERRY LOGISTICS (CAMBODIA) PTE. LTD.</t>
        </is>
      </c>
      <c r="D325" s="223" t="inlineStr">
        <is>
          <t>L001-100074669</t>
        </is>
      </c>
      <c r="E325" s="349" t="inlineStr">
        <is>
          <t>IVP08004</t>
        </is>
      </c>
      <c r="F325" s="332" t="n">
        <v>45801</v>
      </c>
      <c r="G325" s="224" t="n"/>
      <c r="H325" s="617" t="n"/>
      <c r="I325" s="617" t="n">
        <v>110083</v>
      </c>
      <c r="J325" s="221" t="inlineStr">
        <is>
          <t>អនុញ្ញាត (បានប្រកាស)</t>
        </is>
      </c>
      <c r="K325" s="221" t="n"/>
      <c r="L325" s="616">
        <f>I325</f>
        <v/>
      </c>
      <c r="M325" s="588">
        <f>I325-L325</f>
        <v/>
      </c>
      <c r="N325" s="221" t="n"/>
      <c r="O325" s="226">
        <f>U325=E325</f>
        <v/>
      </c>
      <c r="P325" s="226">
        <f>MONTH(F325)-MONTH(T325)</f>
        <v/>
      </c>
      <c r="Q325" s="226">
        <f>$B$5=X325</f>
        <v/>
      </c>
      <c r="R325" s="226">
        <f>I325-AD325</f>
        <v/>
      </c>
      <c r="S325" s="360" t="n"/>
      <c r="T325" s="361" t="n">
        <v>45801</v>
      </c>
      <c r="U325" s="360" t="inlineStr">
        <is>
          <t>IVP08004</t>
        </is>
      </c>
      <c r="V325" s="360" t="n">
        <v>0</v>
      </c>
      <c r="W325" s="360" t="inlineStr">
        <is>
          <t>បុគ្គលជាប់អាករ</t>
        </is>
      </c>
      <c r="X325" s="360" t="inlineStr">
        <is>
          <t>L001-901640009</t>
        </is>
      </c>
      <c r="Y325" s="360" t="inlineStr">
        <is>
          <t>ហូលីដេ ឌីហ្សាញ (ខេមបូឌា) ឯ.ក</t>
        </is>
      </c>
      <c r="Z325" s="362" t="n">
        <v>1210908</v>
      </c>
      <c r="AA325" s="362" t="n">
        <v>1100825</v>
      </c>
      <c r="AB325" s="360" t="n">
        <v>0</v>
      </c>
      <c r="AC325" s="360" t="inlineStr">
        <is>
          <t>-</t>
        </is>
      </c>
      <c r="AD325" s="362" t="n">
        <v>110083</v>
      </c>
      <c r="AE325" s="360" t="n">
        <v>0</v>
      </c>
      <c r="AF325" s="615" t="n">
        <v>0</v>
      </c>
      <c r="AG325" s="203" t="n">
        <v>0</v>
      </c>
      <c r="AH325" s="203" t="n">
        <v>0</v>
      </c>
      <c r="AI325" s="203" t="n">
        <v>0</v>
      </c>
      <c r="AJ325" s="203" t="n">
        <v>0</v>
      </c>
      <c r="AK325" s="203" t="n">
        <v>0</v>
      </c>
      <c r="AL325" s="203" t="n">
        <v>0.01</v>
      </c>
      <c r="AM325" s="203" t="n">
        <v>0</v>
      </c>
      <c r="AN325" s="203" t="inlineStr">
        <is>
          <t>នាំចេញទំនិញតាមផ្លូវទឹក</t>
        </is>
      </c>
      <c r="AO325" s="203" t="inlineStr">
        <is>
          <t>បានប្រកាសនិងបង់ពន្ធ</t>
        </is>
      </c>
    </row>
    <row r="326">
      <c r="A326" s="220">
        <f>A325+1</f>
        <v/>
      </c>
      <c r="B326" s="222" t="inlineStr">
        <is>
          <t>Storage charges-Im</t>
        </is>
      </c>
      <c r="C326" s="222" t="inlineStr">
        <is>
          <t>Port Autonome Du Sihanoukville</t>
        </is>
      </c>
      <c r="D326" s="223" t="inlineStr">
        <is>
          <t>L001-100044638</t>
        </is>
      </c>
      <c r="E326" s="349" t="n">
        <v>202500093595</v>
      </c>
      <c r="F326" s="332" t="n">
        <v>45773</v>
      </c>
      <c r="G326" s="224" t="n"/>
      <c r="H326" s="617" t="n"/>
      <c r="I326" s="617" t="n">
        <v>2402</v>
      </c>
      <c r="J326" s="221" t="inlineStr">
        <is>
          <t>អនុញ្ញាត (បានប្រកាស)</t>
        </is>
      </c>
      <c r="K326" s="221" t="n"/>
      <c r="L326" s="616">
        <f>I326</f>
        <v/>
      </c>
      <c r="M326" s="588">
        <f>I326-L326</f>
        <v/>
      </c>
      <c r="N326" s="221" t="n"/>
      <c r="O326" s="226">
        <f>U326=E326</f>
        <v/>
      </c>
      <c r="P326" s="226">
        <f>MONTH(F326)-MONTH(T326)</f>
        <v/>
      </c>
      <c r="Q326" s="226">
        <f>$B$5=X326</f>
        <v/>
      </c>
      <c r="R326" s="226">
        <f>I326-AD326</f>
        <v/>
      </c>
      <c r="S326" s="360" t="n"/>
      <c r="T326" s="361" t="n">
        <v>45773</v>
      </c>
      <c r="U326" s="360" t="n">
        <v>202500093595</v>
      </c>
      <c r="V326" s="360" t="n">
        <v>0</v>
      </c>
      <c r="W326" s="360" t="inlineStr">
        <is>
          <t>បុគ្គលជាប់អាករ</t>
        </is>
      </c>
      <c r="X326" s="360" t="inlineStr">
        <is>
          <t>L001-901640009</t>
        </is>
      </c>
      <c r="Y326" s="360" t="inlineStr">
        <is>
          <t>ហូលីដេ ឌីហ្សាញ (ខេមបូឌា) ឯ.ក</t>
        </is>
      </c>
      <c r="Z326" s="362" t="n">
        <v>26420</v>
      </c>
      <c r="AA326" s="362" t="n">
        <v>24018</v>
      </c>
      <c r="AB326" s="360" t="n">
        <v>0</v>
      </c>
      <c r="AC326" s="360" t="inlineStr">
        <is>
          <t>-</t>
        </is>
      </c>
      <c r="AD326" s="362" t="n">
        <v>2402</v>
      </c>
      <c r="AE326" s="360" t="n">
        <v>0</v>
      </c>
      <c r="AF326" s="615" t="n">
        <v>0</v>
      </c>
      <c r="AG326" s="203" t="n">
        <v>0</v>
      </c>
      <c r="AH326" s="203" t="n">
        <v>0</v>
      </c>
      <c r="AI326" s="203" t="n">
        <v>0</v>
      </c>
      <c r="AJ326" s="203" t="n">
        <v>0</v>
      </c>
      <c r="AK326" s="203" t="n">
        <v>0</v>
      </c>
      <c r="AL326" s="203" t="n">
        <v>0.01</v>
      </c>
      <c r="AM326" s="203" t="n">
        <v>0</v>
      </c>
      <c r="AN326" s="203" t="inlineStr">
        <is>
          <t>Storage</t>
        </is>
      </c>
    </row>
    <row r="327">
      <c r="A327" s="220">
        <f>A326+1</f>
        <v/>
      </c>
      <c r="B327" s="222" t="inlineStr">
        <is>
          <t>Trucking &amp; Clearance-Im</t>
        </is>
      </c>
      <c r="C327" s="222" t="inlineStr">
        <is>
          <t>BRILLIANT TRANSPORT AND TRADING Co., Ltd.</t>
        </is>
      </c>
      <c r="D327" s="223" t="inlineStr">
        <is>
          <t>K002-100089305</t>
        </is>
      </c>
      <c r="E327" s="349" t="inlineStr">
        <is>
          <t>BTT25-0000742</t>
        </is>
      </c>
      <c r="F327" s="332" t="n">
        <v>45751</v>
      </c>
      <c r="G327" s="224" t="n"/>
      <c r="H327" s="617" t="n"/>
      <c r="I327" s="617" t="n">
        <v>1084813</v>
      </c>
      <c r="J327" s="221" t="inlineStr">
        <is>
          <t>អនុញ្ញាត (បានប្រកាស)</t>
        </is>
      </c>
      <c r="K327" s="221" t="n"/>
      <c r="L327" s="616">
        <f>I327</f>
        <v/>
      </c>
      <c r="M327" s="588">
        <f>I327-L327</f>
        <v/>
      </c>
      <c r="N327" s="221" t="n"/>
      <c r="O327" s="226">
        <f>U327=E327</f>
        <v/>
      </c>
      <c r="P327" s="226">
        <f>MONTH(F327)-MONTH(T327)</f>
        <v/>
      </c>
      <c r="Q327" s="226">
        <f>$B$5=X327</f>
        <v/>
      </c>
      <c r="R327" s="226">
        <f>I327-AD327</f>
        <v/>
      </c>
      <c r="S327" s="360" t="n"/>
      <c r="T327" s="361" t="n">
        <v>45751</v>
      </c>
      <c r="U327" s="360" t="inlineStr">
        <is>
          <t>BTT25-0000742</t>
        </is>
      </c>
      <c r="V327" s="360" t="n">
        <v>0</v>
      </c>
      <c r="W327" s="360" t="inlineStr">
        <is>
          <t>បុគ្គលជាប់អាករ</t>
        </is>
      </c>
      <c r="X327" s="360" t="inlineStr">
        <is>
          <t>L001-901640009</t>
        </is>
      </c>
      <c r="Y327" s="360" t="inlineStr">
        <is>
          <t>ហូលីដេ ឌីហ្សាញ (ខេមបូឌា) ឯ.ក</t>
        </is>
      </c>
      <c r="Z327" s="362" t="n">
        <v>11932943</v>
      </c>
      <c r="AA327" s="362" t="n">
        <v>10848130</v>
      </c>
      <c r="AB327" s="360" t="n">
        <v>0</v>
      </c>
      <c r="AC327" s="360" t="inlineStr">
        <is>
          <t>-</t>
        </is>
      </c>
      <c r="AD327" s="362" t="n">
        <v>1084813</v>
      </c>
      <c r="AE327" s="360" t="n">
        <v>0</v>
      </c>
      <c r="AF327" s="615" t="n">
        <v>0</v>
      </c>
      <c r="AG327" s="203" t="n">
        <v>0</v>
      </c>
      <c r="AH327" s="203" t="n">
        <v>0</v>
      </c>
      <c r="AI327" s="203" t="n">
        <v>0</v>
      </c>
      <c r="AJ327" s="203" t="n">
        <v>0</v>
      </c>
      <c r="AK327" s="203" t="n">
        <v>0</v>
      </c>
      <c r="AL327" s="203" t="n">
        <v>0.01</v>
      </c>
      <c r="AM327" s="203" t="n">
        <v>0</v>
      </c>
      <c r="AN327" s="203" t="inlineStr">
        <is>
          <t>Truking / Service</t>
        </is>
      </c>
    </row>
    <row r="328">
      <c r="A328" s="220">
        <f>A327+1</f>
        <v/>
      </c>
      <c r="B328" s="222" t="inlineStr">
        <is>
          <t>Lift-On &amp; Lift-On-Im</t>
        </is>
      </c>
      <c r="C328" s="222" t="inlineStr">
        <is>
          <t>Port Autonome Du Sihanoukville</t>
        </is>
      </c>
      <c r="D328" s="223" t="inlineStr">
        <is>
          <t>L001-100044638</t>
        </is>
      </c>
      <c r="E328" s="349" t="n">
        <v>202500080080</v>
      </c>
      <c r="F328" s="332" t="n">
        <v>45758</v>
      </c>
      <c r="G328" s="224" t="n"/>
      <c r="H328" s="617" t="n"/>
      <c r="I328" s="617" t="n">
        <v>205508</v>
      </c>
      <c r="J328" s="221" t="inlineStr">
        <is>
          <t>អនុញ្ញាត (បានប្រកាស)</t>
        </is>
      </c>
      <c r="K328" s="221" t="n"/>
      <c r="L328" s="616">
        <f>I328</f>
        <v/>
      </c>
      <c r="M328" s="588">
        <f>I328-L328</f>
        <v/>
      </c>
      <c r="N328" s="221" t="n"/>
      <c r="O328" s="226">
        <f>U328=E328</f>
        <v/>
      </c>
      <c r="P328" s="226">
        <f>MONTH(F328)-MONTH(T328)</f>
        <v/>
      </c>
      <c r="Q328" s="226">
        <f>$B$5=X328</f>
        <v/>
      </c>
      <c r="R328" s="226">
        <f>I328-AD328</f>
        <v/>
      </c>
      <c r="S328" s="360" t="n"/>
      <c r="T328" s="361" t="n">
        <v>45758</v>
      </c>
      <c r="U328" s="360" t="n">
        <v>202500080080</v>
      </c>
      <c r="V328" s="360" t="n">
        <v>0</v>
      </c>
      <c r="W328" s="360" t="inlineStr">
        <is>
          <t>បុគ្គលជាប់អាករ</t>
        </is>
      </c>
      <c r="X328" s="360" t="inlineStr">
        <is>
          <t>L001-901640009</t>
        </is>
      </c>
      <c r="Y328" s="360" t="inlineStr">
        <is>
          <t>ហូលីដេ ឌីហ្សាញ (ខេមបូឌា) ឯ.ក</t>
        </is>
      </c>
      <c r="Z328" s="362" t="n">
        <v>2260586</v>
      </c>
      <c r="AA328" s="362" t="n">
        <v>2055078</v>
      </c>
      <c r="AB328" s="360" t="n">
        <v>0</v>
      </c>
      <c r="AC328" s="360" t="inlineStr">
        <is>
          <t>-</t>
        </is>
      </c>
      <c r="AD328" s="362" t="n">
        <v>205508</v>
      </c>
      <c r="AE328" s="360" t="n">
        <v>0</v>
      </c>
      <c r="AF328" s="615" t="n">
        <v>0</v>
      </c>
      <c r="AG328" s="203" t="n">
        <v>0</v>
      </c>
      <c r="AH328" s="203" t="n">
        <v>0</v>
      </c>
      <c r="AI328" s="203" t="n">
        <v>0</v>
      </c>
      <c r="AJ328" s="203" t="n">
        <v>0</v>
      </c>
      <c r="AK328" s="203" t="n">
        <v>0</v>
      </c>
      <c r="AL328" s="203" t="n">
        <v>0.01</v>
      </c>
      <c r="AM328" s="203" t="n">
        <v>0</v>
      </c>
      <c r="AN328" s="203" t="inlineStr">
        <is>
          <t>LOLO</t>
        </is>
      </c>
    </row>
    <row r="329">
      <c r="A329" s="220">
        <f>A328+1</f>
        <v/>
      </c>
      <c r="B329" s="222" t="inlineStr">
        <is>
          <t>Terminal Handling Charge</t>
        </is>
      </c>
      <c r="C329" s="222" t="inlineStr">
        <is>
          <t>SITC CONTAINER LINES (CAMBODIA) Co., Ltd.</t>
        </is>
      </c>
      <c r="D329" s="223" t="inlineStr">
        <is>
          <t>L001-107035863</t>
        </is>
      </c>
      <c r="E329" s="349" t="inlineStr">
        <is>
          <t>SITC2025-011486</t>
        </is>
      </c>
      <c r="F329" s="332" t="n">
        <v>45754</v>
      </c>
      <c r="G329" s="224" t="n"/>
      <c r="H329" s="617" t="n"/>
      <c r="I329" s="617" t="n">
        <v>1104552</v>
      </c>
      <c r="J329" s="221" t="inlineStr">
        <is>
          <t>អនុញ្ញាត (បានប្រកាស)</t>
        </is>
      </c>
      <c r="K329" s="221" t="n"/>
      <c r="L329" s="616">
        <f>I329</f>
        <v/>
      </c>
      <c r="M329" s="588">
        <f>I329-L329</f>
        <v/>
      </c>
      <c r="N329" s="221" t="n"/>
      <c r="O329" s="226">
        <f>U329=E329</f>
        <v/>
      </c>
      <c r="P329" s="226">
        <f>MONTH(F329)-MONTH(T329)</f>
        <v/>
      </c>
      <c r="Q329" s="226">
        <f>$B$5=X329</f>
        <v/>
      </c>
      <c r="R329" s="226">
        <f>I329-AD329</f>
        <v/>
      </c>
      <c r="S329" s="360" t="n"/>
      <c r="T329" s="361" t="n">
        <v>45754</v>
      </c>
      <c r="U329" s="360" t="inlineStr">
        <is>
          <t>SITC2025-011486</t>
        </is>
      </c>
      <c r="V329" s="360" t="n">
        <v>0</v>
      </c>
      <c r="W329" s="360" t="inlineStr">
        <is>
          <t>បុគ្គលជាប់អាករ</t>
        </is>
      </c>
      <c r="X329" s="360" t="inlineStr">
        <is>
          <t>L001-901640009</t>
        </is>
      </c>
      <c r="Y329" s="360" t="inlineStr">
        <is>
          <t>ហូលីដេ ឌីហ្សាញ (ខេមបូឌា) ឯ.ក</t>
        </is>
      </c>
      <c r="Z329" s="362" t="n">
        <v>12150072</v>
      </c>
      <c r="AA329" s="362" t="n">
        <v>11045520</v>
      </c>
      <c r="AB329" s="360" t="n">
        <v>0</v>
      </c>
      <c r="AC329" s="360" t="inlineStr">
        <is>
          <t>-</t>
        </is>
      </c>
      <c r="AD329" s="362" t="n">
        <v>1104552</v>
      </c>
      <c r="AE329" s="360" t="n">
        <v>0</v>
      </c>
      <c r="AF329" s="615" t="n">
        <v>0</v>
      </c>
      <c r="AG329" s="203" t="n">
        <v>0</v>
      </c>
      <c r="AH329" s="203" t="n">
        <v>0</v>
      </c>
      <c r="AI329" s="203" t="n">
        <v>0</v>
      </c>
      <c r="AJ329" s="203" t="n">
        <v>0</v>
      </c>
      <c r="AK329" s="203" t="n">
        <v>0</v>
      </c>
      <c r="AL329" s="203" t="n">
        <v>0.01</v>
      </c>
      <c r="AM329" s="203" t="n">
        <v>0</v>
      </c>
      <c r="AN329" s="203" t="inlineStr">
        <is>
          <t>KHDOC,KHCIC,EMF,KHTHC,EIB</t>
        </is>
      </c>
    </row>
    <row r="330">
      <c r="A330" s="220">
        <f>A329+1</f>
        <v/>
      </c>
      <c r="B330" s="222" t="inlineStr">
        <is>
          <t>Trucking &amp; Clearance-Im</t>
        </is>
      </c>
      <c r="C330" s="222" t="inlineStr">
        <is>
          <t>BRILLIANT TRANSPORT AND TRADING Co., Ltd.</t>
        </is>
      </c>
      <c r="D330" s="223" t="inlineStr">
        <is>
          <t>K002-100089305</t>
        </is>
      </c>
      <c r="E330" s="349" t="inlineStr">
        <is>
          <t>BTT25-0000879</t>
        </is>
      </c>
      <c r="F330" s="332" t="n">
        <v>45758</v>
      </c>
      <c r="G330" s="224" t="n"/>
      <c r="H330" s="617" t="n"/>
      <c r="I330" s="617" t="n">
        <v>2223330</v>
      </c>
      <c r="J330" s="221" t="inlineStr">
        <is>
          <t>អនុញ្ញាត (បានប្រកាស)</t>
        </is>
      </c>
      <c r="K330" s="221" t="n"/>
      <c r="L330" s="616">
        <f>I330</f>
        <v/>
      </c>
      <c r="M330" s="588">
        <f>I330-L330</f>
        <v/>
      </c>
      <c r="N330" s="221" t="n"/>
      <c r="O330" s="226">
        <f>U330=E330</f>
        <v/>
      </c>
      <c r="P330" s="226">
        <f>MONTH(F330)-MONTH(T330)</f>
        <v/>
      </c>
      <c r="Q330" s="226">
        <f>$B$5=X330</f>
        <v/>
      </c>
      <c r="R330" s="226">
        <f>I330-AD330</f>
        <v/>
      </c>
      <c r="S330" s="360" t="n"/>
      <c r="T330" s="361" t="n">
        <v>45758</v>
      </c>
      <c r="U330" s="360" t="inlineStr">
        <is>
          <t>BTT25-0000879</t>
        </is>
      </c>
      <c r="V330" s="360" t="n">
        <v>0</v>
      </c>
      <c r="W330" s="360" t="inlineStr">
        <is>
          <t>បុគ្គលជាប់អាករ</t>
        </is>
      </c>
      <c r="X330" s="360" t="inlineStr">
        <is>
          <t>L001-901640009</t>
        </is>
      </c>
      <c r="Y330" s="360" t="inlineStr">
        <is>
          <t>ហូលីដេ ឌីហ្សាញ (ខេមបូឌា) ឯ.ក</t>
        </is>
      </c>
      <c r="Z330" s="362" t="n">
        <v>24456630</v>
      </c>
      <c r="AA330" s="362" t="n">
        <v>22233300</v>
      </c>
      <c r="AB330" s="360" t="n">
        <v>0</v>
      </c>
      <c r="AC330" s="360" t="inlineStr">
        <is>
          <t>-</t>
        </is>
      </c>
      <c r="AD330" s="362" t="n">
        <v>2223330</v>
      </c>
      <c r="AE330" s="360" t="n">
        <v>0</v>
      </c>
      <c r="AF330" s="615" t="n">
        <v>0</v>
      </c>
      <c r="AG330" s="203" t="n">
        <v>0</v>
      </c>
      <c r="AH330" s="203" t="n">
        <v>0</v>
      </c>
      <c r="AI330" s="203" t="n">
        <v>0</v>
      </c>
      <c r="AJ330" s="203" t="n">
        <v>0</v>
      </c>
      <c r="AK330" s="203" t="n">
        <v>0</v>
      </c>
      <c r="AL330" s="203" t="n">
        <v>0.01</v>
      </c>
      <c r="AM330" s="203" t="n">
        <v>0</v>
      </c>
      <c r="AN330" s="203" t="inlineStr">
        <is>
          <t>Truking / Service</t>
        </is>
      </c>
    </row>
    <row r="331">
      <c r="A331" s="220">
        <f>A330+1</f>
        <v/>
      </c>
      <c r="B331" s="222" t="inlineStr">
        <is>
          <t>Lift-On &amp; Lift-On-Im</t>
        </is>
      </c>
      <c r="C331" s="222" t="inlineStr">
        <is>
          <t>Port Autonome Du Sihanoukville</t>
        </is>
      </c>
      <c r="D331" s="223" t="inlineStr">
        <is>
          <t>L001-100044638</t>
        </is>
      </c>
      <c r="E331" s="349" t="n">
        <v>202500074487</v>
      </c>
      <c r="F331" s="332" t="n">
        <v>45754</v>
      </c>
      <c r="G331" s="224" t="n"/>
      <c r="H331" s="617" t="n"/>
      <c r="I331" s="617" t="n">
        <v>487444</v>
      </c>
      <c r="J331" s="221" t="inlineStr">
        <is>
          <t>អនុញ្ញាត (បានប្រកាស)</t>
        </is>
      </c>
      <c r="K331" s="221" t="n"/>
      <c r="L331" s="616">
        <f>I331</f>
        <v/>
      </c>
      <c r="M331" s="588">
        <f>I331-L331</f>
        <v/>
      </c>
      <c r="N331" s="221" t="n"/>
      <c r="O331" s="226">
        <f>U331=E331</f>
        <v/>
      </c>
      <c r="P331" s="226">
        <f>MONTH(F331)-MONTH(T331)</f>
        <v/>
      </c>
      <c r="Q331" s="226">
        <f>$B$5=X331</f>
        <v/>
      </c>
      <c r="R331" s="226">
        <f>I331-AD331</f>
        <v/>
      </c>
      <c r="S331" s="360" t="n"/>
      <c r="T331" s="361" t="n">
        <v>45754</v>
      </c>
      <c r="U331" s="360" t="n">
        <v>202500074487</v>
      </c>
      <c r="V331" s="360" t="n">
        <v>0</v>
      </c>
      <c r="W331" s="360" t="inlineStr">
        <is>
          <t>បុគ្គលជាប់អាករ</t>
        </is>
      </c>
      <c r="X331" s="360" t="inlineStr">
        <is>
          <t>L001-901640009</t>
        </is>
      </c>
      <c r="Y331" s="360" t="inlineStr">
        <is>
          <t>ហូលីដេ ឌីហ្សាញ (ខេមបូឌា) ឯ.ក</t>
        </is>
      </c>
      <c r="Z331" s="362" t="n">
        <v>5361880</v>
      </c>
      <c r="AA331" s="362" t="n">
        <v>4874436</v>
      </c>
      <c r="AB331" s="360" t="n">
        <v>0</v>
      </c>
      <c r="AC331" s="360" t="inlineStr">
        <is>
          <t>-</t>
        </is>
      </c>
      <c r="AD331" s="362" t="n">
        <v>487444</v>
      </c>
      <c r="AE331" s="360" t="n">
        <v>0</v>
      </c>
      <c r="AF331" s="615" t="n">
        <v>0</v>
      </c>
      <c r="AG331" s="203" t="n">
        <v>0</v>
      </c>
      <c r="AH331" s="203" t="n">
        <v>0</v>
      </c>
      <c r="AI331" s="203" t="n">
        <v>0</v>
      </c>
      <c r="AJ331" s="203" t="n">
        <v>0</v>
      </c>
      <c r="AK331" s="203" t="n">
        <v>0</v>
      </c>
      <c r="AL331" s="203" t="n">
        <v>0.01</v>
      </c>
      <c r="AM331" s="203" t="n">
        <v>0</v>
      </c>
      <c r="AN331" s="203" t="inlineStr">
        <is>
          <t>LOLO</t>
        </is>
      </c>
    </row>
    <row r="332">
      <c r="A332" s="220">
        <f>A331+1</f>
        <v/>
      </c>
      <c r="B332" s="222" t="inlineStr">
        <is>
          <t>Terminal Handling Charge</t>
        </is>
      </c>
      <c r="C332" s="222" t="inlineStr">
        <is>
          <t>SITC CONTAINER LINES (CAMBODIA) Co., Ltd.</t>
        </is>
      </c>
      <c r="D332" s="223" t="inlineStr">
        <is>
          <t>L001-107035863</t>
        </is>
      </c>
      <c r="E332" s="349" t="inlineStr">
        <is>
          <t>SITC2025-010228</t>
        </is>
      </c>
      <c r="F332" s="332" t="n">
        <v>45749</v>
      </c>
      <c r="G332" s="224" t="n"/>
      <c r="H332" s="617" t="n"/>
      <c r="I332" s="617" t="n">
        <v>2936000</v>
      </c>
      <c r="J332" s="221" t="inlineStr">
        <is>
          <t>អនុញ្ញាត (បានប្រកាស)</t>
        </is>
      </c>
      <c r="K332" s="221" t="n"/>
      <c r="L332" s="616">
        <f>I332</f>
        <v/>
      </c>
      <c r="M332" s="588">
        <f>I332-L332</f>
        <v/>
      </c>
      <c r="N332" s="221" t="n"/>
      <c r="O332" s="226">
        <f>U332=E332</f>
        <v/>
      </c>
      <c r="P332" s="226">
        <f>MONTH(F332)-MONTH(T332)</f>
        <v/>
      </c>
      <c r="Q332" s="226">
        <f>$B$5=X332</f>
        <v/>
      </c>
      <c r="R332" s="226">
        <f>I332-AD332</f>
        <v/>
      </c>
      <c r="S332" s="360" t="n"/>
      <c r="T332" s="361" t="n">
        <v>45748</v>
      </c>
      <c r="U332" s="360" t="inlineStr">
        <is>
          <t>SITC2025-010228</t>
        </is>
      </c>
      <c r="V332" s="360" t="n">
        <v>0</v>
      </c>
      <c r="W332" s="360" t="inlineStr">
        <is>
          <t>បុគ្គលជាប់អាករ</t>
        </is>
      </c>
      <c r="X332" s="360" t="inlineStr">
        <is>
          <t>L001-901640009</t>
        </is>
      </c>
      <c r="Y332" s="360" t="inlineStr">
        <is>
          <t>ហូលីដេ ឌីហ្សាញ (ខេមបូឌា) ឯ.ក</t>
        </is>
      </c>
      <c r="Z332" s="362" t="n">
        <v>32296000</v>
      </c>
      <c r="AA332" s="362" t="n">
        <v>29360000</v>
      </c>
      <c r="AB332" s="360" t="n">
        <v>0</v>
      </c>
      <c r="AC332" s="360" t="inlineStr">
        <is>
          <t>-</t>
        </is>
      </c>
      <c r="AD332" s="362" t="n">
        <v>2936000</v>
      </c>
      <c r="AE332" s="360" t="n">
        <v>0</v>
      </c>
      <c r="AF332" s="615" t="n">
        <v>0</v>
      </c>
      <c r="AG332" s="203" t="n">
        <v>0</v>
      </c>
      <c r="AH332" s="203" t="n">
        <v>0</v>
      </c>
      <c r="AI332" s="203" t="n">
        <v>0</v>
      </c>
      <c r="AJ332" s="203" t="n">
        <v>0</v>
      </c>
      <c r="AK332" s="203" t="n">
        <v>0</v>
      </c>
      <c r="AL332" s="203" t="n">
        <v>0.01</v>
      </c>
      <c r="AM332" s="203" t="n">
        <v>0</v>
      </c>
      <c r="AN332" s="203" t="inlineStr">
        <is>
          <t>KHDOC,EMF,EIB,KHTHC,KHCIC</t>
        </is>
      </c>
    </row>
    <row r="333">
      <c r="A333" s="220">
        <f>A332+1</f>
        <v/>
      </c>
      <c r="B333" s="222" t="inlineStr">
        <is>
          <t>Trucking &amp; Clearance-Im</t>
        </is>
      </c>
      <c r="C333" s="222" t="inlineStr">
        <is>
          <t>BRILLIANT TRANSPORT AND TRADING Co., Ltd.</t>
        </is>
      </c>
      <c r="D333" s="223" t="inlineStr">
        <is>
          <t>K002-100089305</t>
        </is>
      </c>
      <c r="E333" s="349" t="inlineStr">
        <is>
          <t>BTT25-0000807</t>
        </is>
      </c>
      <c r="F333" s="332" t="n">
        <v>45754</v>
      </c>
      <c r="G333" s="224" t="n"/>
      <c r="H333" s="617" t="n"/>
      <c r="I333" s="617" t="n">
        <v>3273636</v>
      </c>
      <c r="J333" s="221" t="inlineStr">
        <is>
          <t>អនុញ្ញាត (បានប្រកាស)</t>
        </is>
      </c>
      <c r="K333" s="221" t="n"/>
      <c r="L333" s="616">
        <f>I333</f>
        <v/>
      </c>
      <c r="M333" s="588">
        <f>I333-L333</f>
        <v/>
      </c>
      <c r="N333" s="221" t="n"/>
      <c r="O333" s="226">
        <f>U333=E333</f>
        <v/>
      </c>
      <c r="P333" s="226">
        <f>MONTH(F333)-MONTH(T333)</f>
        <v/>
      </c>
      <c r="Q333" s="226">
        <f>$B$5=X333</f>
        <v/>
      </c>
      <c r="R333" s="226">
        <f>I333-AD333</f>
        <v/>
      </c>
      <c r="S333" s="360" t="n"/>
      <c r="T333" s="361" t="n">
        <v>45754</v>
      </c>
      <c r="U333" s="360" t="inlineStr">
        <is>
          <t>BTT25-0000807</t>
        </is>
      </c>
      <c r="V333" s="360" t="n">
        <v>0</v>
      </c>
      <c r="W333" s="360" t="inlineStr">
        <is>
          <t>បុគ្គលជាប់អាករ</t>
        </is>
      </c>
      <c r="X333" s="360" t="inlineStr">
        <is>
          <t>L001-901640009</t>
        </is>
      </c>
      <c r="Y333" s="360" t="inlineStr">
        <is>
          <t>ហូលីដេ ឌីហ្សាញ (ខេមបូឌា) ឯ.ក</t>
        </is>
      </c>
      <c r="Z333" s="362" t="n">
        <v>36009996</v>
      </c>
      <c r="AA333" s="362" t="n">
        <v>32736360</v>
      </c>
      <c r="AB333" s="360" t="n">
        <v>0</v>
      </c>
      <c r="AC333" s="360" t="inlineStr">
        <is>
          <t>-</t>
        </is>
      </c>
      <c r="AD333" s="362" t="n">
        <v>3273636</v>
      </c>
      <c r="AE333" s="360" t="n">
        <v>0</v>
      </c>
      <c r="AF333" s="615" t="n">
        <v>0</v>
      </c>
      <c r="AG333" s="203" t="n">
        <v>0</v>
      </c>
      <c r="AH333" s="203" t="n">
        <v>0</v>
      </c>
      <c r="AI333" s="203" t="n">
        <v>0</v>
      </c>
      <c r="AJ333" s="203" t="n">
        <v>0</v>
      </c>
      <c r="AK333" s="203" t="n">
        <v>0</v>
      </c>
      <c r="AL333" s="203" t="n">
        <v>0.01</v>
      </c>
      <c r="AM333" s="203" t="n">
        <v>0</v>
      </c>
      <c r="AN333" s="203" t="inlineStr">
        <is>
          <t>Truking / Service</t>
        </is>
      </c>
    </row>
    <row r="334">
      <c r="A334" s="220">
        <f>A333+1</f>
        <v/>
      </c>
      <c r="B334" s="222" t="inlineStr">
        <is>
          <t>Repair Container Fee</t>
        </is>
      </c>
      <c r="C334" s="222" t="inlineStr">
        <is>
          <t>BRILLIANT TRANSPORT AND TRADING Co., Ltd.</t>
        </is>
      </c>
      <c r="D334" s="223" t="inlineStr">
        <is>
          <t>K002-100089305</t>
        </is>
      </c>
      <c r="E334" s="349" t="inlineStr">
        <is>
          <t>BTT25-0000766</t>
        </is>
      </c>
      <c r="F334" s="332" t="n">
        <v>45748</v>
      </c>
      <c r="G334" s="224" t="n"/>
      <c r="H334" s="617" t="n"/>
      <c r="I334" s="617" t="n">
        <v>164000</v>
      </c>
      <c r="J334" s="221" t="inlineStr">
        <is>
          <t>អនុញ្ញាត (បានប្រកាស)</t>
        </is>
      </c>
      <c r="K334" s="221" t="n"/>
      <c r="L334" s="616">
        <f>I334</f>
        <v/>
      </c>
      <c r="M334" s="588">
        <f>I334-L334</f>
        <v/>
      </c>
      <c r="N334" s="221" t="n"/>
      <c r="O334" s="226">
        <f>U334=E334</f>
        <v/>
      </c>
      <c r="P334" s="226">
        <f>MONTH(F334)-MONTH(T334)</f>
        <v/>
      </c>
      <c r="Q334" s="226">
        <f>$B$5=X334</f>
        <v/>
      </c>
      <c r="R334" s="226">
        <f>I334-AD334</f>
        <v/>
      </c>
      <c r="S334" s="360" t="n"/>
      <c r="T334" s="361" t="n">
        <v>45748</v>
      </c>
      <c r="U334" s="360" t="inlineStr">
        <is>
          <t>BTT25-0000766</t>
        </is>
      </c>
      <c r="V334" s="360" t="n">
        <v>0</v>
      </c>
      <c r="W334" s="360" t="inlineStr">
        <is>
          <t>បុគ្គលជាប់អាករ</t>
        </is>
      </c>
      <c r="X334" s="360" t="inlineStr">
        <is>
          <t>L001-901640009</t>
        </is>
      </c>
      <c r="Y334" s="360" t="inlineStr">
        <is>
          <t>ហូលីដេ ឌីហ្សាញ (ខេមបូឌា) ឯ.ក</t>
        </is>
      </c>
      <c r="Z334" s="362" t="n">
        <v>1804000</v>
      </c>
      <c r="AA334" s="362" t="n">
        <v>1640000</v>
      </c>
      <c r="AB334" s="360" t="n">
        <v>0</v>
      </c>
      <c r="AC334" s="360" t="inlineStr">
        <is>
          <t>-</t>
        </is>
      </c>
      <c r="AD334" s="362" t="n">
        <v>164000</v>
      </c>
      <c r="AE334" s="360" t="n">
        <v>0</v>
      </c>
      <c r="AF334" s="615" t="n">
        <v>0</v>
      </c>
      <c r="AG334" s="203" t="n">
        <v>0</v>
      </c>
      <c r="AH334" s="203" t="n">
        <v>0</v>
      </c>
      <c r="AI334" s="203" t="n">
        <v>0</v>
      </c>
      <c r="AJ334" s="203" t="n">
        <v>0</v>
      </c>
      <c r="AK334" s="203" t="n">
        <v>0</v>
      </c>
      <c r="AL334" s="203" t="n">
        <v>0.01</v>
      </c>
      <c r="AM334" s="203" t="n">
        <v>0</v>
      </c>
      <c r="AN334" s="203" t="inlineStr">
        <is>
          <t>Truking / Service</t>
        </is>
      </c>
    </row>
    <row r="335">
      <c r="A335" s="220">
        <f>A334+1</f>
        <v/>
      </c>
      <c r="B335" s="222" t="inlineStr">
        <is>
          <t>Lift-On &amp; Lift-On-Im</t>
        </is>
      </c>
      <c r="C335" s="222" t="inlineStr">
        <is>
          <t>Port Autonome Du Sihanoukville</t>
        </is>
      </c>
      <c r="D335" s="223" t="inlineStr">
        <is>
          <t>L001-100044638</t>
        </is>
      </c>
      <c r="E335" s="349" t="n">
        <v>202500073701</v>
      </c>
      <c r="F335" s="332" t="n">
        <v>45751</v>
      </c>
      <c r="G335" s="224" t="n"/>
      <c r="H335" s="617" t="n"/>
      <c r="I335" s="617" t="n">
        <v>174131</v>
      </c>
      <c r="J335" s="221" t="inlineStr">
        <is>
          <t>អនុញ្ញាត (បានប្រកាស)</t>
        </is>
      </c>
      <c r="K335" s="221" t="n"/>
      <c r="L335" s="616">
        <f>I335</f>
        <v/>
      </c>
      <c r="M335" s="588">
        <f>I335-L335</f>
        <v/>
      </c>
      <c r="N335" s="221" t="n"/>
      <c r="O335" s="226">
        <f>U335=E335</f>
        <v/>
      </c>
      <c r="P335" s="226">
        <f>MONTH(F335)-MONTH(T335)</f>
        <v/>
      </c>
      <c r="Q335" s="226">
        <f>$B$5=X335</f>
        <v/>
      </c>
      <c r="R335" s="226">
        <f>I335-AD335</f>
        <v/>
      </c>
      <c r="S335" s="360" t="n"/>
      <c r="T335" s="361" t="n">
        <v>45751</v>
      </c>
      <c r="U335" s="360" t="n">
        <v>202500073701</v>
      </c>
      <c r="V335" s="360" t="n">
        <v>0</v>
      </c>
      <c r="W335" s="360" t="inlineStr">
        <is>
          <t>បុគ្គលជាប់អាករ</t>
        </is>
      </c>
      <c r="X335" s="360" t="inlineStr">
        <is>
          <t>L001-901640009</t>
        </is>
      </c>
      <c r="Y335" s="360" t="inlineStr">
        <is>
          <t>ហូលីដេ ឌីហ្សាញ (ខេមបូឌា) ឯ.ក</t>
        </is>
      </c>
      <c r="Z335" s="362" t="n">
        <v>1915436</v>
      </c>
      <c r="AA335" s="362" t="n">
        <v>1741305</v>
      </c>
      <c r="AB335" s="360" t="n">
        <v>0</v>
      </c>
      <c r="AC335" s="360" t="inlineStr">
        <is>
          <t>-</t>
        </is>
      </c>
      <c r="AD335" s="362" t="n">
        <v>174131</v>
      </c>
      <c r="AE335" s="360" t="n">
        <v>0</v>
      </c>
      <c r="AF335" s="615" t="n">
        <v>0</v>
      </c>
      <c r="AG335" s="203" t="n">
        <v>0</v>
      </c>
      <c r="AH335" s="203" t="n">
        <v>0</v>
      </c>
      <c r="AI335" s="203" t="n">
        <v>0</v>
      </c>
      <c r="AJ335" s="203" t="n">
        <v>0</v>
      </c>
      <c r="AK335" s="203" t="n">
        <v>0</v>
      </c>
      <c r="AL335" s="203" t="n">
        <v>0.01</v>
      </c>
      <c r="AM335" s="203" t="n">
        <v>0</v>
      </c>
      <c r="AN335" s="203" t="inlineStr">
        <is>
          <t>LOLO</t>
        </is>
      </c>
    </row>
    <row r="336">
      <c r="A336" s="220">
        <f>A335+1</f>
        <v/>
      </c>
      <c r="B336" s="222" t="inlineStr">
        <is>
          <t>Terminal Handling Charge</t>
        </is>
      </c>
      <c r="C336" s="222" t="inlineStr">
        <is>
          <t>KERRY LOGISTICS (CAMBODIA) PTE. LTD.</t>
        </is>
      </c>
      <c r="D336" s="223" t="inlineStr">
        <is>
          <t>L001-100074669</t>
        </is>
      </c>
      <c r="E336" s="349" t="inlineStr">
        <is>
          <t>IVP07441</t>
        </is>
      </c>
      <c r="F336" s="332" t="n">
        <v>45790</v>
      </c>
      <c r="G336" s="224" t="n"/>
      <c r="H336" s="617" t="n"/>
      <c r="I336" s="617" t="n">
        <v>170085</v>
      </c>
      <c r="J336" s="221" t="inlineStr">
        <is>
          <t>អនុញ្ញាត (បានប្រកាស)</t>
        </is>
      </c>
      <c r="K336" s="221" t="n"/>
      <c r="L336" s="616">
        <f>I336</f>
        <v/>
      </c>
      <c r="M336" s="588">
        <f>I336-L336</f>
        <v/>
      </c>
      <c r="N336" s="221" t="n"/>
      <c r="O336" s="226">
        <f>U336=E336</f>
        <v/>
      </c>
      <c r="P336" s="226">
        <f>MONTH(F336)-MONTH(T336)</f>
        <v/>
      </c>
      <c r="Q336" s="226">
        <f>$B$5=X336</f>
        <v/>
      </c>
      <c r="R336" s="226">
        <f>I336-AD336</f>
        <v/>
      </c>
      <c r="S336" s="360" t="n"/>
      <c r="T336" s="361" t="n">
        <v>45790</v>
      </c>
      <c r="U336" s="360" t="inlineStr">
        <is>
          <t>IVP07441</t>
        </is>
      </c>
      <c r="V336" s="360" t="n">
        <v>0</v>
      </c>
      <c r="W336" s="360" t="inlineStr">
        <is>
          <t>បុគ្គលជាប់អាករ</t>
        </is>
      </c>
      <c r="X336" s="360" t="inlineStr">
        <is>
          <t>L001-901640009</t>
        </is>
      </c>
      <c r="Y336" s="360" t="inlineStr">
        <is>
          <t>ហូលីដេ ឌីហ្សាញ (ខេមបូឌា) ឯ.ក</t>
        </is>
      </c>
      <c r="Z336" s="362" t="n">
        <v>1870935</v>
      </c>
      <c r="AA336" s="362" t="n">
        <v>1700850</v>
      </c>
      <c r="AB336" s="360" t="n">
        <v>0</v>
      </c>
      <c r="AC336" s="360" t="inlineStr">
        <is>
          <t>-</t>
        </is>
      </c>
      <c r="AD336" s="362" t="n">
        <v>170085</v>
      </c>
      <c r="AE336" s="360" t="n">
        <v>0</v>
      </c>
      <c r="AF336" s="615" t="n">
        <v>0</v>
      </c>
      <c r="AG336" s="203" t="n">
        <v>0</v>
      </c>
      <c r="AH336" s="203" t="n">
        <v>0</v>
      </c>
      <c r="AI336" s="203" t="n">
        <v>0</v>
      </c>
      <c r="AJ336" s="203" t="n">
        <v>0</v>
      </c>
      <c r="AK336" s="203" t="n">
        <v>0</v>
      </c>
      <c r="AL336" s="203" t="n">
        <v>0.01</v>
      </c>
      <c r="AM336" s="203" t="n">
        <v>0</v>
      </c>
      <c r="AN336" s="203" t="inlineStr">
        <is>
          <t>នាំចេញទំនិញតាមផ្លូវទឹក</t>
        </is>
      </c>
      <c r="AO336" s="203" t="inlineStr">
        <is>
          <t>បានប្រកាសនិងបង់ពន្ធ</t>
        </is>
      </c>
    </row>
    <row r="337">
      <c r="A337" s="220">
        <f>A336+1</f>
        <v/>
      </c>
      <c r="B337" s="222" t="inlineStr">
        <is>
          <t>Storage charges-Im</t>
        </is>
      </c>
      <c r="C337" s="222" t="inlineStr">
        <is>
          <t>Port Autonome Du Sihanoukville</t>
        </is>
      </c>
      <c r="D337" s="223" t="inlineStr">
        <is>
          <t>L001-100044638</t>
        </is>
      </c>
      <c r="E337" s="349" t="n">
        <v>202500091494</v>
      </c>
      <c r="F337" s="332" t="n">
        <v>45772</v>
      </c>
      <c r="G337" s="224" t="n"/>
      <c r="H337" s="617" t="n"/>
      <c r="I337" s="617" t="n">
        <v>72054</v>
      </c>
      <c r="J337" s="221" t="inlineStr">
        <is>
          <t>អនុញ្ញាត (បានប្រកាស)</t>
        </is>
      </c>
      <c r="K337" s="221" t="n"/>
      <c r="L337" s="616">
        <f>I337</f>
        <v/>
      </c>
      <c r="M337" s="588">
        <f>I337-L337</f>
        <v/>
      </c>
      <c r="N337" s="221" t="n"/>
      <c r="O337" s="226">
        <f>U337=E337</f>
        <v/>
      </c>
      <c r="P337" s="226">
        <f>MONTH(F337)-MONTH(T337)</f>
        <v/>
      </c>
      <c r="Q337" s="226">
        <f>$B$5=X337</f>
        <v/>
      </c>
      <c r="R337" s="226">
        <f>I337-AD337</f>
        <v/>
      </c>
      <c r="S337" s="360" t="n"/>
      <c r="T337" s="361" t="n">
        <v>45772</v>
      </c>
      <c r="U337" s="360" t="n">
        <v>202500091494</v>
      </c>
      <c r="V337" s="360" t="n">
        <v>0</v>
      </c>
      <c r="W337" s="360" t="inlineStr">
        <is>
          <t>បុគ្គលជាប់អាករ</t>
        </is>
      </c>
      <c r="X337" s="360" t="inlineStr">
        <is>
          <t>L001-901640009</t>
        </is>
      </c>
      <c r="Y337" s="360" t="inlineStr">
        <is>
          <t>ហូលីដេ ឌីហ្សាញ (ខេមបូឌា) ឯ.ក</t>
        </is>
      </c>
      <c r="Z337" s="362" t="n">
        <v>792594</v>
      </c>
      <c r="AA337" s="362" t="n">
        <v>720540</v>
      </c>
      <c r="AB337" s="360" t="n">
        <v>0</v>
      </c>
      <c r="AC337" s="360" t="inlineStr">
        <is>
          <t>-</t>
        </is>
      </c>
      <c r="AD337" s="362" t="n">
        <v>72054</v>
      </c>
      <c r="AE337" s="360" t="n">
        <v>0</v>
      </c>
      <c r="AF337" s="615" t="n">
        <v>0</v>
      </c>
      <c r="AG337" s="203" t="n">
        <v>0</v>
      </c>
      <c r="AH337" s="203" t="n">
        <v>0</v>
      </c>
      <c r="AI337" s="203" t="n">
        <v>0</v>
      </c>
      <c r="AJ337" s="203" t="n">
        <v>0</v>
      </c>
      <c r="AK337" s="203" t="n">
        <v>0</v>
      </c>
      <c r="AL337" s="203" t="n">
        <v>0.01</v>
      </c>
      <c r="AM337" s="203" t="n">
        <v>0</v>
      </c>
      <c r="AN337" s="203" t="inlineStr">
        <is>
          <t>Storage</t>
        </is>
      </c>
    </row>
    <row r="338">
      <c r="A338" s="220">
        <f>A337+1</f>
        <v/>
      </c>
      <c r="B338" s="222" t="inlineStr">
        <is>
          <t>Lift-On &amp; Lift-On-Im</t>
        </is>
      </c>
      <c r="C338" s="222" t="inlineStr">
        <is>
          <t>Port Autonome Du Sihanoukville</t>
        </is>
      </c>
      <c r="D338" s="223" t="inlineStr">
        <is>
          <t>L001-100044638</t>
        </is>
      </c>
      <c r="E338" s="349" t="n">
        <v>202500073702</v>
      </c>
      <c r="F338" s="332" t="n">
        <v>45751</v>
      </c>
      <c r="G338" s="224" t="n"/>
      <c r="H338" s="617" t="n"/>
      <c r="I338" s="617" t="n">
        <v>348261</v>
      </c>
      <c r="J338" s="221" t="inlineStr">
        <is>
          <t>អនុញ្ញាត (បានប្រកាស)</t>
        </is>
      </c>
      <c r="K338" s="221" t="n"/>
      <c r="L338" s="616">
        <f>I338</f>
        <v/>
      </c>
      <c r="M338" s="588">
        <f>I338-L338</f>
        <v/>
      </c>
      <c r="N338" s="221" t="n"/>
      <c r="O338" s="226">
        <f>U338=E338</f>
        <v/>
      </c>
      <c r="P338" s="226">
        <f>MONTH(F338)-MONTH(T338)</f>
        <v/>
      </c>
      <c r="Q338" s="226">
        <f>$B$5=X338</f>
        <v/>
      </c>
      <c r="R338" s="226">
        <f>I338-AD338</f>
        <v/>
      </c>
      <c r="S338" s="360" t="n"/>
      <c r="T338" s="361" t="n">
        <v>45751</v>
      </c>
      <c r="U338" s="360" t="n">
        <v>202500073702</v>
      </c>
      <c r="V338" s="360" t="n">
        <v>0</v>
      </c>
      <c r="W338" s="360" t="inlineStr">
        <is>
          <t>បុគ្គលជាប់អាករ</t>
        </is>
      </c>
      <c r="X338" s="360" t="inlineStr">
        <is>
          <t>L001-901640009</t>
        </is>
      </c>
      <c r="Y338" s="360" t="inlineStr">
        <is>
          <t>ហូលីដេ ឌីហ្សាញ (ខេមបូឌា) ឯ.ក</t>
        </is>
      </c>
      <c r="Z338" s="362" t="n">
        <v>3830871</v>
      </c>
      <c r="AA338" s="362" t="n">
        <v>3482610</v>
      </c>
      <c r="AB338" s="360" t="n">
        <v>0</v>
      </c>
      <c r="AC338" s="360" t="inlineStr">
        <is>
          <t>-</t>
        </is>
      </c>
      <c r="AD338" s="362" t="n">
        <v>348261</v>
      </c>
      <c r="AE338" s="360" t="n">
        <v>0</v>
      </c>
      <c r="AF338" s="615" t="n">
        <v>0</v>
      </c>
      <c r="AG338" s="203" t="n">
        <v>0</v>
      </c>
      <c r="AH338" s="203" t="n">
        <v>0</v>
      </c>
      <c r="AI338" s="203" t="n">
        <v>0</v>
      </c>
      <c r="AJ338" s="203" t="n">
        <v>0</v>
      </c>
      <c r="AK338" s="203" t="n">
        <v>0</v>
      </c>
      <c r="AL338" s="203" t="n">
        <v>0.01</v>
      </c>
      <c r="AM338" s="203" t="n">
        <v>0</v>
      </c>
      <c r="AN338" s="203" t="inlineStr">
        <is>
          <t>LOLO</t>
        </is>
      </c>
    </row>
    <row r="339">
      <c r="A339" s="220">
        <f>A338+1</f>
        <v/>
      </c>
      <c r="B339" s="222" t="inlineStr">
        <is>
          <t>Telecom Service Usage Charge</t>
        </is>
      </c>
      <c r="C339" s="222" t="inlineStr">
        <is>
          <t>VIETTEL (CAMBODIA) PTE. LTD.</t>
        </is>
      </c>
      <c r="D339" s="223" t="inlineStr">
        <is>
          <t>L001-100121845</t>
        </is>
      </c>
      <c r="E339" s="349" t="inlineStr">
        <is>
          <t>MC/2025-0095268</t>
        </is>
      </c>
      <c r="F339" s="332" t="n">
        <v>45672</v>
      </c>
      <c r="G339" s="224" t="n"/>
      <c r="H339" s="617" t="n"/>
      <c r="I339" s="617" t="n">
        <v>724500</v>
      </c>
      <c r="J339" s="221" t="inlineStr">
        <is>
          <t>អនុញ្ញាត (បានប្រកាស)</t>
        </is>
      </c>
      <c r="K339" s="618">
        <f>L339</f>
        <v/>
      </c>
      <c r="L339" s="616">
        <f>AD339</f>
        <v/>
      </c>
      <c r="M339" s="588">
        <f>I339-L339</f>
        <v/>
      </c>
      <c r="N339" s="221" t="n"/>
      <c r="O339" s="226">
        <f>U339=E339</f>
        <v/>
      </c>
      <c r="P339" s="226">
        <f>MONTH(F339)-MONTH(T339)</f>
        <v/>
      </c>
      <c r="Q339" s="226">
        <f>$B$5=X339</f>
        <v/>
      </c>
      <c r="R339" s="226">
        <f>I339-AD339</f>
        <v/>
      </c>
      <c r="S339" s="360" t="n"/>
      <c r="T339" s="361" t="n">
        <v>45673</v>
      </c>
      <c r="U339" s="360" t="inlineStr">
        <is>
          <t>MC/2025-0095268</t>
        </is>
      </c>
      <c r="V339" s="360" t="n">
        <v>0</v>
      </c>
      <c r="W339" s="360" t="inlineStr">
        <is>
          <t>បុគ្គលជាប់អាករ</t>
        </is>
      </c>
      <c r="X339" s="360" t="inlineStr">
        <is>
          <t>L001-901640009</t>
        </is>
      </c>
      <c r="Y339" s="360" t="inlineStr">
        <is>
          <t>ហូលីដេ ឌីហ្សាញ (ខេមបូឌា) ឯ.ក</t>
        </is>
      </c>
      <c r="Z339" s="362" t="n">
        <v>7967520</v>
      </c>
      <c r="AA339" s="362" t="n">
        <v>7243200</v>
      </c>
      <c r="AB339" s="360" t="n">
        <v>0</v>
      </c>
      <c r="AC339" s="360" t="inlineStr">
        <is>
          <t>-</t>
        </is>
      </c>
      <c r="AD339" s="362" t="n">
        <v>724320</v>
      </c>
      <c r="AE339" s="360" t="n">
        <v>0</v>
      </c>
      <c r="AF339" s="615" t="n">
        <v>0</v>
      </c>
      <c r="AG339" s="203" t="n">
        <v>0</v>
      </c>
      <c r="AH339" s="203" t="n">
        <v>0</v>
      </c>
      <c r="AI339" s="203" t="n">
        <v>0</v>
      </c>
      <c r="AJ339" s="203" t="n">
        <v>0</v>
      </c>
      <c r="AK339" s="203" t="n">
        <v>0</v>
      </c>
      <c r="AL339" s="203" t="n">
        <v>0.01</v>
      </c>
      <c r="AM339" s="203" t="n">
        <v>0</v>
      </c>
      <c r="AN339" s="203" t="inlineStr">
        <is>
          <t>Fixed-FTTx</t>
        </is>
      </c>
      <c r="AO339" s="203" t="inlineStr">
        <is>
          <t>បានប្រកាសនិងបង់ពន្ធ</t>
        </is>
      </c>
    </row>
    <row r="340">
      <c r="A340" s="220">
        <f>A339+1</f>
        <v/>
      </c>
      <c r="B340" s="222" t="inlineStr">
        <is>
          <t>Trucking &amp; Clearance-Im</t>
        </is>
      </c>
      <c r="C340" s="222" t="inlineStr">
        <is>
          <t>BRILLIANT TRANSPORT AND TRADING Co., Ltd.</t>
        </is>
      </c>
      <c r="D340" s="223" t="inlineStr">
        <is>
          <t>K002-100089305</t>
        </is>
      </c>
      <c r="E340" s="349" t="inlineStr">
        <is>
          <t>BTT25-0000741</t>
        </is>
      </c>
      <c r="F340" s="332" t="n">
        <v>45751</v>
      </c>
      <c r="G340" s="224" t="n"/>
      <c r="H340" s="617" t="n"/>
      <c r="I340" s="617" t="n">
        <v>2145608</v>
      </c>
      <c r="J340" s="221" t="inlineStr">
        <is>
          <t>អនុញ្ញាត (បានប្រកាស)</t>
        </is>
      </c>
      <c r="K340" s="221" t="n"/>
      <c r="L340" s="616">
        <f>I340</f>
        <v/>
      </c>
      <c r="M340" s="588">
        <f>I340-L340</f>
        <v/>
      </c>
      <c r="N340" s="221" t="n"/>
      <c r="O340" s="226">
        <f>U340=E340</f>
        <v/>
      </c>
      <c r="P340" s="226">
        <f>MONTH(F340)-MONTH(T340)</f>
        <v/>
      </c>
      <c r="Q340" s="226">
        <f>$B$5=X340</f>
        <v/>
      </c>
      <c r="R340" s="226">
        <f>I340-AD340</f>
        <v/>
      </c>
      <c r="S340" s="360" t="n"/>
      <c r="T340" s="361" t="n">
        <v>45751</v>
      </c>
      <c r="U340" s="360" t="inlineStr">
        <is>
          <t>BTT25-0000741</t>
        </is>
      </c>
      <c r="V340" s="360" t="n">
        <v>0</v>
      </c>
      <c r="W340" s="360" t="inlineStr">
        <is>
          <t>បុគ្គលជាប់អាករ</t>
        </is>
      </c>
      <c r="X340" s="360" t="inlineStr">
        <is>
          <t>L001-901640009</t>
        </is>
      </c>
      <c r="Y340" s="360" t="inlineStr">
        <is>
          <t>ហូលីដេ ឌីហ្សាញ (ខេមបូឌា) ឯ.ក</t>
        </is>
      </c>
      <c r="Z340" s="362" t="n">
        <v>23601688</v>
      </c>
      <c r="AA340" s="362" t="n">
        <v>21456080</v>
      </c>
      <c r="AB340" s="360" t="n">
        <v>0</v>
      </c>
      <c r="AC340" s="360" t="inlineStr">
        <is>
          <t>-</t>
        </is>
      </c>
      <c r="AD340" s="362" t="n">
        <v>2145608</v>
      </c>
      <c r="AE340" s="360" t="n">
        <v>0</v>
      </c>
      <c r="AF340" s="615" t="n">
        <v>0</v>
      </c>
      <c r="AG340" s="203" t="n">
        <v>0</v>
      </c>
      <c r="AH340" s="203" t="n">
        <v>0</v>
      </c>
      <c r="AI340" s="203" t="n">
        <v>0</v>
      </c>
      <c r="AJ340" s="203" t="n">
        <v>0</v>
      </c>
      <c r="AK340" s="203" t="n">
        <v>0</v>
      </c>
      <c r="AL340" s="203" t="n">
        <v>0.01</v>
      </c>
      <c r="AM340" s="203" t="n">
        <v>0</v>
      </c>
      <c r="AN340" s="203" t="inlineStr">
        <is>
          <t>Truking / Service</t>
        </is>
      </c>
    </row>
    <row r="341">
      <c r="A341" s="220">
        <f>A340+1</f>
        <v/>
      </c>
      <c r="B341" s="222" t="inlineStr">
        <is>
          <t>Lift-On &amp; Lift-On-Im</t>
        </is>
      </c>
      <c r="C341" s="222" t="inlineStr">
        <is>
          <t>Port Autonome Du Sihanoukville</t>
        </is>
      </c>
      <c r="D341" s="223" t="inlineStr">
        <is>
          <t>L001-100044638</t>
        </is>
      </c>
      <c r="E341" s="349" t="n">
        <v>202500072119</v>
      </c>
      <c r="F341" s="332" t="n">
        <v>45750</v>
      </c>
      <c r="G341" s="224" t="n"/>
      <c r="H341" s="617" t="n"/>
      <c r="I341" s="617" t="n">
        <v>68400</v>
      </c>
      <c r="J341" s="221" t="inlineStr">
        <is>
          <t>អនុញ្ញាត (បានប្រកាស)</t>
        </is>
      </c>
      <c r="K341" s="221" t="n"/>
      <c r="L341" s="616">
        <f>I341</f>
        <v/>
      </c>
      <c r="M341" s="588">
        <f>I341-L341</f>
        <v/>
      </c>
      <c r="N341" s="221" t="n"/>
      <c r="O341" s="226">
        <f>U341=E341</f>
        <v/>
      </c>
      <c r="P341" s="226">
        <f>MONTH(F341)-MONTH(T341)</f>
        <v/>
      </c>
      <c r="Q341" s="226">
        <f>$B$5=X341</f>
        <v/>
      </c>
      <c r="R341" s="226">
        <f>I341-AD341</f>
        <v/>
      </c>
      <c r="S341" s="360" t="n"/>
      <c r="T341" s="361" t="n">
        <v>45750</v>
      </c>
      <c r="U341" s="360" t="n">
        <v>202500072119</v>
      </c>
      <c r="V341" s="360" t="n">
        <v>0</v>
      </c>
      <c r="W341" s="360" t="inlineStr">
        <is>
          <t>បុគ្គលជាប់អាករ</t>
        </is>
      </c>
      <c r="X341" s="360" t="inlineStr">
        <is>
          <t>L001-901640009</t>
        </is>
      </c>
      <c r="Y341" s="360" t="inlineStr">
        <is>
          <t>ហូលីដេ ឌីហ្សាញ (ខេមបូឌា) ឯ.ក</t>
        </is>
      </c>
      <c r="Z341" s="362" t="n">
        <v>752400</v>
      </c>
      <c r="AA341" s="362" t="n">
        <v>684000</v>
      </c>
      <c r="AB341" s="360" t="n">
        <v>0</v>
      </c>
      <c r="AC341" s="360" t="inlineStr">
        <is>
          <t>-</t>
        </is>
      </c>
      <c r="AD341" s="362" t="n">
        <v>68400</v>
      </c>
      <c r="AE341" s="360" t="n">
        <v>0</v>
      </c>
      <c r="AF341" s="615" t="n">
        <v>0</v>
      </c>
      <c r="AG341" s="203" t="n">
        <v>0</v>
      </c>
      <c r="AH341" s="203" t="n">
        <v>0</v>
      </c>
      <c r="AI341" s="203" t="n">
        <v>0</v>
      </c>
      <c r="AJ341" s="203" t="n">
        <v>0</v>
      </c>
      <c r="AK341" s="203" t="n">
        <v>0</v>
      </c>
      <c r="AL341" s="203" t="n">
        <v>0.01</v>
      </c>
      <c r="AM341" s="203" t="n">
        <v>0</v>
      </c>
      <c r="AN341" s="203" t="inlineStr">
        <is>
          <t>LOLO</t>
        </is>
      </c>
    </row>
    <row r="342">
      <c r="A342" s="220">
        <f>A341+1</f>
        <v/>
      </c>
      <c r="B342" s="222" t="inlineStr">
        <is>
          <t>Terminal Handling Charge</t>
        </is>
      </c>
      <c r="C342" s="222" t="inlineStr">
        <is>
          <t>SITC CONTAINER LINES (CAMBODIA) Co., Ltd.</t>
        </is>
      </c>
      <c r="D342" s="223" t="inlineStr">
        <is>
          <t>L001-107035863</t>
        </is>
      </c>
      <c r="E342" s="349" t="inlineStr">
        <is>
          <t>SITC2025-010100</t>
        </is>
      </c>
      <c r="F342" s="332" t="n">
        <v>45748</v>
      </c>
      <c r="G342" s="224" t="n"/>
      <c r="H342" s="617" t="n"/>
      <c r="I342" s="617" t="n">
        <v>384000</v>
      </c>
      <c r="J342" s="221" t="inlineStr">
        <is>
          <t>អនុញ្ញាត (បានប្រកាស)</t>
        </is>
      </c>
      <c r="K342" s="221" t="n"/>
      <c r="L342" s="616">
        <f>I342</f>
        <v/>
      </c>
      <c r="M342" s="588">
        <f>I342-L342</f>
        <v/>
      </c>
      <c r="N342" s="221" t="n"/>
      <c r="O342" s="226">
        <f>U342=E342</f>
        <v/>
      </c>
      <c r="P342" s="226">
        <f>MONTH(F342)-MONTH(T342)</f>
        <v/>
      </c>
      <c r="Q342" s="226">
        <f>$B$5=X342</f>
        <v/>
      </c>
      <c r="R342" s="226">
        <f>I342-AD342</f>
        <v/>
      </c>
      <c r="S342" s="360" t="n"/>
      <c r="T342" s="361" t="n">
        <v>45748</v>
      </c>
      <c r="U342" s="360" t="inlineStr">
        <is>
          <t>SITC2025-010100</t>
        </is>
      </c>
      <c r="V342" s="360" t="n">
        <v>0</v>
      </c>
      <c r="W342" s="360" t="inlineStr">
        <is>
          <t>បុគ្គលជាប់អាករ</t>
        </is>
      </c>
      <c r="X342" s="360" t="inlineStr">
        <is>
          <t>L001-901640009</t>
        </is>
      </c>
      <c r="Y342" s="360" t="inlineStr">
        <is>
          <t>ហូលីដេ ឌីហ្សាញ (ខេមបូឌា) ឯ.ក</t>
        </is>
      </c>
      <c r="Z342" s="362" t="n">
        <v>4224000</v>
      </c>
      <c r="AA342" s="362" t="n">
        <v>3840000</v>
      </c>
      <c r="AB342" s="360" t="n">
        <v>0</v>
      </c>
      <c r="AC342" s="360" t="inlineStr">
        <is>
          <t>-</t>
        </is>
      </c>
      <c r="AD342" s="362" t="n">
        <v>384000</v>
      </c>
      <c r="AE342" s="360" t="n">
        <v>0</v>
      </c>
      <c r="AF342" s="615" t="n">
        <v>0</v>
      </c>
      <c r="AG342" s="203" t="n">
        <v>0</v>
      </c>
      <c r="AH342" s="203" t="n">
        <v>0</v>
      </c>
      <c r="AI342" s="203" t="n">
        <v>0</v>
      </c>
      <c r="AJ342" s="203" t="n">
        <v>0</v>
      </c>
      <c r="AK342" s="203" t="n">
        <v>0</v>
      </c>
      <c r="AL342" s="203" t="n">
        <v>0.01</v>
      </c>
      <c r="AM342" s="203" t="n">
        <v>0</v>
      </c>
      <c r="AN342" s="203" t="inlineStr">
        <is>
          <t>KHTHC,EMF,KHDOC,KHCIC,EIB</t>
        </is>
      </c>
    </row>
    <row r="343">
      <c r="A343" s="220">
        <f>A342+1</f>
        <v/>
      </c>
      <c r="B343" s="222" t="inlineStr">
        <is>
          <t>Trucking &amp; Clearance-Im</t>
        </is>
      </c>
      <c r="C343" s="222" t="inlineStr">
        <is>
          <t>BRILLIANT TRANSPORT AND TRADING Co., Ltd.</t>
        </is>
      </c>
      <c r="D343" s="223" t="inlineStr">
        <is>
          <t>K002-100089305</t>
        </is>
      </c>
      <c r="E343" s="349" t="inlineStr">
        <is>
          <t>BTT25-0000737</t>
        </is>
      </c>
      <c r="F343" s="332" t="n">
        <v>45750</v>
      </c>
      <c r="G343" s="224" t="n"/>
      <c r="H343" s="617" t="n"/>
      <c r="I343" s="617" t="n">
        <v>732000</v>
      </c>
      <c r="J343" s="221" t="inlineStr">
        <is>
          <t>អនុញ្ញាត (បានប្រកាស)</t>
        </is>
      </c>
      <c r="K343" s="221" t="n"/>
      <c r="L343" s="616">
        <f>I343</f>
        <v/>
      </c>
      <c r="M343" s="588">
        <f>I343-L343</f>
        <v/>
      </c>
      <c r="N343" s="221" t="n"/>
      <c r="O343" s="226">
        <f>U343=E343</f>
        <v/>
      </c>
      <c r="P343" s="226">
        <f>MONTH(F343)-MONTH(T343)</f>
        <v/>
      </c>
      <c r="Q343" s="226">
        <f>$B$5=X343</f>
        <v/>
      </c>
      <c r="R343" s="226">
        <f>I343-AD343</f>
        <v/>
      </c>
      <c r="S343" s="360" t="n"/>
      <c r="T343" s="361" t="n">
        <v>45750</v>
      </c>
      <c r="U343" s="360" t="inlineStr">
        <is>
          <t>BTT25-0000737</t>
        </is>
      </c>
      <c r="V343" s="360" t="n">
        <v>0</v>
      </c>
      <c r="W343" s="360" t="inlineStr">
        <is>
          <t>បុគ្គលជាប់អាករ</t>
        </is>
      </c>
      <c r="X343" s="360" t="inlineStr">
        <is>
          <t>L001-901640009</t>
        </is>
      </c>
      <c r="Y343" s="360" t="inlineStr">
        <is>
          <t>ហូលីដេ ឌីហ្សាញ (ខេមបូឌា) ឯ.ក</t>
        </is>
      </c>
      <c r="Z343" s="362" t="n">
        <v>8052000</v>
      </c>
      <c r="AA343" s="362" t="n">
        <v>7320000</v>
      </c>
      <c r="AB343" s="360" t="n">
        <v>0</v>
      </c>
      <c r="AC343" s="360" t="inlineStr">
        <is>
          <t>-</t>
        </is>
      </c>
      <c r="AD343" s="362" t="n">
        <v>732000</v>
      </c>
      <c r="AE343" s="360" t="n">
        <v>0</v>
      </c>
      <c r="AF343" s="615" t="n">
        <v>0</v>
      </c>
      <c r="AG343" s="203" t="n">
        <v>0</v>
      </c>
      <c r="AH343" s="203" t="n">
        <v>0</v>
      </c>
      <c r="AI343" s="203" t="n">
        <v>0</v>
      </c>
      <c r="AJ343" s="203" t="n">
        <v>0</v>
      </c>
      <c r="AK343" s="203" t="n">
        <v>0</v>
      </c>
      <c r="AL343" s="203" t="n">
        <v>0.01</v>
      </c>
      <c r="AM343" s="203" t="n">
        <v>0</v>
      </c>
      <c r="AN343" s="203" t="inlineStr">
        <is>
          <t>Truking / Service</t>
        </is>
      </c>
    </row>
    <row r="344">
      <c r="A344" s="220">
        <f>A343+1</f>
        <v/>
      </c>
      <c r="B344" s="222" t="inlineStr">
        <is>
          <t>Trucking &amp; Clearance-Im</t>
        </is>
      </c>
      <c r="C344" s="222" t="inlineStr">
        <is>
          <t>BRILLIANT TRANSPORT AND TRADING Co., Ltd.</t>
        </is>
      </c>
      <c r="D344" s="223" t="inlineStr">
        <is>
          <t>K002-100089305</t>
        </is>
      </c>
      <c r="E344" s="349" t="inlineStr">
        <is>
          <t>BTT25-0000735</t>
        </is>
      </c>
      <c r="F344" s="332" t="n">
        <v>45748</v>
      </c>
      <c r="G344" s="224" t="n"/>
      <c r="H344" s="617" t="n"/>
      <c r="I344" s="617" t="n">
        <v>3040000</v>
      </c>
      <c r="J344" s="221" t="inlineStr">
        <is>
          <t>អនុញ្ញាត (បានប្រកាស)</t>
        </is>
      </c>
      <c r="K344" s="221" t="n"/>
      <c r="L344" s="616">
        <f>I344</f>
        <v/>
      </c>
      <c r="M344" s="588">
        <f>I344-L344</f>
        <v/>
      </c>
      <c r="N344" s="221" t="n"/>
      <c r="O344" s="226">
        <f>U344=E344</f>
        <v/>
      </c>
      <c r="P344" s="226">
        <f>MONTH(F344)-MONTH(T344)</f>
        <v/>
      </c>
      <c r="Q344" s="226">
        <f>$B$5=X344</f>
        <v/>
      </c>
      <c r="R344" s="226">
        <f>I344-AD344</f>
        <v/>
      </c>
      <c r="S344" s="360" t="n"/>
      <c r="T344" s="361" t="n">
        <v>45748</v>
      </c>
      <c r="U344" s="360" t="inlineStr">
        <is>
          <t>BTT25-0000735</t>
        </is>
      </c>
      <c r="V344" s="360" t="n">
        <v>0</v>
      </c>
      <c r="W344" s="360" t="inlineStr">
        <is>
          <t>បុគ្គលជាប់អាករ</t>
        </is>
      </c>
      <c r="X344" s="360" t="inlineStr">
        <is>
          <t>L001-901640009</t>
        </is>
      </c>
      <c r="Y344" s="360" t="inlineStr">
        <is>
          <t>ហូលីដេ ឌីហ្សាញ (ខេមបូឌា) ឯ.ក</t>
        </is>
      </c>
      <c r="Z344" s="362" t="n">
        <v>33440000</v>
      </c>
      <c r="AA344" s="362" t="n">
        <v>30400000</v>
      </c>
      <c r="AB344" s="360" t="n">
        <v>0</v>
      </c>
      <c r="AC344" s="360" t="inlineStr">
        <is>
          <t>-</t>
        </is>
      </c>
      <c r="AD344" s="362" t="n">
        <v>3040000</v>
      </c>
      <c r="AE344" s="360" t="n">
        <v>0</v>
      </c>
      <c r="AF344" s="615" t="n">
        <v>0</v>
      </c>
      <c r="AG344" s="203" t="n">
        <v>0</v>
      </c>
      <c r="AH344" s="203" t="n">
        <v>0</v>
      </c>
      <c r="AI344" s="203" t="n">
        <v>0</v>
      </c>
      <c r="AJ344" s="203" t="n">
        <v>0</v>
      </c>
      <c r="AK344" s="203" t="n">
        <v>0</v>
      </c>
      <c r="AL344" s="203" t="n">
        <v>0.01</v>
      </c>
      <c r="AM344" s="203" t="n">
        <v>0</v>
      </c>
      <c r="AN344" s="203" t="inlineStr">
        <is>
          <t>Truking / Service</t>
        </is>
      </c>
    </row>
    <row r="345">
      <c r="A345" s="220">
        <f>A344+1</f>
        <v/>
      </c>
      <c r="B345" s="222" t="inlineStr">
        <is>
          <t>Trucking &amp; Clearance-Im</t>
        </is>
      </c>
      <c r="C345" s="222" t="inlineStr">
        <is>
          <t>BRILLIANT TRANSPORT AND TRADING Co., Ltd.</t>
        </is>
      </c>
      <c r="D345" s="223" t="inlineStr">
        <is>
          <t>K002-100089305</t>
        </is>
      </c>
      <c r="E345" s="349" t="inlineStr">
        <is>
          <t>BTT25-0000880</t>
        </is>
      </c>
      <c r="F345" s="332" t="n">
        <v>45758</v>
      </c>
      <c r="G345" s="224" t="n"/>
      <c r="H345" s="617" t="n"/>
      <c r="I345" s="617" t="n">
        <v>1902850</v>
      </c>
      <c r="J345" s="221" t="inlineStr">
        <is>
          <t>អនុញ្ញាត (បានប្រកាស)</t>
        </is>
      </c>
      <c r="K345" s="221" t="n"/>
      <c r="L345" s="616">
        <f>I345</f>
        <v/>
      </c>
      <c r="M345" s="588">
        <f>I345-L345</f>
        <v/>
      </c>
      <c r="N345" s="221" t="n"/>
      <c r="O345" s="226">
        <f>U345=E345</f>
        <v/>
      </c>
      <c r="P345" s="226">
        <f>MONTH(F345)-MONTH(T345)</f>
        <v/>
      </c>
      <c r="Q345" s="226">
        <f>$B$5=X345</f>
        <v/>
      </c>
      <c r="R345" s="226">
        <f>I345-AD345</f>
        <v/>
      </c>
      <c r="S345" s="360" t="n"/>
      <c r="T345" s="361" t="n">
        <v>45758</v>
      </c>
      <c r="U345" s="360" t="inlineStr">
        <is>
          <t>BTT25-0000880</t>
        </is>
      </c>
      <c r="V345" s="360" t="n">
        <v>0</v>
      </c>
      <c r="W345" s="360" t="inlineStr">
        <is>
          <t>បុគ្គលជាប់អាករ</t>
        </is>
      </c>
      <c r="X345" s="360" t="inlineStr">
        <is>
          <t>L001-901640009</t>
        </is>
      </c>
      <c r="Y345" s="360" t="inlineStr">
        <is>
          <t>ហូលីដេ ឌីហ្សាញ (ខេមបូឌា) ឯ.ក</t>
        </is>
      </c>
      <c r="Z345" s="362" t="n">
        <v>20931350</v>
      </c>
      <c r="AA345" s="362" t="n">
        <v>19028500</v>
      </c>
      <c r="AB345" s="360" t="n">
        <v>0</v>
      </c>
      <c r="AC345" s="360" t="inlineStr">
        <is>
          <t>-</t>
        </is>
      </c>
      <c r="AD345" s="362" t="n">
        <v>1902850</v>
      </c>
      <c r="AE345" s="360" t="n">
        <v>0</v>
      </c>
      <c r="AF345" s="615" t="n">
        <v>0</v>
      </c>
      <c r="AG345" s="203" t="n">
        <v>0</v>
      </c>
      <c r="AH345" s="203" t="n">
        <v>0</v>
      </c>
      <c r="AI345" s="203" t="n">
        <v>0</v>
      </c>
      <c r="AJ345" s="203" t="n">
        <v>0</v>
      </c>
      <c r="AK345" s="203" t="n">
        <v>0</v>
      </c>
      <c r="AL345" s="203" t="n">
        <v>0.01</v>
      </c>
      <c r="AM345" s="203" t="n">
        <v>0</v>
      </c>
      <c r="AN345" s="203" t="inlineStr">
        <is>
          <t>Truking / Service</t>
        </is>
      </c>
    </row>
    <row r="346">
      <c r="A346" s="220">
        <f>A345+1</f>
        <v/>
      </c>
      <c r="B346" s="222" t="inlineStr">
        <is>
          <t>Terminal Handling Charge</t>
        </is>
      </c>
      <c r="C346" s="222" t="inlineStr">
        <is>
          <t>SITC CONTAINER LINES (CAMBODIA) Co., Ltd.</t>
        </is>
      </c>
      <c r="D346" s="223" t="inlineStr">
        <is>
          <t>L001-107035863</t>
        </is>
      </c>
      <c r="E346" s="349" t="inlineStr">
        <is>
          <t>SITC2025-011698</t>
        </is>
      </c>
      <c r="F346" s="332" t="n">
        <v>45755</v>
      </c>
      <c r="G346" s="224" t="n"/>
      <c r="H346" s="617" t="n"/>
      <c r="I346" s="617" t="n">
        <v>1688844</v>
      </c>
      <c r="J346" s="221" t="inlineStr">
        <is>
          <t>អនុញ្ញាត (បានប្រកាស)</t>
        </is>
      </c>
      <c r="K346" s="221" t="n"/>
      <c r="L346" s="616">
        <f>I346</f>
        <v/>
      </c>
      <c r="M346" s="588">
        <f>I346-L346</f>
        <v/>
      </c>
      <c r="N346" s="221" t="n"/>
      <c r="O346" s="226">
        <f>U346=E346</f>
        <v/>
      </c>
      <c r="P346" s="226">
        <f>MONTH(F346)-MONTH(T346)</f>
        <v/>
      </c>
      <c r="Q346" s="226">
        <f>$B$5=X346</f>
        <v/>
      </c>
      <c r="R346" s="226">
        <f>I346-AD346</f>
        <v/>
      </c>
      <c r="S346" s="360" t="n"/>
      <c r="T346" s="361" t="n">
        <v>45755</v>
      </c>
      <c r="U346" s="360" t="inlineStr">
        <is>
          <t>SITC2025-011698</t>
        </is>
      </c>
      <c r="V346" s="360" t="n">
        <v>0</v>
      </c>
      <c r="W346" s="360" t="inlineStr">
        <is>
          <t>បុគ្គលជាប់អាករ</t>
        </is>
      </c>
      <c r="X346" s="360" t="inlineStr">
        <is>
          <t>L001-901640009</t>
        </is>
      </c>
      <c r="Y346" s="360" t="inlineStr">
        <is>
          <t>ហូលីដេ ឌីហ្សាញ (ខេមបូឌា) ឯ.ក</t>
        </is>
      </c>
      <c r="Z346" s="362" t="n">
        <v>18577284</v>
      </c>
      <c r="AA346" s="362" t="n">
        <v>16888440</v>
      </c>
      <c r="AB346" s="360" t="n">
        <v>0</v>
      </c>
      <c r="AC346" s="360" t="inlineStr">
        <is>
          <t>-</t>
        </is>
      </c>
      <c r="AD346" s="362" t="n">
        <v>1688844</v>
      </c>
      <c r="AE346" s="360" t="n">
        <v>0</v>
      </c>
      <c r="AF346" s="615" t="n">
        <v>0</v>
      </c>
      <c r="AG346" s="203" t="n">
        <v>0</v>
      </c>
      <c r="AH346" s="203" t="n">
        <v>0</v>
      </c>
      <c r="AI346" s="203" t="n">
        <v>0</v>
      </c>
      <c r="AJ346" s="203" t="n">
        <v>0</v>
      </c>
      <c r="AK346" s="203" t="n">
        <v>0</v>
      </c>
      <c r="AL346" s="203" t="n">
        <v>0.01</v>
      </c>
      <c r="AM346" s="203" t="n">
        <v>0</v>
      </c>
      <c r="AN346" s="203" t="inlineStr">
        <is>
          <t>EIB,KHTHC,KHCIC,KHDOC,EMF</t>
        </is>
      </c>
    </row>
    <row r="347">
      <c r="A347" s="220">
        <f>A346+1</f>
        <v/>
      </c>
      <c r="B347" s="222" t="inlineStr">
        <is>
          <t>Lift-On &amp; Lift-On-Im</t>
        </is>
      </c>
      <c r="C347" s="222" t="inlineStr">
        <is>
          <t>Port Autonome Du Sihanoukville</t>
        </is>
      </c>
      <c r="D347" s="223" t="inlineStr">
        <is>
          <t>L001-100044638</t>
        </is>
      </c>
      <c r="E347" s="349" t="n">
        <v>202500080259</v>
      </c>
      <c r="F347" s="332" t="n">
        <v>45759</v>
      </c>
      <c r="G347" s="224" t="n"/>
      <c r="H347" s="617" t="n"/>
      <c r="I347" s="617" t="n">
        <v>278818</v>
      </c>
      <c r="J347" s="221" t="inlineStr">
        <is>
          <t>អនុញ្ញាត (បានប្រកាស)</t>
        </is>
      </c>
      <c r="K347" s="221" t="n"/>
      <c r="L347" s="616">
        <f>I347</f>
        <v/>
      </c>
      <c r="M347" s="588">
        <f>I347-L347</f>
        <v/>
      </c>
      <c r="N347" s="221" t="n"/>
      <c r="O347" s="226">
        <f>U347=E347</f>
        <v/>
      </c>
      <c r="P347" s="226">
        <f>MONTH(F347)-MONTH(T347)</f>
        <v/>
      </c>
      <c r="Q347" s="226">
        <f>$B$5=X347</f>
        <v/>
      </c>
      <c r="R347" s="226">
        <f>I347-AD347</f>
        <v/>
      </c>
      <c r="S347" s="360" t="n"/>
      <c r="T347" s="361" t="n">
        <v>45759</v>
      </c>
      <c r="U347" s="360" t="n">
        <v>202500080259</v>
      </c>
      <c r="V347" s="360" t="n">
        <v>0</v>
      </c>
      <c r="W347" s="360" t="inlineStr">
        <is>
          <t>បុគ្គលជាប់អាករ</t>
        </is>
      </c>
      <c r="X347" s="360" t="inlineStr">
        <is>
          <t>L001-901640009</t>
        </is>
      </c>
      <c r="Y347" s="360" t="inlineStr">
        <is>
          <t>ហូលីដេ ឌីហ្សាញ (ខេមបូឌា) ឯ.ក</t>
        </is>
      </c>
      <c r="Z347" s="362" t="n">
        <v>3066994</v>
      </c>
      <c r="AA347" s="362" t="n">
        <v>2788176</v>
      </c>
      <c r="AB347" s="360" t="n">
        <v>0</v>
      </c>
      <c r="AC347" s="360" t="inlineStr">
        <is>
          <t>-</t>
        </is>
      </c>
      <c r="AD347" s="362" t="n">
        <v>278818</v>
      </c>
      <c r="AE347" s="360" t="n">
        <v>0</v>
      </c>
      <c r="AF347" s="615" t="n">
        <v>0</v>
      </c>
      <c r="AG347" s="203" t="n">
        <v>0</v>
      </c>
      <c r="AH347" s="203" t="n">
        <v>0</v>
      </c>
      <c r="AI347" s="203" t="n">
        <v>0</v>
      </c>
      <c r="AJ347" s="203" t="n">
        <v>0</v>
      </c>
      <c r="AK347" s="203" t="n">
        <v>0</v>
      </c>
      <c r="AL347" s="203" t="n">
        <v>0.01</v>
      </c>
      <c r="AM347" s="203" t="n">
        <v>0</v>
      </c>
      <c r="AN347" s="203" t="inlineStr">
        <is>
          <t>LOLO</t>
        </is>
      </c>
    </row>
    <row r="348">
      <c r="A348" s="220">
        <f>A347+1</f>
        <v/>
      </c>
      <c r="B348" s="222" t="inlineStr">
        <is>
          <t>Lift-On &amp; Lift-On-Im</t>
        </is>
      </c>
      <c r="C348" s="222" t="inlineStr">
        <is>
          <t>Port Autonome Du Sihanoukville</t>
        </is>
      </c>
      <c r="D348" s="223" t="inlineStr">
        <is>
          <t>L001-100044638</t>
        </is>
      </c>
      <c r="E348" s="349" t="n">
        <v>202500084254</v>
      </c>
      <c r="F348" s="332" t="n">
        <v>45766</v>
      </c>
      <c r="G348" s="224" t="n"/>
      <c r="H348" s="617" t="n"/>
      <c r="I348" s="617" t="n">
        <v>452966</v>
      </c>
      <c r="J348" s="221" t="inlineStr">
        <is>
          <t>អនុញ្ញាត (បានប្រកាស)</t>
        </is>
      </c>
      <c r="K348" s="221" t="n"/>
      <c r="L348" s="616">
        <f>I348</f>
        <v/>
      </c>
      <c r="M348" s="588">
        <f>I348-L348</f>
        <v/>
      </c>
      <c r="N348" s="221" t="n"/>
      <c r="O348" s="226">
        <f>U348=E348</f>
        <v/>
      </c>
      <c r="P348" s="226">
        <f>MONTH(F348)-MONTH(T348)</f>
        <v/>
      </c>
      <c r="Q348" s="226">
        <f>$B$5=X348</f>
        <v/>
      </c>
      <c r="R348" s="226">
        <f>I348-AD348</f>
        <v/>
      </c>
      <c r="S348" s="360" t="n"/>
      <c r="T348" s="361" t="n">
        <v>45766</v>
      </c>
      <c r="U348" s="360" t="n">
        <v>202500084254</v>
      </c>
      <c r="V348" s="360" t="n">
        <v>0</v>
      </c>
      <c r="W348" s="360" t="inlineStr">
        <is>
          <t>បុគ្គលជាប់អាករ</t>
        </is>
      </c>
      <c r="X348" s="360" t="inlineStr">
        <is>
          <t>L001-901640009</t>
        </is>
      </c>
      <c r="Y348" s="360" t="inlineStr">
        <is>
          <t>ហូលីដេ ឌីហ្សាញ (ខេមបូឌា) ឯ.ក</t>
        </is>
      </c>
      <c r="Z348" s="362" t="n">
        <v>4982621</v>
      </c>
      <c r="AA348" s="362" t="n">
        <v>4529655</v>
      </c>
      <c r="AB348" s="360" t="n">
        <v>0</v>
      </c>
      <c r="AC348" s="360" t="inlineStr">
        <is>
          <t>-</t>
        </is>
      </c>
      <c r="AD348" s="362" t="n">
        <v>452966</v>
      </c>
      <c r="AE348" s="360" t="n">
        <v>0</v>
      </c>
      <c r="AF348" s="615" t="n">
        <v>0</v>
      </c>
      <c r="AG348" s="203" t="n">
        <v>0</v>
      </c>
      <c r="AH348" s="203" t="n">
        <v>0</v>
      </c>
      <c r="AI348" s="203" t="n">
        <v>0</v>
      </c>
      <c r="AJ348" s="203" t="n">
        <v>0</v>
      </c>
      <c r="AK348" s="203" t="n">
        <v>0</v>
      </c>
      <c r="AL348" s="203" t="n">
        <v>0.01</v>
      </c>
      <c r="AM348" s="203" t="n">
        <v>0</v>
      </c>
      <c r="AN348" s="203" t="inlineStr">
        <is>
          <t>LOLO</t>
        </is>
      </c>
    </row>
    <row r="349">
      <c r="A349" s="220">
        <f>A348+1</f>
        <v/>
      </c>
      <c r="B349" s="222" t="inlineStr">
        <is>
          <t>Terminal Handling Charge</t>
        </is>
      </c>
      <c r="C349" s="222" t="inlineStr">
        <is>
          <t>SITC CONTAINER LINES (CAMBODIA) Co., Ltd.</t>
        </is>
      </c>
      <c r="D349" s="223" t="inlineStr">
        <is>
          <t>L001-107035863</t>
        </is>
      </c>
      <c r="E349" s="349" t="inlineStr">
        <is>
          <t>SITC2025-012624</t>
        </is>
      </c>
      <c r="F349" s="332" t="n">
        <v>45762</v>
      </c>
      <c r="G349" s="224" t="n"/>
      <c r="H349" s="617" t="n"/>
      <c r="I349" s="617" t="n">
        <v>2732092</v>
      </c>
      <c r="J349" s="221" t="inlineStr">
        <is>
          <t>អនុញ្ញាត (បានប្រកាស)</t>
        </is>
      </c>
      <c r="K349" s="221" t="n"/>
      <c r="L349" s="616">
        <f>I349</f>
        <v/>
      </c>
      <c r="M349" s="588">
        <f>I349-L349</f>
        <v/>
      </c>
      <c r="N349" s="221" t="n"/>
      <c r="O349" s="226">
        <f>U349=E349</f>
        <v/>
      </c>
      <c r="P349" s="226">
        <f>MONTH(F349)-MONTH(T349)</f>
        <v/>
      </c>
      <c r="Q349" s="226">
        <f>$B$5=X349</f>
        <v/>
      </c>
      <c r="R349" s="226">
        <f>I349-AD349</f>
        <v/>
      </c>
      <c r="S349" s="360" t="n"/>
      <c r="T349" s="361" t="n">
        <v>45762</v>
      </c>
      <c r="U349" s="360" t="inlineStr">
        <is>
          <t>SITC2025-012624</t>
        </is>
      </c>
      <c r="V349" s="360" t="n">
        <v>0</v>
      </c>
      <c r="W349" s="360" t="inlineStr">
        <is>
          <t>បុគ្គលជាប់អាករ</t>
        </is>
      </c>
      <c r="X349" s="360" t="inlineStr">
        <is>
          <t>L001-901640009</t>
        </is>
      </c>
      <c r="Y349" s="360" t="inlineStr">
        <is>
          <t>ហូលីដេ ឌីហ្សាញ (ខេមបូឌា) ឯ.ក</t>
        </is>
      </c>
      <c r="Z349" s="362" t="n">
        <v>30053012</v>
      </c>
      <c r="AA349" s="362" t="n">
        <v>27320920</v>
      </c>
      <c r="AB349" s="360" t="n">
        <v>0</v>
      </c>
      <c r="AC349" s="360" t="inlineStr">
        <is>
          <t>-</t>
        </is>
      </c>
      <c r="AD349" s="362" t="n">
        <v>2732092</v>
      </c>
      <c r="AE349" s="360" t="n">
        <v>0</v>
      </c>
      <c r="AF349" s="615" t="n">
        <v>0</v>
      </c>
      <c r="AG349" s="203" t="n">
        <v>0</v>
      </c>
      <c r="AH349" s="203" t="n">
        <v>0</v>
      </c>
      <c r="AI349" s="203" t="n">
        <v>0</v>
      </c>
      <c r="AJ349" s="203" t="n">
        <v>0</v>
      </c>
      <c r="AK349" s="203" t="n">
        <v>0</v>
      </c>
      <c r="AL349" s="203" t="n">
        <v>0.01</v>
      </c>
      <c r="AM349" s="203" t="n">
        <v>0</v>
      </c>
      <c r="AN349" s="203" t="inlineStr">
        <is>
          <t>KHDOC,EIB,EMF,KHCIC,KHTHC</t>
        </is>
      </c>
    </row>
    <row r="350">
      <c r="A350" s="220">
        <f>A349+1</f>
        <v/>
      </c>
      <c r="B350" s="222" t="inlineStr">
        <is>
          <t>Trucking &amp; Clearance-Im</t>
        </is>
      </c>
      <c r="C350" s="222" t="inlineStr">
        <is>
          <t>BRILLIANT TRANSPORT AND TRADING Co., Ltd.</t>
        </is>
      </c>
      <c r="D350" s="223" t="inlineStr">
        <is>
          <t>K002-100089305</t>
        </is>
      </c>
      <c r="E350" s="349" t="inlineStr">
        <is>
          <t>BTT25-0000922</t>
        </is>
      </c>
      <c r="F350" s="332" t="n">
        <v>45765</v>
      </c>
      <c r="G350" s="224" t="n"/>
      <c r="H350" s="617" t="n"/>
      <c r="I350" s="617" t="n">
        <v>3083850</v>
      </c>
      <c r="J350" s="221" t="inlineStr">
        <is>
          <t>អនុញ្ញាត (បានប្រកាស)</t>
        </is>
      </c>
      <c r="K350" s="221" t="n"/>
      <c r="L350" s="616">
        <f>I350</f>
        <v/>
      </c>
      <c r="M350" s="588">
        <f>I350-L350</f>
        <v/>
      </c>
      <c r="N350" s="221" t="n"/>
      <c r="O350" s="226">
        <f>U350=E350</f>
        <v/>
      </c>
      <c r="P350" s="226">
        <f>MONTH(F350)-MONTH(T350)</f>
        <v/>
      </c>
      <c r="Q350" s="226">
        <f>$B$5=X350</f>
        <v/>
      </c>
      <c r="R350" s="226">
        <f>I350-AD350</f>
        <v/>
      </c>
      <c r="S350" s="360" t="n"/>
      <c r="T350" s="361" t="n">
        <v>45765</v>
      </c>
      <c r="U350" s="360" t="inlineStr">
        <is>
          <t>BTT25-0000922</t>
        </is>
      </c>
      <c r="V350" s="360" t="n">
        <v>0</v>
      </c>
      <c r="W350" s="360" t="inlineStr">
        <is>
          <t>បុគ្គលជាប់អាករ</t>
        </is>
      </c>
      <c r="X350" s="360" t="inlineStr">
        <is>
          <t>L001-901640009</t>
        </is>
      </c>
      <c r="Y350" s="360" t="inlineStr">
        <is>
          <t>ហូលីដេ ឌីហ្សាញ (ខេមបូឌា) ឯ.ក</t>
        </is>
      </c>
      <c r="Z350" s="362" t="n">
        <v>33922350</v>
      </c>
      <c r="AA350" s="362" t="n">
        <v>30838500</v>
      </c>
      <c r="AB350" s="360" t="n">
        <v>0</v>
      </c>
      <c r="AC350" s="360" t="inlineStr">
        <is>
          <t>-</t>
        </is>
      </c>
      <c r="AD350" s="362" t="n">
        <v>3083850</v>
      </c>
      <c r="AE350" s="360" t="n">
        <v>0</v>
      </c>
      <c r="AF350" s="615" t="n">
        <v>0</v>
      </c>
      <c r="AG350" s="203" t="n">
        <v>0</v>
      </c>
      <c r="AH350" s="203" t="n">
        <v>0</v>
      </c>
      <c r="AI350" s="203" t="n">
        <v>0</v>
      </c>
      <c r="AJ350" s="203" t="n">
        <v>0</v>
      </c>
      <c r="AK350" s="203" t="n">
        <v>0</v>
      </c>
      <c r="AL350" s="203" t="n">
        <v>0.01</v>
      </c>
      <c r="AM350" s="203" t="n">
        <v>0</v>
      </c>
      <c r="AN350" s="203" t="inlineStr">
        <is>
          <t>Truking / Service</t>
        </is>
      </c>
    </row>
    <row r="351">
      <c r="A351" s="220">
        <f>A350+1</f>
        <v/>
      </c>
      <c r="B351" s="222" t="inlineStr">
        <is>
          <t>Lift-On &amp; Lift-On-Im</t>
        </is>
      </c>
      <c r="C351" s="222" t="inlineStr">
        <is>
          <t>Port Autonome Du Sihanoukville</t>
        </is>
      </c>
      <c r="D351" s="223" t="inlineStr">
        <is>
          <t>L001-100044638</t>
        </is>
      </c>
      <c r="E351" s="349" t="n">
        <v>202500090156</v>
      </c>
      <c r="F351" s="332" t="n">
        <v>45771</v>
      </c>
      <c r="G351" s="224" t="n"/>
      <c r="H351" s="617" t="n"/>
      <c r="I351" s="617" t="n">
        <v>174131</v>
      </c>
      <c r="J351" s="221" t="inlineStr">
        <is>
          <t>អនុញ្ញាត (បានប្រកាស)</t>
        </is>
      </c>
      <c r="K351" s="221" t="n"/>
      <c r="L351" s="616">
        <f>I351</f>
        <v/>
      </c>
      <c r="M351" s="588">
        <f>I351-L351</f>
        <v/>
      </c>
      <c r="N351" s="221" t="n"/>
      <c r="O351" s="226">
        <f>U351=E351</f>
        <v/>
      </c>
      <c r="P351" s="226">
        <f>MONTH(F351)-MONTH(T351)</f>
        <v/>
      </c>
      <c r="Q351" s="226">
        <f>$B$5=X351</f>
        <v/>
      </c>
      <c r="R351" s="226">
        <f>I351-AD351</f>
        <v/>
      </c>
      <c r="S351" s="360" t="n"/>
      <c r="T351" s="361" t="n">
        <v>45771</v>
      </c>
      <c r="U351" s="360" t="n">
        <v>202500090156</v>
      </c>
      <c r="V351" s="360" t="n">
        <v>0</v>
      </c>
      <c r="W351" s="360" t="inlineStr">
        <is>
          <t>បុគ្គលជាប់អាករ</t>
        </is>
      </c>
      <c r="X351" s="360" t="inlineStr">
        <is>
          <t>L001-901640009</t>
        </is>
      </c>
      <c r="Y351" s="360" t="inlineStr">
        <is>
          <t>ហូលីដេ ឌីហ្សាញ (ខេមបូឌា) ឯ.ក</t>
        </is>
      </c>
      <c r="Z351" s="362" t="n">
        <v>1915436</v>
      </c>
      <c r="AA351" s="362" t="n">
        <v>1741305</v>
      </c>
      <c r="AB351" s="360" t="n">
        <v>0</v>
      </c>
      <c r="AC351" s="360" t="inlineStr">
        <is>
          <t>-</t>
        </is>
      </c>
      <c r="AD351" s="362" t="n">
        <v>174131</v>
      </c>
      <c r="AE351" s="360" t="n">
        <v>0</v>
      </c>
      <c r="AF351" s="615" t="n">
        <v>0</v>
      </c>
      <c r="AG351" s="203" t="n">
        <v>0</v>
      </c>
      <c r="AH351" s="203" t="n">
        <v>0</v>
      </c>
      <c r="AI351" s="203" t="n">
        <v>0</v>
      </c>
      <c r="AJ351" s="203" t="n">
        <v>0</v>
      </c>
      <c r="AK351" s="203" t="n">
        <v>0</v>
      </c>
      <c r="AL351" s="203" t="n">
        <v>0.01</v>
      </c>
      <c r="AM351" s="203" t="n">
        <v>0</v>
      </c>
      <c r="AN351" s="203" t="inlineStr">
        <is>
          <t>LOLO</t>
        </is>
      </c>
    </row>
    <row r="352">
      <c r="A352" s="220">
        <f>A351+1</f>
        <v/>
      </c>
      <c r="B352" s="222" t="inlineStr">
        <is>
          <t>Telecom service usage charge</t>
        </is>
      </c>
      <c r="C352" s="222" t="inlineStr">
        <is>
          <t>VIETTEL (CAMBODIA) PTE. LTD.</t>
        </is>
      </c>
      <c r="D352" s="223" t="inlineStr">
        <is>
          <t>L001-100121845</t>
        </is>
      </c>
      <c r="E352" s="349" t="inlineStr">
        <is>
          <t>MC/2025-0809347</t>
        </is>
      </c>
      <c r="F352" s="332" t="n">
        <v>45775</v>
      </c>
      <c r="G352" s="224" t="n"/>
      <c r="H352" s="617" t="n"/>
      <c r="I352" s="617" t="n">
        <v>720360</v>
      </c>
      <c r="J352" s="221" t="inlineStr">
        <is>
          <t>អនុញ្ញាត (បានប្រកាស)</t>
        </is>
      </c>
      <c r="K352" s="221" t="n"/>
      <c r="L352" s="616">
        <f>I352</f>
        <v/>
      </c>
      <c r="M352" s="588">
        <f>I352-L352</f>
        <v/>
      </c>
      <c r="N352" s="221" t="n"/>
      <c r="O352" s="226">
        <f>U352=E352</f>
        <v/>
      </c>
      <c r="P352" s="226">
        <f>MONTH(F352)-MONTH(T352)</f>
        <v/>
      </c>
      <c r="Q352" s="226">
        <f>$B$5=X352</f>
        <v/>
      </c>
      <c r="R352" s="226">
        <f>I352-AD352</f>
        <v/>
      </c>
      <c r="S352" s="360" t="n"/>
      <c r="T352" s="361" t="n">
        <v>45775</v>
      </c>
      <c r="U352" s="360" t="inlineStr">
        <is>
          <t>MC/2025-0809347</t>
        </is>
      </c>
      <c r="V352" s="360" t="n">
        <v>0</v>
      </c>
      <c r="W352" s="360" t="inlineStr">
        <is>
          <t>បុគ្គលជាប់អាករ</t>
        </is>
      </c>
      <c r="X352" s="360" t="inlineStr">
        <is>
          <t>L001-901640009</t>
        </is>
      </c>
      <c r="Y352" s="360" t="inlineStr">
        <is>
          <t>ហូលីដេ ឌីហ្សាញ (ខេមបូឌា) ឯ.ក</t>
        </is>
      </c>
      <c r="Z352" s="362" t="n">
        <v>7925940</v>
      </c>
      <c r="AA352" s="362" t="n">
        <v>7205400</v>
      </c>
      <c r="AB352" s="360" t="n">
        <v>0</v>
      </c>
      <c r="AC352" s="360" t="inlineStr">
        <is>
          <t>-</t>
        </is>
      </c>
      <c r="AD352" s="362" t="n">
        <v>720540</v>
      </c>
      <c r="AE352" s="360" t="n">
        <v>0</v>
      </c>
      <c r="AF352" s="615" t="n">
        <v>0</v>
      </c>
      <c r="AG352" s="203" t="n">
        <v>0</v>
      </c>
      <c r="AH352" s="203" t="n">
        <v>0</v>
      </c>
      <c r="AI352" s="203" t="n">
        <v>0</v>
      </c>
      <c r="AJ352" s="203" t="n">
        <v>0</v>
      </c>
      <c r="AK352" s="203" t="n">
        <v>0</v>
      </c>
      <c r="AL352" s="203" t="n">
        <v>0.01</v>
      </c>
      <c r="AM352" s="203" t="n">
        <v>0</v>
      </c>
      <c r="AN352" s="203" t="inlineStr">
        <is>
          <t>R009_Fixed-FTTx</t>
        </is>
      </c>
      <c r="AO352" s="203" t="inlineStr">
        <is>
          <t>បានប្រកាសនិងបង់ពន្ធ</t>
        </is>
      </c>
    </row>
    <row r="353">
      <c r="A353" s="220">
        <f>A352+1</f>
        <v/>
      </c>
      <c r="B353" s="222" t="inlineStr">
        <is>
          <t>Trucking &amp; Clearance-Im</t>
        </is>
      </c>
      <c r="C353" s="222" t="inlineStr">
        <is>
          <t>BRILLIANT TRANSPORT AND TRADING Co., Ltd.</t>
        </is>
      </c>
      <c r="D353" s="223" t="inlineStr">
        <is>
          <t>K002-100089305</t>
        </is>
      </c>
      <c r="E353" s="349" t="inlineStr">
        <is>
          <t>BTT25-0000921</t>
        </is>
      </c>
      <c r="F353" s="332" t="n">
        <v>45771</v>
      </c>
      <c r="G353" s="224" t="n"/>
      <c r="H353" s="617" t="n"/>
      <c r="I353" s="617" t="n">
        <v>1184888</v>
      </c>
      <c r="J353" s="221" t="inlineStr">
        <is>
          <t>អនុញ្ញាត (បានប្រកាស)</t>
        </is>
      </c>
      <c r="K353" s="221" t="n"/>
      <c r="L353" s="616">
        <f>I353</f>
        <v/>
      </c>
      <c r="M353" s="588">
        <f>I353-L353</f>
        <v/>
      </c>
      <c r="N353" s="221" t="n"/>
      <c r="O353" s="226">
        <f>U353=E353</f>
        <v/>
      </c>
      <c r="P353" s="226">
        <f>MONTH(F353)-MONTH(T353)</f>
        <v/>
      </c>
      <c r="Q353" s="226">
        <f>$B$5=X353</f>
        <v/>
      </c>
      <c r="R353" s="226">
        <f>I353-AD353</f>
        <v/>
      </c>
      <c r="S353" s="360" t="n"/>
      <c r="T353" s="361" t="n">
        <v>45771</v>
      </c>
      <c r="U353" s="360" t="inlineStr">
        <is>
          <t>BTT25-0000921</t>
        </is>
      </c>
      <c r="V353" s="360" t="n">
        <v>0</v>
      </c>
      <c r="W353" s="360" t="inlineStr">
        <is>
          <t>បុគ្គលជាប់អាករ</t>
        </is>
      </c>
      <c r="X353" s="360" t="inlineStr">
        <is>
          <t>L001-901640009</t>
        </is>
      </c>
      <c r="Y353" s="360" t="inlineStr">
        <is>
          <t>ហូលីដេ ឌីហ្សាញ (ខេមបូឌា) ឯ.ក</t>
        </is>
      </c>
      <c r="Z353" s="362" t="n">
        <v>13033768</v>
      </c>
      <c r="AA353" s="362" t="n">
        <v>11848880</v>
      </c>
      <c r="AB353" s="360" t="n">
        <v>0</v>
      </c>
      <c r="AC353" s="360" t="inlineStr">
        <is>
          <t>-</t>
        </is>
      </c>
      <c r="AD353" s="362" t="n">
        <v>1184888</v>
      </c>
      <c r="AE353" s="360" t="n">
        <v>0</v>
      </c>
      <c r="AF353" s="615" t="n">
        <v>0</v>
      </c>
      <c r="AG353" s="203" t="n">
        <v>0</v>
      </c>
      <c r="AH353" s="203" t="n">
        <v>0</v>
      </c>
      <c r="AI353" s="203" t="n">
        <v>0</v>
      </c>
      <c r="AJ353" s="203" t="n">
        <v>0</v>
      </c>
      <c r="AK353" s="203" t="n">
        <v>0</v>
      </c>
      <c r="AL353" s="203" t="n">
        <v>0.01</v>
      </c>
      <c r="AM353" s="203" t="n">
        <v>0</v>
      </c>
      <c r="AN353" s="203" t="inlineStr">
        <is>
          <t>Truking / Service</t>
        </is>
      </c>
    </row>
    <row r="354">
      <c r="A354" s="220">
        <f>A353+1</f>
        <v/>
      </c>
      <c r="B354" s="222" t="inlineStr">
        <is>
          <t>Storage charges-Im</t>
        </is>
      </c>
      <c r="C354" s="222" t="inlineStr">
        <is>
          <t>Port Autonome Du Sihanoukville</t>
        </is>
      </c>
      <c r="D354" s="223" t="inlineStr">
        <is>
          <t>L001-100044638</t>
        </is>
      </c>
      <c r="E354" s="349" t="n">
        <v>202500088366</v>
      </c>
      <c r="F354" s="332" t="n">
        <v>45770</v>
      </c>
      <c r="G354" s="224" t="n"/>
      <c r="H354" s="617" t="n"/>
      <c r="I354" s="617" t="n">
        <v>2402</v>
      </c>
      <c r="J354" s="221" t="inlineStr">
        <is>
          <t>អនុញ្ញាត (បានប្រកាស)</t>
        </is>
      </c>
      <c r="K354" s="221" t="n"/>
      <c r="L354" s="616">
        <f>I354</f>
        <v/>
      </c>
      <c r="M354" s="588">
        <f>I354-L354</f>
        <v/>
      </c>
      <c r="N354" s="221" t="n"/>
      <c r="O354" s="226">
        <f>U354=E354</f>
        <v/>
      </c>
      <c r="P354" s="226">
        <f>MONTH(F354)-MONTH(T354)</f>
        <v/>
      </c>
      <c r="Q354" s="226">
        <f>$B$5=X354</f>
        <v/>
      </c>
      <c r="R354" s="226">
        <f>I354-AD354</f>
        <v/>
      </c>
      <c r="S354" s="360" t="n"/>
      <c r="T354" s="361" t="n">
        <v>45770</v>
      </c>
      <c r="U354" s="360" t="n">
        <v>202500088366</v>
      </c>
      <c r="V354" s="360" t="n">
        <v>0</v>
      </c>
      <c r="W354" s="360" t="inlineStr">
        <is>
          <t>បុគ្គលជាប់អាករ</t>
        </is>
      </c>
      <c r="X354" s="360" t="inlineStr">
        <is>
          <t>L001-901640009</t>
        </is>
      </c>
      <c r="Y354" s="360" t="inlineStr">
        <is>
          <t>ហូលីដេ ឌីហ្សាញ (ខេមបូឌា) ឯ.ក</t>
        </is>
      </c>
      <c r="Z354" s="362" t="n">
        <v>26420</v>
      </c>
      <c r="AA354" s="362" t="n">
        <v>24018</v>
      </c>
      <c r="AB354" s="360" t="n">
        <v>0</v>
      </c>
      <c r="AC354" s="360" t="inlineStr">
        <is>
          <t>-</t>
        </is>
      </c>
      <c r="AD354" s="362" t="n">
        <v>2402</v>
      </c>
      <c r="AE354" s="360" t="n">
        <v>0</v>
      </c>
      <c r="AF354" s="615" t="n">
        <v>0</v>
      </c>
      <c r="AG354" s="203" t="n">
        <v>0</v>
      </c>
      <c r="AH354" s="203" t="n">
        <v>0</v>
      </c>
      <c r="AI354" s="203" t="n">
        <v>0</v>
      </c>
      <c r="AJ354" s="203" t="n">
        <v>0</v>
      </c>
      <c r="AK354" s="203" t="n">
        <v>0</v>
      </c>
      <c r="AL354" s="203" t="n">
        <v>0.01</v>
      </c>
      <c r="AM354" s="203" t="n">
        <v>0</v>
      </c>
      <c r="AN354" s="203" t="inlineStr">
        <is>
          <t>Storage</t>
        </is>
      </c>
    </row>
    <row r="355">
      <c r="A355" s="220">
        <f>A354+1</f>
        <v/>
      </c>
      <c r="B355" s="222" t="inlineStr">
        <is>
          <t>Storage charges-Im</t>
        </is>
      </c>
      <c r="C355" s="222" t="inlineStr">
        <is>
          <t>Port Autonome Du Sihanoukville</t>
        </is>
      </c>
      <c r="D355" s="223" t="inlineStr">
        <is>
          <t>L001-100044638</t>
        </is>
      </c>
      <c r="E355" s="349" t="n">
        <v>202500087344</v>
      </c>
      <c r="F355" s="332" t="n">
        <v>45769</v>
      </c>
      <c r="G355" s="224" t="n"/>
      <c r="H355" s="617" t="n"/>
      <c r="I355" s="617" t="n">
        <v>7207</v>
      </c>
      <c r="J355" s="221" t="inlineStr">
        <is>
          <t>អនុញ្ញាត (បានប្រកាស)</t>
        </is>
      </c>
      <c r="K355" s="221" t="n"/>
      <c r="L355" s="616">
        <f>I355</f>
        <v/>
      </c>
      <c r="M355" s="588">
        <f>I355-L355</f>
        <v/>
      </c>
      <c r="N355" s="221" t="n"/>
      <c r="O355" s="226">
        <f>U355=E355</f>
        <v/>
      </c>
      <c r="P355" s="226">
        <f>MONTH(F355)-MONTH(T355)</f>
        <v/>
      </c>
      <c r="Q355" s="226">
        <f>$B$5=X355</f>
        <v/>
      </c>
      <c r="R355" s="226">
        <f>I355-AD355</f>
        <v/>
      </c>
      <c r="S355" s="360" t="n"/>
      <c r="T355" s="361" t="n">
        <v>45769</v>
      </c>
      <c r="U355" s="360" t="n">
        <v>202500087344</v>
      </c>
      <c r="V355" s="360" t="n">
        <v>0</v>
      </c>
      <c r="W355" s="360" t="inlineStr">
        <is>
          <t>បុគ្គលជាប់អាករ</t>
        </is>
      </c>
      <c r="X355" s="360" t="inlineStr">
        <is>
          <t>L001-901640009</t>
        </is>
      </c>
      <c r="Y355" s="360" t="inlineStr">
        <is>
          <t>ហូលីដេ ឌីហ្សាញ (ខេមបូឌា) ឯ.ក</t>
        </is>
      </c>
      <c r="Z355" s="362" t="n">
        <v>79279</v>
      </c>
      <c r="AA355" s="362" t="n">
        <v>72072</v>
      </c>
      <c r="AB355" s="360" t="n">
        <v>0</v>
      </c>
      <c r="AC355" s="360" t="inlineStr">
        <is>
          <t>-</t>
        </is>
      </c>
      <c r="AD355" s="362" t="n">
        <v>7207</v>
      </c>
      <c r="AE355" s="360" t="n">
        <v>0</v>
      </c>
      <c r="AF355" s="615" t="n">
        <v>0</v>
      </c>
      <c r="AG355" s="203" t="n">
        <v>0</v>
      </c>
      <c r="AH355" s="203" t="n">
        <v>0</v>
      </c>
      <c r="AI355" s="203" t="n">
        <v>0</v>
      </c>
      <c r="AJ355" s="203" t="n">
        <v>0</v>
      </c>
      <c r="AK355" s="203" t="n">
        <v>0</v>
      </c>
      <c r="AL355" s="203" t="n">
        <v>0.01</v>
      </c>
      <c r="AM355" s="203" t="n">
        <v>0</v>
      </c>
      <c r="AN355" s="203" t="inlineStr">
        <is>
          <t>Storage</t>
        </is>
      </c>
    </row>
    <row r="356">
      <c r="A356" s="220">
        <f>A355+1</f>
        <v/>
      </c>
      <c r="B356" s="222" t="inlineStr">
        <is>
          <t>Storage charges-Im</t>
        </is>
      </c>
      <c r="C356" s="222" t="inlineStr">
        <is>
          <t>Port Autonome Du Sihanoukville</t>
        </is>
      </c>
      <c r="D356" s="223" t="inlineStr">
        <is>
          <t>L001-100044638</t>
        </is>
      </c>
      <c r="E356" s="349" t="n">
        <v>202500086379</v>
      </c>
      <c r="F356" s="332" t="n">
        <v>45768</v>
      </c>
      <c r="G356" s="224" t="n"/>
      <c r="H356" s="617" t="n"/>
      <c r="I356" s="617" t="n">
        <v>7205</v>
      </c>
      <c r="J356" s="221" t="inlineStr">
        <is>
          <t>អនុញ្ញាត (បានប្រកាស)</t>
        </is>
      </c>
      <c r="K356" s="221" t="n"/>
      <c r="L356" s="616">
        <f>I356</f>
        <v/>
      </c>
      <c r="M356" s="588">
        <f>I356-L356</f>
        <v/>
      </c>
      <c r="N356" s="221" t="n"/>
      <c r="O356" s="226">
        <f>U356=E356</f>
        <v/>
      </c>
      <c r="P356" s="226">
        <f>MONTH(F356)-MONTH(T356)</f>
        <v/>
      </c>
      <c r="Q356" s="226">
        <f>$B$5=X356</f>
        <v/>
      </c>
      <c r="R356" s="226">
        <f>I356-AD356</f>
        <v/>
      </c>
      <c r="S356" s="360" t="n"/>
      <c r="T356" s="361" t="n">
        <v>45768</v>
      </c>
      <c r="U356" s="360" t="n">
        <v>202500086379</v>
      </c>
      <c r="V356" s="360" t="n">
        <v>0</v>
      </c>
      <c r="W356" s="360" t="inlineStr">
        <is>
          <t>បុគ្គលជាប់អាករ</t>
        </is>
      </c>
      <c r="X356" s="360" t="inlineStr">
        <is>
          <t>L001-901640009</t>
        </is>
      </c>
      <c r="Y356" s="360" t="inlineStr">
        <is>
          <t>ហូលីដេ ឌីហ្សាញ (ខេមបូឌា) ឯ.ក</t>
        </is>
      </c>
      <c r="Z356" s="362" t="n">
        <v>79259</v>
      </c>
      <c r="AA356" s="362" t="n">
        <v>72054</v>
      </c>
      <c r="AB356" s="360" t="n">
        <v>0</v>
      </c>
      <c r="AC356" s="360" t="inlineStr">
        <is>
          <t>-</t>
        </is>
      </c>
      <c r="AD356" s="362" t="n">
        <v>7205</v>
      </c>
      <c r="AE356" s="360" t="n">
        <v>0</v>
      </c>
      <c r="AF356" s="615" t="n">
        <v>0</v>
      </c>
      <c r="AG356" s="203" t="n">
        <v>0</v>
      </c>
      <c r="AH356" s="203" t="n">
        <v>0</v>
      </c>
      <c r="AI356" s="203" t="n">
        <v>0</v>
      </c>
      <c r="AJ356" s="203" t="n">
        <v>0</v>
      </c>
      <c r="AK356" s="203" t="n">
        <v>0</v>
      </c>
      <c r="AL356" s="203" t="n">
        <v>0.01</v>
      </c>
      <c r="AM356" s="203" t="n">
        <v>0</v>
      </c>
      <c r="AN356" s="203" t="inlineStr">
        <is>
          <t>Storage</t>
        </is>
      </c>
    </row>
    <row r="357">
      <c r="A357" s="220">
        <f>A356+1</f>
        <v/>
      </c>
      <c r="B357" s="222" t="inlineStr">
        <is>
          <t>Storage charges-Im</t>
        </is>
      </c>
      <c r="C357" s="222" t="inlineStr">
        <is>
          <t>Port Autonome Du Sihanoukville</t>
        </is>
      </c>
      <c r="D357" s="223" t="inlineStr">
        <is>
          <t>L001-100044638</t>
        </is>
      </c>
      <c r="E357" s="349" t="n">
        <v>202500084523</v>
      </c>
      <c r="F357" s="332" t="n">
        <v>45766</v>
      </c>
      <c r="G357" s="224" t="n"/>
      <c r="H357" s="617" t="n"/>
      <c r="I357" s="617" t="n">
        <v>64881</v>
      </c>
      <c r="J357" s="221" t="inlineStr">
        <is>
          <t>អនុញ្ញាត (បានប្រកាស)</t>
        </is>
      </c>
      <c r="K357" s="221" t="n"/>
      <c r="L357" s="616">
        <f>I357</f>
        <v/>
      </c>
      <c r="M357" s="588">
        <f>I357-L357</f>
        <v/>
      </c>
      <c r="N357" s="221" t="n"/>
      <c r="O357" s="226">
        <f>U357=E357</f>
        <v/>
      </c>
      <c r="P357" s="226">
        <f>MONTH(F357)-MONTH(T357)</f>
        <v/>
      </c>
      <c r="Q357" s="226">
        <f>$B$5=X357</f>
        <v/>
      </c>
      <c r="R357" s="226">
        <f>I357-AD357</f>
        <v/>
      </c>
      <c r="S357" s="360" t="n"/>
      <c r="T357" s="361" t="n">
        <v>45766</v>
      </c>
      <c r="U357" s="360" t="n">
        <v>202500084523</v>
      </c>
      <c r="V357" s="360" t="n">
        <v>0</v>
      </c>
      <c r="W357" s="360" t="inlineStr">
        <is>
          <t>បុគ្គលជាប់អាករ</t>
        </is>
      </c>
      <c r="X357" s="360" t="inlineStr">
        <is>
          <t>L001-901640009</t>
        </is>
      </c>
      <c r="Y357" s="360" t="inlineStr">
        <is>
          <t>ហូលីដេ ឌីហ្សាញ (ខេមបូឌា) ឯ.ក</t>
        </is>
      </c>
      <c r="Z357" s="362" t="n">
        <v>713691</v>
      </c>
      <c r="AA357" s="362" t="n">
        <v>648810</v>
      </c>
      <c r="AB357" s="360" t="n">
        <v>0</v>
      </c>
      <c r="AC357" s="360" t="inlineStr">
        <is>
          <t>-</t>
        </is>
      </c>
      <c r="AD357" s="362" t="n">
        <v>64881</v>
      </c>
      <c r="AE357" s="360" t="n">
        <v>0</v>
      </c>
      <c r="AF357" s="615" t="n">
        <v>0</v>
      </c>
      <c r="AG357" s="203" t="n">
        <v>0</v>
      </c>
      <c r="AH357" s="203" t="n">
        <v>0</v>
      </c>
      <c r="AI357" s="203" t="n">
        <v>0</v>
      </c>
      <c r="AJ357" s="203" t="n">
        <v>0</v>
      </c>
      <c r="AK357" s="203" t="n">
        <v>0</v>
      </c>
      <c r="AL357" s="203" t="n">
        <v>0.01</v>
      </c>
      <c r="AM357" s="203" t="n">
        <v>0</v>
      </c>
      <c r="AN357" s="203" t="inlineStr">
        <is>
          <t>Storage</t>
        </is>
      </c>
    </row>
    <row r="358">
      <c r="A358" s="220">
        <f>A357+1</f>
        <v/>
      </c>
      <c r="B358" s="222" t="inlineStr">
        <is>
          <t>Storage charges-Im</t>
        </is>
      </c>
      <c r="C358" s="222" t="inlineStr">
        <is>
          <t>Port Autonome Du Sihanoukville</t>
        </is>
      </c>
      <c r="D358" s="223" t="inlineStr">
        <is>
          <t>L001-100044638</t>
        </is>
      </c>
      <c r="E358" s="349" t="n">
        <v>202500085102</v>
      </c>
      <c r="F358" s="332" t="n">
        <v>45767</v>
      </c>
      <c r="G358" s="224" t="n"/>
      <c r="H358" s="617" t="n"/>
      <c r="I358" s="617" t="n">
        <v>8411</v>
      </c>
      <c r="J358" s="221" t="inlineStr">
        <is>
          <t>អនុញ្ញាត (បានប្រកាស)</t>
        </is>
      </c>
      <c r="K358" s="221" t="n"/>
      <c r="L358" s="616">
        <f>I358</f>
        <v/>
      </c>
      <c r="M358" s="588">
        <f>I358-L358</f>
        <v/>
      </c>
      <c r="N358" s="221" t="n"/>
      <c r="O358" s="226">
        <f>U358=E358</f>
        <v/>
      </c>
      <c r="P358" s="226">
        <f>MONTH(F358)-MONTH(T358)</f>
        <v/>
      </c>
      <c r="Q358" s="226">
        <f>$B$5=X358</f>
        <v/>
      </c>
      <c r="R358" s="226">
        <f>I358-AD358</f>
        <v/>
      </c>
      <c r="S358" s="360" t="n"/>
      <c r="T358" s="361" t="n">
        <v>45767</v>
      </c>
      <c r="U358" s="360" t="n">
        <v>202500085102</v>
      </c>
      <c r="V358" s="360" t="n">
        <v>0</v>
      </c>
      <c r="W358" s="360" t="inlineStr">
        <is>
          <t>បុគ្គលជាប់អាករ</t>
        </is>
      </c>
      <c r="X358" s="360" t="inlineStr">
        <is>
          <t>L001-901640009</t>
        </is>
      </c>
      <c r="Y358" s="360" t="inlineStr">
        <is>
          <t>ហូលីដេ ឌីហ្សាញ (ខេមបូឌា) ឯ.ក</t>
        </is>
      </c>
      <c r="Z358" s="362" t="n">
        <v>92516</v>
      </c>
      <c r="AA358" s="362" t="n">
        <v>84105</v>
      </c>
      <c r="AB358" s="360" t="n">
        <v>0</v>
      </c>
      <c r="AC358" s="360" t="inlineStr">
        <is>
          <t>-</t>
        </is>
      </c>
      <c r="AD358" s="362" t="n">
        <v>8411</v>
      </c>
      <c r="AE358" s="360" t="n">
        <v>0</v>
      </c>
      <c r="AF358" s="615" t="n">
        <v>0</v>
      </c>
      <c r="AG358" s="203" t="n">
        <v>0</v>
      </c>
      <c r="AH358" s="203" t="n">
        <v>0</v>
      </c>
      <c r="AI358" s="203" t="n">
        <v>0</v>
      </c>
      <c r="AJ358" s="203" t="n">
        <v>0</v>
      </c>
      <c r="AK358" s="203" t="n">
        <v>0</v>
      </c>
      <c r="AL358" s="203" t="n">
        <v>0.01</v>
      </c>
      <c r="AM358" s="203" t="n">
        <v>0</v>
      </c>
      <c r="AN358" s="203" t="inlineStr">
        <is>
          <t>Storage</t>
        </is>
      </c>
    </row>
    <row r="359">
      <c r="A359" s="220">
        <f>A358+1</f>
        <v/>
      </c>
      <c r="B359" s="222" t="inlineStr">
        <is>
          <t>Lift-On &amp; Lift-On-Im</t>
        </is>
      </c>
      <c r="C359" s="222" t="inlineStr">
        <is>
          <t>Port Autonome Du Sihanoukville</t>
        </is>
      </c>
      <c r="D359" s="223" t="inlineStr">
        <is>
          <t>L001-100044638</t>
        </is>
      </c>
      <c r="E359" s="349" t="n">
        <v>202500083063</v>
      </c>
      <c r="F359" s="332" t="n">
        <v>45765</v>
      </c>
      <c r="G359" s="224" t="n"/>
      <c r="H359" s="617" t="n"/>
      <c r="I359" s="617" t="n">
        <v>205457</v>
      </c>
      <c r="J359" s="221" t="inlineStr">
        <is>
          <t>អនុញ្ញាត (បានប្រកាស)</t>
        </is>
      </c>
      <c r="K359" s="221" t="n"/>
      <c r="L359" s="616">
        <f>I359</f>
        <v/>
      </c>
      <c r="M359" s="588">
        <f>I359-L359</f>
        <v/>
      </c>
      <c r="N359" s="221" t="n"/>
      <c r="O359" s="226">
        <f>U359=E359</f>
        <v/>
      </c>
      <c r="P359" s="226">
        <f>MONTH(F359)-MONTH(T359)</f>
        <v/>
      </c>
      <c r="Q359" s="226">
        <f>$B$5=X359</f>
        <v/>
      </c>
      <c r="R359" s="226">
        <f>I359-AD359</f>
        <v/>
      </c>
      <c r="S359" s="360" t="n"/>
      <c r="T359" s="361" t="n">
        <v>45765</v>
      </c>
      <c r="U359" s="360" t="n">
        <v>202500083063</v>
      </c>
      <c r="V359" s="360" t="n">
        <v>0</v>
      </c>
      <c r="W359" s="360" t="inlineStr">
        <is>
          <t>បុគ្គលជាប់អាករ</t>
        </is>
      </c>
      <c r="X359" s="360" t="inlineStr">
        <is>
          <t>L001-901640009</t>
        </is>
      </c>
      <c r="Y359" s="360" t="inlineStr">
        <is>
          <t>ហូលីដេ ឌីហ្សាញ (ខេមបូឌា) ឯ.ក</t>
        </is>
      </c>
      <c r="Z359" s="362" t="n">
        <v>2260022</v>
      </c>
      <c r="AA359" s="362" t="n">
        <v>2054565</v>
      </c>
      <c r="AB359" s="360" t="n">
        <v>0</v>
      </c>
      <c r="AC359" s="360" t="inlineStr">
        <is>
          <t>-</t>
        </is>
      </c>
      <c r="AD359" s="362" t="n">
        <v>205457</v>
      </c>
      <c r="AE359" s="360" t="n">
        <v>0</v>
      </c>
      <c r="AF359" s="615" t="n">
        <v>0</v>
      </c>
      <c r="AG359" s="203" t="n">
        <v>0</v>
      </c>
      <c r="AH359" s="203" t="n">
        <v>0</v>
      </c>
      <c r="AI359" s="203" t="n">
        <v>0</v>
      </c>
      <c r="AJ359" s="203" t="n">
        <v>0</v>
      </c>
      <c r="AK359" s="203" t="n">
        <v>0</v>
      </c>
      <c r="AL359" s="203" t="n">
        <v>0.01</v>
      </c>
      <c r="AM359" s="203" t="n">
        <v>0</v>
      </c>
      <c r="AN359" s="203" t="inlineStr">
        <is>
          <t>LOLO</t>
        </is>
      </c>
    </row>
    <row r="360">
      <c r="A360" s="220">
        <f>A359+1</f>
        <v/>
      </c>
      <c r="B360" s="222" t="inlineStr">
        <is>
          <t>Terminal Handling Charge</t>
        </is>
      </c>
      <c r="C360" s="222" t="inlineStr">
        <is>
          <t>SITC CONTAINER LINES (CAMBODIA) Co., Ltd.</t>
        </is>
      </c>
      <c r="D360" s="223" t="inlineStr">
        <is>
          <t>L001-107035863</t>
        </is>
      </c>
      <c r="E360" s="349" t="inlineStr">
        <is>
          <t>SITC2025-011858</t>
        </is>
      </c>
      <c r="F360" s="332" t="n">
        <v>45756</v>
      </c>
      <c r="G360" s="224" t="n"/>
      <c r="H360" s="617" t="n"/>
      <c r="I360" s="617" t="n">
        <v>1105380</v>
      </c>
      <c r="J360" s="221" t="inlineStr">
        <is>
          <t>អនុញ្ញាត (បានប្រកាស)</t>
        </is>
      </c>
      <c r="K360" s="221" t="n"/>
      <c r="L360" s="616">
        <f>I360</f>
        <v/>
      </c>
      <c r="M360" s="588">
        <f>I360-L360</f>
        <v/>
      </c>
      <c r="N360" s="221" t="n"/>
      <c r="O360" s="226">
        <f>U360=E360</f>
        <v/>
      </c>
      <c r="P360" s="226">
        <f>MONTH(F360)-MONTH(T360)</f>
        <v/>
      </c>
      <c r="Q360" s="226">
        <f>$B$5=X360</f>
        <v/>
      </c>
      <c r="R360" s="226">
        <f>I360-AD360</f>
        <v/>
      </c>
      <c r="S360" s="360" t="n"/>
      <c r="T360" s="361" t="n">
        <v>45756</v>
      </c>
      <c r="U360" s="360" t="inlineStr">
        <is>
          <t>SITC2025-011858</t>
        </is>
      </c>
      <c r="V360" s="360" t="n">
        <v>0</v>
      </c>
      <c r="W360" s="360" t="inlineStr">
        <is>
          <t>បុគ្គលជាប់អាករ</t>
        </is>
      </c>
      <c r="X360" s="360" t="inlineStr">
        <is>
          <t>L001-901640009</t>
        </is>
      </c>
      <c r="Y360" s="360" t="inlineStr">
        <is>
          <t>ហូលីដេ ឌីហ្សាញ (ខេមបូឌា) ឯ.ក</t>
        </is>
      </c>
      <c r="Z360" s="362" t="n">
        <v>12159180</v>
      </c>
      <c r="AA360" s="362" t="n">
        <v>11053800</v>
      </c>
      <c r="AB360" s="360" t="n">
        <v>0</v>
      </c>
      <c r="AC360" s="360" t="inlineStr">
        <is>
          <t>-</t>
        </is>
      </c>
      <c r="AD360" s="362" t="n">
        <v>1105380</v>
      </c>
      <c r="AE360" s="360" t="n">
        <v>0</v>
      </c>
      <c r="AF360" s="615" t="n">
        <v>0</v>
      </c>
      <c r="AG360" s="203" t="n">
        <v>0</v>
      </c>
      <c r="AH360" s="203" t="n">
        <v>0</v>
      </c>
      <c r="AI360" s="203" t="n">
        <v>0</v>
      </c>
      <c r="AJ360" s="203" t="n">
        <v>0</v>
      </c>
      <c r="AK360" s="203" t="n">
        <v>0</v>
      </c>
      <c r="AL360" s="203" t="n">
        <v>0.01</v>
      </c>
      <c r="AM360" s="203" t="n">
        <v>0</v>
      </c>
      <c r="AN360" s="203" t="inlineStr">
        <is>
          <t>EIB,KHDOC,KHTHC,EMF,KHCIC</t>
        </is>
      </c>
    </row>
    <row r="361">
      <c r="A361" s="220">
        <f>A360+1</f>
        <v/>
      </c>
      <c r="B361" s="222" t="inlineStr">
        <is>
          <t>Trucking &amp; Clearance-Im</t>
        </is>
      </c>
      <c r="C361" s="222" t="inlineStr">
        <is>
          <t>BRILLIANT TRANSPORT AND TRADING Co., Ltd.</t>
        </is>
      </c>
      <c r="D361" s="223" t="inlineStr">
        <is>
          <t>K002-100089305</t>
        </is>
      </c>
      <c r="E361" s="349" t="inlineStr">
        <is>
          <t>BTT25-0000920</t>
        </is>
      </c>
      <c r="F361" s="332" t="n">
        <v>45764</v>
      </c>
      <c r="G361" s="224" t="n"/>
      <c r="H361" s="617" t="n"/>
      <c r="I361" s="617" t="n">
        <v>2222775</v>
      </c>
      <c r="J361" s="221" t="inlineStr">
        <is>
          <t>អនុញ្ញាត (បានប្រកាស)</t>
        </is>
      </c>
      <c r="K361" s="221" t="n"/>
      <c r="L361" s="616">
        <f>I361</f>
        <v/>
      </c>
      <c r="M361" s="588">
        <f>I361-L361</f>
        <v/>
      </c>
      <c r="N361" s="221" t="n"/>
      <c r="O361" s="226">
        <f>U361=E361</f>
        <v/>
      </c>
      <c r="P361" s="226">
        <f>MONTH(F361)-MONTH(T361)</f>
        <v/>
      </c>
      <c r="Q361" s="226">
        <f>$B$5=X361</f>
        <v/>
      </c>
      <c r="R361" s="226">
        <f>I361-AD361</f>
        <v/>
      </c>
      <c r="S361" s="360" t="n"/>
      <c r="T361" s="361" t="n">
        <v>45764</v>
      </c>
      <c r="U361" s="360" t="inlineStr">
        <is>
          <t>BTT25-0000920</t>
        </is>
      </c>
      <c r="V361" s="360" t="n">
        <v>0</v>
      </c>
      <c r="W361" s="360" t="inlineStr">
        <is>
          <t>បុគ្គលជាប់អាករ</t>
        </is>
      </c>
      <c r="X361" s="360" t="inlineStr">
        <is>
          <t>L001-901640009</t>
        </is>
      </c>
      <c r="Y361" s="360" t="inlineStr">
        <is>
          <t>ហូលីដេ ឌីហ្សាញ (ខេមបូឌា) ឯ.ក</t>
        </is>
      </c>
      <c r="Z361" s="362" t="n">
        <v>24450525</v>
      </c>
      <c r="AA361" s="362" t="n">
        <v>22227750</v>
      </c>
      <c r="AB361" s="360" t="n">
        <v>0</v>
      </c>
      <c r="AC361" s="360" t="inlineStr">
        <is>
          <t>-</t>
        </is>
      </c>
      <c r="AD361" s="362" t="n">
        <v>2222775</v>
      </c>
      <c r="AE361" s="360" t="n">
        <v>0</v>
      </c>
      <c r="AF361" s="615" t="n">
        <v>0</v>
      </c>
      <c r="AG361" s="203" t="n">
        <v>0</v>
      </c>
      <c r="AH361" s="203" t="n">
        <v>0</v>
      </c>
      <c r="AI361" s="203" t="n">
        <v>0</v>
      </c>
      <c r="AJ361" s="203" t="n">
        <v>0</v>
      </c>
      <c r="AK361" s="203" t="n">
        <v>0</v>
      </c>
      <c r="AL361" s="203" t="n">
        <v>0.01</v>
      </c>
      <c r="AM361" s="203" t="n">
        <v>0</v>
      </c>
      <c r="AN361" s="203" t="inlineStr">
        <is>
          <t>Truking / Service</t>
        </is>
      </c>
    </row>
    <row r="362">
      <c r="A362" s="220">
        <f>A361+1</f>
        <v/>
      </c>
      <c r="B362" s="222" t="inlineStr">
        <is>
          <t>Storage charges-Im</t>
        </is>
      </c>
      <c r="C362" s="222" t="inlineStr">
        <is>
          <t>Port Autonome Du Sihanoukville</t>
        </is>
      </c>
      <c r="D362" s="223" t="inlineStr">
        <is>
          <t>L001-100044638</t>
        </is>
      </c>
      <c r="E362" s="349" t="n">
        <v>202500086730</v>
      </c>
      <c r="F362" s="332" t="n">
        <v>45768</v>
      </c>
      <c r="G362" s="224" t="n"/>
      <c r="H362" s="617" t="n"/>
      <c r="I362" s="617" t="n">
        <v>4804</v>
      </c>
      <c r="J362" s="221" t="inlineStr">
        <is>
          <t>អនុញ្ញាត (បានប្រកាស)</t>
        </is>
      </c>
      <c r="K362" s="221" t="n"/>
      <c r="L362" s="616">
        <f>I362</f>
        <v/>
      </c>
      <c r="M362" s="588">
        <f>I362-L362</f>
        <v/>
      </c>
      <c r="N362" s="221" t="n"/>
      <c r="O362" s="226">
        <f>U362=E362</f>
        <v/>
      </c>
      <c r="P362" s="226">
        <f>MONTH(F362)-MONTH(T362)</f>
        <v/>
      </c>
      <c r="Q362" s="226">
        <f>$B$5=X362</f>
        <v/>
      </c>
      <c r="R362" s="226">
        <f>I362-AD362</f>
        <v/>
      </c>
      <c r="S362" s="360" t="n"/>
      <c r="T362" s="361" t="n">
        <v>45768</v>
      </c>
      <c r="U362" s="360" t="n">
        <v>202500086730</v>
      </c>
      <c r="V362" s="360" t="n">
        <v>0</v>
      </c>
      <c r="W362" s="360" t="inlineStr">
        <is>
          <t>បុគ្គលជាប់អាករ</t>
        </is>
      </c>
      <c r="X362" s="360" t="inlineStr">
        <is>
          <t>L001-901640009</t>
        </is>
      </c>
      <c r="Y362" s="360" t="inlineStr">
        <is>
          <t>ហូលីដេ ឌីហ្សាញ (ខេមបូឌា) ឯ.ក</t>
        </is>
      </c>
      <c r="Z362" s="362" t="n">
        <v>52840</v>
      </c>
      <c r="AA362" s="362" t="n">
        <v>48036</v>
      </c>
      <c r="AB362" s="360" t="n">
        <v>0</v>
      </c>
      <c r="AC362" s="360" t="inlineStr">
        <is>
          <t>-</t>
        </is>
      </c>
      <c r="AD362" s="362" t="n">
        <v>4804</v>
      </c>
      <c r="AE362" s="360" t="n">
        <v>0</v>
      </c>
      <c r="AF362" s="615" t="n">
        <v>0</v>
      </c>
      <c r="AG362" s="203" t="n">
        <v>0</v>
      </c>
      <c r="AH362" s="203" t="n">
        <v>0</v>
      </c>
      <c r="AI362" s="203" t="n">
        <v>0</v>
      </c>
      <c r="AJ362" s="203" t="n">
        <v>0</v>
      </c>
      <c r="AK362" s="203" t="n">
        <v>0</v>
      </c>
      <c r="AL362" s="203" t="n">
        <v>0.01</v>
      </c>
      <c r="AM362" s="203" t="n">
        <v>0</v>
      </c>
      <c r="AN362" s="203" t="inlineStr">
        <is>
          <t>Storage</t>
        </is>
      </c>
    </row>
    <row r="363">
      <c r="A363" s="220">
        <f>A362+1</f>
        <v/>
      </c>
      <c r="B363" s="222" t="inlineStr">
        <is>
          <t>Storage charges-Im</t>
        </is>
      </c>
      <c r="C363" s="222" t="inlineStr">
        <is>
          <t>Port Autonome Du Sihanoukville</t>
        </is>
      </c>
      <c r="D363" s="223" t="inlineStr">
        <is>
          <t>L001-100044638</t>
        </is>
      </c>
      <c r="E363" s="349" t="n">
        <v>202500085103</v>
      </c>
      <c r="F363" s="332" t="n">
        <v>45767</v>
      </c>
      <c r="G363" s="224" t="n"/>
      <c r="H363" s="617" t="n"/>
      <c r="I363" s="617" t="n">
        <v>4806</v>
      </c>
      <c r="J363" s="221" t="inlineStr">
        <is>
          <t>អនុញ្ញាត (បានប្រកាស)</t>
        </is>
      </c>
      <c r="K363" s="221" t="n"/>
      <c r="L363" s="616">
        <f>I363</f>
        <v/>
      </c>
      <c r="M363" s="588">
        <f>I363-L363</f>
        <v/>
      </c>
      <c r="N363" s="221" t="n"/>
      <c r="O363" s="226">
        <f>U363=E363</f>
        <v/>
      </c>
      <c r="P363" s="226">
        <f>MONTH(F363)-MONTH(T363)</f>
        <v/>
      </c>
      <c r="Q363" s="226">
        <f>$B$5=X363</f>
        <v/>
      </c>
      <c r="R363" s="226">
        <f>I363-AD363</f>
        <v/>
      </c>
      <c r="S363" s="360" t="n"/>
      <c r="T363" s="361" t="n">
        <v>45767</v>
      </c>
      <c r="U363" s="360" t="n">
        <v>202500085103</v>
      </c>
      <c r="V363" s="360" t="n">
        <v>0</v>
      </c>
      <c r="W363" s="360" t="inlineStr">
        <is>
          <t>បុគ្គលជាប់អាករ</t>
        </is>
      </c>
      <c r="X363" s="360" t="inlineStr">
        <is>
          <t>L001-901640009</t>
        </is>
      </c>
      <c r="Y363" s="360" t="inlineStr">
        <is>
          <t>ហូលីដេ ឌីហ្សាញ (ខេមបូឌា) ឯ.ក</t>
        </is>
      </c>
      <c r="Z363" s="362" t="n">
        <v>52866</v>
      </c>
      <c r="AA363" s="362" t="n">
        <v>48060</v>
      </c>
      <c r="AB363" s="360" t="n">
        <v>0</v>
      </c>
      <c r="AC363" s="360" t="inlineStr">
        <is>
          <t>-</t>
        </is>
      </c>
      <c r="AD363" s="362" t="n">
        <v>4806</v>
      </c>
      <c r="AE363" s="360" t="n">
        <v>0</v>
      </c>
      <c r="AF363" s="615" t="n">
        <v>0</v>
      </c>
      <c r="AG363" s="203" t="n">
        <v>0</v>
      </c>
      <c r="AH363" s="203" t="n">
        <v>0</v>
      </c>
      <c r="AI363" s="203" t="n">
        <v>0</v>
      </c>
      <c r="AJ363" s="203" t="n">
        <v>0</v>
      </c>
      <c r="AK363" s="203" t="n">
        <v>0</v>
      </c>
      <c r="AL363" s="203" t="n">
        <v>0.01</v>
      </c>
      <c r="AM363" s="203" t="n">
        <v>0</v>
      </c>
      <c r="AN363" s="203" t="inlineStr">
        <is>
          <t>Storage</t>
        </is>
      </c>
    </row>
    <row r="364">
      <c r="A364" s="220">
        <f>A363+1</f>
        <v/>
      </c>
      <c r="B364" s="222" t="inlineStr">
        <is>
          <t>Storage charges-Im</t>
        </is>
      </c>
      <c r="C364" s="222" t="inlineStr">
        <is>
          <t>Port Autonome Du Sihanoukville</t>
        </is>
      </c>
      <c r="D364" s="223" t="inlineStr">
        <is>
          <t>L001-100044638</t>
        </is>
      </c>
      <c r="E364" s="349" t="n">
        <v>202500083072</v>
      </c>
      <c r="F364" s="332" t="n">
        <v>45765</v>
      </c>
      <c r="G364" s="224" t="n"/>
      <c r="H364" s="617" t="n"/>
      <c r="I364" s="617" t="n">
        <v>12015</v>
      </c>
      <c r="J364" s="221" t="inlineStr">
        <is>
          <t>អនុញ្ញាត (បានប្រកាស)</t>
        </is>
      </c>
      <c r="K364" s="221" t="n"/>
      <c r="L364" s="616">
        <f>I364</f>
        <v/>
      </c>
      <c r="M364" s="588">
        <f>I364-L364</f>
        <v/>
      </c>
      <c r="N364" s="221" t="n"/>
      <c r="O364" s="226">
        <f>U364=E364</f>
        <v/>
      </c>
      <c r="P364" s="226">
        <f>MONTH(F364)-MONTH(T364)</f>
        <v/>
      </c>
      <c r="Q364" s="226">
        <f>$B$5=X364</f>
        <v/>
      </c>
      <c r="R364" s="226">
        <f>I364-AD364</f>
        <v/>
      </c>
      <c r="S364" s="360" t="n"/>
      <c r="T364" s="361" t="n">
        <v>45765</v>
      </c>
      <c r="U364" s="360" t="n">
        <v>202500083072</v>
      </c>
      <c r="V364" s="360" t="n">
        <v>0</v>
      </c>
      <c r="W364" s="360" t="inlineStr">
        <is>
          <t>បុគ្គលជាប់អាករ</t>
        </is>
      </c>
      <c r="X364" s="360" t="inlineStr">
        <is>
          <t>L001-901640009</t>
        </is>
      </c>
      <c r="Y364" s="360" t="inlineStr">
        <is>
          <t>ហូលីដេ ឌីហ្សាញ (ខេមបូឌា) ឯ.ក</t>
        </is>
      </c>
      <c r="Z364" s="362" t="n">
        <v>132165</v>
      </c>
      <c r="AA364" s="362" t="n">
        <v>120150</v>
      </c>
      <c r="AB364" s="360" t="n">
        <v>0</v>
      </c>
      <c r="AC364" s="360" t="inlineStr">
        <is>
          <t>-</t>
        </is>
      </c>
      <c r="AD364" s="362" t="n">
        <v>12015</v>
      </c>
      <c r="AE364" s="360" t="n">
        <v>0</v>
      </c>
      <c r="AF364" s="615" t="n">
        <v>0</v>
      </c>
      <c r="AG364" s="203" t="n">
        <v>0</v>
      </c>
      <c r="AH364" s="203" t="n">
        <v>0</v>
      </c>
      <c r="AI364" s="203" t="n">
        <v>0</v>
      </c>
      <c r="AJ364" s="203" t="n">
        <v>0</v>
      </c>
      <c r="AK364" s="203" t="n">
        <v>0</v>
      </c>
      <c r="AL364" s="203" t="n">
        <v>0.01</v>
      </c>
      <c r="AM364" s="203" t="n">
        <v>0</v>
      </c>
      <c r="AN364" s="203" t="inlineStr">
        <is>
          <t>Storage</t>
        </is>
      </c>
    </row>
    <row r="365">
      <c r="A365" s="220">
        <f>A364+1</f>
        <v/>
      </c>
      <c r="B365" s="222" t="inlineStr">
        <is>
          <t>Storage charges-Im</t>
        </is>
      </c>
      <c r="C365" s="222" t="inlineStr">
        <is>
          <t>Port Autonome Du Sihanoukville</t>
        </is>
      </c>
      <c r="D365" s="223" t="inlineStr">
        <is>
          <t>L001-100044638</t>
        </is>
      </c>
      <c r="E365" s="349" t="n">
        <v>202500084493</v>
      </c>
      <c r="F365" s="332" t="n">
        <v>45766</v>
      </c>
      <c r="G365" s="224" t="n"/>
      <c r="H365" s="617" t="n"/>
      <c r="I365" s="617" t="n">
        <v>12015</v>
      </c>
      <c r="J365" s="221" t="inlineStr">
        <is>
          <t>អនុញ្ញាត (បានប្រកាស)</t>
        </is>
      </c>
      <c r="K365" s="221" t="n"/>
      <c r="L365" s="616">
        <f>I365</f>
        <v/>
      </c>
      <c r="M365" s="588">
        <f>I365-L365</f>
        <v/>
      </c>
      <c r="N365" s="221" t="n"/>
      <c r="O365" s="226">
        <f>U365=E365</f>
        <v/>
      </c>
      <c r="P365" s="226">
        <f>MONTH(F365)-MONTH(T365)</f>
        <v/>
      </c>
      <c r="Q365" s="226">
        <f>$B$5=X365</f>
        <v/>
      </c>
      <c r="R365" s="226">
        <f>I365-AD365</f>
        <v/>
      </c>
      <c r="S365" s="360" t="n"/>
      <c r="T365" s="361" t="n">
        <v>45766</v>
      </c>
      <c r="U365" s="360" t="n">
        <v>202500084493</v>
      </c>
      <c r="V365" s="360" t="n">
        <v>0</v>
      </c>
      <c r="W365" s="360" t="inlineStr">
        <is>
          <t>បុគ្គលជាប់អាករ</t>
        </is>
      </c>
      <c r="X365" s="360" t="inlineStr">
        <is>
          <t>L001-901640009</t>
        </is>
      </c>
      <c r="Y365" s="360" t="inlineStr">
        <is>
          <t>ហូលីដេ ឌីហ្សាញ (ខេមបូឌា) ឯ.ក</t>
        </is>
      </c>
      <c r="Z365" s="362" t="n">
        <v>132165</v>
      </c>
      <c r="AA365" s="362" t="n">
        <v>120150</v>
      </c>
      <c r="AB365" s="360" t="n">
        <v>0</v>
      </c>
      <c r="AC365" s="360" t="inlineStr">
        <is>
          <t>-</t>
        </is>
      </c>
      <c r="AD365" s="362" t="n">
        <v>12015</v>
      </c>
      <c r="AE365" s="360" t="n">
        <v>0</v>
      </c>
      <c r="AF365" s="615" t="n">
        <v>0</v>
      </c>
      <c r="AG365" s="203" t="n">
        <v>0</v>
      </c>
      <c r="AH365" s="203" t="n">
        <v>0</v>
      </c>
      <c r="AI365" s="203" t="n">
        <v>0</v>
      </c>
      <c r="AJ365" s="203" t="n">
        <v>0</v>
      </c>
      <c r="AK365" s="203" t="n">
        <v>0</v>
      </c>
      <c r="AL365" s="203" t="n">
        <v>0.01</v>
      </c>
      <c r="AM365" s="203" t="n">
        <v>0</v>
      </c>
      <c r="AN365" s="203" t="inlineStr">
        <is>
          <t>Storage</t>
        </is>
      </c>
    </row>
    <row r="366">
      <c r="A366" s="220">
        <f>A365+1</f>
        <v/>
      </c>
      <c r="B366" s="222" t="inlineStr">
        <is>
          <t>Storage charges-Im</t>
        </is>
      </c>
      <c r="C366" s="222" t="inlineStr">
        <is>
          <t>Port Autonome Du Sihanoukville</t>
        </is>
      </c>
      <c r="D366" s="223" t="inlineStr">
        <is>
          <t>L001-100044638</t>
        </is>
      </c>
      <c r="E366" s="349" t="n">
        <v>202500082027</v>
      </c>
      <c r="F366" s="332" t="n">
        <v>45764</v>
      </c>
      <c r="G366" s="224" t="n"/>
      <c r="H366" s="617" t="n"/>
      <c r="I366" s="617" t="n">
        <v>115344</v>
      </c>
      <c r="J366" s="221" t="inlineStr">
        <is>
          <t>អនុញ្ញាត (បានប្រកាស)</t>
        </is>
      </c>
      <c r="K366" s="221" t="n"/>
      <c r="L366" s="616">
        <f>I366</f>
        <v/>
      </c>
      <c r="M366" s="588">
        <f>I366-L366</f>
        <v/>
      </c>
      <c r="N366" s="221" t="n"/>
      <c r="O366" s="226">
        <f>U366=E366</f>
        <v/>
      </c>
      <c r="P366" s="226">
        <f>MONTH(F366)-MONTH(T366)</f>
        <v/>
      </c>
      <c r="Q366" s="226">
        <f>$B$5=X366</f>
        <v/>
      </c>
      <c r="R366" s="226">
        <f>I366-AD366</f>
        <v/>
      </c>
      <c r="S366" s="360" t="n"/>
      <c r="T366" s="361" t="n">
        <v>45764</v>
      </c>
      <c r="U366" s="360" t="n">
        <v>202500082027</v>
      </c>
      <c r="V366" s="360" t="n">
        <v>0</v>
      </c>
      <c r="W366" s="360" t="inlineStr">
        <is>
          <t>បុគ្គលជាប់អាករ</t>
        </is>
      </c>
      <c r="X366" s="360" t="inlineStr">
        <is>
          <t>L001-901640009</t>
        </is>
      </c>
      <c r="Y366" s="360" t="inlineStr">
        <is>
          <t>ហូលីដេ ឌីហ្សាញ (ខេមបូឌា) ឯ.ក</t>
        </is>
      </c>
      <c r="Z366" s="362" t="n">
        <v>1268784</v>
      </c>
      <c r="AA366" s="362" t="n">
        <v>1153440</v>
      </c>
      <c r="AB366" s="360" t="n">
        <v>0</v>
      </c>
      <c r="AC366" s="360" t="inlineStr">
        <is>
          <t>-</t>
        </is>
      </c>
      <c r="AD366" s="362" t="n">
        <v>115344</v>
      </c>
      <c r="AE366" s="360" t="n">
        <v>0</v>
      </c>
      <c r="AF366" s="615" t="n">
        <v>0</v>
      </c>
      <c r="AG366" s="203" t="n">
        <v>0</v>
      </c>
      <c r="AH366" s="203" t="n">
        <v>0</v>
      </c>
      <c r="AI366" s="203" t="n">
        <v>0</v>
      </c>
      <c r="AJ366" s="203" t="n">
        <v>0</v>
      </c>
      <c r="AK366" s="203" t="n">
        <v>0</v>
      </c>
      <c r="AL366" s="203" t="n">
        <v>0.01</v>
      </c>
      <c r="AM366" s="203" t="n">
        <v>0</v>
      </c>
      <c r="AN366" s="203" t="inlineStr">
        <is>
          <t>Storage</t>
        </is>
      </c>
    </row>
    <row r="367">
      <c r="A367" s="220">
        <f>A366+1</f>
        <v/>
      </c>
      <c r="B367" s="222" t="inlineStr">
        <is>
          <t>THC, Doc, EMF, FRT Fee-Im</t>
        </is>
      </c>
      <c r="C367" s="222" t="inlineStr">
        <is>
          <t>INCHCAPE SHIPPING SERVICES (CAMBODIA) LTD</t>
        </is>
      </c>
      <c r="D367" s="223" t="inlineStr">
        <is>
          <t>L001-103000127</t>
        </is>
      </c>
      <c r="E367" s="349" t="inlineStr">
        <is>
          <t>IN250971</t>
        </is>
      </c>
      <c r="F367" s="332" t="n">
        <v>45733</v>
      </c>
      <c r="G367" s="224" t="n"/>
      <c r="H367" s="617" t="n"/>
      <c r="I367" s="617" t="n">
        <v>845477</v>
      </c>
      <c r="J367" s="221" t="inlineStr">
        <is>
          <t>អនុញ្ញាត (បានប្រកាស)</t>
        </is>
      </c>
      <c r="K367" s="221" t="n"/>
      <c r="L367" s="616">
        <f>I367</f>
        <v/>
      </c>
      <c r="M367" s="588">
        <f>I367-L367</f>
        <v/>
      </c>
      <c r="N367" s="221" t="n"/>
      <c r="O367" s="226">
        <f>U367=E367</f>
        <v/>
      </c>
      <c r="P367" s="226">
        <f>MONTH(F367)-MONTH(T367)</f>
        <v/>
      </c>
      <c r="Q367" s="226">
        <f>$B$5=X367</f>
        <v/>
      </c>
      <c r="R367" s="226">
        <f>I367-AD367</f>
        <v/>
      </c>
      <c r="S367" s="360" t="n"/>
      <c r="T367" s="361" t="n">
        <v>45733</v>
      </c>
      <c r="U367" s="360" t="inlineStr">
        <is>
          <t>IN250971</t>
        </is>
      </c>
      <c r="V367" s="360" t="n">
        <v>0</v>
      </c>
      <c r="W367" s="360" t="inlineStr">
        <is>
          <t>បុគ្គលជាប់អាករ</t>
        </is>
      </c>
      <c r="X367" s="360" t="inlineStr">
        <is>
          <t>L001-901640009</t>
        </is>
      </c>
      <c r="Y367" s="360" t="inlineStr">
        <is>
          <t>ហូលីដេ ឌីហ្សាញ (ខេមបូឌា) ឯ.ក</t>
        </is>
      </c>
      <c r="Z367" s="362" t="n">
        <v>9300247</v>
      </c>
      <c r="AA367" s="362" t="n">
        <v>8454770</v>
      </c>
      <c r="AB367" s="360" t="n">
        <v>0</v>
      </c>
      <c r="AC367" s="360" t="inlineStr">
        <is>
          <t>-</t>
        </is>
      </c>
      <c r="AD367" s="362" t="n">
        <v>845477</v>
      </c>
      <c r="AE367" s="360" t="n">
        <v>0</v>
      </c>
      <c r="AF367" s="615" t="n">
        <v>0</v>
      </c>
      <c r="AG367" s="203" t="n">
        <v>0</v>
      </c>
      <c r="AH367" s="203" t="n">
        <v>0</v>
      </c>
      <c r="AI367" s="203" t="n">
        <v>0</v>
      </c>
      <c r="AJ367" s="203" t="n">
        <v>0</v>
      </c>
      <c r="AK367" s="203" t="n">
        <v>0</v>
      </c>
      <c r="AL367" s="203" t="n">
        <v>0.01</v>
      </c>
      <c r="AM367" s="203" t="n">
        <v>0</v>
      </c>
      <c r="AN367" s="203" t="inlineStr">
        <is>
          <t>THC,DOC,EMF AND FRT FEE</t>
        </is>
      </c>
      <c r="AO367" s="203" t="inlineStr">
        <is>
          <t>បានប្រកាសនិងបង់ពន្ធ</t>
        </is>
      </c>
    </row>
    <row r="368">
      <c r="A368" s="220">
        <f>A367+1</f>
        <v/>
      </c>
      <c r="B368" s="222" t="inlineStr">
        <is>
          <t>THC Fee-Ex</t>
        </is>
      </c>
      <c r="C368" s="222" t="inlineStr">
        <is>
          <t>APL LOGISTICS (CAMBODIA) PTE LTD.</t>
        </is>
      </c>
      <c r="D368" s="223" t="inlineStr">
        <is>
          <t>L001-100046460</t>
        </is>
      </c>
      <c r="E368" s="349" t="inlineStr">
        <is>
          <t>APLL25003168</t>
        </is>
      </c>
      <c r="F368" s="332" t="n">
        <v>45798</v>
      </c>
      <c r="G368" s="224" t="n"/>
      <c r="H368" s="617" t="n"/>
      <c r="I368" s="617" t="n">
        <v>320240</v>
      </c>
      <c r="J368" s="221" t="inlineStr">
        <is>
          <t>អនុញ្ញាត (បានប្រកាស)</t>
        </is>
      </c>
      <c r="K368" s="221" t="n"/>
      <c r="L368" s="616">
        <f>I368</f>
        <v/>
      </c>
      <c r="M368" s="588">
        <f>I368-L368</f>
        <v/>
      </c>
      <c r="N368" s="221" t="n"/>
      <c r="O368" s="226">
        <f>U368=E368</f>
        <v/>
      </c>
      <c r="P368" s="226">
        <f>MONTH(F368)-MONTH(T368)</f>
        <v/>
      </c>
      <c r="Q368" s="226">
        <f>$B$5=X368</f>
        <v/>
      </c>
      <c r="R368" s="226">
        <f>I368-AD368</f>
        <v/>
      </c>
      <c r="S368" s="360" t="n"/>
      <c r="T368" s="361" t="n">
        <v>45798</v>
      </c>
      <c r="U368" s="360" t="inlineStr">
        <is>
          <t>APLL25003168</t>
        </is>
      </c>
      <c r="V368" s="360" t="n"/>
      <c r="W368" s="360" t="n"/>
      <c r="X368" s="360" t="n"/>
      <c r="Y368" s="360" t="inlineStr">
        <is>
          <t>ហូលីដេ ឌីហ្សាញ (ខេមបូឌា) ឯ.ក</t>
        </is>
      </c>
      <c r="Z368" s="362" t="n"/>
      <c r="AA368" s="362" t="n"/>
      <c r="AB368" s="360" t="n"/>
      <c r="AC368" s="360" t="n"/>
      <c r="AD368" s="362" t="n">
        <v>320240</v>
      </c>
      <c r="AE368" s="360" t="n"/>
      <c r="AF368" s="615" t="n"/>
    </row>
    <row r="369">
      <c r="A369" s="220">
        <f>A368+1</f>
        <v/>
      </c>
      <c r="B369" s="222" t="inlineStr">
        <is>
          <t>THC Fee-Ex</t>
        </is>
      </c>
      <c r="C369" s="222" t="inlineStr">
        <is>
          <t>APL LOGISTICS (CAMBODIA) PTE LTD.</t>
        </is>
      </c>
      <c r="D369" s="223" t="inlineStr">
        <is>
          <t>L001-100046460</t>
        </is>
      </c>
      <c r="E369" s="349" t="inlineStr">
        <is>
          <t>APLL25003269</t>
        </is>
      </c>
      <c r="F369" s="332" t="n">
        <v>45799</v>
      </c>
      <c r="G369" s="224" t="n"/>
      <c r="H369" s="617" t="n"/>
      <c r="I369" s="617" t="n">
        <v>115286</v>
      </c>
      <c r="J369" s="221" t="inlineStr">
        <is>
          <t>អនុញ្ញាត (បានប្រកាស)</t>
        </is>
      </c>
      <c r="K369" s="221" t="n"/>
      <c r="L369" s="616">
        <f>I369</f>
        <v/>
      </c>
      <c r="M369" s="588">
        <f>I369-L369</f>
        <v/>
      </c>
      <c r="N369" s="221" t="n"/>
      <c r="O369" s="226">
        <f>U369=E369</f>
        <v/>
      </c>
      <c r="P369" s="226">
        <f>MONTH(F369)-MONTH(T369)</f>
        <v/>
      </c>
      <c r="Q369" s="226">
        <f>$B$5=X369</f>
        <v/>
      </c>
      <c r="R369" s="226">
        <f>I369-AD369</f>
        <v/>
      </c>
      <c r="S369" s="360" t="n"/>
      <c r="T369" s="361" t="n">
        <v>45799</v>
      </c>
      <c r="U369" s="360" t="inlineStr">
        <is>
          <t>APLL25003269</t>
        </is>
      </c>
      <c r="V369" s="360" t="n"/>
      <c r="W369" s="360" t="n"/>
      <c r="X369" s="360" t="n"/>
      <c r="Y369" s="360" t="inlineStr">
        <is>
          <t>ហូលីដេ ឌីហ្សាញ (ខេមបូឌា) ឯ.ក</t>
        </is>
      </c>
      <c r="Z369" s="362" t="n"/>
      <c r="AA369" s="362" t="n"/>
      <c r="AB369" s="360" t="n"/>
      <c r="AC369" s="360" t="n"/>
      <c r="AD369" s="362" t="n">
        <v>115286</v>
      </c>
      <c r="AE369" s="360" t="n"/>
      <c r="AF369" s="615" t="n"/>
    </row>
    <row r="370">
      <c r="A370" s="220">
        <f>A369+1</f>
        <v/>
      </c>
      <c r="B370" s="222" t="inlineStr">
        <is>
          <t>THC Fee-Ex</t>
        </is>
      </c>
      <c r="C370" s="222" t="inlineStr">
        <is>
          <t>APL LOGISTICS (CAMBODIA) PTE LTD.</t>
        </is>
      </c>
      <c r="D370" s="223" t="inlineStr">
        <is>
          <t>L001-100046460</t>
        </is>
      </c>
      <c r="E370" s="349" t="inlineStr">
        <is>
          <t>APLL25003266</t>
        </is>
      </c>
      <c r="F370" s="332" t="n">
        <v>45799</v>
      </c>
      <c r="G370" s="224" t="n"/>
      <c r="H370" s="617" t="n"/>
      <c r="I370" s="617" t="n">
        <v>85264</v>
      </c>
      <c r="J370" s="221" t="inlineStr">
        <is>
          <t>អនុញ្ញាត (បានប្រកាស)</t>
        </is>
      </c>
      <c r="K370" s="221" t="n"/>
      <c r="L370" s="616">
        <f>I370</f>
        <v/>
      </c>
      <c r="M370" s="588">
        <f>I370-L370</f>
        <v/>
      </c>
      <c r="N370" s="221" t="n"/>
      <c r="O370" s="226">
        <f>U370=E370</f>
        <v/>
      </c>
      <c r="P370" s="226">
        <f>MONTH(F370)-MONTH(T370)</f>
        <v/>
      </c>
      <c r="Q370" s="226">
        <f>$B$5=X370</f>
        <v/>
      </c>
      <c r="R370" s="226">
        <f>I370-AD370</f>
        <v/>
      </c>
      <c r="S370" s="360" t="n"/>
      <c r="T370" s="361" t="n">
        <v>45799</v>
      </c>
      <c r="U370" s="360" t="inlineStr">
        <is>
          <t>APLL25003266</t>
        </is>
      </c>
      <c r="V370" s="360" t="n"/>
      <c r="W370" s="360" t="n"/>
      <c r="X370" s="360" t="n"/>
      <c r="Y370" s="360" t="inlineStr">
        <is>
          <t>ហូលីដេ ឌីហ្សាញ (ខេមបូឌា) ឯ.ក</t>
        </is>
      </c>
      <c r="Z370" s="362" t="n"/>
      <c r="AA370" s="362" t="n"/>
      <c r="AB370" s="360" t="n"/>
      <c r="AC370" s="360" t="n"/>
      <c r="AD370" s="362" t="n">
        <v>85264</v>
      </c>
      <c r="AE370" s="360" t="n"/>
      <c r="AF370" s="615" t="n"/>
    </row>
    <row r="371">
      <c r="A371" s="220">
        <f>A370+1</f>
        <v/>
      </c>
      <c r="B371" s="222" t="inlineStr">
        <is>
          <t>THC Fee-Ex</t>
        </is>
      </c>
      <c r="C371" s="222" t="inlineStr">
        <is>
          <t>APL LOGISTICS (CAMBODIA) PTE LTD.</t>
        </is>
      </c>
      <c r="D371" s="223" t="inlineStr">
        <is>
          <t>L001-100046460</t>
        </is>
      </c>
      <c r="E371" s="349" t="inlineStr">
        <is>
          <t>APLL25003267</t>
        </is>
      </c>
      <c r="F371" s="332" t="n">
        <v>45799</v>
      </c>
      <c r="G371" s="224" t="n"/>
      <c r="H371" s="617" t="n"/>
      <c r="I371" s="617" t="n">
        <v>85264</v>
      </c>
      <c r="J371" s="221" t="inlineStr">
        <is>
          <t>អនុញ្ញាត (បានប្រកាស)</t>
        </is>
      </c>
      <c r="K371" s="221" t="n"/>
      <c r="L371" s="616">
        <f>I371</f>
        <v/>
      </c>
      <c r="M371" s="588">
        <f>I371-L371</f>
        <v/>
      </c>
      <c r="N371" s="221" t="n"/>
      <c r="O371" s="226">
        <f>U371=E371</f>
        <v/>
      </c>
      <c r="P371" s="226">
        <f>MONTH(F371)-MONTH(T371)</f>
        <v/>
      </c>
      <c r="Q371" s="226">
        <f>$B$5=X371</f>
        <v/>
      </c>
      <c r="R371" s="226">
        <f>I371-AD371</f>
        <v/>
      </c>
      <c r="S371" s="360" t="n"/>
      <c r="T371" s="361" t="n">
        <v>45799</v>
      </c>
      <c r="U371" s="360" t="inlineStr">
        <is>
          <t>APLL25003267</t>
        </is>
      </c>
      <c r="V371" s="360" t="n"/>
      <c r="W371" s="360" t="n"/>
      <c r="X371" s="360" t="n"/>
      <c r="Y371" s="360" t="inlineStr">
        <is>
          <t>ហូលីដេ ឌីហ្សាញ (ខេមបូឌា) ឯ.ក</t>
        </is>
      </c>
      <c r="Z371" s="362" t="n"/>
      <c r="AA371" s="362" t="n"/>
      <c r="AB371" s="360" t="n"/>
      <c r="AC371" s="360" t="n"/>
      <c r="AD371" s="362" t="n">
        <v>85264</v>
      </c>
      <c r="AE371" s="360" t="n"/>
      <c r="AF371" s="615" t="n"/>
    </row>
    <row r="372">
      <c r="A372" s="220">
        <f>A371+1</f>
        <v/>
      </c>
      <c r="B372" s="222" t="inlineStr">
        <is>
          <t>THC Fee-Ex</t>
        </is>
      </c>
      <c r="C372" s="222" t="inlineStr">
        <is>
          <t>APL LOGISTICS (CAMBODIA) PTE LTD.</t>
        </is>
      </c>
      <c r="D372" s="223" t="inlineStr">
        <is>
          <t>L001-100046460</t>
        </is>
      </c>
      <c r="E372" s="349" t="inlineStr">
        <is>
          <t>APLL25003372</t>
        </is>
      </c>
      <c r="F372" s="332" t="n">
        <v>45804</v>
      </c>
      <c r="G372" s="224" t="n"/>
      <c r="H372" s="617" t="n"/>
      <c r="I372" s="617" t="n">
        <v>445534</v>
      </c>
      <c r="J372" s="221" t="inlineStr">
        <is>
          <t>អនុញ្ញាត (បានប្រកាស)</t>
        </is>
      </c>
      <c r="K372" s="221" t="n"/>
      <c r="L372" s="616">
        <f>I372</f>
        <v/>
      </c>
      <c r="M372" s="588">
        <f>I372-L372</f>
        <v/>
      </c>
      <c r="N372" s="221" t="n"/>
      <c r="O372" s="226">
        <f>U372=E372</f>
        <v/>
      </c>
      <c r="P372" s="226">
        <f>MONTH(F372)-MONTH(T372)</f>
        <v/>
      </c>
      <c r="Q372" s="226">
        <f>$B$5=X372</f>
        <v/>
      </c>
      <c r="R372" s="226">
        <f>I372-AD372</f>
        <v/>
      </c>
      <c r="S372" s="360" t="n"/>
      <c r="T372" s="361" t="n">
        <v>45804</v>
      </c>
      <c r="U372" s="360" t="inlineStr">
        <is>
          <t>APLL25003372</t>
        </is>
      </c>
      <c r="V372" s="360" t="n"/>
      <c r="W372" s="360" t="n"/>
      <c r="X372" s="360" t="n"/>
      <c r="Y372" s="360" t="inlineStr">
        <is>
          <t>ហូលីដេ ឌីហ្សាញ (ខេមបូឌា) ឯ.ក</t>
        </is>
      </c>
      <c r="Z372" s="362" t="n"/>
      <c r="AA372" s="362" t="n"/>
      <c r="AB372" s="360" t="n"/>
      <c r="AC372" s="360" t="n"/>
      <c r="AD372" s="362" t="n">
        <v>445534</v>
      </c>
      <c r="AE372" s="360" t="n"/>
      <c r="AF372" s="615" t="n"/>
    </row>
    <row r="373">
      <c r="A373" s="220">
        <f>A372+1</f>
        <v/>
      </c>
      <c r="B373" s="222" t="inlineStr">
        <is>
          <t>THC Fee-Ex</t>
        </is>
      </c>
      <c r="C373" s="222" t="inlineStr">
        <is>
          <t>APL LOGISTICS (CAMBODIA) PTE LTD.</t>
        </is>
      </c>
      <c r="D373" s="223" t="inlineStr">
        <is>
          <t>L001-100046460</t>
        </is>
      </c>
      <c r="E373" s="349" t="inlineStr">
        <is>
          <t>APLL25003371</t>
        </is>
      </c>
      <c r="F373" s="332" t="n">
        <v>45803</v>
      </c>
      <c r="G373" s="224" t="n"/>
      <c r="H373" s="617" t="n"/>
      <c r="I373" s="617" t="n">
        <v>132066</v>
      </c>
      <c r="J373" s="221" t="inlineStr">
        <is>
          <t>អនុញ្ញាត (បានប្រកាស)</t>
        </is>
      </c>
      <c r="K373" s="221" t="n"/>
      <c r="L373" s="616">
        <f>I373</f>
        <v/>
      </c>
      <c r="M373" s="588">
        <f>I373-L373</f>
        <v/>
      </c>
      <c r="N373" s="221" t="n"/>
      <c r="O373" s="226">
        <f>U373=E373</f>
        <v/>
      </c>
      <c r="P373" s="226">
        <f>MONTH(F373)-MONTH(T373)</f>
        <v/>
      </c>
      <c r="Q373" s="226">
        <f>$B$5=X373</f>
        <v/>
      </c>
      <c r="R373" s="226">
        <f>I373-AD373</f>
        <v/>
      </c>
      <c r="S373" s="360" t="n"/>
      <c r="T373" s="361" t="n">
        <v>45803</v>
      </c>
      <c r="U373" s="360" t="inlineStr">
        <is>
          <t>APLL25003371</t>
        </is>
      </c>
      <c r="V373" s="360" t="n"/>
      <c r="W373" s="360" t="n"/>
      <c r="X373" s="360" t="n"/>
      <c r="Y373" s="360" t="inlineStr">
        <is>
          <t>ហូលីដេ ឌីហ្សាញ (ខេមបូឌា) ឯ.ក</t>
        </is>
      </c>
      <c r="Z373" s="362" t="n"/>
      <c r="AA373" s="362" t="n"/>
      <c r="AB373" s="360" t="n"/>
      <c r="AC373" s="360" t="n"/>
      <c r="AD373" s="362" t="n">
        <v>132066</v>
      </c>
      <c r="AE373" s="360" t="n"/>
      <c r="AF373" s="615" t="n"/>
    </row>
    <row r="374">
      <c r="A374" s="220">
        <f>A373+1</f>
        <v/>
      </c>
      <c r="B374" s="222" t="inlineStr">
        <is>
          <t>THC Fee-Ex</t>
        </is>
      </c>
      <c r="C374" s="222" t="inlineStr">
        <is>
          <t>APL LOGISTICS (CAMBODIA) PTE LTD.</t>
        </is>
      </c>
      <c r="D374" s="223" t="inlineStr">
        <is>
          <t>L001-100046460</t>
        </is>
      </c>
      <c r="E374" s="349" t="inlineStr">
        <is>
          <t>APLL25003369</t>
        </is>
      </c>
      <c r="F374" s="332" t="n">
        <v>45800</v>
      </c>
      <c r="G374" s="224" t="n"/>
      <c r="H374" s="617" t="n"/>
      <c r="I374" s="617" t="n">
        <v>132099</v>
      </c>
      <c r="J374" s="221" t="inlineStr">
        <is>
          <t>អនុញ្ញាត (បានប្រកាស)</t>
        </is>
      </c>
      <c r="K374" s="221" t="n"/>
      <c r="L374" s="616">
        <f>I374</f>
        <v/>
      </c>
      <c r="M374" s="588">
        <f>I374-L374</f>
        <v/>
      </c>
      <c r="N374" s="221" t="n"/>
      <c r="O374" s="226">
        <f>U374=E374</f>
        <v/>
      </c>
      <c r="P374" s="226">
        <f>MONTH(F374)-MONTH(T374)</f>
        <v/>
      </c>
      <c r="Q374" s="226">
        <f>$B$5=X374</f>
        <v/>
      </c>
      <c r="R374" s="226">
        <f>I374-AD374</f>
        <v/>
      </c>
      <c r="S374" s="360" t="n"/>
      <c r="T374" s="361" t="n">
        <v>45800</v>
      </c>
      <c r="U374" s="360" t="inlineStr">
        <is>
          <t>APLL25003369</t>
        </is>
      </c>
      <c r="V374" s="360" t="n"/>
      <c r="W374" s="360" t="n"/>
      <c r="X374" s="360" t="n"/>
      <c r="Y374" s="360" t="inlineStr">
        <is>
          <t>ហូលីដេ ឌីហ្សាញ (ខេមបូឌា) ឯ.ក</t>
        </is>
      </c>
      <c r="Z374" s="362" t="n"/>
      <c r="AA374" s="362" t="n"/>
      <c r="AB374" s="360" t="n"/>
      <c r="AC374" s="360" t="n"/>
      <c r="AD374" s="362" t="n">
        <v>132099</v>
      </c>
      <c r="AE374" s="360" t="n"/>
      <c r="AF374" s="615" t="n"/>
    </row>
    <row r="375">
      <c r="A375" s="220">
        <f>A374+1</f>
        <v/>
      </c>
      <c r="B375" s="222" t="inlineStr">
        <is>
          <t>THC Fee-Ex</t>
        </is>
      </c>
      <c r="C375" s="222" t="inlineStr">
        <is>
          <t>APL LOGISTICS (CAMBODIA) PTE LTD.</t>
        </is>
      </c>
      <c r="D375" s="223" t="inlineStr">
        <is>
          <t>L001-100046460</t>
        </is>
      </c>
      <c r="E375" s="349" t="inlineStr">
        <is>
          <t>APLL25003244</t>
        </is>
      </c>
      <c r="F375" s="332" t="n">
        <v>45798</v>
      </c>
      <c r="G375" s="224" t="n"/>
      <c r="H375" s="617" t="n"/>
      <c r="I375" s="617" t="n">
        <v>562422</v>
      </c>
      <c r="J375" s="221" t="inlineStr">
        <is>
          <t>អនុញ្ញាត (បានប្រកាស)</t>
        </is>
      </c>
      <c r="K375" s="221" t="n"/>
      <c r="L375" s="616">
        <f>I375</f>
        <v/>
      </c>
      <c r="M375" s="588">
        <f>I375-L375</f>
        <v/>
      </c>
      <c r="N375" s="221" t="n"/>
      <c r="O375" s="226">
        <f>U375=E375</f>
        <v/>
      </c>
      <c r="P375" s="226">
        <f>MONTH(F375)-MONTH(T375)</f>
        <v/>
      </c>
      <c r="Q375" s="226">
        <f>$B$5=X375</f>
        <v/>
      </c>
      <c r="R375" s="226">
        <f>I375-AD375</f>
        <v/>
      </c>
      <c r="S375" s="360" t="n"/>
      <c r="T375" s="361" t="n">
        <v>45798</v>
      </c>
      <c r="U375" s="360" t="inlineStr">
        <is>
          <t>APLL25003244</t>
        </is>
      </c>
      <c r="V375" s="360" t="n"/>
      <c r="W375" s="360" t="n"/>
      <c r="X375" s="360" t="n"/>
      <c r="Y375" s="360" t="inlineStr">
        <is>
          <t>ហូលីដេ ឌីហ្សាញ (ខេមបូឌា) ឯ.ក</t>
        </is>
      </c>
      <c r="Z375" s="362" t="n"/>
      <c r="AA375" s="362" t="n"/>
      <c r="AB375" s="360" t="n"/>
      <c r="AC375" s="360" t="n"/>
      <c r="AD375" s="362" t="n">
        <v>562422</v>
      </c>
      <c r="AE375" s="360" t="n"/>
      <c r="AF375" s="615" t="n"/>
    </row>
    <row r="376">
      <c r="A376" s="220">
        <f>A375+1</f>
        <v/>
      </c>
      <c r="B376" s="222" t="inlineStr">
        <is>
          <t>THC Fee-Ex</t>
        </is>
      </c>
      <c r="C376" s="222" t="inlineStr">
        <is>
          <t>APL LOGISTICS (CAMBODIA) PTE LTD.</t>
        </is>
      </c>
      <c r="D376" s="223" t="inlineStr">
        <is>
          <t>L001-100046460</t>
        </is>
      </c>
      <c r="E376" s="349" t="inlineStr">
        <is>
          <t>APLL25003370</t>
        </is>
      </c>
      <c r="F376" s="332" t="n">
        <v>45803</v>
      </c>
      <c r="G376" s="224" t="n"/>
      <c r="H376" s="617" t="n"/>
      <c r="I376" s="617" t="n">
        <v>456228</v>
      </c>
      <c r="J376" s="221" t="inlineStr">
        <is>
          <t>អនុញ្ញាត (បានប្រកាស)</t>
        </is>
      </c>
      <c r="K376" s="221" t="n"/>
      <c r="L376" s="616">
        <f>I376</f>
        <v/>
      </c>
      <c r="M376" s="588">
        <f>I376-L376</f>
        <v/>
      </c>
      <c r="N376" s="221" t="n"/>
      <c r="O376" s="226">
        <f>U376=E376</f>
        <v/>
      </c>
      <c r="P376" s="226">
        <f>MONTH(F376)-MONTH(T376)</f>
        <v/>
      </c>
      <c r="Q376" s="226">
        <f>$B$5=X376</f>
        <v/>
      </c>
      <c r="R376" s="226">
        <f>I376-AD376</f>
        <v/>
      </c>
      <c r="S376" s="360" t="n"/>
      <c r="T376" s="361" t="n">
        <v>45803</v>
      </c>
      <c r="U376" s="360" t="inlineStr">
        <is>
          <t>APLL25003370</t>
        </is>
      </c>
      <c r="V376" s="360" t="n"/>
      <c r="W376" s="360" t="n"/>
      <c r="X376" s="360" t="n"/>
      <c r="Y376" s="360" t="inlineStr">
        <is>
          <t>ហូលីដេ ឌីហ្សាញ (ខេមបូឌា) ឯ.ក</t>
        </is>
      </c>
      <c r="Z376" s="362" t="n"/>
      <c r="AA376" s="362" t="n"/>
      <c r="AB376" s="360" t="n"/>
      <c r="AC376" s="360" t="n"/>
      <c r="AD376" s="362" t="n">
        <v>456228</v>
      </c>
      <c r="AE376" s="360" t="n"/>
      <c r="AF376" s="615" t="n"/>
    </row>
    <row r="377">
      <c r="A377" s="220">
        <f>A376+1</f>
        <v/>
      </c>
      <c r="B377" s="222" t="inlineStr">
        <is>
          <t>THC Fee-Ex</t>
        </is>
      </c>
      <c r="C377" s="222" t="inlineStr">
        <is>
          <t>APL LOGISTICS (CAMBODIA) PTE LTD.</t>
        </is>
      </c>
      <c r="D377" s="223" t="inlineStr">
        <is>
          <t>L001-100046460</t>
        </is>
      </c>
      <c r="E377" s="349" t="inlineStr">
        <is>
          <t>APLL25003377</t>
        </is>
      </c>
      <c r="F377" s="332" t="n">
        <v>45804</v>
      </c>
      <c r="G377" s="224" t="n"/>
      <c r="H377" s="617" t="n"/>
      <c r="I377" s="617" t="n">
        <v>195346</v>
      </c>
      <c r="J377" s="221" t="inlineStr">
        <is>
          <t>អនុញ្ញាត (បានប្រកាស)</t>
        </is>
      </c>
      <c r="K377" s="221" t="n"/>
      <c r="L377" s="616">
        <f>I377</f>
        <v/>
      </c>
      <c r="M377" s="588">
        <f>I377-L377</f>
        <v/>
      </c>
      <c r="N377" s="221" t="n"/>
      <c r="O377" s="226">
        <f>U377=E377</f>
        <v/>
      </c>
      <c r="P377" s="226">
        <f>MONTH(F377)-MONTH(T377)</f>
        <v/>
      </c>
      <c r="Q377" s="226">
        <f>$B$5=X377</f>
        <v/>
      </c>
      <c r="R377" s="226">
        <f>I377-AD377</f>
        <v/>
      </c>
      <c r="S377" s="360" t="n"/>
      <c r="T377" s="361" t="n">
        <v>45804</v>
      </c>
      <c r="U377" s="360" t="inlineStr">
        <is>
          <t>APLL25003377</t>
        </is>
      </c>
      <c r="V377" s="360" t="n"/>
      <c r="W377" s="360" t="n"/>
      <c r="X377" s="360" t="n"/>
      <c r="Y377" s="360" t="inlineStr">
        <is>
          <t>ហូលីដេ ឌីហ្សាញ (ខេមបូឌា) ឯ.ក</t>
        </is>
      </c>
      <c r="Z377" s="362" t="n"/>
      <c r="AA377" s="362" t="n"/>
      <c r="AB377" s="360" t="n"/>
      <c r="AC377" s="360" t="n"/>
      <c r="AD377" s="362" t="n">
        <v>195346</v>
      </c>
      <c r="AE377" s="360" t="n"/>
      <c r="AF377" s="615" t="n"/>
    </row>
    <row r="378">
      <c r="A378" s="220">
        <f>A377+1</f>
        <v/>
      </c>
      <c r="B378" s="222" t="inlineStr">
        <is>
          <t>THC Fee-Ex</t>
        </is>
      </c>
      <c r="C378" s="222" t="inlineStr">
        <is>
          <t>APL LOGISTICS (CAMBODIA) PTE LTD.</t>
        </is>
      </c>
      <c r="D378" s="223" t="inlineStr">
        <is>
          <t>L001-100046460</t>
        </is>
      </c>
      <c r="E378" s="349" t="inlineStr">
        <is>
          <t>APLL25003381</t>
        </is>
      </c>
      <c r="F378" s="332" t="n">
        <v>45804</v>
      </c>
      <c r="G378" s="224" t="n"/>
      <c r="H378" s="617" t="n"/>
      <c r="I378" s="617" t="n">
        <v>115286</v>
      </c>
      <c r="J378" s="221" t="inlineStr">
        <is>
          <t>អនុញ្ញាត (បានប្រកាស)</t>
        </is>
      </c>
      <c r="K378" s="221" t="n"/>
      <c r="L378" s="616">
        <f>I378</f>
        <v/>
      </c>
      <c r="M378" s="588">
        <f>I378-L378</f>
        <v/>
      </c>
      <c r="N378" s="221" t="n"/>
      <c r="O378" s="226">
        <f>U378=E378</f>
        <v/>
      </c>
      <c r="P378" s="226">
        <f>MONTH(F378)-MONTH(T378)</f>
        <v/>
      </c>
      <c r="Q378" s="226">
        <f>$B$5=X378</f>
        <v/>
      </c>
      <c r="R378" s="226">
        <f>I378-AD378</f>
        <v/>
      </c>
      <c r="S378" s="360" t="n"/>
      <c r="T378" s="361" t="n">
        <v>45804</v>
      </c>
      <c r="U378" s="360" t="inlineStr">
        <is>
          <t>APLL25003381</t>
        </is>
      </c>
      <c r="V378" s="360" t="n"/>
      <c r="W378" s="360" t="n"/>
      <c r="X378" s="360" t="n"/>
      <c r="Y378" s="360" t="inlineStr">
        <is>
          <t>ហូលីដេ ឌីហ្សាញ (ខេមបូឌា) ឯ.ក</t>
        </is>
      </c>
      <c r="Z378" s="362" t="n"/>
      <c r="AA378" s="362" t="n"/>
      <c r="AB378" s="360" t="n"/>
      <c r="AC378" s="360" t="n"/>
      <c r="AD378" s="362" t="n">
        <v>115286</v>
      </c>
      <c r="AE378" s="360" t="n"/>
      <c r="AF378" s="615" t="n"/>
    </row>
    <row r="379">
      <c r="A379" s="220">
        <f>A378+1</f>
        <v/>
      </c>
      <c r="B379" s="222" t="inlineStr">
        <is>
          <t>THC Fee-Ex</t>
        </is>
      </c>
      <c r="C379" s="222" t="inlineStr">
        <is>
          <t>APL LOGISTICS (CAMBODIA) PTE LTD.</t>
        </is>
      </c>
      <c r="D379" s="223" t="inlineStr">
        <is>
          <t>L001-100046460</t>
        </is>
      </c>
      <c r="E379" s="349" t="inlineStr">
        <is>
          <t>APLL25003271</t>
        </is>
      </c>
      <c r="F379" s="332" t="n">
        <v>45799</v>
      </c>
      <c r="G379" s="224" t="n"/>
      <c r="H379" s="617" t="n"/>
      <c r="I379" s="617" t="n">
        <v>132099</v>
      </c>
      <c r="J379" s="221" t="inlineStr">
        <is>
          <t>អនុញ្ញាត (បានប្រកាស)</t>
        </is>
      </c>
      <c r="K379" s="221" t="n"/>
      <c r="L379" s="616">
        <f>I379</f>
        <v/>
      </c>
      <c r="M379" s="588">
        <f>I379-L379</f>
        <v/>
      </c>
      <c r="N379" s="221" t="n"/>
      <c r="O379" s="226">
        <f>U379=E379</f>
        <v/>
      </c>
      <c r="P379" s="226">
        <f>MONTH(F379)-MONTH(T379)</f>
        <v/>
      </c>
      <c r="Q379" s="226">
        <f>$B$5=X379</f>
        <v/>
      </c>
      <c r="R379" s="226">
        <f>I379-AD379</f>
        <v/>
      </c>
      <c r="S379" s="360" t="n"/>
      <c r="T379" s="361" t="n">
        <v>45799</v>
      </c>
      <c r="U379" s="360" t="inlineStr">
        <is>
          <t>APLL25003271</t>
        </is>
      </c>
      <c r="V379" s="360" t="n"/>
      <c r="W379" s="360" t="n"/>
      <c r="X379" s="360" t="n"/>
      <c r="Y379" s="360" t="inlineStr">
        <is>
          <t>ហូលីដេ ឌីហ្សាញ (ខេមបូឌា) ឯ.ក</t>
        </is>
      </c>
      <c r="Z379" s="362" t="n"/>
      <c r="AA379" s="362" t="n"/>
      <c r="AB379" s="360" t="n"/>
      <c r="AC379" s="360" t="n"/>
      <c r="AD379" s="362" t="n">
        <v>132099</v>
      </c>
      <c r="AE379" s="360" t="n"/>
      <c r="AF379" s="615" t="n"/>
    </row>
    <row r="380">
      <c r="A380" s="220">
        <f>A379+1</f>
        <v/>
      </c>
      <c r="B380" s="222" t="inlineStr">
        <is>
          <t>THC Fee-Ex</t>
        </is>
      </c>
      <c r="C380" s="222" t="inlineStr">
        <is>
          <t>APL LOGISTICS (CAMBODIA) PTE LTD.</t>
        </is>
      </c>
      <c r="D380" s="223" t="inlineStr">
        <is>
          <t>L001-100046460</t>
        </is>
      </c>
      <c r="E380" s="349" t="inlineStr">
        <is>
          <t>APLL25003374</t>
        </is>
      </c>
      <c r="F380" s="332" t="n">
        <v>45804</v>
      </c>
      <c r="G380" s="224" t="n"/>
      <c r="H380" s="617" t="n"/>
      <c r="I380" s="617" t="n">
        <v>348261</v>
      </c>
      <c r="J380" s="221" t="inlineStr">
        <is>
          <t>អនុញ្ញាត (បានប្រកាស)</t>
        </is>
      </c>
      <c r="K380" s="221" t="n"/>
      <c r="L380" s="616">
        <f>I380</f>
        <v/>
      </c>
      <c r="M380" s="588">
        <f>I380-L380</f>
        <v/>
      </c>
      <c r="N380" s="221" t="n"/>
      <c r="O380" s="226">
        <f>U380=E380</f>
        <v/>
      </c>
      <c r="P380" s="226">
        <f>MONTH(F380)-MONTH(T380)</f>
        <v/>
      </c>
      <c r="Q380" s="226">
        <f>$B$5=X380</f>
        <v/>
      </c>
      <c r="R380" s="226">
        <f>I380-AD380</f>
        <v/>
      </c>
      <c r="S380" s="360" t="n"/>
      <c r="T380" s="361" t="n">
        <v>45804</v>
      </c>
      <c r="U380" s="360" t="inlineStr">
        <is>
          <t>APLL25003374</t>
        </is>
      </c>
      <c r="V380" s="360" t="n"/>
      <c r="W380" s="360" t="n"/>
      <c r="X380" s="360" t="n"/>
      <c r="Y380" s="360" t="inlineStr">
        <is>
          <t>ហូលីដេ ឌីហ្សាញ (ខេមបូឌា) ឯ.ក</t>
        </is>
      </c>
      <c r="Z380" s="362" t="n"/>
      <c r="AA380" s="362" t="n"/>
      <c r="AB380" s="360" t="n"/>
      <c r="AC380" s="360" t="n"/>
      <c r="AD380" s="362" t="n">
        <v>348261</v>
      </c>
      <c r="AE380" s="360" t="n"/>
      <c r="AF380" s="615" t="n"/>
    </row>
    <row r="381">
      <c r="A381" s="220">
        <f>A380+1</f>
        <v/>
      </c>
      <c r="B381" s="222" t="inlineStr">
        <is>
          <t>THC Fee-Ex</t>
        </is>
      </c>
      <c r="C381" s="222" t="inlineStr">
        <is>
          <t>APL LOGISTICS (CAMBODIA) PTE LTD.</t>
        </is>
      </c>
      <c r="D381" s="223" t="inlineStr">
        <is>
          <t>L001-100046460</t>
        </is>
      </c>
      <c r="E381" s="349" t="inlineStr">
        <is>
          <t>APLL25003375</t>
        </is>
      </c>
      <c r="F381" s="332" t="n">
        <v>45804</v>
      </c>
      <c r="G381" s="224" t="n"/>
      <c r="H381" s="617" t="n"/>
      <c r="I381" s="617" t="n">
        <v>284213</v>
      </c>
      <c r="J381" s="221" t="inlineStr">
        <is>
          <t>អនុញ្ញាត (បានប្រកាស)</t>
        </is>
      </c>
      <c r="K381" s="221" t="n"/>
      <c r="L381" s="616">
        <f>I381</f>
        <v/>
      </c>
      <c r="M381" s="588">
        <f>I381-L381</f>
        <v/>
      </c>
      <c r="N381" s="221" t="n"/>
      <c r="O381" s="226">
        <f>U381=E381</f>
        <v/>
      </c>
      <c r="P381" s="226">
        <f>MONTH(F381)-MONTH(T381)</f>
        <v/>
      </c>
      <c r="Q381" s="226">
        <f>$B$5=X381</f>
        <v/>
      </c>
      <c r="R381" s="226">
        <f>I381-AD381</f>
        <v/>
      </c>
      <c r="S381" s="360" t="n"/>
      <c r="T381" s="361" t="n">
        <v>45804</v>
      </c>
      <c r="U381" s="360" t="inlineStr">
        <is>
          <t>APLL25003375</t>
        </is>
      </c>
      <c r="V381" s="360" t="n"/>
      <c r="W381" s="360" t="n"/>
      <c r="X381" s="360" t="n"/>
      <c r="Y381" s="360" t="inlineStr">
        <is>
          <t>ហូលីដេ ឌីហ្សាញ (ខេមបូឌា) ឯ.ក</t>
        </is>
      </c>
      <c r="Z381" s="362" t="n"/>
      <c r="AA381" s="362" t="n"/>
      <c r="AB381" s="360" t="n"/>
      <c r="AC381" s="360" t="n"/>
      <c r="AD381" s="362" t="n">
        <v>284213</v>
      </c>
      <c r="AE381" s="360" t="n"/>
      <c r="AF381" s="615" t="n"/>
    </row>
    <row r="382">
      <c r="A382" s="220">
        <f>A381+1</f>
        <v/>
      </c>
      <c r="B382" s="222" t="inlineStr">
        <is>
          <t>THC Fee-Ex</t>
        </is>
      </c>
      <c r="C382" s="222" t="inlineStr">
        <is>
          <t>APL LOGISTICS (CAMBODIA) PTE LTD.</t>
        </is>
      </c>
      <c r="D382" s="223" t="inlineStr">
        <is>
          <t>L001-100046460</t>
        </is>
      </c>
      <c r="E382" s="349" t="inlineStr">
        <is>
          <t>APLL25003176</t>
        </is>
      </c>
      <c r="F382" s="332" t="n">
        <v>45798</v>
      </c>
      <c r="G382" s="224" t="n"/>
      <c r="H382" s="617" t="n"/>
      <c r="I382" s="617" t="n">
        <v>132099</v>
      </c>
      <c r="J382" s="221" t="inlineStr">
        <is>
          <t>អនុញ្ញាត (បានប្រកាស)</t>
        </is>
      </c>
      <c r="K382" s="221" t="n"/>
      <c r="L382" s="616">
        <f>I382</f>
        <v/>
      </c>
      <c r="M382" s="588">
        <f>I382-L382</f>
        <v/>
      </c>
      <c r="N382" s="221" t="n"/>
      <c r="O382" s="226">
        <f>U382=E382</f>
        <v/>
      </c>
      <c r="P382" s="226">
        <f>MONTH(F382)-MONTH(T382)</f>
        <v/>
      </c>
      <c r="Q382" s="226">
        <f>$B$5=X382</f>
        <v/>
      </c>
      <c r="R382" s="226">
        <f>I382-AD382</f>
        <v/>
      </c>
      <c r="S382" s="360" t="n"/>
      <c r="T382" s="361" t="n">
        <v>45798</v>
      </c>
      <c r="U382" s="360" t="inlineStr">
        <is>
          <t>APLL25003176</t>
        </is>
      </c>
      <c r="V382" s="360" t="n"/>
      <c r="W382" s="360" t="n"/>
      <c r="X382" s="360" t="n"/>
      <c r="Y382" s="360" t="inlineStr">
        <is>
          <t>ហូលីដេ ឌីហ្សាញ (ខេមបូឌា) ឯ.ក</t>
        </is>
      </c>
      <c r="Z382" s="362" t="n"/>
      <c r="AA382" s="362" t="n"/>
      <c r="AB382" s="360" t="n"/>
      <c r="AC382" s="360" t="n"/>
      <c r="AD382" s="362" t="n">
        <v>132099</v>
      </c>
      <c r="AE382" s="360" t="n"/>
      <c r="AF382" s="615" t="n"/>
    </row>
    <row r="383">
      <c r="A383" s="220">
        <f>A382+1</f>
        <v/>
      </c>
      <c r="B383" s="222" t="inlineStr">
        <is>
          <t>THC Fee-Ex</t>
        </is>
      </c>
      <c r="C383" s="222" t="inlineStr">
        <is>
          <t>APL LOGISTICS (CAMBODIA) PTE LTD.</t>
        </is>
      </c>
      <c r="D383" s="223" t="inlineStr">
        <is>
          <t>L001-100046460</t>
        </is>
      </c>
      <c r="E383" s="349" t="inlineStr">
        <is>
          <t>APLL25003173</t>
        </is>
      </c>
      <c r="F383" s="332" t="n">
        <v>45798</v>
      </c>
      <c r="G383" s="224" t="n"/>
      <c r="H383" s="617" t="n"/>
      <c r="I383" s="617" t="n">
        <v>240180</v>
      </c>
      <c r="J383" s="221" t="inlineStr">
        <is>
          <t>អនុញ្ញាត (បានប្រកាស)</t>
        </is>
      </c>
      <c r="K383" s="221" t="n"/>
      <c r="L383" s="616">
        <f>I383</f>
        <v/>
      </c>
      <c r="M383" s="588">
        <f>I383-L383</f>
        <v/>
      </c>
      <c r="N383" s="221" t="n"/>
      <c r="O383" s="226">
        <f>U383=E383</f>
        <v/>
      </c>
      <c r="P383" s="226">
        <f>MONTH(F383)-MONTH(T383)</f>
        <v/>
      </c>
      <c r="Q383" s="226">
        <f>$B$5=X383</f>
        <v/>
      </c>
      <c r="R383" s="226">
        <f>I383-AD383</f>
        <v/>
      </c>
      <c r="S383" s="360" t="n"/>
      <c r="T383" s="361" t="n">
        <v>45798</v>
      </c>
      <c r="U383" s="360" t="inlineStr">
        <is>
          <t>APLL25003173</t>
        </is>
      </c>
      <c r="V383" s="360" t="n"/>
      <c r="W383" s="360" t="n"/>
      <c r="X383" s="360" t="n"/>
      <c r="Y383" s="360" t="inlineStr">
        <is>
          <t>ហូលីដេ ឌីហ្សាញ (ខេមបូឌា) ឯ.ក</t>
        </is>
      </c>
      <c r="Z383" s="362" t="n"/>
      <c r="AA383" s="362" t="n"/>
      <c r="AB383" s="360" t="n"/>
      <c r="AC383" s="360" t="n"/>
      <c r="AD383" s="362" t="n">
        <v>240180</v>
      </c>
      <c r="AE383" s="360" t="n"/>
      <c r="AF383" s="615" t="n"/>
    </row>
    <row r="384">
      <c r="A384" s="220">
        <f>A383+1</f>
        <v/>
      </c>
      <c r="B384" s="222" t="inlineStr">
        <is>
          <t>THC Fee-Ex</t>
        </is>
      </c>
      <c r="C384" s="222" t="inlineStr">
        <is>
          <t>APL LOGISTICS (CAMBODIA) PTE LTD.</t>
        </is>
      </c>
      <c r="D384" s="223" t="inlineStr">
        <is>
          <t>L001-100046460</t>
        </is>
      </c>
      <c r="E384" s="349" t="inlineStr">
        <is>
          <t>APLL25003181</t>
        </is>
      </c>
      <c r="F384" s="332" t="n">
        <v>45798</v>
      </c>
      <c r="G384" s="224" t="n"/>
      <c r="H384" s="617" t="n"/>
      <c r="I384" s="617" t="n">
        <v>132099</v>
      </c>
      <c r="J384" s="221" t="inlineStr">
        <is>
          <t>អនុញ្ញាត (បានប្រកាស)</t>
        </is>
      </c>
      <c r="K384" s="221" t="n"/>
      <c r="L384" s="616">
        <f>I384</f>
        <v/>
      </c>
      <c r="M384" s="588">
        <f>I384-L384</f>
        <v/>
      </c>
      <c r="N384" s="221" t="n"/>
      <c r="O384" s="226">
        <f>U384=E384</f>
        <v/>
      </c>
      <c r="P384" s="226">
        <f>MONTH(F384)-MONTH(T384)</f>
        <v/>
      </c>
      <c r="Q384" s="226">
        <f>$B$5=X384</f>
        <v/>
      </c>
      <c r="R384" s="226">
        <f>I384-AD384</f>
        <v/>
      </c>
      <c r="S384" s="360" t="inlineStr">
        <is>
          <t>មិនបានប្រកាស</t>
        </is>
      </c>
      <c r="T384" s="361" t="n">
        <v>45798</v>
      </c>
      <c r="U384" s="360" t="inlineStr">
        <is>
          <t>APLL25003181</t>
        </is>
      </c>
      <c r="V384" s="360" t="n"/>
      <c r="W384" s="360" t="n"/>
      <c r="X384" s="360" t="n"/>
      <c r="Y384" s="360" t="inlineStr">
        <is>
          <t>ហូលីដេ ឌីហ្សាញ (ខេមបូឌា) ឯ.ក</t>
        </is>
      </c>
      <c r="Z384" s="362" t="n"/>
      <c r="AA384" s="362" t="n"/>
      <c r="AB384" s="360" t="n"/>
      <c r="AC384" s="360" t="n"/>
      <c r="AD384" s="362" t="n">
        <v>132099</v>
      </c>
      <c r="AE384" s="360" t="n"/>
      <c r="AF384" s="615" t="n"/>
    </row>
    <row r="385">
      <c r="A385" s="220">
        <f>A384+1</f>
        <v/>
      </c>
      <c r="B385" s="222" t="inlineStr">
        <is>
          <t>THC Fee-Ex</t>
        </is>
      </c>
      <c r="C385" s="222" t="inlineStr">
        <is>
          <t>APL LOGISTICS (CAMBODIA) PTE LTD.</t>
        </is>
      </c>
      <c r="D385" s="223" t="inlineStr">
        <is>
          <t>L001-100046460</t>
        </is>
      </c>
      <c r="E385" s="349" t="inlineStr">
        <is>
          <t>APLL25003172</t>
        </is>
      </c>
      <c r="F385" s="332" t="n">
        <v>45798</v>
      </c>
      <c r="G385" s="224" t="n"/>
      <c r="H385" s="617" t="n"/>
      <c r="I385" s="617" t="n">
        <v>132099</v>
      </c>
      <c r="J385" s="221" t="inlineStr">
        <is>
          <t>អនុញ្ញាត (បានប្រកាស)</t>
        </is>
      </c>
      <c r="K385" s="221" t="n"/>
      <c r="L385" s="616">
        <f>I385</f>
        <v/>
      </c>
      <c r="M385" s="588">
        <f>I385-L385</f>
        <v/>
      </c>
      <c r="N385" s="221" t="n"/>
      <c r="O385" s="226">
        <f>U385=E385</f>
        <v/>
      </c>
      <c r="P385" s="226">
        <f>MONTH(F385)-MONTH(T385)</f>
        <v/>
      </c>
      <c r="Q385" s="226">
        <f>$B$5=X385</f>
        <v/>
      </c>
      <c r="R385" s="226">
        <f>I385-AD385</f>
        <v/>
      </c>
      <c r="S385" s="360" t="n"/>
      <c r="T385" s="361" t="n">
        <v>45798</v>
      </c>
      <c r="U385" s="360" t="inlineStr">
        <is>
          <t>APLL25003172</t>
        </is>
      </c>
      <c r="V385" s="360" t="n"/>
      <c r="W385" s="360" t="n"/>
      <c r="X385" s="360" t="n"/>
      <c r="Y385" s="360" t="inlineStr">
        <is>
          <t>ហូលីដេ ឌីហ្សាញ (ខេមបូឌា) ឯ.ក</t>
        </is>
      </c>
      <c r="Z385" s="362" t="n"/>
      <c r="AA385" s="362" t="n"/>
      <c r="AB385" s="360" t="n"/>
      <c r="AC385" s="360" t="n"/>
      <c r="AD385" s="362" t="n">
        <v>132099</v>
      </c>
      <c r="AE385" s="360" t="n"/>
      <c r="AF385" s="615" t="n"/>
    </row>
    <row r="386">
      <c r="A386" s="220">
        <f>A385+1</f>
        <v/>
      </c>
      <c r="B386" s="222" t="inlineStr">
        <is>
          <t>THC Fee-Ex</t>
        </is>
      </c>
      <c r="C386" s="222" t="inlineStr">
        <is>
          <t>APL LOGISTICS (CAMBODIA) PTE LTD.</t>
        </is>
      </c>
      <c r="D386" s="223" t="inlineStr">
        <is>
          <t>L001-100046460</t>
        </is>
      </c>
      <c r="E386" s="349" t="inlineStr">
        <is>
          <t>APLL25003175</t>
        </is>
      </c>
      <c r="F386" s="332" t="n">
        <v>45798</v>
      </c>
      <c r="G386" s="224" t="n"/>
      <c r="H386" s="617" t="n"/>
      <c r="I386" s="617" t="n">
        <v>212159</v>
      </c>
      <c r="J386" s="221" t="inlineStr">
        <is>
          <t>អនុញ្ញាត (បានប្រកាស)</t>
        </is>
      </c>
      <c r="K386" s="221" t="n"/>
      <c r="L386" s="616">
        <f>I386</f>
        <v/>
      </c>
      <c r="M386" s="588">
        <f>I386-L386</f>
        <v/>
      </c>
      <c r="N386" s="221" t="n"/>
      <c r="O386" s="226">
        <f>U386=E386</f>
        <v/>
      </c>
      <c r="P386" s="226">
        <f>MONTH(F386)-MONTH(T386)</f>
        <v/>
      </c>
      <c r="Q386" s="226">
        <f>$B$5=X386</f>
        <v/>
      </c>
      <c r="R386" s="226">
        <f>I386-AD386</f>
        <v/>
      </c>
      <c r="S386" s="360" t="n"/>
      <c r="T386" s="361" t="n">
        <v>45798</v>
      </c>
      <c r="U386" s="360" t="inlineStr">
        <is>
          <t>APLL25003175</t>
        </is>
      </c>
      <c r="V386" s="360" t="n"/>
      <c r="W386" s="360" t="n"/>
      <c r="X386" s="360" t="n"/>
      <c r="Y386" s="360" t="inlineStr">
        <is>
          <t>ហូលីដេ ឌីហ្សាញ (ខេមបូឌា) ឯ.ក</t>
        </is>
      </c>
      <c r="Z386" s="362" t="n"/>
      <c r="AA386" s="362" t="n"/>
      <c r="AB386" s="360" t="n"/>
      <c r="AC386" s="360" t="n"/>
      <c r="AD386" s="362" t="n">
        <v>212159</v>
      </c>
      <c r="AE386" s="360" t="n"/>
      <c r="AF386" s="615" t="n"/>
    </row>
    <row r="387">
      <c r="A387" s="220">
        <f>A386+1</f>
        <v/>
      </c>
      <c r="B387" s="222" t="inlineStr">
        <is>
          <t>THC Fee-Ex</t>
        </is>
      </c>
      <c r="C387" s="222" t="inlineStr">
        <is>
          <t>APL LOGISTICS (CAMBODIA) PTE LTD.</t>
        </is>
      </c>
      <c r="D387" s="223" t="inlineStr">
        <is>
          <t>L001-100046460</t>
        </is>
      </c>
      <c r="E387" s="349" t="inlineStr">
        <is>
          <t>APLL25003180</t>
        </is>
      </c>
      <c r="F387" s="332" t="n">
        <v>45798</v>
      </c>
      <c r="G387" s="224" t="n"/>
      <c r="H387" s="617" t="n"/>
      <c r="I387" s="617" t="n">
        <v>132099</v>
      </c>
      <c r="J387" s="221" t="inlineStr">
        <is>
          <t>អនុញ្ញាត (បានប្រកាស)</t>
        </is>
      </c>
      <c r="K387" s="221" t="n"/>
      <c r="L387" s="616">
        <f>I387</f>
        <v/>
      </c>
      <c r="M387" s="588">
        <f>I387-L387</f>
        <v/>
      </c>
      <c r="N387" s="221" t="n"/>
      <c r="O387" s="226">
        <f>U387=E387</f>
        <v/>
      </c>
      <c r="P387" s="226">
        <f>MONTH(F387)-MONTH(T387)</f>
        <v/>
      </c>
      <c r="Q387" s="226">
        <f>$B$5=X387</f>
        <v/>
      </c>
      <c r="R387" s="226">
        <f>I387-AD387</f>
        <v/>
      </c>
      <c r="S387" s="360" t="n"/>
      <c r="T387" s="361" t="n">
        <v>45798</v>
      </c>
      <c r="U387" s="360" t="inlineStr">
        <is>
          <t>APLL25003180</t>
        </is>
      </c>
      <c r="V387" s="360" t="n"/>
      <c r="W387" s="360" t="n"/>
      <c r="X387" s="360" t="n"/>
      <c r="Y387" s="360" t="inlineStr">
        <is>
          <t>ហូលីដេ ឌីហ្សាញ (ខេមបូឌា) ឯ.ក</t>
        </is>
      </c>
      <c r="Z387" s="362" t="n"/>
      <c r="AA387" s="362" t="n"/>
      <c r="AB387" s="360" t="n"/>
      <c r="AC387" s="360" t="n"/>
      <c r="AD387" s="362" t="n">
        <v>132099</v>
      </c>
      <c r="AE387" s="360" t="n"/>
      <c r="AF387" s="615" t="n"/>
    </row>
    <row r="388">
      <c r="A388" s="220">
        <f>A387+1</f>
        <v/>
      </c>
      <c r="B388" s="222" t="inlineStr">
        <is>
          <t>THC Fee-Ex</t>
        </is>
      </c>
      <c r="C388" s="222" t="inlineStr">
        <is>
          <t>APL LOGISTICS (CAMBODIA) PTE LTD.</t>
        </is>
      </c>
      <c r="D388" s="223" t="inlineStr">
        <is>
          <t>L001-100046460</t>
        </is>
      </c>
      <c r="E388" s="349" t="inlineStr">
        <is>
          <t>APLL25003378</t>
        </is>
      </c>
      <c r="F388" s="332" t="n">
        <v>45804</v>
      </c>
      <c r="G388" s="224" t="n"/>
      <c r="H388" s="617" t="n"/>
      <c r="I388" s="617" t="n">
        <v>115286</v>
      </c>
      <c r="J388" s="221" t="inlineStr">
        <is>
          <t>អនុញ្ញាត (បានប្រកាស)</t>
        </is>
      </c>
      <c r="K388" s="221" t="n"/>
      <c r="L388" s="616">
        <f>I388</f>
        <v/>
      </c>
      <c r="M388" s="588">
        <f>I388-L388</f>
        <v/>
      </c>
      <c r="N388" s="221" t="n"/>
      <c r="O388" s="226">
        <f>U388=E388</f>
        <v/>
      </c>
      <c r="P388" s="226">
        <f>MONTH(F388)-MONTH(T388)</f>
        <v/>
      </c>
      <c r="Q388" s="226">
        <f>$B$5=X388</f>
        <v/>
      </c>
      <c r="R388" s="226">
        <f>I388-AD388</f>
        <v/>
      </c>
      <c r="S388" s="360" t="n"/>
      <c r="T388" s="361" t="n">
        <v>45804</v>
      </c>
      <c r="U388" s="360" t="inlineStr">
        <is>
          <t>APLL25003378</t>
        </is>
      </c>
      <c r="V388" s="360" t="n"/>
      <c r="W388" s="360" t="n"/>
      <c r="X388" s="360" t="n"/>
      <c r="Y388" s="360" t="inlineStr">
        <is>
          <t>ហូលីដេ ឌីហ្សាញ (ខេមបូឌា) ឯ.ក</t>
        </is>
      </c>
      <c r="Z388" s="362" t="n"/>
      <c r="AA388" s="362" t="n"/>
      <c r="AB388" s="360" t="n"/>
      <c r="AC388" s="360" t="n"/>
      <c r="AD388" s="362" t="n">
        <v>115286</v>
      </c>
      <c r="AE388" s="360" t="n"/>
      <c r="AF388" s="615" t="n"/>
    </row>
    <row r="389">
      <c r="A389" s="220">
        <f>A388+1</f>
        <v/>
      </c>
      <c r="B389" s="222" t="inlineStr">
        <is>
          <t>THC Fee-Ex</t>
        </is>
      </c>
      <c r="C389" s="222" t="inlineStr">
        <is>
          <t>APL LOGISTICS (CAMBODIA) PTE LTD.</t>
        </is>
      </c>
      <c r="D389" s="223" t="inlineStr">
        <is>
          <t>L001-100046460</t>
        </is>
      </c>
      <c r="E389" s="349" t="inlineStr">
        <is>
          <t>APLL25003268</t>
        </is>
      </c>
      <c r="F389" s="332" t="n">
        <v>45799</v>
      </c>
      <c r="G389" s="224" t="n"/>
      <c r="H389" s="617" t="n"/>
      <c r="I389" s="617" t="n">
        <v>115286</v>
      </c>
      <c r="J389" s="221" t="inlineStr">
        <is>
          <t>អនុញ្ញាត (បានប្រកាស)</t>
        </is>
      </c>
      <c r="K389" s="221" t="n"/>
      <c r="L389" s="616">
        <f>I389</f>
        <v/>
      </c>
      <c r="M389" s="588">
        <f>I389-L389</f>
        <v/>
      </c>
      <c r="N389" s="221" t="n"/>
      <c r="O389" s="226">
        <f>U389=E389</f>
        <v/>
      </c>
      <c r="P389" s="226">
        <f>MONTH(F389)-MONTH(T389)</f>
        <v/>
      </c>
      <c r="Q389" s="226">
        <f>$B$5=X389</f>
        <v/>
      </c>
      <c r="R389" s="226">
        <f>I389-AD389</f>
        <v/>
      </c>
      <c r="S389" s="360" t="n"/>
      <c r="T389" s="361" t="n">
        <v>45799</v>
      </c>
      <c r="U389" s="360" t="inlineStr">
        <is>
          <t>APLL25003268</t>
        </is>
      </c>
      <c r="V389" s="360" t="n"/>
      <c r="W389" s="360" t="n"/>
      <c r="X389" s="360" t="n"/>
      <c r="Y389" s="360" t="inlineStr">
        <is>
          <t>ហូលីដេ ឌីហ្សាញ (ខេមបូឌា) ឯ.ក</t>
        </is>
      </c>
      <c r="Z389" s="362" t="n"/>
      <c r="AA389" s="362" t="n"/>
      <c r="AB389" s="360" t="n"/>
      <c r="AC389" s="360" t="n"/>
      <c r="AD389" s="362" t="n">
        <v>115286</v>
      </c>
      <c r="AE389" s="360" t="n"/>
      <c r="AF389" s="615" t="n"/>
    </row>
    <row r="390">
      <c r="A390" s="220">
        <f>A389+1</f>
        <v/>
      </c>
      <c r="B390" s="222" t="inlineStr">
        <is>
          <t>THC Fee-Ex</t>
        </is>
      </c>
      <c r="C390" s="222" t="inlineStr">
        <is>
          <t>APL LOGISTICS (CAMBODIA) PTE LTD.</t>
        </is>
      </c>
      <c r="D390" s="223" t="inlineStr">
        <is>
          <t>L001-100046460</t>
        </is>
      </c>
      <c r="E390" s="349" t="inlineStr">
        <is>
          <t>APLL25003382</t>
        </is>
      </c>
      <c r="F390" s="332" t="n">
        <v>45804</v>
      </c>
      <c r="G390" s="224" t="n"/>
      <c r="H390" s="617" t="n"/>
      <c r="I390" s="617" t="n">
        <v>115286</v>
      </c>
      <c r="J390" s="221" t="inlineStr">
        <is>
          <t>អនុញ្ញាត (បានប្រកាស)</t>
        </is>
      </c>
      <c r="K390" s="221" t="n"/>
      <c r="L390" s="616">
        <f>I390</f>
        <v/>
      </c>
      <c r="M390" s="588">
        <f>I390-L390</f>
        <v/>
      </c>
      <c r="N390" s="221" t="n"/>
      <c r="O390" s="226">
        <f>U390=E390</f>
        <v/>
      </c>
      <c r="P390" s="226">
        <f>MONTH(F390)-MONTH(T390)</f>
        <v/>
      </c>
      <c r="Q390" s="226">
        <f>$B$5=X390</f>
        <v/>
      </c>
      <c r="R390" s="226">
        <f>I390-AD390</f>
        <v/>
      </c>
      <c r="S390" s="360" t="n"/>
      <c r="T390" s="361" t="n">
        <v>45804</v>
      </c>
      <c r="U390" s="360" t="inlineStr">
        <is>
          <t>APLL25003382</t>
        </is>
      </c>
      <c r="V390" s="360" t="n"/>
      <c r="W390" s="360" t="n"/>
      <c r="X390" s="360" t="n"/>
      <c r="Y390" s="360" t="inlineStr">
        <is>
          <t>ហូលីដេ ឌីហ្សាញ (ខេមបូឌា) ឯ.ក</t>
        </is>
      </c>
      <c r="Z390" s="362" t="n"/>
      <c r="AA390" s="362" t="n"/>
      <c r="AB390" s="360" t="n"/>
      <c r="AC390" s="360" t="n"/>
      <c r="AD390" s="362" t="n">
        <v>115286</v>
      </c>
      <c r="AE390" s="360" t="n"/>
      <c r="AF390" s="615" t="n"/>
    </row>
    <row r="391">
      <c r="A391" s="220">
        <f>A390+1</f>
        <v/>
      </c>
      <c r="B391" s="222" t="inlineStr">
        <is>
          <t>THC Fee-Ex</t>
        </is>
      </c>
      <c r="C391" s="222" t="inlineStr">
        <is>
          <t>APL LOGISTICS (CAMBODIA) PTE LTD.</t>
        </is>
      </c>
      <c r="D391" s="223" t="inlineStr">
        <is>
          <t>L001-100046460</t>
        </is>
      </c>
      <c r="E391" s="349" t="inlineStr">
        <is>
          <t>APLL25003416</t>
        </is>
      </c>
      <c r="F391" s="332" t="n">
        <v>45805</v>
      </c>
      <c r="G391" s="224" t="n"/>
      <c r="H391" s="617" t="n"/>
      <c r="I391" s="617" t="n">
        <v>222167</v>
      </c>
      <c r="J391" s="221" t="inlineStr">
        <is>
          <t>អនុញ្ញាត (បានប្រកាស)</t>
        </is>
      </c>
      <c r="K391" s="221" t="n"/>
      <c r="L391" s="616">
        <f>I391</f>
        <v/>
      </c>
      <c r="M391" s="588">
        <f>I391-L391</f>
        <v/>
      </c>
      <c r="N391" s="221" t="n"/>
      <c r="O391" s="226">
        <f>U391=E391</f>
        <v/>
      </c>
      <c r="P391" s="226">
        <f>MONTH(F391)-MONTH(T391)</f>
        <v/>
      </c>
      <c r="Q391" s="226">
        <f>$B$5=X391</f>
        <v/>
      </c>
      <c r="R391" s="226">
        <f>I391-AD391</f>
        <v/>
      </c>
      <c r="S391" s="360" t="n"/>
      <c r="T391" s="361" t="n">
        <v>45805</v>
      </c>
      <c r="U391" s="360" t="inlineStr">
        <is>
          <t>APLL25003416</t>
        </is>
      </c>
      <c r="V391" s="360" t="n"/>
      <c r="W391" s="360" t="n"/>
      <c r="X391" s="360" t="n"/>
      <c r="Y391" s="360" t="inlineStr">
        <is>
          <t>ហូលីដេ ឌីហ្សាញ (ខេមបូឌា) ឯ.ក</t>
        </is>
      </c>
      <c r="Z391" s="362" t="n"/>
      <c r="AA391" s="362" t="n"/>
      <c r="AB391" s="360" t="n"/>
      <c r="AC391" s="360" t="n"/>
      <c r="AD391" s="362" t="n">
        <v>222167</v>
      </c>
      <c r="AE391" s="360" t="n"/>
      <c r="AF391" s="615" t="n"/>
    </row>
    <row r="392">
      <c r="A392" s="220">
        <f>A391+1</f>
        <v/>
      </c>
      <c r="B392" s="222" t="inlineStr">
        <is>
          <t>THC Fee-Ex</t>
        </is>
      </c>
      <c r="C392" s="222" t="inlineStr">
        <is>
          <t>APL LOGISTICS (CAMBODIA) PTE LTD.</t>
        </is>
      </c>
      <c r="D392" s="223" t="inlineStr">
        <is>
          <t>L001-100046460</t>
        </is>
      </c>
      <c r="E392" s="349" t="inlineStr">
        <is>
          <t>APLL25003478</t>
        </is>
      </c>
      <c r="F392" s="332" t="n">
        <v>45804</v>
      </c>
      <c r="G392" s="224" t="n"/>
      <c r="H392" s="617" t="n"/>
      <c r="I392" s="617" t="n">
        <v>132132</v>
      </c>
      <c r="J392" s="221" t="inlineStr">
        <is>
          <t>អនុញ្ញាត (បានប្រកាស)</t>
        </is>
      </c>
      <c r="K392" s="221" t="n"/>
      <c r="L392" s="616">
        <f>I392</f>
        <v/>
      </c>
      <c r="M392" s="588">
        <f>I392-L392</f>
        <v/>
      </c>
      <c r="N392" s="221" t="n"/>
      <c r="O392" s="226">
        <f>U392=E392</f>
        <v/>
      </c>
      <c r="P392" s="226">
        <f>MONTH(F392)-MONTH(T392)</f>
        <v/>
      </c>
      <c r="Q392" s="226">
        <f>$B$5=X392</f>
        <v/>
      </c>
      <c r="R392" s="226">
        <f>I392-AD392</f>
        <v/>
      </c>
      <c r="S392" s="360" t="n"/>
      <c r="T392" s="361" t="n">
        <v>45806</v>
      </c>
      <c r="U392" s="360" t="inlineStr">
        <is>
          <t>APLL25003478</t>
        </is>
      </c>
      <c r="V392" s="360" t="n"/>
      <c r="W392" s="360" t="n"/>
      <c r="X392" s="360" t="n"/>
      <c r="Y392" s="360" t="inlineStr">
        <is>
          <t>ហូលីដេ ឌីហ្សាញ (ខេមបូឌា) ឯ.ក</t>
        </is>
      </c>
      <c r="Z392" s="362" t="n"/>
      <c r="AA392" s="362" t="n"/>
      <c r="AB392" s="360" t="n"/>
      <c r="AC392" s="360" t="n"/>
      <c r="AD392" s="362" t="n">
        <v>132132</v>
      </c>
      <c r="AE392" s="360" t="n"/>
      <c r="AF392" s="615" t="n"/>
    </row>
    <row r="393">
      <c r="A393" s="220">
        <f>A392+1</f>
        <v/>
      </c>
      <c r="B393" s="222" t="inlineStr">
        <is>
          <t>THC Fee-Ex</t>
        </is>
      </c>
      <c r="C393" s="222" t="inlineStr">
        <is>
          <t>APL LOGISTICS (CAMBODIA) PTE LTD.</t>
        </is>
      </c>
      <c r="D393" s="223" t="inlineStr">
        <is>
          <t>L001-100046460</t>
        </is>
      </c>
      <c r="E393" s="349" t="inlineStr">
        <is>
          <t>APLL25003477</t>
        </is>
      </c>
      <c r="F393" s="332" t="n">
        <v>45806</v>
      </c>
      <c r="G393" s="224" t="n"/>
      <c r="H393" s="617" t="n"/>
      <c r="I393" s="617" t="n">
        <v>240240</v>
      </c>
      <c r="J393" s="221" t="inlineStr">
        <is>
          <t>អនុញ្ញាត (បានប្រកាស)</t>
        </is>
      </c>
      <c r="K393" s="221" t="n"/>
      <c r="L393" s="616">
        <f>I393</f>
        <v/>
      </c>
      <c r="M393" s="588">
        <f>I393-L393</f>
        <v/>
      </c>
      <c r="N393" s="221" t="n"/>
      <c r="O393" s="226">
        <f>U393=E393</f>
        <v/>
      </c>
      <c r="P393" s="226">
        <f>MONTH(F393)-MONTH(T393)</f>
        <v/>
      </c>
      <c r="Q393" s="226">
        <f>$B$5=X393</f>
        <v/>
      </c>
      <c r="R393" s="226">
        <f>I393-AD393</f>
        <v/>
      </c>
      <c r="S393" s="360" t="n"/>
      <c r="T393" s="361" t="n">
        <v>45806</v>
      </c>
      <c r="U393" s="360" t="inlineStr">
        <is>
          <t>APLL25003477</t>
        </is>
      </c>
      <c r="V393" s="360" t="n"/>
      <c r="W393" s="360" t="n"/>
      <c r="X393" s="360" t="n"/>
      <c r="Y393" s="360" t="inlineStr">
        <is>
          <t>ហូលីដេ ឌីហ្សាញ (ខេមបូឌា) ឯ.ក</t>
        </is>
      </c>
      <c r="Z393" s="362" t="n"/>
      <c r="AA393" s="362" t="n"/>
      <c r="AB393" s="360" t="n"/>
      <c r="AC393" s="360" t="n"/>
      <c r="AD393" s="362" t="n">
        <v>240240</v>
      </c>
      <c r="AE393" s="360" t="n"/>
      <c r="AF393" s="615" t="n"/>
    </row>
    <row r="394">
      <c r="A394" s="220">
        <f>A393+1</f>
        <v/>
      </c>
      <c r="B394" s="222" t="inlineStr">
        <is>
          <t>THC Fee-Ex</t>
        </is>
      </c>
      <c r="C394" s="222" t="inlineStr">
        <is>
          <t>APL LOGISTICS (CAMBODIA) PTE LTD.</t>
        </is>
      </c>
      <c r="D394" s="223" t="inlineStr">
        <is>
          <t>L001-100046460</t>
        </is>
      </c>
      <c r="E394" s="349" t="inlineStr">
        <is>
          <t>APLL25003476</t>
        </is>
      </c>
      <c r="F394" s="332" t="n">
        <v>45806</v>
      </c>
      <c r="G394" s="224" t="n"/>
      <c r="H394" s="617" t="n"/>
      <c r="I394" s="617" t="n">
        <v>132132</v>
      </c>
      <c r="J394" s="221" t="inlineStr">
        <is>
          <t>អនុញ្ញាត (បានប្រកាស)</t>
        </is>
      </c>
      <c r="K394" s="221" t="n"/>
      <c r="L394" s="616">
        <f>I394</f>
        <v/>
      </c>
      <c r="M394" s="588">
        <f>I394-L394</f>
        <v/>
      </c>
      <c r="N394" s="221" t="n"/>
      <c r="O394" s="226">
        <f>U394=E394</f>
        <v/>
      </c>
      <c r="P394" s="226">
        <f>MONTH(F394)-MONTH(T394)</f>
        <v/>
      </c>
      <c r="Q394" s="226">
        <f>$B$5=X394</f>
        <v/>
      </c>
      <c r="R394" s="226">
        <f>I394-AD394</f>
        <v/>
      </c>
      <c r="S394" s="360" t="n"/>
      <c r="T394" s="361" t="n">
        <v>45806</v>
      </c>
      <c r="U394" s="360" t="inlineStr">
        <is>
          <t>APLL25003476</t>
        </is>
      </c>
      <c r="V394" s="360" t="n"/>
      <c r="W394" s="360" t="n"/>
      <c r="X394" s="360" t="n"/>
      <c r="Y394" s="360" t="inlineStr">
        <is>
          <t>ហូលីដេ ឌីហ្សាញ (ខេមបូឌា) ឯ.ក</t>
        </is>
      </c>
      <c r="Z394" s="362" t="n"/>
      <c r="AA394" s="362" t="n"/>
      <c r="AB394" s="360" t="n"/>
      <c r="AC394" s="360" t="n"/>
      <c r="AD394" s="362" t="n">
        <v>132132</v>
      </c>
      <c r="AE394" s="360" t="n"/>
      <c r="AF394" s="615" t="n"/>
    </row>
    <row r="395">
      <c r="A395" s="220">
        <f>A394+1</f>
        <v/>
      </c>
      <c r="B395" s="222" t="inlineStr">
        <is>
          <t>THC Fee-Ex</t>
        </is>
      </c>
      <c r="C395" s="222" t="inlineStr">
        <is>
          <t>APL LOGISTICS (CAMBODIA) PTE LTD.</t>
        </is>
      </c>
      <c r="D395" s="223" t="inlineStr">
        <is>
          <t>L001-100046460</t>
        </is>
      </c>
      <c r="E395" s="349" t="inlineStr">
        <is>
          <t>APLL25003475</t>
        </is>
      </c>
      <c r="F395" s="332" t="n">
        <v>45806</v>
      </c>
      <c r="G395" s="224" t="n"/>
      <c r="H395" s="617" t="n"/>
      <c r="I395" s="617" t="n">
        <v>132132</v>
      </c>
      <c r="J395" s="221" t="inlineStr">
        <is>
          <t>អនុញ្ញាត (បានប្រកាស)</t>
        </is>
      </c>
      <c r="K395" s="221" t="n"/>
      <c r="L395" s="616">
        <f>I395</f>
        <v/>
      </c>
      <c r="M395" s="588">
        <f>I395-L395</f>
        <v/>
      </c>
      <c r="N395" s="221" t="n"/>
      <c r="O395" s="226">
        <f>U395=E395</f>
        <v/>
      </c>
      <c r="P395" s="226">
        <f>MONTH(F395)-MONTH(T395)</f>
        <v/>
      </c>
      <c r="Q395" s="226">
        <f>$B$5=X395</f>
        <v/>
      </c>
      <c r="R395" s="226">
        <f>I395-AD395</f>
        <v/>
      </c>
      <c r="S395" s="360" t="n"/>
      <c r="T395" s="361" t="n">
        <v>45806</v>
      </c>
      <c r="U395" s="360" t="inlineStr">
        <is>
          <t>APLL25003475</t>
        </is>
      </c>
      <c r="V395" s="360" t="n"/>
      <c r="W395" s="360" t="n"/>
      <c r="X395" s="360" t="n"/>
      <c r="Y395" s="360" t="inlineStr">
        <is>
          <t>ហូលីដេ ឌីហ្សាញ (ខេមបូឌា) ឯ.ក</t>
        </is>
      </c>
      <c r="Z395" s="362" t="n"/>
      <c r="AA395" s="362" t="n"/>
      <c r="AB395" s="360" t="n"/>
      <c r="AC395" s="360" t="n"/>
      <c r="AD395" s="362" t="n">
        <v>132132</v>
      </c>
      <c r="AE395" s="360" t="n"/>
      <c r="AF395" s="615" t="n"/>
    </row>
    <row r="396">
      <c r="A396" s="220">
        <f>A395+1</f>
        <v/>
      </c>
      <c r="B396" s="222" t="inlineStr">
        <is>
          <t>THC Fee-Ex</t>
        </is>
      </c>
      <c r="C396" s="222" t="inlineStr">
        <is>
          <t>APL LOGISTICS (CAMBODIA) PTE LTD.</t>
        </is>
      </c>
      <c r="D396" s="223" t="inlineStr">
        <is>
          <t>L001-100046460</t>
        </is>
      </c>
      <c r="E396" s="349" t="inlineStr">
        <is>
          <t>APLL25003456</t>
        </is>
      </c>
      <c r="F396" s="332" t="n">
        <v>45806</v>
      </c>
      <c r="G396" s="224" t="n"/>
      <c r="H396" s="617" t="n"/>
      <c r="I396" s="617" t="n">
        <v>132132</v>
      </c>
      <c r="J396" s="221" t="inlineStr">
        <is>
          <t>អនុញ្ញាត (បានប្រកាស)</t>
        </is>
      </c>
      <c r="K396" s="221" t="n"/>
      <c r="L396" s="616">
        <f>I396</f>
        <v/>
      </c>
      <c r="M396" s="588">
        <f>I396-L396</f>
        <v/>
      </c>
      <c r="N396" s="221" t="n"/>
      <c r="O396" s="226">
        <f>U396=E396</f>
        <v/>
      </c>
      <c r="P396" s="226">
        <f>MONTH(F396)-MONTH(T396)</f>
        <v/>
      </c>
      <c r="Q396" s="226">
        <f>$B$5=X396</f>
        <v/>
      </c>
      <c r="R396" s="226">
        <f>I396-AD396</f>
        <v/>
      </c>
      <c r="S396" s="360" t="n"/>
      <c r="T396" s="361" t="n">
        <v>45806</v>
      </c>
      <c r="U396" s="360" t="inlineStr">
        <is>
          <t>APLL25003456</t>
        </is>
      </c>
      <c r="V396" s="360" t="n"/>
      <c r="W396" s="360" t="n"/>
      <c r="X396" s="360" t="n"/>
      <c r="Y396" s="360" t="inlineStr">
        <is>
          <t>ហូលីដេ ឌីហ្សាញ (ខេមបូឌា) ឯ.ក</t>
        </is>
      </c>
      <c r="Z396" s="362" t="n"/>
      <c r="AA396" s="362" t="n"/>
      <c r="AB396" s="360" t="n"/>
      <c r="AC396" s="360" t="n"/>
      <c r="AD396" s="362" t="n">
        <v>132132</v>
      </c>
      <c r="AE396" s="360" t="n"/>
      <c r="AF396" s="615" t="n"/>
    </row>
    <row r="397">
      <c r="A397" s="220">
        <f>A396+1</f>
        <v/>
      </c>
      <c r="B397" s="222" t="inlineStr">
        <is>
          <t>THC Fee-Ex</t>
        </is>
      </c>
      <c r="C397" s="222" t="inlineStr">
        <is>
          <t>APL LOGISTICS (CAMBODIA) PTE LTD.</t>
        </is>
      </c>
      <c r="D397" s="223" t="inlineStr">
        <is>
          <t>L001-100046460</t>
        </is>
      </c>
      <c r="E397" s="349" t="inlineStr">
        <is>
          <t>APLL25003455</t>
        </is>
      </c>
      <c r="F397" s="332" t="n">
        <v>45806</v>
      </c>
      <c r="G397" s="224" t="n"/>
      <c r="H397" s="617" t="n"/>
      <c r="I397" s="617" t="n">
        <v>348348</v>
      </c>
      <c r="J397" s="221" t="inlineStr">
        <is>
          <t>អនុញ្ញាត (បានប្រកាស)</t>
        </is>
      </c>
      <c r="K397" s="221" t="n"/>
      <c r="L397" s="616">
        <f>I397</f>
        <v/>
      </c>
      <c r="M397" s="588">
        <f>I397-L397</f>
        <v/>
      </c>
      <c r="N397" s="221" t="n"/>
      <c r="O397" s="226">
        <f>U397=E397</f>
        <v/>
      </c>
      <c r="P397" s="226">
        <f>MONTH(F397)-MONTH(T397)</f>
        <v/>
      </c>
      <c r="Q397" s="226">
        <f>$B$5=X397</f>
        <v/>
      </c>
      <c r="R397" s="226">
        <f>I397-AD397</f>
        <v/>
      </c>
      <c r="S397" s="360" t="n"/>
      <c r="T397" s="361" t="n">
        <v>45806</v>
      </c>
      <c r="U397" s="360" t="inlineStr">
        <is>
          <t>APLL25003455</t>
        </is>
      </c>
      <c r="V397" s="360" t="n"/>
      <c r="W397" s="360" t="n"/>
      <c r="X397" s="360" t="n"/>
      <c r="Y397" s="360" t="inlineStr">
        <is>
          <t>ហូលីដេ ឌីហ្សាញ (ខេមបូឌា) ឯ.ក</t>
        </is>
      </c>
      <c r="Z397" s="362" t="n"/>
      <c r="AA397" s="362" t="n"/>
      <c r="AB397" s="360" t="n"/>
      <c r="AC397" s="360" t="n"/>
      <c r="AD397" s="362" t="n">
        <v>348348</v>
      </c>
      <c r="AE397" s="360" t="n"/>
      <c r="AF397" s="615" t="n"/>
    </row>
    <row r="398">
      <c r="A398" s="220">
        <f>A397+1</f>
        <v/>
      </c>
      <c r="B398" s="222" t="inlineStr">
        <is>
          <t>THC Fee-Ex</t>
        </is>
      </c>
      <c r="C398" s="222" t="inlineStr">
        <is>
          <t>APL LOGISTICS (CAMBODIA) PTE LTD.</t>
        </is>
      </c>
      <c r="D398" s="223" t="inlineStr">
        <is>
          <t>L001-100046460</t>
        </is>
      </c>
      <c r="E398" s="349" t="inlineStr">
        <is>
          <t>APLL25003454</t>
        </is>
      </c>
      <c r="F398" s="332" t="n">
        <v>45806</v>
      </c>
      <c r="G398" s="224" t="n"/>
      <c r="H398" s="617" t="n"/>
      <c r="I398" s="617" t="n">
        <v>1105104</v>
      </c>
      <c r="J398" s="221" t="inlineStr">
        <is>
          <t>អនុញ្ញាត (បានប្រកាស)</t>
        </is>
      </c>
      <c r="K398" s="221" t="n"/>
      <c r="L398" s="616">
        <f>I398</f>
        <v/>
      </c>
      <c r="M398" s="588">
        <f>I398-L398</f>
        <v/>
      </c>
      <c r="N398" s="221" t="n"/>
      <c r="O398" s="226">
        <f>U398=E398</f>
        <v/>
      </c>
      <c r="P398" s="226">
        <f>MONTH(F398)-MONTH(T398)</f>
        <v/>
      </c>
      <c r="Q398" s="226">
        <f>$B$5=X398</f>
        <v/>
      </c>
      <c r="R398" s="226">
        <f>I398-AD398</f>
        <v/>
      </c>
      <c r="S398" s="360" t="n"/>
      <c r="T398" s="361" t="n">
        <v>45806</v>
      </c>
      <c r="U398" s="360" t="inlineStr">
        <is>
          <t>APLL25003454</t>
        </is>
      </c>
      <c r="V398" s="360" t="n"/>
      <c r="W398" s="360" t="n"/>
      <c r="X398" s="360" t="n"/>
      <c r="Y398" s="360" t="inlineStr">
        <is>
          <t>ហូលីដេ ឌីហ្សាញ (ខេមបូឌា) ឯ.ក</t>
        </is>
      </c>
      <c r="Z398" s="362" t="n"/>
      <c r="AA398" s="362" t="n"/>
      <c r="AB398" s="360" t="n"/>
      <c r="AC398" s="360" t="n"/>
      <c r="AD398" s="362" t="n">
        <v>1105104</v>
      </c>
      <c r="AE398" s="360" t="n"/>
      <c r="AF398" s="615" t="n"/>
    </row>
    <row r="399">
      <c r="A399" s="220">
        <f>A398+1</f>
        <v/>
      </c>
      <c r="B399" s="222" t="inlineStr">
        <is>
          <t>THC Fee-Ex</t>
        </is>
      </c>
      <c r="C399" s="222" t="inlineStr">
        <is>
          <t>APL LOGISTICS (CAMBODIA) PTE LTD.</t>
        </is>
      </c>
      <c r="D399" s="223" t="inlineStr">
        <is>
          <t>L001-100046460</t>
        </is>
      </c>
      <c r="E399" s="349" t="inlineStr">
        <is>
          <t>APLL25003417</t>
        </is>
      </c>
      <c r="F399" s="332" t="n">
        <v>45805</v>
      </c>
      <c r="G399" s="224" t="n"/>
      <c r="H399" s="617" t="n"/>
      <c r="I399" s="617" t="n">
        <v>164123</v>
      </c>
      <c r="J399" s="221" t="inlineStr">
        <is>
          <t>អនុញ្ញាត (បានប្រកាស)</t>
        </is>
      </c>
      <c r="K399" s="221" t="n"/>
      <c r="L399" s="616">
        <f>I399</f>
        <v/>
      </c>
      <c r="M399" s="588">
        <f>I399-L399</f>
        <v/>
      </c>
      <c r="N399" s="221" t="n"/>
      <c r="O399" s="226">
        <f>U399=E399</f>
        <v/>
      </c>
      <c r="P399" s="226">
        <f>MONTH(F399)-MONTH(T399)</f>
        <v/>
      </c>
      <c r="Q399" s="226">
        <f>$B$5=X399</f>
        <v/>
      </c>
      <c r="R399" s="226">
        <f>I399-AD399</f>
        <v/>
      </c>
      <c r="S399" s="360" t="n"/>
      <c r="T399" s="361" t="n">
        <v>45805</v>
      </c>
      <c r="U399" s="360" t="inlineStr">
        <is>
          <t>APLL25003417</t>
        </is>
      </c>
      <c r="V399" s="360" t="n"/>
      <c r="W399" s="360" t="n"/>
      <c r="X399" s="360" t="n"/>
      <c r="Y399" s="360" t="inlineStr">
        <is>
          <t>ហូលីដេ ឌីហ្សាញ (ខេមបូឌា) ឯ.ក</t>
        </is>
      </c>
      <c r="Z399" s="362" t="n"/>
      <c r="AA399" s="362" t="n"/>
      <c r="AB399" s="360" t="n"/>
      <c r="AC399" s="360" t="n"/>
      <c r="AD399" s="362" t="n">
        <v>164123</v>
      </c>
      <c r="AE399" s="360" t="n"/>
      <c r="AF399" s="615" t="n"/>
    </row>
    <row r="400">
      <c r="A400" s="220">
        <f>A399+1</f>
        <v/>
      </c>
      <c r="B400" s="222" t="inlineStr">
        <is>
          <t>THC Fee-Ex</t>
        </is>
      </c>
      <c r="C400" s="222" t="inlineStr">
        <is>
          <t>APL LOGISTICS (CAMBODIA) PTE LTD.</t>
        </is>
      </c>
      <c r="D400" s="223" t="inlineStr">
        <is>
          <t>L001-100046460</t>
        </is>
      </c>
      <c r="E400" s="349" t="inlineStr">
        <is>
          <t>APLL25003415</t>
        </is>
      </c>
      <c r="F400" s="332" t="n">
        <v>45805</v>
      </c>
      <c r="G400" s="224" t="n"/>
      <c r="H400" s="617" t="n"/>
      <c r="I400" s="617" t="n">
        <v>222167</v>
      </c>
      <c r="J400" s="221" t="inlineStr">
        <is>
          <t>អនុញ្ញាត (បានប្រកាស)</t>
        </is>
      </c>
      <c r="K400" s="221" t="n"/>
      <c r="L400" s="616">
        <f>I400</f>
        <v/>
      </c>
      <c r="M400" s="588">
        <f>I400-L400</f>
        <v/>
      </c>
      <c r="N400" s="221" t="n"/>
      <c r="O400" s="226">
        <f>U400=E400</f>
        <v/>
      </c>
      <c r="P400" s="226">
        <f>MONTH(F400)-MONTH(T400)</f>
        <v/>
      </c>
      <c r="Q400" s="226">
        <f>$B$5=X400</f>
        <v/>
      </c>
      <c r="R400" s="226">
        <f>I400-AD400</f>
        <v/>
      </c>
      <c r="S400" s="360" t="inlineStr">
        <is>
          <t>Wrong invoice number</t>
        </is>
      </c>
      <c r="T400" s="361" t="n">
        <v>45805</v>
      </c>
      <c r="U400" s="360" t="inlineStr">
        <is>
          <t>APLL25003415</t>
        </is>
      </c>
      <c r="V400" s="360" t="n"/>
      <c r="W400" s="360" t="n"/>
      <c r="X400" s="360" t="n"/>
      <c r="Y400" s="360" t="inlineStr">
        <is>
          <t>ហូលីដេ ឌីហ្សាញ (ខេមបូឌា) ឯ.ក</t>
        </is>
      </c>
      <c r="Z400" s="362" t="n"/>
      <c r="AA400" s="362" t="n"/>
      <c r="AB400" s="360" t="n"/>
      <c r="AC400" s="360" t="n"/>
      <c r="AD400" s="362" t="n">
        <v>222167</v>
      </c>
      <c r="AE400" s="360" t="n"/>
      <c r="AF400" s="615" t="n"/>
    </row>
    <row r="401">
      <c r="A401" s="220">
        <f>A400+1</f>
        <v/>
      </c>
      <c r="B401" s="222" t="inlineStr">
        <is>
          <t>THC Fee-Ex</t>
        </is>
      </c>
      <c r="C401" s="222" t="inlineStr">
        <is>
          <t>APL LOGISTICS (CAMBODIA) PTE LTD.</t>
        </is>
      </c>
      <c r="D401" s="223" t="inlineStr">
        <is>
          <t>L001-100046460</t>
        </is>
      </c>
      <c r="E401" s="349" t="inlineStr">
        <is>
          <t>APLL25003373</t>
        </is>
      </c>
      <c r="F401" s="332" t="n">
        <v>45804</v>
      </c>
      <c r="G401" s="224" t="n"/>
      <c r="H401" s="617" t="n"/>
      <c r="I401" s="617" t="n">
        <v>115286</v>
      </c>
      <c r="J401" s="221" t="inlineStr">
        <is>
          <t>អនុញ្ញាត (បានប្រកាស)</t>
        </is>
      </c>
      <c r="K401" s="221" t="n"/>
      <c r="L401" s="616">
        <f>I401</f>
        <v/>
      </c>
      <c r="M401" s="588">
        <f>I401-L401</f>
        <v/>
      </c>
      <c r="N401" s="221" t="n"/>
      <c r="O401" s="226">
        <f>U401=E401</f>
        <v/>
      </c>
      <c r="P401" s="226">
        <f>MONTH(F401)-MONTH(T401)</f>
        <v/>
      </c>
      <c r="Q401" s="226">
        <f>$B$5=X401</f>
        <v/>
      </c>
      <c r="R401" s="226">
        <f>I401-AD401</f>
        <v/>
      </c>
      <c r="S401" s="360" t="n"/>
      <c r="T401" s="361" t="n">
        <v>45804</v>
      </c>
      <c r="U401" s="360" t="inlineStr">
        <is>
          <t>APLL25003373</t>
        </is>
      </c>
      <c r="V401" s="360" t="n"/>
      <c r="W401" s="360" t="n"/>
      <c r="X401" s="360" t="n"/>
      <c r="Y401" s="360" t="inlineStr">
        <is>
          <t>ហូលីដេ ឌីហ្សាញ (ខេមបូឌា) ឯ.ក</t>
        </is>
      </c>
      <c r="Z401" s="362" t="n"/>
      <c r="AA401" s="362" t="n"/>
      <c r="AB401" s="360" t="n"/>
      <c r="AC401" s="360" t="n"/>
      <c r="AD401" s="362" t="n">
        <v>115286</v>
      </c>
      <c r="AE401" s="360" t="n"/>
      <c r="AF401" s="615" t="n"/>
    </row>
    <row r="402">
      <c r="A402" s="220">
        <f>A401+1</f>
        <v/>
      </c>
      <c r="B402" s="222" t="inlineStr">
        <is>
          <t>THC Fee-Ex</t>
        </is>
      </c>
      <c r="C402" s="222" t="inlineStr">
        <is>
          <t>APL LOGISTICS (CAMBODIA) PTE LTD.</t>
        </is>
      </c>
      <c r="D402" s="223" t="inlineStr">
        <is>
          <t>L001-100046460</t>
        </is>
      </c>
      <c r="E402" s="349" t="inlineStr">
        <is>
          <t>APLL25003414</t>
        </is>
      </c>
      <c r="F402" s="332" t="n">
        <v>45805</v>
      </c>
      <c r="G402" s="224" t="n"/>
      <c r="H402" s="617" t="n"/>
      <c r="I402" s="617" t="n">
        <v>164123</v>
      </c>
      <c r="J402" s="221" t="inlineStr">
        <is>
          <t>អនុញ្ញាត (បានប្រកាស)</t>
        </is>
      </c>
      <c r="K402" s="221" t="n"/>
      <c r="L402" s="616">
        <f>I402</f>
        <v/>
      </c>
      <c r="M402" s="588">
        <f>I402-L402</f>
        <v/>
      </c>
      <c r="N402" s="221" t="n"/>
      <c r="O402" s="226">
        <f>U402=E402</f>
        <v/>
      </c>
      <c r="P402" s="226">
        <f>MONTH(F402)-MONTH(T402)</f>
        <v/>
      </c>
      <c r="Q402" s="226">
        <f>$B$5=X402</f>
        <v/>
      </c>
      <c r="R402" s="226">
        <f>I402-AD402</f>
        <v/>
      </c>
      <c r="S402" s="360" t="n"/>
      <c r="T402" s="361" t="n">
        <v>45805</v>
      </c>
      <c r="U402" s="360" t="inlineStr">
        <is>
          <t>APLL25003414</t>
        </is>
      </c>
      <c r="V402" s="360" t="n"/>
      <c r="W402" s="360" t="n"/>
      <c r="X402" s="360" t="n"/>
      <c r="Y402" s="360" t="inlineStr">
        <is>
          <t>ហូលីដេ ឌីហ្សាញ (ខេមបូឌា) ឯ.ក</t>
        </is>
      </c>
      <c r="Z402" s="362" t="n"/>
      <c r="AA402" s="362" t="n"/>
      <c r="AB402" s="360" t="n"/>
      <c r="AC402" s="360" t="n"/>
      <c r="AD402" s="362" t="n">
        <v>164123</v>
      </c>
      <c r="AE402" s="360" t="n"/>
      <c r="AF402" s="615" t="n"/>
    </row>
    <row r="403">
      <c r="A403" s="220">
        <f>A402+1</f>
        <v/>
      </c>
      <c r="B403" s="222" t="inlineStr">
        <is>
          <t>THC Fee-Ex</t>
        </is>
      </c>
      <c r="C403" s="222" t="inlineStr">
        <is>
          <t>APL LOGISTICS (CAMBODIA) PTE LTD.</t>
        </is>
      </c>
      <c r="D403" s="223" t="inlineStr">
        <is>
          <t>L001-100046460</t>
        </is>
      </c>
      <c r="E403" s="349" t="inlineStr">
        <is>
          <t>APLL25003413</t>
        </is>
      </c>
      <c r="F403" s="332" t="n">
        <v>45805</v>
      </c>
      <c r="G403" s="224" t="n"/>
      <c r="H403" s="617" t="n"/>
      <c r="I403" s="617" t="n">
        <v>225369</v>
      </c>
      <c r="J403" s="221" t="inlineStr">
        <is>
          <t>អនុញ្ញាត (បានប្រកាស)</t>
        </is>
      </c>
      <c r="K403" s="221" t="n"/>
      <c r="L403" s="616">
        <f>I403</f>
        <v/>
      </c>
      <c r="M403" s="588">
        <f>I403-L403</f>
        <v/>
      </c>
      <c r="N403" s="221" t="n"/>
      <c r="O403" s="226">
        <f>U403=E403</f>
        <v/>
      </c>
      <c r="P403" s="226">
        <f>MONTH(F403)-MONTH(T403)</f>
        <v/>
      </c>
      <c r="Q403" s="226">
        <f>$B$5=X403</f>
        <v/>
      </c>
      <c r="R403" s="226">
        <f>I403-AD403</f>
        <v/>
      </c>
      <c r="S403" s="360" t="n"/>
      <c r="T403" s="361" t="n">
        <v>45805</v>
      </c>
      <c r="U403" s="360" t="inlineStr">
        <is>
          <t>APLL25003413</t>
        </is>
      </c>
      <c r="V403" s="360" t="n"/>
      <c r="W403" s="360" t="n"/>
      <c r="X403" s="360" t="n"/>
      <c r="Y403" s="360" t="inlineStr">
        <is>
          <t>ហូលីដេ ឌីហ្សាញ (ខេមបូឌា) ឯ.ក</t>
        </is>
      </c>
      <c r="Z403" s="362" t="n"/>
      <c r="AA403" s="362" t="n"/>
      <c r="AB403" s="360" t="n"/>
      <c r="AC403" s="360" t="n"/>
      <c r="AD403" s="362" t="n">
        <v>225369</v>
      </c>
      <c r="AE403" s="360" t="n"/>
      <c r="AF403" s="615" t="n"/>
    </row>
    <row r="404">
      <c r="A404" s="220">
        <f>A403+1</f>
        <v/>
      </c>
      <c r="B404" s="222" t="inlineStr">
        <is>
          <t>THC Fee-Ex</t>
        </is>
      </c>
      <c r="C404" s="222" t="inlineStr">
        <is>
          <t>APL LOGISTICS (CAMBODIA) PTE LTD.</t>
        </is>
      </c>
      <c r="D404" s="223" t="inlineStr">
        <is>
          <t>L001-100046460</t>
        </is>
      </c>
      <c r="E404" s="349" t="inlineStr">
        <is>
          <t>APLL25003412</t>
        </is>
      </c>
      <c r="F404" s="332" t="n">
        <v>45805</v>
      </c>
      <c r="G404" s="224" t="n"/>
      <c r="H404" s="617" t="n"/>
      <c r="I404" s="617" t="n">
        <v>132099</v>
      </c>
      <c r="J404" s="221" t="inlineStr">
        <is>
          <t>អនុញ្ញាត (បានប្រកាស)</t>
        </is>
      </c>
      <c r="K404" s="221" t="n"/>
      <c r="L404" s="616">
        <f>I404</f>
        <v/>
      </c>
      <c r="M404" s="588">
        <f>I404-L404</f>
        <v/>
      </c>
      <c r="N404" s="221" t="n"/>
      <c r="O404" s="226">
        <f>U404=E404</f>
        <v/>
      </c>
      <c r="P404" s="226">
        <f>MONTH(F404)-MONTH(T404)</f>
        <v/>
      </c>
      <c r="Q404" s="226">
        <f>$B$5=X404</f>
        <v/>
      </c>
      <c r="R404" s="226">
        <f>I404-AD404</f>
        <v/>
      </c>
      <c r="S404" s="360" t="n"/>
      <c r="T404" s="361" t="n">
        <v>45805</v>
      </c>
      <c r="U404" s="360" t="inlineStr">
        <is>
          <t>APLL25003412</t>
        </is>
      </c>
      <c r="V404" s="360" t="n"/>
      <c r="W404" s="360" t="n"/>
      <c r="X404" s="360" t="n"/>
      <c r="Y404" s="360" t="inlineStr">
        <is>
          <t>ហូលីដេ ឌីហ្សាញ (ខេមបូឌា) ឯ.ក</t>
        </is>
      </c>
      <c r="Z404" s="362" t="n"/>
      <c r="AA404" s="362" t="n"/>
      <c r="AB404" s="360" t="n"/>
      <c r="AC404" s="360" t="n"/>
      <c r="AD404" s="362" t="n">
        <v>132099</v>
      </c>
      <c r="AE404" s="360" t="n"/>
      <c r="AF404" s="615" t="n"/>
    </row>
    <row r="405">
      <c r="A405" s="220">
        <f>A404+1</f>
        <v/>
      </c>
      <c r="B405" s="222" t="inlineStr">
        <is>
          <t>THC, Doc, EMF, CIC Fee-Im</t>
        </is>
      </c>
      <c r="C405" s="222" t="inlineStr">
        <is>
          <t>INCHCAPE SHIPPING SERVICES (CAMBODIA) LTD</t>
        </is>
      </c>
      <c r="D405" s="223" t="inlineStr">
        <is>
          <t>L001-103000127</t>
        </is>
      </c>
      <c r="E405" s="349" t="inlineStr">
        <is>
          <t>IN252100</t>
        </is>
      </c>
      <c r="F405" s="332" t="n">
        <v>45771</v>
      </c>
      <c r="G405" s="224" t="n"/>
      <c r="H405" s="617" t="n"/>
      <c r="I405" s="617" t="n">
        <v>844633</v>
      </c>
      <c r="J405" s="221" t="inlineStr">
        <is>
          <t>អនុញ្ញាត (បានប្រកាស)</t>
        </is>
      </c>
      <c r="K405" s="221" t="n"/>
      <c r="L405" s="616">
        <f>I405</f>
        <v/>
      </c>
      <c r="M405" s="588">
        <f>I405-L405</f>
        <v/>
      </c>
      <c r="N405" s="221" t="n"/>
      <c r="O405" s="226">
        <f>U405=E405</f>
        <v/>
      </c>
      <c r="P405" s="226">
        <f>MONTH(F405)-MONTH(T405)</f>
        <v/>
      </c>
      <c r="Q405" s="226">
        <f>$B$5=X405</f>
        <v/>
      </c>
      <c r="R405" s="226">
        <f>I405-AD405</f>
        <v/>
      </c>
      <c r="S405" s="360" t="n"/>
      <c r="T405" s="361" t="n">
        <v>45771</v>
      </c>
      <c r="U405" s="360" t="inlineStr">
        <is>
          <t>IN252100</t>
        </is>
      </c>
      <c r="V405" s="360" t="n">
        <v>0</v>
      </c>
      <c r="W405" s="360" t="inlineStr">
        <is>
          <t>បុគ្គលជាប់អាករ</t>
        </is>
      </c>
      <c r="X405" s="360" t="inlineStr">
        <is>
          <t>L001-901640009</t>
        </is>
      </c>
      <c r="Y405" s="360" t="inlineStr">
        <is>
          <t>ហូលីដេ ឌីហ្សាញ (ខេមបូឌា) ឯ.ក</t>
        </is>
      </c>
      <c r="Z405" s="362" t="n">
        <v>9290963</v>
      </c>
      <c r="AA405" s="362" t="n">
        <v>8446330</v>
      </c>
      <c r="AB405" s="360" t="n">
        <v>0</v>
      </c>
      <c r="AC405" s="360" t="inlineStr">
        <is>
          <t>-</t>
        </is>
      </c>
      <c r="AD405" s="362" t="n">
        <v>844633</v>
      </c>
      <c r="AE405" s="360" t="n">
        <v>0</v>
      </c>
      <c r="AF405" s="615" t="n">
        <v>0</v>
      </c>
      <c r="AG405" s="203" t="n">
        <v>0</v>
      </c>
      <c r="AH405" s="203" t="n">
        <v>0</v>
      </c>
      <c r="AI405" s="203" t="n">
        <v>0</v>
      </c>
      <c r="AJ405" s="203" t="n">
        <v>0</v>
      </c>
      <c r="AK405" s="203" t="n">
        <v>0</v>
      </c>
      <c r="AL405" s="203" t="n">
        <v>0.01</v>
      </c>
      <c r="AM405" s="203" t="n">
        <v>0</v>
      </c>
      <c r="AN405" s="203" t="inlineStr">
        <is>
          <t>THC,DOC,EMF AND FRT (CIC) FEE</t>
        </is>
      </c>
      <c r="AO405" s="203" t="inlineStr">
        <is>
          <t>បានប្រកាសនិងបង់ពន្ធ</t>
        </is>
      </c>
    </row>
    <row r="406">
      <c r="A406" s="220">
        <f>A405+1</f>
        <v/>
      </c>
      <c r="B406" s="222" t="inlineStr">
        <is>
          <t>Import Documentation fee</t>
        </is>
      </c>
      <c r="C406" s="222" t="inlineStr">
        <is>
          <t>CMA CGM (CAMBODIA) CO., LTD.</t>
        </is>
      </c>
      <c r="D406" s="223" t="inlineStr">
        <is>
          <t>L001-105016225</t>
        </is>
      </c>
      <c r="E406" s="349" t="inlineStr">
        <is>
          <t>KH25I00006870</t>
        </is>
      </c>
      <c r="F406" s="332" t="n">
        <v>45709</v>
      </c>
      <c r="G406" s="224" t="n"/>
      <c r="H406" s="617" t="n"/>
      <c r="I406" s="617" t="n">
        <v>420859</v>
      </c>
      <c r="J406" s="221" t="inlineStr">
        <is>
          <t>ព្យួរទុក (មិនមានទិន្នន័យ)</t>
        </is>
      </c>
      <c r="K406" s="221" t="n"/>
      <c r="L406" s="616" t="n"/>
      <c r="M406" s="588">
        <f>I406-L406</f>
        <v/>
      </c>
      <c r="N406" s="221" t="n"/>
      <c r="O406" s="226">
        <f>U406=E406</f>
        <v/>
      </c>
      <c r="P406" s="226">
        <f>MONTH(F406)-MONTH(T406)</f>
        <v/>
      </c>
      <c r="Q406" s="226">
        <f>$B$5=X406</f>
        <v/>
      </c>
      <c r="R406" s="226">
        <f>I406-AD406</f>
        <v/>
      </c>
      <c r="S406" s="360" t="n"/>
      <c r="T406" s="361" t="n">
        <v>0</v>
      </c>
      <c r="U406" s="360" t="n">
        <v>0</v>
      </c>
      <c r="V406" s="360" t="n">
        <v>0</v>
      </c>
      <c r="W406" s="360" t="n">
        <v>0</v>
      </c>
      <c r="X406" s="360" t="n">
        <v>0</v>
      </c>
      <c r="Y406" s="360" t="n">
        <v>0</v>
      </c>
      <c r="Z406" s="362" t="n">
        <v>0</v>
      </c>
      <c r="AA406" s="362" t="n">
        <v>0</v>
      </c>
      <c r="AB406" s="360" t="n">
        <v>0</v>
      </c>
      <c r="AC406" s="360" t="n">
        <v>0</v>
      </c>
      <c r="AD406" s="362" t="n">
        <v>0</v>
      </c>
      <c r="AE406" s="360" t="n">
        <v>0</v>
      </c>
      <c r="AF406" s="615" t="n">
        <v>0</v>
      </c>
      <c r="AG406" s="203" t="n">
        <v>0</v>
      </c>
      <c r="AH406" s="203" t="n">
        <v>0</v>
      </c>
      <c r="AI406" s="203" t="n">
        <v>0</v>
      </c>
      <c r="AJ406" s="203" t="n">
        <v>0</v>
      </c>
      <c r="AK406" s="203" t="n">
        <v>0</v>
      </c>
      <c r="AL406" s="203" t="n">
        <v>0</v>
      </c>
      <c r="AM406" s="203" t="n">
        <v>0</v>
      </c>
      <c r="AN406" s="203" t="n">
        <v>0</v>
      </c>
      <c r="AO406" s="203" t="n">
        <v>0</v>
      </c>
    </row>
    <row r="407">
      <c r="A407" s="220">
        <f>A406+1</f>
        <v/>
      </c>
      <c r="B407" s="222" t="inlineStr">
        <is>
          <t>THC Fee-Ex</t>
        </is>
      </c>
      <c r="C407" s="222" t="inlineStr">
        <is>
          <t>APL LOGISTICS (CAMBODIA) PTE LTD.</t>
        </is>
      </c>
      <c r="D407" s="223" t="inlineStr">
        <is>
          <t>L001-100046460</t>
        </is>
      </c>
      <c r="E407" s="349" t="inlineStr">
        <is>
          <t>APLL25003264</t>
        </is>
      </c>
      <c r="F407" s="332" t="n">
        <v>45799</v>
      </c>
      <c r="G407" s="224" t="n"/>
      <c r="H407" s="617" t="n"/>
      <c r="I407" s="617" t="n">
        <v>115286</v>
      </c>
      <c r="J407" s="221" t="inlineStr">
        <is>
          <t>អនុញ្ញាត (បានប្រកាស)</t>
        </is>
      </c>
      <c r="K407" s="221" t="n"/>
      <c r="L407" s="616">
        <f>I407</f>
        <v/>
      </c>
      <c r="M407" s="588">
        <f>I407-L407</f>
        <v/>
      </c>
      <c r="N407" s="221" t="n"/>
      <c r="O407" s="226">
        <f>U407=E407</f>
        <v/>
      </c>
      <c r="P407" s="226">
        <f>MONTH(F407)-MONTH(T407)</f>
        <v/>
      </c>
      <c r="Q407" s="226">
        <f>$B$5=X407</f>
        <v/>
      </c>
      <c r="R407" s="226">
        <f>I407-AD407</f>
        <v/>
      </c>
      <c r="S407" s="360" t="n"/>
      <c r="T407" s="361" t="n">
        <v>45799</v>
      </c>
      <c r="U407" s="360" t="inlineStr">
        <is>
          <t>APLL25003264</t>
        </is>
      </c>
      <c r="V407" s="360" t="n"/>
      <c r="W407" s="360" t="n"/>
      <c r="X407" s="360" t="n"/>
      <c r="Y407" s="360" t="inlineStr">
        <is>
          <t>ហូលីដេ ឌីហ្សាញ (ខេមបូឌា) ឯ.ក</t>
        </is>
      </c>
      <c r="Z407" s="362" t="n"/>
      <c r="AA407" s="362" t="n"/>
      <c r="AB407" s="360" t="n"/>
      <c r="AC407" s="360" t="n"/>
      <c r="AD407" s="362" t="n">
        <v>115286</v>
      </c>
      <c r="AE407" s="360" t="n"/>
      <c r="AF407" s="615" t="n"/>
    </row>
    <row r="408">
      <c r="A408" s="220">
        <f>A407+1</f>
        <v/>
      </c>
      <c r="B408" s="222" t="inlineStr">
        <is>
          <t>THC Fee-Ex</t>
        </is>
      </c>
      <c r="C408" s="222" t="inlineStr">
        <is>
          <t>APL LOGISTICS (CAMBODIA) PTE LTD.</t>
        </is>
      </c>
      <c r="D408" s="223" t="inlineStr">
        <is>
          <t>L001-100046460</t>
        </is>
      </c>
      <c r="E408" s="349" t="inlineStr">
        <is>
          <t>APLL25003380</t>
        </is>
      </c>
      <c r="F408" s="332" t="n">
        <v>45804</v>
      </c>
      <c r="G408" s="224" t="n"/>
      <c r="H408" s="617" t="n"/>
      <c r="I408" s="617" t="n">
        <v>115286</v>
      </c>
      <c r="J408" s="221" t="inlineStr">
        <is>
          <t>អនុញ្ញាត (បានប្រកាស)</t>
        </is>
      </c>
      <c r="K408" s="221" t="n"/>
      <c r="L408" s="616">
        <f>I408</f>
        <v/>
      </c>
      <c r="M408" s="588">
        <f>I408-L408</f>
        <v/>
      </c>
      <c r="N408" s="221" t="n"/>
      <c r="O408" s="226">
        <f>U408=E408</f>
        <v/>
      </c>
      <c r="P408" s="226">
        <f>MONTH(F408)-MONTH(T408)</f>
        <v/>
      </c>
      <c r="Q408" s="226">
        <f>$B$5=X408</f>
        <v/>
      </c>
      <c r="R408" s="226">
        <f>I408-AD408</f>
        <v/>
      </c>
      <c r="S408" s="360" t="n"/>
      <c r="T408" s="361" t="n">
        <v>45804</v>
      </c>
      <c r="U408" s="360" t="inlineStr">
        <is>
          <t>APLL25003380</t>
        </is>
      </c>
      <c r="V408" s="360" t="n"/>
      <c r="W408" s="360" t="n"/>
      <c r="X408" s="360" t="n"/>
      <c r="Y408" s="360" t="inlineStr">
        <is>
          <t>ហូលីដេ ឌីហ្សាញ (ខេមបូឌា) ឯ.ក</t>
        </is>
      </c>
      <c r="Z408" s="362" t="n"/>
      <c r="AA408" s="362" t="n"/>
      <c r="AB408" s="360" t="n"/>
      <c r="AC408" s="360" t="n"/>
      <c r="AD408" s="362" t="n">
        <v>115286</v>
      </c>
      <c r="AE408" s="360" t="n"/>
      <c r="AF408" s="615" t="n"/>
    </row>
    <row r="409">
      <c r="A409" s="220">
        <f>A408+1</f>
        <v/>
      </c>
      <c r="B409" s="222" t="inlineStr">
        <is>
          <t>THC Fee-Ex</t>
        </is>
      </c>
      <c r="C409" s="222" t="inlineStr">
        <is>
          <t>APL LOGISTICS (CAMBODIA) PTE LTD.</t>
        </is>
      </c>
      <c r="D409" s="223" t="inlineStr">
        <is>
          <t>L001-100046460</t>
        </is>
      </c>
      <c r="E409" s="349" t="inlineStr">
        <is>
          <t>APLL25003379</t>
        </is>
      </c>
      <c r="F409" s="332" t="n">
        <v>45804</v>
      </c>
      <c r="G409" s="224" t="n"/>
      <c r="H409" s="617" t="n"/>
      <c r="I409" s="617" t="n">
        <v>85264</v>
      </c>
      <c r="J409" s="221" t="inlineStr">
        <is>
          <t>អនុញ្ញាត (បានប្រកាស)</t>
        </is>
      </c>
      <c r="K409" s="221" t="n"/>
      <c r="L409" s="616">
        <f>I409</f>
        <v/>
      </c>
      <c r="M409" s="588">
        <f>I409-L409</f>
        <v/>
      </c>
      <c r="N409" s="221" t="n"/>
      <c r="O409" s="226">
        <f>U409=E409</f>
        <v/>
      </c>
      <c r="P409" s="226">
        <f>MONTH(F409)-MONTH(T409)</f>
        <v/>
      </c>
      <c r="Q409" s="226">
        <f>$B$5=X409</f>
        <v/>
      </c>
      <c r="R409" s="226">
        <f>I409-AD409</f>
        <v/>
      </c>
      <c r="S409" s="360" t="n"/>
      <c r="T409" s="361" t="n">
        <v>45804</v>
      </c>
      <c r="U409" s="360" t="inlineStr">
        <is>
          <t>APLL25003379</t>
        </is>
      </c>
      <c r="V409" s="360" t="n"/>
      <c r="W409" s="360" t="n"/>
      <c r="X409" s="360" t="n"/>
      <c r="Y409" s="360" t="inlineStr">
        <is>
          <t>ហូលីដេ ឌីហ្សាញ (ខេមបូឌា) ឯ.ក</t>
        </is>
      </c>
      <c r="Z409" s="362" t="n"/>
      <c r="AA409" s="362" t="n"/>
      <c r="AB409" s="360" t="n"/>
      <c r="AC409" s="360" t="n"/>
      <c r="AD409" s="362" t="n">
        <v>85264</v>
      </c>
      <c r="AE409" s="360" t="n"/>
      <c r="AF409" s="615" t="n"/>
    </row>
    <row r="410">
      <c r="A410" s="220">
        <f>A409+1</f>
        <v/>
      </c>
      <c r="B410" s="222" t="inlineStr">
        <is>
          <t>THC Fee-Ex</t>
        </is>
      </c>
      <c r="C410" s="222" t="inlineStr">
        <is>
          <t>APL LOGISTICS (CAMBODIA) PTE LTD.</t>
        </is>
      </c>
      <c r="D410" s="223" t="inlineStr">
        <is>
          <t>L001-100046460</t>
        </is>
      </c>
      <c r="E410" s="349" t="inlineStr">
        <is>
          <t>APLL25003178</t>
        </is>
      </c>
      <c r="F410" s="332" t="n">
        <v>45798</v>
      </c>
      <c r="G410" s="224" t="n"/>
      <c r="H410" s="617" t="n"/>
      <c r="I410" s="617" t="n">
        <v>240180</v>
      </c>
      <c r="J410" s="221" t="inlineStr">
        <is>
          <t>អនុញ្ញាត (បានប្រកាស)</t>
        </is>
      </c>
      <c r="K410" s="221" t="n"/>
      <c r="L410" s="616">
        <f>I410</f>
        <v/>
      </c>
      <c r="M410" s="588">
        <f>I410-L410</f>
        <v/>
      </c>
      <c r="N410" s="221" t="n"/>
      <c r="O410" s="226">
        <f>U410=E410</f>
        <v/>
      </c>
      <c r="P410" s="226">
        <f>MONTH(F410)-MONTH(T410)</f>
        <v/>
      </c>
      <c r="Q410" s="226">
        <f>$B$5=X410</f>
        <v/>
      </c>
      <c r="R410" s="226">
        <f>I410-AD410</f>
        <v/>
      </c>
      <c r="S410" s="360" t="n"/>
      <c r="T410" s="361" t="n">
        <v>45798</v>
      </c>
      <c r="U410" s="360" t="inlineStr">
        <is>
          <t>APLL25003178</t>
        </is>
      </c>
      <c r="V410" s="360" t="n"/>
      <c r="W410" s="360" t="n"/>
      <c r="X410" s="360" t="n"/>
      <c r="Y410" s="360" t="inlineStr">
        <is>
          <t>ហូលីដេ ឌីហ្សាញ (ខេមបូឌា) ឯ.ក</t>
        </is>
      </c>
      <c r="Z410" s="362" t="n"/>
      <c r="AA410" s="362" t="n"/>
      <c r="AB410" s="360" t="n"/>
      <c r="AC410" s="360" t="n"/>
      <c r="AD410" s="362" t="n">
        <v>240180</v>
      </c>
      <c r="AE410" s="360" t="n"/>
      <c r="AF410" s="615" t="n"/>
    </row>
    <row r="411">
      <c r="A411" s="220">
        <f>A410+1</f>
        <v/>
      </c>
      <c r="B411" s="222" t="inlineStr">
        <is>
          <t>THC Fee-Ex</t>
        </is>
      </c>
      <c r="C411" s="222" t="inlineStr">
        <is>
          <t>APL LOGISTICS (CAMBODIA) PTE LTD.</t>
        </is>
      </c>
      <c r="D411" s="223" t="inlineStr">
        <is>
          <t>L001-100046460</t>
        </is>
      </c>
      <c r="E411" s="349" t="inlineStr">
        <is>
          <t>APLL25003183</t>
        </is>
      </c>
      <c r="F411" s="332" t="n">
        <v>45798</v>
      </c>
      <c r="G411" s="224" t="n"/>
      <c r="H411" s="617" t="n"/>
      <c r="I411" s="617" t="n">
        <v>132099</v>
      </c>
      <c r="J411" s="221" t="inlineStr">
        <is>
          <t>អនុញ្ញាត (បានប្រកាស)</t>
        </is>
      </c>
      <c r="K411" s="221" t="n"/>
      <c r="L411" s="616">
        <f>I411</f>
        <v/>
      </c>
      <c r="M411" s="588">
        <f>I411-L411</f>
        <v/>
      </c>
      <c r="N411" s="221" t="n"/>
      <c r="O411" s="226">
        <f>U411=E411</f>
        <v/>
      </c>
      <c r="P411" s="226">
        <f>MONTH(F411)-MONTH(T411)</f>
        <v/>
      </c>
      <c r="Q411" s="226">
        <f>$B$5=X411</f>
        <v/>
      </c>
      <c r="R411" s="226">
        <f>I411-AD411</f>
        <v/>
      </c>
      <c r="S411" s="360" t="n"/>
      <c r="T411" s="361" t="n">
        <v>45798</v>
      </c>
      <c r="U411" s="360" t="inlineStr">
        <is>
          <t>APLL25003183</t>
        </is>
      </c>
      <c r="V411" s="360" t="n"/>
      <c r="W411" s="360" t="n"/>
      <c r="X411" s="360" t="n"/>
      <c r="Y411" s="360" t="inlineStr">
        <is>
          <t>ហូលីដេ ឌីហ្សាញ (ខេមបូឌា) ឯ.ក</t>
        </is>
      </c>
      <c r="Z411" s="362" t="n"/>
      <c r="AA411" s="362" t="n"/>
      <c r="AB411" s="360" t="n"/>
      <c r="AC411" s="360" t="n"/>
      <c r="AD411" s="362" t="n">
        <v>132099</v>
      </c>
      <c r="AE411" s="360" t="n"/>
      <c r="AF411" s="615" t="n"/>
    </row>
    <row r="412">
      <c r="A412" s="220">
        <f>A411+1</f>
        <v/>
      </c>
      <c r="B412" s="222" t="inlineStr">
        <is>
          <t>THC Fee-Ex</t>
        </is>
      </c>
      <c r="C412" s="222" t="inlineStr">
        <is>
          <t>APL LOGISTICS (CAMBODIA) PTE LTD.</t>
        </is>
      </c>
      <c r="D412" s="223" t="inlineStr">
        <is>
          <t>L001-100046460</t>
        </is>
      </c>
      <c r="E412" s="349" t="inlineStr">
        <is>
          <t>APLL25003481</t>
        </is>
      </c>
      <c r="F412" s="332" t="n">
        <v>45806</v>
      </c>
      <c r="G412" s="224" t="n"/>
      <c r="H412" s="617" t="n"/>
      <c r="I412" s="617" t="n">
        <v>240240</v>
      </c>
      <c r="J412" s="221" t="inlineStr">
        <is>
          <t>អនុញ្ញាត (បានប្រកាស)</t>
        </is>
      </c>
      <c r="K412" s="221" t="n"/>
      <c r="L412" s="616">
        <f>I412</f>
        <v/>
      </c>
      <c r="M412" s="588">
        <f>I412-L412</f>
        <v/>
      </c>
      <c r="N412" s="221" t="n"/>
      <c r="O412" s="226">
        <f>U412=E412</f>
        <v/>
      </c>
      <c r="P412" s="226">
        <f>MONTH(F412)-MONTH(T412)</f>
        <v/>
      </c>
      <c r="Q412" s="226">
        <f>$B$5=X412</f>
        <v/>
      </c>
      <c r="R412" s="226">
        <f>I412-AD412</f>
        <v/>
      </c>
      <c r="S412" s="360" t="n"/>
      <c r="T412" s="361" t="n">
        <v>45806</v>
      </c>
      <c r="U412" s="360" t="inlineStr">
        <is>
          <t>APLL25003481</t>
        </is>
      </c>
      <c r="V412" s="360" t="n"/>
      <c r="W412" s="360" t="n"/>
      <c r="X412" s="360" t="n"/>
      <c r="Y412" s="360" t="inlineStr">
        <is>
          <t>ហូលីដេ ឌីហ្សាញ (ខេមបូឌា) ឯ.ក</t>
        </is>
      </c>
      <c r="Z412" s="362" t="n"/>
      <c r="AA412" s="362" t="n"/>
      <c r="AB412" s="360" t="n"/>
      <c r="AC412" s="360" t="n"/>
      <c r="AD412" s="362" t="n">
        <v>240240</v>
      </c>
      <c r="AE412" s="360" t="n"/>
      <c r="AF412" s="615" t="n"/>
    </row>
    <row r="413">
      <c r="A413" s="220">
        <f>A412+1</f>
        <v/>
      </c>
      <c r="B413" s="222" t="inlineStr">
        <is>
          <t>THC Fee-Ex</t>
        </is>
      </c>
      <c r="C413" s="222" t="inlineStr">
        <is>
          <t>APL LOGISTICS (CAMBODIA) PTE LTD.</t>
        </is>
      </c>
      <c r="D413" s="223" t="inlineStr">
        <is>
          <t>L001-100046460</t>
        </is>
      </c>
      <c r="E413" s="349" t="inlineStr">
        <is>
          <t>APLL25003186</t>
        </is>
      </c>
      <c r="F413" s="332" t="n">
        <v>45798</v>
      </c>
      <c r="G413" s="224" t="n"/>
      <c r="H413" s="617" t="n"/>
      <c r="I413" s="617" t="n">
        <v>454341</v>
      </c>
      <c r="J413" s="221" t="inlineStr">
        <is>
          <t>អនុញ្ញាត (បានប្រកាស)</t>
        </is>
      </c>
      <c r="K413" s="221" t="n"/>
      <c r="L413" s="616">
        <f>I413</f>
        <v/>
      </c>
      <c r="M413" s="588">
        <f>I413-L413</f>
        <v/>
      </c>
      <c r="N413" s="221" t="n"/>
      <c r="O413" s="226">
        <f>U413=E413</f>
        <v/>
      </c>
      <c r="P413" s="226">
        <f>MONTH(F413)-MONTH(T413)</f>
        <v/>
      </c>
      <c r="Q413" s="226">
        <f>$B$5=X413</f>
        <v/>
      </c>
      <c r="R413" s="226">
        <f>I413-AD413</f>
        <v/>
      </c>
      <c r="S413" s="360" t="n"/>
      <c r="T413" s="361" t="n">
        <v>45798</v>
      </c>
      <c r="U413" s="360" t="inlineStr">
        <is>
          <t>APLL25003186</t>
        </is>
      </c>
      <c r="V413" s="360" t="n"/>
      <c r="W413" s="360" t="n"/>
      <c r="X413" s="360" t="n"/>
      <c r="Y413" s="360" t="inlineStr">
        <is>
          <t>ហូលីដេ ឌីហ្សាញ (ខេមបូឌា) ឯ.ក</t>
        </is>
      </c>
      <c r="Z413" s="362" t="n"/>
      <c r="AA413" s="362" t="n"/>
      <c r="AB413" s="360" t="n"/>
      <c r="AC413" s="360" t="n"/>
      <c r="AD413" s="362" t="n">
        <v>454341</v>
      </c>
      <c r="AE413" s="360" t="n"/>
      <c r="AF413" s="615" t="n"/>
    </row>
    <row r="414">
      <c r="A414" s="220">
        <f>A413+1</f>
        <v/>
      </c>
      <c r="B414" s="222" t="inlineStr">
        <is>
          <t>THC Fee-Ex</t>
        </is>
      </c>
      <c r="C414" s="222" t="inlineStr">
        <is>
          <t>APL LOGISTICS (CAMBODIA) PTE LTD.</t>
        </is>
      </c>
      <c r="D414" s="223" t="inlineStr">
        <is>
          <t>L001-100046460</t>
        </is>
      </c>
      <c r="E414" s="349" t="inlineStr">
        <is>
          <t>APLL25003094</t>
        </is>
      </c>
      <c r="F414" s="332" t="n">
        <v>45796</v>
      </c>
      <c r="G414" s="224" t="n"/>
      <c r="H414" s="617" t="n"/>
      <c r="I414" s="617" t="n">
        <v>132066</v>
      </c>
      <c r="J414" s="221" t="inlineStr">
        <is>
          <t>អនុញ្ញាត (បានប្រកាស)</t>
        </is>
      </c>
      <c r="K414" s="221" t="n"/>
      <c r="L414" s="616">
        <f>I414</f>
        <v/>
      </c>
      <c r="M414" s="588">
        <f>I414-L414</f>
        <v/>
      </c>
      <c r="N414" s="221" t="n"/>
      <c r="O414" s="226">
        <f>U414=E414</f>
        <v/>
      </c>
      <c r="P414" s="226">
        <f>MONTH(F414)-MONTH(T414)</f>
        <v/>
      </c>
      <c r="Q414" s="226">
        <f>$B$5=X414</f>
        <v/>
      </c>
      <c r="R414" s="226">
        <f>I414-AD414</f>
        <v/>
      </c>
      <c r="S414" s="360" t="n"/>
      <c r="T414" s="361" t="n">
        <v>45796</v>
      </c>
      <c r="U414" s="360" t="inlineStr">
        <is>
          <t>APLL25003094</t>
        </is>
      </c>
      <c r="V414" s="360" t="n"/>
      <c r="W414" s="360" t="n"/>
      <c r="X414" s="360" t="n"/>
      <c r="Y414" s="360" t="inlineStr">
        <is>
          <t>ហូលីដេ ឌីហ្សាញ (ខេមបូឌា) ឯ.ក</t>
        </is>
      </c>
      <c r="Z414" s="362" t="n"/>
      <c r="AA414" s="362" t="n"/>
      <c r="AB414" s="360" t="n"/>
      <c r="AC414" s="360" t="n"/>
      <c r="AD414" s="362" t="n">
        <v>132066</v>
      </c>
      <c r="AE414" s="360" t="n"/>
      <c r="AF414" s="615" t="n"/>
    </row>
    <row r="415">
      <c r="A415" s="220">
        <f>A414+1</f>
        <v/>
      </c>
      <c r="B415" s="222" t="inlineStr">
        <is>
          <t>THC Fee-Ex</t>
        </is>
      </c>
      <c r="C415" s="222" t="inlineStr">
        <is>
          <t>APL LOGISTICS (CAMBODIA) PTE LTD.</t>
        </is>
      </c>
      <c r="D415" s="223" t="inlineStr">
        <is>
          <t>L001-100046460</t>
        </is>
      </c>
      <c r="E415" s="349" t="inlineStr">
        <is>
          <t>APLL25003133</t>
        </is>
      </c>
      <c r="F415" s="332" t="n">
        <v>45797</v>
      </c>
      <c r="G415" s="224" t="n"/>
      <c r="H415" s="617" t="n"/>
      <c r="I415" s="617" t="n">
        <v>122092</v>
      </c>
      <c r="J415" s="221" t="inlineStr">
        <is>
          <t>អនុញ្ញាត (បានប្រកាស)</t>
        </is>
      </c>
      <c r="K415" s="221" t="n"/>
      <c r="L415" s="616">
        <f>I415</f>
        <v/>
      </c>
      <c r="M415" s="588">
        <f>I415-L415</f>
        <v/>
      </c>
      <c r="N415" s="221" t="n"/>
      <c r="O415" s="226">
        <f>U415=E415</f>
        <v/>
      </c>
      <c r="P415" s="226">
        <f>MONTH(F415)-MONTH(T415)</f>
        <v/>
      </c>
      <c r="Q415" s="226">
        <f>$B$5=X415</f>
        <v/>
      </c>
      <c r="R415" s="226">
        <f>I415-AD415</f>
        <v/>
      </c>
      <c r="S415" s="360" t="n"/>
      <c r="T415" s="361" t="n">
        <v>45797</v>
      </c>
      <c r="U415" s="360" t="inlineStr">
        <is>
          <t>APLL25003133</t>
        </is>
      </c>
      <c r="V415" s="360" t="n"/>
      <c r="W415" s="360" t="n"/>
      <c r="X415" s="360" t="n"/>
      <c r="Y415" s="360" t="inlineStr">
        <is>
          <t>ហូលីដេ ឌីហ្សាញ (ខេមបូឌា) ឯ.ក</t>
        </is>
      </c>
      <c r="Z415" s="362" t="n"/>
      <c r="AA415" s="362" t="n"/>
      <c r="AB415" s="360" t="n"/>
      <c r="AC415" s="360" t="n"/>
      <c r="AD415" s="362" t="n">
        <v>122092</v>
      </c>
      <c r="AE415" s="360" t="n"/>
      <c r="AF415" s="615" t="n"/>
    </row>
    <row r="416">
      <c r="A416" s="220">
        <f>A415+1</f>
        <v/>
      </c>
      <c r="B416" s="222" t="inlineStr">
        <is>
          <t>THC Fee-Ex</t>
        </is>
      </c>
      <c r="C416" s="222" t="inlineStr">
        <is>
          <t>APL LOGISTICS (CAMBODIA) PTE LTD.</t>
        </is>
      </c>
      <c r="D416" s="223" t="inlineStr">
        <is>
          <t>L001-100046460</t>
        </is>
      </c>
      <c r="E416" s="349" t="inlineStr">
        <is>
          <t>APLL25003124</t>
        </is>
      </c>
      <c r="F416" s="332" t="n">
        <v>45797</v>
      </c>
      <c r="G416" s="224" t="n"/>
      <c r="H416" s="617" t="n"/>
      <c r="I416" s="617" t="n">
        <v>132099</v>
      </c>
      <c r="J416" s="221" t="inlineStr">
        <is>
          <t>អនុញ្ញាត (បានប្រកាស)</t>
        </is>
      </c>
      <c r="K416" s="221" t="n"/>
      <c r="L416" s="616">
        <f>I416</f>
        <v/>
      </c>
      <c r="M416" s="588">
        <f>I416-L416</f>
        <v/>
      </c>
      <c r="N416" s="221" t="n"/>
      <c r="O416" s="226">
        <f>U416=E416</f>
        <v/>
      </c>
      <c r="P416" s="226">
        <f>MONTH(F416)-MONTH(T416)</f>
        <v/>
      </c>
      <c r="Q416" s="226">
        <f>$B$5=X416</f>
        <v/>
      </c>
      <c r="R416" s="226">
        <f>I416-AD416</f>
        <v/>
      </c>
      <c r="S416" s="360" t="n"/>
      <c r="T416" s="361" t="n">
        <v>45797</v>
      </c>
      <c r="U416" s="360" t="inlineStr">
        <is>
          <t>APLL25003124</t>
        </is>
      </c>
      <c r="V416" s="360" t="n"/>
      <c r="W416" s="360" t="n"/>
      <c r="X416" s="360" t="n"/>
      <c r="Y416" s="360" t="inlineStr">
        <is>
          <t>ហូលីដេ ឌីហ្សាញ (ខេមបូឌា) ឯ.ក</t>
        </is>
      </c>
      <c r="Z416" s="362" t="n"/>
      <c r="AA416" s="362" t="n"/>
      <c r="AB416" s="360" t="n"/>
      <c r="AC416" s="360" t="n"/>
      <c r="AD416" s="362" t="n">
        <v>132099</v>
      </c>
      <c r="AE416" s="360" t="n"/>
      <c r="AF416" s="615" t="n"/>
    </row>
    <row r="417">
      <c r="A417" s="220">
        <f>A416+1</f>
        <v/>
      </c>
      <c r="B417" s="222" t="inlineStr">
        <is>
          <t>THC Fee-Ex</t>
        </is>
      </c>
      <c r="C417" s="222" t="inlineStr">
        <is>
          <t>APL LOGISTICS (CAMBODIA) PTE LTD.</t>
        </is>
      </c>
      <c r="D417" s="223" t="inlineStr">
        <is>
          <t>L001-100046460</t>
        </is>
      </c>
      <c r="E417" s="349" t="inlineStr">
        <is>
          <t>APLL25003095</t>
        </is>
      </c>
      <c r="F417" s="332" t="n">
        <v>45796</v>
      </c>
      <c r="G417" s="224" t="n"/>
      <c r="H417" s="617" t="n"/>
      <c r="I417" s="617" t="n">
        <v>132066</v>
      </c>
      <c r="J417" s="221" t="inlineStr">
        <is>
          <t>អនុញ្ញាត (បានប្រកាស)</t>
        </is>
      </c>
      <c r="K417" s="221" t="n"/>
      <c r="L417" s="616">
        <f>I417</f>
        <v/>
      </c>
      <c r="M417" s="588">
        <f>I417-L417</f>
        <v/>
      </c>
      <c r="N417" s="221" t="n"/>
      <c r="O417" s="226">
        <f>U417=E417</f>
        <v/>
      </c>
      <c r="P417" s="226">
        <f>MONTH(F417)-MONTH(T417)</f>
        <v/>
      </c>
      <c r="Q417" s="226">
        <f>$B$5=X417</f>
        <v/>
      </c>
      <c r="R417" s="226">
        <f>I417-AD417</f>
        <v/>
      </c>
      <c r="S417" s="360" t="n"/>
      <c r="T417" s="361" t="n">
        <v>45796</v>
      </c>
      <c r="U417" s="360" t="inlineStr">
        <is>
          <t>APLL25003095</t>
        </is>
      </c>
      <c r="V417" s="360" t="n"/>
      <c r="W417" s="360" t="n"/>
      <c r="X417" s="360" t="n"/>
      <c r="Y417" s="360" t="inlineStr">
        <is>
          <t>ហូលីដេ ឌីហ្សាញ (ខេមបូឌា) ឯ.ក</t>
        </is>
      </c>
      <c r="Z417" s="362" t="n"/>
      <c r="AA417" s="362" t="n"/>
      <c r="AB417" s="360" t="n"/>
      <c r="AC417" s="360" t="n"/>
      <c r="AD417" s="362" t="n">
        <v>132066</v>
      </c>
      <c r="AE417" s="360" t="n"/>
      <c r="AF417" s="615" t="n"/>
    </row>
    <row r="418">
      <c r="A418" s="220">
        <f>A417+1</f>
        <v/>
      </c>
      <c r="B418" s="222" t="inlineStr">
        <is>
          <t>THC Fee-Ex</t>
        </is>
      </c>
      <c r="C418" s="222" t="inlineStr">
        <is>
          <t>APL LOGISTICS (CAMBODIA) PTE LTD.</t>
        </is>
      </c>
      <c r="D418" s="223" t="inlineStr">
        <is>
          <t>L001-100046460</t>
        </is>
      </c>
      <c r="E418" s="349" t="inlineStr">
        <is>
          <t>APLL25003125</t>
        </is>
      </c>
      <c r="F418" s="332" t="n">
        <v>45797</v>
      </c>
      <c r="G418" s="224" t="n"/>
      <c r="H418" s="617" t="n"/>
      <c r="I418" s="617" t="n">
        <v>132099</v>
      </c>
      <c r="J418" s="221" t="inlineStr">
        <is>
          <t>អនុញ្ញាត (បានប្រកាស)</t>
        </is>
      </c>
      <c r="K418" s="221" t="n"/>
      <c r="L418" s="616">
        <f>I418</f>
        <v/>
      </c>
      <c r="M418" s="588">
        <f>I418-L418</f>
        <v/>
      </c>
      <c r="N418" s="221" t="n"/>
      <c r="O418" s="226">
        <f>U418=E418</f>
        <v/>
      </c>
      <c r="P418" s="226">
        <f>MONTH(F418)-MONTH(T418)</f>
        <v/>
      </c>
      <c r="Q418" s="226">
        <f>$B$5=X418</f>
        <v/>
      </c>
      <c r="R418" s="226">
        <f>I418-AD418</f>
        <v/>
      </c>
      <c r="S418" s="360" t="n"/>
      <c r="T418" s="361" t="n">
        <v>45797</v>
      </c>
      <c r="U418" s="360" t="inlineStr">
        <is>
          <t>APLL25003125</t>
        </is>
      </c>
      <c r="V418" s="360" t="n"/>
      <c r="W418" s="360" t="n"/>
      <c r="X418" s="360" t="n"/>
      <c r="Y418" s="360" t="inlineStr">
        <is>
          <t>ហូលីដេ ឌីហ្សាញ (ខេមបូឌា) ឯ.ក</t>
        </is>
      </c>
      <c r="Z418" s="362" t="n"/>
      <c r="AA418" s="362" t="n"/>
      <c r="AB418" s="360" t="n"/>
      <c r="AC418" s="360" t="n"/>
      <c r="AD418" s="362" t="n">
        <v>132099</v>
      </c>
      <c r="AE418" s="360" t="n"/>
      <c r="AF418" s="615" t="n"/>
    </row>
    <row r="419">
      <c r="A419" s="220">
        <f>A418+1</f>
        <v/>
      </c>
      <c r="B419" s="222" t="inlineStr">
        <is>
          <t>THC Fee-Ex</t>
        </is>
      </c>
      <c r="C419" s="222" t="inlineStr">
        <is>
          <t>APL LOGISTICS (CAMBODIA) PTE LTD.</t>
        </is>
      </c>
      <c r="D419" s="223" t="inlineStr">
        <is>
          <t>L001-100046460</t>
        </is>
      </c>
      <c r="E419" s="349" t="inlineStr">
        <is>
          <t>APLL25003130</t>
        </is>
      </c>
      <c r="F419" s="332" t="n">
        <v>45797</v>
      </c>
      <c r="G419" s="224" t="n"/>
      <c r="H419" s="617" t="n"/>
      <c r="I419" s="617" t="n">
        <v>132099</v>
      </c>
      <c r="J419" s="221" t="inlineStr">
        <is>
          <t>អនុញ្ញាត (បានប្រកាស)</t>
        </is>
      </c>
      <c r="K419" s="221" t="n"/>
      <c r="L419" s="616">
        <f>I419</f>
        <v/>
      </c>
      <c r="M419" s="588">
        <f>I419-L419</f>
        <v/>
      </c>
      <c r="N419" s="221" t="n"/>
      <c r="O419" s="226">
        <f>U419=E419</f>
        <v/>
      </c>
      <c r="P419" s="226">
        <f>MONTH(F419)-MONTH(T419)</f>
        <v/>
      </c>
      <c r="Q419" s="226">
        <f>$B$5=X419</f>
        <v/>
      </c>
      <c r="R419" s="226">
        <f>I419-AD419</f>
        <v/>
      </c>
      <c r="S419" s="360" t="n"/>
      <c r="T419" s="361" t="n">
        <v>45797</v>
      </c>
      <c r="U419" s="360" t="inlineStr">
        <is>
          <t>APLL25003130</t>
        </is>
      </c>
      <c r="V419" s="360" t="n"/>
      <c r="W419" s="360" t="n"/>
      <c r="X419" s="360" t="n"/>
      <c r="Y419" s="360" t="inlineStr">
        <is>
          <t>ហូលីដេ ឌីហ្សាញ (ខេមបូឌា) ឯ.ក</t>
        </is>
      </c>
      <c r="Z419" s="362" t="n"/>
      <c r="AA419" s="362" t="n"/>
      <c r="AB419" s="360" t="n"/>
      <c r="AC419" s="360" t="n"/>
      <c r="AD419" s="362" t="n">
        <v>132099</v>
      </c>
      <c r="AE419" s="360" t="n"/>
      <c r="AF419" s="615" t="n"/>
    </row>
    <row r="420">
      <c r="A420" s="220">
        <f>A419+1</f>
        <v/>
      </c>
      <c r="B420" s="222" t="inlineStr">
        <is>
          <t>THC Fee-Ex</t>
        </is>
      </c>
      <c r="C420" s="222" t="inlineStr">
        <is>
          <t>APL LOGISTICS (CAMBODIA) PTE LTD.</t>
        </is>
      </c>
      <c r="D420" s="223" t="inlineStr">
        <is>
          <t>L001-100046460</t>
        </is>
      </c>
      <c r="E420" s="349" t="inlineStr">
        <is>
          <t>APLL25003136</t>
        </is>
      </c>
      <c r="F420" s="332" t="n">
        <v>45797</v>
      </c>
      <c r="G420" s="224" t="n"/>
      <c r="H420" s="617" t="n"/>
      <c r="I420" s="617" t="n">
        <v>122092</v>
      </c>
      <c r="J420" s="221" t="inlineStr">
        <is>
          <t>អនុញ្ញាត (បានប្រកាស)</t>
        </is>
      </c>
      <c r="K420" s="221" t="n"/>
      <c r="L420" s="616">
        <f>I420</f>
        <v/>
      </c>
      <c r="M420" s="588">
        <f>I420-L420</f>
        <v/>
      </c>
      <c r="N420" s="221" t="n"/>
      <c r="O420" s="226">
        <f>U420=E420</f>
        <v/>
      </c>
      <c r="P420" s="226">
        <f>MONTH(F420)-MONTH(T420)</f>
        <v/>
      </c>
      <c r="Q420" s="226">
        <f>$B$5=X420</f>
        <v/>
      </c>
      <c r="R420" s="226">
        <f>I420-AD420</f>
        <v/>
      </c>
      <c r="S420" s="360" t="n"/>
      <c r="T420" s="361" t="n">
        <v>45797</v>
      </c>
      <c r="U420" s="360" t="inlineStr">
        <is>
          <t>APLL25003136</t>
        </is>
      </c>
      <c r="V420" s="360" t="n"/>
      <c r="W420" s="360" t="n"/>
      <c r="X420" s="360" t="n"/>
      <c r="Y420" s="360" t="inlineStr">
        <is>
          <t>ហូលីដេ ឌីហ្សាញ (ខេមបូឌា) ឯ.ក</t>
        </is>
      </c>
      <c r="Z420" s="362" t="n"/>
      <c r="AA420" s="362" t="n"/>
      <c r="AB420" s="360" t="n"/>
      <c r="AC420" s="360" t="n"/>
      <c r="AD420" s="362" t="n">
        <v>122092</v>
      </c>
      <c r="AE420" s="360" t="n"/>
      <c r="AF420" s="615" t="n"/>
    </row>
    <row r="421">
      <c r="A421" s="220">
        <f>A420+1</f>
        <v/>
      </c>
      <c r="B421" s="222" t="inlineStr">
        <is>
          <t>THC Fee-Ex</t>
        </is>
      </c>
      <c r="C421" s="222" t="inlineStr">
        <is>
          <t>APL LOGISTICS (CAMBODIA) PTE LTD.</t>
        </is>
      </c>
      <c r="D421" s="223" t="inlineStr">
        <is>
          <t>L001-100046460</t>
        </is>
      </c>
      <c r="E421" s="349" t="inlineStr">
        <is>
          <t>APLL25003097</t>
        </is>
      </c>
      <c r="F421" s="332" t="n">
        <v>45796</v>
      </c>
      <c r="G421" s="224" t="n"/>
      <c r="H421" s="617" t="n"/>
      <c r="I421" s="617" t="n">
        <v>132066</v>
      </c>
      <c r="J421" s="221" t="inlineStr">
        <is>
          <t>អនុញ្ញាត (បានប្រកាស)</t>
        </is>
      </c>
      <c r="K421" s="221" t="n"/>
      <c r="L421" s="616">
        <f>I421</f>
        <v/>
      </c>
      <c r="M421" s="588">
        <f>I421-L421</f>
        <v/>
      </c>
      <c r="N421" s="221" t="n"/>
      <c r="O421" s="226">
        <f>U421=E421</f>
        <v/>
      </c>
      <c r="P421" s="226">
        <f>MONTH(F421)-MONTH(T421)</f>
        <v/>
      </c>
      <c r="Q421" s="226">
        <f>$B$5=X421</f>
        <v/>
      </c>
      <c r="R421" s="226">
        <f>I421-AD421</f>
        <v/>
      </c>
      <c r="S421" s="360" t="n"/>
      <c r="T421" s="361" t="n">
        <v>45796</v>
      </c>
      <c r="U421" s="360" t="inlineStr">
        <is>
          <t>APLL25003097</t>
        </is>
      </c>
      <c r="V421" s="360" t="n"/>
      <c r="W421" s="360" t="n"/>
      <c r="X421" s="360" t="n"/>
      <c r="Y421" s="360" t="inlineStr">
        <is>
          <t>ហូលីដេ ឌីហ្សាញ (ខេមបូឌា) ឯ.ក</t>
        </is>
      </c>
      <c r="Z421" s="362" t="n"/>
      <c r="AA421" s="362" t="n"/>
      <c r="AB421" s="360" t="n"/>
      <c r="AC421" s="360" t="n"/>
      <c r="AD421" s="362" t="n">
        <v>132066</v>
      </c>
      <c r="AE421" s="360" t="n"/>
      <c r="AF421" s="615" t="n"/>
    </row>
    <row r="422">
      <c r="A422" s="220">
        <f>A421+1</f>
        <v/>
      </c>
      <c r="B422" s="222" t="inlineStr">
        <is>
          <t>THC Fee-Ex</t>
        </is>
      </c>
      <c r="C422" s="222" t="inlineStr">
        <is>
          <t>APL LOGISTICS (CAMBODIA) PTE LTD.</t>
        </is>
      </c>
      <c r="D422" s="223" t="inlineStr">
        <is>
          <t>L001-100046460</t>
        </is>
      </c>
      <c r="E422" s="349" t="inlineStr">
        <is>
          <t>APLL25003135</t>
        </is>
      </c>
      <c r="F422" s="332" t="n">
        <v>45797</v>
      </c>
      <c r="G422" s="224" t="n"/>
      <c r="H422" s="617" t="n"/>
      <c r="I422" s="617" t="n">
        <v>222167</v>
      </c>
      <c r="J422" s="221" t="inlineStr">
        <is>
          <t>អនុញ្ញាត (បានប្រកាស)</t>
        </is>
      </c>
      <c r="K422" s="221" t="n"/>
      <c r="L422" s="616">
        <f>I422</f>
        <v/>
      </c>
      <c r="M422" s="588">
        <f>I422-L422</f>
        <v/>
      </c>
      <c r="N422" s="221" t="n"/>
      <c r="O422" s="226">
        <f>U422=E422</f>
        <v/>
      </c>
      <c r="P422" s="226">
        <f>MONTH(F422)-MONTH(T422)</f>
        <v/>
      </c>
      <c r="Q422" s="226">
        <f>$B$5=X422</f>
        <v/>
      </c>
      <c r="R422" s="226">
        <f>I422-AD422</f>
        <v/>
      </c>
      <c r="S422" s="360" t="n"/>
      <c r="T422" s="361" t="n">
        <v>45797</v>
      </c>
      <c r="U422" s="360" t="inlineStr">
        <is>
          <t>APLL25003135</t>
        </is>
      </c>
      <c r="V422" s="360" t="n"/>
      <c r="W422" s="360" t="n"/>
      <c r="X422" s="360" t="n"/>
      <c r="Y422" s="360" t="inlineStr">
        <is>
          <t>ហូលីដេ ឌីហ្សាញ (ខេមបូឌា) ឯ.ក</t>
        </is>
      </c>
      <c r="Z422" s="362" t="n"/>
      <c r="AA422" s="362" t="n"/>
      <c r="AB422" s="360" t="n"/>
      <c r="AC422" s="360" t="n"/>
      <c r="AD422" s="362" t="n">
        <v>222167</v>
      </c>
      <c r="AE422" s="360" t="n"/>
      <c r="AF422" s="615" t="n"/>
    </row>
    <row r="423">
      <c r="A423" s="220">
        <f>A422+1</f>
        <v/>
      </c>
      <c r="B423" s="222" t="inlineStr">
        <is>
          <t>THC Fee-Ex</t>
        </is>
      </c>
      <c r="C423" s="222" t="inlineStr">
        <is>
          <t>APL LOGISTICS (CAMBODIA) PTE LTD.</t>
        </is>
      </c>
      <c r="D423" s="223" t="inlineStr">
        <is>
          <t>L001-100046460</t>
        </is>
      </c>
      <c r="E423" s="349" t="inlineStr">
        <is>
          <t>APLL25003096</t>
        </is>
      </c>
      <c r="F423" s="332" t="n">
        <v>45796</v>
      </c>
      <c r="G423" s="224" t="n"/>
      <c r="H423" s="617" t="n"/>
      <c r="I423" s="617" t="n">
        <v>132066</v>
      </c>
      <c r="J423" s="221" t="inlineStr">
        <is>
          <t>អនុញ្ញាត (បានប្រកាស)</t>
        </is>
      </c>
      <c r="K423" s="221" t="n"/>
      <c r="L423" s="616">
        <f>I423</f>
        <v/>
      </c>
      <c r="M423" s="588">
        <f>I423-L423</f>
        <v/>
      </c>
      <c r="N423" s="221" t="n"/>
      <c r="O423" s="226">
        <f>U423=E423</f>
        <v/>
      </c>
      <c r="P423" s="226">
        <f>MONTH(F423)-MONTH(T423)</f>
        <v/>
      </c>
      <c r="Q423" s="226">
        <f>$B$5=X423</f>
        <v/>
      </c>
      <c r="R423" s="226">
        <f>I423-AD423</f>
        <v/>
      </c>
      <c r="S423" s="360" t="n"/>
      <c r="T423" s="361" t="n">
        <v>45796</v>
      </c>
      <c r="U423" s="360" t="inlineStr">
        <is>
          <t>APLL25003096</t>
        </is>
      </c>
      <c r="V423" s="360" t="n"/>
      <c r="W423" s="360" t="n"/>
      <c r="X423" s="360" t="n"/>
      <c r="Y423" s="360" t="inlineStr">
        <is>
          <t>ហូលីដេ ឌីហ្សាញ (ខេមបូឌា) ឯ.ក</t>
        </is>
      </c>
      <c r="Z423" s="362" t="n"/>
      <c r="AA423" s="362" t="n"/>
      <c r="AB423" s="360" t="n"/>
      <c r="AC423" s="360" t="n"/>
      <c r="AD423" s="362" t="n">
        <v>132066</v>
      </c>
      <c r="AE423" s="360" t="n"/>
      <c r="AF423" s="615" t="n"/>
    </row>
    <row r="424">
      <c r="A424" s="220">
        <f>A423+1</f>
        <v/>
      </c>
      <c r="B424" s="222" t="inlineStr">
        <is>
          <t>THC Fee-Ex</t>
        </is>
      </c>
      <c r="C424" s="222" t="inlineStr">
        <is>
          <t>APL LOGISTICS (CAMBODIA) PTE LTD.</t>
        </is>
      </c>
      <c r="D424" s="223" t="inlineStr">
        <is>
          <t>L001-100046460</t>
        </is>
      </c>
      <c r="E424" s="349" t="inlineStr">
        <is>
          <t>APLL25003129</t>
        </is>
      </c>
      <c r="F424" s="332" t="n">
        <v>45797</v>
      </c>
      <c r="G424" s="224" t="n"/>
      <c r="H424" s="617" t="n"/>
      <c r="I424" s="617" t="n">
        <v>132099</v>
      </c>
      <c r="J424" s="221" t="inlineStr">
        <is>
          <t>អនុញ្ញាត (បានប្រកាស)</t>
        </is>
      </c>
      <c r="K424" s="221" t="n"/>
      <c r="L424" s="616">
        <f>I424</f>
        <v/>
      </c>
      <c r="M424" s="588">
        <f>I424-L424</f>
        <v/>
      </c>
      <c r="N424" s="221" t="n"/>
      <c r="O424" s="226">
        <f>U424=E424</f>
        <v/>
      </c>
      <c r="P424" s="226">
        <f>MONTH(F424)-MONTH(T424)</f>
        <v/>
      </c>
      <c r="Q424" s="226">
        <f>$B$5=X424</f>
        <v/>
      </c>
      <c r="R424" s="226">
        <f>I424-AD424</f>
        <v/>
      </c>
      <c r="S424" s="360" t="n"/>
      <c r="T424" s="361" t="n">
        <v>45797</v>
      </c>
      <c r="U424" s="360" t="inlineStr">
        <is>
          <t>APLL25003129</t>
        </is>
      </c>
      <c r="V424" s="360" t="n"/>
      <c r="W424" s="360" t="n"/>
      <c r="X424" s="360" t="n"/>
      <c r="Y424" s="360" t="inlineStr">
        <is>
          <t>ហូលីដេ ឌីហ្សាញ (ខេមបូឌា) ឯ.ក</t>
        </is>
      </c>
      <c r="Z424" s="362" t="n"/>
      <c r="AA424" s="362" t="n"/>
      <c r="AB424" s="360" t="n"/>
      <c r="AC424" s="360" t="n"/>
      <c r="AD424" s="362" t="n">
        <v>132099</v>
      </c>
      <c r="AE424" s="360" t="n"/>
      <c r="AF424" s="615" t="n"/>
    </row>
    <row r="425">
      <c r="A425" s="220">
        <f>A424+1</f>
        <v/>
      </c>
      <c r="B425" s="222" t="inlineStr">
        <is>
          <t>THC Fee-Ex</t>
        </is>
      </c>
      <c r="C425" s="222" t="inlineStr">
        <is>
          <t>APL LOGISTICS (CAMBODIA) PTE LTD.</t>
        </is>
      </c>
      <c r="D425" s="223" t="inlineStr">
        <is>
          <t>L001-100046460</t>
        </is>
      </c>
      <c r="E425" s="349" t="inlineStr">
        <is>
          <t>APLL25003090</t>
        </is>
      </c>
      <c r="F425" s="332" t="n">
        <v>45796</v>
      </c>
      <c r="G425" s="224" t="n"/>
      <c r="H425" s="617" t="n"/>
      <c r="I425" s="617" t="n">
        <v>456228</v>
      </c>
      <c r="J425" s="221" t="inlineStr">
        <is>
          <t>អនុញ្ញាត (បានប្រកាស)</t>
        </is>
      </c>
      <c r="K425" s="221" t="n"/>
      <c r="L425" s="616">
        <f>I425</f>
        <v/>
      </c>
      <c r="M425" s="588">
        <f>I425-L425</f>
        <v/>
      </c>
      <c r="N425" s="221" t="n"/>
      <c r="O425" s="226">
        <f>U425=E425</f>
        <v/>
      </c>
      <c r="P425" s="226">
        <f>MONTH(F425)-MONTH(T425)</f>
        <v/>
      </c>
      <c r="Q425" s="226">
        <f>$B$5=X425</f>
        <v/>
      </c>
      <c r="R425" s="226">
        <f>I425-AD425</f>
        <v/>
      </c>
      <c r="S425" s="360" t="n"/>
      <c r="T425" s="361" t="n">
        <v>45796</v>
      </c>
      <c r="U425" s="360" t="inlineStr">
        <is>
          <t>APLL25003090</t>
        </is>
      </c>
      <c r="V425" s="360" t="n"/>
      <c r="W425" s="360" t="n"/>
      <c r="X425" s="360" t="n"/>
      <c r="Y425" s="360" t="inlineStr">
        <is>
          <t>ហូលីដេ ឌីហ្សាញ (ខេមបូឌា) ឯ.ក</t>
        </is>
      </c>
      <c r="Z425" s="362" t="n"/>
      <c r="AA425" s="362" t="n"/>
      <c r="AB425" s="360" t="n"/>
      <c r="AC425" s="360" t="n"/>
      <c r="AD425" s="362" t="n">
        <v>456228</v>
      </c>
      <c r="AE425" s="360" t="n"/>
      <c r="AF425" s="615" t="n"/>
    </row>
    <row r="426">
      <c r="A426" s="220">
        <f>A425+1</f>
        <v/>
      </c>
      <c r="B426" s="222" t="inlineStr">
        <is>
          <t>THC Fee-Ex</t>
        </is>
      </c>
      <c r="C426" s="222" t="inlineStr">
        <is>
          <t>APL LOGISTICS (CAMBODIA) PTE LTD.</t>
        </is>
      </c>
      <c r="D426" s="223" t="inlineStr">
        <is>
          <t>L001-100046460</t>
        </is>
      </c>
      <c r="E426" s="349" t="inlineStr">
        <is>
          <t>APLL25003093</t>
        </is>
      </c>
      <c r="F426" s="332" t="n">
        <v>45796</v>
      </c>
      <c r="G426" s="224" t="n"/>
      <c r="H426" s="617" t="n"/>
      <c r="I426" s="617" t="n">
        <v>164082</v>
      </c>
      <c r="J426" s="221" t="inlineStr">
        <is>
          <t>អនុញ្ញាត (បានប្រកាស)</t>
        </is>
      </c>
      <c r="K426" s="221" t="n"/>
      <c r="L426" s="616">
        <f>I426</f>
        <v/>
      </c>
      <c r="M426" s="588">
        <f>I426-L426</f>
        <v/>
      </c>
      <c r="N426" s="221" t="n"/>
      <c r="O426" s="226">
        <f>U426=E426</f>
        <v/>
      </c>
      <c r="P426" s="226">
        <f>MONTH(F426)-MONTH(T426)</f>
        <v/>
      </c>
      <c r="Q426" s="226">
        <f>$B$5=X426</f>
        <v/>
      </c>
      <c r="R426" s="226">
        <f>I426-AD426</f>
        <v/>
      </c>
      <c r="S426" s="360" t="n"/>
      <c r="T426" s="361" t="n">
        <v>45796</v>
      </c>
      <c r="U426" s="360" t="inlineStr">
        <is>
          <t>APLL25003093</t>
        </is>
      </c>
      <c r="V426" s="360" t="n"/>
      <c r="W426" s="360" t="n"/>
      <c r="X426" s="360" t="n"/>
      <c r="Y426" s="360" t="inlineStr">
        <is>
          <t>ហូលីដេ ឌីហ្សាញ (ខេមបូឌា) ឯ.ក</t>
        </is>
      </c>
      <c r="Z426" s="362" t="n"/>
      <c r="AA426" s="362" t="n"/>
      <c r="AB426" s="360" t="n"/>
      <c r="AC426" s="360" t="n"/>
      <c r="AD426" s="362" t="n">
        <v>164082</v>
      </c>
      <c r="AE426" s="360" t="n"/>
      <c r="AF426" s="615" t="n"/>
    </row>
    <row r="427">
      <c r="A427" s="220">
        <f>A426+1</f>
        <v/>
      </c>
      <c r="B427" s="222" t="inlineStr">
        <is>
          <t>THC Fee-Ex</t>
        </is>
      </c>
      <c r="C427" s="222" t="inlineStr">
        <is>
          <t>APL LOGISTICS (CAMBODIA) PTE LTD.</t>
        </is>
      </c>
      <c r="D427" s="223" t="inlineStr">
        <is>
          <t>L001-100046460</t>
        </is>
      </c>
      <c r="E427" s="349" t="inlineStr">
        <is>
          <t>APLL25003128</t>
        </is>
      </c>
      <c r="F427" s="332" t="n">
        <v>45797</v>
      </c>
      <c r="G427" s="224" t="n"/>
      <c r="H427" s="617" t="n"/>
      <c r="I427" s="617" t="n">
        <v>132099</v>
      </c>
      <c r="J427" s="221" t="inlineStr">
        <is>
          <t>អនុញ្ញាត (បានប្រកាស)</t>
        </is>
      </c>
      <c r="K427" s="221" t="n"/>
      <c r="L427" s="616">
        <f>I427</f>
        <v/>
      </c>
      <c r="M427" s="588">
        <f>I427-L427</f>
        <v/>
      </c>
      <c r="N427" s="221" t="n"/>
      <c r="O427" s="226">
        <f>U427=E427</f>
        <v/>
      </c>
      <c r="P427" s="226">
        <f>MONTH(F427)-MONTH(T427)</f>
        <v/>
      </c>
      <c r="Q427" s="226">
        <f>$B$5=X427</f>
        <v/>
      </c>
      <c r="R427" s="226">
        <f>I427-AD427</f>
        <v/>
      </c>
      <c r="S427" s="360" t="n"/>
      <c r="T427" s="361" t="n">
        <v>45797</v>
      </c>
      <c r="U427" s="360" t="inlineStr">
        <is>
          <t>APLL25003128</t>
        </is>
      </c>
      <c r="V427" s="360" t="n"/>
      <c r="W427" s="360" t="n"/>
      <c r="X427" s="360" t="n"/>
      <c r="Y427" s="360" t="inlineStr">
        <is>
          <t>ហូលីដេ ឌីហ្សាញ (ខេមបូឌា) ឯ.ក</t>
        </is>
      </c>
      <c r="Z427" s="362" t="n"/>
      <c r="AA427" s="362" t="n"/>
      <c r="AB427" s="360" t="n"/>
      <c r="AC427" s="360" t="n"/>
      <c r="AD427" s="362" t="n">
        <v>132099</v>
      </c>
      <c r="AE427" s="360" t="n"/>
      <c r="AF427" s="615" t="n"/>
    </row>
    <row r="428">
      <c r="A428" s="220">
        <f>A427+1</f>
        <v/>
      </c>
      <c r="B428" s="222" t="inlineStr">
        <is>
          <t>THC Fee-Ex</t>
        </is>
      </c>
      <c r="C428" s="222" t="inlineStr">
        <is>
          <t>APL LOGISTICS (CAMBODIA) PTE LTD.</t>
        </is>
      </c>
      <c r="D428" s="223" t="inlineStr">
        <is>
          <t>L001-100046460</t>
        </is>
      </c>
      <c r="E428" s="349" t="inlineStr">
        <is>
          <t>APLL25003127</t>
        </is>
      </c>
      <c r="F428" s="332" t="n">
        <v>45797</v>
      </c>
      <c r="G428" s="224" t="n"/>
      <c r="H428" s="617" t="n"/>
      <c r="I428" s="617" t="n">
        <v>132099</v>
      </c>
      <c r="J428" s="221" t="inlineStr">
        <is>
          <t>អនុញ្ញាត (បានប្រកាស)</t>
        </is>
      </c>
      <c r="K428" s="221" t="n"/>
      <c r="L428" s="616">
        <f>I428</f>
        <v/>
      </c>
      <c r="M428" s="588">
        <f>I428-L428</f>
        <v/>
      </c>
      <c r="N428" s="221" t="n"/>
      <c r="O428" s="226">
        <f>U428=E428</f>
        <v/>
      </c>
      <c r="P428" s="226">
        <f>MONTH(F428)-MONTH(T428)</f>
        <v/>
      </c>
      <c r="Q428" s="226">
        <f>$B$5=X428</f>
        <v/>
      </c>
      <c r="R428" s="226">
        <f>I428-AD428</f>
        <v/>
      </c>
      <c r="S428" s="360" t="n"/>
      <c r="T428" s="361" t="n">
        <v>45797</v>
      </c>
      <c r="U428" s="360" t="inlineStr">
        <is>
          <t>APLL25003127</t>
        </is>
      </c>
      <c r="V428" s="360" t="n"/>
      <c r="W428" s="360" t="n"/>
      <c r="X428" s="360" t="n"/>
      <c r="Y428" s="360" t="inlineStr">
        <is>
          <t>ហូលីដេ ឌីហ្សាញ (ខេមបូឌា) ឯ.ក</t>
        </is>
      </c>
      <c r="Z428" s="362" t="n"/>
      <c r="AA428" s="362" t="n"/>
      <c r="AB428" s="360" t="n"/>
      <c r="AC428" s="360" t="n"/>
      <c r="AD428" s="362" t="n">
        <v>132099</v>
      </c>
      <c r="AE428" s="360" t="n"/>
      <c r="AF428" s="615" t="n"/>
    </row>
    <row r="429">
      <c r="A429" s="220">
        <f>A428+1</f>
        <v/>
      </c>
      <c r="B429" s="222" t="inlineStr">
        <is>
          <t>THC Fee-Ex</t>
        </is>
      </c>
      <c r="C429" s="222" t="inlineStr">
        <is>
          <t>APL LOGISTICS (CAMBODIA) PTE LTD.</t>
        </is>
      </c>
      <c r="D429" s="223" t="inlineStr">
        <is>
          <t>L001-100046460</t>
        </is>
      </c>
      <c r="E429" s="349" t="inlineStr">
        <is>
          <t>APLL25003089</t>
        </is>
      </c>
      <c r="F429" s="332" t="n">
        <v>45796</v>
      </c>
      <c r="G429" s="224" t="n"/>
      <c r="H429" s="617" t="n"/>
      <c r="I429" s="617" t="n">
        <v>240120</v>
      </c>
      <c r="J429" s="221" t="inlineStr">
        <is>
          <t>អនុញ្ញាត (បានប្រកាស)</t>
        </is>
      </c>
      <c r="K429" s="221" t="n"/>
      <c r="L429" s="616">
        <f>I429</f>
        <v/>
      </c>
      <c r="M429" s="588">
        <f>I429-L429</f>
        <v/>
      </c>
      <c r="N429" s="221" t="n"/>
      <c r="O429" s="226">
        <f>U429=E429</f>
        <v/>
      </c>
      <c r="P429" s="226">
        <f>MONTH(F429)-MONTH(T429)</f>
        <v/>
      </c>
      <c r="Q429" s="226">
        <f>$B$5=X429</f>
        <v/>
      </c>
      <c r="R429" s="226">
        <f>I429-AD429</f>
        <v/>
      </c>
      <c r="S429" s="360" t="n"/>
      <c r="T429" s="361" t="n">
        <v>45796</v>
      </c>
      <c r="U429" s="360" t="inlineStr">
        <is>
          <t>APLL25003089</t>
        </is>
      </c>
      <c r="V429" s="360" t="n"/>
      <c r="W429" s="360" t="n"/>
      <c r="X429" s="360" t="n"/>
      <c r="Y429" s="360" t="inlineStr">
        <is>
          <t>ហូលីដេ ឌីហ្សាញ (ខេមបូឌា) ឯ.ក</t>
        </is>
      </c>
      <c r="Z429" s="362" t="n"/>
      <c r="AA429" s="362" t="n"/>
      <c r="AB429" s="360" t="n"/>
      <c r="AC429" s="360" t="n"/>
      <c r="AD429" s="362" t="n">
        <v>240120</v>
      </c>
      <c r="AE429" s="360" t="n"/>
      <c r="AF429" s="615" t="n"/>
    </row>
    <row r="430">
      <c r="A430" s="220">
        <f>A429+1</f>
        <v/>
      </c>
      <c r="B430" s="222" t="inlineStr">
        <is>
          <t>THC Fee-Ex</t>
        </is>
      </c>
      <c r="C430" s="222" t="inlineStr">
        <is>
          <t>APL LOGISTICS (CAMBODIA) PTE LTD.</t>
        </is>
      </c>
      <c r="D430" s="223" t="inlineStr">
        <is>
          <t>L001-100046460</t>
        </is>
      </c>
      <c r="E430" s="349" t="inlineStr">
        <is>
          <t>APLL25003099</t>
        </is>
      </c>
      <c r="F430" s="332" t="n">
        <v>45796</v>
      </c>
      <c r="G430" s="224" t="n"/>
      <c r="H430" s="617" t="n"/>
      <c r="I430" s="617" t="n">
        <v>132066</v>
      </c>
      <c r="J430" s="221" t="inlineStr">
        <is>
          <t>អនុញ្ញាត (បានប្រកាស)</t>
        </is>
      </c>
      <c r="K430" s="221" t="n"/>
      <c r="L430" s="616">
        <f>I430</f>
        <v/>
      </c>
      <c r="M430" s="588">
        <f>I430-L430</f>
        <v/>
      </c>
      <c r="N430" s="221" t="n"/>
      <c r="O430" s="226">
        <f>U430=E430</f>
        <v/>
      </c>
      <c r="P430" s="226">
        <f>MONTH(F430)-MONTH(T430)</f>
        <v/>
      </c>
      <c r="Q430" s="226">
        <f>$B$5=X430</f>
        <v/>
      </c>
      <c r="R430" s="226">
        <f>I430-AD430</f>
        <v/>
      </c>
      <c r="S430" s="360" t="n"/>
      <c r="T430" s="361" t="n">
        <v>45796</v>
      </c>
      <c r="U430" s="360" t="inlineStr">
        <is>
          <t>APLL25003099</t>
        </is>
      </c>
      <c r="V430" s="360" t="n"/>
      <c r="W430" s="360" t="n"/>
      <c r="X430" s="360" t="n"/>
      <c r="Y430" s="360" t="inlineStr">
        <is>
          <t>ហូលីដេ ឌីហ្សាញ (ខេមបូឌា) ឯ.ក</t>
        </is>
      </c>
      <c r="Z430" s="362" t="n"/>
      <c r="AA430" s="362" t="n"/>
      <c r="AB430" s="360" t="n"/>
      <c r="AC430" s="360" t="n"/>
      <c r="AD430" s="362" t="n">
        <v>132066</v>
      </c>
      <c r="AE430" s="360" t="n"/>
      <c r="AF430" s="615" t="n"/>
    </row>
    <row r="431">
      <c r="A431" s="220">
        <f>A430+1</f>
        <v/>
      </c>
      <c r="B431" s="222" t="inlineStr">
        <is>
          <t>THC Fee-Ex</t>
        </is>
      </c>
      <c r="C431" s="222" t="inlineStr">
        <is>
          <t>APL LOGISTICS (CAMBODIA) PTE LTD.</t>
        </is>
      </c>
      <c r="D431" s="223" t="inlineStr">
        <is>
          <t>L001-100046460</t>
        </is>
      </c>
      <c r="E431" s="349" t="inlineStr">
        <is>
          <t>APLL25003126</t>
        </is>
      </c>
      <c r="F431" s="332" t="n">
        <v>45797</v>
      </c>
      <c r="G431" s="224" t="n"/>
      <c r="H431" s="617" t="n"/>
      <c r="I431" s="617" t="n">
        <v>164123</v>
      </c>
      <c r="J431" s="221" t="inlineStr">
        <is>
          <t>អនុញ្ញាត (បានប្រកាស)</t>
        </is>
      </c>
      <c r="K431" s="221" t="n"/>
      <c r="L431" s="616">
        <f>I431</f>
        <v/>
      </c>
      <c r="M431" s="588">
        <f>I431-L431</f>
        <v/>
      </c>
      <c r="N431" s="221" t="n"/>
      <c r="O431" s="226">
        <f>U431=E431</f>
        <v/>
      </c>
      <c r="P431" s="226">
        <f>MONTH(F431)-MONTH(T431)</f>
        <v/>
      </c>
      <c r="Q431" s="226">
        <f>$B$5=X431</f>
        <v/>
      </c>
      <c r="R431" s="226">
        <f>I431-AD431</f>
        <v/>
      </c>
      <c r="S431" s="360" t="n"/>
      <c r="T431" s="361" t="n">
        <v>45797</v>
      </c>
      <c r="U431" s="360" t="inlineStr">
        <is>
          <t>APLL25003126</t>
        </is>
      </c>
      <c r="V431" s="360" t="n"/>
      <c r="W431" s="360" t="n"/>
      <c r="X431" s="360" t="n"/>
      <c r="Y431" s="360" t="inlineStr">
        <is>
          <t>ហូលីដេ ឌីហ្សាញ (ខេមបូឌា) ឯ.ក</t>
        </is>
      </c>
      <c r="Z431" s="362" t="n"/>
      <c r="AA431" s="362" t="n"/>
      <c r="AB431" s="360" t="n"/>
      <c r="AC431" s="360" t="n"/>
      <c r="AD431" s="362" t="n">
        <v>164123</v>
      </c>
      <c r="AE431" s="360" t="n"/>
      <c r="AF431" s="615" t="n"/>
    </row>
    <row r="432">
      <c r="A432" s="220">
        <f>A431+1</f>
        <v/>
      </c>
      <c r="B432" s="222" t="inlineStr">
        <is>
          <t>Service Fee</t>
        </is>
      </c>
      <c r="C432" s="222" t="inlineStr">
        <is>
          <t>BUREAU VERITAS (CAMBODIA) LIMITED</t>
        </is>
      </c>
      <c r="D432" s="223" t="inlineStr">
        <is>
          <t>L001-107024462</t>
        </is>
      </c>
      <c r="E432" s="349" t="n">
        <v>59019388</v>
      </c>
      <c r="F432" s="332" t="n">
        <v>45638</v>
      </c>
      <c r="G432" s="224" t="n"/>
      <c r="H432" s="617" t="n"/>
      <c r="I432" s="617" t="n">
        <v>473888</v>
      </c>
      <c r="J432" s="221" t="inlineStr">
        <is>
          <t>អនុញ្ញាត (បានប្រកាស)</t>
        </is>
      </c>
      <c r="K432" s="221" t="n"/>
      <c r="L432" s="616">
        <f>I432</f>
        <v/>
      </c>
      <c r="M432" s="588">
        <f>I432-L432</f>
        <v/>
      </c>
      <c r="N432" s="221" t="n"/>
      <c r="O432" s="226">
        <f>U432=E432</f>
        <v/>
      </c>
      <c r="P432" s="226">
        <f>MONTH(F432)-MONTH(T432)</f>
        <v/>
      </c>
      <c r="Q432" s="226">
        <f>$B$5=X432</f>
        <v/>
      </c>
      <c r="R432" s="226">
        <f>I432-AD432</f>
        <v/>
      </c>
      <c r="S432" s="360" t="n"/>
      <c r="T432" s="361" t="n">
        <v>45638</v>
      </c>
      <c r="U432" s="360" t="n">
        <v>59019388</v>
      </c>
      <c r="V432" s="360" t="n"/>
      <c r="W432" s="360" t="inlineStr">
        <is>
          <t>បុគ្គលជាប់អាករ</t>
        </is>
      </c>
      <c r="X432" s="360" t="inlineStr">
        <is>
          <t>L001-901640009</t>
        </is>
      </c>
      <c r="Y432" s="360" t="inlineStr">
        <is>
          <t>ហូលីដេ ឌីហ្សាញ (ខេមបូឌា) ឯ.ក</t>
        </is>
      </c>
      <c r="Z432" s="362" t="n">
        <v>5212768</v>
      </c>
      <c r="AA432" s="362" t="n">
        <v>4738880</v>
      </c>
      <c r="AB432" s="360" t="n">
        <v>0</v>
      </c>
      <c r="AC432" s="360" t="inlineStr">
        <is>
          <t>-</t>
        </is>
      </c>
      <c r="AD432" s="362" t="n">
        <v>473888</v>
      </c>
      <c r="AE432" s="360" t="n">
        <v>0</v>
      </c>
      <c r="AF432" s="615" t="n">
        <v>0</v>
      </c>
      <c r="AG432" s="203" t="n">
        <v>0</v>
      </c>
      <c r="AH432" s="203" t="n">
        <v>0</v>
      </c>
      <c r="AI432" s="203" t="n">
        <v>0</v>
      </c>
      <c r="AJ432" s="203" t="n">
        <v>0</v>
      </c>
      <c r="AK432" s="203" t="n">
        <v>0</v>
      </c>
      <c r="AL432" s="203" t="n">
        <v>0.01</v>
      </c>
      <c r="AN432" s="203" t="inlineStr">
        <is>
          <t>ចំនូលបានមកពីការលក់</t>
        </is>
      </c>
    </row>
    <row r="433">
      <c r="A433" s="220">
        <f>A432+1</f>
        <v/>
      </c>
      <c r="B433" s="222" t="inlineStr">
        <is>
          <t>THC Fee-Ex</t>
        </is>
      </c>
      <c r="C433" s="222" t="inlineStr">
        <is>
          <t>APL LOGISTICS (CAMBODIA) PTE LTD.</t>
        </is>
      </c>
      <c r="D433" s="223" t="inlineStr">
        <is>
          <t>L001-100046460</t>
        </is>
      </c>
      <c r="E433" s="349" t="inlineStr">
        <is>
          <t>APLL25003091</t>
        </is>
      </c>
      <c r="F433" s="332" t="n">
        <v>45796</v>
      </c>
      <c r="G433" s="224" t="n"/>
      <c r="H433" s="617" t="n"/>
      <c r="I433" s="617" t="n">
        <v>240120</v>
      </c>
      <c r="J433" s="221" t="inlineStr">
        <is>
          <t>អនុញ្ញាត (បានប្រកាស)</t>
        </is>
      </c>
      <c r="K433" s="221" t="n"/>
      <c r="L433" s="616">
        <f>I433</f>
        <v/>
      </c>
      <c r="M433" s="588">
        <f>I433-L433</f>
        <v/>
      </c>
      <c r="N433" s="221" t="n"/>
      <c r="O433" s="226">
        <f>U433=E433</f>
        <v/>
      </c>
      <c r="P433" s="226">
        <f>MONTH(F433)-MONTH(T433)</f>
        <v/>
      </c>
      <c r="Q433" s="226">
        <f>$B$5=X433</f>
        <v/>
      </c>
      <c r="R433" s="226">
        <f>I433-AD433</f>
        <v/>
      </c>
      <c r="S433" s="360" t="n"/>
      <c r="T433" s="361" t="n">
        <v>45796</v>
      </c>
      <c r="U433" s="360" t="inlineStr">
        <is>
          <t>APLL25003091</t>
        </is>
      </c>
      <c r="V433" s="360" t="n"/>
      <c r="W433" s="360" t="n"/>
      <c r="X433" s="360" t="n"/>
      <c r="Y433" s="360" t="inlineStr">
        <is>
          <t>ហូលីដេ ឌីហ្សាញ (ខេមបូឌា) ឯ.ក</t>
        </is>
      </c>
      <c r="Z433" s="362" t="n"/>
      <c r="AA433" s="362" t="n"/>
      <c r="AB433" s="360" t="n"/>
      <c r="AC433" s="360" t="n"/>
      <c r="AD433" s="362" t="n">
        <v>240120</v>
      </c>
      <c r="AE433" s="360" t="n"/>
      <c r="AF433" s="615" t="n"/>
    </row>
    <row r="434">
      <c r="A434" s="220">
        <f>A433+1</f>
        <v/>
      </c>
      <c r="B434" s="222" t="inlineStr">
        <is>
          <t>THC Fee-Ex</t>
        </is>
      </c>
      <c r="C434" s="222" t="inlineStr">
        <is>
          <t>APL LOGISTICS (CAMBODIA) PTE LTD.</t>
        </is>
      </c>
      <c r="D434" s="223" t="inlineStr">
        <is>
          <t>L001-100046460</t>
        </is>
      </c>
      <c r="E434" s="349" t="inlineStr">
        <is>
          <t>APLL25003098</t>
        </is>
      </c>
      <c r="F434" s="332" t="n">
        <v>45796</v>
      </c>
      <c r="G434" s="224" t="n"/>
      <c r="H434" s="617" t="n"/>
      <c r="I434" s="617" t="n">
        <v>240120</v>
      </c>
      <c r="J434" s="221" t="inlineStr">
        <is>
          <t>អនុញ្ញាត (បានប្រកាស)</t>
        </is>
      </c>
      <c r="K434" s="221" t="n"/>
      <c r="L434" s="616">
        <f>I434</f>
        <v/>
      </c>
      <c r="M434" s="588">
        <f>I434-L434</f>
        <v/>
      </c>
      <c r="N434" s="221" t="n"/>
      <c r="O434" s="226">
        <f>U434=E434</f>
        <v/>
      </c>
      <c r="P434" s="226">
        <f>MONTH(F434)-MONTH(T434)</f>
        <v/>
      </c>
      <c r="Q434" s="226">
        <f>$B$5=X434</f>
        <v/>
      </c>
      <c r="R434" s="226">
        <f>I434-AD434</f>
        <v/>
      </c>
      <c r="S434" s="360" t="n"/>
      <c r="T434" s="361" t="n">
        <v>45796</v>
      </c>
      <c r="U434" s="360" t="inlineStr">
        <is>
          <t>APLL25003098</t>
        </is>
      </c>
      <c r="V434" s="360" t="n"/>
      <c r="W434" s="360" t="n"/>
      <c r="X434" s="360" t="n"/>
      <c r="Y434" s="360" t="inlineStr">
        <is>
          <t>ហូលីដេ ឌីហ្សាញ (ខេមបូឌា) ឯ.ក</t>
        </is>
      </c>
      <c r="Z434" s="362" t="n"/>
      <c r="AA434" s="362" t="n"/>
      <c r="AB434" s="360" t="n"/>
      <c r="AC434" s="360" t="n"/>
      <c r="AD434" s="362" t="n">
        <v>240120</v>
      </c>
      <c r="AE434" s="360" t="n"/>
      <c r="AF434" s="615" t="n"/>
    </row>
    <row r="435">
      <c r="A435" s="220">
        <f>A434+1</f>
        <v/>
      </c>
      <c r="B435" s="222" t="inlineStr">
        <is>
          <t>THC Fee-Ex</t>
        </is>
      </c>
      <c r="C435" s="222" t="inlineStr">
        <is>
          <t>APL LOGISTICS (CAMBODIA) PTE LTD.</t>
        </is>
      </c>
      <c r="D435" s="223" t="inlineStr">
        <is>
          <t>L001-100046460</t>
        </is>
      </c>
      <c r="E435" s="349" t="inlineStr">
        <is>
          <t>APLL25003092</t>
        </is>
      </c>
      <c r="F435" s="332" t="n">
        <v>45796</v>
      </c>
      <c r="G435" s="224" t="n"/>
      <c r="H435" s="617" t="n"/>
      <c r="I435" s="617" t="n">
        <v>132066</v>
      </c>
      <c r="J435" s="221" t="inlineStr">
        <is>
          <t>អនុញ្ញាត (បានប្រកាស)</t>
        </is>
      </c>
      <c r="K435" s="221" t="n"/>
      <c r="L435" s="616">
        <f>I435</f>
        <v/>
      </c>
      <c r="M435" s="588">
        <f>I435-L435</f>
        <v/>
      </c>
      <c r="N435" s="221" t="n"/>
      <c r="O435" s="226">
        <f>U435=E435</f>
        <v/>
      </c>
      <c r="P435" s="226">
        <f>MONTH(F435)-MONTH(T435)</f>
        <v/>
      </c>
      <c r="Q435" s="226">
        <f>$B$5=X435</f>
        <v/>
      </c>
      <c r="R435" s="226">
        <f>I435-AD435</f>
        <v/>
      </c>
      <c r="S435" s="360" t="n"/>
      <c r="T435" s="361" t="n">
        <v>45796</v>
      </c>
      <c r="U435" s="360" t="inlineStr">
        <is>
          <t>APLL25003092</t>
        </is>
      </c>
      <c r="V435" s="360" t="n"/>
      <c r="W435" s="360" t="n"/>
      <c r="X435" s="360" t="n"/>
      <c r="Y435" s="360" t="inlineStr">
        <is>
          <t>ហូលីដេ ឌីហ្សាញ (ខេមបូឌា) ឯ.ក</t>
        </is>
      </c>
      <c r="Z435" s="362" t="n"/>
      <c r="AA435" s="362" t="n"/>
      <c r="AB435" s="360" t="n"/>
      <c r="AC435" s="360" t="n"/>
      <c r="AD435" s="362" t="n">
        <v>132066</v>
      </c>
      <c r="AE435" s="360" t="n"/>
      <c r="AF435" s="615" t="n"/>
    </row>
    <row r="436" ht="23.4" customHeight="1" s="397" thickBot="1">
      <c r="A436" s="220">
        <f>A435+1</f>
        <v/>
      </c>
      <c r="B436" s="222" t="inlineStr">
        <is>
          <t>THC Fee-Ex</t>
        </is>
      </c>
      <c r="C436" s="222" t="inlineStr">
        <is>
          <t>APL LOGISTICS (CAMBODIA) PTE LTD.</t>
        </is>
      </c>
      <c r="D436" s="223" t="inlineStr">
        <is>
          <t>L001-100046460</t>
        </is>
      </c>
      <c r="E436" s="349" t="inlineStr">
        <is>
          <t>APLL25003177</t>
        </is>
      </c>
      <c r="F436" s="332" t="n">
        <v>45798</v>
      </c>
      <c r="G436" s="224" t="n"/>
      <c r="H436" s="617" t="n"/>
      <c r="I436" s="617" t="n">
        <v>888666</v>
      </c>
      <c r="J436" s="221" t="inlineStr">
        <is>
          <t>អនុញ្ញាត (បានប្រកាស)</t>
        </is>
      </c>
      <c r="K436" s="221" t="n"/>
      <c r="L436" s="616">
        <f>I436</f>
        <v/>
      </c>
      <c r="M436" s="588">
        <f>I436-L436</f>
        <v/>
      </c>
      <c r="N436" s="221" t="n"/>
      <c r="O436" s="226">
        <f>U436=E436</f>
        <v/>
      </c>
      <c r="P436" s="226">
        <f>MONTH(F436)-MONTH(T436)</f>
        <v/>
      </c>
      <c r="Q436" s="226">
        <f>$B$5=X436</f>
        <v/>
      </c>
      <c r="R436" s="226">
        <f>I436-AD436</f>
        <v/>
      </c>
      <c r="S436" s="360" t="n"/>
      <c r="T436" s="361" t="n">
        <v>45798</v>
      </c>
      <c r="U436" s="360" t="inlineStr">
        <is>
          <t>APLL25003177</t>
        </is>
      </c>
      <c r="V436" s="360" t="n"/>
      <c r="W436" s="360" t="n"/>
      <c r="X436" s="360" t="n"/>
      <c r="Y436" s="360" t="inlineStr">
        <is>
          <t>ហូលីដេ ឌីហ្សាញ (ខេមបូឌា) ឯ.ក</t>
        </is>
      </c>
      <c r="Z436" s="362" t="n"/>
      <c r="AA436" s="362" t="n"/>
      <c r="AB436" s="360" t="n"/>
      <c r="AC436" s="360" t="n"/>
      <c r="AD436" s="362" t="n">
        <v>888666</v>
      </c>
      <c r="AE436" s="360" t="n"/>
      <c r="AF436" s="615" t="n"/>
    </row>
    <row r="437" ht="23.4" customHeight="1" s="397" thickBot="1">
      <c r="A437" s="220">
        <f>A436+1</f>
        <v/>
      </c>
      <c r="B437" s="222" t="inlineStr">
        <is>
          <t>THC Fee-Ex</t>
        </is>
      </c>
      <c r="C437" s="222" t="inlineStr">
        <is>
          <t>APL LOGISTICS (CAMBODIA) PTE LTD.</t>
        </is>
      </c>
      <c r="D437" s="223" t="inlineStr">
        <is>
          <t>L001-100046460</t>
        </is>
      </c>
      <c r="E437" s="349" t="inlineStr">
        <is>
          <t>APLL25003171</t>
        </is>
      </c>
      <c r="F437" s="332" t="n">
        <v>45798</v>
      </c>
      <c r="G437" s="224" t="n"/>
      <c r="H437" s="617" t="n"/>
      <c r="I437" s="617" t="n">
        <v>240180</v>
      </c>
      <c r="J437" s="221" t="inlineStr">
        <is>
          <t>អនុញ្ញាត (បានប្រកាស)</t>
        </is>
      </c>
      <c r="K437" s="221" t="n"/>
      <c r="L437" s="616">
        <f>I437</f>
        <v/>
      </c>
      <c r="M437" s="588">
        <f>I437-L437</f>
        <v/>
      </c>
      <c r="N437" s="221" t="n"/>
      <c r="O437" s="226">
        <f>U437=E437</f>
        <v/>
      </c>
      <c r="P437" s="226">
        <f>MONTH(F437)-MONTH(T437)</f>
        <v/>
      </c>
      <c r="Q437" s="226">
        <f>$B$5=X437</f>
        <v/>
      </c>
      <c r="R437" s="226">
        <f>I437-AD437</f>
        <v/>
      </c>
      <c r="S437" s="360" t="n"/>
      <c r="T437" s="367" t="n">
        <v>45798</v>
      </c>
      <c r="U437" s="368" t="inlineStr">
        <is>
          <t>APLL25003171</t>
        </is>
      </c>
      <c r="V437" s="368" t="n"/>
      <c r="W437" s="368" t="n"/>
      <c r="X437" s="369" t="n"/>
      <c r="Y437" s="370" t="inlineStr">
        <is>
          <t>ហូលីដេ ឌីហ្សាញ (ខេមបូឌា) ឯ.ក</t>
        </is>
      </c>
      <c r="Z437" s="371" t="n"/>
      <c r="AA437" s="371" t="n"/>
      <c r="AB437" s="371" t="n"/>
      <c r="AC437" s="372" t="n"/>
      <c r="AD437" s="371" t="n">
        <v>240180</v>
      </c>
      <c r="AE437" s="371" t="n"/>
      <c r="AF437" s="371" t="n"/>
      <c r="AG437" s="371" t="n"/>
      <c r="AH437" s="371" t="n"/>
      <c r="AI437" s="371" t="n"/>
      <c r="AJ437" s="371" t="n"/>
      <c r="AK437" s="371" t="n"/>
      <c r="AL437" s="373" t="n"/>
      <c r="AM437" s="372" t="n"/>
      <c r="AN437" s="370" t="n"/>
    </row>
    <row r="438" ht="23.4" customHeight="1" s="397" thickBot="1">
      <c r="A438" s="220">
        <f>A437+1</f>
        <v/>
      </c>
      <c r="B438" s="222" t="inlineStr">
        <is>
          <t>THC Fee-Ex</t>
        </is>
      </c>
      <c r="C438" s="222" t="inlineStr">
        <is>
          <t>APL LOGISTICS (CAMBODIA) PTE LTD.</t>
        </is>
      </c>
      <c r="D438" s="223" t="inlineStr">
        <is>
          <t>L001-100046460</t>
        </is>
      </c>
      <c r="E438" s="349" t="inlineStr">
        <is>
          <t>APLL25003189</t>
        </is>
      </c>
      <c r="F438" s="332" t="n">
        <v>45798</v>
      </c>
      <c r="G438" s="224" t="n"/>
      <c r="H438" s="617" t="n"/>
      <c r="I438" s="617" t="n">
        <v>132099</v>
      </c>
      <c r="J438" s="221" t="inlineStr">
        <is>
          <t>អនុញ្ញាត (បានប្រកាស)</t>
        </is>
      </c>
      <c r="K438" s="221" t="n"/>
      <c r="L438" s="616">
        <f>I438</f>
        <v/>
      </c>
      <c r="M438" s="588">
        <f>I438-L438</f>
        <v/>
      </c>
      <c r="N438" s="221" t="n"/>
      <c r="O438" s="226">
        <f>U438=E438</f>
        <v/>
      </c>
      <c r="P438" s="226">
        <f>MONTH(F438)-MONTH(T438)</f>
        <v/>
      </c>
      <c r="Q438" s="226">
        <f>$B$5=X438</f>
        <v/>
      </c>
      <c r="R438" s="226">
        <f>I438-AD438</f>
        <v/>
      </c>
      <c r="S438" s="360" t="n"/>
      <c r="T438" s="367" t="n">
        <v>45798</v>
      </c>
      <c r="U438" s="368" t="inlineStr">
        <is>
          <t>APLL25003189</t>
        </is>
      </c>
      <c r="V438" s="368" t="n"/>
      <c r="W438" s="368" t="n"/>
      <c r="X438" s="369" t="n"/>
      <c r="Y438" s="370" t="inlineStr">
        <is>
          <t>ហូលីដេ ឌីហ្សាញ (ខេមបូឌា) ឯ.ក</t>
        </is>
      </c>
      <c r="Z438" s="371" t="n"/>
      <c r="AA438" s="371" t="n"/>
      <c r="AB438" s="371" t="n"/>
      <c r="AC438" s="372" t="n"/>
      <c r="AD438" s="371" t="n">
        <v>132099</v>
      </c>
      <c r="AE438" s="371" t="n"/>
      <c r="AF438" s="371" t="n"/>
      <c r="AG438" s="371" t="n"/>
      <c r="AH438" s="371" t="n"/>
      <c r="AI438" s="371" t="n"/>
      <c r="AJ438" s="371" t="n"/>
      <c r="AK438" s="371" t="n"/>
      <c r="AL438" s="373" t="n"/>
      <c r="AM438" s="372" t="n"/>
      <c r="AN438" s="370" t="n"/>
    </row>
    <row r="439">
      <c r="A439" s="220">
        <f>A438+1</f>
        <v/>
      </c>
      <c r="B439" s="222" t="inlineStr">
        <is>
          <t>THC Fee-Ex</t>
        </is>
      </c>
      <c r="C439" s="222" t="inlineStr">
        <is>
          <t>APL LOGISTICS (CAMBODIA) PTE LTD.</t>
        </is>
      </c>
      <c r="D439" s="223" t="inlineStr">
        <is>
          <t>L001-100046460</t>
        </is>
      </c>
      <c r="E439" s="349" t="inlineStr">
        <is>
          <t>APLL25003179</t>
        </is>
      </c>
      <c r="F439" s="332" t="n">
        <v>45798</v>
      </c>
      <c r="G439" s="224" t="n"/>
      <c r="H439" s="617" t="n"/>
      <c r="I439" s="617" t="n">
        <v>240180</v>
      </c>
      <c r="J439" s="221" t="inlineStr">
        <is>
          <t>អនុញ្ញាត (បានប្រកាស)</t>
        </is>
      </c>
      <c r="K439" s="221" t="n"/>
      <c r="L439" s="616">
        <f>I439</f>
        <v/>
      </c>
      <c r="M439" s="588">
        <f>I439-L439</f>
        <v/>
      </c>
      <c r="N439" s="221" t="n"/>
      <c r="O439" s="226">
        <f>U439=E439</f>
        <v/>
      </c>
      <c r="P439" s="226">
        <f>MONTH(F439)-MONTH(T439)</f>
        <v/>
      </c>
      <c r="Q439" s="226">
        <f>$B$5=X439</f>
        <v/>
      </c>
      <c r="R439" s="226">
        <f>I439-AD439</f>
        <v/>
      </c>
      <c r="S439" s="360" t="n"/>
      <c r="T439" s="361" t="n">
        <v>45798</v>
      </c>
      <c r="U439" s="360" t="inlineStr">
        <is>
          <t>APLL25003179</t>
        </is>
      </c>
      <c r="V439" s="360" t="n"/>
      <c r="W439" s="360" t="n"/>
      <c r="X439" s="360" t="n"/>
      <c r="Y439" s="360" t="inlineStr">
        <is>
          <t>ហូលីដេ ឌីហ្សាញ (ខេមបូឌា) ឯ.ក</t>
        </is>
      </c>
      <c r="Z439" s="362" t="n"/>
      <c r="AA439" s="362" t="n"/>
      <c r="AB439" s="360" t="n"/>
      <c r="AC439" s="360" t="n"/>
      <c r="AD439" s="362" t="n">
        <v>240180</v>
      </c>
      <c r="AE439" s="360" t="n"/>
      <c r="AF439" s="615" t="n"/>
    </row>
    <row r="440">
      <c r="A440" s="220">
        <f>A439+1</f>
        <v/>
      </c>
      <c r="B440" s="222" t="inlineStr">
        <is>
          <t>THC Fee-Ex</t>
        </is>
      </c>
      <c r="C440" s="222" t="inlineStr">
        <is>
          <t>APL LOGISTICS (CAMBODIA) PTE LTD.</t>
        </is>
      </c>
      <c r="D440" s="223" t="inlineStr">
        <is>
          <t>L001-100046460</t>
        </is>
      </c>
      <c r="E440" s="349" t="inlineStr">
        <is>
          <t>APLL25003188</t>
        </is>
      </c>
      <c r="F440" s="332" t="n">
        <v>45798</v>
      </c>
      <c r="G440" s="224" t="n"/>
      <c r="H440" s="617" t="n"/>
      <c r="I440" s="617" t="n">
        <v>240180</v>
      </c>
      <c r="J440" s="221" t="inlineStr">
        <is>
          <t>អនុញ្ញាត (បានប្រកាស)</t>
        </is>
      </c>
      <c r="K440" s="221" t="n"/>
      <c r="L440" s="616">
        <f>I440</f>
        <v/>
      </c>
      <c r="M440" s="588">
        <f>I440-L440</f>
        <v/>
      </c>
      <c r="N440" s="221" t="n"/>
      <c r="O440" s="226">
        <f>U440=E440</f>
        <v/>
      </c>
      <c r="P440" s="226">
        <f>MONTH(F440)-MONTH(T440)</f>
        <v/>
      </c>
      <c r="Q440" s="226">
        <f>$B$5=X440</f>
        <v/>
      </c>
      <c r="R440" s="226">
        <f>I440-AD440</f>
        <v/>
      </c>
      <c r="S440" s="360" t="n"/>
      <c r="T440" s="361" t="n">
        <v>45798</v>
      </c>
      <c r="U440" s="360" t="inlineStr">
        <is>
          <t>APLL25003188</t>
        </is>
      </c>
      <c r="V440" s="360" t="n"/>
      <c r="W440" s="360" t="n"/>
      <c r="X440" s="360" t="n"/>
      <c r="Y440" s="360" t="inlineStr">
        <is>
          <t>ហូលីដេ ឌីហ្សាញ (ខេមបូឌា) ឯ.ក</t>
        </is>
      </c>
      <c r="Z440" s="362" t="n"/>
      <c r="AA440" s="362" t="n"/>
      <c r="AB440" s="360" t="n"/>
      <c r="AC440" s="360" t="n"/>
      <c r="AD440" s="362" t="n">
        <v>240180</v>
      </c>
      <c r="AE440" s="360" t="n"/>
      <c r="AF440" s="615" t="n"/>
    </row>
    <row r="441">
      <c r="A441" s="220">
        <f>A440+1</f>
        <v/>
      </c>
      <c r="B441" s="222" t="inlineStr">
        <is>
          <t>THC Fee-Ex</t>
        </is>
      </c>
      <c r="C441" s="222" t="inlineStr">
        <is>
          <t>APL LOGISTICS (CAMBODIA) PTE LTD.</t>
        </is>
      </c>
      <c r="D441" s="223" t="inlineStr">
        <is>
          <t>L001-100046460</t>
        </is>
      </c>
      <c r="E441" s="349" t="inlineStr">
        <is>
          <t>APLL25003185</t>
        </is>
      </c>
      <c r="F441" s="332" t="n">
        <v>45798</v>
      </c>
      <c r="G441" s="224" t="n"/>
      <c r="H441" s="617" t="n"/>
      <c r="I441" s="617" t="n">
        <v>996747</v>
      </c>
      <c r="J441" s="221" t="inlineStr">
        <is>
          <t>អនុញ្ញាត (បានប្រកាស)</t>
        </is>
      </c>
      <c r="K441" s="221" t="n"/>
      <c r="L441" s="616">
        <f>I441</f>
        <v/>
      </c>
      <c r="M441" s="588">
        <f>I441-L441</f>
        <v/>
      </c>
      <c r="N441" s="221" t="n"/>
      <c r="O441" s="226">
        <f>U441=E441</f>
        <v/>
      </c>
      <c r="P441" s="226">
        <f>MONTH(F441)-MONTH(T441)</f>
        <v/>
      </c>
      <c r="Q441" s="226">
        <f>$B$5=X441</f>
        <v/>
      </c>
      <c r="R441" s="226">
        <f>I441-AD441</f>
        <v/>
      </c>
      <c r="S441" s="360" t="n"/>
      <c r="T441" s="361" t="n">
        <v>45798</v>
      </c>
      <c r="U441" s="360" t="inlineStr">
        <is>
          <t>APLL25003185</t>
        </is>
      </c>
      <c r="V441" s="360" t="n"/>
      <c r="W441" s="360" t="n"/>
      <c r="X441" s="360" t="n"/>
      <c r="Y441" s="360" t="inlineStr">
        <is>
          <t>ហូលីដេ ឌីហ្សាញ (ខេមបូឌា) ឯ.ក</t>
        </is>
      </c>
      <c r="Z441" s="362" t="n"/>
      <c r="AA441" s="362" t="n"/>
      <c r="AB441" s="360" t="n"/>
      <c r="AC441" s="360" t="n"/>
      <c r="AD441" s="362" t="n">
        <v>996747</v>
      </c>
      <c r="AE441" s="360" t="n"/>
      <c r="AF441" s="615" t="n"/>
    </row>
    <row r="442">
      <c r="A442" s="220">
        <f>A441+1</f>
        <v/>
      </c>
      <c r="B442" s="222" t="inlineStr">
        <is>
          <t>THC Fee-Ex</t>
        </is>
      </c>
      <c r="C442" s="222" t="inlineStr">
        <is>
          <t>APL LOGISTICS (CAMBODIA) PTE LTD.</t>
        </is>
      </c>
      <c r="D442" s="223" t="inlineStr">
        <is>
          <t>L001-100046460</t>
        </is>
      </c>
      <c r="E442" s="349" t="inlineStr">
        <is>
          <t>APLL25003170</t>
        </is>
      </c>
      <c r="F442" s="332" t="n">
        <v>45798</v>
      </c>
      <c r="G442" s="224" t="n"/>
      <c r="H442" s="617" t="n"/>
      <c r="I442" s="617" t="n">
        <v>996747</v>
      </c>
      <c r="J442" s="221" t="inlineStr">
        <is>
          <t>អនុញ្ញាត (បានប្រកាស)</t>
        </is>
      </c>
      <c r="K442" s="221" t="n"/>
      <c r="L442" s="616">
        <f>I442</f>
        <v/>
      </c>
      <c r="M442" s="588">
        <f>I442-L442</f>
        <v/>
      </c>
      <c r="N442" s="221" t="n"/>
      <c r="O442" s="226">
        <f>U442=E442</f>
        <v/>
      </c>
      <c r="P442" s="226">
        <f>MONTH(F442)-MONTH(T442)</f>
        <v/>
      </c>
      <c r="Q442" s="226">
        <f>$B$5=X442</f>
        <v/>
      </c>
      <c r="R442" s="226">
        <f>I442-AD442</f>
        <v/>
      </c>
      <c r="S442" s="360" t="n"/>
      <c r="T442" s="361" t="n">
        <v>45798</v>
      </c>
      <c r="U442" s="360" t="inlineStr">
        <is>
          <t>APLL25003170</t>
        </is>
      </c>
      <c r="V442" s="360" t="n"/>
      <c r="W442" s="360" t="n"/>
      <c r="X442" s="360" t="n"/>
      <c r="Y442" s="360" t="inlineStr">
        <is>
          <t>ហូលីដេ ឌីហ្សាញ (ខេមបូឌា) ឯ.ក</t>
        </is>
      </c>
      <c r="Z442" s="362" t="n"/>
      <c r="AA442" s="362" t="n"/>
      <c r="AB442" s="360" t="n"/>
      <c r="AC442" s="360" t="n"/>
      <c r="AD442" s="362" t="n">
        <v>996747</v>
      </c>
      <c r="AE442" s="360" t="n"/>
      <c r="AF442" s="615" t="n"/>
    </row>
    <row r="443">
      <c r="A443" s="220">
        <f>A442+1</f>
        <v/>
      </c>
      <c r="B443" s="222" t="inlineStr">
        <is>
          <t>THC Fee-Ex</t>
        </is>
      </c>
      <c r="C443" s="222" t="inlineStr">
        <is>
          <t>APL LOGISTICS (CAMBODIA) PTE LTD.</t>
        </is>
      </c>
      <c r="D443" s="223" t="inlineStr">
        <is>
          <t>L001-100046460</t>
        </is>
      </c>
      <c r="E443" s="349" t="inlineStr">
        <is>
          <t>APLL25003182</t>
        </is>
      </c>
      <c r="F443" s="332" t="n">
        <v>45798</v>
      </c>
      <c r="G443" s="224" t="n"/>
      <c r="H443" s="617" t="n"/>
      <c r="I443" s="617" t="n">
        <v>240180</v>
      </c>
      <c r="J443" s="221" t="inlineStr">
        <is>
          <t>អនុញ្ញាត (បានប្រកាស)</t>
        </is>
      </c>
      <c r="K443" s="221" t="n"/>
      <c r="L443" s="616">
        <f>I443</f>
        <v/>
      </c>
      <c r="M443" s="588">
        <f>I443-L443</f>
        <v/>
      </c>
      <c r="N443" s="221" t="n"/>
      <c r="O443" s="226">
        <f>U443=E443</f>
        <v/>
      </c>
      <c r="P443" s="226">
        <f>MONTH(F443)-MONTH(T443)</f>
        <v/>
      </c>
      <c r="Q443" s="226">
        <f>$B$5=X443</f>
        <v/>
      </c>
      <c r="R443" s="226">
        <f>I443-AD443</f>
        <v/>
      </c>
      <c r="S443" s="360" t="n"/>
      <c r="T443" s="361" t="n">
        <v>45798</v>
      </c>
      <c r="U443" s="360" t="inlineStr">
        <is>
          <t>APLL25003182</t>
        </is>
      </c>
      <c r="V443" s="360" t="n"/>
      <c r="W443" s="360" t="n"/>
      <c r="X443" s="360" t="n"/>
      <c r="Y443" s="360" t="inlineStr">
        <is>
          <t>ហូលីដេ ឌីហ្សាញ (ខេមបូឌា) ឯ.ក</t>
        </is>
      </c>
      <c r="Z443" s="362" t="n"/>
      <c r="AA443" s="362" t="n"/>
      <c r="AB443" s="360" t="n"/>
      <c r="AC443" s="360" t="n"/>
      <c r="AD443" s="362" t="n">
        <v>240180</v>
      </c>
      <c r="AE443" s="360" t="n"/>
      <c r="AF443" s="615" t="n"/>
    </row>
    <row r="444">
      <c r="A444" s="220">
        <f>A443+1</f>
        <v/>
      </c>
      <c r="B444" s="222" t="inlineStr">
        <is>
          <t>THC Fee-Ex</t>
        </is>
      </c>
      <c r="C444" s="222" t="inlineStr">
        <is>
          <t>APL LOGISTICS (CAMBODIA) PTE LTD.</t>
        </is>
      </c>
      <c r="D444" s="223" t="inlineStr">
        <is>
          <t>L001-100046460</t>
        </is>
      </c>
      <c r="E444" s="349" t="inlineStr">
        <is>
          <t>APLL25003190</t>
        </is>
      </c>
      <c r="F444" s="332" t="n">
        <v>45798</v>
      </c>
      <c r="G444" s="224" t="n"/>
      <c r="H444" s="617" t="n"/>
      <c r="I444" s="617" t="n">
        <v>672504</v>
      </c>
      <c r="J444" s="221" t="inlineStr">
        <is>
          <t>អនុញ្ញាត (បានប្រកាស)</t>
        </is>
      </c>
      <c r="K444" s="221" t="n"/>
      <c r="L444" s="616">
        <f>I444</f>
        <v/>
      </c>
      <c r="M444" s="588">
        <f>I444-L444</f>
        <v/>
      </c>
      <c r="N444" s="221" t="n"/>
      <c r="O444" s="226">
        <f>U444=E444</f>
        <v/>
      </c>
      <c r="P444" s="226">
        <f>MONTH(F444)-MONTH(T444)</f>
        <v/>
      </c>
      <c r="Q444" s="226">
        <f>$B$5=X444</f>
        <v/>
      </c>
      <c r="R444" s="226">
        <f>I444-AD444</f>
        <v/>
      </c>
      <c r="S444" s="360" t="n"/>
      <c r="T444" s="361" t="n">
        <v>45798</v>
      </c>
      <c r="U444" s="360" t="inlineStr">
        <is>
          <t>APLL25003190</t>
        </is>
      </c>
      <c r="V444" s="360" t="n"/>
      <c r="W444" s="360" t="n"/>
      <c r="X444" s="360" t="n"/>
      <c r="Y444" s="360" t="inlineStr">
        <is>
          <t>ហូលីដេ ឌីហ្សាញ (ខេមបូឌា) ឯ.ក</t>
        </is>
      </c>
      <c r="Z444" s="362" t="n"/>
      <c r="AA444" s="362" t="n"/>
      <c r="AB444" s="360" t="n"/>
      <c r="AC444" s="360" t="n"/>
      <c r="AD444" s="362" t="n">
        <v>672504</v>
      </c>
      <c r="AE444" s="360" t="n"/>
      <c r="AF444" s="615" t="n"/>
    </row>
    <row r="445">
      <c r="A445" s="220">
        <f>A444+1</f>
        <v/>
      </c>
      <c r="B445" s="222" t="inlineStr">
        <is>
          <t>THC Fee-Ex</t>
        </is>
      </c>
      <c r="C445" s="222" t="inlineStr">
        <is>
          <t>APL LOGISTICS (CAMBODIA) PTE LTD.</t>
        </is>
      </c>
      <c r="D445" s="223" t="inlineStr">
        <is>
          <t>L001-100046460</t>
        </is>
      </c>
      <c r="E445" s="349" t="inlineStr">
        <is>
          <t>APLL25003184</t>
        </is>
      </c>
      <c r="F445" s="332" t="n">
        <v>45798</v>
      </c>
      <c r="G445" s="224" t="n"/>
      <c r="H445" s="617" t="n"/>
      <c r="I445" s="617" t="n">
        <v>722542</v>
      </c>
      <c r="J445" s="221" t="inlineStr">
        <is>
          <t>អនុញ្ញាត (បានប្រកាស)</t>
        </is>
      </c>
      <c r="K445" s="221" t="n"/>
      <c r="L445" s="616">
        <f>I445</f>
        <v/>
      </c>
      <c r="M445" s="588">
        <f>I445-L445</f>
        <v/>
      </c>
      <c r="N445" s="221" t="n"/>
      <c r="O445" s="226">
        <f>U445=E445</f>
        <v/>
      </c>
      <c r="P445" s="226">
        <f>MONTH(F445)-MONTH(T445)</f>
        <v/>
      </c>
      <c r="Q445" s="226">
        <f>$B$5=X445</f>
        <v/>
      </c>
      <c r="R445" s="226">
        <f>I445-AD445</f>
        <v/>
      </c>
      <c r="S445" s="360" t="n"/>
      <c r="T445" s="361" t="n">
        <v>45798</v>
      </c>
      <c r="U445" s="360" t="inlineStr">
        <is>
          <t>APLL25003184</t>
        </is>
      </c>
      <c r="V445" s="360" t="n"/>
      <c r="W445" s="360" t="n"/>
      <c r="X445" s="360" t="n"/>
      <c r="Y445" s="360" t="inlineStr">
        <is>
          <t>ហូលីដេ ឌីហ្សាញ (ខេមបូឌា) ឯ.ក</t>
        </is>
      </c>
      <c r="Z445" s="362" t="n"/>
      <c r="AA445" s="362" t="n"/>
      <c r="AB445" s="360" t="n"/>
      <c r="AC445" s="360" t="n"/>
      <c r="AD445" s="362" t="n">
        <v>722542</v>
      </c>
      <c r="AE445" s="360" t="n"/>
      <c r="AF445" s="615" t="n"/>
    </row>
    <row r="446">
      <c r="A446" s="220">
        <f>A445+1</f>
        <v/>
      </c>
      <c r="B446" s="222" t="inlineStr">
        <is>
          <t>THC Fee-Ex</t>
        </is>
      </c>
      <c r="C446" s="222" t="inlineStr">
        <is>
          <t>APL LOGISTICS (CAMBODIA) PTE LTD.</t>
        </is>
      </c>
      <c r="D446" s="223" t="inlineStr">
        <is>
          <t>L001-100046460</t>
        </is>
      </c>
      <c r="E446" s="349" t="inlineStr">
        <is>
          <t>APLL25003132</t>
        </is>
      </c>
      <c r="F446" s="332" t="n">
        <v>45797</v>
      </c>
      <c r="G446" s="224" t="n"/>
      <c r="H446" s="617" t="n"/>
      <c r="I446" s="617" t="n">
        <v>284213</v>
      </c>
      <c r="J446" s="221" t="inlineStr">
        <is>
          <t>អនុញ្ញាត (បានប្រកាស)</t>
        </is>
      </c>
      <c r="K446" s="221" t="n"/>
      <c r="L446" s="616">
        <f>I446</f>
        <v/>
      </c>
      <c r="M446" s="588">
        <f>I446-L446</f>
        <v/>
      </c>
      <c r="N446" s="221" t="n"/>
      <c r="O446" s="226">
        <f>U446=E446</f>
        <v/>
      </c>
      <c r="P446" s="226">
        <f>MONTH(F446)-MONTH(T446)</f>
        <v/>
      </c>
      <c r="Q446" s="226">
        <f>$B$5=X446</f>
        <v/>
      </c>
      <c r="R446" s="226">
        <f>I446-AD446</f>
        <v/>
      </c>
      <c r="S446" s="360" t="inlineStr">
        <is>
          <t>Wrong invoice number</t>
        </is>
      </c>
      <c r="T446" s="361" t="n">
        <v>45797</v>
      </c>
      <c r="U446" s="360" t="inlineStr">
        <is>
          <t>APLL25003132</t>
        </is>
      </c>
      <c r="V446" s="360" t="n"/>
      <c r="W446" s="360" t="n"/>
      <c r="X446" s="360" t="n"/>
      <c r="Y446" s="360" t="inlineStr">
        <is>
          <t>ហូលីដេ ឌីហ្សាញ (ខេមបូឌា) ឯ.ក</t>
        </is>
      </c>
      <c r="Z446" s="362" t="n"/>
      <c r="AA446" s="362" t="n"/>
      <c r="AB446" s="360" t="n"/>
      <c r="AC446" s="360" t="n"/>
      <c r="AD446" s="362" t="n">
        <v>284213</v>
      </c>
      <c r="AE446" s="360" t="n"/>
      <c r="AF446" s="615" t="n"/>
    </row>
    <row r="447">
      <c r="A447" s="220">
        <f>A446+1</f>
        <v/>
      </c>
      <c r="B447" s="222" t="inlineStr">
        <is>
          <t>THC Fee-Ex</t>
        </is>
      </c>
      <c r="C447" s="222" t="inlineStr">
        <is>
          <t>APL LOGISTICS (CAMBODIA) PTE LTD.</t>
        </is>
      </c>
      <c r="D447" s="223" t="inlineStr">
        <is>
          <t>L001-100046460</t>
        </is>
      </c>
      <c r="E447" s="349" t="inlineStr">
        <is>
          <t>APLL25003187</t>
        </is>
      </c>
      <c r="F447" s="332" t="n">
        <v>45798</v>
      </c>
      <c r="G447" s="224" t="n"/>
      <c r="H447" s="617" t="n"/>
      <c r="I447" s="617" t="n">
        <v>564423</v>
      </c>
      <c r="J447" s="221" t="inlineStr">
        <is>
          <t>អនុញ្ញាត (បានប្រកាស)</t>
        </is>
      </c>
      <c r="K447" s="221" t="n"/>
      <c r="L447" s="616">
        <f>I447</f>
        <v/>
      </c>
      <c r="M447" s="588">
        <f>I447-L447</f>
        <v/>
      </c>
      <c r="N447" s="221" t="n"/>
      <c r="O447" s="226">
        <f>U447=E447</f>
        <v/>
      </c>
      <c r="P447" s="226">
        <f>MONTH(F447)-MONTH(T447)</f>
        <v/>
      </c>
      <c r="Q447" s="226">
        <f>$B$5=X447</f>
        <v/>
      </c>
      <c r="R447" s="226">
        <f>I447-AD447</f>
        <v/>
      </c>
      <c r="S447" s="360" t="n"/>
      <c r="T447" s="361" t="n">
        <v>45798</v>
      </c>
      <c r="U447" s="360" t="inlineStr">
        <is>
          <t>APLL25003187</t>
        </is>
      </c>
      <c r="V447" s="360" t="n"/>
      <c r="W447" s="360" t="n"/>
      <c r="X447" s="360" t="n"/>
      <c r="Y447" s="360" t="inlineStr">
        <is>
          <t>ហូលីដេ ឌីហ្សាញ (ខេមបូឌា) ឯ.ក</t>
        </is>
      </c>
      <c r="Z447" s="362" t="n"/>
      <c r="AA447" s="362" t="n"/>
      <c r="AB447" s="360" t="n"/>
      <c r="AC447" s="360" t="n"/>
      <c r="AD447" s="362" t="n">
        <v>564423</v>
      </c>
      <c r="AE447" s="360" t="n"/>
      <c r="AF447" s="615" t="n"/>
    </row>
    <row r="448">
      <c r="A448" s="220">
        <f>A447+1</f>
        <v/>
      </c>
      <c r="B448" s="222" t="inlineStr">
        <is>
          <t>THC Fee-Ex</t>
        </is>
      </c>
      <c r="C448" s="222" t="inlineStr">
        <is>
          <t>APL LOGISTICS (CAMBODIA) PTE LTD.</t>
        </is>
      </c>
      <c r="D448" s="223" t="inlineStr">
        <is>
          <t>L001-100046460</t>
        </is>
      </c>
      <c r="E448" s="349" t="inlineStr">
        <is>
          <t>APLL25003174</t>
        </is>
      </c>
      <c r="F448" s="332" t="n">
        <v>45798</v>
      </c>
      <c r="G448" s="224" t="n"/>
      <c r="H448" s="617" t="n"/>
      <c r="I448" s="617" t="n">
        <v>240180</v>
      </c>
      <c r="J448" s="221" t="inlineStr">
        <is>
          <t>អនុញ្ញាត (បានប្រកាស)</t>
        </is>
      </c>
      <c r="K448" s="221" t="n"/>
      <c r="L448" s="616">
        <f>I448</f>
        <v/>
      </c>
      <c r="M448" s="588">
        <f>I448-L448</f>
        <v/>
      </c>
      <c r="N448" s="221" t="n"/>
      <c r="O448" s="226">
        <f>U448=E448</f>
        <v/>
      </c>
      <c r="P448" s="226">
        <f>MONTH(F448)-MONTH(T448)</f>
        <v/>
      </c>
      <c r="Q448" s="226">
        <f>$B$5=X448</f>
        <v/>
      </c>
      <c r="R448" s="226">
        <f>I448-AD448</f>
        <v/>
      </c>
      <c r="S448" s="360" t="n"/>
      <c r="T448" s="361" t="n">
        <v>45798</v>
      </c>
      <c r="U448" s="360" t="inlineStr">
        <is>
          <t>APLL25003174</t>
        </is>
      </c>
      <c r="V448" s="360" t="n"/>
      <c r="W448" s="360" t="n"/>
      <c r="X448" s="360" t="n"/>
      <c r="Y448" s="360" t="inlineStr">
        <is>
          <t>ហូលីដេ ឌីហ្សាញ (ខេមបូឌា) ឯ.ក</t>
        </is>
      </c>
      <c r="Z448" s="362" t="n"/>
      <c r="AA448" s="362" t="n"/>
      <c r="AB448" s="360" t="n"/>
      <c r="AC448" s="360" t="n"/>
      <c r="AD448" s="362" t="n">
        <v>240180</v>
      </c>
      <c r="AE448" s="360" t="n"/>
      <c r="AF448" s="615" t="n"/>
    </row>
    <row r="449">
      <c r="A449" s="220">
        <f>A448+1</f>
        <v/>
      </c>
      <c r="B449" s="222" t="inlineStr">
        <is>
          <t>THC Fee-Ex</t>
        </is>
      </c>
      <c r="C449" s="222" t="inlineStr">
        <is>
          <t>APL LOGISTICS (CAMBODIA) PTE LTD.</t>
        </is>
      </c>
      <c r="D449" s="223" t="inlineStr">
        <is>
          <t>L001-100046460</t>
        </is>
      </c>
      <c r="E449" s="349" t="inlineStr">
        <is>
          <t>APLL25003031</t>
        </is>
      </c>
      <c r="F449" s="332" t="n">
        <v>45793</v>
      </c>
      <c r="G449" s="224" t="n"/>
      <c r="H449" s="617" t="n"/>
      <c r="I449" s="617" t="n">
        <v>1104552</v>
      </c>
      <c r="J449" s="221" t="inlineStr">
        <is>
          <t>អនុញ្ញាត (បានប្រកាស)</t>
        </is>
      </c>
      <c r="K449" s="221" t="n"/>
      <c r="L449" s="616">
        <f>I449</f>
        <v/>
      </c>
      <c r="M449" s="588">
        <f>I449-L449</f>
        <v/>
      </c>
      <c r="N449" s="221" t="n"/>
      <c r="O449" s="226">
        <f>U449=E449</f>
        <v/>
      </c>
      <c r="P449" s="226">
        <f>MONTH(F449)-MONTH(T449)</f>
        <v/>
      </c>
      <c r="Q449" s="226">
        <f>$B$5=X449</f>
        <v/>
      </c>
      <c r="R449" s="226">
        <f>I449-AD449</f>
        <v/>
      </c>
      <c r="S449" s="360" t="n"/>
      <c r="T449" s="361" t="n">
        <v>45793</v>
      </c>
      <c r="U449" s="360" t="inlineStr">
        <is>
          <t>APLL25003031</t>
        </is>
      </c>
      <c r="V449" s="360" t="n"/>
      <c r="W449" s="360" t="n"/>
      <c r="X449" s="360" t="n"/>
      <c r="Y449" s="360" t="inlineStr">
        <is>
          <t>ហូលីដេ ឌីហ្សាញ (ខេមបូឌា) ឯ.ក</t>
        </is>
      </c>
      <c r="Z449" s="362" t="n"/>
      <c r="AA449" s="362" t="n"/>
      <c r="AB449" s="360" t="n"/>
      <c r="AC449" s="360" t="n"/>
      <c r="AD449" s="362" t="n">
        <v>1104552</v>
      </c>
      <c r="AE449" s="360" t="n"/>
      <c r="AF449" s="615" t="n"/>
    </row>
    <row r="450">
      <c r="A450" s="220">
        <f>A449+1</f>
        <v/>
      </c>
      <c r="B450" s="222" t="inlineStr">
        <is>
          <t>THC Fee-Ex</t>
        </is>
      </c>
      <c r="C450" s="222" t="inlineStr">
        <is>
          <t>APL LOGISTICS (CAMBODIA) PTE LTD.</t>
        </is>
      </c>
      <c r="D450" s="223" t="inlineStr">
        <is>
          <t>L001-100046460</t>
        </is>
      </c>
      <c r="E450" s="349" t="inlineStr">
        <is>
          <t>APLL25003030</t>
        </is>
      </c>
      <c r="F450" s="332" t="n">
        <v>45793</v>
      </c>
      <c r="G450" s="224" t="n"/>
      <c r="H450" s="617" t="n"/>
      <c r="I450" s="617" t="n">
        <v>456228</v>
      </c>
      <c r="J450" s="221" t="inlineStr">
        <is>
          <t>អនុញ្ញាត (បានប្រកាស)</t>
        </is>
      </c>
      <c r="K450" s="221" t="n"/>
      <c r="L450" s="616">
        <f>I450</f>
        <v/>
      </c>
      <c r="M450" s="588">
        <f>I450-L450</f>
        <v/>
      </c>
      <c r="N450" s="221" t="n"/>
      <c r="O450" s="226">
        <f>U450=E450</f>
        <v/>
      </c>
      <c r="P450" s="226">
        <f>MONTH(F450)-MONTH(T450)</f>
        <v/>
      </c>
      <c r="Q450" s="226">
        <f>$B$5=X450</f>
        <v/>
      </c>
      <c r="R450" s="226">
        <f>I450-AD450</f>
        <v/>
      </c>
      <c r="S450" s="360" t="n"/>
      <c r="T450" s="361" t="n">
        <v>45793</v>
      </c>
      <c r="U450" s="360" t="inlineStr">
        <is>
          <t>APLL25003030</t>
        </is>
      </c>
      <c r="V450" s="360" t="n"/>
      <c r="W450" s="360" t="n"/>
      <c r="X450" s="360" t="n"/>
      <c r="Y450" s="360" t="inlineStr">
        <is>
          <t>ហូលីដេ ឌីហ្សាញ (ខេមបូឌា) ឯ.ក</t>
        </is>
      </c>
      <c r="Z450" s="362" t="n"/>
      <c r="AA450" s="362" t="n"/>
      <c r="AB450" s="360" t="n"/>
      <c r="AC450" s="360" t="n"/>
      <c r="AD450" s="362" t="n">
        <v>456228</v>
      </c>
      <c r="AE450" s="360" t="n"/>
      <c r="AF450" s="615" t="n"/>
    </row>
    <row r="451">
      <c r="A451" s="220">
        <f>A450+1</f>
        <v/>
      </c>
      <c r="B451" s="222" t="inlineStr">
        <is>
          <t>THC Fee-Ex</t>
        </is>
      </c>
      <c r="C451" s="222" t="inlineStr">
        <is>
          <t>APL LOGISTICS (CAMBODIA) PTE LTD.</t>
        </is>
      </c>
      <c r="D451" s="223" t="inlineStr">
        <is>
          <t>L001-100046460</t>
        </is>
      </c>
      <c r="E451" s="349" t="inlineStr">
        <is>
          <t>APLL25003029</t>
        </is>
      </c>
      <c r="F451" s="332" t="n">
        <v>45793</v>
      </c>
      <c r="G451" s="224" t="n"/>
      <c r="H451" s="617" t="n"/>
      <c r="I451" s="617" t="n">
        <v>132066</v>
      </c>
      <c r="J451" s="221" t="inlineStr">
        <is>
          <t>អនុញ្ញាត (បានប្រកាស)</t>
        </is>
      </c>
      <c r="K451" s="221" t="n"/>
      <c r="L451" s="616">
        <f>I451</f>
        <v/>
      </c>
      <c r="M451" s="588">
        <f>I451-L451</f>
        <v/>
      </c>
      <c r="N451" s="221" t="n"/>
      <c r="O451" s="226">
        <f>U451=E451</f>
        <v/>
      </c>
      <c r="P451" s="226">
        <f>MONTH(F451)-MONTH(T451)</f>
        <v/>
      </c>
      <c r="Q451" s="226">
        <f>$B$5=X451</f>
        <v/>
      </c>
      <c r="R451" s="226">
        <f>I451-AD451</f>
        <v/>
      </c>
      <c r="S451" s="360" t="n"/>
      <c r="T451" s="361" t="n">
        <v>45793</v>
      </c>
      <c r="U451" s="360" t="inlineStr">
        <is>
          <t>APLL25003029</t>
        </is>
      </c>
      <c r="V451" s="360" t="n"/>
      <c r="W451" s="360" t="n"/>
      <c r="X451" s="360" t="n"/>
      <c r="Y451" s="360" t="inlineStr">
        <is>
          <t>ហូលីដេ ឌីហ្សាញ (ខេមបូឌា) ឯ.ក</t>
        </is>
      </c>
      <c r="Z451" s="362" t="n"/>
      <c r="AA451" s="362" t="n"/>
      <c r="AB451" s="360" t="n"/>
      <c r="AC451" s="360" t="n"/>
      <c r="AD451" s="362" t="n">
        <v>132066</v>
      </c>
      <c r="AE451" s="360" t="n"/>
      <c r="AF451" s="615" t="n"/>
    </row>
    <row r="452">
      <c r="A452" s="220">
        <f>A451+1</f>
        <v/>
      </c>
      <c r="B452" s="222" t="inlineStr">
        <is>
          <t>THC Fee-Ex</t>
        </is>
      </c>
      <c r="C452" s="222" t="inlineStr">
        <is>
          <t>APL LOGISTICS (CAMBODIA) PTE LTD.</t>
        </is>
      </c>
      <c r="D452" s="223" t="inlineStr">
        <is>
          <t>L001-100046460</t>
        </is>
      </c>
      <c r="E452" s="349" t="inlineStr">
        <is>
          <t>APLL25003131</t>
        </is>
      </c>
      <c r="F452" s="332" t="n">
        <v>45797</v>
      </c>
      <c r="G452" s="224" t="n"/>
      <c r="H452" s="617" t="n"/>
      <c r="I452" s="617" t="n">
        <v>132099</v>
      </c>
      <c r="J452" s="221" t="inlineStr">
        <is>
          <t>អនុញ្ញាត (បានប្រកាស)</t>
        </is>
      </c>
      <c r="K452" s="221" t="n"/>
      <c r="L452" s="616">
        <f>I452</f>
        <v/>
      </c>
      <c r="M452" s="588">
        <f>I452-L452</f>
        <v/>
      </c>
      <c r="N452" s="221" t="n"/>
      <c r="O452" s="226">
        <f>U452=E452</f>
        <v/>
      </c>
      <c r="P452" s="226">
        <f>MONTH(F452)-MONTH(T452)</f>
        <v/>
      </c>
      <c r="Q452" s="226">
        <f>$B$5=X452</f>
        <v/>
      </c>
      <c r="R452" s="226">
        <f>I452-AD452</f>
        <v/>
      </c>
      <c r="S452" s="360" t="n"/>
      <c r="T452" s="361" t="n">
        <v>45797</v>
      </c>
      <c r="U452" s="360" t="inlineStr">
        <is>
          <t>APLL25003131</t>
        </is>
      </c>
      <c r="V452" s="360" t="n"/>
      <c r="W452" s="360" t="n"/>
      <c r="X452" s="360" t="n"/>
      <c r="Y452" s="360" t="inlineStr">
        <is>
          <t>ហូលីដេ ឌីហ្សាញ (ខេមបូឌា) ឯ.ក</t>
        </is>
      </c>
      <c r="Z452" s="362" t="n"/>
      <c r="AA452" s="362" t="n"/>
      <c r="AB452" s="360" t="n"/>
      <c r="AC452" s="360" t="n"/>
      <c r="AD452" s="362" t="n">
        <v>132099</v>
      </c>
      <c r="AE452" s="360" t="n"/>
      <c r="AF452" s="615" t="n"/>
    </row>
    <row r="453">
      <c r="A453" s="220">
        <f>A452+1</f>
        <v/>
      </c>
      <c r="B453" s="222" t="inlineStr">
        <is>
          <t>THC Fee-Ex</t>
        </is>
      </c>
      <c r="C453" s="222" t="inlineStr">
        <is>
          <t>APL LOGISTICS (CAMBODIA) PTE LTD.</t>
        </is>
      </c>
      <c r="D453" s="223" t="inlineStr">
        <is>
          <t>L001-100046460</t>
        </is>
      </c>
      <c r="E453" s="349" t="inlineStr">
        <is>
          <t>APLL25003088</t>
        </is>
      </c>
      <c r="F453" s="332" t="n">
        <v>45796</v>
      </c>
      <c r="G453" s="224" t="n"/>
      <c r="H453" s="617" t="n"/>
      <c r="I453" s="617" t="n">
        <v>222111</v>
      </c>
      <c r="J453" s="221" t="inlineStr">
        <is>
          <t>អនុញ្ញាត (បានប្រកាស)</t>
        </is>
      </c>
      <c r="K453" s="221" t="n"/>
      <c r="L453" s="616">
        <f>I453</f>
        <v/>
      </c>
      <c r="M453" s="588">
        <f>I453-L453</f>
        <v/>
      </c>
      <c r="N453" s="221" t="n"/>
      <c r="O453" s="226">
        <f>U453=E453</f>
        <v/>
      </c>
      <c r="P453" s="226">
        <f>MONTH(F453)-MONTH(T453)</f>
        <v/>
      </c>
      <c r="Q453" s="226">
        <f>$B$5=X453</f>
        <v/>
      </c>
      <c r="R453" s="226">
        <f>I453-AD453</f>
        <v/>
      </c>
      <c r="S453" s="360" t="n"/>
      <c r="T453" s="361" t="n">
        <v>45796</v>
      </c>
      <c r="U453" s="360" t="inlineStr">
        <is>
          <t>APLL25003088</t>
        </is>
      </c>
      <c r="V453" s="360" t="n"/>
      <c r="W453" s="360" t="n"/>
      <c r="X453" s="360" t="n"/>
      <c r="Y453" s="360" t="inlineStr">
        <is>
          <t>ហូលីដេ ឌីហ្សាញ (ខេមបូឌា) ឯ.ក</t>
        </is>
      </c>
      <c r="Z453" s="362" t="n"/>
      <c r="AA453" s="362" t="n"/>
      <c r="AB453" s="360" t="n"/>
      <c r="AC453" s="360" t="n"/>
      <c r="AD453" s="362" t="n">
        <v>222111</v>
      </c>
      <c r="AE453" s="360" t="n"/>
      <c r="AF453" s="615" t="n"/>
    </row>
    <row r="454">
      <c r="A454" s="220">
        <f>A453+1</f>
        <v/>
      </c>
      <c r="B454" s="222" t="inlineStr">
        <is>
          <t>THC Fee-Ex</t>
        </is>
      </c>
      <c r="C454" s="222" t="inlineStr">
        <is>
          <t>APL LOGISTICS (CAMBODIA) PTE LTD.</t>
        </is>
      </c>
      <c r="D454" s="223" t="inlineStr">
        <is>
          <t>L001-100046460</t>
        </is>
      </c>
      <c r="E454" s="349" t="inlineStr">
        <is>
          <t>APLL25003134</t>
        </is>
      </c>
      <c r="F454" s="332" t="n">
        <v>45797</v>
      </c>
      <c r="G454" s="224" t="n"/>
      <c r="H454" s="617" t="n"/>
      <c r="I454" s="617" t="n">
        <v>252189</v>
      </c>
      <c r="J454" s="221" t="inlineStr">
        <is>
          <t>អនុញ្ញាត (បានប្រកាស)</t>
        </is>
      </c>
      <c r="K454" s="221" t="n"/>
      <c r="L454" s="616">
        <f>I454</f>
        <v/>
      </c>
      <c r="M454" s="588">
        <f>I454-L454</f>
        <v/>
      </c>
      <c r="N454" s="221" t="n"/>
      <c r="O454" s="226">
        <f>U454=E454</f>
        <v/>
      </c>
      <c r="P454" s="226">
        <f>MONTH(F454)-MONTH(T454)</f>
        <v/>
      </c>
      <c r="Q454" s="226">
        <f>$B$5=X454</f>
        <v/>
      </c>
      <c r="R454" s="226">
        <f>I454-AD454</f>
        <v/>
      </c>
      <c r="S454" s="360" t="n"/>
      <c r="T454" s="361" t="n">
        <v>45797</v>
      </c>
      <c r="U454" s="360" t="inlineStr">
        <is>
          <t>APLL25003134</t>
        </is>
      </c>
      <c r="V454" s="360" t="n"/>
      <c r="W454" s="360" t="n"/>
      <c r="X454" s="360" t="n"/>
      <c r="Y454" s="360" t="inlineStr">
        <is>
          <t>ហូលីដេ ឌីហ្សាញ (ខេមបូឌា) ឯ.ក</t>
        </is>
      </c>
      <c r="Z454" s="362" t="n"/>
      <c r="AA454" s="362" t="n"/>
      <c r="AB454" s="360" t="n"/>
      <c r="AC454" s="360" t="n"/>
      <c r="AD454" s="362" t="n">
        <v>252189</v>
      </c>
      <c r="AE454" s="360" t="n"/>
      <c r="AF454" s="615" t="n"/>
    </row>
    <row r="455">
      <c r="A455" s="220">
        <f>A454+1</f>
        <v/>
      </c>
      <c r="B455" s="222" t="inlineStr">
        <is>
          <t>THC Fee-Ex</t>
        </is>
      </c>
      <c r="C455" s="222" t="inlineStr">
        <is>
          <t>APL LOGISTICS (CAMBODIA) PTE LTD.</t>
        </is>
      </c>
      <c r="D455" s="223" t="inlineStr">
        <is>
          <t>L001-100046460</t>
        </is>
      </c>
      <c r="E455" s="349" t="inlineStr">
        <is>
          <t>APLL25003479</t>
        </is>
      </c>
      <c r="F455" s="332" t="n">
        <v>45806</v>
      </c>
      <c r="G455" s="224" t="n"/>
      <c r="H455" s="617" t="n"/>
      <c r="I455" s="617" t="n">
        <v>372372</v>
      </c>
      <c r="J455" s="221" t="inlineStr">
        <is>
          <t>អនុញ្ញាត (បានប្រកាស)</t>
        </is>
      </c>
      <c r="K455" s="221" t="n"/>
      <c r="L455" s="616">
        <f>I455</f>
        <v/>
      </c>
      <c r="M455" s="588">
        <f>I455-L455</f>
        <v/>
      </c>
      <c r="N455" s="221" t="n"/>
      <c r="O455" s="226">
        <f>U455=E455</f>
        <v/>
      </c>
      <c r="P455" s="226">
        <f>MONTH(F455)-MONTH(T455)</f>
        <v/>
      </c>
      <c r="Q455" s="226">
        <f>$B$5=X455</f>
        <v/>
      </c>
      <c r="R455" s="226">
        <f>I455-AD455</f>
        <v/>
      </c>
      <c r="S455" s="360" t="n"/>
      <c r="T455" s="361" t="n">
        <v>45806</v>
      </c>
      <c r="U455" s="360" t="inlineStr">
        <is>
          <t>APLL25003479</t>
        </is>
      </c>
      <c r="V455" s="360" t="n"/>
      <c r="W455" s="360" t="n"/>
      <c r="X455" s="360" t="n"/>
      <c r="Y455" s="360" t="inlineStr">
        <is>
          <t>ហូលីដេ ឌីហ្សាញ (ខេមបូឌា) ឯ.ក</t>
        </is>
      </c>
      <c r="Z455" s="362" t="n"/>
      <c r="AA455" s="362" t="n"/>
      <c r="AB455" s="360" t="n"/>
      <c r="AC455" s="360" t="n"/>
      <c r="AD455" s="362" t="n">
        <v>372372</v>
      </c>
      <c r="AE455" s="360" t="n"/>
      <c r="AF455" s="615" t="n"/>
    </row>
    <row r="456">
      <c r="A456" s="220">
        <f>A455+1</f>
        <v/>
      </c>
      <c r="B456" s="222" t="inlineStr">
        <is>
          <t>THC Fee-Ex</t>
        </is>
      </c>
      <c r="C456" s="222" t="inlineStr">
        <is>
          <t>APL LOGISTICS (CAMBODIA) PTE LTD.</t>
        </is>
      </c>
      <c r="D456" s="223" t="inlineStr">
        <is>
          <t>L001-100046460</t>
        </is>
      </c>
      <c r="E456" s="349" t="inlineStr">
        <is>
          <t>APLL25003482</t>
        </is>
      </c>
      <c r="F456" s="332" t="n">
        <v>45806</v>
      </c>
      <c r="G456" s="224" t="n"/>
      <c r="H456" s="617" t="n"/>
      <c r="I456" s="617" t="n">
        <v>240240</v>
      </c>
      <c r="J456" s="221" t="inlineStr">
        <is>
          <t>អនុញ្ញាត (បានប្រកាស)</t>
        </is>
      </c>
      <c r="K456" s="221" t="n"/>
      <c r="L456" s="616">
        <f>I456</f>
        <v/>
      </c>
      <c r="M456" s="588">
        <f>I456-L456</f>
        <v/>
      </c>
      <c r="N456" s="221" t="n"/>
      <c r="O456" s="226">
        <f>U456=E456</f>
        <v/>
      </c>
      <c r="P456" s="226">
        <f>MONTH(F456)-MONTH(T456)</f>
        <v/>
      </c>
      <c r="Q456" s="226">
        <f>$B$5=X456</f>
        <v/>
      </c>
      <c r="R456" s="226">
        <f>I456-AD456</f>
        <v/>
      </c>
      <c r="S456" s="360" t="n"/>
      <c r="T456" s="361" t="n">
        <v>45806</v>
      </c>
      <c r="U456" s="360" t="inlineStr">
        <is>
          <t>APLL25003482</t>
        </is>
      </c>
      <c r="V456" s="360" t="n"/>
      <c r="W456" s="360" t="n"/>
      <c r="X456" s="360" t="n"/>
      <c r="Y456" s="360" t="inlineStr">
        <is>
          <t>ហូលីដេ ឌីហ្សាញ (ខេមបូឌា) ឯ.ក</t>
        </is>
      </c>
      <c r="Z456" s="362" t="n"/>
      <c r="AA456" s="362" t="n"/>
      <c r="AB456" s="360" t="n"/>
      <c r="AC456" s="360" t="n"/>
      <c r="AD456" s="362" t="n">
        <v>240240</v>
      </c>
      <c r="AE456" s="360" t="n"/>
      <c r="AF456" s="615" t="n"/>
    </row>
    <row r="457">
      <c r="A457" s="220">
        <f>A456+1</f>
        <v/>
      </c>
      <c r="B457" s="222" t="inlineStr">
        <is>
          <t>Trucking &amp; Clearance-Ex</t>
        </is>
      </c>
      <c r="C457" s="222" t="inlineStr">
        <is>
          <t>KR GLOBAL LOGISTICS CO., LTD.</t>
        </is>
      </c>
      <c r="D457" s="223" t="inlineStr">
        <is>
          <t>K005-902004162</t>
        </is>
      </c>
      <c r="E457" s="349" t="inlineStr">
        <is>
          <t>KR252263</t>
        </is>
      </c>
      <c r="F457" s="332" t="n">
        <v>45786</v>
      </c>
      <c r="G457" s="224" t="n"/>
      <c r="H457" s="617" t="n"/>
      <c r="I457" s="617" t="n">
        <v>341056</v>
      </c>
      <c r="J457" s="221" t="inlineStr">
        <is>
          <t>អនុញ្ញាត (បានប្រកាស)</t>
        </is>
      </c>
      <c r="K457" s="221" t="n"/>
      <c r="L457" s="616">
        <f>I457</f>
        <v/>
      </c>
      <c r="M457" s="588">
        <f>I457-L457</f>
        <v/>
      </c>
      <c r="N457" s="221" t="n"/>
      <c r="O457" s="226">
        <f>U457=E457</f>
        <v/>
      </c>
      <c r="P457" s="226">
        <f>MONTH(F457)-MONTH(T457)</f>
        <v/>
      </c>
      <c r="Q457" s="226">
        <f>$B$5=X457</f>
        <v/>
      </c>
      <c r="R457" s="226">
        <f>I457-AD457</f>
        <v/>
      </c>
      <c r="S457" s="360" t="n"/>
      <c r="T457" s="361" t="n">
        <v>45786</v>
      </c>
      <c r="U457" s="360" t="inlineStr">
        <is>
          <t>KR252263</t>
        </is>
      </c>
      <c r="V457" s="360" t="n"/>
      <c r="W457" s="360" t="n"/>
      <c r="X457" s="360" t="n"/>
      <c r="Y457" s="360" t="inlineStr">
        <is>
          <t>ហូលីដេ ឌីហ្សាញ (ខេមបូឌា) ឯ.ក</t>
        </is>
      </c>
      <c r="Z457" s="362" t="n"/>
      <c r="AA457" s="362" t="n"/>
      <c r="AB457" s="360" t="n"/>
      <c r="AC457" s="360" t="n"/>
      <c r="AD457" s="362" t="n">
        <v>341056</v>
      </c>
      <c r="AE457" s="360" t="n"/>
      <c r="AF457" s="615" t="n"/>
    </row>
    <row r="458">
      <c r="A458" s="220">
        <f>A457+1</f>
        <v/>
      </c>
      <c r="B458" s="222" t="inlineStr">
        <is>
          <t>Trucking &amp; Clearance-Ex</t>
        </is>
      </c>
      <c r="C458" s="222" t="inlineStr">
        <is>
          <t>KR GLOBAL LOGISTICS CO., LTD.</t>
        </is>
      </c>
      <c r="D458" s="223" t="inlineStr">
        <is>
          <t>K005-902004162</t>
        </is>
      </c>
      <c r="E458" s="349" t="inlineStr">
        <is>
          <t>KR252255</t>
        </is>
      </c>
      <c r="F458" s="332" t="n">
        <v>45786</v>
      </c>
      <c r="G458" s="224" t="n"/>
      <c r="H458" s="617" t="n"/>
      <c r="I458" s="617" t="n">
        <v>678509</v>
      </c>
      <c r="J458" s="221" t="inlineStr">
        <is>
          <t>អនុញ្ញាត (បានប្រកាស)</t>
        </is>
      </c>
      <c r="K458" s="221" t="n"/>
      <c r="L458" s="616">
        <f>I458</f>
        <v/>
      </c>
      <c r="M458" s="588">
        <f>I458-L458</f>
        <v/>
      </c>
      <c r="N458" s="221" t="n"/>
      <c r="O458" s="226">
        <f>U458=E458</f>
        <v/>
      </c>
      <c r="P458" s="226">
        <f>MONTH(F458)-MONTH(T458)</f>
        <v/>
      </c>
      <c r="Q458" s="226">
        <f>$B$5=X458</f>
        <v/>
      </c>
      <c r="R458" s="226">
        <f>I458-AD458</f>
        <v/>
      </c>
      <c r="S458" s="360" t="n"/>
      <c r="T458" s="361" t="n">
        <v>45786</v>
      </c>
      <c r="U458" s="360" t="inlineStr">
        <is>
          <t>KR252255</t>
        </is>
      </c>
      <c r="V458" s="360" t="n"/>
      <c r="W458" s="360" t="n"/>
      <c r="X458" s="360" t="n"/>
      <c r="Y458" s="360" t="inlineStr">
        <is>
          <t>ហូលីដេ ឌីហ្សាញ (ខេមបូឌា) ឯ.ក</t>
        </is>
      </c>
      <c r="Z458" s="362" t="n"/>
      <c r="AA458" s="362" t="n"/>
      <c r="AB458" s="360" t="n"/>
      <c r="AC458" s="360" t="n"/>
      <c r="AD458" s="362" t="n">
        <v>678509</v>
      </c>
      <c r="AE458" s="360" t="n"/>
      <c r="AF458" s="615" t="n"/>
    </row>
    <row r="459">
      <c r="A459" s="220">
        <f>A458+1</f>
        <v/>
      </c>
      <c r="B459" s="222" t="inlineStr">
        <is>
          <t>Lift-Off-Ex</t>
        </is>
      </c>
      <c r="C459" s="222" t="inlineStr">
        <is>
          <t>PHNOM PENH AUTONOMOUS PORT "PPAP"</t>
        </is>
      </c>
      <c r="D459" s="223" t="inlineStr">
        <is>
          <t>L001-100044999</t>
        </is>
      </c>
      <c r="E459" s="349" t="inlineStr">
        <is>
          <t>INV20250539174</t>
        </is>
      </c>
      <c r="F459" s="332" t="n">
        <v>45796</v>
      </c>
      <c r="G459" s="224" t="n"/>
      <c r="H459" s="617" t="n"/>
      <c r="I459" s="617" t="n">
        <v>28014</v>
      </c>
      <c r="J459" s="221" t="inlineStr">
        <is>
          <t>អនុញ្ញាត (បានប្រកាស)</t>
        </is>
      </c>
      <c r="K459" s="221" t="n"/>
      <c r="L459" s="616">
        <f>I459</f>
        <v/>
      </c>
      <c r="M459" s="588">
        <f>I459-L459</f>
        <v/>
      </c>
      <c r="N459" s="221" t="n"/>
      <c r="O459" s="226">
        <f>U459=E459</f>
        <v/>
      </c>
      <c r="P459" s="226">
        <f>MONTH(F459)-MONTH(T459)</f>
        <v/>
      </c>
      <c r="Q459" s="226">
        <f>$B$5=X459</f>
        <v/>
      </c>
      <c r="R459" s="226">
        <f>I459-AD459</f>
        <v/>
      </c>
      <c r="S459" s="360" t="n"/>
      <c r="T459" s="361" t="n">
        <v>45796</v>
      </c>
      <c r="U459" s="360" t="inlineStr">
        <is>
          <t>INV20250539174</t>
        </is>
      </c>
      <c r="V459" s="360" t="n">
        <v>0</v>
      </c>
      <c r="W459" s="360" t="inlineStr">
        <is>
          <t>បុគ្គលជាប់អាករ</t>
        </is>
      </c>
      <c r="X459" s="360" t="inlineStr">
        <is>
          <t>L001-901640009</t>
        </is>
      </c>
      <c r="Y459" s="360" t="inlineStr">
        <is>
          <t>ហូលីដេ ឌីហ្សាញ (ខេមបូឌា) ឯ.ក</t>
        </is>
      </c>
      <c r="Z459" s="362" t="n">
        <v>308154</v>
      </c>
      <c r="AA459" s="362" t="n">
        <v>280140</v>
      </c>
      <c r="AB459" s="360" t="n">
        <v>0</v>
      </c>
      <c r="AC459" s="360" t="inlineStr">
        <is>
          <t>-</t>
        </is>
      </c>
      <c r="AD459" s="362" t="n">
        <v>28014</v>
      </c>
      <c r="AE459" s="360" t="n">
        <v>0</v>
      </c>
      <c r="AF459" s="615" t="n">
        <v>0</v>
      </c>
      <c r="AG459" s="203" t="n">
        <v>0</v>
      </c>
      <c r="AH459" s="203" t="n">
        <v>0</v>
      </c>
      <c r="AI459" s="203" t="n">
        <v>0</v>
      </c>
      <c r="AJ459" s="203" t="n">
        <v>0</v>
      </c>
      <c r="AK459" s="203" t="n">
        <v>0</v>
      </c>
      <c r="AL459" s="203" t="n">
        <v>0.01</v>
      </c>
      <c r="AM459" s="203" t="n">
        <v>0</v>
      </c>
      <c r="AN459" s="203" t="inlineStr">
        <is>
          <t>ចំណូលពីសេវាកម្ម (លើកដាក់ទំនិញ)</t>
        </is>
      </c>
    </row>
    <row r="460">
      <c r="A460" s="220">
        <f>A459+1</f>
        <v/>
      </c>
      <c r="B460" s="222" t="inlineStr">
        <is>
          <t>Trucking &amp; Clearance-Ex</t>
        </is>
      </c>
      <c r="C460" s="222" t="inlineStr">
        <is>
          <t>KR GLOBAL LOGISTICS CO., LTD.</t>
        </is>
      </c>
      <c r="D460" s="223" t="inlineStr">
        <is>
          <t>K005-902004162</t>
        </is>
      </c>
      <c r="E460" s="349" t="inlineStr">
        <is>
          <t>KR252254</t>
        </is>
      </c>
      <c r="F460" s="332" t="n">
        <v>45786</v>
      </c>
      <c r="G460" s="224" t="n"/>
      <c r="H460" s="617" t="n"/>
      <c r="I460" s="617" t="n">
        <v>163923</v>
      </c>
      <c r="J460" s="221" t="inlineStr">
        <is>
          <t>អនុញ្ញាត (បានប្រកាស)</t>
        </is>
      </c>
      <c r="K460" s="221" t="n"/>
      <c r="L460" s="616">
        <f>I460</f>
        <v/>
      </c>
      <c r="M460" s="588">
        <f>I460-L460</f>
        <v/>
      </c>
      <c r="N460" s="221" t="n"/>
      <c r="O460" s="226">
        <f>U460=E460</f>
        <v/>
      </c>
      <c r="P460" s="226">
        <f>MONTH(F460)-MONTH(T460)</f>
        <v/>
      </c>
      <c r="Q460" s="226">
        <f>$B$5=X460</f>
        <v/>
      </c>
      <c r="R460" s="226">
        <f>I460-AD460</f>
        <v/>
      </c>
      <c r="S460" s="360" t="n"/>
      <c r="T460" s="361" t="n">
        <v>45786</v>
      </c>
      <c r="U460" s="360" t="inlineStr">
        <is>
          <t>KR252254</t>
        </is>
      </c>
      <c r="V460" s="360" t="n"/>
      <c r="W460" s="360" t="n"/>
      <c r="X460" s="360" t="n"/>
      <c r="Y460" s="360" t="inlineStr">
        <is>
          <t>ហូលីដេ ឌីហ្សាញ (ខេមបូឌា) ឯ.ក</t>
        </is>
      </c>
      <c r="Z460" s="362" t="n"/>
      <c r="AA460" s="362" t="n"/>
      <c r="AB460" s="360" t="n"/>
      <c r="AC460" s="360" t="n"/>
      <c r="AD460" s="362" t="n">
        <v>163923</v>
      </c>
      <c r="AE460" s="360" t="n"/>
      <c r="AF460" s="615" t="n"/>
    </row>
    <row r="461">
      <c r="A461" s="220">
        <f>A460+1</f>
        <v/>
      </c>
      <c r="B461" s="222" t="inlineStr">
        <is>
          <t>Lift-Off-Ex</t>
        </is>
      </c>
      <c r="C461" s="222" t="inlineStr">
        <is>
          <t>PHNOM PENH AUTONOMOUS PORT "PPAP"</t>
        </is>
      </c>
      <c r="D461" s="223" t="inlineStr">
        <is>
          <t>L001-100044999</t>
        </is>
      </c>
      <c r="E461" s="349" t="inlineStr">
        <is>
          <t>INV20250539144</t>
        </is>
      </c>
      <c r="F461" s="332" t="n">
        <v>45796</v>
      </c>
      <c r="G461" s="224" t="n"/>
      <c r="H461" s="617" t="n"/>
      <c r="I461" s="617" t="n">
        <v>28014</v>
      </c>
      <c r="J461" s="221" t="inlineStr">
        <is>
          <t>អនុញ្ញាត (បានប្រកាស)</t>
        </is>
      </c>
      <c r="K461" s="221" t="n"/>
      <c r="L461" s="616">
        <f>I461</f>
        <v/>
      </c>
      <c r="M461" s="588">
        <f>I461-L461</f>
        <v/>
      </c>
      <c r="N461" s="221" t="n"/>
      <c r="O461" s="226">
        <f>U461=E461</f>
        <v/>
      </c>
      <c r="P461" s="226">
        <f>MONTH(F461)-MONTH(T461)</f>
        <v/>
      </c>
      <c r="Q461" s="226">
        <f>$B$5=X461</f>
        <v/>
      </c>
      <c r="R461" s="226">
        <f>I461-AD461</f>
        <v/>
      </c>
      <c r="S461" s="360" t="n"/>
      <c r="T461" s="361" t="n">
        <v>45796</v>
      </c>
      <c r="U461" s="360" t="inlineStr">
        <is>
          <t>INV20250539144</t>
        </is>
      </c>
      <c r="V461" s="360" t="n">
        <v>0</v>
      </c>
      <c r="W461" s="360" t="inlineStr">
        <is>
          <t>បុគ្គលជាប់អាករ</t>
        </is>
      </c>
      <c r="X461" s="360" t="inlineStr">
        <is>
          <t>L001-901640009</t>
        </is>
      </c>
      <c r="Y461" s="360" t="inlineStr">
        <is>
          <t>ហូលីដេ ឌីហ្សាញ (ខេមបូឌា) ឯ.ក</t>
        </is>
      </c>
      <c r="Z461" s="362" t="n">
        <v>308154</v>
      </c>
      <c r="AA461" s="362" t="n">
        <v>280140</v>
      </c>
      <c r="AB461" s="360" t="n">
        <v>0</v>
      </c>
      <c r="AC461" s="360" t="inlineStr">
        <is>
          <t>-</t>
        </is>
      </c>
      <c r="AD461" s="362" t="n">
        <v>28014</v>
      </c>
      <c r="AE461" s="360" t="n">
        <v>0</v>
      </c>
      <c r="AF461" s="615" t="n">
        <v>0</v>
      </c>
      <c r="AG461" s="203" t="n">
        <v>0</v>
      </c>
      <c r="AH461" s="203" t="n">
        <v>0</v>
      </c>
      <c r="AI461" s="203" t="n">
        <v>0</v>
      </c>
      <c r="AJ461" s="203" t="n">
        <v>0</v>
      </c>
      <c r="AK461" s="203" t="n">
        <v>0</v>
      </c>
      <c r="AL461" s="203" t="n">
        <v>0.01</v>
      </c>
      <c r="AM461" s="203" t="n">
        <v>0</v>
      </c>
      <c r="AN461" s="203" t="inlineStr">
        <is>
          <t>ចំណូលពីសេវាកម្ម (លើកដាក់ទំនិញ)</t>
        </is>
      </c>
    </row>
    <row r="462">
      <c r="A462" s="220">
        <f>A461+1</f>
        <v/>
      </c>
      <c r="B462" s="222" t="inlineStr">
        <is>
          <t>Trucking &amp; Clearance-Ex</t>
        </is>
      </c>
      <c r="C462" s="222" t="inlineStr">
        <is>
          <t>KR GLOBAL LOGISTICS CO., LTD.</t>
        </is>
      </c>
      <c r="D462" s="223" t="inlineStr">
        <is>
          <t>K005-902004162</t>
        </is>
      </c>
      <c r="E462" s="349" t="inlineStr">
        <is>
          <t>KR252253</t>
        </is>
      </c>
      <c r="F462" s="332" t="n">
        <v>45786</v>
      </c>
      <c r="G462" s="224" t="n"/>
      <c r="H462" s="617" t="n"/>
      <c r="I462" s="617" t="n">
        <v>210558</v>
      </c>
      <c r="J462" s="221" t="inlineStr">
        <is>
          <t>អនុញ្ញាត (បានប្រកាស)</t>
        </is>
      </c>
      <c r="K462" s="221" t="n"/>
      <c r="L462" s="616">
        <f>I462</f>
        <v/>
      </c>
      <c r="M462" s="588">
        <f>I462-L462</f>
        <v/>
      </c>
      <c r="N462" s="221" t="n"/>
      <c r="O462" s="226">
        <f>U462=E462</f>
        <v/>
      </c>
      <c r="P462" s="226">
        <f>MONTH(F462)-MONTH(T462)</f>
        <v/>
      </c>
      <c r="Q462" s="226">
        <f>$B$5=X462</f>
        <v/>
      </c>
      <c r="R462" s="226">
        <f>I462-AD462</f>
        <v/>
      </c>
      <c r="S462" s="360" t="n"/>
      <c r="T462" s="361" t="n">
        <v>45786</v>
      </c>
      <c r="U462" s="360" t="inlineStr">
        <is>
          <t>KR252253</t>
        </is>
      </c>
      <c r="V462" s="360" t="n"/>
      <c r="W462" s="360" t="n"/>
      <c r="X462" s="360" t="n"/>
      <c r="Y462" s="360" t="inlineStr">
        <is>
          <t>ហូលីដេ ឌីហ្សាញ (ខេមបូឌា) ឯ.ក</t>
        </is>
      </c>
      <c r="Z462" s="362" t="n"/>
      <c r="AA462" s="362" t="n"/>
      <c r="AB462" s="360" t="n"/>
      <c r="AC462" s="360" t="n"/>
      <c r="AD462" s="362" t="n">
        <v>210558</v>
      </c>
      <c r="AE462" s="360" t="n"/>
      <c r="AF462" s="615" t="n"/>
    </row>
    <row r="463">
      <c r="A463" s="220">
        <f>A462+1</f>
        <v/>
      </c>
      <c r="B463" s="222" t="inlineStr">
        <is>
          <t>Lift-On &amp; Lift-On-Im</t>
        </is>
      </c>
      <c r="C463" s="222" t="inlineStr">
        <is>
          <t>Port Autonome Du Sihanoukville</t>
        </is>
      </c>
      <c r="D463" s="223" t="inlineStr">
        <is>
          <t>L001-100044638</t>
        </is>
      </c>
      <c r="E463" s="349" t="n">
        <v>202500123712</v>
      </c>
      <c r="F463" s="332" t="n">
        <v>45804</v>
      </c>
      <c r="G463" s="224" t="n"/>
      <c r="H463" s="617" t="n"/>
      <c r="I463" s="617" t="n">
        <v>487565</v>
      </c>
      <c r="J463" s="221" t="inlineStr">
        <is>
          <t>អនុញ្ញាត (បានប្រកាស)</t>
        </is>
      </c>
      <c r="K463" s="221" t="n"/>
      <c r="L463" s="616">
        <f>I463</f>
        <v/>
      </c>
      <c r="M463" s="588">
        <f>I463-L463</f>
        <v/>
      </c>
      <c r="N463" s="221" t="n"/>
      <c r="O463" s="226">
        <f>U463=E463</f>
        <v/>
      </c>
      <c r="P463" s="226">
        <f>MONTH(F463)-MONTH(T463)</f>
        <v/>
      </c>
      <c r="Q463" s="226">
        <f>$B$5=X463</f>
        <v/>
      </c>
      <c r="R463" s="226">
        <f>I463-AD463</f>
        <v/>
      </c>
      <c r="S463" s="360" t="n"/>
      <c r="T463" s="361" t="n">
        <v>45804</v>
      </c>
      <c r="U463" s="360" t="n">
        <v>202500123712</v>
      </c>
      <c r="V463" s="360" t="n"/>
      <c r="W463" s="360" t="inlineStr">
        <is>
          <t>បុគ្គលជាប់អាករ</t>
        </is>
      </c>
      <c r="X463" s="360" t="inlineStr">
        <is>
          <t>L001-901640009</t>
        </is>
      </c>
      <c r="Y463" s="360" t="inlineStr">
        <is>
          <t>ហូលីដេ ឌីហ្សាញ (ខេមបូឌា) ឯ.ក</t>
        </is>
      </c>
      <c r="Z463" s="362" t="n">
        <v>5363219</v>
      </c>
      <c r="AA463" s="362" t="n">
        <v>4875654</v>
      </c>
      <c r="AB463" s="360" t="n">
        <v>0</v>
      </c>
      <c r="AC463" s="360" t="inlineStr">
        <is>
          <t>-</t>
        </is>
      </c>
      <c r="AD463" s="362" t="n">
        <v>487565</v>
      </c>
      <c r="AE463" s="360" t="n"/>
      <c r="AF463" s="615" t="n"/>
    </row>
    <row r="464">
      <c r="A464" s="220">
        <f>A463+1</f>
        <v/>
      </c>
      <c r="B464" s="222" t="inlineStr">
        <is>
          <t>Supplier Audit,Transportation Fee</t>
        </is>
      </c>
      <c r="C464" s="222" t="inlineStr">
        <is>
          <t>SGS (CAMBODIA) LIMITED</t>
        </is>
      </c>
      <c r="D464" s="223" t="inlineStr">
        <is>
          <t>L001-107030519</t>
        </is>
      </c>
      <c r="E464" s="349" t="n">
        <v>10041707</v>
      </c>
      <c r="F464" s="332" t="n">
        <v>45646</v>
      </c>
      <c r="G464" s="224" t="n"/>
      <c r="H464" s="617" t="n"/>
      <c r="I464" s="617" t="n">
        <v>1442462</v>
      </c>
      <c r="J464" s="221" t="inlineStr">
        <is>
          <t>អនុញ្ញាត (បានប្រកាស)</t>
        </is>
      </c>
      <c r="K464" s="221" t="n"/>
      <c r="L464" s="616">
        <f>I464</f>
        <v/>
      </c>
      <c r="M464" s="588">
        <f>I464-L464</f>
        <v/>
      </c>
      <c r="N464" s="221" t="n"/>
      <c r="O464" s="226">
        <f>U464=E464</f>
        <v/>
      </c>
      <c r="P464" s="226">
        <f>MONTH(F464)-MONTH(T464)</f>
        <v/>
      </c>
      <c r="Q464" s="226">
        <f>$B$5=X464</f>
        <v/>
      </c>
      <c r="R464" s="226">
        <f>I464-AD464</f>
        <v/>
      </c>
      <c r="S464" s="360" t="n"/>
      <c r="T464" s="361" t="n">
        <v>45652</v>
      </c>
      <c r="U464" s="360" t="n">
        <v>10041707</v>
      </c>
      <c r="V464" s="360" t="n">
        <v>0</v>
      </c>
      <c r="W464" s="360" t="inlineStr">
        <is>
          <t>បុគ្គលជាប់អាករ</t>
        </is>
      </c>
      <c r="X464" s="360" t="inlineStr">
        <is>
          <t>L001-901640009</t>
        </is>
      </c>
      <c r="Y464" s="360" t="inlineStr">
        <is>
          <t>ហូលីដេ ឌីហ្សាញ (ខេមបូឌា) ឯ.ក</t>
        </is>
      </c>
      <c r="Z464" s="362" t="n">
        <v>15867082</v>
      </c>
      <c r="AA464" s="362" t="n">
        <v>14424620</v>
      </c>
      <c r="AB464" s="360" t="n">
        <v>0</v>
      </c>
      <c r="AC464" s="360" t="inlineStr">
        <is>
          <t>-</t>
        </is>
      </c>
      <c r="AD464" s="362" t="n">
        <v>1442462</v>
      </c>
      <c r="AE464" s="360" t="n">
        <v>0</v>
      </c>
      <c r="AF464" s="615" t="n">
        <v>0</v>
      </c>
      <c r="AG464" s="203" t="n">
        <v>0</v>
      </c>
      <c r="AH464" s="203" t="n">
        <v>0</v>
      </c>
      <c r="AI464" s="203" t="n">
        <v>0</v>
      </c>
      <c r="AJ464" s="203" t="n">
        <v>0</v>
      </c>
      <c r="AK464" s="203" t="n">
        <v>0</v>
      </c>
      <c r="AL464" s="203" t="n">
        <v>0.01</v>
      </c>
      <c r="AM464" s="203" t="n">
        <v>0</v>
      </c>
      <c r="AN464" s="203" t="inlineStr">
        <is>
          <t>Supplier Audit - Mdy - Other ind_RBS - Kn</t>
        </is>
      </c>
      <c r="AO464" s="203" t="inlineStr">
        <is>
          <t>បានប្រកាសនិងបង់ពន្ធ</t>
        </is>
      </c>
    </row>
    <row r="465">
      <c r="A465" s="220">
        <f>A464+1</f>
        <v/>
      </c>
      <c r="B465" s="222" t="inlineStr">
        <is>
          <t>Trucking &amp; Clearance-Im</t>
        </is>
      </c>
      <c r="C465" s="222" t="inlineStr">
        <is>
          <t>BRILLIANT TRANSPORT AND TRADING Co., Ltd.</t>
        </is>
      </c>
      <c r="D465" s="223" t="inlineStr">
        <is>
          <t>K002-100089305</t>
        </is>
      </c>
      <c r="E465" s="349" t="inlineStr">
        <is>
          <t>BTT25-0001170</t>
        </is>
      </c>
      <c r="F465" s="332" t="n">
        <v>45804</v>
      </c>
      <c r="G465" s="224" t="n"/>
      <c r="H465" s="617" t="n"/>
      <c r="I465" s="617" t="n">
        <v>3314484</v>
      </c>
      <c r="J465" s="221" t="inlineStr">
        <is>
          <t>អនុញ្ញាត (បានប្រកាស)</t>
        </is>
      </c>
      <c r="K465" s="221" t="n"/>
      <c r="L465" s="616">
        <f>I465</f>
        <v/>
      </c>
      <c r="M465" s="588">
        <f>I465-L465</f>
        <v/>
      </c>
      <c r="N465" s="221" t="n"/>
      <c r="O465" s="226">
        <f>U465=E465</f>
        <v/>
      </c>
      <c r="P465" s="226">
        <f>MONTH(F465)-MONTH(T465)</f>
        <v/>
      </c>
      <c r="Q465" s="226">
        <f>$B$5=X465</f>
        <v/>
      </c>
      <c r="R465" s="226">
        <f>I465-AD465</f>
        <v/>
      </c>
      <c r="S465" s="360" t="n"/>
      <c r="T465" s="361" t="n">
        <v>45804</v>
      </c>
      <c r="U465" s="360" t="inlineStr">
        <is>
          <t>BTT25-0001170</t>
        </is>
      </c>
      <c r="V465" s="360" t="n"/>
      <c r="W465" s="360" t="n"/>
      <c r="X465" s="360" t="n"/>
      <c r="Y465" s="360" t="inlineStr">
        <is>
          <t>ហូលីដេ ឌីហ្សាញ (ខេមបូឌា) ឯ.ក</t>
        </is>
      </c>
      <c r="Z465" s="362" t="n"/>
      <c r="AA465" s="362" t="n"/>
      <c r="AB465" s="360" t="n"/>
      <c r="AC465" s="360" t="n"/>
      <c r="AD465" s="362" t="n">
        <v>3314484</v>
      </c>
      <c r="AE465" s="360" t="n"/>
      <c r="AF465" s="615" t="n"/>
      <c r="AN465" s="203" t="inlineStr">
        <is>
          <t>Truking / Service</t>
        </is>
      </c>
    </row>
    <row r="466">
      <c r="A466" s="220">
        <f>A465+1</f>
        <v/>
      </c>
      <c r="B466" s="222" t="inlineStr">
        <is>
          <t>Lift-On &amp; Lift-On-Im</t>
        </is>
      </c>
      <c r="C466" s="222" t="inlineStr">
        <is>
          <t>Port Autonome Du Sihanoukville</t>
        </is>
      </c>
      <c r="D466" s="223" t="inlineStr">
        <is>
          <t>L001-100044638</t>
        </is>
      </c>
      <c r="E466" s="349" t="n">
        <v>202500123701</v>
      </c>
      <c r="F466" s="332" t="n">
        <v>45804</v>
      </c>
      <c r="G466" s="224" t="n"/>
      <c r="H466" s="617" t="n"/>
      <c r="I466" s="617" t="n">
        <v>440730</v>
      </c>
      <c r="J466" s="221" t="inlineStr">
        <is>
          <t>អនុញ្ញាត (បានប្រកាស)</t>
        </is>
      </c>
      <c r="K466" s="221" t="n"/>
      <c r="L466" s="616">
        <f>I466</f>
        <v/>
      </c>
      <c r="M466" s="588">
        <f>I466-L466</f>
        <v/>
      </c>
      <c r="N466" s="221" t="n"/>
      <c r="O466" s="226">
        <f>U466=E466</f>
        <v/>
      </c>
      <c r="P466" s="226">
        <f>MONTH(F466)-MONTH(T466)</f>
        <v/>
      </c>
      <c r="Q466" s="226">
        <f>$B$5=X466</f>
        <v/>
      </c>
      <c r="R466" s="226">
        <f>I466-AD466</f>
        <v/>
      </c>
      <c r="S466" s="360" t="n"/>
      <c r="T466" s="361" t="n">
        <v>45804</v>
      </c>
      <c r="U466" s="360" t="n">
        <v>202500123701</v>
      </c>
      <c r="V466" s="360" t="n"/>
      <c r="W466" s="360" t="inlineStr">
        <is>
          <t>បុគ្គលជាប់អាករ</t>
        </is>
      </c>
      <c r="X466" s="360" t="inlineStr">
        <is>
          <t>L001-901640009</t>
        </is>
      </c>
      <c r="Y466" s="360" t="inlineStr">
        <is>
          <t>ហូលីដេ ឌីហ្សាញ (ខេមបូឌា) ឯ.ក</t>
        </is>
      </c>
      <c r="Z466" s="362" t="n">
        <v>4848033</v>
      </c>
      <c r="AA466" s="362" t="n">
        <v>4407303</v>
      </c>
      <c r="AB466" s="360" t="n">
        <v>0</v>
      </c>
      <c r="AC466" s="360" t="inlineStr">
        <is>
          <t>-</t>
        </is>
      </c>
      <c r="AD466" s="362" t="n">
        <v>440730</v>
      </c>
      <c r="AE466" s="360" t="n"/>
      <c r="AF466" s="615" t="n"/>
    </row>
    <row r="467">
      <c r="A467" s="220">
        <f>A466+1</f>
        <v/>
      </c>
      <c r="B467" s="222" t="inlineStr">
        <is>
          <t>Terminal Handling Charge-Im</t>
        </is>
      </c>
      <c r="C467" s="222" t="inlineStr">
        <is>
          <t>SITC CONTAINER LINES (CAMBODIA) Co., Ltd.</t>
        </is>
      </c>
      <c r="D467" s="223" t="inlineStr">
        <is>
          <t>L001-107035863</t>
        </is>
      </c>
      <c r="E467" s="349" t="inlineStr">
        <is>
          <t>SITC2025-018059</t>
        </is>
      </c>
      <c r="F467" s="332" t="n">
        <v>45801</v>
      </c>
      <c r="G467" s="224" t="n"/>
      <c r="H467" s="617" t="n"/>
      <c r="I467" s="617" t="n">
        <v>2641980</v>
      </c>
      <c r="J467" s="221" t="inlineStr">
        <is>
          <t>ព្យួរទុក (មិនមានទិន្នន័យ)</t>
        </is>
      </c>
      <c r="K467" s="221" t="n"/>
      <c r="L467" s="616" t="n"/>
      <c r="M467" s="588">
        <f>I467-L467</f>
        <v/>
      </c>
      <c r="N467" s="221" t="n"/>
      <c r="O467" s="226">
        <f>U467=E467</f>
        <v/>
      </c>
      <c r="P467" s="226">
        <f>MONTH(F467)-MONTH(T467)</f>
        <v/>
      </c>
      <c r="Q467" s="226">
        <f>$B$5=X467</f>
        <v/>
      </c>
      <c r="R467" s="226">
        <f>I467-AD467</f>
        <v/>
      </c>
      <c r="S467" s="360" t="n"/>
      <c r="T467" s="361" t="n">
        <v>45801</v>
      </c>
      <c r="U467" s="360" t="inlineStr">
        <is>
          <t>SITC2025-018059</t>
        </is>
      </c>
      <c r="V467" s="360" t="n"/>
      <c r="W467" s="360" t="inlineStr">
        <is>
          <t>បុគ្គលជាប់អាករ</t>
        </is>
      </c>
      <c r="X467" s="360" t="inlineStr">
        <is>
          <t>K010-901503099</t>
        </is>
      </c>
      <c r="Y467" s="360" t="inlineStr">
        <is>
          <t>លឹម ពេជ្រ អ៊ីមផត &amp; អិចផត</t>
        </is>
      </c>
      <c r="Z467" s="362" t="n">
        <v>1585188</v>
      </c>
      <c r="AA467" s="362" t="n">
        <v>1441080</v>
      </c>
      <c r="AB467" s="360" t="n">
        <v>0</v>
      </c>
      <c r="AC467" s="360" t="inlineStr">
        <is>
          <t>-</t>
        </is>
      </c>
      <c r="AD467" s="362" t="n">
        <v>144108</v>
      </c>
      <c r="AE467" s="360" t="n">
        <v>0</v>
      </c>
      <c r="AF467" s="615" t="n">
        <v>0</v>
      </c>
      <c r="AG467" s="203" t="n">
        <v>0</v>
      </c>
      <c r="AH467" s="203" t="n">
        <v>0</v>
      </c>
      <c r="AI467" s="203" t="n">
        <v>0</v>
      </c>
      <c r="AJ467" s="203" t="n">
        <v>0</v>
      </c>
      <c r="AK467" s="203" t="n">
        <v>0</v>
      </c>
      <c r="AL467" s="203" t="n">
        <v>0.01</v>
      </c>
      <c r="AN467" s="203" t="inlineStr">
        <is>
          <t>EMF,EIB,KHDOC,KHT</t>
        </is>
      </c>
    </row>
    <row r="468">
      <c r="A468" s="220">
        <f>A467+1</f>
        <v/>
      </c>
      <c r="B468" s="222" t="inlineStr">
        <is>
          <t>Lift-Off-Ex</t>
        </is>
      </c>
      <c r="C468" s="222" t="inlineStr">
        <is>
          <t>PHNOM PENH AUTONOMOUS PORT "PPAP"</t>
        </is>
      </c>
      <c r="D468" s="223" t="inlineStr">
        <is>
          <t>L001-100044999</t>
        </is>
      </c>
      <c r="E468" s="349" t="inlineStr">
        <is>
          <t>INV20250539175</t>
        </is>
      </c>
      <c r="F468" s="332" t="n">
        <v>45796</v>
      </c>
      <c r="G468" s="224" t="n"/>
      <c r="H468" s="617" t="n"/>
      <c r="I468" s="617" t="n">
        <v>112056</v>
      </c>
      <c r="J468" s="221" t="inlineStr">
        <is>
          <t>អនុញ្ញាត (បានប្រកាស)</t>
        </is>
      </c>
      <c r="K468" s="221" t="n"/>
      <c r="L468" s="616">
        <f>I468</f>
        <v/>
      </c>
      <c r="M468" s="588">
        <f>I468-L468</f>
        <v/>
      </c>
      <c r="N468" s="221" t="n"/>
      <c r="O468" s="226">
        <f>U468=E468</f>
        <v/>
      </c>
      <c r="P468" s="226">
        <f>MONTH(F468)-MONTH(T468)</f>
        <v/>
      </c>
      <c r="Q468" s="226">
        <f>$B$5=X468</f>
        <v/>
      </c>
      <c r="R468" s="226">
        <f>I468-AD468</f>
        <v/>
      </c>
      <c r="S468" s="360" t="n"/>
      <c r="T468" s="361" t="n">
        <v>45796</v>
      </c>
      <c r="U468" s="360" t="inlineStr">
        <is>
          <t>INV20250539175</t>
        </is>
      </c>
      <c r="V468" s="360" t="n">
        <v>0</v>
      </c>
      <c r="W468" s="360" t="inlineStr">
        <is>
          <t>បុគ្គលជាប់អាករ</t>
        </is>
      </c>
      <c r="X468" s="360" t="inlineStr">
        <is>
          <t>L001-901640009</t>
        </is>
      </c>
      <c r="Y468" s="360" t="inlineStr">
        <is>
          <t>ហូលីដេ ឌីហ្សាញ (ខេមបូឌា) ឯ.ក</t>
        </is>
      </c>
      <c r="Z468" s="362" t="n">
        <v>1232616</v>
      </c>
      <c r="AA468" s="362" t="n">
        <v>1120560</v>
      </c>
      <c r="AB468" s="360" t="n">
        <v>0</v>
      </c>
      <c r="AC468" s="360" t="inlineStr">
        <is>
          <t>-</t>
        </is>
      </c>
      <c r="AD468" s="362" t="n">
        <v>112056</v>
      </c>
      <c r="AE468" s="360" t="n">
        <v>0</v>
      </c>
      <c r="AF468" s="615" t="n">
        <v>0</v>
      </c>
      <c r="AG468" s="203" t="n">
        <v>0</v>
      </c>
      <c r="AH468" s="203" t="n">
        <v>0</v>
      </c>
      <c r="AI468" s="203" t="n">
        <v>0</v>
      </c>
      <c r="AJ468" s="203" t="n">
        <v>0</v>
      </c>
      <c r="AK468" s="203" t="n">
        <v>0</v>
      </c>
      <c r="AL468" s="203" t="n">
        <v>0.01</v>
      </c>
      <c r="AM468" s="203" t="n">
        <v>0</v>
      </c>
      <c r="AN468" s="203" t="inlineStr">
        <is>
          <t>ចំណូលពីសេវាកម្ម (លើកដាក់ទំនិញ)</t>
        </is>
      </c>
    </row>
    <row r="469">
      <c r="A469" s="220">
        <f>A468+1</f>
        <v/>
      </c>
      <c r="B469" s="222" t="inlineStr">
        <is>
          <t>Trucking &amp; Clearance-Ex</t>
        </is>
      </c>
      <c r="C469" s="222" t="inlineStr">
        <is>
          <t>KR GLOBAL LOGISTICS CO., LTD.</t>
        </is>
      </c>
      <c r="D469" s="223" t="inlineStr">
        <is>
          <t>K005-902004162</t>
        </is>
      </c>
      <c r="E469" s="349" t="inlineStr">
        <is>
          <t>KR252256</t>
        </is>
      </c>
      <c r="F469" s="332" t="n">
        <v>45786</v>
      </c>
      <c r="G469" s="224" t="n"/>
      <c r="H469" s="617" t="n"/>
      <c r="I469" s="617" t="n">
        <v>852639</v>
      </c>
      <c r="J469" s="221" t="inlineStr">
        <is>
          <t>អនុញ្ញាត (បានប្រកាស)</t>
        </is>
      </c>
      <c r="K469" s="221" t="n"/>
      <c r="L469" s="616">
        <f>I469</f>
        <v/>
      </c>
      <c r="M469" s="588">
        <f>I469-L469</f>
        <v/>
      </c>
      <c r="N469" s="221" t="n"/>
      <c r="O469" s="226">
        <f>U469=E469</f>
        <v/>
      </c>
      <c r="P469" s="226">
        <f>MONTH(F469)-MONTH(T469)</f>
        <v/>
      </c>
      <c r="Q469" s="226">
        <f>$B$5=X469</f>
        <v/>
      </c>
      <c r="R469" s="226">
        <f>I469-AD469</f>
        <v/>
      </c>
      <c r="S469" s="360" t="n"/>
      <c r="T469" s="361" t="n">
        <v>45786</v>
      </c>
      <c r="U469" s="360" t="inlineStr">
        <is>
          <t>KR252256</t>
        </is>
      </c>
      <c r="V469" s="360" t="n"/>
      <c r="W469" s="360" t="n"/>
      <c r="X469" s="360" t="n"/>
      <c r="Y469" s="360" t="inlineStr">
        <is>
          <t>ហូលីដេ ឌីហ្សាញ (ខេមបូឌា) ឯ.ក</t>
        </is>
      </c>
      <c r="Z469" s="362" t="n"/>
      <c r="AA469" s="362" t="n"/>
      <c r="AB469" s="360" t="n"/>
      <c r="AC469" s="360" t="n"/>
      <c r="AD469" s="362" t="n">
        <v>852639</v>
      </c>
      <c r="AE469" s="360" t="n"/>
      <c r="AF469" s="615" t="n"/>
    </row>
    <row r="470">
      <c r="A470" s="220">
        <f>A469+1</f>
        <v/>
      </c>
      <c r="B470" s="222" t="inlineStr">
        <is>
          <t>Lift-Off-Ex</t>
        </is>
      </c>
      <c r="C470" s="222" t="inlineStr">
        <is>
          <t>PHNOM PENH AUTONOMOUS PORT "PPAP"</t>
        </is>
      </c>
      <c r="D470" s="223" t="inlineStr">
        <is>
          <t>L001-100044999</t>
        </is>
      </c>
      <c r="E470" s="349" t="inlineStr">
        <is>
          <t>INV20250539148</t>
        </is>
      </c>
      <c r="F470" s="332" t="n">
        <v>45796</v>
      </c>
      <c r="G470" s="224" t="n"/>
      <c r="H470" s="617" t="n"/>
      <c r="I470" s="617" t="n">
        <v>56028</v>
      </c>
      <c r="J470" s="221" t="inlineStr">
        <is>
          <t>អនុញ្ញាត (បានប្រកាស)</t>
        </is>
      </c>
      <c r="K470" s="221" t="n"/>
      <c r="L470" s="616">
        <f>I470</f>
        <v/>
      </c>
      <c r="M470" s="588">
        <f>I470-L470</f>
        <v/>
      </c>
      <c r="N470" s="221" t="n"/>
      <c r="O470" s="226">
        <f>U470=E470</f>
        <v/>
      </c>
      <c r="P470" s="226">
        <f>MONTH(F470)-MONTH(T470)</f>
        <v/>
      </c>
      <c r="Q470" s="226">
        <f>$B$5=X470</f>
        <v/>
      </c>
      <c r="R470" s="226">
        <f>I470-AD470</f>
        <v/>
      </c>
      <c r="S470" s="360" t="n"/>
      <c r="T470" s="361" t="n">
        <v>45796</v>
      </c>
      <c r="U470" s="360" t="inlineStr">
        <is>
          <t>INV20250539148</t>
        </is>
      </c>
      <c r="V470" s="360" t="n">
        <v>0</v>
      </c>
      <c r="W470" s="360" t="inlineStr">
        <is>
          <t>បុគ្គលជាប់អាករ</t>
        </is>
      </c>
      <c r="X470" s="360" t="inlineStr">
        <is>
          <t>L001-901640009</t>
        </is>
      </c>
      <c r="Y470" s="360" t="inlineStr">
        <is>
          <t>ហូលីដេ ឌីហ្សាញ (ខេមបូឌា) ឯ.ក</t>
        </is>
      </c>
      <c r="Z470" s="362" t="n">
        <v>616308</v>
      </c>
      <c r="AA470" s="362" t="n">
        <v>560280</v>
      </c>
      <c r="AB470" s="360" t="n">
        <v>0</v>
      </c>
      <c r="AC470" s="360" t="inlineStr">
        <is>
          <t>-</t>
        </is>
      </c>
      <c r="AD470" s="362" t="n">
        <v>56028</v>
      </c>
      <c r="AE470" s="360" t="n">
        <v>0</v>
      </c>
      <c r="AF470" s="615" t="n">
        <v>0</v>
      </c>
      <c r="AG470" s="203" t="n">
        <v>0</v>
      </c>
      <c r="AH470" s="203" t="n">
        <v>0</v>
      </c>
      <c r="AI470" s="203" t="n">
        <v>0</v>
      </c>
      <c r="AJ470" s="203" t="n">
        <v>0</v>
      </c>
      <c r="AK470" s="203" t="n">
        <v>0</v>
      </c>
      <c r="AL470" s="203" t="n">
        <v>0.01</v>
      </c>
      <c r="AM470" s="203" t="n">
        <v>0</v>
      </c>
      <c r="AN470" s="203" t="inlineStr">
        <is>
          <t>ចំណូលពីសេវាកម្ម (លើកដាក់ទំនិញ)</t>
        </is>
      </c>
    </row>
    <row r="471">
      <c r="A471" s="220">
        <f>A470+1</f>
        <v/>
      </c>
      <c r="B471" s="222" t="inlineStr">
        <is>
          <t>Trucking &amp; Clearance-Ex</t>
        </is>
      </c>
      <c r="C471" s="222" t="inlineStr">
        <is>
          <t>KR GLOBAL LOGISTICS CO., LTD.</t>
        </is>
      </c>
      <c r="D471" s="223" t="inlineStr">
        <is>
          <t>K005-902004162</t>
        </is>
      </c>
      <c r="E471" s="349" t="inlineStr">
        <is>
          <t>KR252262</t>
        </is>
      </c>
      <c r="F471" s="332" t="n">
        <v>45786</v>
      </c>
      <c r="G471" s="224" t="n"/>
      <c r="H471" s="617" t="n"/>
      <c r="I471" s="617" t="n">
        <v>1534750</v>
      </c>
      <c r="J471" s="221" t="inlineStr">
        <is>
          <t>អនុញ្ញាត (បានប្រកាស)</t>
        </is>
      </c>
      <c r="K471" s="221" t="n"/>
      <c r="L471" s="616">
        <f>I471</f>
        <v/>
      </c>
      <c r="M471" s="588">
        <f>I471-L471</f>
        <v/>
      </c>
      <c r="N471" s="221" t="n"/>
      <c r="O471" s="226">
        <f>U471=E471</f>
        <v/>
      </c>
      <c r="P471" s="226">
        <f>MONTH(F471)-MONTH(T471)</f>
        <v/>
      </c>
      <c r="Q471" s="226">
        <f>$B$5=X471</f>
        <v/>
      </c>
      <c r="R471" s="226">
        <f>I471-AD471</f>
        <v/>
      </c>
      <c r="S471" s="360" t="n"/>
      <c r="T471" s="361" t="n">
        <v>45786</v>
      </c>
      <c r="U471" s="360" t="inlineStr">
        <is>
          <t>KR252262</t>
        </is>
      </c>
      <c r="V471" s="360" t="n"/>
      <c r="W471" s="360" t="n"/>
      <c r="X471" s="360" t="n"/>
      <c r="Y471" s="360" t="inlineStr">
        <is>
          <t>ហូលីដេ ឌីហ្សាញ (ខេមបូឌា) ឯ.ក</t>
        </is>
      </c>
      <c r="Z471" s="362" t="n"/>
      <c r="AA471" s="362" t="n"/>
      <c r="AB471" s="360" t="n"/>
      <c r="AC471" s="360" t="n"/>
      <c r="AD471" s="362" t="n">
        <v>1534750</v>
      </c>
      <c r="AE471" s="360" t="n"/>
      <c r="AF471" s="615" t="n"/>
    </row>
    <row r="472">
      <c r="A472" s="220">
        <f>A471+1</f>
        <v/>
      </c>
      <c r="B472" s="222" t="inlineStr">
        <is>
          <t>Lift-Off-Ex</t>
        </is>
      </c>
      <c r="C472" s="222" t="inlineStr">
        <is>
          <t>PHNOM PENH AUTONOMOUS PORT "PPAP"</t>
        </is>
      </c>
      <c r="D472" s="223" t="inlineStr">
        <is>
          <t>L001-100044999</t>
        </is>
      </c>
      <c r="E472" s="349" t="inlineStr">
        <is>
          <t>INV20250539150</t>
        </is>
      </c>
      <c r="F472" s="332" t="n">
        <v>45796</v>
      </c>
      <c r="G472" s="224" t="n"/>
      <c r="H472" s="617" t="n"/>
      <c r="I472" s="617" t="n">
        <v>56028</v>
      </c>
      <c r="J472" s="221" t="inlineStr">
        <is>
          <t>អនុញ្ញាត (បានប្រកាស)</t>
        </is>
      </c>
      <c r="K472" s="221" t="n"/>
      <c r="L472" s="616">
        <f>I472</f>
        <v/>
      </c>
      <c r="M472" s="588">
        <f>I472-L472</f>
        <v/>
      </c>
      <c r="N472" s="221" t="n"/>
      <c r="O472" s="226">
        <f>U472=E472</f>
        <v/>
      </c>
      <c r="P472" s="226">
        <f>MONTH(F472)-MONTH(T472)</f>
        <v/>
      </c>
      <c r="Q472" s="226">
        <f>$B$5=X472</f>
        <v/>
      </c>
      <c r="R472" s="226">
        <f>I472-AD472</f>
        <v/>
      </c>
      <c r="S472" s="360" t="n"/>
      <c r="T472" s="361" t="n">
        <v>45796</v>
      </c>
      <c r="U472" s="360" t="inlineStr">
        <is>
          <t>INV20250539150</t>
        </is>
      </c>
      <c r="V472" s="360" t="n">
        <v>0</v>
      </c>
      <c r="W472" s="360" t="inlineStr">
        <is>
          <t>បុគ្គលជាប់អាករ</t>
        </is>
      </c>
      <c r="X472" s="360" t="inlineStr">
        <is>
          <t>L001-901640009</t>
        </is>
      </c>
      <c r="Y472" s="360" t="inlineStr">
        <is>
          <t>ហូលីដេ ឌីហ្សាញ (ខេមបូឌា) ឯ.ក</t>
        </is>
      </c>
      <c r="Z472" s="362" t="n">
        <v>616308</v>
      </c>
      <c r="AA472" s="362" t="n">
        <v>560280</v>
      </c>
      <c r="AB472" s="360" t="n">
        <v>0</v>
      </c>
      <c r="AC472" s="360" t="inlineStr">
        <is>
          <t>-</t>
        </is>
      </c>
      <c r="AD472" s="362" t="n">
        <v>56028</v>
      </c>
      <c r="AE472" s="360" t="n">
        <v>0</v>
      </c>
      <c r="AF472" s="615" t="n">
        <v>0</v>
      </c>
      <c r="AG472" s="203" t="n">
        <v>0</v>
      </c>
      <c r="AH472" s="203" t="n">
        <v>0</v>
      </c>
      <c r="AI472" s="203" t="n">
        <v>0</v>
      </c>
      <c r="AJ472" s="203" t="n">
        <v>0</v>
      </c>
      <c r="AK472" s="203" t="n">
        <v>0</v>
      </c>
      <c r="AL472" s="203" t="n">
        <v>0.01</v>
      </c>
      <c r="AM472" s="203" t="n">
        <v>0</v>
      </c>
      <c r="AN472" s="203" t="inlineStr">
        <is>
          <t>ចំណូលពីសេវាកម្ម (លើកដាក់ទំនិញ)</t>
        </is>
      </c>
    </row>
    <row r="473">
      <c r="A473" s="220">
        <f>A472+1</f>
        <v/>
      </c>
      <c r="B473" s="222" t="inlineStr">
        <is>
          <t>Trucking &amp; Clearance-Ex</t>
        </is>
      </c>
      <c r="C473" s="222" t="inlineStr">
        <is>
          <t>KR GLOBAL LOGISTICS CO., LTD.</t>
        </is>
      </c>
      <c r="D473" s="223" t="inlineStr">
        <is>
          <t>K005-902004162</t>
        </is>
      </c>
      <c r="E473" s="349" t="inlineStr">
        <is>
          <t>KR252261</t>
        </is>
      </c>
      <c r="F473" s="332" t="n">
        <v>45786</v>
      </c>
      <c r="G473" s="224" t="n"/>
      <c r="H473" s="617" t="n"/>
      <c r="I473" s="617" t="n">
        <v>333250</v>
      </c>
      <c r="J473" s="221" t="inlineStr">
        <is>
          <t>អនុញ្ញាត (បានប្រកាស)</t>
        </is>
      </c>
      <c r="K473" s="221" t="n"/>
      <c r="L473" s="616">
        <f>I473</f>
        <v/>
      </c>
      <c r="M473" s="588">
        <f>I473-L473</f>
        <v/>
      </c>
      <c r="N473" s="221" t="n"/>
      <c r="O473" s="226">
        <f>U473=E473</f>
        <v/>
      </c>
      <c r="P473" s="226">
        <f>MONTH(F473)-MONTH(T473)</f>
        <v/>
      </c>
      <c r="Q473" s="226">
        <f>$B$5=X473</f>
        <v/>
      </c>
      <c r="R473" s="226">
        <f>I473-AD473</f>
        <v/>
      </c>
      <c r="S473" s="360" t="n"/>
      <c r="T473" s="361" t="n">
        <v>45786</v>
      </c>
      <c r="U473" s="360" t="inlineStr">
        <is>
          <t>KR252261</t>
        </is>
      </c>
      <c r="V473" s="360" t="n"/>
      <c r="W473" s="360" t="n"/>
      <c r="X473" s="360" t="n"/>
      <c r="Y473" s="360" t="inlineStr">
        <is>
          <t>ហូលីដេ ឌីហ្សាញ (ខេមបូឌា) ឯ.ក</t>
        </is>
      </c>
      <c r="Z473" s="362" t="n"/>
      <c r="AA473" s="362" t="n"/>
      <c r="AB473" s="360" t="n"/>
      <c r="AC473" s="360" t="n"/>
      <c r="AD473" s="362" t="n">
        <v>333250</v>
      </c>
      <c r="AE473" s="360" t="n"/>
      <c r="AF473" s="615" t="n"/>
    </row>
    <row r="474">
      <c r="A474" s="220">
        <f>A473+1</f>
        <v/>
      </c>
      <c r="B474" s="222" t="inlineStr">
        <is>
          <t>Lift-Off-Ex</t>
        </is>
      </c>
      <c r="C474" s="222" t="inlineStr">
        <is>
          <t>PHNOM PENH AUTONOMOUS PORT "PPAP"</t>
        </is>
      </c>
      <c r="D474" s="223" t="inlineStr">
        <is>
          <t>L001-100044999</t>
        </is>
      </c>
      <c r="E474" s="349" t="inlineStr">
        <is>
          <t>INV20250539149</t>
        </is>
      </c>
      <c r="F474" s="332" t="n">
        <v>45796</v>
      </c>
      <c r="G474" s="224" t="n"/>
      <c r="H474" s="617" t="n"/>
      <c r="I474" s="617" t="n">
        <v>28014</v>
      </c>
      <c r="J474" s="221" t="inlineStr">
        <is>
          <t>អនុញ្ញាត (បានប្រកាស)</t>
        </is>
      </c>
      <c r="K474" s="221" t="n"/>
      <c r="L474" s="616">
        <f>I474</f>
        <v/>
      </c>
      <c r="M474" s="588">
        <f>I474-L474</f>
        <v/>
      </c>
      <c r="N474" s="221" t="n"/>
      <c r="O474" s="226">
        <f>U474=E474</f>
        <v/>
      </c>
      <c r="P474" s="226">
        <f>MONTH(F474)-MONTH(T474)</f>
        <v/>
      </c>
      <c r="Q474" s="226">
        <f>$B$5=X474</f>
        <v/>
      </c>
      <c r="R474" s="226">
        <f>I474-AD474</f>
        <v/>
      </c>
      <c r="S474" s="360" t="n"/>
      <c r="T474" s="361" t="n">
        <v>45796</v>
      </c>
      <c r="U474" s="360" t="inlineStr">
        <is>
          <t>INV20250539149</t>
        </is>
      </c>
      <c r="V474" s="360" t="n">
        <v>0</v>
      </c>
      <c r="W474" s="360" t="inlineStr">
        <is>
          <t>បុគ្គលជាប់អាករ</t>
        </is>
      </c>
      <c r="X474" s="360" t="inlineStr">
        <is>
          <t>L001-901640009</t>
        </is>
      </c>
      <c r="Y474" s="360" t="inlineStr">
        <is>
          <t>ហូលីដេ ឌីហ្សាញ (ខេមបូឌា) ឯ.ក</t>
        </is>
      </c>
      <c r="Z474" s="362" t="n">
        <v>308154</v>
      </c>
      <c r="AA474" s="362" t="n">
        <v>280140</v>
      </c>
      <c r="AB474" s="360" t="n">
        <v>0</v>
      </c>
      <c r="AC474" s="360" t="inlineStr">
        <is>
          <t>-</t>
        </is>
      </c>
      <c r="AD474" s="362" t="n">
        <v>28014</v>
      </c>
      <c r="AE474" s="360" t="n">
        <v>0</v>
      </c>
      <c r="AF474" s="615" t="n">
        <v>0</v>
      </c>
      <c r="AG474" s="203" t="n">
        <v>0</v>
      </c>
      <c r="AH474" s="203" t="n">
        <v>0</v>
      </c>
      <c r="AI474" s="203" t="n">
        <v>0</v>
      </c>
      <c r="AJ474" s="203" t="n">
        <v>0</v>
      </c>
      <c r="AK474" s="203" t="n">
        <v>0</v>
      </c>
      <c r="AL474" s="203" t="n">
        <v>0.01</v>
      </c>
      <c r="AM474" s="203" t="n">
        <v>0</v>
      </c>
      <c r="AN474" s="203" t="inlineStr">
        <is>
          <t>ចំណូលពីសេវាកម្ម (លើកដាក់ទំនិញ)</t>
        </is>
      </c>
    </row>
    <row r="475">
      <c r="A475" s="220">
        <f>A474+1</f>
        <v/>
      </c>
      <c r="B475" s="222" t="inlineStr">
        <is>
          <t>Trucking &amp; Clearance-Ex</t>
        </is>
      </c>
      <c r="C475" s="222" t="inlineStr">
        <is>
          <t>KR GLOBAL LOGISTICS CO., LTD.</t>
        </is>
      </c>
      <c r="D475" s="223" t="inlineStr">
        <is>
          <t>K005-902004162</t>
        </is>
      </c>
      <c r="E475" s="349" t="inlineStr">
        <is>
          <t>KR252260</t>
        </is>
      </c>
      <c r="F475" s="332" t="n">
        <v>45786</v>
      </c>
      <c r="G475" s="224" t="n"/>
      <c r="H475" s="617" t="n"/>
      <c r="I475" s="617" t="n">
        <v>229372</v>
      </c>
      <c r="J475" s="221" t="inlineStr">
        <is>
          <t>អនុញ្ញាត (បានប្រកាស)</t>
        </is>
      </c>
      <c r="K475" s="221" t="n"/>
      <c r="L475" s="616">
        <f>I475</f>
        <v/>
      </c>
      <c r="M475" s="588">
        <f>I475-L475</f>
        <v/>
      </c>
      <c r="N475" s="221" t="n"/>
      <c r="O475" s="226">
        <f>U475=E475</f>
        <v/>
      </c>
      <c r="P475" s="226">
        <f>MONTH(F475)-MONTH(T475)</f>
        <v/>
      </c>
      <c r="Q475" s="226">
        <f>$B$5=X475</f>
        <v/>
      </c>
      <c r="R475" s="226">
        <f>I475-AD475</f>
        <v/>
      </c>
      <c r="S475" s="360" t="n"/>
      <c r="T475" s="361" t="n">
        <v>45786</v>
      </c>
      <c r="U475" s="360" t="inlineStr">
        <is>
          <t>KR252260</t>
        </is>
      </c>
      <c r="V475" s="360" t="n"/>
      <c r="W475" s="360" t="n"/>
      <c r="X475" s="360" t="n"/>
      <c r="Y475" s="360" t="inlineStr">
        <is>
          <t>ហូលីដេ ឌីហ្សាញ (ខេមបូឌា) ឯ.ក</t>
        </is>
      </c>
      <c r="Z475" s="362" t="n"/>
      <c r="AA475" s="362" t="n"/>
      <c r="AB475" s="360" t="n"/>
      <c r="AC475" s="360" t="n"/>
      <c r="AD475" s="362" t="n">
        <v>229372</v>
      </c>
      <c r="AE475" s="360" t="n"/>
      <c r="AF475" s="615" t="n"/>
    </row>
    <row r="476">
      <c r="A476" s="220">
        <f>A475+1</f>
        <v/>
      </c>
      <c r="B476" s="222" t="inlineStr">
        <is>
          <t>Lift-Off-Ex</t>
        </is>
      </c>
      <c r="C476" s="222" t="inlineStr">
        <is>
          <t>PHNOM PENH AUTONOMOUS PORT "PPAP"</t>
        </is>
      </c>
      <c r="D476" s="223" t="inlineStr">
        <is>
          <t>L001-100044999</t>
        </is>
      </c>
      <c r="E476" s="349" t="inlineStr">
        <is>
          <t>INV20250539145</t>
        </is>
      </c>
      <c r="F476" s="332" t="n">
        <v>45796</v>
      </c>
      <c r="G476" s="224" t="n"/>
      <c r="H476" s="617" t="n"/>
      <c r="I476" s="617" t="n">
        <v>140070</v>
      </c>
      <c r="J476" s="221" t="inlineStr">
        <is>
          <t>អនុញ្ញាត (បានប្រកាស)</t>
        </is>
      </c>
      <c r="K476" s="221" t="n"/>
      <c r="L476" s="616">
        <f>I476</f>
        <v/>
      </c>
      <c r="M476" s="588">
        <f>I476-L476</f>
        <v/>
      </c>
      <c r="N476" s="221" t="n"/>
      <c r="O476" s="226">
        <f>U476=E476</f>
        <v/>
      </c>
      <c r="P476" s="226">
        <f>MONTH(F476)-MONTH(T476)</f>
        <v/>
      </c>
      <c r="Q476" s="226">
        <f>$B$5=X476</f>
        <v/>
      </c>
      <c r="R476" s="226">
        <f>I476-AD476</f>
        <v/>
      </c>
      <c r="S476" s="360" t="n"/>
      <c r="T476" s="361" t="n">
        <v>45796</v>
      </c>
      <c r="U476" s="360" t="inlineStr">
        <is>
          <t>INV20250539145</t>
        </is>
      </c>
      <c r="V476" s="360" t="n">
        <v>0</v>
      </c>
      <c r="W476" s="360" t="inlineStr">
        <is>
          <t>បុគ្គលជាប់អាករ</t>
        </is>
      </c>
      <c r="X476" s="360" t="inlineStr">
        <is>
          <t>L001-901640009</t>
        </is>
      </c>
      <c r="Y476" s="360" t="inlineStr">
        <is>
          <t>ហូលីដេ ឌីហ្សាញ (ខេមបូឌា) ឯ.ក</t>
        </is>
      </c>
      <c r="Z476" s="362" t="n">
        <v>1540770</v>
      </c>
      <c r="AA476" s="362" t="n">
        <v>1400700</v>
      </c>
      <c r="AB476" s="360" t="n">
        <v>0</v>
      </c>
      <c r="AC476" s="360" t="inlineStr">
        <is>
          <t>-</t>
        </is>
      </c>
      <c r="AD476" s="362" t="n">
        <v>140070</v>
      </c>
      <c r="AE476" s="360" t="n">
        <v>0</v>
      </c>
      <c r="AF476" s="615" t="n">
        <v>0</v>
      </c>
      <c r="AG476" s="203" t="n">
        <v>0</v>
      </c>
      <c r="AH476" s="203" t="n">
        <v>0</v>
      </c>
      <c r="AI476" s="203" t="n">
        <v>0</v>
      </c>
      <c r="AJ476" s="203" t="n">
        <v>0</v>
      </c>
      <c r="AK476" s="203" t="n">
        <v>0</v>
      </c>
      <c r="AL476" s="203" t="n">
        <v>0.01</v>
      </c>
      <c r="AM476" s="203" t="n">
        <v>0</v>
      </c>
      <c r="AN476" s="203" t="inlineStr">
        <is>
          <t>ចំណូលពីសេវាកម្ម (លើកដាក់ទំនិញ)</t>
        </is>
      </c>
    </row>
    <row r="477">
      <c r="A477" s="220">
        <f>A476+1</f>
        <v/>
      </c>
      <c r="B477" s="222" t="inlineStr">
        <is>
          <t>Trucking &amp; Clearance-Ex</t>
        </is>
      </c>
      <c r="C477" s="222" t="inlineStr">
        <is>
          <t>KR GLOBAL LOGISTICS CO., LTD.</t>
        </is>
      </c>
      <c r="D477" s="223" t="inlineStr">
        <is>
          <t>K005-902004162</t>
        </is>
      </c>
      <c r="E477" s="349" t="inlineStr">
        <is>
          <t>KR252259</t>
        </is>
      </c>
      <c r="F477" s="332" t="n">
        <v>45786</v>
      </c>
      <c r="G477" s="224" t="n"/>
      <c r="H477" s="617" t="n"/>
      <c r="I477" s="617" t="n">
        <v>341056</v>
      </c>
      <c r="J477" s="221" t="inlineStr">
        <is>
          <t>អនុញ្ញាត (បានប្រកាស)</t>
        </is>
      </c>
      <c r="K477" s="221" t="n"/>
      <c r="L477" s="616">
        <f>I477</f>
        <v/>
      </c>
      <c r="M477" s="588">
        <f>I477-L477</f>
        <v/>
      </c>
      <c r="N477" s="221" t="n"/>
      <c r="O477" s="226">
        <f>U477=E477</f>
        <v/>
      </c>
      <c r="P477" s="226">
        <f>MONTH(F477)-MONTH(T477)</f>
        <v/>
      </c>
      <c r="Q477" s="226">
        <f>$B$5=X477</f>
        <v/>
      </c>
      <c r="R477" s="226">
        <f>I477-AD477</f>
        <v/>
      </c>
      <c r="S477" s="360" t="n"/>
      <c r="T477" s="361" t="n">
        <v>45786</v>
      </c>
      <c r="U477" s="360" t="inlineStr">
        <is>
          <t>KR252259</t>
        </is>
      </c>
      <c r="V477" s="360" t="n"/>
      <c r="W477" s="360" t="n"/>
      <c r="X477" s="360" t="n"/>
      <c r="Y477" s="360" t="inlineStr">
        <is>
          <t>ហូលីដេ ឌីហ្សាញ (ខេមបូឌា) ឯ.ក</t>
        </is>
      </c>
      <c r="Z477" s="362" t="n"/>
      <c r="AA477" s="362" t="n"/>
      <c r="AB477" s="360" t="n"/>
      <c r="AC477" s="360" t="n"/>
      <c r="AD477" s="362" t="n">
        <v>341056</v>
      </c>
      <c r="AE477" s="360" t="n"/>
      <c r="AF477" s="615" t="n"/>
    </row>
    <row r="478">
      <c r="A478" s="220">
        <f>A477+1</f>
        <v/>
      </c>
      <c r="B478" s="222" t="inlineStr">
        <is>
          <t>Storage 40 Feet Container-Ex</t>
        </is>
      </c>
      <c r="C478" s="222" t="inlineStr">
        <is>
          <t>PHNOM PENH AUTONOMOUS PORT "PPAP"</t>
        </is>
      </c>
      <c r="D478" s="223" t="inlineStr">
        <is>
          <t>L001-100044999</t>
        </is>
      </c>
      <c r="E478" s="349" t="inlineStr">
        <is>
          <t>INV20250542516</t>
        </is>
      </c>
      <c r="F478" s="332" t="n">
        <v>45805</v>
      </c>
      <c r="G478" s="224" t="n"/>
      <c r="H478" s="617" t="n"/>
      <c r="I478" s="617" t="n">
        <v>2402</v>
      </c>
      <c r="J478" s="221" t="inlineStr">
        <is>
          <t>អនុញ្ញាត (បានប្រកាស)</t>
        </is>
      </c>
      <c r="K478" s="221" t="n"/>
      <c r="L478" s="616">
        <f>I478</f>
        <v/>
      </c>
      <c r="M478" s="588">
        <f>I478-L478</f>
        <v/>
      </c>
      <c r="N478" s="221" t="n"/>
      <c r="O478" s="226">
        <f>U478=E478</f>
        <v/>
      </c>
      <c r="P478" s="226">
        <f>MONTH(F478)-MONTH(T478)</f>
        <v/>
      </c>
      <c r="Q478" s="226">
        <f>$B$5=X478</f>
        <v/>
      </c>
      <c r="R478" s="226">
        <f>I478-AD478</f>
        <v/>
      </c>
      <c r="S478" s="360" t="n"/>
      <c r="T478" s="361" t="n">
        <v>45805</v>
      </c>
      <c r="U478" s="360" t="inlineStr">
        <is>
          <t>INV20250542516</t>
        </is>
      </c>
      <c r="V478" s="360" t="n">
        <v>0</v>
      </c>
      <c r="W478" s="360" t="inlineStr">
        <is>
          <t>បុគ្គលជាប់អាករ</t>
        </is>
      </c>
      <c r="X478" s="360" t="inlineStr">
        <is>
          <t>L001-901640009</t>
        </is>
      </c>
      <c r="Y478" s="360" t="inlineStr">
        <is>
          <t>ហូលីដេ ឌីហ្សាញ (ខេមបូឌា) ឯ.ក</t>
        </is>
      </c>
      <c r="Z478" s="362" t="n">
        <v>26422</v>
      </c>
      <c r="AA478" s="362" t="n">
        <v>24020</v>
      </c>
      <c r="AB478" s="360" t="n">
        <v>0</v>
      </c>
      <c r="AC478" s="360" t="inlineStr">
        <is>
          <t>-</t>
        </is>
      </c>
      <c r="AD478" s="362" t="n">
        <v>2402</v>
      </c>
      <c r="AE478" s="360" t="n">
        <v>0</v>
      </c>
      <c r="AF478" s="615" t="n">
        <v>0</v>
      </c>
      <c r="AG478" s="203" t="n">
        <v>0</v>
      </c>
      <c r="AH478" s="203" t="n">
        <v>0</v>
      </c>
      <c r="AI478" s="203" t="n">
        <v>0</v>
      </c>
      <c r="AJ478" s="203" t="n">
        <v>0</v>
      </c>
      <c r="AK478" s="203" t="n">
        <v>0</v>
      </c>
      <c r="AL478" s="203" t="n">
        <v>0.01</v>
      </c>
      <c r="AM478" s="203" t="n">
        <v>0</v>
      </c>
      <c r="AN478" s="203" t="inlineStr">
        <is>
          <t>ចំណូលពីសេវាកម្ម (លើកដាក់ទំនិញ)</t>
        </is>
      </c>
    </row>
    <row r="479">
      <c r="A479" s="220">
        <f>A478+1</f>
        <v/>
      </c>
      <c r="B479" s="222" t="inlineStr">
        <is>
          <t>Lift-Off-Ex</t>
        </is>
      </c>
      <c r="C479" s="222" t="inlineStr">
        <is>
          <t>PHNOM PENH AUTONOMOUS PORT "PPAP"</t>
        </is>
      </c>
      <c r="D479" s="223" t="inlineStr">
        <is>
          <t>L001-100044999</t>
        </is>
      </c>
      <c r="E479" s="349" t="inlineStr">
        <is>
          <t>INV20250539147</t>
        </is>
      </c>
      <c r="F479" s="332" t="n">
        <v>45796</v>
      </c>
      <c r="G479" s="224" t="n"/>
      <c r="H479" s="617" t="n"/>
      <c r="I479" s="617" t="n">
        <v>28014</v>
      </c>
      <c r="J479" s="221" t="inlineStr">
        <is>
          <t>អនុញ្ញាត (បានប្រកាស)</t>
        </is>
      </c>
      <c r="K479" s="221" t="n"/>
      <c r="L479" s="616">
        <f>I479</f>
        <v/>
      </c>
      <c r="M479" s="588">
        <f>I479-L479</f>
        <v/>
      </c>
      <c r="N479" s="221" t="n"/>
      <c r="O479" s="226">
        <f>U479=E479</f>
        <v/>
      </c>
      <c r="P479" s="226">
        <f>MONTH(F479)-MONTH(T479)</f>
        <v/>
      </c>
      <c r="Q479" s="226">
        <f>$B$5=X479</f>
        <v/>
      </c>
      <c r="R479" s="226">
        <f>I479-AD479</f>
        <v/>
      </c>
      <c r="S479" s="360" t="inlineStr">
        <is>
          <t>Wrong invoice number</t>
        </is>
      </c>
      <c r="T479" s="361" t="n">
        <v>45796</v>
      </c>
      <c r="U479" s="360" t="inlineStr">
        <is>
          <t>INV20250539147</t>
        </is>
      </c>
      <c r="V479" s="360" t="n">
        <v>0</v>
      </c>
      <c r="W479" s="360" t="inlineStr">
        <is>
          <t>បុគ្គលជាប់អាករ</t>
        </is>
      </c>
      <c r="X479" s="360" t="inlineStr">
        <is>
          <t>L001-901640009</t>
        </is>
      </c>
      <c r="Y479" s="360" t="inlineStr">
        <is>
          <t>ហូលីដេ ឌីហ្សាញ (ខេមបូឌា) ឯ.ក</t>
        </is>
      </c>
      <c r="Z479" s="362" t="n">
        <v>308154</v>
      </c>
      <c r="AA479" s="362" t="n">
        <v>280140</v>
      </c>
      <c r="AB479" s="360" t="n">
        <v>0</v>
      </c>
      <c r="AC479" s="360" t="inlineStr">
        <is>
          <t>-</t>
        </is>
      </c>
      <c r="AD479" s="362" t="n">
        <v>28014</v>
      </c>
      <c r="AE479" s="360" t="n">
        <v>0</v>
      </c>
      <c r="AF479" s="615" t="n">
        <v>0</v>
      </c>
      <c r="AG479" s="203" t="n">
        <v>0</v>
      </c>
      <c r="AH479" s="203" t="n">
        <v>0</v>
      </c>
      <c r="AI479" s="203" t="n">
        <v>0</v>
      </c>
      <c r="AJ479" s="203" t="n">
        <v>0</v>
      </c>
      <c r="AK479" s="203" t="n">
        <v>0</v>
      </c>
      <c r="AL479" s="203" t="n">
        <v>0.01</v>
      </c>
      <c r="AM479" s="203" t="n">
        <v>0</v>
      </c>
      <c r="AN479" s="203" t="inlineStr">
        <is>
          <t>ចំណូលពីសេវាកម្ម (លើកដាក់ទំនិញ)</t>
        </is>
      </c>
    </row>
    <row r="480">
      <c r="A480" s="220">
        <f>A479+1</f>
        <v/>
      </c>
      <c r="B480" s="222" t="inlineStr">
        <is>
          <t>Trucking &amp; Clearance-Ex</t>
        </is>
      </c>
      <c r="C480" s="222" t="inlineStr">
        <is>
          <t>KR GLOBAL LOGISTICS CO., LTD.</t>
        </is>
      </c>
      <c r="D480" s="223" t="inlineStr">
        <is>
          <t>K005-902004162</t>
        </is>
      </c>
      <c r="E480" s="349" t="inlineStr">
        <is>
          <t>KR252258</t>
        </is>
      </c>
      <c r="F480" s="332" t="n">
        <v>45786</v>
      </c>
      <c r="G480" s="224" t="n"/>
      <c r="H480" s="617" t="n"/>
      <c r="I480" s="617" t="n">
        <v>170528</v>
      </c>
      <c r="J480" s="221" t="inlineStr">
        <is>
          <t>អនុញ្ញាត (បានប្រកាស)</t>
        </is>
      </c>
      <c r="K480" s="221" t="n"/>
      <c r="L480" s="616">
        <f>I480</f>
        <v/>
      </c>
      <c r="M480" s="588">
        <f>I480-L480</f>
        <v/>
      </c>
      <c r="N480" s="221" t="n"/>
      <c r="O480" s="226">
        <f>U480=E480</f>
        <v/>
      </c>
      <c r="P480" s="226">
        <f>MONTH(F480)-MONTH(T480)</f>
        <v/>
      </c>
      <c r="Q480" s="226">
        <f>$B$5=X480</f>
        <v/>
      </c>
      <c r="R480" s="226">
        <f>I480-AD480</f>
        <v/>
      </c>
      <c r="S480" s="360" t="n"/>
      <c r="T480" s="361" t="n">
        <v>45786</v>
      </c>
      <c r="U480" s="360" t="inlineStr">
        <is>
          <t>KR252258</t>
        </is>
      </c>
      <c r="V480" s="360" t="n"/>
      <c r="W480" s="360" t="n"/>
      <c r="X480" s="360" t="n"/>
      <c r="Y480" s="360" t="inlineStr">
        <is>
          <t>ហូលីដេ ឌីហ្សាញ (ខេមបូឌា) ឯ.ក</t>
        </is>
      </c>
      <c r="Z480" s="362" t="n"/>
      <c r="AA480" s="362" t="n"/>
      <c r="AB480" s="360" t="n"/>
      <c r="AC480" s="360" t="n"/>
      <c r="AD480" s="362" t="n">
        <v>170528</v>
      </c>
      <c r="AE480" s="360" t="n"/>
      <c r="AF480" s="615" t="n"/>
    </row>
    <row r="481">
      <c r="A481" s="220">
        <f>A480+1</f>
        <v/>
      </c>
      <c r="B481" s="222" t="inlineStr">
        <is>
          <t>Lift-Off-Ex</t>
        </is>
      </c>
      <c r="C481" s="222" t="inlineStr">
        <is>
          <t>PHNOM PENH AUTONOMOUS PORT "PPAP"</t>
        </is>
      </c>
      <c r="D481" s="223" t="inlineStr">
        <is>
          <t>L001-100044999</t>
        </is>
      </c>
      <c r="E481" s="349" t="inlineStr">
        <is>
          <t>INV20250539146</t>
        </is>
      </c>
      <c r="F481" s="332" t="n">
        <v>45796</v>
      </c>
      <c r="G481" s="224" t="n"/>
      <c r="H481" s="617" t="n"/>
      <c r="I481" s="617" t="n">
        <v>224112</v>
      </c>
      <c r="J481" s="221" t="inlineStr">
        <is>
          <t>អនុញ្ញាត (បានប្រកាស)</t>
        </is>
      </c>
      <c r="K481" s="221" t="n"/>
      <c r="L481" s="616">
        <f>I481</f>
        <v/>
      </c>
      <c r="M481" s="588">
        <f>I481-L481</f>
        <v/>
      </c>
      <c r="N481" s="221" t="n"/>
      <c r="O481" s="226">
        <f>U481=E481</f>
        <v/>
      </c>
      <c r="P481" s="226">
        <f>MONTH(F481)-MONTH(T481)</f>
        <v/>
      </c>
      <c r="Q481" s="226">
        <f>$B$5=X481</f>
        <v/>
      </c>
      <c r="R481" s="226">
        <f>I481-AD481</f>
        <v/>
      </c>
      <c r="S481" s="360" t="n"/>
      <c r="T481" s="361" t="n">
        <v>45796</v>
      </c>
      <c r="U481" s="360" t="inlineStr">
        <is>
          <t>INV20250539146</t>
        </is>
      </c>
      <c r="V481" s="360" t="n">
        <v>0</v>
      </c>
      <c r="W481" s="360" t="inlineStr">
        <is>
          <t>បុគ្គលជាប់អាករ</t>
        </is>
      </c>
      <c r="X481" s="360" t="inlineStr">
        <is>
          <t>L001-901640009</t>
        </is>
      </c>
      <c r="Y481" s="360" t="inlineStr">
        <is>
          <t>ហូលីដេ ឌីហ្សាញ (ខេមបូឌា) ឯ.ក</t>
        </is>
      </c>
      <c r="Z481" s="362" t="n">
        <v>2465232</v>
      </c>
      <c r="AA481" s="362" t="n">
        <v>2241120</v>
      </c>
      <c r="AB481" s="360" t="n">
        <v>0</v>
      </c>
      <c r="AC481" s="360" t="inlineStr">
        <is>
          <t>-</t>
        </is>
      </c>
      <c r="AD481" s="362" t="n">
        <v>224112</v>
      </c>
      <c r="AE481" s="360" t="n">
        <v>0</v>
      </c>
      <c r="AF481" s="615" t="n">
        <v>0</v>
      </c>
      <c r="AG481" s="203" t="n">
        <v>0</v>
      </c>
      <c r="AH481" s="203" t="n">
        <v>0</v>
      </c>
      <c r="AI481" s="203" t="n">
        <v>0</v>
      </c>
      <c r="AJ481" s="203" t="n">
        <v>0</v>
      </c>
      <c r="AK481" s="203" t="n">
        <v>0</v>
      </c>
      <c r="AL481" s="203" t="n">
        <v>0.01</v>
      </c>
      <c r="AM481" s="203" t="n">
        <v>0</v>
      </c>
      <c r="AN481" s="203" t="inlineStr">
        <is>
          <t>ចំណូលពីសេវាកម្ម (លើកដាក់ទំនិញ)</t>
        </is>
      </c>
    </row>
    <row r="482">
      <c r="A482" s="220">
        <f>A481+1</f>
        <v/>
      </c>
      <c r="B482" s="222" t="inlineStr">
        <is>
          <t>Trucking &amp; Clearance-Ex</t>
        </is>
      </c>
      <c r="C482" s="222" t="inlineStr">
        <is>
          <t>KR GLOBAL LOGISTICS CO., LTD.</t>
        </is>
      </c>
      <c r="D482" s="223" t="inlineStr">
        <is>
          <t>K005-902004162</t>
        </is>
      </c>
      <c r="E482" s="349" t="inlineStr">
        <is>
          <t>KR252257</t>
        </is>
      </c>
      <c r="F482" s="332" t="n">
        <v>45786</v>
      </c>
      <c r="G482" s="224" t="n"/>
      <c r="H482" s="617" t="n"/>
      <c r="I482" s="617" t="n">
        <v>1364222</v>
      </c>
      <c r="J482" s="221" t="inlineStr">
        <is>
          <t>អនុញ្ញាត (បានប្រកាស)</t>
        </is>
      </c>
      <c r="K482" s="221" t="n"/>
      <c r="L482" s="616">
        <f>I482</f>
        <v/>
      </c>
      <c r="M482" s="588">
        <f>I482-L482</f>
        <v/>
      </c>
      <c r="N482" s="221" t="n"/>
      <c r="O482" s="226">
        <f>U482=E482</f>
        <v/>
      </c>
      <c r="P482" s="226">
        <f>MONTH(F482)-MONTH(T482)</f>
        <v/>
      </c>
      <c r="Q482" s="226">
        <f>$B$5=X482</f>
        <v/>
      </c>
      <c r="R482" s="226">
        <f>I482-AD482</f>
        <v/>
      </c>
      <c r="S482" s="360" t="n"/>
      <c r="T482" s="361" t="n">
        <v>45786</v>
      </c>
      <c r="U482" s="360" t="inlineStr">
        <is>
          <t>KR252257</t>
        </is>
      </c>
      <c r="V482" s="360" t="n"/>
      <c r="W482" s="360" t="n"/>
      <c r="X482" s="360" t="n"/>
      <c r="Y482" s="360" t="inlineStr">
        <is>
          <t>ហូលីដេ ឌីហ្សាញ (ខេមបូឌា) ឯ.ក</t>
        </is>
      </c>
      <c r="Z482" s="362" t="n"/>
      <c r="AA482" s="362" t="n"/>
      <c r="AB482" s="360" t="n"/>
      <c r="AC482" s="360" t="n"/>
      <c r="AD482" s="362" t="n">
        <v>1364222</v>
      </c>
      <c r="AE482" s="360" t="n"/>
      <c r="AF482" s="615" t="n"/>
    </row>
    <row r="483">
      <c r="A483" s="220">
        <f>A482+1</f>
        <v/>
      </c>
      <c r="B483" s="222" t="inlineStr">
        <is>
          <t>Trucking &amp; Clearance-Im</t>
        </is>
      </c>
      <c r="C483" s="222" t="inlineStr">
        <is>
          <t>BRILLIANT TRANSPORT AND TRADING Co., Ltd.</t>
        </is>
      </c>
      <c r="D483" s="223" t="inlineStr">
        <is>
          <t>K002-100089305</t>
        </is>
      </c>
      <c r="E483" s="349" t="inlineStr">
        <is>
          <t>BTT25-0001169</t>
        </is>
      </c>
      <c r="F483" s="332" t="n">
        <v>45804</v>
      </c>
      <c r="G483" s="224" t="n"/>
      <c r="H483" s="617" t="n"/>
      <c r="I483" s="617" t="n">
        <v>3026268</v>
      </c>
      <c r="J483" s="221" t="inlineStr">
        <is>
          <t>អនុញ្ញាត (បានប្រកាស)</t>
        </is>
      </c>
      <c r="K483" s="221" t="n"/>
      <c r="L483" s="616">
        <f>I483</f>
        <v/>
      </c>
      <c r="M483" s="588">
        <f>I483-L483</f>
        <v/>
      </c>
      <c r="N483" s="221" t="n"/>
      <c r="O483" s="226">
        <f>U483=E483</f>
        <v/>
      </c>
      <c r="P483" s="226">
        <f>MONTH(F483)-MONTH(T483)</f>
        <v/>
      </c>
      <c r="Q483" s="226">
        <f>$B$5=X483</f>
        <v/>
      </c>
      <c r="R483" s="226">
        <f>I483-AD483</f>
        <v/>
      </c>
      <c r="S483" s="360" t="n"/>
      <c r="T483" s="361" t="n">
        <v>45804</v>
      </c>
      <c r="U483" s="360" t="inlineStr">
        <is>
          <t>BTT25-0001169</t>
        </is>
      </c>
      <c r="V483" s="360" t="n"/>
      <c r="W483" s="360" t="n"/>
      <c r="X483" s="360" t="n"/>
      <c r="Y483" s="360" t="inlineStr">
        <is>
          <t>ហូលីដេ ឌីហ្សាញ (ខេមបូឌា) ឯ.ក</t>
        </is>
      </c>
      <c r="Z483" s="362" t="n"/>
      <c r="AA483" s="362" t="n"/>
      <c r="AB483" s="360" t="n"/>
      <c r="AC483" s="360" t="n"/>
      <c r="AD483" s="362" t="n">
        <v>3026268</v>
      </c>
      <c r="AE483" s="360" t="n"/>
      <c r="AF483" s="615" t="n"/>
      <c r="AN483" s="203" t="inlineStr">
        <is>
          <t>Truking / Service</t>
        </is>
      </c>
    </row>
    <row r="484">
      <c r="A484" s="220">
        <f>A483+1</f>
        <v/>
      </c>
      <c r="B484" s="222" t="inlineStr">
        <is>
          <t>THC Fee-Ex</t>
        </is>
      </c>
      <c r="C484" s="222" t="inlineStr">
        <is>
          <t>APL LOGISTICS (CAMBODIA) PTE LTD.</t>
        </is>
      </c>
      <c r="D484" s="223" t="inlineStr">
        <is>
          <t>L001-100046460</t>
        </is>
      </c>
      <c r="E484" s="349" t="inlineStr">
        <is>
          <t>APLL25003538</t>
        </is>
      </c>
      <c r="F484" s="332" t="n">
        <v>45807</v>
      </c>
      <c r="G484" s="224" t="n"/>
      <c r="H484" s="617" t="n"/>
      <c r="I484" s="617" t="n">
        <v>1005255</v>
      </c>
      <c r="J484" s="221" t="inlineStr">
        <is>
          <t>អនុញ្ញាត (បានប្រកាស)</t>
        </is>
      </c>
      <c r="K484" s="221" t="n"/>
      <c r="L484" s="616">
        <f>I484</f>
        <v/>
      </c>
      <c r="M484" s="588">
        <f>I484-L484</f>
        <v/>
      </c>
      <c r="N484" s="221" t="n"/>
      <c r="O484" s="226">
        <f>U484=E484</f>
        <v/>
      </c>
      <c r="P484" s="226">
        <f>MONTH(F484)-MONTH(T484)</f>
        <v/>
      </c>
      <c r="Q484" s="226">
        <f>$B$5=X484</f>
        <v/>
      </c>
      <c r="R484" s="226">
        <f>I484-AD484</f>
        <v/>
      </c>
      <c r="S484" s="360" t="n"/>
      <c r="T484" s="361" t="n">
        <v>45807</v>
      </c>
      <c r="U484" s="360" t="inlineStr">
        <is>
          <t>APLL25003538</t>
        </is>
      </c>
      <c r="V484" s="360" t="n"/>
      <c r="W484" s="360" t="n"/>
      <c r="X484" s="360" t="n"/>
      <c r="Y484" s="360" t="inlineStr">
        <is>
          <t>ហូលីដេ ឌីហ្សាញ (ខេមបូឌា) ឯ.ក</t>
        </is>
      </c>
      <c r="Z484" s="362" t="n"/>
      <c r="AA484" s="362" t="n"/>
      <c r="AB484" s="360" t="n"/>
      <c r="AC484" s="360" t="n"/>
      <c r="AD484" s="362" t="n">
        <v>1005255</v>
      </c>
      <c r="AE484" s="360" t="n"/>
      <c r="AF484" s="615" t="n"/>
    </row>
    <row r="485">
      <c r="A485" s="220">
        <f>A484+1</f>
        <v/>
      </c>
      <c r="B485" s="222" t="inlineStr">
        <is>
          <t>Lift-On &amp; Lift-On-Im</t>
        </is>
      </c>
      <c r="C485" s="222" t="inlineStr">
        <is>
          <t>Port Autonome Du Sihanoukville</t>
        </is>
      </c>
      <c r="D485" s="223" t="inlineStr">
        <is>
          <t>L001-100044638</t>
        </is>
      </c>
      <c r="E485" s="349" t="n">
        <v>202500122681</v>
      </c>
      <c r="F485" s="332" t="n">
        <v>45803</v>
      </c>
      <c r="G485" s="224" t="n"/>
      <c r="H485" s="617" t="n"/>
      <c r="I485" s="617" t="n">
        <v>34817</v>
      </c>
      <c r="J485" s="221" t="inlineStr">
        <is>
          <t>អនុញ្ញាត (បានប្រកាស)</t>
        </is>
      </c>
      <c r="K485" s="221" t="n"/>
      <c r="L485" s="616">
        <f>I485</f>
        <v/>
      </c>
      <c r="M485" s="588">
        <f>I485-L485</f>
        <v/>
      </c>
      <c r="N485" s="221" t="n"/>
      <c r="O485" s="226">
        <f>U485=E485</f>
        <v/>
      </c>
      <c r="P485" s="226">
        <f>MONTH(F485)-MONTH(T485)</f>
        <v/>
      </c>
      <c r="Q485" s="226">
        <f>$B$5=X485</f>
        <v/>
      </c>
      <c r="R485" s="226">
        <f>I485-AD485</f>
        <v/>
      </c>
      <c r="S485" s="360" t="inlineStr">
        <is>
          <t>Wrong invoice number</t>
        </is>
      </c>
      <c r="T485" s="361" t="n">
        <v>45803</v>
      </c>
      <c r="U485" s="360" t="n">
        <v>202500122681</v>
      </c>
      <c r="V485" s="360" t="n"/>
      <c r="W485" s="360" t="inlineStr">
        <is>
          <t>បុគ្គលជាប់អាករ</t>
        </is>
      </c>
      <c r="X485" s="360" t="inlineStr">
        <is>
          <t>L001-901640009</t>
        </is>
      </c>
      <c r="Y485" s="360" t="inlineStr">
        <is>
          <t>ហូលីដេ ឌីហ្សាញ (ខេមបូឌា) ឯ.ក</t>
        </is>
      </c>
      <c r="Z485" s="362" t="n">
        <v>382991</v>
      </c>
      <c r="AA485" s="362" t="n">
        <v>348174</v>
      </c>
      <c r="AB485" s="360" t="n">
        <v>0</v>
      </c>
      <c r="AC485" s="360" t="inlineStr">
        <is>
          <t>-</t>
        </is>
      </c>
      <c r="AD485" s="362" t="n">
        <v>34817</v>
      </c>
      <c r="AE485" s="360" t="n"/>
      <c r="AF485" s="615" t="n"/>
    </row>
    <row r="486">
      <c r="A486" s="220">
        <f>A485+1</f>
        <v/>
      </c>
      <c r="B486" s="222" t="inlineStr">
        <is>
          <t>Lift-On &amp; Lift-On-Im</t>
        </is>
      </c>
      <c r="C486" s="222" t="inlineStr">
        <is>
          <t>Port Autonome Du Sihanoukville</t>
        </is>
      </c>
      <c r="D486" s="223" t="inlineStr">
        <is>
          <t>L001-100044638</t>
        </is>
      </c>
      <c r="E486" s="349" t="n">
        <v>202500101343</v>
      </c>
      <c r="F486" s="332" t="n">
        <v>45782</v>
      </c>
      <c r="G486" s="224" t="n"/>
      <c r="H486" s="617" t="n"/>
      <c r="I486" s="617" t="n">
        <v>418018</v>
      </c>
      <c r="J486" s="221" t="inlineStr">
        <is>
          <t>អនុញ្ញាត (បានប្រកាស)</t>
        </is>
      </c>
      <c r="K486" s="221" t="n"/>
      <c r="L486" s="616">
        <f>I486</f>
        <v/>
      </c>
      <c r="M486" s="588">
        <f>I486-L486</f>
        <v/>
      </c>
      <c r="N486" s="221" t="n"/>
      <c r="O486" s="226">
        <f>U486=E486</f>
        <v/>
      </c>
      <c r="P486" s="226">
        <f>MONTH(F486)-MONTH(T486)</f>
        <v/>
      </c>
      <c r="Q486" s="226">
        <f>$B$5=X486</f>
        <v/>
      </c>
      <c r="R486" s="226">
        <f>I486-AD486</f>
        <v/>
      </c>
      <c r="S486" s="360" t="n"/>
      <c r="T486" s="361" t="n">
        <v>45782</v>
      </c>
      <c r="U486" s="360" t="n">
        <v>202500101343</v>
      </c>
      <c r="V486" s="360" t="n"/>
      <c r="W486" s="360" t="inlineStr">
        <is>
          <t>បុគ្គលជាប់អាករ</t>
        </is>
      </c>
      <c r="X486" s="360" t="inlineStr">
        <is>
          <t>L001-901640009</t>
        </is>
      </c>
      <c r="Y486" s="360" t="inlineStr">
        <is>
          <t>ហូលីដេ ឌីហ្សាញ (ខេមបូឌា) ឯ.ក</t>
        </is>
      </c>
      <c r="Z486" s="362" t="n">
        <v>4598194</v>
      </c>
      <c r="AA486" s="362" t="n">
        <v>4180176</v>
      </c>
      <c r="AB486" s="360" t="n">
        <v>0</v>
      </c>
      <c r="AC486" s="360" t="inlineStr">
        <is>
          <t>-</t>
        </is>
      </c>
      <c r="AD486" s="362" t="n">
        <v>418018</v>
      </c>
      <c r="AE486" s="360" t="n"/>
      <c r="AF486" s="615" t="n"/>
    </row>
    <row r="487">
      <c r="A487" s="220">
        <f>A486+1</f>
        <v/>
      </c>
      <c r="B487" s="222" t="inlineStr">
        <is>
          <t>Terminal Handling Charge-Im</t>
        </is>
      </c>
      <c r="C487" s="222" t="inlineStr">
        <is>
          <t>SITC CONTAINER LINES (CAMBODIA) Co., Ltd.</t>
        </is>
      </c>
      <c r="D487" s="223" t="inlineStr">
        <is>
          <t>L001-107035863</t>
        </is>
      </c>
      <c r="E487" s="349" t="inlineStr">
        <is>
          <t>SITC2025-014840</t>
        </is>
      </c>
      <c r="F487" s="332" t="n">
        <v>45778</v>
      </c>
      <c r="G487" s="224" t="n"/>
      <c r="H487" s="617" t="n"/>
      <c r="I487" s="617" t="n">
        <v>2521890</v>
      </c>
      <c r="J487" s="221" t="inlineStr">
        <is>
          <t>អនុញ្ញាត (បានប្រកាស)</t>
        </is>
      </c>
      <c r="K487" s="221" t="n"/>
      <c r="L487" s="616">
        <f>I487</f>
        <v/>
      </c>
      <c r="M487" s="588">
        <f>I487-L487</f>
        <v/>
      </c>
      <c r="N487" s="221" t="n"/>
      <c r="O487" s="226">
        <f>U487=E487</f>
        <v/>
      </c>
      <c r="P487" s="226">
        <f>MONTH(F487)-MONTH(T487)</f>
        <v/>
      </c>
      <c r="Q487" s="226">
        <f>$B$5=X487</f>
        <v/>
      </c>
      <c r="R487" s="226">
        <f>I487-AD487</f>
        <v/>
      </c>
      <c r="S487" s="360" t="n"/>
      <c r="T487" s="361" t="n">
        <v>45778</v>
      </c>
      <c r="U487" s="360" t="inlineStr">
        <is>
          <t>SITC2025-014840</t>
        </is>
      </c>
      <c r="V487" s="360" t="n"/>
      <c r="W487" s="360" t="inlineStr">
        <is>
          <t>បុគ្គលជាប់អាករ</t>
        </is>
      </c>
      <c r="X487" s="360" t="inlineStr">
        <is>
          <t>L001-901640009</t>
        </is>
      </c>
      <c r="Y487" s="360" t="inlineStr">
        <is>
          <t>ហូលីដេ ឌីហ្សាញ (ខេមបូឌា) ឯ.ក</t>
        </is>
      </c>
      <c r="Z487" s="362" t="n">
        <v>27740790</v>
      </c>
      <c r="AA487" s="362" t="n">
        <v>25218900</v>
      </c>
      <c r="AB487" s="360" t="n">
        <v>0</v>
      </c>
      <c r="AC487" s="360" t="inlineStr">
        <is>
          <t>-</t>
        </is>
      </c>
      <c r="AD487" s="362" t="n">
        <v>2521890</v>
      </c>
      <c r="AE487" s="360" t="n">
        <v>0</v>
      </c>
      <c r="AF487" s="615" t="n">
        <v>0</v>
      </c>
      <c r="AG487" s="203" t="n">
        <v>0</v>
      </c>
      <c r="AH487" s="203" t="n">
        <v>0</v>
      </c>
      <c r="AI487" s="203" t="n">
        <v>0</v>
      </c>
      <c r="AJ487" s="203" t="n">
        <v>0</v>
      </c>
      <c r="AK487" s="203" t="n">
        <v>0</v>
      </c>
      <c r="AL487" s="203" t="n">
        <v>0.01</v>
      </c>
      <c r="AN487" s="203" t="inlineStr">
        <is>
          <t>KHDOC,KHTHC,KHCIC,EI</t>
        </is>
      </c>
    </row>
    <row r="488">
      <c r="A488" s="220">
        <f>A487+1</f>
        <v/>
      </c>
      <c r="B488" s="222" t="inlineStr">
        <is>
          <t>Trucking &amp; Clearance-Im</t>
        </is>
      </c>
      <c r="C488" s="222" t="inlineStr">
        <is>
          <t>BRILLIANT TRANSPORT AND TRADING Co., Ltd.</t>
        </is>
      </c>
      <c r="D488" s="223" t="inlineStr">
        <is>
          <t>K002-100089305</t>
        </is>
      </c>
      <c r="E488" s="349" t="inlineStr">
        <is>
          <t>BTT25-0001049</t>
        </is>
      </c>
      <c r="F488" s="332" t="n">
        <v>45782</v>
      </c>
      <c r="G488" s="224" t="n"/>
      <c r="H488" s="617" t="n"/>
      <c r="I488" s="617" t="n">
        <v>2890888</v>
      </c>
      <c r="J488" s="221" t="inlineStr">
        <is>
          <t>អនុញ្ញាត (បានប្រកាស)</t>
        </is>
      </c>
      <c r="K488" s="221" t="n"/>
      <c r="L488" s="616">
        <f>I488</f>
        <v/>
      </c>
      <c r="M488" s="588">
        <f>I488-L488</f>
        <v/>
      </c>
      <c r="N488" s="221" t="n"/>
      <c r="O488" s="226">
        <f>U488=E488</f>
        <v/>
      </c>
      <c r="P488" s="226">
        <f>MONTH(F488)-MONTH(T488)</f>
        <v/>
      </c>
      <c r="Q488" s="226">
        <f>$B$5=X488</f>
        <v/>
      </c>
      <c r="R488" s="226">
        <f>I488-AD488</f>
        <v/>
      </c>
      <c r="S488" s="360" t="n"/>
      <c r="T488" s="361" t="n">
        <v>45782</v>
      </c>
      <c r="U488" s="360" t="inlineStr">
        <is>
          <t>BTT25-0001049</t>
        </is>
      </c>
      <c r="V488" s="360" t="n"/>
      <c r="W488" s="360" t="n"/>
      <c r="X488" s="360" t="n"/>
      <c r="Y488" s="360" t="inlineStr">
        <is>
          <t>ហូលីដេ ឌីហ្សាញ (ខេមបូឌា) ឯ.ក</t>
        </is>
      </c>
      <c r="Z488" s="362" t="n"/>
      <c r="AA488" s="362" t="n"/>
      <c r="AB488" s="360" t="n"/>
      <c r="AC488" s="360" t="n"/>
      <c r="AD488" s="362" t="n">
        <v>2890888</v>
      </c>
      <c r="AE488" s="360" t="n"/>
      <c r="AF488" s="615" t="n"/>
      <c r="AN488" s="203" t="inlineStr">
        <is>
          <t>Truking / Service</t>
        </is>
      </c>
    </row>
    <row r="489">
      <c r="A489" s="220">
        <f>A488+1</f>
        <v/>
      </c>
      <c r="B489" s="222" t="inlineStr">
        <is>
          <t>Trucking &amp; Clearance-Im</t>
        </is>
      </c>
      <c r="C489" s="222" t="inlineStr">
        <is>
          <t>BRILLIANT TRANSPORT AND TRADING Co., Ltd.</t>
        </is>
      </c>
      <c r="D489" s="223" t="inlineStr">
        <is>
          <t>K002-100089305</t>
        </is>
      </c>
      <c r="E489" s="349" t="inlineStr">
        <is>
          <t>BTT25-0001048</t>
        </is>
      </c>
      <c r="F489" s="332" t="n">
        <v>45779</v>
      </c>
      <c r="G489" s="224" t="n"/>
      <c r="H489" s="617" t="n"/>
      <c r="I489" s="617" t="n">
        <v>1084542</v>
      </c>
      <c r="J489" s="221" t="inlineStr">
        <is>
          <t>អនុញ្ញាត (បានប្រកាស)</t>
        </is>
      </c>
      <c r="K489" s="221" t="n"/>
      <c r="L489" s="616">
        <f>I489</f>
        <v/>
      </c>
      <c r="M489" s="588">
        <f>I489-L489</f>
        <v/>
      </c>
      <c r="N489" s="221" t="n"/>
      <c r="O489" s="226">
        <f>U489=E489</f>
        <v/>
      </c>
      <c r="P489" s="226">
        <f>MONTH(F489)-MONTH(T489)</f>
        <v/>
      </c>
      <c r="Q489" s="226">
        <f>$B$5=X489</f>
        <v/>
      </c>
      <c r="R489" s="226">
        <f>I489-AD489</f>
        <v/>
      </c>
      <c r="S489" s="360" t="n"/>
      <c r="T489" s="361" t="n">
        <v>45779</v>
      </c>
      <c r="U489" s="360" t="inlineStr">
        <is>
          <t>BTT25-0001048</t>
        </is>
      </c>
      <c r="V489" s="360" t="n"/>
      <c r="W489" s="360" t="n"/>
      <c r="X489" s="360" t="n"/>
      <c r="Y489" s="360" t="inlineStr">
        <is>
          <t>ហូលីដេ ឌីហ្សាញ (ខេមបូឌា) ឯ.ក</t>
        </is>
      </c>
      <c r="Z489" s="362" t="n"/>
      <c r="AA489" s="362" t="n"/>
      <c r="AB489" s="360" t="n"/>
      <c r="AC489" s="360" t="n"/>
      <c r="AD489" s="362" t="n">
        <v>1084542</v>
      </c>
      <c r="AE489" s="360" t="n"/>
      <c r="AF489" s="615" t="n"/>
      <c r="AN489" s="203" t="inlineStr">
        <is>
          <t>Truking / Service</t>
        </is>
      </c>
    </row>
    <row r="490">
      <c r="A490" s="220">
        <f>A489+1</f>
        <v/>
      </c>
      <c r="B490" s="222" t="inlineStr">
        <is>
          <t>Trucking &amp; Clearance-Im</t>
        </is>
      </c>
      <c r="C490" s="222" t="inlineStr">
        <is>
          <t>BRILLIANT TRANSPORT AND TRADING Co., Ltd.</t>
        </is>
      </c>
      <c r="D490" s="223" t="inlineStr">
        <is>
          <t>K002-100089305</t>
        </is>
      </c>
      <c r="E490" s="349" t="inlineStr">
        <is>
          <t>BTT25-0001047</t>
        </is>
      </c>
      <c r="F490" s="332" t="n">
        <v>45779</v>
      </c>
      <c r="G490" s="224" t="n"/>
      <c r="H490" s="617" t="n"/>
      <c r="I490" s="617" t="n">
        <v>1084542</v>
      </c>
      <c r="J490" s="221" t="inlineStr">
        <is>
          <t>អនុញ្ញាត (បានប្រកាស)</t>
        </is>
      </c>
      <c r="K490" s="221" t="n"/>
      <c r="L490" s="616">
        <f>I490</f>
        <v/>
      </c>
      <c r="M490" s="588">
        <f>I490-L490</f>
        <v/>
      </c>
      <c r="N490" s="221" t="n"/>
      <c r="O490" s="226">
        <f>U490=E490</f>
        <v/>
      </c>
      <c r="P490" s="226">
        <f>MONTH(F490)-MONTH(T490)</f>
        <v/>
      </c>
      <c r="Q490" s="226">
        <f>$B$5=X490</f>
        <v/>
      </c>
      <c r="R490" s="226">
        <f>I490-AD490</f>
        <v/>
      </c>
      <c r="S490" s="360" t="n"/>
      <c r="T490" s="361" t="n">
        <v>45779</v>
      </c>
      <c r="U490" s="360" t="inlineStr">
        <is>
          <t>BTT25-0001047</t>
        </is>
      </c>
      <c r="V490" s="360" t="n"/>
      <c r="W490" s="360" t="n"/>
      <c r="X490" s="360" t="n"/>
      <c r="Y490" s="360" t="inlineStr">
        <is>
          <t>ហូលីដេ ឌីហ្សាញ (ខេមបូឌា) ឯ.ក</t>
        </is>
      </c>
      <c r="Z490" s="362" t="n"/>
      <c r="AA490" s="362" t="n"/>
      <c r="AB490" s="360" t="n"/>
      <c r="AC490" s="360" t="n"/>
      <c r="AD490" s="362" t="n">
        <v>1084542</v>
      </c>
      <c r="AE490" s="360" t="n"/>
      <c r="AF490" s="615" t="n"/>
      <c r="AN490" s="203" t="inlineStr">
        <is>
          <t>Truking / Service</t>
        </is>
      </c>
    </row>
    <row r="491">
      <c r="A491" s="220">
        <f>A490+1</f>
        <v/>
      </c>
      <c r="B491" s="222" t="inlineStr">
        <is>
          <t>Trucking &amp; Clearance-Im</t>
        </is>
      </c>
      <c r="C491" s="222" t="inlineStr">
        <is>
          <t>BRILLIANT TRANSPORT AND TRADING Co., Ltd.</t>
        </is>
      </c>
      <c r="D491" s="223" t="inlineStr">
        <is>
          <t>K002-100089305</t>
        </is>
      </c>
      <c r="E491" s="349" t="inlineStr">
        <is>
          <t>BTT25-0001046</t>
        </is>
      </c>
      <c r="F491" s="332" t="n">
        <v>45779</v>
      </c>
      <c r="G491" s="224" t="n"/>
      <c r="H491" s="617" t="n"/>
      <c r="I491" s="617" t="n">
        <v>2145072</v>
      </c>
      <c r="J491" s="221" t="inlineStr">
        <is>
          <t>អនុញ្ញាត (បានប្រកាស)</t>
        </is>
      </c>
      <c r="K491" s="221" t="n"/>
      <c r="L491" s="616">
        <f>I491</f>
        <v/>
      </c>
      <c r="M491" s="588">
        <f>I491-L491</f>
        <v/>
      </c>
      <c r="N491" s="221" t="n"/>
      <c r="O491" s="226">
        <f>U491=E491</f>
        <v/>
      </c>
      <c r="P491" s="226">
        <f>MONTH(F491)-MONTH(T491)</f>
        <v/>
      </c>
      <c r="Q491" s="226">
        <f>$B$5=X491</f>
        <v/>
      </c>
      <c r="R491" s="226">
        <f>I491-AD491</f>
        <v/>
      </c>
      <c r="S491" s="360" t="n"/>
      <c r="T491" s="361" t="n">
        <v>45779</v>
      </c>
      <c r="U491" s="360" t="inlineStr">
        <is>
          <t>BTT25-0001046</t>
        </is>
      </c>
      <c r="V491" s="360" t="n"/>
      <c r="W491" s="360" t="n"/>
      <c r="X491" s="360" t="n"/>
      <c r="Y491" s="360" t="inlineStr">
        <is>
          <t>ហូលីដេ ឌីហ្សាញ (ខេមបូឌា) ឯ.ក</t>
        </is>
      </c>
      <c r="Z491" s="362" t="n"/>
      <c r="AA491" s="362" t="n"/>
      <c r="AB491" s="360" t="n"/>
      <c r="AC491" s="360" t="n"/>
      <c r="AD491" s="362" t="n">
        <v>2145072</v>
      </c>
      <c r="AE491" s="360" t="n"/>
      <c r="AF491" s="615" t="n"/>
      <c r="AN491" s="203" t="inlineStr">
        <is>
          <t>Truking / Service</t>
        </is>
      </c>
    </row>
    <row r="492">
      <c r="A492" s="220">
        <f>A491+1</f>
        <v/>
      </c>
      <c r="B492" s="222" t="inlineStr">
        <is>
          <t>THC Fee-Ex</t>
        </is>
      </c>
      <c r="C492" s="222" t="inlineStr">
        <is>
          <t>APL LOGISTICS (CAMBODIA) PTE LTD.</t>
        </is>
      </c>
      <c r="D492" s="223" t="inlineStr">
        <is>
          <t>L001-100046460</t>
        </is>
      </c>
      <c r="E492" s="349" t="inlineStr">
        <is>
          <t>APLL25003015</t>
        </is>
      </c>
      <c r="F492" s="332" t="n">
        <v>45792</v>
      </c>
      <c r="G492" s="224" t="n"/>
      <c r="H492" s="617" t="n"/>
      <c r="I492" s="617" t="n">
        <v>132066</v>
      </c>
      <c r="J492" s="221" t="inlineStr">
        <is>
          <t>អនុញ្ញាត (បានប្រកាស)</t>
        </is>
      </c>
      <c r="K492" s="221" t="n"/>
      <c r="L492" s="616">
        <f>I492</f>
        <v/>
      </c>
      <c r="M492" s="588">
        <f>I492-L492</f>
        <v/>
      </c>
      <c r="N492" s="221" t="n"/>
      <c r="O492" s="226">
        <f>U492=E492</f>
        <v/>
      </c>
      <c r="P492" s="226">
        <f>MONTH(F492)-MONTH(T492)</f>
        <v/>
      </c>
      <c r="Q492" s="226">
        <f>$B$5=X492</f>
        <v/>
      </c>
      <c r="R492" s="226">
        <f>I492-AD492</f>
        <v/>
      </c>
      <c r="S492" s="360" t="n"/>
      <c r="T492" s="361" t="n">
        <v>45792</v>
      </c>
      <c r="U492" s="360" t="inlineStr">
        <is>
          <t>APLL25003015</t>
        </is>
      </c>
      <c r="V492" s="360" t="n"/>
      <c r="W492" s="360" t="n"/>
      <c r="X492" s="360" t="n"/>
      <c r="Y492" s="360" t="inlineStr">
        <is>
          <t>ហូលីដេ ឌីហ្សាញ (ខេមបូឌា) ឯ.ក</t>
        </is>
      </c>
      <c r="Z492" s="362" t="n"/>
      <c r="AA492" s="362" t="n"/>
      <c r="AB492" s="360" t="n"/>
      <c r="AC492" s="360" t="n"/>
      <c r="AD492" s="362" t="n">
        <v>132066</v>
      </c>
      <c r="AE492" s="360" t="n"/>
      <c r="AF492" s="615" t="n"/>
    </row>
    <row r="493">
      <c r="A493" s="220">
        <f>A492+1</f>
        <v/>
      </c>
      <c r="B493" s="222" t="inlineStr">
        <is>
          <t>Technical Review</t>
        </is>
      </c>
      <c r="C493" s="222" t="inlineStr">
        <is>
          <t>SGS (CAMBODIA) LIMITED</t>
        </is>
      </c>
      <c r="D493" s="223" t="inlineStr">
        <is>
          <t>L001-107030519</t>
        </is>
      </c>
      <c r="E493" s="349" t="n">
        <v>10044895</v>
      </c>
      <c r="F493" s="332" t="n">
        <v>45743</v>
      </c>
      <c r="G493" s="224" t="n"/>
      <c r="H493" s="617" t="n"/>
      <c r="I493" s="617" t="n">
        <v>124062</v>
      </c>
      <c r="J493" s="221" t="inlineStr">
        <is>
          <t>អនុញ្ញាត (បានប្រកាស)</t>
        </is>
      </c>
      <c r="K493" s="221" t="n"/>
      <c r="L493" s="616">
        <f>I493</f>
        <v/>
      </c>
      <c r="M493" s="588">
        <f>I493-L493</f>
        <v/>
      </c>
      <c r="N493" s="221" t="n"/>
      <c r="O493" s="226">
        <f>U493=E493</f>
        <v/>
      </c>
      <c r="P493" s="226">
        <f>MONTH(F493)-MONTH(T493)</f>
        <v/>
      </c>
      <c r="Q493" s="226">
        <f>$B$5=X493</f>
        <v/>
      </c>
      <c r="R493" s="226">
        <f>I493-AD493</f>
        <v/>
      </c>
      <c r="S493" s="360" t="n"/>
      <c r="T493" s="361" t="n">
        <v>45743</v>
      </c>
      <c r="U493" s="360" t="n">
        <v>10044895</v>
      </c>
      <c r="V493" s="360" t="n">
        <v>0</v>
      </c>
      <c r="W493" s="360" t="inlineStr">
        <is>
          <t>បុគ្គលជាប់អាករ</t>
        </is>
      </c>
      <c r="X493" s="360" t="inlineStr">
        <is>
          <t>L001-901640009</t>
        </is>
      </c>
      <c r="Y493" s="360" t="inlineStr">
        <is>
          <t>ហូលីដេ ឌីហ្សាញ (ខេមបូឌា) ឯ.ក</t>
        </is>
      </c>
      <c r="Z493" s="362" t="n">
        <v>1364682</v>
      </c>
      <c r="AA493" s="362" t="n">
        <v>1240620</v>
      </c>
      <c r="AB493" s="360" t="n">
        <v>0</v>
      </c>
      <c r="AC493" s="360" t="inlineStr">
        <is>
          <t>-</t>
        </is>
      </c>
      <c r="AD493" s="362" t="n">
        <v>124062</v>
      </c>
      <c r="AE493" s="360" t="n">
        <v>0</v>
      </c>
      <c r="AF493" s="615" t="n">
        <v>0</v>
      </c>
      <c r="AG493" s="203" t="n">
        <v>0</v>
      </c>
      <c r="AH493" s="203" t="n">
        <v>0</v>
      </c>
      <c r="AI493" s="203" t="n">
        <v>0</v>
      </c>
      <c r="AJ493" s="203" t="n">
        <v>0</v>
      </c>
      <c r="AK493" s="203" t="n">
        <v>0</v>
      </c>
      <c r="AL493" s="203" t="n">
        <v>0.01</v>
      </c>
      <c r="AM493" s="203" t="n">
        <v>0</v>
      </c>
      <c r="AN493" s="203" t="inlineStr">
        <is>
          <t>Technical Review - Ea - Other ind_RBS - BA</t>
        </is>
      </c>
      <c r="AO493" s="203" t="inlineStr">
        <is>
          <t>បានប្រកាសនិងបង់ពន្ធ</t>
        </is>
      </c>
    </row>
    <row r="494">
      <c r="A494" s="220">
        <f>A493+1</f>
        <v/>
      </c>
      <c r="B494" s="222" t="inlineStr">
        <is>
          <t>THC Fee-Ex</t>
        </is>
      </c>
      <c r="C494" s="222" t="inlineStr">
        <is>
          <t>APL LOGISTICS (CAMBODIA) PTE LTD.</t>
        </is>
      </c>
      <c r="D494" s="223" t="inlineStr">
        <is>
          <t>L001-100046460</t>
        </is>
      </c>
      <c r="E494" s="349" t="inlineStr">
        <is>
          <t>APLL25003537</t>
        </is>
      </c>
      <c r="F494" s="332" t="n">
        <v>45807</v>
      </c>
      <c r="G494" s="224" t="n"/>
      <c r="H494" s="617" t="n"/>
      <c r="I494" s="617" t="n">
        <v>164205</v>
      </c>
      <c r="J494" s="221" t="inlineStr">
        <is>
          <t>អនុញ្ញាត (បានប្រកាស)</t>
        </is>
      </c>
      <c r="K494" s="221" t="n"/>
      <c r="L494" s="616">
        <f>I494</f>
        <v/>
      </c>
      <c r="M494" s="588">
        <f>I494-L494</f>
        <v/>
      </c>
      <c r="N494" s="221" t="n"/>
      <c r="O494" s="226">
        <f>U494=E494</f>
        <v/>
      </c>
      <c r="P494" s="226">
        <f>MONTH(F494)-MONTH(T494)</f>
        <v/>
      </c>
      <c r="Q494" s="226">
        <f>$B$5=X494</f>
        <v/>
      </c>
      <c r="R494" s="226">
        <f>I494-AD494</f>
        <v/>
      </c>
      <c r="S494" s="360" t="n"/>
      <c r="T494" s="361" t="n">
        <v>45807</v>
      </c>
      <c r="U494" s="360" t="inlineStr">
        <is>
          <t>APLL25003537</t>
        </is>
      </c>
      <c r="V494" s="360" t="n"/>
      <c r="W494" s="360" t="n"/>
      <c r="X494" s="360" t="n"/>
      <c r="Y494" s="360" t="inlineStr">
        <is>
          <t>ហូលីដេ ឌីហ្សាញ (ខេមបូឌា) ឯ.ក</t>
        </is>
      </c>
      <c r="Z494" s="362" t="n"/>
      <c r="AA494" s="362" t="n"/>
      <c r="AB494" s="360" t="n"/>
      <c r="AC494" s="360" t="n"/>
      <c r="AD494" s="362" t="n">
        <v>164205</v>
      </c>
      <c r="AE494" s="360" t="n"/>
      <c r="AF494" s="615" t="n"/>
    </row>
    <row r="495">
      <c r="A495" s="220">
        <f>A494+1</f>
        <v/>
      </c>
      <c r="B495" s="222" t="inlineStr">
        <is>
          <t>THC Fee-Ex</t>
        </is>
      </c>
      <c r="C495" s="222" t="inlineStr">
        <is>
          <t>APL LOGISTICS (CAMBODIA) PTE LTD.</t>
        </is>
      </c>
      <c r="D495" s="223" t="inlineStr">
        <is>
          <t>L001-100046460</t>
        </is>
      </c>
      <c r="E495" s="349" t="inlineStr">
        <is>
          <t>APLL25003539</t>
        </is>
      </c>
      <c r="F495" s="332" t="n">
        <v>45807</v>
      </c>
      <c r="G495" s="224" t="n"/>
      <c r="H495" s="617" t="n"/>
      <c r="I495" s="617" t="n">
        <v>164205</v>
      </c>
      <c r="J495" s="221" t="inlineStr">
        <is>
          <t>អនុញ្ញាត (បានប្រកាស)</t>
        </is>
      </c>
      <c r="K495" s="221" t="n"/>
      <c r="L495" s="616">
        <f>I495</f>
        <v/>
      </c>
      <c r="M495" s="588">
        <f>I495-L495</f>
        <v/>
      </c>
      <c r="N495" s="221" t="n"/>
      <c r="O495" s="226">
        <f>U495=E495</f>
        <v/>
      </c>
      <c r="P495" s="226">
        <f>MONTH(F495)-MONTH(T495)</f>
        <v/>
      </c>
      <c r="Q495" s="226">
        <f>$B$5=X495</f>
        <v/>
      </c>
      <c r="R495" s="226">
        <f>I495-AD495</f>
        <v/>
      </c>
      <c r="S495" s="360" t="n"/>
      <c r="T495" s="361" t="n">
        <v>45807</v>
      </c>
      <c r="U495" s="360" t="inlineStr">
        <is>
          <t>APLL25003539</t>
        </is>
      </c>
      <c r="V495" s="360" t="n"/>
      <c r="W495" s="360" t="n"/>
      <c r="X495" s="360" t="n"/>
      <c r="Y495" s="360" t="inlineStr">
        <is>
          <t>ហូលីដេ ឌីហ្សាញ (ខេមបូឌា) ឯ.ក</t>
        </is>
      </c>
      <c r="Z495" s="362" t="n"/>
      <c r="AA495" s="362" t="n"/>
      <c r="AB495" s="360" t="n"/>
      <c r="AC495" s="360" t="n"/>
      <c r="AD495" s="362" t="n">
        <v>164205</v>
      </c>
      <c r="AE495" s="360" t="n"/>
      <c r="AF495" s="615" t="n"/>
    </row>
    <row r="496">
      <c r="A496" s="220">
        <f>A495+1</f>
        <v/>
      </c>
      <c r="B496" s="222" t="inlineStr">
        <is>
          <t>THC Fee-Ex</t>
        </is>
      </c>
      <c r="C496" s="222" t="inlineStr">
        <is>
          <t>APL LOGISTICS (CAMBODIA) PTE LTD.</t>
        </is>
      </c>
      <c r="D496" s="223" t="inlineStr">
        <is>
          <t>L001-100046460</t>
        </is>
      </c>
      <c r="E496" s="349" t="inlineStr">
        <is>
          <t>APLL25003541</t>
        </is>
      </c>
      <c r="F496" s="332" t="n">
        <v>45807</v>
      </c>
      <c r="G496" s="224" t="n"/>
      <c r="H496" s="617" t="n"/>
      <c r="I496" s="617" t="n">
        <v>164205</v>
      </c>
      <c r="J496" s="221" t="inlineStr">
        <is>
          <t>អនុញ្ញាត (បានប្រកាស)</t>
        </is>
      </c>
      <c r="K496" s="221" t="n"/>
      <c r="L496" s="616">
        <f>I496</f>
        <v/>
      </c>
      <c r="M496" s="588">
        <f>I496-L496</f>
        <v/>
      </c>
      <c r="N496" s="221" t="n"/>
      <c r="O496" s="226">
        <f>U496=E496</f>
        <v/>
      </c>
      <c r="P496" s="226">
        <f>MONTH(F496)-MONTH(T496)</f>
        <v/>
      </c>
      <c r="Q496" s="226">
        <f>$B$5=X496</f>
        <v/>
      </c>
      <c r="R496" s="226">
        <f>I496-AD496</f>
        <v/>
      </c>
      <c r="S496" s="360" t="n"/>
      <c r="T496" s="361" t="n">
        <v>45807</v>
      </c>
      <c r="U496" s="360" t="inlineStr">
        <is>
          <t>APLL25003541</t>
        </is>
      </c>
      <c r="V496" s="360" t="n"/>
      <c r="W496" s="360" t="n"/>
      <c r="X496" s="360" t="n"/>
      <c r="Y496" s="360" t="inlineStr">
        <is>
          <t>ហូលីដេ ឌីហ្សាញ (ខេមបូឌា) ឯ.ក</t>
        </is>
      </c>
      <c r="Z496" s="362" t="n"/>
      <c r="AA496" s="362" t="n"/>
      <c r="AB496" s="360" t="n"/>
      <c r="AC496" s="360" t="n"/>
      <c r="AD496" s="362" t="n">
        <v>164205</v>
      </c>
      <c r="AE496" s="360" t="n"/>
      <c r="AF496" s="615" t="n"/>
    </row>
    <row r="497">
      <c r="A497" s="220">
        <f>A496+1</f>
        <v/>
      </c>
      <c r="B497" s="222" t="inlineStr">
        <is>
          <t>THC Fee-Ex</t>
        </is>
      </c>
      <c r="C497" s="222" t="inlineStr">
        <is>
          <t>APL LOGISTICS (CAMBODIA) PTE LTD.</t>
        </is>
      </c>
      <c r="D497" s="223" t="inlineStr">
        <is>
          <t>L001-100046460</t>
        </is>
      </c>
      <c r="E497" s="349" t="inlineStr">
        <is>
          <t>APLL25003540</t>
        </is>
      </c>
      <c r="F497" s="332" t="n">
        <v>45807</v>
      </c>
      <c r="G497" s="224" t="n"/>
      <c r="H497" s="617" t="n"/>
      <c r="I497" s="617" t="n">
        <v>132165</v>
      </c>
      <c r="J497" s="221" t="inlineStr">
        <is>
          <t>អនុញ្ញាត (បានប្រកាស)</t>
        </is>
      </c>
      <c r="K497" s="221" t="n"/>
      <c r="L497" s="616">
        <f>I497</f>
        <v/>
      </c>
      <c r="M497" s="588">
        <f>I497-L497</f>
        <v/>
      </c>
      <c r="N497" s="221" t="n"/>
      <c r="O497" s="226">
        <f>U497=E497</f>
        <v/>
      </c>
      <c r="P497" s="226">
        <f>MONTH(F497)-MONTH(T497)</f>
        <v/>
      </c>
      <c r="Q497" s="226">
        <f>$B$5=X497</f>
        <v/>
      </c>
      <c r="R497" s="226">
        <f>I497-AD497</f>
        <v/>
      </c>
      <c r="S497" s="360" t="n"/>
      <c r="T497" s="361" t="n">
        <v>45807</v>
      </c>
      <c r="U497" s="360" t="inlineStr">
        <is>
          <t>APLL25003540</t>
        </is>
      </c>
      <c r="V497" s="360" t="n"/>
      <c r="W497" s="360" t="n"/>
      <c r="X497" s="360" t="n"/>
      <c r="Y497" s="360" t="inlineStr">
        <is>
          <t>ហូលីដេ ឌីហ្សាញ (ខេមបូឌា) ឯ.ក</t>
        </is>
      </c>
      <c r="Z497" s="362" t="n"/>
      <c r="AA497" s="362" t="n"/>
      <c r="AB497" s="360" t="n"/>
      <c r="AC497" s="360" t="n"/>
      <c r="AD497" s="362" t="n">
        <v>132165</v>
      </c>
      <c r="AE497" s="360" t="n"/>
      <c r="AF497" s="615" t="n"/>
    </row>
    <row r="498">
      <c r="A498" s="220">
        <f>A497+1</f>
        <v/>
      </c>
      <c r="B498" s="222" t="inlineStr">
        <is>
          <t>Terminal Handling Charge-Ex</t>
        </is>
      </c>
      <c r="C498" s="222" t="inlineStr">
        <is>
          <t>APL LOGISTICS (CAMBODIA) PTE LTD.</t>
        </is>
      </c>
      <c r="D498" s="223" t="inlineStr">
        <is>
          <t>L001-100046460</t>
        </is>
      </c>
      <c r="E498" s="349" t="inlineStr">
        <is>
          <t>APLL25003536</t>
        </is>
      </c>
      <c r="F498" s="332" t="n">
        <v>45807</v>
      </c>
      <c r="G498" s="224" t="n"/>
      <c r="H498" s="617" t="n"/>
      <c r="I498" s="617" t="n">
        <v>420966</v>
      </c>
      <c r="J498" s="221" t="inlineStr">
        <is>
          <t>អនុញ្ញាត (បានប្រកាស)</t>
        </is>
      </c>
      <c r="K498" s="618">
        <f>L498</f>
        <v/>
      </c>
      <c r="L498" s="616">
        <f>AD498</f>
        <v/>
      </c>
      <c r="M498" s="588">
        <f>I498-L498</f>
        <v/>
      </c>
      <c r="N498" s="221" t="n"/>
      <c r="O498" s="226">
        <f>U498=E498</f>
        <v/>
      </c>
      <c r="P498" s="226">
        <f>MONTH(F498)-MONTH(T498)</f>
        <v/>
      </c>
      <c r="Q498" s="226">
        <f>$B$5=X498</f>
        <v/>
      </c>
      <c r="R498" s="226">
        <f>I498-AD498</f>
        <v/>
      </c>
      <c r="S498" s="360" t="n"/>
      <c r="T498" s="361" t="n">
        <v>45807</v>
      </c>
      <c r="U498" s="360" t="inlineStr">
        <is>
          <t>APLL25003536</t>
        </is>
      </c>
      <c r="V498" s="360" t="n"/>
      <c r="W498" s="360" t="n"/>
      <c r="X498" s="360" t="n"/>
      <c r="Y498" s="360" t="inlineStr">
        <is>
          <t>ហូលីដេ ឌីហ្សាញ (ខេមបូឌា) ឯ.ក</t>
        </is>
      </c>
      <c r="Z498" s="362" t="n"/>
      <c r="AA498" s="362" t="n"/>
      <c r="AB498" s="360" t="n"/>
      <c r="AC498" s="360" t="n"/>
      <c r="AD498" s="362" t="n">
        <v>420947</v>
      </c>
      <c r="AE498" s="360" t="n"/>
      <c r="AF498" s="615" t="n"/>
    </row>
    <row r="499">
      <c r="A499" s="220">
        <f>A498+1</f>
        <v/>
      </c>
      <c r="B499" s="222" t="inlineStr">
        <is>
          <t>THC Fee-Ex</t>
        </is>
      </c>
      <c r="C499" s="222" t="inlineStr">
        <is>
          <t>APL LOGISTICS (CAMBODIA) PTE LTD.</t>
        </is>
      </c>
      <c r="D499" s="223" t="inlineStr">
        <is>
          <t>L001-100046460</t>
        </is>
      </c>
      <c r="E499" s="349" t="inlineStr">
        <is>
          <t>APLL25003542</t>
        </is>
      </c>
      <c r="F499" s="332" t="n">
        <v>45807</v>
      </c>
      <c r="G499" s="224" t="n"/>
      <c r="H499" s="617" t="n"/>
      <c r="I499" s="617" t="n">
        <v>132165</v>
      </c>
      <c r="J499" s="221" t="inlineStr">
        <is>
          <t>អនុញ្ញាត (បានប្រកាស)</t>
        </is>
      </c>
      <c r="K499" s="221" t="n"/>
      <c r="L499" s="616">
        <f>I499</f>
        <v/>
      </c>
      <c r="M499" s="588">
        <f>I499-L499</f>
        <v/>
      </c>
      <c r="N499" s="221" t="n"/>
      <c r="O499" s="226">
        <f>U499=E499</f>
        <v/>
      </c>
      <c r="P499" s="226">
        <f>MONTH(F499)-MONTH(T499)</f>
        <v/>
      </c>
      <c r="Q499" s="226">
        <f>$B$5=X499</f>
        <v/>
      </c>
      <c r="R499" s="226">
        <f>I499-AD499</f>
        <v/>
      </c>
      <c r="S499" s="360" t="n"/>
      <c r="T499" s="361" t="n">
        <v>45807</v>
      </c>
      <c r="U499" s="360" t="inlineStr">
        <is>
          <t>APLL25003542</t>
        </is>
      </c>
      <c r="V499" s="360" t="n"/>
      <c r="W499" s="360" t="n"/>
      <c r="X499" s="360" t="n"/>
      <c r="Y499" s="360" t="inlineStr">
        <is>
          <t>ហូលីដេ ឌីហ្សាញ (ខេមបូឌា) ឯ.ក</t>
        </is>
      </c>
      <c r="Z499" s="362" t="n"/>
      <c r="AA499" s="362" t="n"/>
      <c r="AB499" s="360" t="n"/>
      <c r="AC499" s="360" t="n"/>
      <c r="AD499" s="362" t="n">
        <v>132165</v>
      </c>
      <c r="AE499" s="360" t="n"/>
      <c r="AF499" s="615" t="n"/>
    </row>
    <row r="500">
      <c r="A500" s="220">
        <f>A499+1</f>
        <v/>
      </c>
      <c r="B500" s="222" t="inlineStr">
        <is>
          <t>THC Fee-Ex</t>
        </is>
      </c>
      <c r="C500" s="222" t="inlineStr">
        <is>
          <t>APL LOGISTICS (CAMBODIA) PTE LTD.</t>
        </is>
      </c>
      <c r="D500" s="223" t="inlineStr">
        <is>
          <t>L001-100046460</t>
        </is>
      </c>
      <c r="E500" s="349" t="inlineStr">
        <is>
          <t>APLL25003533</t>
        </is>
      </c>
      <c r="F500" s="332" t="n">
        <v>45807</v>
      </c>
      <c r="G500" s="224" t="n"/>
      <c r="H500" s="617" t="n"/>
      <c r="I500" s="617" t="n">
        <v>132165</v>
      </c>
      <c r="J500" s="221" t="inlineStr">
        <is>
          <t>អនុញ្ញាត (បានប្រកាស)</t>
        </is>
      </c>
      <c r="K500" s="221" t="n"/>
      <c r="L500" s="616">
        <f>I500</f>
        <v/>
      </c>
      <c r="M500" s="588">
        <f>I500-L500</f>
        <v/>
      </c>
      <c r="N500" s="221" t="n"/>
      <c r="O500" s="226">
        <f>U500=E500</f>
        <v/>
      </c>
      <c r="P500" s="226">
        <f>MONTH(F500)-MONTH(T500)</f>
        <v/>
      </c>
      <c r="Q500" s="226">
        <f>$B$5=X500</f>
        <v/>
      </c>
      <c r="R500" s="226">
        <f>I500-AD500</f>
        <v/>
      </c>
      <c r="S500" s="360" t="n"/>
      <c r="T500" s="361" t="n">
        <v>45807</v>
      </c>
      <c r="U500" s="360" t="inlineStr">
        <is>
          <t>APLL25003533</t>
        </is>
      </c>
      <c r="V500" s="360" t="n"/>
      <c r="W500" s="360" t="n"/>
      <c r="X500" s="360" t="n"/>
      <c r="Y500" s="360" t="inlineStr">
        <is>
          <t>ហូលីដេ ឌីហ្សាញ (ខេមបូឌា) ឯ.ក</t>
        </is>
      </c>
      <c r="Z500" s="362" t="n"/>
      <c r="AA500" s="362" t="n"/>
      <c r="AB500" s="360" t="n"/>
      <c r="AC500" s="360" t="n"/>
      <c r="AD500" s="362" t="n">
        <v>132165</v>
      </c>
      <c r="AE500" s="360" t="n"/>
      <c r="AF500" s="615" t="n"/>
    </row>
    <row r="501">
      <c r="A501" s="220">
        <f>A500+1</f>
        <v/>
      </c>
      <c r="B501" s="222" t="inlineStr">
        <is>
          <t>THC Fee-Ex</t>
        </is>
      </c>
      <c r="C501" s="222" t="inlineStr">
        <is>
          <t>APL LOGISTICS (CAMBODIA) PTE LTD.</t>
        </is>
      </c>
      <c r="D501" s="223" t="inlineStr">
        <is>
          <t>L001-100046460</t>
        </is>
      </c>
      <c r="E501" s="349" t="inlineStr">
        <is>
          <t>APLL25003568</t>
        </is>
      </c>
      <c r="F501" s="332" t="n">
        <v>45807</v>
      </c>
      <c r="G501" s="224" t="n"/>
      <c r="H501" s="617" t="n"/>
      <c r="I501" s="617" t="n">
        <v>104130</v>
      </c>
      <c r="J501" s="221" t="inlineStr">
        <is>
          <t>អនុញ្ញាត (បានប្រកាស)</t>
        </is>
      </c>
      <c r="K501" s="221" t="n"/>
      <c r="L501" s="616">
        <f>I501</f>
        <v/>
      </c>
      <c r="M501" s="588">
        <f>I501-L501</f>
        <v/>
      </c>
      <c r="N501" s="221" t="n"/>
      <c r="O501" s="226">
        <f>U501=E501</f>
        <v/>
      </c>
      <c r="P501" s="226">
        <f>MONTH(F501)-MONTH(T501)</f>
        <v/>
      </c>
      <c r="Q501" s="226">
        <f>$B$5=X501</f>
        <v/>
      </c>
      <c r="R501" s="226">
        <f>I501-AD501</f>
        <v/>
      </c>
      <c r="S501" s="360" t="n"/>
      <c r="T501" s="361" t="n">
        <v>45807</v>
      </c>
      <c r="U501" s="360" t="inlineStr">
        <is>
          <t>APLL25003568</t>
        </is>
      </c>
      <c r="V501" s="360" t="n"/>
      <c r="W501" s="360" t="n"/>
      <c r="X501" s="360" t="n"/>
      <c r="Y501" s="360" t="inlineStr">
        <is>
          <t>ហូលីដេ ឌីហ្សាញ (ខេមបូឌា) ឯ.ក</t>
        </is>
      </c>
      <c r="Z501" s="362" t="n"/>
      <c r="AA501" s="362" t="n"/>
      <c r="AB501" s="360" t="n"/>
      <c r="AC501" s="360" t="n"/>
      <c r="AD501" s="362" t="n">
        <v>104130</v>
      </c>
      <c r="AE501" s="360" t="n"/>
      <c r="AF501" s="615" t="n"/>
    </row>
    <row r="502">
      <c r="A502" s="220">
        <f>A501+1</f>
        <v/>
      </c>
      <c r="B502" s="222" t="inlineStr">
        <is>
          <t>THC Fee-Ex</t>
        </is>
      </c>
      <c r="C502" s="222" t="inlineStr">
        <is>
          <t>APL LOGISTICS (CAMBODIA) PTE LTD.</t>
        </is>
      </c>
      <c r="D502" s="223" t="inlineStr">
        <is>
          <t>L001-100046460</t>
        </is>
      </c>
      <c r="E502" s="349" t="inlineStr">
        <is>
          <t>APLL25003531</t>
        </is>
      </c>
      <c r="F502" s="332" t="n">
        <v>45807</v>
      </c>
      <c r="G502" s="224" t="n"/>
      <c r="H502" s="617" t="n"/>
      <c r="I502" s="617" t="n">
        <v>240300</v>
      </c>
      <c r="J502" s="221" t="inlineStr">
        <is>
          <t>អនុញ្ញាត (បានប្រកាស)</t>
        </is>
      </c>
      <c r="K502" s="618" t="n"/>
      <c r="L502" s="616">
        <f>I502</f>
        <v/>
      </c>
      <c r="M502" s="588">
        <f>I502-L502</f>
        <v/>
      </c>
      <c r="N502" s="221" t="n"/>
      <c r="O502" s="226">
        <f>U502=E502</f>
        <v/>
      </c>
      <c r="P502" s="226">
        <f>MONTH(F502)-MONTH(T502)</f>
        <v/>
      </c>
      <c r="Q502" s="226">
        <f>$B$5=X502</f>
        <v/>
      </c>
      <c r="R502" s="226">
        <f>I502-AD502</f>
        <v/>
      </c>
      <c r="S502" s="360" t="n"/>
      <c r="T502" s="361" t="n">
        <v>45807</v>
      </c>
      <c r="U502" s="360" t="inlineStr">
        <is>
          <t>APLL25003531</t>
        </is>
      </c>
      <c r="V502" s="360" t="n"/>
      <c r="W502" s="360" t="n"/>
      <c r="X502" s="360" t="n"/>
      <c r="Y502" s="360" t="inlineStr">
        <is>
          <t>ហូលីដេ ឌីហ្សាញ (ខេមបូឌា) ឯ.ក</t>
        </is>
      </c>
      <c r="Z502" s="362" t="n"/>
      <c r="AA502" s="362" t="n"/>
      <c r="AB502" s="360" t="n"/>
      <c r="AC502" s="360" t="n"/>
      <c r="AD502" s="362" t="n">
        <v>240300</v>
      </c>
      <c r="AE502" s="360" t="n"/>
      <c r="AF502" s="615" t="n"/>
    </row>
    <row r="503">
      <c r="A503" s="220">
        <f>A502+1</f>
        <v/>
      </c>
      <c r="B503" s="222" t="inlineStr">
        <is>
          <t>THC Fee-Ex</t>
        </is>
      </c>
      <c r="C503" s="222" t="inlineStr">
        <is>
          <t>APL LOGISTICS (CAMBODIA) PTE LTD.</t>
        </is>
      </c>
      <c r="D503" s="223" t="inlineStr">
        <is>
          <t>L001-100046460</t>
        </is>
      </c>
      <c r="E503" s="349" t="inlineStr">
        <is>
          <t>APLL25003532</t>
        </is>
      </c>
      <c r="F503" s="332" t="n">
        <v>45807</v>
      </c>
      <c r="G503" s="224" t="n"/>
      <c r="H503" s="617" t="n"/>
      <c r="I503" s="617" t="n">
        <v>456570</v>
      </c>
      <c r="J503" s="221" t="inlineStr">
        <is>
          <t>អនុញ្ញាត (បានប្រកាស)</t>
        </is>
      </c>
      <c r="K503" s="618" t="n"/>
      <c r="L503" s="616">
        <f>I503</f>
        <v/>
      </c>
      <c r="M503" s="588">
        <f>I503-L503</f>
        <v/>
      </c>
      <c r="N503" s="221" t="n"/>
      <c r="O503" s="226">
        <f>U503=E503</f>
        <v/>
      </c>
      <c r="P503" s="226">
        <f>MONTH(F503)-MONTH(T503)</f>
        <v/>
      </c>
      <c r="Q503" s="226">
        <f>$B$5=X503</f>
        <v/>
      </c>
      <c r="R503" s="226">
        <f>I503-AD503</f>
        <v/>
      </c>
      <c r="S503" s="360" t="n"/>
      <c r="T503" s="361" t="n">
        <v>45807</v>
      </c>
      <c r="U503" s="360" t="inlineStr">
        <is>
          <t>APLL25003532</t>
        </is>
      </c>
      <c r="V503" s="360" t="n"/>
      <c r="W503" s="360" t="n"/>
      <c r="X503" s="360" t="n"/>
      <c r="Y503" s="360" t="inlineStr">
        <is>
          <t>ហូលីដេ ឌីហ្សាញ (ខេមបូឌា) ឯ.ក</t>
        </is>
      </c>
      <c r="Z503" s="362" t="n"/>
      <c r="AA503" s="362" t="n"/>
      <c r="AB503" s="360" t="n"/>
      <c r="AC503" s="360" t="n"/>
      <c r="AD503" s="362" t="n">
        <v>456570</v>
      </c>
      <c r="AE503" s="360" t="n"/>
      <c r="AF503" s="615" t="n"/>
    </row>
    <row r="504">
      <c r="A504" s="220">
        <f>A503+1</f>
        <v/>
      </c>
      <c r="B504" s="222" t="inlineStr">
        <is>
          <t>Trucking &amp; Clearance-Im</t>
        </is>
      </c>
      <c r="C504" s="222" t="inlineStr">
        <is>
          <t>BRILLIANT TRANSPORT AND TRADING Co., Ltd.</t>
        </is>
      </c>
      <c r="D504" s="223" t="inlineStr">
        <is>
          <t>K002-100089305</t>
        </is>
      </c>
      <c r="E504" s="349" t="inlineStr">
        <is>
          <t>BTT25-0001050</t>
        </is>
      </c>
      <c r="F504" s="332" t="n">
        <v>45782</v>
      </c>
      <c r="G504" s="224" t="n"/>
      <c r="H504" s="617" t="n"/>
      <c r="I504" s="617" t="n">
        <v>2406404</v>
      </c>
      <c r="J504" s="221" t="inlineStr">
        <is>
          <t>អនុញ្ញាត (បានប្រកាស)</t>
        </is>
      </c>
      <c r="K504" s="618" t="n"/>
      <c r="L504" s="616">
        <f>I504</f>
        <v/>
      </c>
      <c r="M504" s="588">
        <f>I504-L504</f>
        <v/>
      </c>
      <c r="N504" s="221" t="n"/>
      <c r="O504" s="226">
        <f>U504=E504</f>
        <v/>
      </c>
      <c r="P504" s="226">
        <f>MONTH(F504)-MONTH(T504)</f>
        <v/>
      </c>
      <c r="Q504" s="226">
        <f>$B$5=X504</f>
        <v/>
      </c>
      <c r="R504" s="226">
        <f>I504-AD504</f>
        <v/>
      </c>
      <c r="S504" s="360" t="n"/>
      <c r="T504" s="361" t="n">
        <v>45782</v>
      </c>
      <c r="U504" s="360" t="inlineStr">
        <is>
          <t>BTT25-0001050</t>
        </is>
      </c>
      <c r="V504" s="360" t="n"/>
      <c r="W504" s="360" t="n"/>
      <c r="X504" s="360" t="n"/>
      <c r="Y504" s="360" t="inlineStr">
        <is>
          <t>ហូលីដេ ឌីហ្សាញ (ខេមបូឌា) ឯ.ក</t>
        </is>
      </c>
      <c r="Z504" s="362" t="n"/>
      <c r="AA504" s="362" t="n"/>
      <c r="AB504" s="360" t="n"/>
      <c r="AC504" s="360" t="n"/>
      <c r="AD504" s="362" t="n">
        <v>2406404</v>
      </c>
      <c r="AE504" s="360" t="n"/>
      <c r="AF504" s="615" t="n"/>
      <c r="AN504" s="203" t="inlineStr">
        <is>
          <t>Truking / Service</t>
        </is>
      </c>
    </row>
    <row r="505">
      <c r="A505" s="220">
        <f>A504+1</f>
        <v/>
      </c>
      <c r="B505" s="222" t="inlineStr">
        <is>
          <t>Terminal Handling Charge-Im</t>
        </is>
      </c>
      <c r="C505" s="222" t="inlineStr">
        <is>
          <t>SITC CONTAINER LINES (CAMBODIA) Co., Ltd.</t>
        </is>
      </c>
      <c r="D505" s="223" t="inlineStr">
        <is>
          <t>L001-107035863</t>
        </is>
      </c>
      <c r="E505" s="349" t="inlineStr">
        <is>
          <t>SITC2025-015110</t>
        </is>
      </c>
      <c r="F505" s="332" t="n">
        <v>45778</v>
      </c>
      <c r="G505" s="224" t="n"/>
      <c r="H505" s="617" t="n"/>
      <c r="I505" s="617" t="n">
        <v>2105578</v>
      </c>
      <c r="J505" s="221" t="inlineStr">
        <is>
          <t>អនុញ្ញាត (បានប្រកាស)</t>
        </is>
      </c>
      <c r="K505" s="618" t="n"/>
      <c r="L505" s="616">
        <f>I505</f>
        <v/>
      </c>
      <c r="M505" s="588">
        <f>I505-L505</f>
        <v/>
      </c>
      <c r="N505" s="221" t="n"/>
      <c r="O505" s="226">
        <f>U505=E505</f>
        <v/>
      </c>
      <c r="P505" s="226">
        <f>MONTH(F505)-MONTH(T505)</f>
        <v/>
      </c>
      <c r="Q505" s="226">
        <f>$B$5=X505</f>
        <v/>
      </c>
      <c r="R505" s="226">
        <f>I505-AD505</f>
        <v/>
      </c>
      <c r="S505" s="360" t="n"/>
      <c r="T505" s="361" t="n">
        <v>45778</v>
      </c>
      <c r="U505" s="360" t="inlineStr">
        <is>
          <t>SITC2025-015110</t>
        </is>
      </c>
      <c r="V505" s="360" t="n"/>
      <c r="W505" s="360" t="inlineStr">
        <is>
          <t>បុគ្គលជាប់អាករ</t>
        </is>
      </c>
      <c r="X505" s="360" t="inlineStr">
        <is>
          <t>L001-901640009</t>
        </is>
      </c>
      <c r="Y505" s="360" t="inlineStr">
        <is>
          <t>ហូលីដេ ឌីហ្សាញ (ខេមបូឌា) ឯ.ក</t>
        </is>
      </c>
      <c r="Z505" s="362" t="n">
        <v>23161358</v>
      </c>
      <c r="AA505" s="362" t="n">
        <v>21055780</v>
      </c>
      <c r="AB505" s="360" t="n">
        <v>0</v>
      </c>
      <c r="AC505" s="360" t="inlineStr">
        <is>
          <t>-</t>
        </is>
      </c>
      <c r="AD505" s="362" t="n">
        <v>2105578</v>
      </c>
      <c r="AE505" s="360" t="n">
        <v>0</v>
      </c>
      <c r="AF505" s="615" t="n">
        <v>0</v>
      </c>
      <c r="AG505" s="203" t="n">
        <v>0</v>
      </c>
      <c r="AH505" s="203" t="n">
        <v>0</v>
      </c>
      <c r="AI505" s="203" t="n">
        <v>0</v>
      </c>
      <c r="AJ505" s="203" t="n">
        <v>0</v>
      </c>
      <c r="AK505" s="203" t="n">
        <v>0</v>
      </c>
      <c r="AL505" s="203" t="n">
        <v>0.01</v>
      </c>
      <c r="AN505" s="203" t="inlineStr">
        <is>
          <t>KHCIC,KHDOC,EMF,KHTH</t>
        </is>
      </c>
    </row>
    <row r="506">
      <c r="A506" s="220">
        <f>A505+1</f>
        <v/>
      </c>
      <c r="B506" s="222" t="inlineStr">
        <is>
          <t>Rental Building for 10-2024</t>
        </is>
      </c>
      <c r="C506" s="222" t="inlineStr">
        <is>
          <t>HOLIDAY DESIGNS INTERNATIONAL Ltd.</t>
        </is>
      </c>
      <c r="D506" s="223" t="inlineStr">
        <is>
          <t>L001-901502196</t>
        </is>
      </c>
      <c r="E506" s="349" t="inlineStr">
        <is>
          <t>INT2401037</t>
        </is>
      </c>
      <c r="F506" s="332" t="n">
        <v>45596</v>
      </c>
      <c r="G506" s="224" t="n"/>
      <c r="H506" s="617" t="n"/>
      <c r="I506" s="617" t="n">
        <v>18698962</v>
      </c>
      <c r="J506" s="221" t="inlineStr">
        <is>
          <t>អនុញ្ញាត (បានប្រកាស)</t>
        </is>
      </c>
      <c r="K506" s="618" t="n"/>
      <c r="L506" s="616">
        <f>I506</f>
        <v/>
      </c>
      <c r="M506" s="588">
        <f>I506-L506</f>
        <v/>
      </c>
      <c r="N506" s="221" t="inlineStr">
        <is>
          <t>បានពិនិត្យវិក្កយបត្រ</t>
        </is>
      </c>
      <c r="O506" s="226">
        <f>U506=E506</f>
        <v/>
      </c>
      <c r="P506" s="226">
        <f>MONTH(F506)-MONTH(T506)</f>
        <v/>
      </c>
      <c r="Q506" s="226">
        <f>$B$5=X506</f>
        <v/>
      </c>
      <c r="R506" s="226">
        <f>I506-AD506</f>
        <v/>
      </c>
      <c r="S506" s="360" t="n"/>
      <c r="T506" s="361" t="n">
        <v>45596</v>
      </c>
      <c r="U506" s="360" t="inlineStr">
        <is>
          <t>INT2401037</t>
        </is>
      </c>
      <c r="V506" s="360" t="n">
        <v>0</v>
      </c>
      <c r="W506" s="360" t="inlineStr">
        <is>
          <t>បុគ្គលជាប់អាករ</t>
        </is>
      </c>
      <c r="X506" s="360" t="inlineStr">
        <is>
          <t>L001-901640009</t>
        </is>
      </c>
      <c r="Y506" s="360" t="inlineStr">
        <is>
          <t>ហូលីដេ ឌីហ្សាញ (ខេមបូឌា) ឯ.ក</t>
        </is>
      </c>
      <c r="Z506" s="362" t="n">
        <v>205688583</v>
      </c>
      <c r="AA506" s="362" t="n">
        <v>186989621</v>
      </c>
      <c r="AB506" s="360" t="n">
        <v>0</v>
      </c>
      <c r="AC506" s="360" t="inlineStr">
        <is>
          <t>-</t>
        </is>
      </c>
      <c r="AD506" s="362" t="n">
        <v>18698962</v>
      </c>
      <c r="AE506" s="360" t="n">
        <v>0</v>
      </c>
      <c r="AF506" s="615" t="n">
        <v>0</v>
      </c>
      <c r="AG506" s="203" t="n">
        <v>0</v>
      </c>
      <c r="AH506" s="203" t="n">
        <v>0</v>
      </c>
      <c r="AI506" s="203" t="n">
        <v>0</v>
      </c>
      <c r="AJ506" s="203" t="n">
        <v>0</v>
      </c>
      <c r="AK506" s="203" t="n">
        <v>0</v>
      </c>
      <c r="AL506" s="203" t="n">
        <v>0.01</v>
      </c>
      <c r="AM506" s="203" t="n">
        <v>0</v>
      </c>
      <c r="AN506" s="203" t="inlineStr">
        <is>
          <t>Rental Building 10-2024</t>
        </is>
      </c>
      <c r="AO506" s="203" t="inlineStr">
        <is>
          <t>បានប្រកាសនិងបង់ពន្ធ</t>
        </is>
      </c>
    </row>
    <row r="507">
      <c r="A507" s="220">
        <f>A506+1</f>
        <v/>
      </c>
      <c r="B507" s="222" t="inlineStr">
        <is>
          <t>Trucking &amp; Clearance-Im</t>
        </is>
      </c>
      <c r="C507" s="222" t="inlineStr">
        <is>
          <t>BRILLIANT TRANSPORT AND TRADING Co., Ltd.</t>
        </is>
      </c>
      <c r="D507" s="223" t="inlineStr">
        <is>
          <t>K002-100089305</t>
        </is>
      </c>
      <c r="E507" s="349" t="inlineStr">
        <is>
          <t>BTT25-0001168</t>
        </is>
      </c>
      <c r="F507" s="332" t="n">
        <v>45803</v>
      </c>
      <c r="G507" s="224" t="n"/>
      <c r="H507" s="617" t="n"/>
      <c r="I507" s="617" t="n">
        <v>236118</v>
      </c>
      <c r="J507" s="221" t="inlineStr">
        <is>
          <t>អនុញ្ញាត (បានប្រកាស)</t>
        </is>
      </c>
      <c r="K507" s="618" t="n"/>
      <c r="L507" s="616">
        <f>I507</f>
        <v/>
      </c>
      <c r="M507" s="588">
        <f>I507-L507</f>
        <v/>
      </c>
      <c r="N507" s="221" t="n"/>
      <c r="O507" s="226">
        <f>U507=E507</f>
        <v/>
      </c>
      <c r="P507" s="226">
        <f>MONTH(F507)-MONTH(T507)</f>
        <v/>
      </c>
      <c r="Q507" s="226">
        <f>$B$5=X507</f>
        <v/>
      </c>
      <c r="R507" s="226">
        <f>I507-AD507</f>
        <v/>
      </c>
      <c r="S507" s="360" t="n"/>
      <c r="T507" s="361" t="n">
        <v>45803</v>
      </c>
      <c r="U507" s="360" t="inlineStr">
        <is>
          <t>BTT25-0001168</t>
        </is>
      </c>
      <c r="V507" s="360" t="n"/>
      <c r="W507" s="360" t="n"/>
      <c r="X507" s="360" t="n"/>
      <c r="Y507" s="360" t="inlineStr">
        <is>
          <t>ហូលីដេ ឌីហ្សាញ (ខេមបូឌា) ឯ.ក</t>
        </is>
      </c>
      <c r="Z507" s="362" t="n"/>
      <c r="AA507" s="362" t="n"/>
      <c r="AB507" s="360" t="n"/>
      <c r="AC507" s="360" t="n"/>
      <c r="AD507" s="362" t="n">
        <v>236118</v>
      </c>
      <c r="AE507" s="360" t="n"/>
      <c r="AF507" s="615" t="n"/>
      <c r="AN507" s="203" t="inlineStr">
        <is>
          <t>Truking / Service</t>
        </is>
      </c>
    </row>
    <row r="508">
      <c r="A508" s="220">
        <f>A507+1</f>
        <v/>
      </c>
      <c r="B508" s="222" t="inlineStr">
        <is>
          <t>Lift-On &amp; Lift-On-Im</t>
        </is>
      </c>
      <c r="C508" s="222" t="inlineStr">
        <is>
          <t>Port Autonome Du Sihanoukville</t>
        </is>
      </c>
      <c r="D508" s="223" t="inlineStr">
        <is>
          <t>L001-100044638</t>
        </is>
      </c>
      <c r="E508" s="349" t="n">
        <v>202500122674</v>
      </c>
      <c r="F508" s="332" t="n">
        <v>45803</v>
      </c>
      <c r="G508" s="224" t="n"/>
      <c r="H508" s="617" t="n"/>
      <c r="I508" s="617" t="n">
        <v>22811</v>
      </c>
      <c r="J508" s="221" t="inlineStr">
        <is>
          <t>អនុញ្ញាត (បានប្រកាស)</t>
        </is>
      </c>
      <c r="K508" s="618" t="n"/>
      <c r="L508" s="616">
        <f>I508</f>
        <v/>
      </c>
      <c r="M508" s="588">
        <f>I508-L508</f>
        <v/>
      </c>
      <c r="N508" s="221" t="n"/>
      <c r="O508" s="226">
        <f>U508=E508</f>
        <v/>
      </c>
      <c r="P508" s="226">
        <f>MONTH(F508)-MONTH(T508)</f>
        <v/>
      </c>
      <c r="Q508" s="226">
        <f>$B$5=X508</f>
        <v/>
      </c>
      <c r="R508" s="226">
        <f>I508-AD508</f>
        <v/>
      </c>
      <c r="S508" s="360" t="n"/>
      <c r="T508" s="361" t="n">
        <v>45803</v>
      </c>
      <c r="U508" s="360" t="n">
        <v>202500122674</v>
      </c>
      <c r="V508" s="360" t="n"/>
      <c r="W508" s="360" t="inlineStr">
        <is>
          <t>បុគ្គលជាប់អាករ</t>
        </is>
      </c>
      <c r="X508" s="360" t="inlineStr">
        <is>
          <t>L001-901640009</t>
        </is>
      </c>
      <c r="Y508" s="360" t="inlineStr">
        <is>
          <t>ហូលីដេ ឌីហ្សាញ (ខេមបូឌា) ឯ.ក</t>
        </is>
      </c>
      <c r="Z508" s="362" t="n">
        <v>250925</v>
      </c>
      <c r="AA508" s="362" t="n">
        <v>228114</v>
      </c>
      <c r="AB508" s="360" t="n">
        <v>0</v>
      </c>
      <c r="AC508" s="360" t="inlineStr">
        <is>
          <t>-</t>
        </is>
      </c>
      <c r="AD508" s="362" t="n">
        <v>22811</v>
      </c>
      <c r="AE508" s="360" t="n"/>
      <c r="AF508" s="615" t="n"/>
    </row>
    <row r="509">
      <c r="A509" s="220">
        <f>A508+1</f>
        <v/>
      </c>
      <c r="B509" s="222" t="inlineStr">
        <is>
          <t>Terminal Handling Charge-Im</t>
        </is>
      </c>
      <c r="C509" s="222" t="inlineStr">
        <is>
          <t>SITC CONTAINER LINES (CAMBODIA) Co., Ltd.</t>
        </is>
      </c>
      <c r="D509" s="223" t="inlineStr">
        <is>
          <t>L001-107035863</t>
        </is>
      </c>
      <c r="E509" s="349" t="inlineStr">
        <is>
          <t>SITC2025-017651</t>
        </is>
      </c>
      <c r="F509" s="332" t="n">
        <v>45798</v>
      </c>
      <c r="G509" s="224" t="n"/>
      <c r="H509" s="617" t="n"/>
      <c r="I509" s="617" t="n">
        <v>144108</v>
      </c>
      <c r="J509" s="221" t="inlineStr">
        <is>
          <t>អនុញ្ញាត (បានប្រកាស)</t>
        </is>
      </c>
      <c r="K509" s="618" t="n"/>
      <c r="L509" s="616">
        <f>I509</f>
        <v/>
      </c>
      <c r="M509" s="588">
        <f>I509-L509</f>
        <v/>
      </c>
      <c r="N509" s="221" t="n"/>
      <c r="O509" s="226">
        <f>U509=E509</f>
        <v/>
      </c>
      <c r="P509" s="226">
        <f>MONTH(F509)-MONTH(T509)</f>
        <v/>
      </c>
      <c r="Q509" s="226">
        <f>$B$5=X509</f>
        <v/>
      </c>
      <c r="R509" s="226">
        <f>I509-AD509</f>
        <v/>
      </c>
      <c r="S509" s="360" t="n"/>
      <c r="T509" s="361" t="n">
        <v>45798</v>
      </c>
      <c r="U509" s="360" t="inlineStr">
        <is>
          <t>SITC2025-017651</t>
        </is>
      </c>
      <c r="V509" s="360" t="n"/>
      <c r="W509" s="360" t="inlineStr">
        <is>
          <t>បុគ្គលជាប់អាករ</t>
        </is>
      </c>
      <c r="X509" s="360" t="inlineStr">
        <is>
          <t>L001-901640009</t>
        </is>
      </c>
      <c r="Y509" s="360" t="inlineStr">
        <is>
          <t>ហូលីដេ ឌីហ្សាញ (ខេមបូឌា) ឯ.ក</t>
        </is>
      </c>
      <c r="Z509" s="362" t="n">
        <v>1585188</v>
      </c>
      <c r="AA509" s="362" t="n">
        <v>1441080</v>
      </c>
      <c r="AB509" s="360" t="n">
        <v>0</v>
      </c>
      <c r="AC509" s="360" t="inlineStr">
        <is>
          <t>-</t>
        </is>
      </c>
      <c r="AD509" s="362" t="n">
        <v>144108</v>
      </c>
      <c r="AE509" s="360" t="n">
        <v>0</v>
      </c>
      <c r="AF509" s="615" t="n">
        <v>0</v>
      </c>
      <c r="AG509" s="203" t="n">
        <v>0</v>
      </c>
      <c r="AH509" s="203" t="n">
        <v>0</v>
      </c>
      <c r="AI509" s="203" t="n">
        <v>0</v>
      </c>
      <c r="AJ509" s="203" t="n">
        <v>0</v>
      </c>
      <c r="AK509" s="203" t="n">
        <v>0</v>
      </c>
      <c r="AL509" s="203" t="n">
        <v>0.01</v>
      </c>
      <c r="AN509" s="203" t="inlineStr">
        <is>
          <t>KHTHC,KHCIC,EMF,KHDO</t>
        </is>
      </c>
    </row>
    <row r="510">
      <c r="A510" s="220">
        <f>A509+1</f>
        <v/>
      </c>
      <c r="B510" s="222" t="inlineStr">
        <is>
          <t>Trucking &amp; Clearance-Im</t>
        </is>
      </c>
      <c r="C510" s="222" t="inlineStr">
        <is>
          <t>BRILLIANT TRANSPORT AND TRADING Co., Ltd.</t>
        </is>
      </c>
      <c r="D510" s="223" t="inlineStr">
        <is>
          <t>K002-100089305</t>
        </is>
      </c>
      <c r="E510" s="349" t="inlineStr">
        <is>
          <t>BTT25-0001167</t>
        </is>
      </c>
      <c r="F510" s="332" t="n">
        <v>45803</v>
      </c>
      <c r="G510" s="224" t="n"/>
      <c r="H510" s="617" t="n"/>
      <c r="I510" s="617" t="n">
        <v>268134</v>
      </c>
      <c r="J510" s="221" t="inlineStr">
        <is>
          <t>អនុញ្ញាត (បានប្រកាស)</t>
        </is>
      </c>
      <c r="K510" s="618" t="n"/>
      <c r="L510" s="616">
        <f>I510</f>
        <v/>
      </c>
      <c r="M510" s="588">
        <f>I510-L510</f>
        <v/>
      </c>
      <c r="N510" s="221" t="n"/>
      <c r="O510" s="226">
        <f>U510=E510</f>
        <v/>
      </c>
      <c r="P510" s="226">
        <f>MONTH(F510)-MONTH(T510)</f>
        <v/>
      </c>
      <c r="Q510" s="226">
        <f>$B$5=X510</f>
        <v/>
      </c>
      <c r="R510" s="226">
        <f>I510-AD510</f>
        <v/>
      </c>
      <c r="S510" s="360" t="n"/>
      <c r="T510" s="361" t="n">
        <v>45803</v>
      </c>
      <c r="U510" s="360" t="inlineStr">
        <is>
          <t>BTT25-0001167</t>
        </is>
      </c>
      <c r="V510" s="360" t="n"/>
      <c r="W510" s="360" t="n"/>
      <c r="X510" s="360" t="n"/>
      <c r="Y510" s="360" t="inlineStr">
        <is>
          <t>ហូលីដេ ឌីហ្សាញ (ខេមបូឌា) ឯ.ក</t>
        </is>
      </c>
      <c r="Z510" s="362" t="n"/>
      <c r="AA510" s="362" t="n"/>
      <c r="AB510" s="360" t="n"/>
      <c r="AC510" s="360" t="n"/>
      <c r="AD510" s="362" t="n">
        <v>268134</v>
      </c>
      <c r="AE510" s="360" t="n"/>
      <c r="AF510" s="615" t="n"/>
      <c r="AN510" s="203" t="inlineStr">
        <is>
          <t>Truking / Service</t>
        </is>
      </c>
    </row>
    <row r="511">
      <c r="A511" s="220">
        <f>A510+1</f>
        <v/>
      </c>
      <c r="B511" s="222" t="inlineStr">
        <is>
          <t>Gate Charge &amp; Cleaning Container Fee-Im</t>
        </is>
      </c>
      <c r="C511" s="222" t="inlineStr">
        <is>
          <t>BRILLIANT TRANSPORT AND TRADING Co., Ltd.</t>
        </is>
      </c>
      <c r="D511" s="223" t="inlineStr">
        <is>
          <t>K002-100089305</t>
        </is>
      </c>
      <c r="E511" s="349" t="inlineStr">
        <is>
          <t>BTT25-0001150</t>
        </is>
      </c>
      <c r="F511" s="332" t="n">
        <v>45779</v>
      </c>
      <c r="G511" s="224" t="n"/>
      <c r="H511" s="617" t="n"/>
      <c r="I511" s="617" t="n">
        <v>129345</v>
      </c>
      <c r="J511" s="221" t="inlineStr">
        <is>
          <t>អនុញ្ញាត (បានប្រកាស)</t>
        </is>
      </c>
      <c r="K511" s="618" t="n"/>
      <c r="L511" s="616">
        <f>I511</f>
        <v/>
      </c>
      <c r="M511" s="588">
        <f>I511-L511</f>
        <v/>
      </c>
      <c r="N511" s="221" t="n"/>
      <c r="O511" s="226">
        <f>U511=E511</f>
        <v/>
      </c>
      <c r="P511" s="226">
        <f>MONTH(F511)-MONTH(T511)</f>
        <v/>
      </c>
      <c r="Q511" s="226">
        <f>$B$5=X511</f>
        <v/>
      </c>
      <c r="R511" s="226">
        <f>I511-AD511</f>
        <v/>
      </c>
      <c r="S511" s="360" t="n"/>
      <c r="T511" s="361" t="n">
        <v>45779</v>
      </c>
      <c r="U511" s="360" t="inlineStr">
        <is>
          <t>BTT25-0001150</t>
        </is>
      </c>
      <c r="V511" s="360" t="n"/>
      <c r="W511" s="360" t="n"/>
      <c r="X511" s="360" t="n"/>
      <c r="Y511" s="360" t="inlineStr">
        <is>
          <t>ហូលីដេ ឌីហ្សាញ (ខេមបូឌា) ឯ.ក</t>
        </is>
      </c>
      <c r="Z511" s="362" t="n"/>
      <c r="AA511" s="362" t="n"/>
      <c r="AB511" s="360" t="n"/>
      <c r="AC511" s="360" t="n"/>
      <c r="AD511" s="362" t="n">
        <v>129345</v>
      </c>
      <c r="AE511" s="360" t="n"/>
      <c r="AF511" s="615" t="n"/>
      <c r="AN511" s="203" t="inlineStr">
        <is>
          <t>Truking / Service</t>
        </is>
      </c>
    </row>
    <row r="512">
      <c r="A512" s="220">
        <f>A511+1</f>
        <v/>
      </c>
      <c r="B512" s="222" t="inlineStr">
        <is>
          <t>Lift-On &amp; Lift-On-Im</t>
        </is>
      </c>
      <c r="C512" s="222" t="inlineStr">
        <is>
          <t>Port Autonome Du Sihanoukville</t>
        </is>
      </c>
      <c r="D512" s="223" t="inlineStr">
        <is>
          <t>L001-100044638</t>
        </is>
      </c>
      <c r="E512" s="349" t="n">
        <v>202500109280</v>
      </c>
      <c r="F512" s="332" t="n">
        <v>45789</v>
      </c>
      <c r="G512" s="224" t="n"/>
      <c r="H512" s="617" t="n"/>
      <c r="I512" s="617" t="n">
        <v>159720</v>
      </c>
      <c r="J512" s="221" t="inlineStr">
        <is>
          <t>អនុញ្ញាត (បានប្រកាស)</t>
        </is>
      </c>
      <c r="K512" s="618" t="n"/>
      <c r="L512" s="616">
        <f>I512</f>
        <v/>
      </c>
      <c r="M512" s="588">
        <f>I512-L512</f>
        <v/>
      </c>
      <c r="N512" s="221" t="n"/>
      <c r="O512" s="226">
        <f>U512=E512</f>
        <v/>
      </c>
      <c r="P512" s="226">
        <f>MONTH(F512)-MONTH(T512)</f>
        <v/>
      </c>
      <c r="Q512" s="226">
        <f>$B$5=X512</f>
        <v/>
      </c>
      <c r="R512" s="226">
        <f>I512-AD512</f>
        <v/>
      </c>
      <c r="S512" s="360" t="n"/>
      <c r="T512" s="361" t="n">
        <v>45789</v>
      </c>
      <c r="U512" s="360" t="n">
        <v>202500109280</v>
      </c>
      <c r="V512" s="360" t="n"/>
      <c r="W512" s="360" t="inlineStr">
        <is>
          <t>បុគ្គលជាប់អាករ</t>
        </is>
      </c>
      <c r="X512" s="360" t="inlineStr">
        <is>
          <t>L001-901640009</t>
        </is>
      </c>
      <c r="Y512" s="360" t="inlineStr">
        <is>
          <t>ហូលីដេ ឌីហ្សាញ (ខេមបូឌា) ឯ.ក</t>
        </is>
      </c>
      <c r="Z512" s="362" t="n">
        <v>1756917</v>
      </c>
      <c r="AA512" s="362" t="n">
        <v>1597197</v>
      </c>
      <c r="AB512" s="360" t="n">
        <v>0</v>
      </c>
      <c r="AC512" s="360" t="inlineStr">
        <is>
          <t>-</t>
        </is>
      </c>
      <c r="AD512" s="362" t="n">
        <v>159720</v>
      </c>
      <c r="AE512" s="360" t="n"/>
      <c r="AF512" s="615" t="n"/>
    </row>
    <row r="513">
      <c r="A513" s="220">
        <f>A512+1</f>
        <v/>
      </c>
      <c r="B513" s="222" t="inlineStr">
        <is>
          <t>Lift-On &amp; Lift-On-Im</t>
        </is>
      </c>
      <c r="C513" s="222" t="inlineStr">
        <is>
          <t>Port Autonome Du Sihanoukville</t>
        </is>
      </c>
      <c r="D513" s="223" t="inlineStr">
        <is>
          <t>L001-100044638</t>
        </is>
      </c>
      <c r="E513" s="349" t="n">
        <v>202500101347</v>
      </c>
      <c r="F513" s="332" t="n">
        <v>45782</v>
      </c>
      <c r="G513" s="224" t="n"/>
      <c r="H513" s="617" t="n"/>
      <c r="I513" s="617" t="n">
        <v>348348</v>
      </c>
      <c r="J513" s="221" t="inlineStr">
        <is>
          <t>អនុញ្ញាត (បានប្រកាស)</t>
        </is>
      </c>
      <c r="K513" s="618" t="n"/>
      <c r="L513" s="616">
        <f>I513</f>
        <v/>
      </c>
      <c r="M513" s="588">
        <f>I513-L513</f>
        <v/>
      </c>
      <c r="N513" s="221" t="n"/>
      <c r="O513" s="226">
        <f>U513=E513</f>
        <v/>
      </c>
      <c r="P513" s="226">
        <f>MONTH(F513)-MONTH(T513)</f>
        <v/>
      </c>
      <c r="Q513" s="226">
        <f>$B$5=X513</f>
        <v/>
      </c>
      <c r="R513" s="226">
        <f>I513-AD513</f>
        <v/>
      </c>
      <c r="S513" s="360" t="n"/>
      <c r="T513" s="361" t="n">
        <v>45782</v>
      </c>
      <c r="U513" s="360" t="n">
        <v>202500101347</v>
      </c>
      <c r="V513" s="360" t="n"/>
      <c r="W513" s="360" t="inlineStr">
        <is>
          <t>បុគ្គលជាប់អាករ</t>
        </is>
      </c>
      <c r="X513" s="360" t="inlineStr">
        <is>
          <t>L001-901640009</t>
        </is>
      </c>
      <c r="Y513" s="360" t="inlineStr">
        <is>
          <t>ហូលីដេ ឌីហ្សាញ (ខេមបូឌា) ឯ.ក</t>
        </is>
      </c>
      <c r="Z513" s="362" t="n">
        <v>3831828</v>
      </c>
      <c r="AA513" s="362" t="n">
        <v>3483480</v>
      </c>
      <c r="AB513" s="360" t="n">
        <v>0</v>
      </c>
      <c r="AC513" s="360" t="inlineStr">
        <is>
          <t>-</t>
        </is>
      </c>
      <c r="AD513" s="362" t="n">
        <v>348348</v>
      </c>
      <c r="AE513" s="360" t="n"/>
      <c r="AF513" s="615" t="n"/>
    </row>
    <row r="514">
      <c r="A514" s="220">
        <f>A513+1</f>
        <v/>
      </c>
      <c r="B514" s="222" t="inlineStr">
        <is>
          <t>Terminal Handling Charge-Im</t>
        </is>
      </c>
      <c r="C514" s="222" t="inlineStr">
        <is>
          <t>SITC CONTAINER LINES (CAMBODIA) Co., Ltd.</t>
        </is>
      </c>
      <c r="D514" s="223" t="inlineStr">
        <is>
          <t>L001-107035863</t>
        </is>
      </c>
      <c r="E514" s="349" t="inlineStr">
        <is>
          <t>SITC2025-016019</t>
        </is>
      </c>
      <c r="F514" s="332" t="n">
        <v>45785</v>
      </c>
      <c r="G514" s="224" t="n"/>
      <c r="H514" s="617" t="n"/>
      <c r="I514" s="617" t="n">
        <v>864864</v>
      </c>
      <c r="J514" s="221" t="inlineStr">
        <is>
          <t>អនុញ្ញាត (បានប្រកាស)</t>
        </is>
      </c>
      <c r="K514" s="618" t="n"/>
      <c r="L514" s="616">
        <f>I514</f>
        <v/>
      </c>
      <c r="M514" s="588">
        <f>I514-L514</f>
        <v/>
      </c>
      <c r="N514" s="221" t="n"/>
      <c r="O514" s="226">
        <f>U514=E514</f>
        <v/>
      </c>
      <c r="P514" s="226">
        <f>MONTH(F514)-MONTH(T514)</f>
        <v/>
      </c>
      <c r="Q514" s="226">
        <f>$B$5=X514</f>
        <v/>
      </c>
      <c r="R514" s="226">
        <f>I514-AD514</f>
        <v/>
      </c>
      <c r="S514" s="360" t="n"/>
      <c r="T514" s="361" t="n">
        <v>45785</v>
      </c>
      <c r="U514" s="360" t="inlineStr">
        <is>
          <t>SITC2025-016019</t>
        </is>
      </c>
      <c r="V514" s="360" t="n"/>
      <c r="W514" s="360" t="inlineStr">
        <is>
          <t>បុគ្គលជាប់អាករ</t>
        </is>
      </c>
      <c r="X514" s="360" t="inlineStr">
        <is>
          <t>L001-901640009</t>
        </is>
      </c>
      <c r="Y514" s="360" t="inlineStr">
        <is>
          <t>ហូលីដេ ឌីហ្សាញ (ខេមបូឌា) ឯ.ក</t>
        </is>
      </c>
      <c r="Z514" s="362" t="n">
        <v>9513504</v>
      </c>
      <c r="AA514" s="362" t="n">
        <v>8648640</v>
      </c>
      <c r="AB514" s="360" t="n">
        <v>0</v>
      </c>
      <c r="AC514" s="360" t="inlineStr">
        <is>
          <t>-</t>
        </is>
      </c>
      <c r="AD514" s="362" t="n">
        <v>864864</v>
      </c>
      <c r="AE514" s="360" t="n">
        <v>0</v>
      </c>
      <c r="AF514" s="615" t="n">
        <v>0</v>
      </c>
      <c r="AG514" s="203" t="n">
        <v>0</v>
      </c>
      <c r="AH514" s="203" t="n">
        <v>0</v>
      </c>
      <c r="AI514" s="203" t="n">
        <v>0</v>
      </c>
      <c r="AJ514" s="203" t="n">
        <v>0</v>
      </c>
      <c r="AK514" s="203" t="n">
        <v>0</v>
      </c>
      <c r="AL514" s="203" t="n">
        <v>0.01</v>
      </c>
      <c r="AN514" s="203" t="inlineStr">
        <is>
          <t>KHTHC,EIB,KHCIC,EMF</t>
        </is>
      </c>
    </row>
    <row r="515">
      <c r="A515" s="220">
        <f>A514+1</f>
        <v/>
      </c>
      <c r="B515" s="222" t="inlineStr">
        <is>
          <t>Trucking &amp; Clearance-Im</t>
        </is>
      </c>
      <c r="C515" s="222" t="inlineStr">
        <is>
          <t>BRILLIANT TRANSPORT AND TRADING Co., Ltd.</t>
        </is>
      </c>
      <c r="D515" s="223" t="inlineStr">
        <is>
          <t>K002-100089305</t>
        </is>
      </c>
      <c r="E515" s="349" t="inlineStr">
        <is>
          <t>BTT25-0001058</t>
        </is>
      </c>
      <c r="F515" s="332" t="n">
        <v>45789</v>
      </c>
      <c r="G515" s="224" t="n"/>
      <c r="H515" s="617" t="n"/>
      <c r="I515" s="617" t="n">
        <v>1733299</v>
      </c>
      <c r="J515" s="221" t="inlineStr">
        <is>
          <t>អនុញ្ញាត (បានប្រកាស)</t>
        </is>
      </c>
      <c r="K515" s="618" t="n"/>
      <c r="L515" s="616">
        <f>I515</f>
        <v/>
      </c>
      <c r="M515" s="588">
        <f>I515-L515</f>
        <v/>
      </c>
      <c r="N515" s="221" t="n"/>
      <c r="O515" s="226">
        <f>U515=E515</f>
        <v/>
      </c>
      <c r="P515" s="226">
        <f>MONTH(F515)-MONTH(T515)</f>
        <v/>
      </c>
      <c r="Q515" s="226">
        <f>$B$5=X515</f>
        <v/>
      </c>
      <c r="R515" s="226">
        <f>I515-AD515</f>
        <v/>
      </c>
      <c r="S515" s="360" t="n"/>
      <c r="T515" s="361" t="n">
        <v>45789</v>
      </c>
      <c r="U515" s="360" t="inlineStr">
        <is>
          <t>BTT25-0001058</t>
        </is>
      </c>
      <c r="V515" s="360" t="n"/>
      <c r="W515" s="360" t="n"/>
      <c r="X515" s="360" t="n"/>
      <c r="Y515" s="360" t="inlineStr">
        <is>
          <t>ហូលីដេ ឌីហ្សាញ (ខេមបូឌា) ឯ.ក</t>
        </is>
      </c>
      <c r="Z515" s="362" t="n"/>
      <c r="AA515" s="362" t="n"/>
      <c r="AB515" s="360" t="n"/>
      <c r="AC515" s="360" t="n"/>
      <c r="AD515" s="362" t="n">
        <v>1733299</v>
      </c>
      <c r="AE515" s="360" t="n"/>
      <c r="AF515" s="615" t="n"/>
      <c r="AN515" s="203" t="inlineStr">
        <is>
          <t>Truking / Service</t>
        </is>
      </c>
    </row>
    <row r="516">
      <c r="A516" s="220">
        <f>A515+1</f>
        <v/>
      </c>
      <c r="B516" s="222" t="inlineStr">
        <is>
          <t>Lift-On &amp; Lift-On-Im</t>
        </is>
      </c>
      <c r="C516" s="222" t="inlineStr">
        <is>
          <t>Port Autonome Du Sihanoukville</t>
        </is>
      </c>
      <c r="D516" s="223" t="inlineStr">
        <is>
          <t>L001-100044638</t>
        </is>
      </c>
      <c r="E516" s="349" t="n">
        <v>202500109284</v>
      </c>
      <c r="F516" s="332" t="n">
        <v>45789</v>
      </c>
      <c r="G516" s="224" t="n"/>
      <c r="H516" s="617" t="n"/>
      <c r="I516" s="617" t="n">
        <v>405904</v>
      </c>
      <c r="J516" s="221" t="inlineStr">
        <is>
          <t>អនុញ្ញាត (បានប្រកាស)</t>
        </is>
      </c>
      <c r="K516" s="618" t="n"/>
      <c r="L516" s="616">
        <f>I516</f>
        <v/>
      </c>
      <c r="M516" s="588">
        <f>I516-L516</f>
        <v/>
      </c>
      <c r="N516" s="221" t="n"/>
      <c r="O516" s="226">
        <f>U516=E516</f>
        <v/>
      </c>
      <c r="P516" s="226">
        <f>MONTH(F516)-MONTH(T516)</f>
        <v/>
      </c>
      <c r="Q516" s="226">
        <f>$B$5=X516</f>
        <v/>
      </c>
      <c r="R516" s="226">
        <f>I516-AD516</f>
        <v/>
      </c>
      <c r="S516" s="360" t="n"/>
      <c r="T516" s="361" t="n">
        <v>45789</v>
      </c>
      <c r="U516" s="360" t="n">
        <v>202500109284</v>
      </c>
      <c r="V516" s="360" t="n"/>
      <c r="W516" s="360" t="inlineStr">
        <is>
          <t>បុគ្គលជាប់អាករ</t>
        </is>
      </c>
      <c r="X516" s="360" t="inlineStr">
        <is>
          <t>L001-901640009</t>
        </is>
      </c>
      <c r="Y516" s="360" t="inlineStr">
        <is>
          <t>ហូលីដេ ឌីហ្សាញ (ខេមបូឌា) ឯ.ក</t>
        </is>
      </c>
      <c r="Z516" s="362" t="n">
        <v>4464946</v>
      </c>
      <c r="AA516" s="362" t="n">
        <v>4059042</v>
      </c>
      <c r="AB516" s="360" t="n">
        <v>0</v>
      </c>
      <c r="AC516" s="360" t="inlineStr">
        <is>
          <t>-</t>
        </is>
      </c>
      <c r="AD516" s="362" t="n">
        <v>405904</v>
      </c>
      <c r="AE516" s="360" t="n"/>
      <c r="AF516" s="615" t="n"/>
    </row>
    <row r="517">
      <c r="A517" s="220">
        <f>A516+1</f>
        <v/>
      </c>
      <c r="B517" s="222" t="inlineStr">
        <is>
          <t>Terminal Handling Charge-Im</t>
        </is>
      </c>
      <c r="C517" s="222" t="inlineStr">
        <is>
          <t>SITC CONTAINER LINES (CAMBODIA) Co., Ltd.</t>
        </is>
      </c>
      <c r="D517" s="223" t="inlineStr">
        <is>
          <t>L001-107035863</t>
        </is>
      </c>
      <c r="E517" s="349" t="inlineStr">
        <is>
          <t>SITC2025-015872</t>
        </is>
      </c>
      <c r="F517" s="332" t="n">
        <v>45784</v>
      </c>
      <c r="G517" s="224" t="n"/>
      <c r="H517" s="617" t="n"/>
      <c r="I517" s="617" t="n">
        <v>2433824</v>
      </c>
      <c r="J517" s="221" t="inlineStr">
        <is>
          <t>អនុញ្ញាត (បានប្រកាស)</t>
        </is>
      </c>
      <c r="K517" s="618" t="n"/>
      <c r="L517" s="616">
        <f>I517</f>
        <v/>
      </c>
      <c r="M517" s="588">
        <f>I517-L517</f>
        <v/>
      </c>
      <c r="N517" s="221" t="n"/>
      <c r="O517" s="226">
        <f>U517=E517</f>
        <v/>
      </c>
      <c r="P517" s="226">
        <f>MONTH(F517)-MONTH(T517)</f>
        <v/>
      </c>
      <c r="Q517" s="226">
        <f>$B$5=X517</f>
        <v/>
      </c>
      <c r="R517" s="226">
        <f>I517-AD517</f>
        <v/>
      </c>
      <c r="S517" s="360" t="n"/>
      <c r="T517" s="361" t="n">
        <v>45784</v>
      </c>
      <c r="U517" s="360" t="inlineStr">
        <is>
          <t>SITC2025-015872</t>
        </is>
      </c>
      <c r="V517" s="360" t="n"/>
      <c r="W517" s="360" t="inlineStr">
        <is>
          <t>បុគ្គលជាប់អាករ</t>
        </is>
      </c>
      <c r="X517" s="360" t="inlineStr">
        <is>
          <t>L001-901640009</t>
        </is>
      </c>
      <c r="Y517" s="360" t="inlineStr">
        <is>
          <t>ហូលីដេ ឌីហ្សាញ (ខេមបូឌា) ឯ.ក</t>
        </is>
      </c>
      <c r="Z517" s="362" t="n">
        <v>26772064</v>
      </c>
      <c r="AA517" s="362" t="n">
        <v>24338240</v>
      </c>
      <c r="AB517" s="360" t="n">
        <v>0</v>
      </c>
      <c r="AC517" s="360" t="inlineStr">
        <is>
          <t>-</t>
        </is>
      </c>
      <c r="AD517" s="362" t="n">
        <v>2433824</v>
      </c>
      <c r="AE517" s="360" t="n">
        <v>0</v>
      </c>
      <c r="AF517" s="615" t="n">
        <v>0</v>
      </c>
      <c r="AG517" s="203" t="n">
        <v>0</v>
      </c>
      <c r="AH517" s="203" t="n">
        <v>0</v>
      </c>
      <c r="AI517" s="203" t="n">
        <v>0</v>
      </c>
      <c r="AJ517" s="203" t="n">
        <v>0</v>
      </c>
      <c r="AK517" s="203" t="n">
        <v>0</v>
      </c>
      <c r="AL517" s="203" t="n">
        <v>0.01</v>
      </c>
      <c r="AN517" s="203" t="inlineStr">
        <is>
          <t>KHDOC,KHTHC</t>
        </is>
      </c>
    </row>
    <row r="518">
      <c r="A518" s="220">
        <f>A517+1</f>
        <v/>
      </c>
      <c r="B518" s="222" t="inlineStr">
        <is>
          <t>Trucking &amp; Clearance-Im</t>
        </is>
      </c>
      <c r="C518" s="222" t="inlineStr">
        <is>
          <t>BRILLIANT TRANSPORT AND TRADING Co., Ltd.</t>
        </is>
      </c>
      <c r="D518" s="223" t="inlineStr">
        <is>
          <t>K002-100089305</t>
        </is>
      </c>
      <c r="E518" s="349" t="inlineStr">
        <is>
          <t>BTT25-0001057</t>
        </is>
      </c>
      <c r="F518" s="332" t="n">
        <v>45789</v>
      </c>
      <c r="G518" s="224" t="n"/>
      <c r="H518" s="617" t="n"/>
      <c r="I518" s="617" t="n">
        <v>2774079</v>
      </c>
      <c r="J518" s="221" t="inlineStr">
        <is>
          <t>អនុញ្ញាត (បានប្រកាស)</t>
        </is>
      </c>
      <c r="K518" s="618" t="n"/>
      <c r="L518" s="616">
        <f>I518</f>
        <v/>
      </c>
      <c r="M518" s="588">
        <f>I518-L518</f>
        <v/>
      </c>
      <c r="N518" s="221" t="n"/>
      <c r="O518" s="226">
        <f>U518=E518</f>
        <v/>
      </c>
      <c r="P518" s="226">
        <f>MONTH(F518)-MONTH(T518)</f>
        <v/>
      </c>
      <c r="Q518" s="226">
        <f>$B$5=X518</f>
        <v/>
      </c>
      <c r="R518" s="226">
        <f>I518-AD518</f>
        <v/>
      </c>
      <c r="S518" s="360" t="n"/>
      <c r="T518" s="361" t="n">
        <v>45789</v>
      </c>
      <c r="U518" s="360" t="inlineStr">
        <is>
          <t>BTT25-0001057</t>
        </is>
      </c>
      <c r="V518" s="360" t="n"/>
      <c r="W518" s="360" t="n"/>
      <c r="X518" s="360" t="n"/>
      <c r="Y518" s="360" t="inlineStr">
        <is>
          <t>ហូលីដេ ឌីហ្សាញ (ខេមបូឌា) ឯ.ក</t>
        </is>
      </c>
      <c r="Z518" s="362" t="n"/>
      <c r="AA518" s="362" t="n"/>
      <c r="AB518" s="360" t="n"/>
      <c r="AC518" s="360" t="n"/>
      <c r="AD518" s="362" t="n">
        <v>2774079</v>
      </c>
      <c r="AE518" s="360" t="n"/>
      <c r="AF518" s="615" t="n"/>
      <c r="AN518" s="203" t="inlineStr">
        <is>
          <t>Truking / Service</t>
        </is>
      </c>
    </row>
    <row r="519">
      <c r="A519" s="220">
        <f>A518+1</f>
        <v/>
      </c>
      <c r="B519" s="222" t="inlineStr">
        <is>
          <t>Rental Building for 11-2024</t>
        </is>
      </c>
      <c r="C519" s="222" t="inlineStr">
        <is>
          <t>HOLIDAY DESIGNS INTERNATIONAL Ltd.</t>
        </is>
      </c>
      <c r="D519" s="223" t="inlineStr">
        <is>
          <t>L001-901502196</t>
        </is>
      </c>
      <c r="E519" s="349" t="inlineStr">
        <is>
          <t>INT2401041</t>
        </is>
      </c>
      <c r="F519" s="332" t="n">
        <v>45626</v>
      </c>
      <c r="G519" s="224" t="n"/>
      <c r="H519" s="617" t="n"/>
      <c r="I519" s="617" t="n">
        <v>18537883</v>
      </c>
      <c r="J519" s="221" t="inlineStr">
        <is>
          <t>អនុញ្ញាត (បានប្រកាស)</t>
        </is>
      </c>
      <c r="K519" s="618" t="n"/>
      <c r="L519" s="616">
        <f>I519</f>
        <v/>
      </c>
      <c r="M519" s="588">
        <f>I519-L519</f>
        <v/>
      </c>
      <c r="N519" s="221" t="inlineStr">
        <is>
          <t>បានពិនិត្យវិក្កយបត្រ</t>
        </is>
      </c>
      <c r="O519" s="226">
        <f>U519=E519</f>
        <v/>
      </c>
      <c r="P519" s="226">
        <f>MONTH(F519)-MONTH(T519)</f>
        <v/>
      </c>
      <c r="Q519" s="226">
        <f>$B$5=X519</f>
        <v/>
      </c>
      <c r="R519" s="226">
        <f>I519-AD519</f>
        <v/>
      </c>
      <c r="S519" s="360" t="n"/>
      <c r="T519" s="361" t="n">
        <v>45626</v>
      </c>
      <c r="U519" s="360" t="inlineStr">
        <is>
          <t>INT2401041</t>
        </is>
      </c>
      <c r="V519" s="360" t="n">
        <v>0</v>
      </c>
      <c r="W519" s="360" t="inlineStr">
        <is>
          <t>បុគ្គលជាប់អាករ</t>
        </is>
      </c>
      <c r="X519" s="360" t="inlineStr">
        <is>
          <t>L001-901640009</t>
        </is>
      </c>
      <c r="Y519" s="360" t="inlineStr">
        <is>
          <t>ហូលីដេ ឌីហ្សាញ (ខេមបូឌា) ឯ.ក</t>
        </is>
      </c>
      <c r="Z519" s="362" t="n">
        <v>203916714</v>
      </c>
      <c r="AA519" s="362" t="n">
        <v>185378831</v>
      </c>
      <c r="AB519" s="360" t="n">
        <v>0</v>
      </c>
      <c r="AC519" s="360" t="inlineStr">
        <is>
          <t>-</t>
        </is>
      </c>
      <c r="AD519" s="362" t="n">
        <v>18537883</v>
      </c>
      <c r="AE519" s="360" t="n">
        <v>0</v>
      </c>
      <c r="AF519" s="615" t="n">
        <v>0</v>
      </c>
      <c r="AG519" s="203" t="n">
        <v>0</v>
      </c>
      <c r="AH519" s="203" t="n">
        <v>0</v>
      </c>
      <c r="AI519" s="203" t="n">
        <v>0</v>
      </c>
      <c r="AJ519" s="203" t="n">
        <v>0</v>
      </c>
      <c r="AK519" s="203" t="n">
        <v>0</v>
      </c>
      <c r="AL519" s="203" t="n">
        <v>0.01</v>
      </c>
      <c r="AM519" s="203" t="n">
        <v>0</v>
      </c>
      <c r="AN519" s="203" t="inlineStr">
        <is>
          <t>Rental Building 11-2024</t>
        </is>
      </c>
      <c r="AO519" s="203" t="inlineStr">
        <is>
          <t>បានប្រកាសនិងបង់ពន្ធ</t>
        </is>
      </c>
    </row>
    <row r="520">
      <c r="A520" s="220">
        <f>A519+1</f>
        <v/>
      </c>
      <c r="B520" s="222" t="inlineStr">
        <is>
          <t>Rental Building for 12-2024</t>
        </is>
      </c>
      <c r="C520" s="222" t="inlineStr">
        <is>
          <t>HOLIDAY DESIGNS INTERNATIONAL Ltd.</t>
        </is>
      </c>
      <c r="D520" s="223" t="inlineStr">
        <is>
          <t>L001-901502196</t>
        </is>
      </c>
      <c r="E520" s="349" t="inlineStr">
        <is>
          <t>INT2401045</t>
        </is>
      </c>
      <c r="F520" s="332" t="n">
        <v>45657</v>
      </c>
      <c r="G520" s="224" t="n"/>
      <c r="H520" s="617" t="n"/>
      <c r="I520" s="617" t="n">
        <v>18524076</v>
      </c>
      <c r="J520" s="221" t="inlineStr">
        <is>
          <t>អនុញ្ញាត (បានប្រកាស)</t>
        </is>
      </c>
      <c r="K520" s="618" t="n"/>
      <c r="L520" s="616">
        <f>I520</f>
        <v/>
      </c>
      <c r="M520" s="588">
        <f>I520-L520</f>
        <v/>
      </c>
      <c r="N520" s="221" t="inlineStr">
        <is>
          <t>បានពិនិត្យវិក្កយបត្រ</t>
        </is>
      </c>
      <c r="O520" s="226">
        <f>U520=E520</f>
        <v/>
      </c>
      <c r="P520" s="226">
        <f>MONTH(F520)-MONTH(T520)</f>
        <v/>
      </c>
      <c r="Q520" s="226">
        <f>$B$5=X520</f>
        <v/>
      </c>
      <c r="R520" s="226">
        <f>I520-AD520</f>
        <v/>
      </c>
      <c r="S520" s="360" t="n"/>
      <c r="T520" s="361" t="n">
        <v>45657</v>
      </c>
      <c r="U520" s="360" t="inlineStr">
        <is>
          <t>INT2401045</t>
        </is>
      </c>
      <c r="V520" s="360" t="n">
        <v>0</v>
      </c>
      <c r="W520" s="360" t="inlineStr">
        <is>
          <t>បុគ្គលជាប់អាករ</t>
        </is>
      </c>
      <c r="X520" s="360" t="inlineStr">
        <is>
          <t>L001-901640009</t>
        </is>
      </c>
      <c r="Y520" s="360" t="inlineStr">
        <is>
          <t>ហូលីដេ ឌីហ្សាញ (ខេមបូឌា) ឯ.ក</t>
        </is>
      </c>
      <c r="Z520" s="362" t="n">
        <v>203764840</v>
      </c>
      <c r="AA520" s="362" t="n">
        <v>185240764</v>
      </c>
      <c r="AB520" s="360" t="n">
        <v>0</v>
      </c>
      <c r="AC520" s="360" t="inlineStr">
        <is>
          <t>-</t>
        </is>
      </c>
      <c r="AD520" s="362" t="n">
        <v>18524076</v>
      </c>
      <c r="AE520" s="360" t="n">
        <v>0</v>
      </c>
      <c r="AF520" s="615" t="n">
        <v>0</v>
      </c>
      <c r="AG520" s="203" t="n">
        <v>0</v>
      </c>
      <c r="AH520" s="203" t="n">
        <v>0</v>
      </c>
      <c r="AI520" s="203" t="n">
        <v>0</v>
      </c>
      <c r="AJ520" s="203" t="n">
        <v>0</v>
      </c>
      <c r="AK520" s="203" t="n">
        <v>0</v>
      </c>
      <c r="AL520" s="203" t="n">
        <v>0.01</v>
      </c>
      <c r="AM520" s="203" t="n">
        <v>0</v>
      </c>
      <c r="AN520" s="203" t="inlineStr">
        <is>
          <t>Rental Building 12-2024</t>
        </is>
      </c>
      <c r="AO520" s="203" t="inlineStr">
        <is>
          <t>បានប្រកាសនិងបង់ពន្ធ</t>
        </is>
      </c>
    </row>
    <row r="521">
      <c r="A521" s="220">
        <f>A520+1</f>
        <v/>
      </c>
      <c r="B521" s="222" t="inlineStr">
        <is>
          <t>Rental Building for 01-2025</t>
        </is>
      </c>
      <c r="C521" s="222" t="inlineStr">
        <is>
          <t>HOLIDAY DESIGNS INTERNATIONAL Ltd.</t>
        </is>
      </c>
      <c r="D521" s="223" t="inlineStr">
        <is>
          <t>L001-901502196</t>
        </is>
      </c>
      <c r="E521" s="349" t="inlineStr">
        <is>
          <t>INT2501001</t>
        </is>
      </c>
      <c r="F521" s="332" t="n">
        <v>45688</v>
      </c>
      <c r="G521" s="224" t="n"/>
      <c r="H521" s="617" t="n"/>
      <c r="I521" s="617" t="n">
        <v>18519474</v>
      </c>
      <c r="J521" s="221" t="inlineStr">
        <is>
          <t>អនុញ្ញាត (បានប្រកាស)</t>
        </is>
      </c>
      <c r="K521" s="618" t="n"/>
      <c r="L521" s="616">
        <f>I521</f>
        <v/>
      </c>
      <c r="M521" s="588">
        <f>I521-L521</f>
        <v/>
      </c>
      <c r="N521" s="221" t="inlineStr">
        <is>
          <t>បានពិនិត្យវិក្កយបត្រ</t>
        </is>
      </c>
      <c r="O521" s="226">
        <f>U521=E521</f>
        <v/>
      </c>
      <c r="P521" s="226">
        <f>MONTH(F521)-MONTH(T521)</f>
        <v/>
      </c>
      <c r="Q521" s="226">
        <f>$B$5=X521</f>
        <v/>
      </c>
      <c r="R521" s="226">
        <f>I521-AD521</f>
        <v/>
      </c>
      <c r="S521" s="360" t="n"/>
      <c r="T521" s="361" t="n">
        <v>45688</v>
      </c>
      <c r="U521" s="360" t="inlineStr">
        <is>
          <t>INT2501001</t>
        </is>
      </c>
      <c r="V521" s="360" t="n">
        <v>0</v>
      </c>
      <c r="W521" s="360" t="inlineStr">
        <is>
          <t>បុគ្គលជាប់អាករ</t>
        </is>
      </c>
      <c r="X521" s="360" t="inlineStr">
        <is>
          <t>L001-901640009</t>
        </is>
      </c>
      <c r="Y521" s="360" t="inlineStr">
        <is>
          <t>ហូលីដេ ឌីហ្សាញ (ខេមបូឌា) ឯ.ក</t>
        </is>
      </c>
      <c r="Z521" s="362" t="n">
        <v>203714215</v>
      </c>
      <c r="AA521" s="362" t="n">
        <v>185194741</v>
      </c>
      <c r="AB521" s="360" t="n">
        <v>0</v>
      </c>
      <c r="AC521" s="360" t="inlineStr">
        <is>
          <t>-</t>
        </is>
      </c>
      <c r="AD521" s="362" t="n">
        <v>18519474</v>
      </c>
      <c r="AE521" s="360" t="n">
        <v>0</v>
      </c>
      <c r="AF521" s="615" t="n">
        <v>0</v>
      </c>
      <c r="AG521" s="203" t="n">
        <v>0</v>
      </c>
      <c r="AH521" s="203" t="n">
        <v>0</v>
      </c>
      <c r="AI521" s="203" t="n">
        <v>0</v>
      </c>
      <c r="AJ521" s="203" t="n">
        <v>0</v>
      </c>
      <c r="AK521" s="203" t="n">
        <v>0</v>
      </c>
      <c r="AL521" s="203" t="n">
        <v>0.01</v>
      </c>
      <c r="AM521" s="203" t="n">
        <v>0</v>
      </c>
      <c r="AN521" s="203" t="inlineStr">
        <is>
          <t>Rental Building 2025-01</t>
        </is>
      </c>
      <c r="AO521" s="203" t="inlineStr">
        <is>
          <t>បានប្រកាសនិងបង់ពន្ធ</t>
        </is>
      </c>
    </row>
    <row r="522">
      <c r="A522" s="220">
        <f>A521+1</f>
        <v/>
      </c>
      <c r="B522" s="222" t="inlineStr">
        <is>
          <t>Rental Building for 02-2025</t>
        </is>
      </c>
      <c r="C522" s="222" t="inlineStr">
        <is>
          <t>HOLIDAY DESIGNS INTERNATIONAL Ltd.</t>
        </is>
      </c>
      <c r="D522" s="223" t="inlineStr">
        <is>
          <t>L001-901502196</t>
        </is>
      </c>
      <c r="E522" s="349" t="inlineStr">
        <is>
          <t>INT2501005</t>
        </is>
      </c>
      <c r="F522" s="332" t="n">
        <v>45716</v>
      </c>
      <c r="G522" s="224" t="n"/>
      <c r="H522" s="617" t="n"/>
      <c r="I522" s="617" t="n">
        <v>18459645</v>
      </c>
      <c r="J522" s="221" t="inlineStr">
        <is>
          <t>អនុញ្ញាត (បានប្រកាស)</t>
        </is>
      </c>
      <c r="K522" s="618" t="n"/>
      <c r="L522" s="616">
        <f>I522</f>
        <v/>
      </c>
      <c r="M522" s="588">
        <f>I522-L522</f>
        <v/>
      </c>
      <c r="N522" s="221" t="inlineStr">
        <is>
          <t>បានពិនិត្យវិក្កយបត្រ</t>
        </is>
      </c>
      <c r="O522" s="226">
        <f>U522=E522</f>
        <v/>
      </c>
      <c r="P522" s="226">
        <f>MONTH(F522)-MONTH(T522)</f>
        <v/>
      </c>
      <c r="Q522" s="226">
        <f>$B$5=X522</f>
        <v/>
      </c>
      <c r="R522" s="226">
        <f>I522-AD522</f>
        <v/>
      </c>
      <c r="S522" s="360" t="n"/>
      <c r="T522" s="361" t="n">
        <v>45716</v>
      </c>
      <c r="U522" s="360" t="inlineStr">
        <is>
          <t>INT2501005</t>
        </is>
      </c>
      <c r="V522" s="360" t="n">
        <v>0</v>
      </c>
      <c r="W522" s="360" t="inlineStr">
        <is>
          <t>បុគ្គលជាប់អាករ</t>
        </is>
      </c>
      <c r="X522" s="360" t="inlineStr">
        <is>
          <t>L001-901640009</t>
        </is>
      </c>
      <c r="Y522" s="360" t="inlineStr">
        <is>
          <t>ហូលីដេ ឌីហ្សាញ (ខេមបូឌា) ឯ.ក</t>
        </is>
      </c>
      <c r="Z522" s="362" t="n">
        <v>203056093</v>
      </c>
      <c r="AA522" s="362" t="n">
        <v>184596448</v>
      </c>
      <c r="AB522" s="360" t="n">
        <v>0</v>
      </c>
      <c r="AC522" s="360" t="inlineStr">
        <is>
          <t>-</t>
        </is>
      </c>
      <c r="AD522" s="362" t="n">
        <v>18459645</v>
      </c>
      <c r="AE522" s="360" t="n">
        <v>0</v>
      </c>
      <c r="AF522" s="615" t="n">
        <v>0</v>
      </c>
      <c r="AG522" s="203" t="n">
        <v>0</v>
      </c>
      <c r="AH522" s="203" t="n">
        <v>0</v>
      </c>
      <c r="AI522" s="203" t="n">
        <v>0</v>
      </c>
      <c r="AJ522" s="203" t="n">
        <v>0</v>
      </c>
      <c r="AK522" s="203" t="n">
        <v>0</v>
      </c>
      <c r="AL522" s="203" t="n">
        <v>0.01</v>
      </c>
      <c r="AM522" s="203" t="n">
        <v>0</v>
      </c>
      <c r="AN522" s="203" t="inlineStr">
        <is>
          <t>Rental Building 2025-02</t>
        </is>
      </c>
      <c r="AO522" s="203" t="inlineStr">
        <is>
          <t>បានប្រកាសនិងបង់ពន្ធ</t>
        </is>
      </c>
    </row>
    <row r="523">
      <c r="A523" s="220">
        <f>A522+1</f>
        <v/>
      </c>
      <c r="B523" s="222" t="inlineStr">
        <is>
          <t>Rental Building for 03-2025</t>
        </is>
      </c>
      <c r="C523" s="222" t="inlineStr">
        <is>
          <t>HOLIDAY DESIGNS INTERNATIONAL Ltd.</t>
        </is>
      </c>
      <c r="D523" s="223" t="inlineStr">
        <is>
          <t>L001-901502196</t>
        </is>
      </c>
      <c r="E523" s="349" t="inlineStr">
        <is>
          <t>INT2501009</t>
        </is>
      </c>
      <c r="F523" s="332" t="n">
        <v>45747</v>
      </c>
      <c r="G523" s="224" t="n"/>
      <c r="H523" s="617" t="n"/>
      <c r="I523" s="617" t="n">
        <v>18409020</v>
      </c>
      <c r="J523" s="221" t="inlineStr">
        <is>
          <t>អនុញ្ញាត (បានប្រកាស)</t>
        </is>
      </c>
      <c r="K523" s="618" t="n"/>
      <c r="L523" s="616">
        <f>I523</f>
        <v/>
      </c>
      <c r="M523" s="588">
        <f>I523-L523</f>
        <v/>
      </c>
      <c r="N523" s="221" t="inlineStr">
        <is>
          <t>បានពិនិត្យវិក្កយបត្រ</t>
        </is>
      </c>
      <c r="O523" s="226">
        <f>U523=E523</f>
        <v/>
      </c>
      <c r="P523" s="226">
        <f>MONTH(F523)-MONTH(T523)</f>
        <v/>
      </c>
      <c r="Q523" s="226">
        <f>$B$5=X523</f>
        <v/>
      </c>
      <c r="R523" s="226">
        <f>I523-AD523</f>
        <v/>
      </c>
      <c r="S523" s="360" t="n"/>
      <c r="T523" s="361" t="n">
        <v>45747</v>
      </c>
      <c r="U523" s="360" t="inlineStr">
        <is>
          <t>INT2501009</t>
        </is>
      </c>
      <c r="V523" s="360" t="n">
        <v>0</v>
      </c>
      <c r="W523" s="360" t="inlineStr">
        <is>
          <t>បុគ្គលជាប់អាករ</t>
        </is>
      </c>
      <c r="X523" s="360" t="inlineStr">
        <is>
          <t>L001-901640009</t>
        </is>
      </c>
      <c r="Y523" s="360" t="inlineStr">
        <is>
          <t>ហូលីដេ ឌីហ្សាញ (ខេមបូឌា) ឯ.ក</t>
        </is>
      </c>
      <c r="Z523" s="362" t="n">
        <v>202499220</v>
      </c>
      <c r="AA523" s="362" t="n">
        <v>184090200</v>
      </c>
      <c r="AB523" s="360" t="n">
        <v>0</v>
      </c>
      <c r="AC523" s="360" t="inlineStr">
        <is>
          <t>-</t>
        </is>
      </c>
      <c r="AD523" s="362" t="n">
        <v>18409020</v>
      </c>
      <c r="AE523" s="360" t="n">
        <v>0</v>
      </c>
      <c r="AF523" s="615" t="n">
        <v>0</v>
      </c>
      <c r="AG523" s="203" t="n">
        <v>0</v>
      </c>
      <c r="AH523" s="203" t="n">
        <v>0</v>
      </c>
      <c r="AI523" s="203" t="n">
        <v>0</v>
      </c>
      <c r="AJ523" s="203" t="n">
        <v>0</v>
      </c>
      <c r="AK523" s="203" t="n">
        <v>0</v>
      </c>
      <c r="AL523" s="203" t="n">
        <v>0.01</v>
      </c>
      <c r="AM523" s="203" t="n">
        <v>0</v>
      </c>
      <c r="AN523" s="203" t="inlineStr">
        <is>
          <t>Rental Building 2025-03</t>
        </is>
      </c>
      <c r="AO523" s="203" t="inlineStr">
        <is>
          <t>បានប្រកាសនិងបង់ពន្ធ</t>
        </is>
      </c>
    </row>
    <row r="524">
      <c r="A524" s="220">
        <f>A523+1</f>
        <v/>
      </c>
      <c r="B524" s="222" t="inlineStr">
        <is>
          <t>Rental Building for 04-2025</t>
        </is>
      </c>
      <c r="C524" s="222" t="inlineStr">
        <is>
          <t>HOLIDAY DESIGNS INTERNATIONAL Ltd.</t>
        </is>
      </c>
      <c r="D524" s="223" t="inlineStr">
        <is>
          <t>L001-901502196</t>
        </is>
      </c>
      <c r="E524" s="349" t="inlineStr">
        <is>
          <t>INT2501013</t>
        </is>
      </c>
      <c r="F524" s="332" t="n">
        <v>45777</v>
      </c>
      <c r="G524" s="224" t="n"/>
      <c r="H524" s="617" t="n"/>
      <c r="I524" s="617" t="n">
        <v>18422827</v>
      </c>
      <c r="J524" s="221" t="inlineStr">
        <is>
          <t>អនុញ្ញាត (បានប្រកាស)</t>
        </is>
      </c>
      <c r="K524" s="618" t="n"/>
      <c r="L524" s="616">
        <f>I524</f>
        <v/>
      </c>
      <c r="M524" s="588">
        <f>I524-L524</f>
        <v/>
      </c>
      <c r="N524" s="221" t="inlineStr">
        <is>
          <t>បានពិនិត្យវិក្កយបត្រ</t>
        </is>
      </c>
      <c r="O524" s="226">
        <f>U524=E524</f>
        <v/>
      </c>
      <c r="P524" s="226">
        <f>MONTH(F524)-MONTH(T524)</f>
        <v/>
      </c>
      <c r="Q524" s="226">
        <f>$B$5=X524</f>
        <v/>
      </c>
      <c r="R524" s="226">
        <f>I524-AD524</f>
        <v/>
      </c>
      <c r="S524" s="360" t="n"/>
      <c r="T524" s="361" t="n">
        <v>45777</v>
      </c>
      <c r="U524" s="360" t="inlineStr">
        <is>
          <t>INT2501013</t>
        </is>
      </c>
      <c r="V524" s="360" t="n">
        <v>0</v>
      </c>
      <c r="W524" s="360" t="inlineStr">
        <is>
          <t>បុគ្គលជាប់អាករ</t>
        </is>
      </c>
      <c r="X524" s="360" t="inlineStr">
        <is>
          <t>L001-901640009</t>
        </is>
      </c>
      <c r="Y524" s="360" t="inlineStr">
        <is>
          <t>ហូលីដេ ឌីហ្សាញ (ខេមបូឌា) ឯ.ក</t>
        </is>
      </c>
      <c r="Z524" s="362" t="n">
        <v>202651095</v>
      </c>
      <c r="AA524" s="362" t="n">
        <v>184228268</v>
      </c>
      <c r="AB524" s="360" t="n">
        <v>0</v>
      </c>
      <c r="AC524" s="360" t="inlineStr">
        <is>
          <t>-</t>
        </is>
      </c>
      <c r="AD524" s="362" t="n">
        <v>18422827</v>
      </c>
      <c r="AE524" s="360" t="n">
        <v>0</v>
      </c>
      <c r="AF524" s="615" t="n">
        <v>0</v>
      </c>
      <c r="AG524" s="203" t="n">
        <v>0</v>
      </c>
      <c r="AH524" s="203" t="n">
        <v>0</v>
      </c>
      <c r="AI524" s="203" t="n">
        <v>0</v>
      </c>
      <c r="AJ524" s="203" t="n">
        <v>0</v>
      </c>
      <c r="AK524" s="203" t="n">
        <v>0</v>
      </c>
      <c r="AL524" s="203" t="n">
        <v>0.01</v>
      </c>
      <c r="AM524" s="203" t="n">
        <v>0</v>
      </c>
      <c r="AN524" s="203" t="inlineStr">
        <is>
          <t>Rental Building 2025-04</t>
        </is>
      </c>
      <c r="AO524" s="203" t="inlineStr">
        <is>
          <t>បានប្រកាសនិងបង់ពន្ធ</t>
        </is>
      </c>
    </row>
    <row r="525">
      <c r="A525" s="220">
        <f>A524+1</f>
        <v/>
      </c>
      <c r="B525" s="222" t="inlineStr">
        <is>
          <t>Rental Building for 05-2025</t>
        </is>
      </c>
      <c r="C525" s="222" t="inlineStr">
        <is>
          <t>HOLIDAY DESIGNS INTERNATIONAL Ltd.</t>
        </is>
      </c>
      <c r="D525" s="223" t="inlineStr">
        <is>
          <t>L001-901502196</t>
        </is>
      </c>
      <c r="E525" s="349" t="inlineStr">
        <is>
          <t>INT2501017</t>
        </is>
      </c>
      <c r="F525" s="332" t="n">
        <v>45808</v>
      </c>
      <c r="G525" s="224" t="n"/>
      <c r="H525" s="617" t="n"/>
      <c r="I525" s="617" t="n">
        <v>18432031</v>
      </c>
      <c r="J525" s="221" t="inlineStr">
        <is>
          <t>អនុញ្ញាត (បានប្រកាស)</t>
        </is>
      </c>
      <c r="K525" s="618" t="n"/>
      <c r="L525" s="616">
        <f>I525</f>
        <v/>
      </c>
      <c r="M525" s="588">
        <f>I525-L525</f>
        <v/>
      </c>
      <c r="N525" s="221" t="inlineStr">
        <is>
          <t>បានពិនិត្យវិក្កយបត្រ</t>
        </is>
      </c>
      <c r="O525" s="226">
        <f>U525=E525</f>
        <v/>
      </c>
      <c r="P525" s="226">
        <f>MONTH(F525)-MONTH(T525)</f>
        <v/>
      </c>
      <c r="Q525" s="226">
        <f>$B$5=X525</f>
        <v/>
      </c>
      <c r="R525" s="226">
        <f>I525-AD525</f>
        <v/>
      </c>
      <c r="S525" s="360" t="n"/>
      <c r="T525" s="361" t="n">
        <v>45808</v>
      </c>
      <c r="U525" s="360" t="inlineStr">
        <is>
          <t>INT2501017</t>
        </is>
      </c>
      <c r="V525" s="360" t="n">
        <v>0</v>
      </c>
      <c r="W525" s="360" t="inlineStr">
        <is>
          <t>បុគ្គលជាប់អាករ</t>
        </is>
      </c>
      <c r="X525" s="360" t="inlineStr">
        <is>
          <t>L001-901640009</t>
        </is>
      </c>
      <c r="Y525" s="360" t="inlineStr">
        <is>
          <t>ហូលីដេ ឌីហ្សាញ (ខេមបូឌា) ឯ.ក</t>
        </is>
      </c>
      <c r="Z525" s="362" t="n">
        <v>202752344</v>
      </c>
      <c r="AA525" s="362" t="n">
        <v>184320313</v>
      </c>
      <c r="AB525" s="360" t="n">
        <v>0</v>
      </c>
      <c r="AC525" s="360" t="inlineStr">
        <is>
          <t>-</t>
        </is>
      </c>
      <c r="AD525" s="362" t="n">
        <v>18432031</v>
      </c>
      <c r="AE525" s="360" t="n">
        <v>0</v>
      </c>
      <c r="AF525" s="615" t="n">
        <v>0</v>
      </c>
      <c r="AG525" s="203" t="n">
        <v>0</v>
      </c>
      <c r="AH525" s="203" t="n">
        <v>0</v>
      </c>
      <c r="AI525" s="203" t="n">
        <v>0</v>
      </c>
      <c r="AJ525" s="203" t="n">
        <v>0</v>
      </c>
      <c r="AK525" s="203" t="n">
        <v>0</v>
      </c>
      <c r="AL525" s="203" t="n">
        <v>0.01</v>
      </c>
      <c r="AM525" s="203" t="n">
        <v>0</v>
      </c>
      <c r="AN525" s="203" t="inlineStr">
        <is>
          <t>Rental Building 2025-05</t>
        </is>
      </c>
      <c r="AO525" s="203" t="inlineStr">
        <is>
          <t>បានប្រកាសនិងបង់ពន្ធ</t>
        </is>
      </c>
    </row>
    <row r="526">
      <c r="A526" s="220">
        <f>A525+1</f>
        <v/>
      </c>
      <c r="B526" s="222" t="inlineStr">
        <is>
          <t>Terminal Handling Charge</t>
        </is>
      </c>
      <c r="C526" s="222" t="inlineStr">
        <is>
          <t>EVERGREEN SHIPPING SERVICES (CAMBODIA) CO., LTD.</t>
        </is>
      </c>
      <c r="D526" s="223" t="inlineStr">
        <is>
          <t>L001-901705421</t>
        </is>
      </c>
      <c r="E526" s="349" t="inlineStr">
        <is>
          <t>IY25005352</t>
        </is>
      </c>
      <c r="F526" s="332" t="n">
        <v>45777</v>
      </c>
      <c r="G526" s="224" t="n"/>
      <c r="H526" s="617" t="n"/>
      <c r="I526" s="617" t="n">
        <v>502377</v>
      </c>
      <c r="J526" s="221" t="inlineStr">
        <is>
          <t>អនុញ្ញាត (បានប្រកាស)</t>
        </is>
      </c>
      <c r="K526" s="618" t="n"/>
      <c r="L526" s="616">
        <f>I526</f>
        <v/>
      </c>
      <c r="M526" s="588">
        <f>I526-L526</f>
        <v/>
      </c>
      <c r="N526" s="221" t="n"/>
      <c r="O526" s="226">
        <f>U526=E526</f>
        <v/>
      </c>
      <c r="P526" s="226">
        <f>MONTH(F526)-MONTH(T526)</f>
        <v/>
      </c>
      <c r="Q526" s="226">
        <f>$B$5=X526</f>
        <v/>
      </c>
      <c r="R526" s="226">
        <f>I526-AD526</f>
        <v/>
      </c>
      <c r="S526" s="360" t="n"/>
      <c r="T526" s="361" t="n">
        <v>45777</v>
      </c>
      <c r="U526" s="360" t="inlineStr">
        <is>
          <t>IY25005352</t>
        </is>
      </c>
      <c r="V526" s="360" t="n"/>
      <c r="W526" s="360" t="inlineStr">
        <is>
          <t>បុគ្គលជាប់អាករ</t>
        </is>
      </c>
      <c r="X526" s="360" t="inlineStr">
        <is>
          <t>L001-901640009</t>
        </is>
      </c>
      <c r="Y526" s="360" t="inlineStr">
        <is>
          <t>ហូលីដេ ឌីហ្សាញ (ខេមបូឌា) ឯ.ក</t>
        </is>
      </c>
      <c r="Z526" s="362" t="n">
        <v>5526142</v>
      </c>
      <c r="AA526" s="362" t="n">
        <v>5023765</v>
      </c>
      <c r="AB526" s="360" t="n">
        <v>0</v>
      </c>
      <c r="AC526" s="360" t="inlineStr">
        <is>
          <t>-</t>
        </is>
      </c>
      <c r="AD526" s="362" t="n">
        <v>502377</v>
      </c>
      <c r="AE526" s="360" t="n">
        <v>0</v>
      </c>
      <c r="AF526" s="615" t="n">
        <v>0</v>
      </c>
      <c r="AG526" s="203" t="n">
        <v>0</v>
      </c>
      <c r="AH526" s="203" t="n">
        <v>0</v>
      </c>
      <c r="AI526" s="203" t="n">
        <v>0</v>
      </c>
      <c r="AJ526" s="203" t="n">
        <v>0</v>
      </c>
      <c r="AK526" s="203" t="n">
        <v>0</v>
      </c>
      <c r="AL526" s="203" t="n">
        <v>0.01</v>
      </c>
      <c r="AN526" s="203" t="inlineStr">
        <is>
          <t>THC, Doc fee….</t>
        </is>
      </c>
    </row>
    <row r="527">
      <c r="A527" s="220">
        <f>A526+1</f>
        <v/>
      </c>
      <c r="B527" s="222" t="inlineStr">
        <is>
          <t>Lift-On &amp; Lift-On-Im</t>
        </is>
      </c>
      <c r="C527" s="222" t="inlineStr">
        <is>
          <t>Port Autonome Du Sihanoukville</t>
        </is>
      </c>
      <c r="D527" s="223" t="inlineStr">
        <is>
          <t>L001-100044638</t>
        </is>
      </c>
      <c r="E527" s="349" t="n">
        <v>202500100313</v>
      </c>
      <c r="F527" s="332" t="n">
        <v>45780</v>
      </c>
      <c r="G527" s="224" t="n"/>
      <c r="H527" s="617" t="n"/>
      <c r="I527" s="617" t="n">
        <v>174087</v>
      </c>
      <c r="J527" s="221" t="inlineStr">
        <is>
          <t>អនុញ្ញាត (បានប្រកាស)</t>
        </is>
      </c>
      <c r="K527" s="618" t="n"/>
      <c r="L527" s="616">
        <f>I527</f>
        <v/>
      </c>
      <c r="M527" s="588">
        <f>I527-L527</f>
        <v/>
      </c>
      <c r="N527" s="221" t="n"/>
      <c r="O527" s="226">
        <f>U527=E527</f>
        <v/>
      </c>
      <c r="P527" s="226">
        <f>MONTH(F527)-MONTH(T527)</f>
        <v/>
      </c>
      <c r="Q527" s="226">
        <f>$B$5=X527</f>
        <v/>
      </c>
      <c r="R527" s="226">
        <f>I527-AD527</f>
        <v/>
      </c>
      <c r="S527" s="360" t="n"/>
      <c r="T527" s="361" t="n">
        <v>45780</v>
      </c>
      <c r="U527" s="360" t="n">
        <v>202500100313</v>
      </c>
      <c r="V527" s="360" t="n"/>
      <c r="W527" s="360" t="inlineStr">
        <is>
          <t>បុគ្គលជាប់អាករ</t>
        </is>
      </c>
      <c r="X527" s="360" t="inlineStr">
        <is>
          <t>L001-901640009</t>
        </is>
      </c>
      <c r="Y527" s="360" t="inlineStr">
        <is>
          <t>ហូលីដេ ឌីហ្សាញ (ខេមបូឌា) ឯ.ក</t>
        </is>
      </c>
      <c r="Z527" s="362" t="n">
        <v>1914957</v>
      </c>
      <c r="AA527" s="362" t="n">
        <v>1740870</v>
      </c>
      <c r="AB527" s="360" t="n">
        <v>0</v>
      </c>
      <c r="AC527" s="360" t="inlineStr">
        <is>
          <t>-</t>
        </is>
      </c>
      <c r="AD527" s="362" t="n">
        <v>174087</v>
      </c>
      <c r="AE527" s="360" t="n"/>
      <c r="AF527" s="615" t="n"/>
    </row>
    <row r="528">
      <c r="A528" s="220">
        <f>A527+1</f>
        <v/>
      </c>
      <c r="B528" s="222" t="inlineStr">
        <is>
          <t>Lift-Off-Ex</t>
        </is>
      </c>
      <c r="C528" s="222" t="inlineStr">
        <is>
          <t>PHNOM PENH AUTONOMOUS PORT "PPAP"</t>
        </is>
      </c>
      <c r="D528" s="223" t="inlineStr">
        <is>
          <t>L001-100044999</t>
        </is>
      </c>
      <c r="E528" s="349" t="inlineStr">
        <is>
          <t>INV20250539151</t>
        </is>
      </c>
      <c r="F528" s="332" t="n">
        <v>45796</v>
      </c>
      <c r="G528" s="224" t="n"/>
      <c r="H528" s="617" t="n"/>
      <c r="I528" s="617" t="n">
        <v>252126</v>
      </c>
      <c r="J528" s="221" t="inlineStr">
        <is>
          <t>អនុញ្ញាត (បានប្រកាស)</t>
        </is>
      </c>
      <c r="K528" s="618" t="n"/>
      <c r="L528" s="616">
        <f>I528</f>
        <v/>
      </c>
      <c r="M528" s="588">
        <f>I528-L528</f>
        <v/>
      </c>
      <c r="N528" s="221" t="n"/>
      <c r="O528" s="226">
        <f>U528=E528</f>
        <v/>
      </c>
      <c r="P528" s="226">
        <f>MONTH(F528)-MONTH(T528)</f>
        <v/>
      </c>
      <c r="Q528" s="226">
        <f>$B$5=X528</f>
        <v/>
      </c>
      <c r="R528" s="226">
        <f>I528-AD528</f>
        <v/>
      </c>
      <c r="S528" s="360" t="n"/>
      <c r="T528" s="361" t="n">
        <v>45796</v>
      </c>
      <c r="U528" s="360" t="inlineStr">
        <is>
          <t>INV20250539151</t>
        </is>
      </c>
      <c r="V528" s="360" t="n">
        <v>0</v>
      </c>
      <c r="W528" s="360" t="inlineStr">
        <is>
          <t>បុគ្គលជាប់អាករ</t>
        </is>
      </c>
      <c r="X528" s="360" t="inlineStr">
        <is>
          <t>L001-901640009</t>
        </is>
      </c>
      <c r="Y528" s="360" t="inlineStr">
        <is>
          <t>ហូលីដេ ឌីហ្សាញ (ខេមបូឌា) ឯ.ក</t>
        </is>
      </c>
      <c r="Z528" s="362" t="n">
        <v>2773386</v>
      </c>
      <c r="AA528" s="362" t="n">
        <v>2521260</v>
      </c>
      <c r="AB528" s="360" t="n">
        <v>0</v>
      </c>
      <c r="AC528" s="360" t="inlineStr">
        <is>
          <t>-</t>
        </is>
      </c>
      <c r="AD528" s="362" t="n">
        <v>252126</v>
      </c>
      <c r="AE528" s="360" t="n">
        <v>0</v>
      </c>
      <c r="AF528" s="615" t="n">
        <v>0</v>
      </c>
      <c r="AG528" s="203" t="n">
        <v>0</v>
      </c>
      <c r="AH528" s="203" t="n">
        <v>0</v>
      </c>
      <c r="AI528" s="203" t="n">
        <v>0</v>
      </c>
      <c r="AJ528" s="203" t="n">
        <v>0</v>
      </c>
      <c r="AK528" s="203" t="n">
        <v>0</v>
      </c>
      <c r="AL528" s="203" t="n">
        <v>0.01</v>
      </c>
      <c r="AM528" s="203" t="n">
        <v>0</v>
      </c>
      <c r="AN528" s="203" t="inlineStr">
        <is>
          <t>ចំណូលពីសេវាកម្ម (លើកដាក់ទំនិញ)</t>
        </is>
      </c>
    </row>
    <row r="529">
      <c r="A529" s="220">
        <f>A528+1</f>
        <v/>
      </c>
      <c r="B529" s="222" t="inlineStr">
        <is>
          <t>Trucking &amp; Clearance-Ex</t>
        </is>
      </c>
      <c r="C529" s="222" t="inlineStr">
        <is>
          <t>BRILLIANT TRANSPORT AND TRADING Co., Ltd.</t>
        </is>
      </c>
      <c r="D529" s="223" t="inlineStr">
        <is>
          <t>K002-100089305</t>
        </is>
      </c>
      <c r="E529" s="349" t="inlineStr">
        <is>
          <t>BTT25-0001154</t>
        </is>
      </c>
      <c r="F529" s="332" t="n">
        <v>45806</v>
      </c>
      <c r="G529" s="224" t="n"/>
      <c r="H529" s="617" t="n"/>
      <c r="I529" s="617" t="n">
        <v>1830629</v>
      </c>
      <c r="J529" s="221" t="inlineStr">
        <is>
          <t>អនុញ្ញាត (បានប្រកាស)</t>
        </is>
      </c>
      <c r="K529" s="618" t="n"/>
      <c r="L529" s="616">
        <f>I529</f>
        <v/>
      </c>
      <c r="M529" s="588">
        <f>I529-L529</f>
        <v/>
      </c>
      <c r="N529" s="221" t="n"/>
      <c r="O529" s="226">
        <f>U529=E529</f>
        <v/>
      </c>
      <c r="P529" s="226">
        <f>MONTH(F529)-MONTH(T529)</f>
        <v/>
      </c>
      <c r="Q529" s="226">
        <f>$B$5=X529</f>
        <v/>
      </c>
      <c r="R529" s="226">
        <f>I529-AD529</f>
        <v/>
      </c>
      <c r="S529" s="360" t="n"/>
      <c r="T529" s="361" t="n">
        <v>45806</v>
      </c>
      <c r="U529" s="360" t="inlineStr">
        <is>
          <t>BTT25-0001154</t>
        </is>
      </c>
      <c r="V529" s="360" t="n"/>
      <c r="W529" s="360" t="n"/>
      <c r="X529" s="360" t="n"/>
      <c r="Y529" s="360" t="inlineStr">
        <is>
          <t>ហូលីដេ ឌីហ្សាញ (ខេមបូឌា) ឯ.ក</t>
        </is>
      </c>
      <c r="Z529" s="362" t="n"/>
      <c r="AA529" s="362" t="n"/>
      <c r="AB529" s="360" t="n"/>
      <c r="AC529" s="360" t="n"/>
      <c r="AD529" s="362" t="n">
        <v>1830629</v>
      </c>
      <c r="AE529" s="360" t="n"/>
      <c r="AF529" s="615" t="n"/>
      <c r="AN529" s="203" t="inlineStr">
        <is>
          <t>Truking / Service</t>
        </is>
      </c>
    </row>
    <row r="530">
      <c r="A530" s="220">
        <f>A529+1</f>
        <v/>
      </c>
      <c r="B530" s="222" t="inlineStr">
        <is>
          <t>Lift-Off-Ex</t>
        </is>
      </c>
      <c r="C530" s="222" t="inlineStr">
        <is>
          <t>Port Autonome Du Sihanoukville</t>
        </is>
      </c>
      <c r="D530" s="223" t="inlineStr">
        <is>
          <t>L001-100044638</t>
        </is>
      </c>
      <c r="E530" s="349" t="n">
        <v>202500105838</v>
      </c>
      <c r="F530" s="332" t="n">
        <v>45785</v>
      </c>
      <c r="G530" s="224" t="n"/>
      <c r="H530" s="617" t="n"/>
      <c r="I530" s="617" t="n">
        <v>15215</v>
      </c>
      <c r="J530" s="221" t="inlineStr">
        <is>
          <t>អនុញ្ញាត (បានប្រកាស)</t>
        </is>
      </c>
      <c r="K530" s="618" t="n"/>
      <c r="L530" s="616">
        <f>I530</f>
        <v/>
      </c>
      <c r="M530" s="588">
        <f>I530-L530</f>
        <v/>
      </c>
      <c r="N530" s="221" t="n"/>
      <c r="O530" s="226">
        <f>U530=E530</f>
        <v/>
      </c>
      <c r="P530" s="226">
        <f>MONTH(F530)-MONTH(T530)</f>
        <v/>
      </c>
      <c r="Q530" s="226">
        <f>$B$5=X530</f>
        <v/>
      </c>
      <c r="R530" s="226">
        <f>I530-AD530</f>
        <v/>
      </c>
      <c r="S530" s="360" t="n"/>
      <c r="T530" s="361" t="n">
        <v>45785</v>
      </c>
      <c r="U530" s="360" t="n">
        <v>202500105838</v>
      </c>
      <c r="V530" s="360" t="n"/>
      <c r="W530" s="360" t="inlineStr">
        <is>
          <t>បុគ្គលជាប់អាករ</t>
        </is>
      </c>
      <c r="X530" s="360" t="inlineStr">
        <is>
          <t>L001-901640009</t>
        </is>
      </c>
      <c r="Y530" s="360" t="inlineStr">
        <is>
          <t>ហូលីដេ ឌីហ្សាញ (ខេមបូឌា) ឯ.ក</t>
        </is>
      </c>
      <c r="Z530" s="362" t="n">
        <v>167367</v>
      </c>
      <c r="AA530" s="362" t="n">
        <v>152152</v>
      </c>
      <c r="AB530" s="360" t="n">
        <v>0</v>
      </c>
      <c r="AC530" s="360" t="inlineStr">
        <is>
          <t>-</t>
        </is>
      </c>
      <c r="AD530" s="362" t="n">
        <v>15215</v>
      </c>
      <c r="AE530" s="360" t="n"/>
      <c r="AF530" s="615" t="n"/>
    </row>
    <row r="531">
      <c r="A531" s="220">
        <f>A530+1</f>
        <v/>
      </c>
      <c r="B531" s="222" t="inlineStr">
        <is>
          <t>Lift-Off-Ex</t>
        </is>
      </c>
      <c r="C531" s="222" t="inlineStr">
        <is>
          <t>PHNOM PENH AUTONOMOUS PORT "PPAP"</t>
        </is>
      </c>
      <c r="D531" s="223" t="inlineStr">
        <is>
          <t>L001-100044999</t>
        </is>
      </c>
      <c r="E531" s="349" t="inlineStr">
        <is>
          <t>INV20250539582</t>
        </is>
      </c>
      <c r="F531" s="332" t="n">
        <v>45797</v>
      </c>
      <c r="G531" s="224" t="n"/>
      <c r="H531" s="617" t="n"/>
      <c r="I531" s="617" t="n">
        <v>28021</v>
      </c>
      <c r="J531" s="221" t="inlineStr">
        <is>
          <t>អនុញ្ញាត (បានប្រកាស)</t>
        </is>
      </c>
      <c r="K531" s="618">
        <f>L531</f>
        <v/>
      </c>
      <c r="L531" s="616">
        <f>AD531</f>
        <v/>
      </c>
      <c r="M531" s="588">
        <f>I531-L531</f>
        <v/>
      </c>
      <c r="N531" s="221" t="n"/>
      <c r="O531" s="226">
        <f>U531=E531</f>
        <v/>
      </c>
      <c r="P531" s="226">
        <f>MONTH(F531)-MONTH(T531)</f>
        <v/>
      </c>
      <c r="Q531" s="226">
        <f>$B$5=X531</f>
        <v/>
      </c>
      <c r="R531" s="226">
        <f>I531-AD531</f>
        <v/>
      </c>
      <c r="S531" s="360" t="n"/>
      <c r="T531" s="361" t="n">
        <v>45797</v>
      </c>
      <c r="U531" s="360" t="inlineStr">
        <is>
          <t>INV20250539582</t>
        </is>
      </c>
      <c r="V531" s="360" t="n">
        <v>0</v>
      </c>
      <c r="W531" s="360" t="inlineStr">
        <is>
          <t>បុគ្គលជាប់អាករ</t>
        </is>
      </c>
      <c r="X531" s="360" t="inlineStr">
        <is>
          <t>L001-901640009</t>
        </is>
      </c>
      <c r="Y531" s="360" t="inlineStr">
        <is>
          <t>ហូលីដេ ឌីហ្សាញ (ខេមបូឌា) ឯ.ក</t>
        </is>
      </c>
      <c r="Z531" s="362" t="n">
        <v>308154</v>
      </c>
      <c r="AA531" s="362" t="n">
        <v>280140</v>
      </c>
      <c r="AB531" s="360" t="n">
        <v>0</v>
      </c>
      <c r="AC531" s="360" t="inlineStr">
        <is>
          <t>-</t>
        </is>
      </c>
      <c r="AD531" s="362" t="n">
        <v>28014</v>
      </c>
      <c r="AE531" s="360" t="n">
        <v>0</v>
      </c>
      <c r="AF531" s="615" t="n">
        <v>0</v>
      </c>
      <c r="AG531" s="203" t="n">
        <v>0</v>
      </c>
      <c r="AH531" s="203" t="n">
        <v>0</v>
      </c>
      <c r="AI531" s="203" t="n">
        <v>0</v>
      </c>
      <c r="AJ531" s="203" t="n">
        <v>0</v>
      </c>
      <c r="AK531" s="203" t="n">
        <v>0</v>
      </c>
      <c r="AL531" s="203" t="n">
        <v>0.01</v>
      </c>
      <c r="AM531" s="203" t="n">
        <v>0</v>
      </c>
      <c r="AN531" s="203" t="inlineStr">
        <is>
          <t>ចំណូលពីសេវាកម្ម (លើកដាក់ទំនិញ)</t>
        </is>
      </c>
    </row>
    <row r="532">
      <c r="A532" s="220">
        <f>A531+1</f>
        <v/>
      </c>
      <c r="B532" s="222" t="inlineStr">
        <is>
          <t>Trucking &amp; Clearance-Ex</t>
        </is>
      </c>
      <c r="C532" s="222" t="inlineStr">
        <is>
          <t>BRILLIANT TRANSPORT AND TRADING Co., Ltd.</t>
        </is>
      </c>
      <c r="D532" s="223" t="inlineStr">
        <is>
          <t>K002-100089305</t>
        </is>
      </c>
      <c r="E532" s="349" t="inlineStr">
        <is>
          <t>BTT25-0001014</t>
        </is>
      </c>
      <c r="F532" s="332" t="n">
        <v>45793</v>
      </c>
      <c r="G532" s="224" t="n"/>
      <c r="H532" s="617" t="n"/>
      <c r="I532" s="617" t="n">
        <v>203302</v>
      </c>
      <c r="J532" s="221" t="inlineStr">
        <is>
          <t>អនុញ្ញាត (បានប្រកាស)</t>
        </is>
      </c>
      <c r="K532" s="618" t="n"/>
      <c r="L532" s="616">
        <f>I532</f>
        <v/>
      </c>
      <c r="M532" s="588">
        <f>I532-L532</f>
        <v/>
      </c>
      <c r="N532" s="221" t="n"/>
      <c r="O532" s="226">
        <f>U532=E532</f>
        <v/>
      </c>
      <c r="P532" s="226">
        <f>MONTH(F532)-MONTH(T532)</f>
        <v/>
      </c>
      <c r="Q532" s="226">
        <f>$B$5=X532</f>
        <v/>
      </c>
      <c r="R532" s="226">
        <f>I532-AD532</f>
        <v/>
      </c>
      <c r="S532" s="360" t="n"/>
      <c r="T532" s="361" t="n">
        <v>45793</v>
      </c>
      <c r="U532" s="360" t="inlineStr">
        <is>
          <t>BTT25-0001014</t>
        </is>
      </c>
      <c r="V532" s="360" t="n"/>
      <c r="W532" s="360" t="n"/>
      <c r="X532" s="360" t="n"/>
      <c r="Y532" s="360" t="inlineStr">
        <is>
          <t>ហូលីដេ ឌីហ្សាញ (ខេមបូឌា) ឯ.ក</t>
        </is>
      </c>
      <c r="Z532" s="362" t="n"/>
      <c r="AA532" s="362" t="n"/>
      <c r="AB532" s="360" t="n"/>
      <c r="AC532" s="360" t="n"/>
      <c r="AD532" s="362" t="n">
        <v>203302</v>
      </c>
      <c r="AE532" s="360" t="n"/>
      <c r="AF532" s="615" t="n"/>
      <c r="AN532" s="203" t="inlineStr">
        <is>
          <t>Truking / Service</t>
        </is>
      </c>
    </row>
    <row r="533">
      <c r="A533" s="220">
        <f>A532+1</f>
        <v/>
      </c>
      <c r="B533" s="222" t="inlineStr">
        <is>
          <t>Lift-Off-Ex</t>
        </is>
      </c>
      <c r="C533" s="222" t="inlineStr">
        <is>
          <t>PHNOM PENH AUTONOMOUS PORT "PPAP"</t>
        </is>
      </c>
      <c r="D533" s="223" t="inlineStr">
        <is>
          <t>L001-100044999</t>
        </is>
      </c>
      <c r="E533" s="349" t="inlineStr">
        <is>
          <t>INV20250539573</t>
        </is>
      </c>
      <c r="F533" s="332" t="n">
        <v>45797</v>
      </c>
      <c r="G533" s="224" t="n"/>
      <c r="H533" s="617" t="n"/>
      <c r="I533" s="617" t="n">
        <v>56042</v>
      </c>
      <c r="J533" s="221" t="inlineStr">
        <is>
          <t>អនុញ្ញាត (បានប្រកាស)</t>
        </is>
      </c>
      <c r="K533" s="618">
        <f>L533</f>
        <v/>
      </c>
      <c r="L533" s="616">
        <f>AD533</f>
        <v/>
      </c>
      <c r="M533" s="588">
        <f>I533-L533</f>
        <v/>
      </c>
      <c r="N533" s="221" t="n"/>
      <c r="O533" s="226">
        <f>U533=E533</f>
        <v/>
      </c>
      <c r="P533" s="226">
        <f>MONTH(F533)-MONTH(T533)</f>
        <v/>
      </c>
      <c r="Q533" s="226">
        <f>$B$5=X533</f>
        <v/>
      </c>
      <c r="R533" s="226">
        <f>I533-AD533</f>
        <v/>
      </c>
      <c r="S533" s="360" t="n"/>
      <c r="T533" s="361" t="n">
        <v>45797</v>
      </c>
      <c r="U533" s="360" t="inlineStr">
        <is>
          <t>INV20250539573</t>
        </is>
      </c>
      <c r="V533" s="360" t="n">
        <v>0</v>
      </c>
      <c r="W533" s="360" t="inlineStr">
        <is>
          <t>បុគ្គលជាប់អាករ</t>
        </is>
      </c>
      <c r="X533" s="360" t="inlineStr">
        <is>
          <t>L001-901640009</t>
        </is>
      </c>
      <c r="Y533" s="360" t="inlineStr">
        <is>
          <t>ហូលីដេ ឌីហ្សាញ (ខេមបូឌា) ឯ.ក</t>
        </is>
      </c>
      <c r="Z533" s="362" t="n">
        <v>616308</v>
      </c>
      <c r="AA533" s="362" t="n">
        <v>560280</v>
      </c>
      <c r="AB533" s="360" t="n">
        <v>0</v>
      </c>
      <c r="AC533" s="360" t="inlineStr">
        <is>
          <t>-</t>
        </is>
      </c>
      <c r="AD533" s="362" t="n">
        <v>56028</v>
      </c>
      <c r="AE533" s="360" t="n">
        <v>0</v>
      </c>
      <c r="AF533" s="615" t="n">
        <v>0</v>
      </c>
      <c r="AG533" s="203" t="n">
        <v>0</v>
      </c>
      <c r="AH533" s="203" t="n">
        <v>0</v>
      </c>
      <c r="AI533" s="203" t="n">
        <v>0</v>
      </c>
      <c r="AJ533" s="203" t="n">
        <v>0</v>
      </c>
      <c r="AK533" s="203" t="n">
        <v>0</v>
      </c>
      <c r="AL533" s="203" t="n">
        <v>0.01</v>
      </c>
      <c r="AM533" s="203" t="n">
        <v>0</v>
      </c>
      <c r="AN533" s="203" t="inlineStr">
        <is>
          <t>ចំណូលពីសេវាកម្ម (លើកដាក់ទំនិញ)</t>
        </is>
      </c>
    </row>
    <row r="534">
      <c r="A534" s="220">
        <f>A533+1</f>
        <v/>
      </c>
      <c r="B534" s="222" t="inlineStr">
        <is>
          <t>Trucking &amp; Clearance-Ex</t>
        </is>
      </c>
      <c r="C534" s="222" t="inlineStr">
        <is>
          <t>BRILLIANT TRANSPORT AND TRADING Co., Ltd.</t>
        </is>
      </c>
      <c r="D534" s="223" t="inlineStr">
        <is>
          <t>K002-100089305</t>
        </is>
      </c>
      <c r="E534" s="349" t="inlineStr">
        <is>
          <t>BTT25-0001012</t>
        </is>
      </c>
      <c r="F534" s="332" t="n">
        <v>45793</v>
      </c>
      <c r="G534" s="224" t="n"/>
      <c r="H534" s="617" t="n"/>
      <c r="I534" s="617" t="n">
        <v>406603</v>
      </c>
      <c r="J534" s="221" t="inlineStr">
        <is>
          <t>អនុញ្ញាត (បានប្រកាស)</t>
        </is>
      </c>
      <c r="K534" s="618" t="n"/>
      <c r="L534" s="616">
        <f>I534</f>
        <v/>
      </c>
      <c r="M534" s="588">
        <f>I534-L534</f>
        <v/>
      </c>
      <c r="N534" s="221" t="n"/>
      <c r="O534" s="226">
        <f>U534=E534</f>
        <v/>
      </c>
      <c r="P534" s="226">
        <f>MONTH(F534)-MONTH(T534)</f>
        <v/>
      </c>
      <c r="Q534" s="226">
        <f>$B$5=X534</f>
        <v/>
      </c>
      <c r="R534" s="226">
        <f>I534-AD534</f>
        <v/>
      </c>
      <c r="S534" s="360" t="n"/>
      <c r="T534" s="361" t="n">
        <v>45793</v>
      </c>
      <c r="U534" s="360" t="inlineStr">
        <is>
          <t>BTT25-0001012</t>
        </is>
      </c>
      <c r="V534" s="360" t="n"/>
      <c r="W534" s="360" t="n"/>
      <c r="X534" s="360" t="n"/>
      <c r="Y534" s="360" t="inlineStr">
        <is>
          <t>ហូលីដេ ឌីហ្សាញ (ខេមបូឌា) ឯ.ក</t>
        </is>
      </c>
      <c r="Z534" s="362" t="n"/>
      <c r="AA534" s="362" t="n"/>
      <c r="AB534" s="360" t="n"/>
      <c r="AC534" s="360" t="n"/>
      <c r="AD534" s="362" t="n">
        <v>406603</v>
      </c>
      <c r="AE534" s="360" t="n"/>
      <c r="AF534" s="615" t="n"/>
      <c r="AN534" s="203" t="inlineStr">
        <is>
          <t>Truking / Service</t>
        </is>
      </c>
    </row>
    <row r="535">
      <c r="A535" s="220">
        <f>A534+1</f>
        <v/>
      </c>
      <c r="B535" s="222" t="inlineStr">
        <is>
          <t>Lift-Off-Ex</t>
        </is>
      </c>
      <c r="C535" s="222" t="inlineStr">
        <is>
          <t>PHNOM PENH AUTONOMOUS PORT "PPAP"</t>
        </is>
      </c>
      <c r="D535" s="223" t="inlineStr">
        <is>
          <t>L001-100044999</t>
        </is>
      </c>
      <c r="E535" s="349" t="inlineStr">
        <is>
          <t>INV20250539574</t>
        </is>
      </c>
      <c r="F535" s="332" t="n">
        <v>45797</v>
      </c>
      <c r="G535" s="224" t="n"/>
      <c r="H535" s="617" t="n"/>
      <c r="I535" s="617" t="n">
        <v>56042</v>
      </c>
      <c r="J535" s="221" t="inlineStr">
        <is>
          <t>អនុញ្ញាត (បានប្រកាស)</t>
        </is>
      </c>
      <c r="K535" s="618">
        <f>L535</f>
        <v/>
      </c>
      <c r="L535" s="616">
        <f>AD535</f>
        <v/>
      </c>
      <c r="M535" s="588">
        <f>I535-L535</f>
        <v/>
      </c>
      <c r="N535" s="221" t="n"/>
      <c r="O535" s="226">
        <f>U535=E535</f>
        <v/>
      </c>
      <c r="P535" s="226">
        <f>MONTH(F535)-MONTH(T535)</f>
        <v/>
      </c>
      <c r="Q535" s="226">
        <f>$B$5=X535</f>
        <v/>
      </c>
      <c r="R535" s="226">
        <f>I535-AD535</f>
        <v/>
      </c>
      <c r="S535" s="360" t="n"/>
      <c r="T535" s="361" t="n">
        <v>45797</v>
      </c>
      <c r="U535" s="360" t="inlineStr">
        <is>
          <t>INV20250539574</t>
        </is>
      </c>
      <c r="V535" s="360" t="n">
        <v>0</v>
      </c>
      <c r="W535" s="360" t="inlineStr">
        <is>
          <t>បុគ្គលជាប់អាករ</t>
        </is>
      </c>
      <c r="X535" s="360" t="inlineStr">
        <is>
          <t>L001-901640009</t>
        </is>
      </c>
      <c r="Y535" s="360" t="inlineStr">
        <is>
          <t>ហូលីដេ ឌីហ្សាញ (ខេមបូឌា) ឯ.ក</t>
        </is>
      </c>
      <c r="Z535" s="362" t="n">
        <v>616308</v>
      </c>
      <c r="AA535" s="362" t="n">
        <v>560280</v>
      </c>
      <c r="AB535" s="360" t="n">
        <v>0</v>
      </c>
      <c r="AC535" s="360" t="inlineStr">
        <is>
          <t>-</t>
        </is>
      </c>
      <c r="AD535" s="362" t="n">
        <v>56028</v>
      </c>
      <c r="AE535" s="360" t="n">
        <v>0</v>
      </c>
      <c r="AF535" s="615" t="n">
        <v>0</v>
      </c>
      <c r="AG535" s="203" t="n">
        <v>0</v>
      </c>
      <c r="AH535" s="203" t="n">
        <v>0</v>
      </c>
      <c r="AI535" s="203" t="n">
        <v>0</v>
      </c>
      <c r="AJ535" s="203" t="n">
        <v>0</v>
      </c>
      <c r="AK535" s="203" t="n">
        <v>0</v>
      </c>
      <c r="AL535" s="203" t="n">
        <v>0.01</v>
      </c>
      <c r="AM535" s="203" t="n">
        <v>0</v>
      </c>
      <c r="AN535" s="203" t="inlineStr">
        <is>
          <t>ចំណូលពីសេវាកម្ម (លើកដាក់ទំនិញ)</t>
        </is>
      </c>
    </row>
    <row r="536">
      <c r="A536" s="220">
        <f>A535+1</f>
        <v/>
      </c>
      <c r="B536" s="222" t="inlineStr">
        <is>
          <t>Trucking &amp; Clearance-Ex</t>
        </is>
      </c>
      <c r="C536" s="222" t="inlineStr">
        <is>
          <t>BRILLIANT TRANSPORT AND TRADING Co., Ltd.</t>
        </is>
      </c>
      <c r="D536" s="223" t="inlineStr">
        <is>
          <t>K002-100089305</t>
        </is>
      </c>
      <c r="E536" s="349" t="inlineStr">
        <is>
          <t>BTT25-0001010</t>
        </is>
      </c>
      <c r="F536" s="332" t="n">
        <v>45793</v>
      </c>
      <c r="G536" s="224" t="n"/>
      <c r="H536" s="617" t="n"/>
      <c r="I536" s="617" t="n">
        <v>406603</v>
      </c>
      <c r="J536" s="221" t="inlineStr">
        <is>
          <t>អនុញ្ញាត (បានប្រកាស)</t>
        </is>
      </c>
      <c r="K536" s="618" t="n"/>
      <c r="L536" s="616">
        <f>I536</f>
        <v/>
      </c>
      <c r="M536" s="588">
        <f>I536-L536</f>
        <v/>
      </c>
      <c r="N536" s="221" t="n"/>
      <c r="O536" s="226">
        <f>U536=E536</f>
        <v/>
      </c>
      <c r="P536" s="226">
        <f>MONTH(F536)-MONTH(T536)</f>
        <v/>
      </c>
      <c r="Q536" s="226">
        <f>$B$5=X536</f>
        <v/>
      </c>
      <c r="R536" s="226">
        <f>I536-AD536</f>
        <v/>
      </c>
      <c r="S536" s="360" t="n"/>
      <c r="T536" s="361" t="n">
        <v>45793</v>
      </c>
      <c r="U536" s="360" t="inlineStr">
        <is>
          <t>BTT25-0001010</t>
        </is>
      </c>
      <c r="V536" s="360" t="n"/>
      <c r="W536" s="360" t="n"/>
      <c r="X536" s="360" t="n"/>
      <c r="Y536" s="360" t="inlineStr">
        <is>
          <t>ហូលីដេ ឌីហ្សាញ (ខេមបូឌា) ឯ.ក</t>
        </is>
      </c>
      <c r="Z536" s="362" t="n"/>
      <c r="AA536" s="362" t="n"/>
      <c r="AB536" s="360" t="n"/>
      <c r="AC536" s="360" t="n"/>
      <c r="AD536" s="362" t="n">
        <v>406603</v>
      </c>
      <c r="AE536" s="360" t="n"/>
      <c r="AF536" s="615" t="n"/>
      <c r="AN536" s="203" t="inlineStr">
        <is>
          <t>Truking / Service</t>
        </is>
      </c>
    </row>
    <row r="537">
      <c r="A537" s="220">
        <f>A536+1</f>
        <v/>
      </c>
      <c r="B537" s="222" t="inlineStr">
        <is>
          <t>Lift-Off-Ex</t>
        </is>
      </c>
      <c r="C537" s="222" t="inlineStr">
        <is>
          <t>PHNOM PENH AUTONOMOUS PORT "PPAP"</t>
        </is>
      </c>
      <c r="D537" s="223" t="inlineStr">
        <is>
          <t>L001-100044999</t>
        </is>
      </c>
      <c r="E537" s="349" t="inlineStr">
        <is>
          <t>INV20250539575</t>
        </is>
      </c>
      <c r="F537" s="332" t="n">
        <v>45797</v>
      </c>
      <c r="G537" s="224" t="n"/>
      <c r="H537" s="617" t="n"/>
      <c r="I537" s="617" t="n">
        <v>56042</v>
      </c>
      <c r="J537" s="221" t="inlineStr">
        <is>
          <t>អនុញ្ញាត (បានប្រកាស)</t>
        </is>
      </c>
      <c r="K537" s="618">
        <f>L537</f>
        <v/>
      </c>
      <c r="L537" s="616">
        <f>AD537</f>
        <v/>
      </c>
      <c r="M537" s="588">
        <f>I537-L537</f>
        <v/>
      </c>
      <c r="N537" s="221" t="n"/>
      <c r="O537" s="226">
        <f>U537=E537</f>
        <v/>
      </c>
      <c r="P537" s="226">
        <f>MONTH(F537)-MONTH(T537)</f>
        <v/>
      </c>
      <c r="Q537" s="226">
        <f>$B$5=X537</f>
        <v/>
      </c>
      <c r="R537" s="226">
        <f>I537-AD537</f>
        <v/>
      </c>
      <c r="S537" s="360" t="n"/>
      <c r="T537" s="361" t="n">
        <v>45797</v>
      </c>
      <c r="U537" s="360" t="inlineStr">
        <is>
          <t>INV20250539575</t>
        </is>
      </c>
      <c r="V537" s="360" t="n">
        <v>0</v>
      </c>
      <c r="W537" s="360" t="inlineStr">
        <is>
          <t>បុគ្គលជាប់អាករ</t>
        </is>
      </c>
      <c r="X537" s="360" t="inlineStr">
        <is>
          <t>L001-901640009</t>
        </is>
      </c>
      <c r="Y537" s="360" t="inlineStr">
        <is>
          <t>ហូលីដេ ឌីហ្សាញ (ខេមបូឌា) ឯ.ក</t>
        </is>
      </c>
      <c r="Z537" s="362" t="n">
        <v>616308</v>
      </c>
      <c r="AA537" s="362" t="n">
        <v>560280</v>
      </c>
      <c r="AB537" s="360" t="n">
        <v>0</v>
      </c>
      <c r="AC537" s="360" t="inlineStr">
        <is>
          <t>-</t>
        </is>
      </c>
      <c r="AD537" s="362" t="n">
        <v>56028</v>
      </c>
      <c r="AE537" s="360" t="n">
        <v>0</v>
      </c>
      <c r="AF537" s="615" t="n">
        <v>0</v>
      </c>
      <c r="AG537" s="203" t="n">
        <v>0</v>
      </c>
      <c r="AH537" s="203" t="n">
        <v>0</v>
      </c>
      <c r="AI537" s="203" t="n">
        <v>0</v>
      </c>
      <c r="AJ537" s="203" t="n">
        <v>0</v>
      </c>
      <c r="AK537" s="203" t="n">
        <v>0</v>
      </c>
      <c r="AL537" s="203" t="n">
        <v>0.01</v>
      </c>
      <c r="AM537" s="203" t="n">
        <v>0</v>
      </c>
      <c r="AN537" s="203" t="inlineStr">
        <is>
          <t>ចំណូលពីសេវាកម្ម (លើកដាក់ទំនិញ)</t>
        </is>
      </c>
    </row>
    <row r="538">
      <c r="A538" s="220">
        <f>A537+1</f>
        <v/>
      </c>
      <c r="B538" s="222" t="inlineStr">
        <is>
          <t>Trucking &amp; Clearance-Ex</t>
        </is>
      </c>
      <c r="C538" s="222" t="inlineStr">
        <is>
          <t>BRILLIANT TRANSPORT AND TRADING Co., Ltd.</t>
        </is>
      </c>
      <c r="D538" s="223" t="inlineStr">
        <is>
          <t>K002-100089305</t>
        </is>
      </c>
      <c r="E538" s="349" t="inlineStr">
        <is>
          <t>BTT25-0001008</t>
        </is>
      </c>
      <c r="F538" s="332" t="n">
        <v>45793</v>
      </c>
      <c r="G538" s="224" t="n"/>
      <c r="H538" s="617" t="n"/>
      <c r="I538" s="617" t="n">
        <v>406603</v>
      </c>
      <c r="J538" s="221" t="inlineStr">
        <is>
          <t>អនុញ្ញាត (បានប្រកាស)</t>
        </is>
      </c>
      <c r="K538" s="618" t="n"/>
      <c r="L538" s="616">
        <f>I538</f>
        <v/>
      </c>
      <c r="M538" s="588">
        <f>I538-L538</f>
        <v/>
      </c>
      <c r="N538" s="221" t="n"/>
      <c r="O538" s="226">
        <f>U538=E538</f>
        <v/>
      </c>
      <c r="P538" s="226">
        <f>MONTH(F538)-MONTH(T538)</f>
        <v/>
      </c>
      <c r="Q538" s="226">
        <f>$B$5=X538</f>
        <v/>
      </c>
      <c r="R538" s="226">
        <f>I538-AD538</f>
        <v/>
      </c>
      <c r="S538" s="360" t="n"/>
      <c r="T538" s="361" t="n">
        <v>45793</v>
      </c>
      <c r="U538" s="360" t="inlineStr">
        <is>
          <t>BTT25-0001008</t>
        </is>
      </c>
      <c r="V538" s="360" t="n"/>
      <c r="W538" s="360" t="n"/>
      <c r="X538" s="360" t="n"/>
      <c r="Y538" s="360" t="inlineStr">
        <is>
          <t>ហូលីដេ ឌីហ្សាញ (ខេមបូឌា) ឯ.ក</t>
        </is>
      </c>
      <c r="Z538" s="362" t="n"/>
      <c r="AA538" s="362" t="n"/>
      <c r="AB538" s="360" t="n"/>
      <c r="AC538" s="360" t="n"/>
      <c r="AD538" s="362" t="n">
        <v>406603</v>
      </c>
      <c r="AE538" s="360" t="n"/>
      <c r="AF538" s="615" t="n"/>
      <c r="AN538" s="203" t="inlineStr">
        <is>
          <t>Truking / Service</t>
        </is>
      </c>
    </row>
    <row r="539">
      <c r="A539" s="220">
        <f>A538+1</f>
        <v/>
      </c>
      <c r="B539" s="222" t="inlineStr">
        <is>
          <t>Lift-Off-Ex</t>
        </is>
      </c>
      <c r="C539" s="222" t="inlineStr">
        <is>
          <t>PHNOM PENH AUTONOMOUS PORT "PPAP"</t>
        </is>
      </c>
      <c r="D539" s="223" t="inlineStr">
        <is>
          <t>L001-100044999</t>
        </is>
      </c>
      <c r="E539" s="349" t="inlineStr">
        <is>
          <t>INV20250539576</t>
        </is>
      </c>
      <c r="F539" s="332" t="n">
        <v>45797</v>
      </c>
      <c r="G539" s="224" t="n"/>
      <c r="H539" s="617" t="n"/>
      <c r="I539" s="617" t="n">
        <v>28021</v>
      </c>
      <c r="J539" s="221" t="inlineStr">
        <is>
          <t>អនុញ្ញាត (បានប្រកាស)</t>
        </is>
      </c>
      <c r="K539" s="618">
        <f>L539</f>
        <v/>
      </c>
      <c r="L539" s="616">
        <f>AD539</f>
        <v/>
      </c>
      <c r="M539" s="588">
        <f>I539-L539</f>
        <v/>
      </c>
      <c r="N539" s="221" t="n"/>
      <c r="O539" s="226">
        <f>U539=E539</f>
        <v/>
      </c>
      <c r="P539" s="226">
        <f>MONTH(F539)-MONTH(T539)</f>
        <v/>
      </c>
      <c r="Q539" s="226">
        <f>$B$5=X539</f>
        <v/>
      </c>
      <c r="R539" s="226">
        <f>I539-AD539</f>
        <v/>
      </c>
      <c r="S539" s="360" t="n"/>
      <c r="T539" s="361" t="n">
        <v>45797</v>
      </c>
      <c r="U539" s="360" t="inlineStr">
        <is>
          <t>INV20250539576</t>
        </is>
      </c>
      <c r="V539" s="360" t="n">
        <v>0</v>
      </c>
      <c r="W539" s="360" t="inlineStr">
        <is>
          <t>បុគ្គលជាប់អាករ</t>
        </is>
      </c>
      <c r="X539" s="360" t="inlineStr">
        <is>
          <t>L001-901640009</t>
        </is>
      </c>
      <c r="Y539" s="360" t="inlineStr">
        <is>
          <t>ហូលីដេ ឌីហ្សាញ (ខេមបូឌា) ឯ.ក</t>
        </is>
      </c>
      <c r="Z539" s="362" t="n">
        <v>308154</v>
      </c>
      <c r="AA539" s="362" t="n">
        <v>280140</v>
      </c>
      <c r="AB539" s="360" t="n">
        <v>0</v>
      </c>
      <c r="AC539" s="360" t="inlineStr">
        <is>
          <t>-</t>
        </is>
      </c>
      <c r="AD539" s="362" t="n">
        <v>28014</v>
      </c>
      <c r="AE539" s="360" t="n">
        <v>0</v>
      </c>
      <c r="AF539" s="615" t="n">
        <v>0</v>
      </c>
      <c r="AG539" s="203" t="n">
        <v>0</v>
      </c>
      <c r="AH539" s="203" t="n">
        <v>0</v>
      </c>
      <c r="AI539" s="203" t="n">
        <v>0</v>
      </c>
      <c r="AJ539" s="203" t="n">
        <v>0</v>
      </c>
      <c r="AK539" s="203" t="n">
        <v>0</v>
      </c>
      <c r="AL539" s="203" t="n">
        <v>0.01</v>
      </c>
      <c r="AM539" s="203" t="n">
        <v>0</v>
      </c>
      <c r="AN539" s="203" t="inlineStr">
        <is>
          <t>ចំណូលពីសេវាកម្ម (លើកដាក់ទំនិញ)</t>
        </is>
      </c>
    </row>
    <row r="540">
      <c r="A540" s="220">
        <f>A539+1</f>
        <v/>
      </c>
      <c r="B540" s="222" t="inlineStr">
        <is>
          <t>Trucking &amp; Clearance-Ex</t>
        </is>
      </c>
      <c r="C540" s="222" t="inlineStr">
        <is>
          <t>BRILLIANT TRANSPORT AND TRADING Co., Ltd.</t>
        </is>
      </c>
      <c r="D540" s="223" t="inlineStr">
        <is>
          <t>K002-100089305</t>
        </is>
      </c>
      <c r="E540" s="349" t="inlineStr">
        <is>
          <t>BTT25-0001006</t>
        </is>
      </c>
      <c r="F540" s="332" t="n">
        <v>45793</v>
      </c>
      <c r="G540" s="224" t="n"/>
      <c r="H540" s="617" t="n"/>
      <c r="I540" s="617" t="n">
        <v>203302</v>
      </c>
      <c r="J540" s="221" t="inlineStr">
        <is>
          <t>អនុញ្ញាត (បានប្រកាស)</t>
        </is>
      </c>
      <c r="K540" s="618" t="n"/>
      <c r="L540" s="616">
        <f>I540</f>
        <v/>
      </c>
      <c r="M540" s="588">
        <f>I540-L540</f>
        <v/>
      </c>
      <c r="N540" s="221" t="n"/>
      <c r="O540" s="226">
        <f>U540=E540</f>
        <v/>
      </c>
      <c r="P540" s="226">
        <f>MONTH(F540)-MONTH(T540)</f>
        <v/>
      </c>
      <c r="Q540" s="226">
        <f>$B$5=X540</f>
        <v/>
      </c>
      <c r="R540" s="226">
        <f>I540-AD540</f>
        <v/>
      </c>
      <c r="S540" s="360" t="n"/>
      <c r="T540" s="361" t="n">
        <v>45793</v>
      </c>
      <c r="U540" s="360" t="inlineStr">
        <is>
          <t>BTT25-0001006</t>
        </is>
      </c>
      <c r="V540" s="360" t="n"/>
      <c r="W540" s="360" t="n"/>
      <c r="X540" s="360" t="n"/>
      <c r="Y540" s="360" t="inlineStr">
        <is>
          <t>ហូលីដេ ឌីហ្សាញ (ខេមបូឌា) ឯ.ក</t>
        </is>
      </c>
      <c r="Z540" s="362" t="n"/>
      <c r="AA540" s="362" t="n"/>
      <c r="AB540" s="360" t="n"/>
      <c r="AC540" s="360" t="n"/>
      <c r="AD540" s="362" t="n">
        <v>203302</v>
      </c>
      <c r="AE540" s="360" t="n"/>
      <c r="AF540" s="615" t="n"/>
      <c r="AN540" s="203" t="inlineStr">
        <is>
          <t>Truking / Service</t>
        </is>
      </c>
    </row>
    <row r="541">
      <c r="A541" s="220">
        <f>A540+1</f>
        <v/>
      </c>
      <c r="B541" s="222" t="inlineStr">
        <is>
          <t>Lift-Off-Ex</t>
        </is>
      </c>
      <c r="C541" s="222" t="inlineStr">
        <is>
          <t>Port Autonome Du Sihanoukville</t>
        </is>
      </c>
      <c r="D541" s="223" t="inlineStr">
        <is>
          <t>L001-100044638</t>
        </is>
      </c>
      <c r="E541" s="349" t="n">
        <v>202500108638</v>
      </c>
      <c r="F541" s="332" t="n">
        <v>45789</v>
      </c>
      <c r="G541" s="224" t="n"/>
      <c r="H541" s="617" t="n"/>
      <c r="I541" s="617" t="n">
        <v>6805</v>
      </c>
      <c r="J541" s="221" t="inlineStr">
        <is>
          <t>អនុញ្ញាត (បានប្រកាស)</t>
        </is>
      </c>
      <c r="K541" s="618" t="n"/>
      <c r="L541" s="616">
        <f>I541</f>
        <v/>
      </c>
      <c r="M541" s="588">
        <f>I541-L541</f>
        <v/>
      </c>
      <c r="N541" s="221" t="n"/>
      <c r="O541" s="226">
        <f>U541=E541</f>
        <v/>
      </c>
      <c r="P541" s="226">
        <f>MONTH(F541)-MONTH(T541)</f>
        <v/>
      </c>
      <c r="Q541" s="226">
        <f>$B$5=X541</f>
        <v/>
      </c>
      <c r="R541" s="226">
        <f>I541-AD541</f>
        <v/>
      </c>
      <c r="S541" s="360" t="n"/>
      <c r="T541" s="361" t="n">
        <v>45789</v>
      </c>
      <c r="U541" s="360" t="n">
        <v>202500108638</v>
      </c>
      <c r="V541" s="360" t="n"/>
      <c r="W541" s="360" t="inlineStr">
        <is>
          <t>បុគ្គលជាប់អាករ</t>
        </is>
      </c>
      <c r="X541" s="360" t="inlineStr">
        <is>
          <t>L001-901640009</t>
        </is>
      </c>
      <c r="Y541" s="360" t="inlineStr">
        <is>
          <t>ហូលីដេ ឌីហ្សាញ (ខេមបូឌា) ឯ.ក</t>
        </is>
      </c>
      <c r="Z541" s="362" t="n">
        <v>74856</v>
      </c>
      <c r="AA541" s="362" t="n">
        <v>68051</v>
      </c>
      <c r="AB541" s="360" t="n">
        <v>0</v>
      </c>
      <c r="AC541" s="360" t="inlineStr">
        <is>
          <t>-</t>
        </is>
      </c>
      <c r="AD541" s="362" t="n">
        <v>6805</v>
      </c>
      <c r="AE541" s="360" t="n"/>
      <c r="AF541" s="615" t="n"/>
    </row>
    <row r="542">
      <c r="A542" s="220">
        <f>A541+1</f>
        <v/>
      </c>
      <c r="B542" s="222" t="inlineStr">
        <is>
          <t>Trucking &amp; Clearance-Ex</t>
        </is>
      </c>
      <c r="C542" s="222" t="inlineStr">
        <is>
          <t>BRILLIANT TRANSPORT AND TRADING Co., Ltd.</t>
        </is>
      </c>
      <c r="D542" s="223" t="inlineStr">
        <is>
          <t>K002-100089305</t>
        </is>
      </c>
      <c r="E542" s="349" t="inlineStr">
        <is>
          <t>BTT25-0001003</t>
        </is>
      </c>
      <c r="F542" s="332" t="n">
        <v>45793</v>
      </c>
      <c r="G542" s="224" t="n"/>
      <c r="H542" s="617" t="n"/>
      <c r="I542" s="617" t="n">
        <v>255328</v>
      </c>
      <c r="J542" s="221" t="inlineStr">
        <is>
          <t>អនុញ្ញាត (បានប្រកាស)</t>
        </is>
      </c>
      <c r="K542" s="618" t="n"/>
      <c r="L542" s="616">
        <f>I542</f>
        <v/>
      </c>
      <c r="M542" s="588">
        <f>I542-L542</f>
        <v/>
      </c>
      <c r="N542" s="221" t="n"/>
      <c r="O542" s="226">
        <f>U542=E542</f>
        <v/>
      </c>
      <c r="P542" s="226">
        <f>MONTH(F542)-MONTH(T542)</f>
        <v/>
      </c>
      <c r="Q542" s="226">
        <f>$B$5=X542</f>
        <v/>
      </c>
      <c r="R542" s="226">
        <f>I542-AD542</f>
        <v/>
      </c>
      <c r="S542" s="360" t="n"/>
      <c r="T542" s="361" t="n">
        <v>45793</v>
      </c>
      <c r="U542" s="360" t="inlineStr">
        <is>
          <t>BTT25-0001003</t>
        </is>
      </c>
      <c r="V542" s="360" t="n"/>
      <c r="W542" s="360" t="n"/>
      <c r="X542" s="360" t="n"/>
      <c r="Y542" s="360" t="inlineStr">
        <is>
          <t>ហូលីដេ ឌីហ្សាញ (ខេមបូឌា) ឯ.ក</t>
        </is>
      </c>
      <c r="Z542" s="362" t="n"/>
      <c r="AA542" s="362" t="n"/>
      <c r="AB542" s="360" t="n"/>
      <c r="AC542" s="360" t="n"/>
      <c r="AD542" s="362" t="n">
        <v>255328</v>
      </c>
      <c r="AE542" s="360" t="n"/>
      <c r="AF542" s="615" t="n"/>
      <c r="AN542" s="203" t="inlineStr">
        <is>
          <t>Truking / Service</t>
        </is>
      </c>
    </row>
    <row r="543">
      <c r="A543" s="220">
        <f>A542+1</f>
        <v/>
      </c>
      <c r="B543" s="222" t="inlineStr">
        <is>
          <t>Trucking &amp; Clearance-Ex</t>
        </is>
      </c>
      <c r="C543" s="222" t="inlineStr">
        <is>
          <t>BRILLIANT TRANSPORT AND TRADING Co., Ltd.</t>
        </is>
      </c>
      <c r="D543" s="223" t="inlineStr">
        <is>
          <t>K002-100089305</t>
        </is>
      </c>
      <c r="E543" s="349" t="inlineStr">
        <is>
          <t>BTT25-0001016</t>
        </is>
      </c>
      <c r="F543" s="332" t="n">
        <v>45793</v>
      </c>
      <c r="G543" s="224" t="n"/>
      <c r="H543" s="617" t="n"/>
      <c r="I543" s="617" t="n">
        <v>203302</v>
      </c>
      <c r="J543" s="221" t="inlineStr">
        <is>
          <t>អនុញ្ញាត (បានប្រកាស)</t>
        </is>
      </c>
      <c r="K543" s="618" t="n"/>
      <c r="L543" s="616">
        <f>I543</f>
        <v/>
      </c>
      <c r="M543" s="588">
        <f>I543-L543</f>
        <v/>
      </c>
      <c r="N543" s="221" t="n"/>
      <c r="O543" s="226">
        <f>U543=E543</f>
        <v/>
      </c>
      <c r="P543" s="226">
        <f>MONTH(F543)-MONTH(T543)</f>
        <v/>
      </c>
      <c r="Q543" s="226">
        <f>$B$5=X543</f>
        <v/>
      </c>
      <c r="R543" s="226">
        <f>I543-AD543</f>
        <v/>
      </c>
      <c r="S543" s="360" t="n"/>
      <c r="T543" s="361" t="n">
        <v>45793</v>
      </c>
      <c r="U543" s="360" t="inlineStr">
        <is>
          <t>BTT25-0001016</t>
        </is>
      </c>
      <c r="V543" s="360" t="n"/>
      <c r="W543" s="360" t="n"/>
      <c r="X543" s="360" t="n"/>
      <c r="Y543" s="360" t="inlineStr">
        <is>
          <t>ហូលីដេ ឌីហ្សាញ (ខេមបូឌា) ឯ.ក</t>
        </is>
      </c>
      <c r="Z543" s="362" t="n"/>
      <c r="AA543" s="362" t="n"/>
      <c r="AB543" s="360" t="n"/>
      <c r="AC543" s="360" t="n"/>
      <c r="AD543" s="362" t="n">
        <v>203302</v>
      </c>
      <c r="AE543" s="360" t="n"/>
      <c r="AF543" s="615" t="n"/>
      <c r="AN543" s="203" t="inlineStr">
        <is>
          <t>Truking / Service</t>
        </is>
      </c>
    </row>
    <row r="544">
      <c r="A544" s="220">
        <f>A543+1</f>
        <v/>
      </c>
      <c r="B544" s="222" t="inlineStr">
        <is>
          <t>Lift-Off-Ex</t>
        </is>
      </c>
      <c r="C544" s="222" t="inlineStr">
        <is>
          <t>PHNOM PENH AUTONOMOUS PORT "PPAP"</t>
        </is>
      </c>
      <c r="D544" s="223" t="inlineStr">
        <is>
          <t>L001-100044999</t>
        </is>
      </c>
      <c r="E544" s="349" t="inlineStr">
        <is>
          <t>INV20250539581</t>
        </is>
      </c>
      <c r="F544" s="332" t="n">
        <v>45797</v>
      </c>
      <c r="G544" s="224" t="n"/>
      <c r="H544" s="617" t="n"/>
      <c r="I544" s="617" t="n">
        <v>28021</v>
      </c>
      <c r="J544" s="221" t="inlineStr">
        <is>
          <t>អនុញ្ញាត (បានប្រកាស)</t>
        </is>
      </c>
      <c r="K544" s="618">
        <f>L544</f>
        <v/>
      </c>
      <c r="L544" s="616">
        <f>AD544</f>
        <v/>
      </c>
      <c r="M544" s="588">
        <f>I544-L544</f>
        <v/>
      </c>
      <c r="N544" s="221" t="n"/>
      <c r="O544" s="226">
        <f>U544=E544</f>
        <v/>
      </c>
      <c r="P544" s="226">
        <f>MONTH(F544)-MONTH(T544)</f>
        <v/>
      </c>
      <c r="Q544" s="226">
        <f>$B$5=X544</f>
        <v/>
      </c>
      <c r="R544" s="226">
        <f>I544-AD544</f>
        <v/>
      </c>
      <c r="S544" s="360" t="n"/>
      <c r="T544" s="361" t="n">
        <v>45797</v>
      </c>
      <c r="U544" s="360" t="inlineStr">
        <is>
          <t>INV20250539581</t>
        </is>
      </c>
      <c r="V544" s="360" t="n">
        <v>0</v>
      </c>
      <c r="W544" s="360" t="inlineStr">
        <is>
          <t>បុគ្គលជាប់អាករ</t>
        </is>
      </c>
      <c r="X544" s="360" t="inlineStr">
        <is>
          <t>L001-901640009</t>
        </is>
      </c>
      <c r="Y544" s="360" t="inlineStr">
        <is>
          <t>ហូលីដេ ឌីហ្សាញ (ខេមបូឌា) ឯ.ក</t>
        </is>
      </c>
      <c r="Z544" s="362" t="n">
        <v>308154</v>
      </c>
      <c r="AA544" s="362" t="n">
        <v>280140</v>
      </c>
      <c r="AB544" s="360" t="n">
        <v>0</v>
      </c>
      <c r="AC544" s="360" t="inlineStr">
        <is>
          <t>-</t>
        </is>
      </c>
      <c r="AD544" s="362" t="n">
        <v>28014</v>
      </c>
      <c r="AE544" s="360" t="n">
        <v>0</v>
      </c>
      <c r="AF544" s="615" t="n">
        <v>0</v>
      </c>
      <c r="AG544" s="203" t="n">
        <v>0</v>
      </c>
      <c r="AH544" s="203" t="n">
        <v>0</v>
      </c>
      <c r="AI544" s="203" t="n">
        <v>0</v>
      </c>
      <c r="AJ544" s="203" t="n">
        <v>0</v>
      </c>
      <c r="AK544" s="203" t="n">
        <v>0</v>
      </c>
      <c r="AL544" s="203" t="n">
        <v>0.01</v>
      </c>
      <c r="AM544" s="203" t="n">
        <v>0</v>
      </c>
      <c r="AN544" s="203" t="inlineStr">
        <is>
          <t>ចំណូលពីសេវាកម្ម (លើកដាក់ទំនិញ)</t>
        </is>
      </c>
    </row>
    <row r="545">
      <c r="A545" s="220">
        <f>A544+1</f>
        <v/>
      </c>
      <c r="B545" s="222" t="inlineStr">
        <is>
          <t>Lift-Off-Ex</t>
        </is>
      </c>
      <c r="C545" s="222" t="inlineStr">
        <is>
          <t>PHNOM PENH AUTONOMOUS PORT "PPAP"</t>
        </is>
      </c>
      <c r="D545" s="223" t="inlineStr">
        <is>
          <t>L001-100044999</t>
        </is>
      </c>
      <c r="E545" s="349" t="inlineStr">
        <is>
          <t>INV20250539569</t>
        </is>
      </c>
      <c r="F545" s="332" t="n">
        <v>45797</v>
      </c>
      <c r="G545" s="224" t="n"/>
      <c r="H545" s="617" t="n"/>
      <c r="I545" s="617" t="n">
        <v>18414</v>
      </c>
      <c r="J545" s="221" t="inlineStr">
        <is>
          <t>អនុញ្ញាត (បានប្រកាស)</t>
        </is>
      </c>
      <c r="K545" s="618">
        <f>L545</f>
        <v/>
      </c>
      <c r="L545" s="616">
        <f>AD545</f>
        <v/>
      </c>
      <c r="M545" s="588">
        <f>I545-L545</f>
        <v/>
      </c>
      <c r="N545" s="221" t="n"/>
      <c r="O545" s="226">
        <f>U545=E545</f>
        <v/>
      </c>
      <c r="P545" s="226">
        <f>MONTH(F545)-MONTH(T545)</f>
        <v/>
      </c>
      <c r="Q545" s="226">
        <f>$B$5=X545</f>
        <v/>
      </c>
      <c r="R545" s="226">
        <f>I545-AD545</f>
        <v/>
      </c>
      <c r="S545" s="360" t="n"/>
      <c r="T545" s="361" t="n">
        <v>45797</v>
      </c>
      <c r="U545" s="360" t="inlineStr">
        <is>
          <t>INV20250539569</t>
        </is>
      </c>
      <c r="V545" s="360" t="n">
        <v>0</v>
      </c>
      <c r="W545" s="360" t="inlineStr">
        <is>
          <t>បុគ្គលជាប់អាករ</t>
        </is>
      </c>
      <c r="X545" s="360" t="inlineStr">
        <is>
          <t>L001-901640009</t>
        </is>
      </c>
      <c r="Y545" s="360" t="inlineStr">
        <is>
          <t>ហូលីដេ ឌីហ្សាញ (ខេមបូឌា) ឯ.ក</t>
        </is>
      </c>
      <c r="Z545" s="362" t="n">
        <v>202499</v>
      </c>
      <c r="AA545" s="362" t="n">
        <v>184090</v>
      </c>
      <c r="AB545" s="360" t="n">
        <v>0</v>
      </c>
      <c r="AC545" s="360" t="inlineStr">
        <is>
          <t>-</t>
        </is>
      </c>
      <c r="AD545" s="362" t="n">
        <v>18409</v>
      </c>
      <c r="AE545" s="360" t="n">
        <v>0</v>
      </c>
      <c r="AF545" s="615" t="n">
        <v>0</v>
      </c>
      <c r="AG545" s="203" t="n">
        <v>0</v>
      </c>
      <c r="AH545" s="203" t="n">
        <v>0</v>
      </c>
      <c r="AI545" s="203" t="n">
        <v>0</v>
      </c>
      <c r="AJ545" s="203" t="n">
        <v>0</v>
      </c>
      <c r="AK545" s="203" t="n">
        <v>0</v>
      </c>
      <c r="AL545" s="203" t="n">
        <v>0.01</v>
      </c>
      <c r="AM545" s="203" t="n">
        <v>0</v>
      </c>
      <c r="AN545" s="203" t="inlineStr">
        <is>
          <t>ចំណូលពីសេវាកម្ម (លើកដាក់ទំនិញ)</t>
        </is>
      </c>
    </row>
    <row r="546">
      <c r="A546" s="220">
        <f>A545+1</f>
        <v/>
      </c>
      <c r="B546" s="222" t="inlineStr">
        <is>
          <t>Trucking &amp; Clearance-Ex</t>
        </is>
      </c>
      <c r="C546" s="222" t="inlineStr">
        <is>
          <t>BRILLIANT TRANSPORT AND TRADING Co., Ltd.</t>
        </is>
      </c>
      <c r="D546" s="223" t="inlineStr">
        <is>
          <t>K002-100089305</t>
        </is>
      </c>
      <c r="E546" s="349" t="inlineStr">
        <is>
          <t>BTT25-0001025</t>
        </is>
      </c>
      <c r="F546" s="332" t="n">
        <v>45793</v>
      </c>
      <c r="G546" s="224" t="n"/>
      <c r="H546" s="617" t="n"/>
      <c r="I546" s="617" t="n">
        <v>203302</v>
      </c>
      <c r="J546" s="221" t="inlineStr">
        <is>
          <t>អនុញ្ញាត (បានប្រកាស)</t>
        </is>
      </c>
      <c r="K546" s="618" t="n"/>
      <c r="L546" s="616">
        <f>I546</f>
        <v/>
      </c>
      <c r="M546" s="588">
        <f>I546-L546</f>
        <v/>
      </c>
      <c r="N546" s="221" t="n"/>
      <c r="O546" s="226">
        <f>U546=E546</f>
        <v/>
      </c>
      <c r="P546" s="226">
        <f>MONTH(F546)-MONTH(T546)</f>
        <v/>
      </c>
      <c r="Q546" s="226">
        <f>$B$5=X546</f>
        <v/>
      </c>
      <c r="R546" s="226">
        <f>I546-AD546</f>
        <v/>
      </c>
      <c r="S546" s="360" t="n"/>
      <c r="T546" s="361" t="n">
        <v>45793</v>
      </c>
      <c r="U546" s="360" t="inlineStr">
        <is>
          <t>BTT25-0001025</t>
        </is>
      </c>
      <c r="V546" s="360" t="n"/>
      <c r="W546" s="360" t="n"/>
      <c r="X546" s="360" t="n"/>
      <c r="Y546" s="360" t="inlineStr">
        <is>
          <t>ហូលីដេ ឌីហ្សាញ (ខេមបូឌា) ឯ.ក</t>
        </is>
      </c>
      <c r="Z546" s="362" t="n"/>
      <c r="AA546" s="362" t="n"/>
      <c r="AB546" s="360" t="n"/>
      <c r="AC546" s="360" t="n"/>
      <c r="AD546" s="362" t="n">
        <v>203302</v>
      </c>
      <c r="AE546" s="360" t="n"/>
      <c r="AF546" s="615" t="n"/>
      <c r="AN546" s="203" t="inlineStr">
        <is>
          <t>Truking / Service</t>
        </is>
      </c>
    </row>
    <row r="547">
      <c r="A547" s="220">
        <f>A546+1</f>
        <v/>
      </c>
      <c r="B547" s="222" t="inlineStr">
        <is>
          <t>Lift-Off-Ex</t>
        </is>
      </c>
      <c r="C547" s="222" t="inlineStr">
        <is>
          <t>PHNOM PENH AUTONOMOUS PORT "PPAP"</t>
        </is>
      </c>
      <c r="D547" s="223" t="inlineStr">
        <is>
          <t>L001-100044999</t>
        </is>
      </c>
      <c r="E547" s="349" t="inlineStr">
        <is>
          <t>INV20250539566</t>
        </is>
      </c>
      <c r="F547" s="332" t="n">
        <v>45797</v>
      </c>
      <c r="G547" s="224" t="n"/>
      <c r="H547" s="617" t="n"/>
      <c r="I547" s="617" t="n">
        <v>28021</v>
      </c>
      <c r="J547" s="221" t="inlineStr">
        <is>
          <t>អនុញ្ញាត (បានប្រកាស)</t>
        </is>
      </c>
      <c r="K547" s="618">
        <f>L547</f>
        <v/>
      </c>
      <c r="L547" s="616">
        <f>AD547</f>
        <v/>
      </c>
      <c r="M547" s="588">
        <f>I547-L547</f>
        <v/>
      </c>
      <c r="N547" s="221" t="n"/>
      <c r="O547" s="226">
        <f>U547=E547</f>
        <v/>
      </c>
      <c r="P547" s="226">
        <f>MONTH(F547)-MONTH(T547)</f>
        <v/>
      </c>
      <c r="Q547" s="226">
        <f>$B$5=X547</f>
        <v/>
      </c>
      <c r="R547" s="226">
        <f>I547-AD547</f>
        <v/>
      </c>
      <c r="S547" s="360" t="n"/>
      <c r="T547" s="361" t="n">
        <v>45797</v>
      </c>
      <c r="U547" s="360" t="inlineStr">
        <is>
          <t>INV20250539566</t>
        </is>
      </c>
      <c r="V547" s="360" t="n">
        <v>0</v>
      </c>
      <c r="W547" s="360" t="inlineStr">
        <is>
          <t>បុគ្គលជាប់អាករ</t>
        </is>
      </c>
      <c r="X547" s="360" t="inlineStr">
        <is>
          <t>L001-901640009</t>
        </is>
      </c>
      <c r="Y547" s="360" t="inlineStr">
        <is>
          <t>ហូលីដេ ឌីហ្សាញ (ខេមបូឌា) ឯ.ក</t>
        </is>
      </c>
      <c r="Z547" s="362" t="n">
        <v>308154</v>
      </c>
      <c r="AA547" s="362" t="n">
        <v>280140</v>
      </c>
      <c r="AB547" s="360" t="n">
        <v>0</v>
      </c>
      <c r="AC547" s="360" t="inlineStr">
        <is>
          <t>-</t>
        </is>
      </c>
      <c r="AD547" s="362" t="n">
        <v>28014</v>
      </c>
      <c r="AE547" s="360" t="n">
        <v>0</v>
      </c>
      <c r="AF547" s="615" t="n">
        <v>0</v>
      </c>
      <c r="AG547" s="203" t="n">
        <v>0</v>
      </c>
      <c r="AH547" s="203" t="n">
        <v>0</v>
      </c>
      <c r="AI547" s="203" t="n">
        <v>0</v>
      </c>
      <c r="AJ547" s="203" t="n">
        <v>0</v>
      </c>
      <c r="AK547" s="203" t="n">
        <v>0</v>
      </c>
      <c r="AL547" s="203" t="n">
        <v>0.01</v>
      </c>
      <c r="AM547" s="203" t="n">
        <v>0</v>
      </c>
      <c r="AN547" s="203" t="inlineStr">
        <is>
          <t>ចំណូលពីសេវាកម្ម (លើកដាក់ទំនិញ)</t>
        </is>
      </c>
    </row>
    <row r="548">
      <c r="A548" s="220">
        <f>A547+1</f>
        <v/>
      </c>
      <c r="B548" s="222" t="inlineStr">
        <is>
          <t>Trucking &amp; Clearance-Ex</t>
        </is>
      </c>
      <c r="C548" s="222" t="inlineStr">
        <is>
          <t>BRILLIANT TRANSPORT AND TRADING Co., Ltd.</t>
        </is>
      </c>
      <c r="D548" s="223" t="inlineStr">
        <is>
          <t>K002-100089305</t>
        </is>
      </c>
      <c r="E548" s="349" t="inlineStr">
        <is>
          <t>BTT25-0001024</t>
        </is>
      </c>
      <c r="F548" s="332" t="n">
        <v>45793</v>
      </c>
      <c r="G548" s="224" t="n"/>
      <c r="H548" s="617" t="n"/>
      <c r="I548" s="617" t="n">
        <v>203302</v>
      </c>
      <c r="J548" s="221" t="inlineStr">
        <is>
          <t>អនុញ្ញាត (បានប្រកាស)</t>
        </is>
      </c>
      <c r="K548" s="618" t="n"/>
      <c r="L548" s="616">
        <f>I548</f>
        <v/>
      </c>
      <c r="M548" s="588">
        <f>I548-L548</f>
        <v/>
      </c>
      <c r="N548" s="221" t="n"/>
      <c r="O548" s="226">
        <f>U548=E548</f>
        <v/>
      </c>
      <c r="P548" s="226">
        <f>MONTH(F548)-MONTH(T548)</f>
        <v/>
      </c>
      <c r="Q548" s="226">
        <f>$B$5=X548</f>
        <v/>
      </c>
      <c r="R548" s="226">
        <f>I548-AD548</f>
        <v/>
      </c>
      <c r="S548" s="360" t="n"/>
      <c r="T548" s="361" t="n">
        <v>45793</v>
      </c>
      <c r="U548" s="360" t="inlineStr">
        <is>
          <t>BTT25-0001024</t>
        </is>
      </c>
      <c r="V548" s="360" t="n"/>
      <c r="W548" s="360" t="n"/>
      <c r="X548" s="360" t="n"/>
      <c r="Y548" s="360" t="inlineStr">
        <is>
          <t>ហូលីដេ ឌីហ្សាញ (ខេមបូឌា) ឯ.ក</t>
        </is>
      </c>
      <c r="Z548" s="362" t="n"/>
      <c r="AA548" s="362" t="n"/>
      <c r="AB548" s="360" t="n"/>
      <c r="AC548" s="360" t="n"/>
      <c r="AD548" s="362" t="n">
        <v>203302</v>
      </c>
      <c r="AE548" s="360" t="n"/>
      <c r="AF548" s="615" t="n"/>
      <c r="AN548" s="203" t="inlineStr">
        <is>
          <t>Truking / Service</t>
        </is>
      </c>
    </row>
    <row r="549">
      <c r="A549" s="220">
        <f>A548+1</f>
        <v/>
      </c>
      <c r="B549" s="222" t="inlineStr">
        <is>
          <t>Lift-Off-Ex</t>
        </is>
      </c>
      <c r="C549" s="222" t="inlineStr">
        <is>
          <t>PHNOM PENH AUTONOMOUS PORT "PPAP"</t>
        </is>
      </c>
      <c r="D549" s="223" t="inlineStr">
        <is>
          <t>L001-100044999</t>
        </is>
      </c>
      <c r="E549" s="349" t="inlineStr">
        <is>
          <t>INV20250539567</t>
        </is>
      </c>
      <c r="F549" s="332" t="n">
        <v>45797</v>
      </c>
      <c r="G549" s="224" t="n"/>
      <c r="H549" s="617" t="n"/>
      <c r="I549" s="617" t="n">
        <v>18414</v>
      </c>
      <c r="J549" s="221" t="inlineStr">
        <is>
          <t>អនុញ្ញាត (បានប្រកាស)</t>
        </is>
      </c>
      <c r="K549" s="618">
        <f>L549</f>
        <v/>
      </c>
      <c r="L549" s="616">
        <f>AD549</f>
        <v/>
      </c>
      <c r="M549" s="588">
        <f>I549-L549</f>
        <v/>
      </c>
      <c r="N549" s="221" t="n"/>
      <c r="O549" s="226">
        <f>U549=E549</f>
        <v/>
      </c>
      <c r="P549" s="226">
        <f>MONTH(F549)-MONTH(T549)</f>
        <v/>
      </c>
      <c r="Q549" s="226">
        <f>$B$5=X549</f>
        <v/>
      </c>
      <c r="R549" s="226">
        <f>I549-AD549</f>
        <v/>
      </c>
      <c r="S549" s="360" t="n"/>
      <c r="T549" s="361" t="n">
        <v>45797</v>
      </c>
      <c r="U549" s="360" t="inlineStr">
        <is>
          <t>INV20250539567</t>
        </is>
      </c>
      <c r="V549" s="360" t="n">
        <v>0</v>
      </c>
      <c r="W549" s="360" t="inlineStr">
        <is>
          <t>បុគ្គលជាប់អាករ</t>
        </is>
      </c>
      <c r="X549" s="360" t="inlineStr">
        <is>
          <t>L001-901640009</t>
        </is>
      </c>
      <c r="Y549" s="360" t="inlineStr">
        <is>
          <t>ហូលីដេ ឌីហ្សាញ (ខេមបូឌា) ឯ.ក</t>
        </is>
      </c>
      <c r="Z549" s="362" t="n">
        <v>202499</v>
      </c>
      <c r="AA549" s="362" t="n">
        <v>184090</v>
      </c>
      <c r="AB549" s="360" t="n">
        <v>0</v>
      </c>
      <c r="AC549" s="360" t="inlineStr">
        <is>
          <t>-</t>
        </is>
      </c>
      <c r="AD549" s="362" t="n">
        <v>18409</v>
      </c>
      <c r="AE549" s="360" t="n">
        <v>0</v>
      </c>
      <c r="AF549" s="615" t="n">
        <v>0</v>
      </c>
      <c r="AG549" s="203" t="n">
        <v>0</v>
      </c>
      <c r="AH549" s="203" t="n">
        <v>0</v>
      </c>
      <c r="AI549" s="203" t="n">
        <v>0</v>
      </c>
      <c r="AJ549" s="203" t="n">
        <v>0</v>
      </c>
      <c r="AK549" s="203" t="n">
        <v>0</v>
      </c>
      <c r="AL549" s="203" t="n">
        <v>0.01</v>
      </c>
      <c r="AM549" s="203" t="n">
        <v>0</v>
      </c>
      <c r="AN549" s="203" t="inlineStr">
        <is>
          <t>ចំណូលពីសេវាកម្ម (លើកដាក់ទំនិញ)</t>
        </is>
      </c>
    </row>
    <row r="550">
      <c r="A550" s="220">
        <f>A549+1</f>
        <v/>
      </c>
      <c r="B550" s="222" t="inlineStr">
        <is>
          <t>Trucking &amp; Clearance-Ex</t>
        </is>
      </c>
      <c r="C550" s="222" t="inlineStr">
        <is>
          <t>BRILLIANT TRANSPORT AND TRADING Co., Ltd.</t>
        </is>
      </c>
      <c r="D550" s="223" t="inlineStr">
        <is>
          <t>K002-100089305</t>
        </is>
      </c>
      <c r="E550" s="349" t="inlineStr">
        <is>
          <t>BTT25-0001023</t>
        </is>
      </c>
      <c r="F550" s="332" t="n">
        <v>45793</v>
      </c>
      <c r="G550" s="224" t="n"/>
      <c r="H550" s="617" t="n"/>
      <c r="I550" s="617" t="n">
        <v>190895</v>
      </c>
      <c r="J550" s="221" t="inlineStr">
        <is>
          <t>អនុញ្ញាត (បានប្រកាស)</t>
        </is>
      </c>
      <c r="K550" s="618" t="n"/>
      <c r="L550" s="616">
        <f>I550</f>
        <v/>
      </c>
      <c r="M550" s="588">
        <f>I550-L550</f>
        <v/>
      </c>
      <c r="N550" s="221" t="n"/>
      <c r="O550" s="226">
        <f>U550=E550</f>
        <v/>
      </c>
      <c r="P550" s="226">
        <f>MONTH(F550)-MONTH(T550)</f>
        <v/>
      </c>
      <c r="Q550" s="226">
        <f>$B$5=X550</f>
        <v/>
      </c>
      <c r="R550" s="226">
        <f>I550-AD550</f>
        <v/>
      </c>
      <c r="S550" s="360" t="n"/>
      <c r="T550" s="361" t="n">
        <v>45793</v>
      </c>
      <c r="U550" s="360" t="inlineStr">
        <is>
          <t>BTT25-0001023</t>
        </is>
      </c>
      <c r="V550" s="360" t="n"/>
      <c r="W550" s="360" t="n"/>
      <c r="X550" s="360" t="n"/>
      <c r="Y550" s="360" t="inlineStr">
        <is>
          <t>ហូលីដេ ឌីហ្សាញ (ខេមបូឌា) ឯ.ក</t>
        </is>
      </c>
      <c r="Z550" s="362" t="n"/>
      <c r="AA550" s="362" t="n"/>
      <c r="AB550" s="360" t="n"/>
      <c r="AC550" s="360" t="n"/>
      <c r="AD550" s="362" t="n">
        <v>190895</v>
      </c>
      <c r="AE550" s="360" t="n"/>
      <c r="AF550" s="615" t="n"/>
      <c r="AN550" s="203" t="inlineStr">
        <is>
          <t>Truking / Service</t>
        </is>
      </c>
    </row>
    <row r="551">
      <c r="A551" s="220">
        <f>A550+1</f>
        <v/>
      </c>
      <c r="B551" s="222" t="inlineStr">
        <is>
          <t>Trucking &amp; Clearance-Ex</t>
        </is>
      </c>
      <c r="C551" s="222" t="inlineStr">
        <is>
          <t>BRILLIANT TRANSPORT AND TRADING Co., Ltd.</t>
        </is>
      </c>
      <c r="D551" s="223" t="inlineStr">
        <is>
          <t>K002-100089305</t>
        </is>
      </c>
      <c r="E551" s="349" t="inlineStr">
        <is>
          <t>BTT25-0001022</t>
        </is>
      </c>
      <c r="F551" s="332" t="n">
        <v>45793</v>
      </c>
      <c r="G551" s="224" t="n"/>
      <c r="H551" s="617" t="n"/>
      <c r="I551" s="617" t="n">
        <v>190895</v>
      </c>
      <c r="J551" s="221" t="inlineStr">
        <is>
          <t>អនុញ្ញាត (បានប្រកាស)</t>
        </is>
      </c>
      <c r="K551" s="618" t="n"/>
      <c r="L551" s="616">
        <f>I551</f>
        <v/>
      </c>
      <c r="M551" s="588">
        <f>I551-L551</f>
        <v/>
      </c>
      <c r="N551" s="221" t="n"/>
      <c r="O551" s="226">
        <f>U551=E551</f>
        <v/>
      </c>
      <c r="P551" s="226">
        <f>MONTH(F551)-MONTH(T551)</f>
        <v/>
      </c>
      <c r="Q551" s="226">
        <f>$B$5=X551</f>
        <v/>
      </c>
      <c r="R551" s="226">
        <f>I551-AD551</f>
        <v/>
      </c>
      <c r="S551" s="360" t="n"/>
      <c r="T551" s="361" t="n">
        <v>45793</v>
      </c>
      <c r="U551" s="360" t="inlineStr">
        <is>
          <t>BTT25-0001022</t>
        </is>
      </c>
      <c r="V551" s="360" t="n"/>
      <c r="W551" s="360" t="n"/>
      <c r="X551" s="360" t="n"/>
      <c r="Y551" s="360" t="inlineStr">
        <is>
          <t>ហូលីដេ ឌីហ្សាញ (ខេមបូឌា) ឯ.ក</t>
        </is>
      </c>
      <c r="Z551" s="362" t="n"/>
      <c r="AA551" s="362" t="n"/>
      <c r="AB551" s="360" t="n"/>
      <c r="AC551" s="360" t="n"/>
      <c r="AD551" s="362" t="n">
        <v>190895</v>
      </c>
      <c r="AE551" s="360" t="n"/>
      <c r="AF551" s="615" t="n"/>
      <c r="AN551" s="203" t="inlineStr">
        <is>
          <t>Truking / Service</t>
        </is>
      </c>
    </row>
    <row r="552">
      <c r="A552" s="220">
        <f>A551+1</f>
        <v/>
      </c>
      <c r="B552" s="222" t="inlineStr">
        <is>
          <t>Trucking &amp; Clearance-Ex</t>
        </is>
      </c>
      <c r="C552" s="222" t="inlineStr">
        <is>
          <t>BRILLIANT TRANSPORT AND TRADING Co., Ltd.</t>
        </is>
      </c>
      <c r="D552" s="223" t="inlineStr">
        <is>
          <t>K002-100089305</t>
        </is>
      </c>
      <c r="E552" s="349" t="inlineStr">
        <is>
          <t>BTT25-0001018</t>
        </is>
      </c>
      <c r="F552" s="332" t="n">
        <v>45793</v>
      </c>
      <c r="G552" s="224" t="n"/>
      <c r="H552" s="617" t="n"/>
      <c r="I552" s="617" t="n">
        <v>203302</v>
      </c>
      <c r="J552" s="221" t="inlineStr">
        <is>
          <t>អនុញ្ញាត (បានប្រកាស)</t>
        </is>
      </c>
      <c r="K552" s="618" t="n"/>
      <c r="L552" s="616">
        <f>I552</f>
        <v/>
      </c>
      <c r="M552" s="588">
        <f>I552-L552</f>
        <v/>
      </c>
      <c r="N552" s="221" t="n"/>
      <c r="O552" s="226">
        <f>U552=E552</f>
        <v/>
      </c>
      <c r="P552" s="226">
        <f>MONTH(F552)-MONTH(T552)</f>
        <v/>
      </c>
      <c r="Q552" s="226">
        <f>$B$5=X552</f>
        <v/>
      </c>
      <c r="R552" s="226">
        <f>I552-AD552</f>
        <v/>
      </c>
      <c r="S552" s="360" t="n"/>
      <c r="T552" s="361" t="n">
        <v>45793</v>
      </c>
      <c r="U552" s="360" t="inlineStr">
        <is>
          <t>BTT25-0001018</t>
        </is>
      </c>
      <c r="V552" s="360" t="n"/>
      <c r="W552" s="360" t="n"/>
      <c r="X552" s="360" t="n"/>
      <c r="Y552" s="360" t="inlineStr">
        <is>
          <t>ហូលីដេ ឌីហ្សាញ (ខេមបូឌា) ឯ.ក</t>
        </is>
      </c>
      <c r="Z552" s="362" t="n"/>
      <c r="AA552" s="362" t="n"/>
      <c r="AB552" s="360" t="n"/>
      <c r="AC552" s="360" t="n"/>
      <c r="AD552" s="362" t="n">
        <v>203302</v>
      </c>
      <c r="AE552" s="360" t="n"/>
      <c r="AF552" s="615" t="n"/>
      <c r="AN552" s="203" t="inlineStr">
        <is>
          <t>Truking / Service</t>
        </is>
      </c>
    </row>
    <row r="553">
      <c r="A553" s="220">
        <f>A552+1</f>
        <v/>
      </c>
      <c r="B553" s="222" t="inlineStr">
        <is>
          <t>Lift-Off-Ex</t>
        </is>
      </c>
      <c r="C553" s="222" t="inlineStr">
        <is>
          <t>PHNOM PENH AUTONOMOUS PORT "PPAP"</t>
        </is>
      </c>
      <c r="D553" s="223" t="inlineStr">
        <is>
          <t>L001-100044999</t>
        </is>
      </c>
      <c r="E553" s="349" t="inlineStr">
        <is>
          <t>INV20250539570</t>
        </is>
      </c>
      <c r="F553" s="332" t="n">
        <v>45797</v>
      </c>
      <c r="G553" s="224" t="n"/>
      <c r="H553" s="617" t="n"/>
      <c r="I553" s="617" t="n">
        <v>46435</v>
      </c>
      <c r="J553" s="221" t="inlineStr">
        <is>
          <t>អនុញ្ញាត (បានប្រកាស)</t>
        </is>
      </c>
      <c r="K553" s="618">
        <f>L553</f>
        <v/>
      </c>
      <c r="L553" s="616">
        <f>AD553</f>
        <v/>
      </c>
      <c r="M553" s="588">
        <f>I553-L553</f>
        <v/>
      </c>
      <c r="N553" s="221" t="n"/>
      <c r="O553" s="226">
        <f>U553=E553</f>
        <v/>
      </c>
      <c r="P553" s="226">
        <f>MONTH(F553)-MONTH(T553)</f>
        <v/>
      </c>
      <c r="Q553" s="226">
        <f>$B$5=X553</f>
        <v/>
      </c>
      <c r="R553" s="226">
        <f>I553-AD553</f>
        <v/>
      </c>
      <c r="S553" s="360" t="n"/>
      <c r="T553" s="361" t="n">
        <v>45797</v>
      </c>
      <c r="U553" s="360" t="inlineStr">
        <is>
          <t>INV20250539570</t>
        </is>
      </c>
      <c r="V553" s="360" t="n">
        <v>0</v>
      </c>
      <c r="W553" s="360" t="inlineStr">
        <is>
          <t>បុគ្គលជាប់អាករ</t>
        </is>
      </c>
      <c r="X553" s="360" t="inlineStr">
        <is>
          <t>L001-901640009</t>
        </is>
      </c>
      <c r="Y553" s="360" t="inlineStr">
        <is>
          <t>ហូលីដេ ឌីហ្សាញ (ខេមបូឌា) ឯ.ក</t>
        </is>
      </c>
      <c r="Z553" s="362" t="n">
        <v>510653</v>
      </c>
      <c r="AA553" s="362" t="n">
        <v>464230</v>
      </c>
      <c r="AB553" s="360" t="n">
        <v>0</v>
      </c>
      <c r="AC553" s="360" t="inlineStr">
        <is>
          <t>-</t>
        </is>
      </c>
      <c r="AD553" s="362" t="n">
        <v>46423</v>
      </c>
      <c r="AE553" s="360" t="n">
        <v>0</v>
      </c>
      <c r="AF553" s="615" t="n">
        <v>0</v>
      </c>
      <c r="AG553" s="203" t="n">
        <v>0</v>
      </c>
      <c r="AH553" s="203" t="n">
        <v>0</v>
      </c>
      <c r="AI553" s="203" t="n">
        <v>0</v>
      </c>
      <c r="AJ553" s="203" t="n">
        <v>0</v>
      </c>
      <c r="AK553" s="203" t="n">
        <v>0</v>
      </c>
      <c r="AL553" s="203" t="n">
        <v>0.01</v>
      </c>
      <c r="AM553" s="203" t="n">
        <v>0</v>
      </c>
      <c r="AN553" s="203" t="inlineStr">
        <is>
          <t>ចំណូលពីសេវាកម្ម (លើកដាក់ទំនិញ)</t>
        </is>
      </c>
    </row>
    <row r="554">
      <c r="A554" s="220">
        <f>A553+1</f>
        <v/>
      </c>
      <c r="B554" s="222" t="inlineStr">
        <is>
          <t>Trucking &amp; Clearance-Ex</t>
        </is>
      </c>
      <c r="C554" s="222" t="inlineStr">
        <is>
          <t>BRILLIANT TRANSPORT AND TRADING Co., Ltd.</t>
        </is>
      </c>
      <c r="D554" s="223" t="inlineStr">
        <is>
          <t>K002-100089305</t>
        </is>
      </c>
      <c r="E554" s="349" t="inlineStr">
        <is>
          <t>BTT25-0001021</t>
        </is>
      </c>
      <c r="F554" s="332" t="n">
        <v>45793</v>
      </c>
      <c r="G554" s="224" t="n"/>
      <c r="H554" s="617" t="n"/>
      <c r="I554" s="617" t="n">
        <v>394197</v>
      </c>
      <c r="J554" s="221" t="inlineStr">
        <is>
          <t>អនុញ្ញាត (បានប្រកាស)</t>
        </is>
      </c>
      <c r="K554" s="618" t="n"/>
      <c r="L554" s="616">
        <f>I554</f>
        <v/>
      </c>
      <c r="M554" s="588">
        <f>I554-L554</f>
        <v/>
      </c>
      <c r="N554" s="221" t="n"/>
      <c r="O554" s="226">
        <f>U554=E554</f>
        <v/>
      </c>
      <c r="P554" s="226">
        <f>MONTH(F554)-MONTH(T554)</f>
        <v/>
      </c>
      <c r="Q554" s="226">
        <f>$B$5=X554</f>
        <v/>
      </c>
      <c r="R554" s="226">
        <f>I554-AD554</f>
        <v/>
      </c>
      <c r="S554" s="360" t="inlineStr">
        <is>
          <t>Wrong invoice number</t>
        </is>
      </c>
      <c r="T554" s="361" t="n">
        <v>45793</v>
      </c>
      <c r="U554" s="360" t="inlineStr">
        <is>
          <t>BTT25-0001021</t>
        </is>
      </c>
      <c r="V554" s="619" t="n"/>
      <c r="W554" s="360" t="n"/>
      <c r="X554" s="360" t="n"/>
      <c r="Y554" s="360" t="inlineStr">
        <is>
          <t>ហូលីដេ ឌីហ្សាញ (ខេមបូឌា) ឯ.ក</t>
        </is>
      </c>
      <c r="Z554" s="362" t="n"/>
      <c r="AA554" s="362" t="n"/>
      <c r="AB554" s="360" t="n"/>
      <c r="AC554" s="360" t="n"/>
      <c r="AD554" s="362" t="n">
        <v>394197</v>
      </c>
      <c r="AE554" s="360" t="n"/>
      <c r="AF554" s="615" t="n"/>
      <c r="AN554" s="203" t="inlineStr">
        <is>
          <t>Truking / Service</t>
        </is>
      </c>
    </row>
    <row r="555">
      <c r="A555" s="220">
        <f>A554+1</f>
        <v/>
      </c>
      <c r="B555" s="222" t="inlineStr">
        <is>
          <t>Lift-Off-Ex</t>
        </is>
      </c>
      <c r="C555" s="222" t="inlineStr">
        <is>
          <t>PHNOM PENH AUTONOMOUS PORT "PPAP"</t>
        </is>
      </c>
      <c r="D555" s="223" t="inlineStr">
        <is>
          <t>L001-100044999</t>
        </is>
      </c>
      <c r="E555" s="349" t="inlineStr">
        <is>
          <t>INV20250539571</t>
        </is>
      </c>
      <c r="F555" s="332" t="n">
        <v>45797</v>
      </c>
      <c r="G555" s="224" t="n"/>
      <c r="H555" s="617" t="n"/>
      <c r="I555" s="617" t="n">
        <v>28021</v>
      </c>
      <c r="J555" s="221" t="inlineStr">
        <is>
          <t>អនុញ្ញាត (បានប្រកាស)</t>
        </is>
      </c>
      <c r="K555" s="618">
        <f>L555</f>
        <v/>
      </c>
      <c r="L555" s="616">
        <f>AD555</f>
        <v/>
      </c>
      <c r="M555" s="588">
        <f>I555-L555</f>
        <v/>
      </c>
      <c r="N555" s="221" t="n"/>
      <c r="O555" s="226">
        <f>U555=E555</f>
        <v/>
      </c>
      <c r="P555" s="226">
        <f>MONTH(F555)-MONTH(T555)</f>
        <v/>
      </c>
      <c r="Q555" s="226">
        <f>$B$5=X555</f>
        <v/>
      </c>
      <c r="R555" s="226">
        <f>I555-AD555</f>
        <v/>
      </c>
      <c r="S555" s="360" t="n"/>
      <c r="T555" s="361" t="n">
        <v>45797</v>
      </c>
      <c r="U555" s="360" t="inlineStr">
        <is>
          <t>INV20250539571</t>
        </is>
      </c>
      <c r="V555" s="360" t="n">
        <v>0</v>
      </c>
      <c r="W555" s="360" t="inlineStr">
        <is>
          <t>បុគ្គលជាប់អាករ</t>
        </is>
      </c>
      <c r="X555" s="360" t="inlineStr">
        <is>
          <t>L001-901640009</t>
        </is>
      </c>
      <c r="Y555" s="360" t="inlineStr">
        <is>
          <t>ហូលីដេ ឌីហ្សាញ (ខេមបូឌា) ឯ.ក</t>
        </is>
      </c>
      <c r="Z555" s="362" t="n">
        <v>308154</v>
      </c>
      <c r="AA555" s="362" t="n">
        <v>280140</v>
      </c>
      <c r="AB555" s="360" t="n">
        <v>0</v>
      </c>
      <c r="AC555" s="360" t="inlineStr">
        <is>
          <t>-</t>
        </is>
      </c>
      <c r="AD555" s="362" t="n">
        <v>28014</v>
      </c>
      <c r="AE555" s="360" t="n">
        <v>0</v>
      </c>
      <c r="AF555" s="615" t="n">
        <v>0</v>
      </c>
      <c r="AG555" s="203" t="n">
        <v>0</v>
      </c>
      <c r="AH555" s="203" t="n">
        <v>0</v>
      </c>
      <c r="AI555" s="203" t="n">
        <v>0</v>
      </c>
      <c r="AJ555" s="203" t="n">
        <v>0</v>
      </c>
      <c r="AK555" s="203" t="n">
        <v>0</v>
      </c>
      <c r="AL555" s="203" t="n">
        <v>0.01</v>
      </c>
      <c r="AM555" s="203" t="n">
        <v>0</v>
      </c>
      <c r="AN555" s="203" t="inlineStr">
        <is>
          <t>ចំណូលពីសេវាកម្ម (លើកដាក់ទំនិញ)</t>
        </is>
      </c>
    </row>
    <row r="556">
      <c r="A556" s="220">
        <f>A555+1</f>
        <v/>
      </c>
      <c r="B556" s="222" t="inlineStr">
        <is>
          <t>Trucking &amp; Clearance-Ex</t>
        </is>
      </c>
      <c r="C556" s="222" t="inlineStr">
        <is>
          <t>BRILLIANT TRANSPORT AND TRADING Co., Ltd.</t>
        </is>
      </c>
      <c r="D556" s="223" t="inlineStr">
        <is>
          <t>K002-100089305</t>
        </is>
      </c>
      <c r="E556" s="349" t="inlineStr">
        <is>
          <t>BTT25-0001020</t>
        </is>
      </c>
      <c r="F556" s="332" t="n">
        <v>45793</v>
      </c>
      <c r="G556" s="224" t="n"/>
      <c r="H556" s="617" t="n"/>
      <c r="I556" s="617" t="n">
        <v>203302</v>
      </c>
      <c r="J556" s="221" t="inlineStr">
        <is>
          <t>អនុញ្ញាត (បានប្រកាស)</t>
        </is>
      </c>
      <c r="K556" s="618" t="n"/>
      <c r="L556" s="616">
        <f>I556</f>
        <v/>
      </c>
      <c r="M556" s="588">
        <f>I556-L556</f>
        <v/>
      </c>
      <c r="N556" s="221" t="n"/>
      <c r="O556" s="226">
        <f>U556=E556</f>
        <v/>
      </c>
      <c r="P556" s="226">
        <f>MONTH(F556)-MONTH(T556)</f>
        <v/>
      </c>
      <c r="Q556" s="226">
        <f>$B$5=X556</f>
        <v/>
      </c>
      <c r="R556" s="226">
        <f>I556-AD556</f>
        <v/>
      </c>
      <c r="S556" s="360" t="n"/>
      <c r="T556" s="361" t="n">
        <v>45793</v>
      </c>
      <c r="U556" s="360" t="inlineStr">
        <is>
          <t>BTT25-0001020</t>
        </is>
      </c>
      <c r="V556" s="360" t="n"/>
      <c r="W556" s="360" t="n"/>
      <c r="X556" s="360" t="n"/>
      <c r="Y556" s="360" t="inlineStr">
        <is>
          <t>ហូលីដេ ឌីហ្សាញ (ខេមបូឌា) ឯ.ក</t>
        </is>
      </c>
      <c r="Z556" s="362" t="n"/>
      <c r="AA556" s="362" t="n"/>
      <c r="AB556" s="360" t="n"/>
      <c r="AC556" s="360" t="n"/>
      <c r="AD556" s="362" t="n">
        <v>203302</v>
      </c>
      <c r="AE556" s="360" t="n"/>
      <c r="AF556" s="615" t="n"/>
      <c r="AN556" s="203" t="inlineStr">
        <is>
          <t>Truking / Service</t>
        </is>
      </c>
    </row>
    <row r="557">
      <c r="A557" s="220">
        <f>A556+1</f>
        <v/>
      </c>
      <c r="B557" s="222" t="inlineStr">
        <is>
          <t>Lift-Off-Ex</t>
        </is>
      </c>
      <c r="C557" s="222" t="inlineStr">
        <is>
          <t>PHNOM PENH AUTONOMOUS PORT "PPAP"</t>
        </is>
      </c>
      <c r="D557" s="223" t="inlineStr">
        <is>
          <t>L001-100044999</t>
        </is>
      </c>
      <c r="E557" s="349" t="inlineStr">
        <is>
          <t>INV20250539579</t>
        </is>
      </c>
      <c r="F557" s="332" t="n">
        <v>45797</v>
      </c>
      <c r="G557" s="224" t="n"/>
      <c r="H557" s="617" t="n"/>
      <c r="I557" s="617" t="n">
        <v>28021</v>
      </c>
      <c r="J557" s="221" t="inlineStr">
        <is>
          <t>អនុញ្ញាត (បានប្រកាស)</t>
        </is>
      </c>
      <c r="K557" s="618">
        <f>L557</f>
        <v/>
      </c>
      <c r="L557" s="616">
        <f>AD557</f>
        <v/>
      </c>
      <c r="M557" s="588">
        <f>I557-L557</f>
        <v/>
      </c>
      <c r="N557" s="221" t="n"/>
      <c r="O557" s="226">
        <f>U557=E557</f>
        <v/>
      </c>
      <c r="P557" s="226">
        <f>MONTH(F557)-MONTH(T557)</f>
        <v/>
      </c>
      <c r="Q557" s="226">
        <f>$B$5=X557</f>
        <v/>
      </c>
      <c r="R557" s="226">
        <f>I557-AD557</f>
        <v/>
      </c>
      <c r="S557" s="360" t="n"/>
      <c r="T557" s="361" t="n">
        <v>45797</v>
      </c>
      <c r="U557" s="360" t="inlineStr">
        <is>
          <t>INV20250539579</t>
        </is>
      </c>
      <c r="V557" s="360" t="n">
        <v>0</v>
      </c>
      <c r="W557" s="360" t="inlineStr">
        <is>
          <t>បុគ្គលជាប់អាករ</t>
        </is>
      </c>
      <c r="X557" s="360" t="inlineStr">
        <is>
          <t>L001-901640009</t>
        </is>
      </c>
      <c r="Y557" s="360" t="inlineStr">
        <is>
          <t>ហូលីដេ ឌីហ្សាញ (ខេមបូឌា) ឯ.ក</t>
        </is>
      </c>
      <c r="Z557" s="362" t="n">
        <v>308154</v>
      </c>
      <c r="AA557" s="362" t="n">
        <v>280140</v>
      </c>
      <c r="AB557" s="360" t="n">
        <v>0</v>
      </c>
      <c r="AC557" s="360" t="inlineStr">
        <is>
          <t>-</t>
        </is>
      </c>
      <c r="AD557" s="362" t="n">
        <v>28014</v>
      </c>
      <c r="AE557" s="360" t="n">
        <v>0</v>
      </c>
      <c r="AF557" s="615" t="n">
        <v>0</v>
      </c>
      <c r="AG557" s="203" t="n">
        <v>0</v>
      </c>
      <c r="AH557" s="203" t="n">
        <v>0</v>
      </c>
      <c r="AI557" s="203" t="n">
        <v>0</v>
      </c>
      <c r="AJ557" s="203" t="n">
        <v>0</v>
      </c>
      <c r="AK557" s="203" t="n">
        <v>0</v>
      </c>
      <c r="AL557" s="203" t="n">
        <v>0.01</v>
      </c>
      <c r="AM557" s="203" t="n">
        <v>0</v>
      </c>
      <c r="AN557" s="203" t="inlineStr">
        <is>
          <t>ចំណូលពីសេវាកម្ម (លើកដាក់ទំនិញ)</t>
        </is>
      </c>
    </row>
    <row r="558">
      <c r="A558" s="220">
        <f>A557+1</f>
        <v/>
      </c>
      <c r="B558" s="222" t="inlineStr">
        <is>
          <t>Lift-Off-Ex</t>
        </is>
      </c>
      <c r="C558" s="222" t="inlineStr">
        <is>
          <t>Port Autonome Du Sihanoukville</t>
        </is>
      </c>
      <c r="D558" s="223" t="inlineStr">
        <is>
          <t>L001-100044638</t>
        </is>
      </c>
      <c r="E558" s="349" t="n">
        <v>202500105844</v>
      </c>
      <c r="F558" s="332" t="n">
        <v>45785</v>
      </c>
      <c r="G558" s="224" t="n"/>
      <c r="H558" s="617" t="n"/>
      <c r="I558" s="617" t="n">
        <v>6807</v>
      </c>
      <c r="J558" s="221" t="inlineStr">
        <is>
          <t>អនុញ្ញាត (បានប្រកាស)</t>
        </is>
      </c>
      <c r="K558" s="618" t="n"/>
      <c r="L558" s="616">
        <f>I558</f>
        <v/>
      </c>
      <c r="M558" s="588">
        <f>I558-L558</f>
        <v/>
      </c>
      <c r="N558" s="221" t="n"/>
      <c r="O558" s="226">
        <f>U558=E558</f>
        <v/>
      </c>
      <c r="P558" s="226">
        <f>MONTH(F558)-MONTH(T558)</f>
        <v/>
      </c>
      <c r="Q558" s="226">
        <f>$B$5=X558</f>
        <v/>
      </c>
      <c r="R558" s="226">
        <f>I558-AD558</f>
        <v/>
      </c>
      <c r="S558" s="360" t="n"/>
      <c r="T558" s="361" t="n">
        <v>45785</v>
      </c>
      <c r="U558" s="360" t="n">
        <v>202500105844</v>
      </c>
      <c r="V558" s="360" t="n"/>
      <c r="W558" s="360" t="inlineStr">
        <is>
          <t>បុគ្គលជាប់អាករ</t>
        </is>
      </c>
      <c r="X558" s="360" t="inlineStr">
        <is>
          <t>L001-901640009</t>
        </is>
      </c>
      <c r="Y558" s="360" t="inlineStr">
        <is>
          <t>ហូលីដេ ឌីហ្សាញ (ខេមបូឌា) ឯ.ក</t>
        </is>
      </c>
      <c r="Z558" s="362" t="n">
        <v>74875</v>
      </c>
      <c r="AA558" s="362" t="n">
        <v>68068</v>
      </c>
      <c r="AB558" s="360" t="n">
        <v>0</v>
      </c>
      <c r="AC558" s="360" t="inlineStr">
        <is>
          <t>-</t>
        </is>
      </c>
      <c r="AD558" s="362" t="n">
        <v>6807</v>
      </c>
      <c r="AE558" s="360" t="n"/>
      <c r="AF558" s="615" t="n"/>
    </row>
    <row r="559">
      <c r="A559" s="220">
        <f>A558+1</f>
        <v/>
      </c>
      <c r="B559" s="222" t="inlineStr">
        <is>
          <t>Trucking &amp; Clearance-Ex</t>
        </is>
      </c>
      <c r="C559" s="222" t="inlineStr">
        <is>
          <t>BRILLIANT TRANSPORT AND TRADING Co., Ltd.</t>
        </is>
      </c>
      <c r="D559" s="223" t="inlineStr">
        <is>
          <t>K002-100089305</t>
        </is>
      </c>
      <c r="E559" s="349" t="inlineStr">
        <is>
          <t>BTT25-0000981</t>
        </is>
      </c>
      <c r="F559" s="332" t="n">
        <v>45786</v>
      </c>
      <c r="G559" s="224" t="n"/>
      <c r="H559" s="617" t="n"/>
      <c r="I559" s="617" t="n">
        <v>398299</v>
      </c>
      <c r="J559" s="221" t="inlineStr">
        <is>
          <t>អនុញ្ញាត (បានប្រកាស)</t>
        </is>
      </c>
      <c r="K559" s="618" t="n"/>
      <c r="L559" s="616">
        <f>I559</f>
        <v/>
      </c>
      <c r="M559" s="588">
        <f>I559-L559</f>
        <v/>
      </c>
      <c r="N559" s="221" t="n"/>
      <c r="O559" s="226">
        <f>U559=E559</f>
        <v/>
      </c>
      <c r="P559" s="226">
        <f>MONTH(F559)-MONTH(T559)</f>
        <v/>
      </c>
      <c r="Q559" s="226">
        <f>$B$5=X559</f>
        <v/>
      </c>
      <c r="R559" s="226">
        <f>I559-AD559</f>
        <v/>
      </c>
      <c r="S559" s="360" t="n"/>
      <c r="T559" s="361" t="n">
        <v>45786</v>
      </c>
      <c r="U559" s="360" t="inlineStr">
        <is>
          <t>BTT25-0000981</t>
        </is>
      </c>
      <c r="V559" s="360" t="n"/>
      <c r="W559" s="360" t="n"/>
      <c r="X559" s="360" t="n"/>
      <c r="Y559" s="360" t="inlineStr">
        <is>
          <t>ហូលីដេ ឌីហ្សាញ (ខេមបូឌា) ឯ.ក</t>
        </is>
      </c>
      <c r="Z559" s="362" t="n"/>
      <c r="AA559" s="362" t="n"/>
      <c r="AB559" s="360" t="n"/>
      <c r="AC559" s="360" t="n"/>
      <c r="AD559" s="362" t="n">
        <v>398299</v>
      </c>
      <c r="AE559" s="360" t="n"/>
      <c r="AF559" s="615" t="n"/>
      <c r="AN559" s="203" t="inlineStr">
        <is>
          <t>Truking / Service</t>
        </is>
      </c>
    </row>
    <row r="560">
      <c r="A560" s="220">
        <f>A559+1</f>
        <v/>
      </c>
      <c r="B560" s="222" t="inlineStr">
        <is>
          <t>Trucking &amp; Clearance-Ex</t>
        </is>
      </c>
      <c r="C560" s="222" t="inlineStr">
        <is>
          <t>WANAKA LOGISTICS CO., LTD.</t>
        </is>
      </c>
      <c r="D560" s="223" t="inlineStr">
        <is>
          <t>K005-901907953</t>
        </is>
      </c>
      <c r="E560" s="349" t="inlineStr">
        <is>
          <t>WL25-002072</t>
        </is>
      </c>
      <c r="F560" s="332" t="n">
        <v>45805</v>
      </c>
      <c r="G560" s="224" t="n"/>
      <c r="H560" s="617" t="n"/>
      <c r="I560" s="617" t="n">
        <v>468585</v>
      </c>
      <c r="J560" s="221" t="inlineStr">
        <is>
          <t>អនុញ្ញាត (បានប្រកាស)</t>
        </is>
      </c>
      <c r="K560" s="618" t="n"/>
      <c r="L560" s="616">
        <f>I560</f>
        <v/>
      </c>
      <c r="M560" s="588">
        <f>I560-L560</f>
        <v/>
      </c>
      <c r="N560" s="221" t="n"/>
      <c r="O560" s="226">
        <f>U560=E560</f>
        <v/>
      </c>
      <c r="P560" s="226">
        <f>MONTH(F560)-MONTH(T560)</f>
        <v/>
      </c>
      <c r="Q560" s="226">
        <f>$B$5=X560</f>
        <v/>
      </c>
      <c r="R560" s="226">
        <f>I560-AD560</f>
        <v/>
      </c>
      <c r="S560" s="360" t="n"/>
      <c r="T560" s="361" t="n">
        <v>45805</v>
      </c>
      <c r="U560" s="360" t="inlineStr">
        <is>
          <t>WL25-002072</t>
        </is>
      </c>
      <c r="V560" s="360" t="n"/>
      <c r="W560" s="360" t="n"/>
      <c r="X560" s="360" t="n"/>
      <c r="Y560" s="360" t="inlineStr">
        <is>
          <t>ហូលីដេ ឌីហ្សាញ (ខេមបូឌា) ឯ.ក</t>
        </is>
      </c>
      <c r="Z560" s="362" t="n"/>
      <c r="AA560" s="362" t="n"/>
      <c r="AB560" s="360" t="n"/>
      <c r="AC560" s="360" t="n"/>
      <c r="AD560" s="362" t="n">
        <v>468585</v>
      </c>
      <c r="AE560" s="360" t="n"/>
      <c r="AF560" s="615" t="n"/>
    </row>
    <row r="561">
      <c r="A561" s="220">
        <f>A560+1</f>
        <v/>
      </c>
      <c r="B561" s="222" t="inlineStr">
        <is>
          <t>Lift-Off-Ex</t>
        </is>
      </c>
      <c r="C561" s="222" t="inlineStr">
        <is>
          <t>PHNOM PENH AUTONOMOUS PORT "PPAP"</t>
        </is>
      </c>
      <c r="D561" s="223" t="inlineStr">
        <is>
          <t>L001-100044999</t>
        </is>
      </c>
      <c r="E561" s="349" t="inlineStr">
        <is>
          <t>INV20250542471</t>
        </is>
      </c>
      <c r="F561" s="332" t="n">
        <v>45805</v>
      </c>
      <c r="G561" s="224" t="n"/>
      <c r="H561" s="617" t="n"/>
      <c r="I561" s="617" t="n">
        <v>28021</v>
      </c>
      <c r="J561" s="221" t="inlineStr">
        <is>
          <t>អនុញ្ញាត (បានប្រកាស)</t>
        </is>
      </c>
      <c r="K561" s="618" t="n"/>
      <c r="L561" s="616">
        <f>I561</f>
        <v/>
      </c>
      <c r="M561" s="588">
        <f>I561-L561</f>
        <v/>
      </c>
      <c r="N561" s="221" t="n"/>
      <c r="O561" s="226">
        <f>U561=E561</f>
        <v/>
      </c>
      <c r="P561" s="226">
        <f>MONTH(F561)-MONTH(T561)</f>
        <v/>
      </c>
      <c r="Q561" s="226">
        <f>$B$5=X561</f>
        <v/>
      </c>
      <c r="R561" s="226">
        <f>I561-AD561</f>
        <v/>
      </c>
      <c r="S561" s="360" t="n"/>
      <c r="T561" s="361" t="n">
        <v>45805</v>
      </c>
      <c r="U561" s="360" t="inlineStr">
        <is>
          <t>INV20250542471</t>
        </is>
      </c>
      <c r="V561" s="360" t="n">
        <v>0</v>
      </c>
      <c r="W561" s="360" t="inlineStr">
        <is>
          <t>បុគ្គលជាប់អាករ</t>
        </is>
      </c>
      <c r="X561" s="360" t="inlineStr">
        <is>
          <t>L001-901640009</t>
        </is>
      </c>
      <c r="Y561" s="360" t="inlineStr">
        <is>
          <t>ហូលីដេ ឌីហ្សាញ (ខេមបូឌា) ឯ.ក</t>
        </is>
      </c>
      <c r="Z561" s="362" t="n">
        <v>308231</v>
      </c>
      <c r="AA561" s="362" t="n">
        <v>280210</v>
      </c>
      <c r="AB561" s="360" t="n">
        <v>0</v>
      </c>
      <c r="AC561" s="360" t="inlineStr">
        <is>
          <t>-</t>
        </is>
      </c>
      <c r="AD561" s="362" t="n">
        <v>28021</v>
      </c>
      <c r="AE561" s="360" t="n">
        <v>0</v>
      </c>
      <c r="AF561" s="615" t="n">
        <v>0</v>
      </c>
      <c r="AG561" s="203" t="n">
        <v>0</v>
      </c>
      <c r="AH561" s="203" t="n">
        <v>0</v>
      </c>
      <c r="AI561" s="203" t="n">
        <v>0</v>
      </c>
      <c r="AJ561" s="203" t="n">
        <v>0</v>
      </c>
      <c r="AK561" s="203" t="n">
        <v>0</v>
      </c>
      <c r="AL561" s="203" t="n">
        <v>0.01</v>
      </c>
      <c r="AM561" s="203" t="n">
        <v>0</v>
      </c>
      <c r="AN561" s="203" t="inlineStr">
        <is>
          <t>ចំណូលពីសេវាកម្ម (លើកដាក់ទំនិញ)</t>
        </is>
      </c>
    </row>
    <row r="562">
      <c r="A562" s="220">
        <f>A561+1</f>
        <v/>
      </c>
      <c r="B562" s="222" t="inlineStr">
        <is>
          <t>Trucking &amp; Clearance-Ex</t>
        </is>
      </c>
      <c r="C562" s="222" t="inlineStr">
        <is>
          <t>WANAKA LOGISTICS CO., LTD.</t>
        </is>
      </c>
      <c r="D562" s="223" t="inlineStr">
        <is>
          <t>K005-901907953</t>
        </is>
      </c>
      <c r="E562" s="349" t="inlineStr">
        <is>
          <t>WL25-001902</t>
        </is>
      </c>
      <c r="F562" s="332" t="n">
        <v>45805</v>
      </c>
      <c r="G562" s="224" t="n"/>
      <c r="H562" s="617" t="n"/>
      <c r="I562" s="617" t="n">
        <v>176132</v>
      </c>
      <c r="J562" s="221" t="inlineStr">
        <is>
          <t>អនុញ្ញាត (បានប្រកាស)</t>
        </is>
      </c>
      <c r="K562" s="618" t="n"/>
      <c r="L562" s="616">
        <f>I562</f>
        <v/>
      </c>
      <c r="M562" s="588">
        <f>I562-L562</f>
        <v/>
      </c>
      <c r="N562" s="221" t="n"/>
      <c r="O562" s="226">
        <f>U562=E562</f>
        <v/>
      </c>
      <c r="P562" s="226">
        <f>MONTH(F562)-MONTH(T562)</f>
        <v/>
      </c>
      <c r="Q562" s="226">
        <f>$B$5=X562</f>
        <v/>
      </c>
      <c r="R562" s="226">
        <f>I562-AD562</f>
        <v/>
      </c>
      <c r="S562" s="360" t="n"/>
      <c r="T562" s="361" t="n">
        <v>45805</v>
      </c>
      <c r="U562" s="360" t="inlineStr">
        <is>
          <t>WL25-001902</t>
        </is>
      </c>
      <c r="V562" s="360" t="n"/>
      <c r="W562" s="360" t="n"/>
      <c r="X562" s="360" t="n"/>
      <c r="Y562" s="360" t="inlineStr">
        <is>
          <t>ហូលីដេ ឌីហ្សាញ (ខេមបូឌា) ឯ.ក</t>
        </is>
      </c>
      <c r="Z562" s="362" t="n"/>
      <c r="AA562" s="362" t="n"/>
      <c r="AB562" s="360" t="n"/>
      <c r="AC562" s="360" t="n"/>
      <c r="AD562" s="362" t="n">
        <v>176132</v>
      </c>
      <c r="AE562" s="360" t="n"/>
      <c r="AF562" s="615" t="n"/>
    </row>
    <row r="563">
      <c r="A563" s="220">
        <f>A562+1</f>
        <v/>
      </c>
      <c r="B563" s="222" t="inlineStr">
        <is>
          <t>Lift-Off-Ex</t>
        </is>
      </c>
      <c r="C563" s="222" t="inlineStr">
        <is>
          <t>PHNOM PENH AUTONOMOUS PORT "PPAP"</t>
        </is>
      </c>
      <c r="D563" s="223" t="inlineStr">
        <is>
          <t>L001-100044999</t>
        </is>
      </c>
      <c r="E563" s="349" t="inlineStr">
        <is>
          <t>INV20250542472</t>
        </is>
      </c>
      <c r="F563" s="332" t="n">
        <v>45805</v>
      </c>
      <c r="G563" s="224" t="n"/>
      <c r="H563" s="617" t="n"/>
      <c r="I563" s="617" t="n">
        <v>28021</v>
      </c>
      <c r="J563" s="221" t="inlineStr">
        <is>
          <t>អនុញ្ញាត (បានប្រកាស)</t>
        </is>
      </c>
      <c r="K563" s="618" t="n"/>
      <c r="L563" s="616">
        <f>I563</f>
        <v/>
      </c>
      <c r="M563" s="588">
        <f>I563-L563</f>
        <v/>
      </c>
      <c r="N563" s="221" t="n"/>
      <c r="O563" s="226">
        <f>U563=E563</f>
        <v/>
      </c>
      <c r="P563" s="226">
        <f>MONTH(F563)-MONTH(T563)</f>
        <v/>
      </c>
      <c r="Q563" s="226">
        <f>$B$5=X563</f>
        <v/>
      </c>
      <c r="R563" s="226">
        <f>I563-AD563</f>
        <v/>
      </c>
      <c r="S563" s="360" t="n"/>
      <c r="T563" s="361" t="n">
        <v>45805</v>
      </c>
      <c r="U563" s="360" t="inlineStr">
        <is>
          <t>INV20250542472</t>
        </is>
      </c>
      <c r="V563" s="360" t="n">
        <v>0</v>
      </c>
      <c r="W563" s="360" t="inlineStr">
        <is>
          <t>បុគ្គលជាប់អាករ</t>
        </is>
      </c>
      <c r="X563" s="360" t="inlineStr">
        <is>
          <t>L001-901640009</t>
        </is>
      </c>
      <c r="Y563" s="360" t="inlineStr">
        <is>
          <t>ហូលីដេ ឌីហ្សាញ (ខេមបូឌា) ឯ.ក</t>
        </is>
      </c>
      <c r="Z563" s="362" t="n">
        <v>308231</v>
      </c>
      <c r="AA563" s="362" t="n">
        <v>280210</v>
      </c>
      <c r="AB563" s="360" t="n">
        <v>0</v>
      </c>
      <c r="AC563" s="360" t="inlineStr">
        <is>
          <t>-</t>
        </is>
      </c>
      <c r="AD563" s="362" t="n">
        <v>28021</v>
      </c>
      <c r="AE563" s="360" t="n">
        <v>0</v>
      </c>
      <c r="AF563" s="615" t="n">
        <v>0</v>
      </c>
      <c r="AG563" s="203" t="n">
        <v>0</v>
      </c>
      <c r="AH563" s="203" t="n">
        <v>0</v>
      </c>
      <c r="AI563" s="203" t="n">
        <v>0</v>
      </c>
      <c r="AJ563" s="203" t="n">
        <v>0</v>
      </c>
      <c r="AK563" s="203" t="n">
        <v>0</v>
      </c>
      <c r="AL563" s="203" t="n">
        <v>0.01</v>
      </c>
      <c r="AM563" s="203" t="n">
        <v>0</v>
      </c>
      <c r="AN563" s="203" t="inlineStr">
        <is>
          <t>ចំណូលពីសេវាកម្ម (លើកដាក់ទំនិញ)</t>
        </is>
      </c>
    </row>
    <row r="564">
      <c r="A564" s="220">
        <f>A563+1</f>
        <v/>
      </c>
      <c r="B564" s="222" t="inlineStr">
        <is>
          <t>Trucking &amp; Clearance-Ex</t>
        </is>
      </c>
      <c r="C564" s="222" t="inlineStr">
        <is>
          <t>WANAKA LOGISTICS CO., LTD.</t>
        </is>
      </c>
      <c r="D564" s="223" t="inlineStr">
        <is>
          <t>K005-901907953</t>
        </is>
      </c>
      <c r="E564" s="349" t="inlineStr">
        <is>
          <t>WL25-001901</t>
        </is>
      </c>
      <c r="F564" s="332" t="n">
        <v>45805</v>
      </c>
      <c r="G564" s="224" t="n"/>
      <c r="H564" s="617" t="n"/>
      <c r="I564" s="617" t="n">
        <v>156117</v>
      </c>
      <c r="J564" s="221" t="inlineStr">
        <is>
          <t>អនុញ្ញាត (បានប្រកាស)</t>
        </is>
      </c>
      <c r="K564" s="618" t="n"/>
      <c r="L564" s="616">
        <f>I564</f>
        <v/>
      </c>
      <c r="M564" s="588">
        <f>I564-L564</f>
        <v/>
      </c>
      <c r="N564" s="221" t="n"/>
      <c r="O564" s="226">
        <f>U564=E564</f>
        <v/>
      </c>
      <c r="P564" s="226">
        <f>MONTH(F564)-MONTH(T564)</f>
        <v/>
      </c>
      <c r="Q564" s="226">
        <f>$B$5=X564</f>
        <v/>
      </c>
      <c r="R564" s="226">
        <f>I564-AD564</f>
        <v/>
      </c>
      <c r="S564" s="360" t="n"/>
      <c r="T564" s="361" t="n">
        <v>45805</v>
      </c>
      <c r="U564" s="360" t="inlineStr">
        <is>
          <t>WL25-001901</t>
        </is>
      </c>
      <c r="V564" s="360" t="n"/>
      <c r="W564" s="360" t="n"/>
      <c r="X564" s="360" t="n"/>
      <c r="Y564" s="360" t="inlineStr">
        <is>
          <t>ហូលីដេ ឌីហ្សាញ (ខេមបូឌា) ឯ.ក</t>
        </is>
      </c>
      <c r="Z564" s="362" t="n"/>
      <c r="AA564" s="362" t="n"/>
      <c r="AB564" s="360" t="n"/>
      <c r="AC564" s="360" t="n"/>
      <c r="AD564" s="362" t="n">
        <v>156117</v>
      </c>
      <c r="AE564" s="360" t="n"/>
      <c r="AF564" s="615" t="n"/>
    </row>
    <row r="565">
      <c r="A565" s="220">
        <f>A564+1</f>
        <v/>
      </c>
      <c r="B565" s="222" t="inlineStr">
        <is>
          <t>Storage 40 Feet Container-Ex</t>
        </is>
      </c>
      <c r="C565" s="222" t="inlineStr">
        <is>
          <t>PHNOM PENH AUTONOMOUS PORT "PPAP"</t>
        </is>
      </c>
      <c r="D565" s="223" t="inlineStr">
        <is>
          <t>L001-100044999</t>
        </is>
      </c>
      <c r="E565" s="349" t="inlineStr">
        <is>
          <t>INV20250542851</t>
        </is>
      </c>
      <c r="F565" s="332" t="n">
        <v>45807</v>
      </c>
      <c r="G565" s="224" t="n"/>
      <c r="H565" s="617" t="n"/>
      <c r="I565" s="617" t="n">
        <v>2403</v>
      </c>
      <c r="J565" s="221" t="inlineStr">
        <is>
          <t>អនុញ្ញាត (បានប្រកាស)</t>
        </is>
      </c>
      <c r="K565" s="618" t="n"/>
      <c r="L565" s="616">
        <f>I565</f>
        <v/>
      </c>
      <c r="M565" s="588">
        <f>I565-L565</f>
        <v/>
      </c>
      <c r="N565" s="221" t="n"/>
      <c r="O565" s="226">
        <f>U565=E565</f>
        <v/>
      </c>
      <c r="P565" s="226">
        <f>MONTH(F565)-MONTH(T565)</f>
        <v/>
      </c>
      <c r="Q565" s="226">
        <f>$B$5=X565</f>
        <v/>
      </c>
      <c r="R565" s="226">
        <f>I565-AD565</f>
        <v/>
      </c>
      <c r="S565" s="360" t="n"/>
      <c r="T565" s="361" t="n">
        <v>45807</v>
      </c>
      <c r="U565" s="360" t="inlineStr">
        <is>
          <t>INV20250542851</t>
        </is>
      </c>
      <c r="V565" s="360" t="n">
        <v>0</v>
      </c>
      <c r="W565" s="360" t="inlineStr">
        <is>
          <t>បុគ្គលជាប់អាករ</t>
        </is>
      </c>
      <c r="X565" s="360" t="inlineStr">
        <is>
          <t>L001-901640009</t>
        </is>
      </c>
      <c r="Y565" s="360" t="inlineStr">
        <is>
          <t>ហូលីដេ ឌីហ្សាញ (ខេមបូឌា) ឯ.ក</t>
        </is>
      </c>
      <c r="Z565" s="362" t="n">
        <v>26433</v>
      </c>
      <c r="AA565" s="362" t="n">
        <v>24030</v>
      </c>
      <c r="AB565" s="360" t="n">
        <v>0</v>
      </c>
      <c r="AC565" s="360" t="inlineStr">
        <is>
          <t>-</t>
        </is>
      </c>
      <c r="AD565" s="362" t="n">
        <v>2403</v>
      </c>
      <c r="AE565" s="360" t="n">
        <v>0</v>
      </c>
      <c r="AF565" s="615" t="n">
        <v>0</v>
      </c>
      <c r="AG565" s="203" t="n">
        <v>0</v>
      </c>
      <c r="AH565" s="203" t="n">
        <v>0</v>
      </c>
      <c r="AI565" s="203" t="n">
        <v>0</v>
      </c>
      <c r="AJ565" s="203" t="n">
        <v>0</v>
      </c>
      <c r="AK565" s="203" t="n">
        <v>0</v>
      </c>
      <c r="AL565" s="203" t="n">
        <v>0.01</v>
      </c>
      <c r="AM565" s="203" t="n">
        <v>0</v>
      </c>
      <c r="AN565" s="203" t="inlineStr">
        <is>
          <t>ចំណូលពីសេវាកម្ម (លើកដាក់ទំនិញ)</t>
        </is>
      </c>
    </row>
    <row r="566">
      <c r="A566" s="220">
        <f>A565+1</f>
        <v/>
      </c>
      <c r="B566" s="222" t="inlineStr">
        <is>
          <t>Lift-Off-Ex</t>
        </is>
      </c>
      <c r="C566" s="222" t="inlineStr">
        <is>
          <t>PHNOM PENH AUTONOMOUS PORT "PPAP"</t>
        </is>
      </c>
      <c r="D566" s="223" t="inlineStr">
        <is>
          <t>L001-100044999</t>
        </is>
      </c>
      <c r="E566" s="349" t="inlineStr">
        <is>
          <t>INV20250542477</t>
        </is>
      </c>
      <c r="F566" s="332" t="n">
        <v>45805</v>
      </c>
      <c r="G566" s="224" t="n"/>
      <c r="H566" s="617" t="n"/>
      <c r="I566" s="617" t="n">
        <v>28021</v>
      </c>
      <c r="J566" s="221" t="inlineStr">
        <is>
          <t>អនុញ្ញាត (បានប្រកាស)</t>
        </is>
      </c>
      <c r="K566" s="618" t="n"/>
      <c r="L566" s="616">
        <f>I566</f>
        <v/>
      </c>
      <c r="M566" s="588">
        <f>I566-L566</f>
        <v/>
      </c>
      <c r="N566" s="221" t="n"/>
      <c r="O566" s="226">
        <f>U566=E566</f>
        <v/>
      </c>
      <c r="P566" s="226">
        <f>MONTH(F566)-MONTH(T566)</f>
        <v/>
      </c>
      <c r="Q566" s="226">
        <f>$B$5=X566</f>
        <v/>
      </c>
      <c r="R566" s="226">
        <f>I566-AD566</f>
        <v/>
      </c>
      <c r="S566" s="360" t="n"/>
      <c r="T566" s="361" t="n">
        <v>45805</v>
      </c>
      <c r="U566" s="360" t="inlineStr">
        <is>
          <t>INV20250542477</t>
        </is>
      </c>
      <c r="V566" s="360" t="n">
        <v>0</v>
      </c>
      <c r="W566" s="360" t="inlineStr">
        <is>
          <t>បុគ្គលជាប់អាករ</t>
        </is>
      </c>
      <c r="X566" s="360" t="inlineStr">
        <is>
          <t>L001-901640009</t>
        </is>
      </c>
      <c r="Y566" s="360" t="inlineStr">
        <is>
          <t>ហូលីដេ ឌីហ្សាញ (ខេមបូឌា) ឯ.ក</t>
        </is>
      </c>
      <c r="Z566" s="362" t="n">
        <v>308231</v>
      </c>
      <c r="AA566" s="362" t="n">
        <v>280210</v>
      </c>
      <c r="AB566" s="360" t="n">
        <v>0</v>
      </c>
      <c r="AC566" s="360" t="inlineStr">
        <is>
          <t>-</t>
        </is>
      </c>
      <c r="AD566" s="362" t="n">
        <v>28021</v>
      </c>
      <c r="AE566" s="360" t="n">
        <v>0</v>
      </c>
      <c r="AF566" s="615" t="n">
        <v>0</v>
      </c>
      <c r="AG566" s="203" t="n">
        <v>0</v>
      </c>
      <c r="AH566" s="203" t="n">
        <v>0</v>
      </c>
      <c r="AI566" s="203" t="n">
        <v>0</v>
      </c>
      <c r="AJ566" s="203" t="n">
        <v>0</v>
      </c>
      <c r="AK566" s="203" t="n">
        <v>0</v>
      </c>
      <c r="AL566" s="203" t="n">
        <v>0.01</v>
      </c>
      <c r="AM566" s="203" t="n">
        <v>0</v>
      </c>
      <c r="AN566" s="203" t="inlineStr">
        <is>
          <t>ចំណូលពីសេវាកម្ម (លើកដាក់ទំនិញ)</t>
        </is>
      </c>
    </row>
    <row r="567">
      <c r="A567" s="220">
        <f>A566+1</f>
        <v/>
      </c>
      <c r="B567" s="222" t="inlineStr">
        <is>
          <t>Trucking &amp; Clearance-Ex</t>
        </is>
      </c>
      <c r="C567" s="222" t="inlineStr">
        <is>
          <t>WANAKA LOGISTICS CO., LTD.</t>
        </is>
      </c>
      <c r="D567" s="223" t="inlineStr">
        <is>
          <t>K005-901907953</t>
        </is>
      </c>
      <c r="E567" s="349" t="inlineStr">
        <is>
          <t>WL25-001900</t>
        </is>
      </c>
      <c r="F567" s="332" t="n">
        <v>45805</v>
      </c>
      <c r="G567" s="224" t="n"/>
      <c r="H567" s="617" t="n"/>
      <c r="I567" s="617" t="n">
        <v>156117</v>
      </c>
      <c r="J567" s="221" t="inlineStr">
        <is>
          <t>អនុញ្ញាត (បានប្រកាស)</t>
        </is>
      </c>
      <c r="K567" s="618" t="n"/>
      <c r="L567" s="616">
        <f>I567</f>
        <v/>
      </c>
      <c r="M567" s="588">
        <f>I567-L567</f>
        <v/>
      </c>
      <c r="N567" s="221" t="n"/>
      <c r="O567" s="226">
        <f>U567=E567</f>
        <v/>
      </c>
      <c r="P567" s="226">
        <f>MONTH(F567)-MONTH(T567)</f>
        <v/>
      </c>
      <c r="Q567" s="226">
        <f>$B$5=X567</f>
        <v/>
      </c>
      <c r="R567" s="226">
        <f>I567-AD567</f>
        <v/>
      </c>
      <c r="S567" s="360" t="n"/>
      <c r="T567" s="361" t="n">
        <v>45805</v>
      </c>
      <c r="U567" s="360" t="inlineStr">
        <is>
          <t>WL25-001900</t>
        </is>
      </c>
      <c r="V567" s="360" t="n"/>
      <c r="W567" s="360" t="n"/>
      <c r="X567" s="360" t="n"/>
      <c r="Y567" s="360" t="inlineStr">
        <is>
          <t>ហូលីដេ ឌីហ្សាញ (ខេមបូឌា) ឯ.ក</t>
        </is>
      </c>
      <c r="Z567" s="362" t="n"/>
      <c r="AA567" s="362" t="n"/>
      <c r="AB567" s="360" t="n"/>
      <c r="AC567" s="360" t="n"/>
      <c r="AD567" s="362" t="n">
        <v>156117</v>
      </c>
      <c r="AE567" s="360" t="n"/>
      <c r="AF567" s="615" t="n"/>
    </row>
    <row r="568">
      <c r="A568" s="220">
        <f>A567+1</f>
        <v/>
      </c>
      <c r="B568" s="222" t="inlineStr">
        <is>
          <t>Lift-Off-Ex</t>
        </is>
      </c>
      <c r="C568" s="222" t="inlineStr">
        <is>
          <t>PHNOM PENH AUTONOMOUS PORT "PPAP"</t>
        </is>
      </c>
      <c r="D568" s="223" t="inlineStr">
        <is>
          <t>L001-100044999</t>
        </is>
      </c>
      <c r="E568" s="349" t="inlineStr">
        <is>
          <t>INV20250542469</t>
        </is>
      </c>
      <c r="F568" s="332" t="n">
        <v>45805</v>
      </c>
      <c r="G568" s="224" t="n"/>
      <c r="H568" s="617" t="n"/>
      <c r="I568" s="617" t="n">
        <v>84063</v>
      </c>
      <c r="J568" s="221" t="inlineStr">
        <is>
          <t>អនុញ្ញាត (បានប្រកាស)</t>
        </is>
      </c>
      <c r="K568" s="618" t="n"/>
      <c r="L568" s="616">
        <f>I568</f>
        <v/>
      </c>
      <c r="M568" s="588">
        <f>I568-L568</f>
        <v/>
      </c>
      <c r="N568" s="221" t="n"/>
      <c r="O568" s="226">
        <f>U568=E568</f>
        <v/>
      </c>
      <c r="P568" s="226">
        <f>MONTH(F568)-MONTH(T568)</f>
        <v/>
      </c>
      <c r="Q568" s="226">
        <f>$B$5=X568</f>
        <v/>
      </c>
      <c r="R568" s="226">
        <f>I568-AD568</f>
        <v/>
      </c>
      <c r="S568" s="360" t="n"/>
      <c r="T568" s="361" t="n">
        <v>45805</v>
      </c>
      <c r="U568" s="360" t="inlineStr">
        <is>
          <t>INV20250542469</t>
        </is>
      </c>
      <c r="V568" s="360" t="n">
        <v>0</v>
      </c>
      <c r="W568" s="360" t="inlineStr">
        <is>
          <t>បុគ្គលជាប់អាករ</t>
        </is>
      </c>
      <c r="X568" s="360" t="inlineStr">
        <is>
          <t>L001-901640009</t>
        </is>
      </c>
      <c r="Y568" s="360" t="inlineStr">
        <is>
          <t>ហូលីដេ ឌីហ្សាញ (ខេមបូឌា) ឯ.ក</t>
        </is>
      </c>
      <c r="Z568" s="362" t="n">
        <v>924693</v>
      </c>
      <c r="AA568" s="362" t="n">
        <v>840630</v>
      </c>
      <c r="AB568" s="360" t="n">
        <v>0</v>
      </c>
      <c r="AC568" s="360" t="inlineStr">
        <is>
          <t>-</t>
        </is>
      </c>
      <c r="AD568" s="362" t="n">
        <v>84063</v>
      </c>
      <c r="AE568" s="360" t="n">
        <v>0</v>
      </c>
      <c r="AF568" s="615" t="n">
        <v>0</v>
      </c>
      <c r="AG568" s="203" t="n">
        <v>0</v>
      </c>
      <c r="AH568" s="203" t="n">
        <v>0</v>
      </c>
      <c r="AI568" s="203" t="n">
        <v>0</v>
      </c>
      <c r="AJ568" s="203" t="n">
        <v>0</v>
      </c>
      <c r="AK568" s="203" t="n">
        <v>0</v>
      </c>
      <c r="AL568" s="203" t="n">
        <v>0.01</v>
      </c>
      <c r="AM568" s="203" t="n">
        <v>0</v>
      </c>
      <c r="AN568" s="203" t="inlineStr">
        <is>
          <t>ចំណូលពីសេវាកម្ម (លើកដាក់ទំនិញ)</t>
        </is>
      </c>
    </row>
    <row r="569">
      <c r="A569" s="220">
        <f>A568+1</f>
        <v/>
      </c>
      <c r="B569" s="222" t="inlineStr">
        <is>
          <t>Trucking &amp; Clearance-Ex</t>
        </is>
      </c>
      <c r="C569" s="222" t="inlineStr">
        <is>
          <t>WANAKA LOGISTICS CO., LTD.</t>
        </is>
      </c>
      <c r="D569" s="223" t="inlineStr">
        <is>
          <t>K005-901907953</t>
        </is>
      </c>
      <c r="E569" s="349" t="inlineStr">
        <is>
          <t>WL25-001899</t>
        </is>
      </c>
      <c r="F569" s="332" t="n">
        <v>45805</v>
      </c>
      <c r="G569" s="224" t="n"/>
      <c r="H569" s="617" t="n"/>
      <c r="I569" s="617" t="n">
        <v>490768</v>
      </c>
      <c r="J569" s="221" t="inlineStr">
        <is>
          <t>អនុញ្ញាត (បានប្រកាស)</t>
        </is>
      </c>
      <c r="K569" s="618" t="n"/>
      <c r="L569" s="616">
        <f>I569</f>
        <v/>
      </c>
      <c r="M569" s="588">
        <f>I569-L569</f>
        <v/>
      </c>
      <c r="N569" s="221" t="n"/>
      <c r="O569" s="226">
        <f>U569=E569</f>
        <v/>
      </c>
      <c r="P569" s="226">
        <f>MONTH(F569)-MONTH(T569)</f>
        <v/>
      </c>
      <c r="Q569" s="226">
        <f>$B$5=X569</f>
        <v/>
      </c>
      <c r="R569" s="226">
        <f>I569-AD569</f>
        <v/>
      </c>
      <c r="S569" s="360" t="n"/>
      <c r="T569" s="361" t="n">
        <v>45805</v>
      </c>
      <c r="U569" s="360" t="inlineStr">
        <is>
          <t>WL25-001899</t>
        </is>
      </c>
      <c r="V569" s="360" t="n"/>
      <c r="W569" s="360" t="n"/>
      <c r="X569" s="360" t="n"/>
      <c r="Y569" s="360" t="inlineStr">
        <is>
          <t>ហូលីដេ ឌីហ្សាញ (ខេមបូឌា) ឯ.ក</t>
        </is>
      </c>
      <c r="Z569" s="362" t="n"/>
      <c r="AA569" s="362" t="n"/>
      <c r="AB569" s="360" t="n"/>
      <c r="AC569" s="360" t="n"/>
      <c r="AD569" s="362" t="n">
        <v>490768</v>
      </c>
      <c r="AE569" s="360" t="n"/>
      <c r="AF569" s="615" t="n"/>
    </row>
    <row r="570">
      <c r="A570" s="220">
        <f>A569+1</f>
        <v/>
      </c>
      <c r="B570" s="222" t="inlineStr">
        <is>
          <t>Lift-Off-Ex</t>
        </is>
      </c>
      <c r="C570" s="222" t="inlineStr">
        <is>
          <t>PHNOM PENH AUTONOMOUS PORT "PPAP"</t>
        </is>
      </c>
      <c r="D570" s="223" t="inlineStr">
        <is>
          <t>L001-100044999</t>
        </is>
      </c>
      <c r="E570" s="349" t="inlineStr">
        <is>
          <t>INV20250542468</t>
        </is>
      </c>
      <c r="F570" s="332" t="n">
        <v>45805</v>
      </c>
      <c r="G570" s="224" t="n"/>
      <c r="H570" s="617" t="n"/>
      <c r="I570" s="617" t="n">
        <v>56042</v>
      </c>
      <c r="J570" s="221" t="inlineStr">
        <is>
          <t>អនុញ្ញាត (បានប្រកាស)</t>
        </is>
      </c>
      <c r="K570" s="618" t="n"/>
      <c r="L570" s="616">
        <f>I570</f>
        <v/>
      </c>
      <c r="M570" s="588">
        <f>I570-L570</f>
        <v/>
      </c>
      <c r="N570" s="221" t="n"/>
      <c r="O570" s="226">
        <f>U570=E570</f>
        <v/>
      </c>
      <c r="P570" s="226">
        <f>MONTH(F570)-MONTH(T570)</f>
        <v/>
      </c>
      <c r="Q570" s="226">
        <f>$B$5=X570</f>
        <v/>
      </c>
      <c r="R570" s="226">
        <f>I570-AD570</f>
        <v/>
      </c>
      <c r="S570" s="360" t="n"/>
      <c r="T570" s="361" t="n">
        <v>45805</v>
      </c>
      <c r="U570" s="360" t="inlineStr">
        <is>
          <t>INV20250542468</t>
        </is>
      </c>
      <c r="V570" s="360" t="n">
        <v>0</v>
      </c>
      <c r="W570" s="360" t="inlineStr">
        <is>
          <t>បុគ្គលជាប់អាករ</t>
        </is>
      </c>
      <c r="X570" s="360" t="inlineStr">
        <is>
          <t>L001-901640009</t>
        </is>
      </c>
      <c r="Y570" s="360" t="inlineStr">
        <is>
          <t>ហូលីដេ ឌីហ្សាញ (ខេមបូឌា) ឯ.ក</t>
        </is>
      </c>
      <c r="Z570" s="362" t="n">
        <v>616462</v>
      </c>
      <c r="AA570" s="362" t="n">
        <v>560420</v>
      </c>
      <c r="AB570" s="360" t="n">
        <v>0</v>
      </c>
      <c r="AC570" s="360" t="inlineStr">
        <is>
          <t>-</t>
        </is>
      </c>
      <c r="AD570" s="362" t="n">
        <v>56042</v>
      </c>
      <c r="AE570" s="360" t="n">
        <v>0</v>
      </c>
      <c r="AF570" s="615" t="n">
        <v>0</v>
      </c>
      <c r="AG570" s="203" t="n">
        <v>0</v>
      </c>
      <c r="AH570" s="203" t="n">
        <v>0</v>
      </c>
      <c r="AI570" s="203" t="n">
        <v>0</v>
      </c>
      <c r="AJ570" s="203" t="n">
        <v>0</v>
      </c>
      <c r="AK570" s="203" t="n">
        <v>0</v>
      </c>
      <c r="AL570" s="203" t="n">
        <v>0.01</v>
      </c>
      <c r="AM570" s="203" t="n">
        <v>0</v>
      </c>
      <c r="AN570" s="203" t="inlineStr">
        <is>
          <t>ចំណូលពីសេវាកម្ម (លើកដាក់ទំនិញ)</t>
        </is>
      </c>
    </row>
    <row r="571">
      <c r="A571" s="220">
        <f>A570+1</f>
        <v/>
      </c>
      <c r="B571" s="222" t="inlineStr">
        <is>
          <t>Trucking &amp; Clearance-Ex</t>
        </is>
      </c>
      <c r="C571" s="222" t="inlineStr">
        <is>
          <t>WANAKA LOGISTICS CO., LTD.</t>
        </is>
      </c>
      <c r="D571" s="223" t="inlineStr">
        <is>
          <t>K005-901907953</t>
        </is>
      </c>
      <c r="E571" s="349" t="inlineStr">
        <is>
          <t>WL25-001898</t>
        </is>
      </c>
      <c r="F571" s="332" t="n">
        <v>45805</v>
      </c>
      <c r="G571" s="224" t="n"/>
      <c r="H571" s="617" t="n"/>
      <c r="I571" s="617" t="n">
        <v>313835</v>
      </c>
      <c r="J571" s="221" t="inlineStr">
        <is>
          <t>អនុញ្ញាត (បានប្រកាស)</t>
        </is>
      </c>
      <c r="K571" s="618">
        <f>L571</f>
        <v/>
      </c>
      <c r="L571" s="616">
        <f>AD571</f>
        <v/>
      </c>
      <c r="M571" s="588">
        <f>I571-L571</f>
        <v/>
      </c>
      <c r="N571" s="221" t="n"/>
      <c r="O571" s="226">
        <f>U571=E571</f>
        <v/>
      </c>
      <c r="P571" s="226">
        <f>MONTH(F571)-MONTH(T571)</f>
        <v/>
      </c>
      <c r="Q571" s="226">
        <f>$B$5=X571</f>
        <v/>
      </c>
      <c r="R571" s="226">
        <f>I571-AD571</f>
        <v/>
      </c>
      <c r="S571" s="360" t="n"/>
      <c r="T571" s="361" t="n">
        <v>45805</v>
      </c>
      <c r="U571" s="360" t="inlineStr">
        <is>
          <t>WL25-001898</t>
        </is>
      </c>
      <c r="V571" s="360" t="n"/>
      <c r="W571" s="360" t="n"/>
      <c r="X571" s="360" t="n"/>
      <c r="Y571" s="360" t="inlineStr">
        <is>
          <t>ហូលីដេ ឌីហ្សាញ (ខេមបូឌា) ឯ.ក</t>
        </is>
      </c>
      <c r="Z571" s="362" t="n"/>
      <c r="AA571" s="362" t="n"/>
      <c r="AB571" s="360" t="n"/>
      <c r="AC571" s="360" t="n"/>
      <c r="AD571" s="362" t="n">
        <v>313834</v>
      </c>
      <c r="AE571" s="360" t="n"/>
      <c r="AF571" s="615" t="n"/>
    </row>
    <row r="572">
      <c r="A572" s="220">
        <f>A571+1</f>
        <v/>
      </c>
      <c r="B572" s="222" t="inlineStr">
        <is>
          <t>Lift-Off-Ex</t>
        </is>
      </c>
      <c r="C572" s="222" t="inlineStr">
        <is>
          <t>PHNOM PENH AUTONOMOUS PORT "PPAP"</t>
        </is>
      </c>
      <c r="D572" s="223" t="inlineStr">
        <is>
          <t>L001-100044999</t>
        </is>
      </c>
      <c r="E572" s="349" t="inlineStr">
        <is>
          <t>INV20250542479</t>
        </is>
      </c>
      <c r="F572" s="332" t="n">
        <v>45805</v>
      </c>
      <c r="G572" s="224" t="n"/>
      <c r="H572" s="617" t="n"/>
      <c r="I572" s="617" t="n">
        <v>28021</v>
      </c>
      <c r="J572" s="221" t="inlineStr">
        <is>
          <t>អនុញ្ញាត (បានប្រកាស)</t>
        </is>
      </c>
      <c r="K572" s="618" t="n"/>
      <c r="L572" s="616">
        <f>I572</f>
        <v/>
      </c>
      <c r="M572" s="588">
        <f>I572-L572</f>
        <v/>
      </c>
      <c r="N572" s="221" t="n"/>
      <c r="O572" s="226">
        <f>U572=E572</f>
        <v/>
      </c>
      <c r="P572" s="226">
        <f>MONTH(F572)-MONTH(T572)</f>
        <v/>
      </c>
      <c r="Q572" s="226">
        <f>$B$5=X572</f>
        <v/>
      </c>
      <c r="R572" s="226">
        <f>I572-AD572</f>
        <v/>
      </c>
      <c r="S572" s="360" t="n"/>
      <c r="T572" s="361" t="n">
        <v>45805</v>
      </c>
      <c r="U572" s="360" t="inlineStr">
        <is>
          <t>INV20250542479</t>
        </is>
      </c>
      <c r="V572" s="360" t="n">
        <v>0</v>
      </c>
      <c r="W572" s="360" t="inlineStr">
        <is>
          <t>បុគ្គលជាប់អាករ</t>
        </is>
      </c>
      <c r="X572" s="360" t="inlineStr">
        <is>
          <t>L001-901640009</t>
        </is>
      </c>
      <c r="Y572" s="360" t="inlineStr">
        <is>
          <t>ហូលីដេ ឌីហ្សាញ (ខេមបូឌា) ឯ.ក</t>
        </is>
      </c>
      <c r="Z572" s="362" t="n">
        <v>308231</v>
      </c>
      <c r="AA572" s="362" t="n">
        <v>280210</v>
      </c>
      <c r="AB572" s="360" t="n">
        <v>0</v>
      </c>
      <c r="AC572" s="360" t="inlineStr">
        <is>
          <t>-</t>
        </is>
      </c>
      <c r="AD572" s="362" t="n">
        <v>28021</v>
      </c>
      <c r="AE572" s="360" t="n">
        <v>0</v>
      </c>
      <c r="AF572" s="615" t="n">
        <v>0</v>
      </c>
      <c r="AG572" s="203" t="n">
        <v>0</v>
      </c>
      <c r="AH572" s="203" t="n">
        <v>0</v>
      </c>
      <c r="AI572" s="203" t="n">
        <v>0</v>
      </c>
      <c r="AJ572" s="203" t="n">
        <v>0</v>
      </c>
      <c r="AK572" s="203" t="n">
        <v>0</v>
      </c>
      <c r="AL572" s="203" t="n">
        <v>0.01</v>
      </c>
      <c r="AM572" s="203" t="n">
        <v>0</v>
      </c>
      <c r="AN572" s="203" t="inlineStr">
        <is>
          <t>ចំណូលពីសេវាកម្ម (លើកដាក់ទំនិញ)</t>
        </is>
      </c>
    </row>
    <row r="573">
      <c r="A573" s="220">
        <f>A572+1</f>
        <v/>
      </c>
      <c r="B573" s="222" t="inlineStr">
        <is>
          <t>Trucking &amp; Clearance-Ex</t>
        </is>
      </c>
      <c r="C573" s="222" t="inlineStr">
        <is>
          <t>WANAKA LOGISTICS CO., LTD.</t>
        </is>
      </c>
      <c r="D573" s="223" t="inlineStr">
        <is>
          <t>K005-901907953</t>
        </is>
      </c>
      <c r="E573" s="349" t="inlineStr">
        <is>
          <t>WL25-002073</t>
        </is>
      </c>
      <c r="F573" s="332" t="n">
        <v>45805</v>
      </c>
      <c r="G573" s="224" t="n"/>
      <c r="H573" s="617" t="n"/>
      <c r="I573" s="617" t="n">
        <v>470187</v>
      </c>
      <c r="J573" s="221" t="inlineStr">
        <is>
          <t>អនុញ្ញាត (បានប្រកាស)</t>
        </is>
      </c>
      <c r="K573" s="618" t="n"/>
      <c r="L573" s="616">
        <f>I573</f>
        <v/>
      </c>
      <c r="M573" s="588">
        <f>I573-L573</f>
        <v/>
      </c>
      <c r="N573" s="221" t="n"/>
      <c r="O573" s="226">
        <f>U573=E573</f>
        <v/>
      </c>
      <c r="P573" s="226">
        <f>MONTH(F573)-MONTH(T573)</f>
        <v/>
      </c>
      <c r="Q573" s="226">
        <f>$B$5=X573</f>
        <v/>
      </c>
      <c r="R573" s="226">
        <f>I573-AD573</f>
        <v/>
      </c>
      <c r="S573" s="360" t="n"/>
      <c r="T573" s="361" t="n">
        <v>45805</v>
      </c>
      <c r="U573" s="360" t="inlineStr">
        <is>
          <t>WL25-002073</t>
        </is>
      </c>
      <c r="V573" s="360" t="n"/>
      <c r="W573" s="360" t="n"/>
      <c r="X573" s="360" t="n"/>
      <c r="Y573" s="360" t="inlineStr">
        <is>
          <t>ហូលីដេ ឌីហ្សាញ (ខេមបូឌា) ឯ.ក</t>
        </is>
      </c>
      <c r="Z573" s="362" t="n"/>
      <c r="AA573" s="362" t="n"/>
      <c r="AB573" s="360" t="n"/>
      <c r="AC573" s="360" t="n"/>
      <c r="AD573" s="362" t="n">
        <v>470187</v>
      </c>
      <c r="AE573" s="360" t="n"/>
      <c r="AF573" s="615" t="n"/>
    </row>
    <row r="574">
      <c r="A574" s="220">
        <f>A573+1</f>
        <v/>
      </c>
      <c r="B574" s="222" t="inlineStr">
        <is>
          <t>Trucking &amp; Clearance-Ex</t>
        </is>
      </c>
      <c r="C574" s="222" t="inlineStr">
        <is>
          <t>WANAKA LOGISTICS CO., LTD.</t>
        </is>
      </c>
      <c r="D574" s="223" t="inlineStr">
        <is>
          <t>K005-901907953</t>
        </is>
      </c>
      <c r="E574" s="349" t="inlineStr">
        <is>
          <t>WL25-002074</t>
        </is>
      </c>
      <c r="F574" s="332" t="n">
        <v>45805</v>
      </c>
      <c r="G574" s="224" t="n"/>
      <c r="H574" s="617" t="n"/>
      <c r="I574" s="617" t="n">
        <v>959598</v>
      </c>
      <c r="J574" s="221" t="inlineStr">
        <is>
          <t>អនុញ្ញាត (បានប្រកាស)</t>
        </is>
      </c>
      <c r="K574" s="618" t="n"/>
      <c r="L574" s="616">
        <f>I574</f>
        <v/>
      </c>
      <c r="M574" s="588">
        <f>I574-L574</f>
        <v/>
      </c>
      <c r="N574" s="221" t="n"/>
      <c r="O574" s="226">
        <f>U574=E574</f>
        <v/>
      </c>
      <c r="P574" s="226">
        <f>MONTH(F574)-MONTH(T574)</f>
        <v/>
      </c>
      <c r="Q574" s="226">
        <f>$B$5=X574</f>
        <v/>
      </c>
      <c r="R574" s="226">
        <f>I574-AD574</f>
        <v/>
      </c>
      <c r="S574" s="360" t="n"/>
      <c r="T574" s="361" t="n">
        <v>45805</v>
      </c>
      <c r="U574" s="360" t="inlineStr">
        <is>
          <t>WL25-002074</t>
        </is>
      </c>
      <c r="V574" s="360" t="n"/>
      <c r="W574" s="360" t="n"/>
      <c r="X574" s="360" t="n"/>
      <c r="Y574" s="360" t="inlineStr">
        <is>
          <t>ហូលីដេ ឌីហ្សាញ (ខេមបូឌា) ឯ.ក</t>
        </is>
      </c>
      <c r="Z574" s="362" t="n"/>
      <c r="AA574" s="362" t="n"/>
      <c r="AB574" s="360" t="n"/>
      <c r="AC574" s="360" t="n"/>
      <c r="AD574" s="362" t="n">
        <v>959598</v>
      </c>
      <c r="AE574" s="360" t="n"/>
      <c r="AF574" s="615" t="n"/>
    </row>
    <row r="575">
      <c r="A575" s="220">
        <f>A574+1</f>
        <v/>
      </c>
      <c r="B575" s="222" t="inlineStr">
        <is>
          <t>Forklift Part</t>
        </is>
      </c>
      <c r="C575" s="222" t="inlineStr">
        <is>
          <t>CHINA HE ZHONG LI INDUSTRIAL ENGINEERING MACHINERY EQUIPMENT SALE CO., LTD.</t>
        </is>
      </c>
      <c r="D575" s="223" t="inlineStr">
        <is>
          <t>L001-901906721</t>
        </is>
      </c>
      <c r="E575" s="349" t="inlineStr">
        <is>
          <t>TI-0168</t>
        </is>
      </c>
      <c r="F575" s="332" t="n">
        <v>45754</v>
      </c>
      <c r="G575" s="224" t="n"/>
      <c r="H575" s="617" t="n"/>
      <c r="I575" s="617" t="n">
        <v>672336</v>
      </c>
      <c r="J575" s="221" t="inlineStr">
        <is>
          <t>អនុញ្ញាត (បានប្រកាស)</t>
        </is>
      </c>
      <c r="K575" s="618" t="n"/>
      <c r="L575" s="616">
        <f>I575</f>
        <v/>
      </c>
      <c r="M575" s="588">
        <f>I575-L575</f>
        <v/>
      </c>
      <c r="N575" s="221" t="n"/>
      <c r="O575" s="226">
        <f>U575=E575</f>
        <v/>
      </c>
      <c r="P575" s="226">
        <f>MONTH(F575)-MONTH(T575)</f>
        <v/>
      </c>
      <c r="Q575" s="226">
        <f>$B$5=X575</f>
        <v/>
      </c>
      <c r="R575" s="226">
        <f>I575-AD575</f>
        <v/>
      </c>
      <c r="S575" s="360" t="n"/>
      <c r="T575" s="361" t="n">
        <v>45754</v>
      </c>
      <c r="U575" s="360" t="inlineStr">
        <is>
          <t>TI-0168</t>
        </is>
      </c>
      <c r="V575" s="360" t="n"/>
      <c r="W575" s="360" t="inlineStr">
        <is>
          <t>បុគ្គលជាប់អាករ</t>
        </is>
      </c>
      <c r="X575" s="360" t="inlineStr">
        <is>
          <t>L001-901640009</t>
        </is>
      </c>
      <c r="Y575" s="360" t="inlineStr">
        <is>
          <t>ហូលីដេ ឌីហ្សាញ (ខេមបូឌា) ឯ.ក</t>
        </is>
      </c>
      <c r="Z575" s="362" t="n">
        <v>7395696</v>
      </c>
      <c r="AA575" s="362" t="n">
        <v>6723360</v>
      </c>
      <c r="AB575" s="360" t="n">
        <v>0</v>
      </c>
      <c r="AC575" s="360" t="inlineStr">
        <is>
          <t>-</t>
        </is>
      </c>
      <c r="AD575" s="362" t="n">
        <v>672336</v>
      </c>
      <c r="AE575" s="360" t="n">
        <v>0</v>
      </c>
      <c r="AF575" s="615" t="n">
        <v>0</v>
      </c>
      <c r="AG575" s="203" t="n">
        <v>0</v>
      </c>
      <c r="AH575" s="203" t="n">
        <v>0</v>
      </c>
      <c r="AI575" s="203" t="n">
        <v>0</v>
      </c>
      <c r="AJ575" s="203" t="n">
        <v>0</v>
      </c>
      <c r="AK575" s="203" t="n">
        <v>0</v>
      </c>
      <c r="AL575" s="203" t="n">
        <v>0.01</v>
      </c>
      <c r="AN575" s="203" t="inlineStr">
        <is>
          <t>FORKLIFT PART</t>
        </is>
      </c>
    </row>
    <row r="576">
      <c r="A576" s="220">
        <f>A575+1</f>
        <v/>
      </c>
      <c r="B576" s="222" t="inlineStr">
        <is>
          <t>Handling Fee,FCR Fee</t>
        </is>
      </c>
      <c r="C576" s="222" t="inlineStr">
        <is>
          <t>CENTURY DISTRIBUTION SYSTEMS (CAMBODIA) CO., LTD.</t>
        </is>
      </c>
      <c r="D576" s="223" t="inlineStr">
        <is>
          <t>L001-902205494</t>
        </is>
      </c>
      <c r="E576" s="349" t="inlineStr">
        <is>
          <t>CDS202504-2522</t>
        </is>
      </c>
      <c r="F576" s="332" t="n">
        <v>45755</v>
      </c>
      <c r="G576" s="224" t="n"/>
      <c r="H576" s="617" t="n"/>
      <c r="I576" s="617" t="n">
        <v>170085</v>
      </c>
      <c r="J576" s="221" t="inlineStr">
        <is>
          <t>អនុញ្ញាត (បានប្រកាស)</t>
        </is>
      </c>
      <c r="K576" s="618" t="n"/>
      <c r="L576" s="616">
        <f>I576</f>
        <v/>
      </c>
      <c r="M576" s="588">
        <f>I576-L576</f>
        <v/>
      </c>
      <c r="N576" s="221" t="n"/>
      <c r="O576" s="226">
        <f>U576=E576</f>
        <v/>
      </c>
      <c r="P576" s="226">
        <f>MONTH(F576)-MONTH(T576)</f>
        <v/>
      </c>
      <c r="Q576" s="226">
        <f>$B$5=X576</f>
        <v/>
      </c>
      <c r="R576" s="226">
        <f>I576-AD576</f>
        <v/>
      </c>
      <c r="S576" s="360" t="n"/>
      <c r="T576" s="361" t="n">
        <v>45755</v>
      </c>
      <c r="U576" s="360" t="inlineStr">
        <is>
          <t>CDS202504-2522</t>
        </is>
      </c>
      <c r="V576" s="360" t="n">
        <v>0</v>
      </c>
      <c r="W576" s="360" t="inlineStr">
        <is>
          <t>បុគ្គលជាប់អាករ</t>
        </is>
      </c>
      <c r="X576" s="360" t="inlineStr">
        <is>
          <t>L001-901640009</t>
        </is>
      </c>
      <c r="Y576" s="360" t="inlineStr">
        <is>
          <t>ហូលីដេ ឌីហ្សាញ (ខេមបូឌា) ឯ.ក</t>
        </is>
      </c>
      <c r="Z576" s="362" t="n">
        <v>1870935</v>
      </c>
      <c r="AA576" s="362" t="n">
        <v>1700850</v>
      </c>
      <c r="AB576" s="360" t="n">
        <v>0</v>
      </c>
      <c r="AC576" s="360" t="inlineStr">
        <is>
          <t>-</t>
        </is>
      </c>
      <c r="AD576" s="362" t="n">
        <v>170085</v>
      </c>
      <c r="AE576" s="360" t="n">
        <v>0</v>
      </c>
      <c r="AF576" s="615" t="n">
        <v>0</v>
      </c>
      <c r="AG576" s="203" t="n">
        <v>0</v>
      </c>
      <c r="AH576" s="203" t="n">
        <v>0</v>
      </c>
      <c r="AI576" s="203" t="n">
        <v>0</v>
      </c>
      <c r="AJ576" s="203" t="n">
        <v>0</v>
      </c>
      <c r="AK576" s="203" t="n">
        <v>0</v>
      </c>
      <c r="AL576" s="203" t="n">
        <v>0.01</v>
      </c>
      <c r="AM576" s="203" t="n">
        <v>0</v>
      </c>
      <c r="AN576" s="203" t="inlineStr">
        <is>
          <t>OCEAN SHIPPING LOCAL CHARGES</t>
        </is>
      </c>
      <c r="AO576" s="203" t="inlineStr">
        <is>
          <t>បានប្រកាសនិងបង់ពន្ធ</t>
        </is>
      </c>
    </row>
    <row r="577">
      <c r="A577" s="220">
        <f>A576+1</f>
        <v/>
      </c>
      <c r="B577" s="222" t="inlineStr">
        <is>
          <t>Trucking &amp; Clearance-Ex</t>
        </is>
      </c>
      <c r="C577" s="222" t="inlineStr">
        <is>
          <t>WANAKA LOGISTICS CO., LTD.</t>
        </is>
      </c>
      <c r="D577" s="223" t="inlineStr">
        <is>
          <t>K005-901907953</t>
        </is>
      </c>
      <c r="E577" s="349" t="inlineStr">
        <is>
          <t>WL25-002076</t>
        </is>
      </c>
      <c r="F577" s="332" t="n">
        <v>45805</v>
      </c>
      <c r="G577" s="224" t="n"/>
      <c r="H577" s="617" t="n"/>
      <c r="I577" s="617" t="n">
        <v>156195</v>
      </c>
      <c r="J577" s="221" t="inlineStr">
        <is>
          <t>អនុញ្ញាត (បានប្រកាស)</t>
        </is>
      </c>
      <c r="K577" s="618" t="n"/>
      <c r="L577" s="616">
        <f>I577</f>
        <v/>
      </c>
      <c r="M577" s="588">
        <f>I577-L577</f>
        <v/>
      </c>
      <c r="N577" s="221" t="n"/>
      <c r="O577" s="226">
        <f>U577=E577</f>
        <v/>
      </c>
      <c r="P577" s="226">
        <f>MONTH(F577)-MONTH(T577)</f>
        <v/>
      </c>
      <c r="Q577" s="226">
        <f>$B$5=X577</f>
        <v/>
      </c>
      <c r="R577" s="226">
        <f>I577-AD577</f>
        <v/>
      </c>
      <c r="S577" s="360" t="n"/>
      <c r="T577" s="361" t="n">
        <v>45805</v>
      </c>
      <c r="U577" s="360" t="inlineStr">
        <is>
          <t>WL25-002076</t>
        </is>
      </c>
      <c r="V577" s="360" t="n"/>
      <c r="W577" s="360" t="n"/>
      <c r="X577" s="360" t="n"/>
      <c r="Y577" s="360" t="inlineStr">
        <is>
          <t>ហូលីដេ ឌីហ្សាញ (ខេមបូឌា) ឯ.ក</t>
        </is>
      </c>
      <c r="Z577" s="362" t="n"/>
      <c r="AA577" s="362" t="n"/>
      <c r="AB577" s="360" t="n"/>
      <c r="AC577" s="360" t="n"/>
      <c r="AD577" s="362" t="n">
        <v>156195</v>
      </c>
      <c r="AE577" s="360" t="n"/>
      <c r="AF577" s="615" t="n"/>
    </row>
    <row r="578">
      <c r="A578" s="220">
        <f>A577+1</f>
        <v/>
      </c>
      <c r="B578" s="222" t="inlineStr">
        <is>
          <t>Trucking &amp; Clearance-Ex</t>
        </is>
      </c>
      <c r="C578" s="222" t="inlineStr">
        <is>
          <t>WANAKA LOGISTICS CO., LTD.</t>
        </is>
      </c>
      <c r="D578" s="223" t="inlineStr">
        <is>
          <t>K005-901907953</t>
        </is>
      </c>
      <c r="E578" s="349" t="inlineStr">
        <is>
          <t>WL25-002075</t>
        </is>
      </c>
      <c r="F578" s="332" t="n">
        <v>45805</v>
      </c>
      <c r="G578" s="224" t="n"/>
      <c r="H578" s="617" t="n"/>
      <c r="I578" s="617" t="n">
        <v>1584378</v>
      </c>
      <c r="J578" s="221" t="inlineStr">
        <is>
          <t>អនុញ្ញាត (បានប្រកាស)</t>
        </is>
      </c>
      <c r="K578" s="618" t="n"/>
      <c r="L578" s="616">
        <f>I578</f>
        <v/>
      </c>
      <c r="M578" s="588">
        <f>I578-L578</f>
        <v/>
      </c>
      <c r="N578" s="221" t="n"/>
      <c r="O578" s="226">
        <f>U578=E578</f>
        <v/>
      </c>
      <c r="P578" s="226">
        <f>MONTH(F578)-MONTH(T578)</f>
        <v/>
      </c>
      <c r="Q578" s="226">
        <f>$B$5=X578</f>
        <v/>
      </c>
      <c r="R578" s="226">
        <f>I578-AD578</f>
        <v/>
      </c>
      <c r="S578" s="360" t="n"/>
      <c r="T578" s="361" t="n">
        <v>45805</v>
      </c>
      <c r="U578" s="360" t="inlineStr">
        <is>
          <t>WL25-002075</t>
        </is>
      </c>
      <c r="V578" s="360" t="n"/>
      <c r="W578" s="360" t="n"/>
      <c r="X578" s="360" t="n"/>
      <c r="Y578" s="360" t="inlineStr">
        <is>
          <t>ហូលីដេ ឌីហ្សាញ (ខេមបូឌា) ឯ.ក</t>
        </is>
      </c>
      <c r="Z578" s="362" t="n"/>
      <c r="AA578" s="362" t="n"/>
      <c r="AB578" s="360" t="n"/>
      <c r="AC578" s="360" t="n"/>
      <c r="AD578" s="362" t="n">
        <v>1584378</v>
      </c>
      <c r="AE578" s="360" t="n"/>
      <c r="AF578" s="615" t="n"/>
    </row>
    <row r="579">
      <c r="A579" s="220">
        <f>A578+1</f>
        <v/>
      </c>
      <c r="B579" s="222" t="inlineStr">
        <is>
          <t>Lift-Off-Ex</t>
        </is>
      </c>
      <c r="C579" s="222" t="inlineStr">
        <is>
          <t>PHNOM PENH AUTONOMOUS PORT "PPAP"</t>
        </is>
      </c>
      <c r="D579" s="223" t="inlineStr">
        <is>
          <t>L001-100044999</t>
        </is>
      </c>
      <c r="E579" s="349" t="inlineStr">
        <is>
          <t>INV20250539564</t>
        </is>
      </c>
      <c r="F579" s="332" t="n">
        <v>45797</v>
      </c>
      <c r="G579" s="224" t="n"/>
      <c r="H579" s="617" t="n"/>
      <c r="I579" s="617" t="n">
        <v>28021</v>
      </c>
      <c r="J579" s="221" t="inlineStr">
        <is>
          <t>អនុញ្ញាត (បានប្រកាស)</t>
        </is>
      </c>
      <c r="K579" s="618">
        <f>L579</f>
        <v/>
      </c>
      <c r="L579" s="616">
        <f>AD579</f>
        <v/>
      </c>
      <c r="M579" s="588">
        <f>I579-L579</f>
        <v/>
      </c>
      <c r="N579" s="221" t="n"/>
      <c r="O579" s="226">
        <f>U579=E579</f>
        <v/>
      </c>
      <c r="P579" s="226">
        <f>MONTH(F579)-MONTH(T579)</f>
        <v/>
      </c>
      <c r="Q579" s="226">
        <f>$B$5=X579</f>
        <v/>
      </c>
      <c r="R579" s="226">
        <f>I579-AD579</f>
        <v/>
      </c>
      <c r="S579" s="360" t="n"/>
      <c r="T579" s="361" t="n">
        <v>45797</v>
      </c>
      <c r="U579" s="360" t="inlineStr">
        <is>
          <t>INV20250539564</t>
        </is>
      </c>
      <c r="V579" s="360" t="n">
        <v>0</v>
      </c>
      <c r="W579" s="360" t="inlineStr">
        <is>
          <t>បុគ្គលជាប់អាករ</t>
        </is>
      </c>
      <c r="X579" s="360" t="inlineStr">
        <is>
          <t>L001-901640009</t>
        </is>
      </c>
      <c r="Y579" s="360" t="inlineStr">
        <is>
          <t>ហូលីដេ ឌីហ្សាញ (ខេមបូឌា) ឯ.ក</t>
        </is>
      </c>
      <c r="Z579" s="362" t="n">
        <v>308154</v>
      </c>
      <c r="AA579" s="362" t="n">
        <v>280140</v>
      </c>
      <c r="AB579" s="360" t="n">
        <v>0</v>
      </c>
      <c r="AC579" s="360" t="inlineStr">
        <is>
          <t>-</t>
        </is>
      </c>
      <c r="AD579" s="362" t="n">
        <v>28014</v>
      </c>
      <c r="AE579" s="360" t="n">
        <v>0</v>
      </c>
      <c r="AF579" s="615" t="n">
        <v>0</v>
      </c>
      <c r="AG579" s="203" t="n">
        <v>0</v>
      </c>
      <c r="AH579" s="203" t="n">
        <v>0</v>
      </c>
      <c r="AI579" s="203" t="n">
        <v>0</v>
      </c>
      <c r="AJ579" s="203" t="n">
        <v>0</v>
      </c>
      <c r="AK579" s="203" t="n">
        <v>0</v>
      </c>
      <c r="AL579" s="203" t="n">
        <v>0.01</v>
      </c>
      <c r="AM579" s="203" t="n">
        <v>0</v>
      </c>
      <c r="AN579" s="203" t="inlineStr">
        <is>
          <t>ចំណូលពីសេវាកម្ម (លើកដាក់ទំនិញ)</t>
        </is>
      </c>
    </row>
    <row r="580">
      <c r="A580" s="220">
        <f>A579+1</f>
        <v/>
      </c>
      <c r="B580" s="222" t="inlineStr">
        <is>
          <t>Trucking &amp; Clearance-Ex</t>
        </is>
      </c>
      <c r="C580" s="222" t="inlineStr">
        <is>
          <t>BRILLIANT TRANSPORT AND TRADING Co., Ltd.</t>
        </is>
      </c>
      <c r="D580" s="223" t="inlineStr">
        <is>
          <t>K002-100089305</t>
        </is>
      </c>
      <c r="E580" s="349" t="inlineStr">
        <is>
          <t>BTT25-0001026</t>
        </is>
      </c>
      <c r="F580" s="332" t="n">
        <v>45793</v>
      </c>
      <c r="G580" s="224" t="n"/>
      <c r="H580" s="617" t="n"/>
      <c r="I580" s="617" t="n">
        <v>203302</v>
      </c>
      <c r="J580" s="221" t="inlineStr">
        <is>
          <t>អនុញ្ញាត (បានប្រកាស)</t>
        </is>
      </c>
      <c r="K580" s="618" t="n"/>
      <c r="L580" s="616">
        <f>I580</f>
        <v/>
      </c>
      <c r="M580" s="588">
        <f>I580-L580</f>
        <v/>
      </c>
      <c r="N580" s="221" t="n"/>
      <c r="O580" s="226">
        <f>U580=E580</f>
        <v/>
      </c>
      <c r="P580" s="226">
        <f>MONTH(F580)-MONTH(T580)</f>
        <v/>
      </c>
      <c r="Q580" s="226">
        <f>$B$5=X580</f>
        <v/>
      </c>
      <c r="R580" s="226">
        <f>I580-AD580</f>
        <v/>
      </c>
      <c r="S580" s="360" t="n"/>
      <c r="T580" s="361" t="n">
        <v>45793</v>
      </c>
      <c r="U580" s="360" t="inlineStr">
        <is>
          <t>BTT25-0001026</t>
        </is>
      </c>
      <c r="V580" s="360" t="n"/>
      <c r="W580" s="360" t="n"/>
      <c r="X580" s="360" t="n"/>
      <c r="Y580" s="360" t="inlineStr">
        <is>
          <t>ហូលីដេ ឌីហ្សាញ (ខេមបូឌា) ឯ.ក</t>
        </is>
      </c>
      <c r="Z580" s="362" t="n"/>
      <c r="AA580" s="362" t="n"/>
      <c r="AB580" s="360" t="n"/>
      <c r="AC580" s="360" t="n"/>
      <c r="AD580" s="362" t="n">
        <v>203302</v>
      </c>
      <c r="AE580" s="360" t="n"/>
      <c r="AF580" s="615" t="n"/>
      <c r="AN580" s="203" t="inlineStr">
        <is>
          <t>Truking / Service</t>
        </is>
      </c>
    </row>
    <row r="581">
      <c r="A581" s="220">
        <f>A580+1</f>
        <v/>
      </c>
      <c r="B581" s="222" t="inlineStr">
        <is>
          <t>Lift-Off-Ex</t>
        </is>
      </c>
      <c r="C581" s="222" t="inlineStr">
        <is>
          <t>PHNOM PENH AUTONOMOUS PORT "PPAP"</t>
        </is>
      </c>
      <c r="D581" s="223" t="inlineStr">
        <is>
          <t>L001-100044999</t>
        </is>
      </c>
      <c r="E581" s="349" t="inlineStr">
        <is>
          <t>INV20250539152</t>
        </is>
      </c>
      <c r="F581" s="332" t="n">
        <v>45796</v>
      </c>
      <c r="G581" s="224" t="n"/>
      <c r="H581" s="617" t="n"/>
      <c r="I581" s="617" t="n">
        <v>56028</v>
      </c>
      <c r="J581" s="221" t="inlineStr">
        <is>
          <t>អនុញ្ញាត (បានប្រកាស)</t>
        </is>
      </c>
      <c r="K581" s="618" t="n"/>
      <c r="L581" s="616">
        <f>I581</f>
        <v/>
      </c>
      <c r="M581" s="588">
        <f>I581-L581</f>
        <v/>
      </c>
      <c r="N581" s="221" t="n"/>
      <c r="O581" s="226">
        <f>U581=E581</f>
        <v/>
      </c>
      <c r="P581" s="226">
        <f>MONTH(F581)-MONTH(T581)</f>
        <v/>
      </c>
      <c r="Q581" s="226">
        <f>$B$5=X581</f>
        <v/>
      </c>
      <c r="R581" s="226">
        <f>I581-AD581</f>
        <v/>
      </c>
      <c r="S581" s="360" t="n"/>
      <c r="T581" s="361" t="n">
        <v>45796</v>
      </c>
      <c r="U581" s="360" t="inlineStr">
        <is>
          <t>INV20250539152</t>
        </is>
      </c>
      <c r="V581" s="360" t="n">
        <v>0</v>
      </c>
      <c r="W581" s="360" t="inlineStr">
        <is>
          <t>បុគ្គលជាប់អាករ</t>
        </is>
      </c>
      <c r="X581" s="360" t="inlineStr">
        <is>
          <t>L001-901640009</t>
        </is>
      </c>
      <c r="Y581" s="360" t="inlineStr">
        <is>
          <t>ហូលីដេ ឌីហ្សាញ (ខេមបូឌា) ឯ.ក</t>
        </is>
      </c>
      <c r="Z581" s="362" t="n">
        <v>616308</v>
      </c>
      <c r="AA581" s="362" t="n">
        <v>560280</v>
      </c>
      <c r="AB581" s="360" t="n">
        <v>0</v>
      </c>
      <c r="AC581" s="360" t="inlineStr">
        <is>
          <t>-</t>
        </is>
      </c>
      <c r="AD581" s="362" t="n">
        <v>56028</v>
      </c>
      <c r="AE581" s="360" t="n">
        <v>0</v>
      </c>
      <c r="AF581" s="615" t="n">
        <v>0</v>
      </c>
      <c r="AG581" s="203" t="n">
        <v>0</v>
      </c>
      <c r="AH581" s="203" t="n">
        <v>0</v>
      </c>
      <c r="AI581" s="203" t="n">
        <v>0</v>
      </c>
      <c r="AJ581" s="203" t="n">
        <v>0</v>
      </c>
      <c r="AK581" s="203" t="n">
        <v>0</v>
      </c>
      <c r="AL581" s="203" t="n">
        <v>0.01</v>
      </c>
      <c r="AM581" s="203" t="n">
        <v>0</v>
      </c>
      <c r="AN581" s="203" t="inlineStr">
        <is>
          <t>ចំណូលពីសេវាកម្ម (លើកដាក់ទំនិញ)</t>
        </is>
      </c>
    </row>
    <row r="582">
      <c r="A582" s="220">
        <f>A581+1</f>
        <v/>
      </c>
      <c r="B582" s="222" t="inlineStr">
        <is>
          <t>Lift-Off-Ex</t>
        </is>
      </c>
      <c r="C582" s="222" t="inlineStr">
        <is>
          <t>PHNOM PENH AUTONOMOUS PORT "PPAP"</t>
        </is>
      </c>
      <c r="D582" s="223" t="inlineStr">
        <is>
          <t>L001-100044999</t>
        </is>
      </c>
      <c r="E582" s="349" t="inlineStr">
        <is>
          <t>INV20250541416</t>
        </is>
      </c>
      <c r="F582" s="332" t="n">
        <v>45803</v>
      </c>
      <c r="G582" s="224" t="n"/>
      <c r="H582" s="617" t="n"/>
      <c r="I582" s="617" t="n">
        <v>112056</v>
      </c>
      <c r="J582" s="221" t="inlineStr">
        <is>
          <t>អនុញ្ញាត (បានប្រកាស)</t>
        </is>
      </c>
      <c r="K582" s="618" t="n"/>
      <c r="L582" s="616">
        <f>I582</f>
        <v/>
      </c>
      <c r="M582" s="588">
        <f>I582-L582</f>
        <v/>
      </c>
      <c r="N582" s="221" t="n"/>
      <c r="O582" s="226">
        <f>U582=E582</f>
        <v/>
      </c>
      <c r="P582" s="226">
        <f>MONTH(F582)-MONTH(T582)</f>
        <v/>
      </c>
      <c r="Q582" s="226">
        <f>$B$5=X582</f>
        <v/>
      </c>
      <c r="R582" s="226">
        <f>I582-AD582</f>
        <v/>
      </c>
      <c r="S582" s="360" t="n"/>
      <c r="T582" s="361" t="n">
        <v>45803</v>
      </c>
      <c r="U582" s="360" t="inlineStr">
        <is>
          <t>INV20250541416</t>
        </is>
      </c>
      <c r="V582" s="360" t="n">
        <v>0</v>
      </c>
      <c r="W582" s="360" t="inlineStr">
        <is>
          <t>បុគ្គលជាប់អាករ</t>
        </is>
      </c>
      <c r="X582" s="360" t="inlineStr">
        <is>
          <t>L001-901640009</t>
        </is>
      </c>
      <c r="Y582" s="360" t="inlineStr">
        <is>
          <t>ហូលីដេ ឌីហ្សាញ (ខេមបូឌា) ឯ.ក</t>
        </is>
      </c>
      <c r="Z582" s="362" t="n">
        <v>1232616</v>
      </c>
      <c r="AA582" s="362" t="n">
        <v>1120560</v>
      </c>
      <c r="AB582" s="360" t="n">
        <v>0</v>
      </c>
      <c r="AC582" s="360" t="inlineStr">
        <is>
          <t>-</t>
        </is>
      </c>
      <c r="AD582" s="362" t="n">
        <v>112056</v>
      </c>
      <c r="AE582" s="360" t="n">
        <v>0</v>
      </c>
      <c r="AF582" s="615" t="n">
        <v>0</v>
      </c>
      <c r="AG582" s="203" t="n">
        <v>0</v>
      </c>
      <c r="AH582" s="203" t="n">
        <v>0</v>
      </c>
      <c r="AI582" s="203" t="n">
        <v>0</v>
      </c>
      <c r="AJ582" s="203" t="n">
        <v>0</v>
      </c>
      <c r="AK582" s="203" t="n">
        <v>0</v>
      </c>
      <c r="AL582" s="203" t="n">
        <v>0.01</v>
      </c>
      <c r="AM582" s="203" t="n">
        <v>0</v>
      </c>
      <c r="AN582" s="203" t="inlineStr">
        <is>
          <t>ចំណូលពីសេវាកម្ម (លើកដាក់ទំនិញ)</t>
        </is>
      </c>
    </row>
    <row r="583">
      <c r="A583" s="220">
        <f>A582+1</f>
        <v/>
      </c>
      <c r="B583" s="222" t="inlineStr">
        <is>
          <t>Trucking &amp; Clearance-Ex</t>
        </is>
      </c>
      <c r="C583" s="222" t="inlineStr">
        <is>
          <t>BRILLIANT TRANSPORT AND TRADING Co., Ltd.</t>
        </is>
      </c>
      <c r="D583" s="223" t="inlineStr">
        <is>
          <t>K002-100089305</t>
        </is>
      </c>
      <c r="E583" s="349" t="inlineStr">
        <is>
          <t>BTT25-0001157</t>
        </is>
      </c>
      <c r="F583" s="332" t="n">
        <v>45806</v>
      </c>
      <c r="G583" s="224" t="n"/>
      <c r="H583" s="617" t="n"/>
      <c r="I583" s="617" t="n">
        <v>203403</v>
      </c>
      <c r="J583" s="221" t="inlineStr">
        <is>
          <t>អនុញ្ញាត (បានប្រកាស)</t>
        </is>
      </c>
      <c r="K583" s="618" t="n"/>
      <c r="L583" s="616">
        <f>I583</f>
        <v/>
      </c>
      <c r="M583" s="588">
        <f>I583-L583</f>
        <v/>
      </c>
      <c r="N583" s="221" t="n"/>
      <c r="O583" s="226">
        <f>U583=E583</f>
        <v/>
      </c>
      <c r="P583" s="226">
        <f>MONTH(F583)-MONTH(T583)</f>
        <v/>
      </c>
      <c r="Q583" s="226">
        <f>$B$5=X583</f>
        <v/>
      </c>
      <c r="R583" s="226">
        <f>I583-AD583</f>
        <v/>
      </c>
      <c r="S583" s="360" t="n"/>
      <c r="T583" s="361" t="n">
        <v>45806</v>
      </c>
      <c r="U583" s="360" t="inlineStr">
        <is>
          <t>BTT25-0001157</t>
        </is>
      </c>
      <c r="V583" s="360" t="n"/>
      <c r="W583" s="360" t="n"/>
      <c r="X583" s="360" t="n"/>
      <c r="Y583" s="360" t="inlineStr">
        <is>
          <t>ហូលីដេ ឌីហ្សាញ (ខេមបូឌា) ឯ.ក</t>
        </is>
      </c>
      <c r="Z583" s="362" t="n"/>
      <c r="AA583" s="362" t="n"/>
      <c r="AB583" s="360" t="n"/>
      <c r="AC583" s="360" t="n"/>
      <c r="AD583" s="362" t="n">
        <v>203403</v>
      </c>
      <c r="AE583" s="360" t="n"/>
      <c r="AF583" s="615" t="n"/>
      <c r="AN583" s="203" t="inlineStr">
        <is>
          <t>Truking / Service</t>
        </is>
      </c>
    </row>
    <row r="584">
      <c r="A584" s="220">
        <f>A583+1</f>
        <v/>
      </c>
      <c r="B584" s="222" t="inlineStr">
        <is>
          <t>Trucking &amp; Clearance-Ex</t>
        </is>
      </c>
      <c r="C584" s="222" t="inlineStr">
        <is>
          <t>BRILLIANT TRANSPORT AND TRADING Co., Ltd.</t>
        </is>
      </c>
      <c r="D584" s="223" t="inlineStr">
        <is>
          <t>K002-100089305</t>
        </is>
      </c>
      <c r="E584" s="349" t="inlineStr">
        <is>
          <t>BTT25-0001156</t>
        </is>
      </c>
      <c r="F584" s="332" t="n">
        <v>45807</v>
      </c>
      <c r="G584" s="224" t="n"/>
      <c r="H584" s="617" t="n"/>
      <c r="I584" s="617" t="n">
        <v>191039</v>
      </c>
      <c r="J584" s="221" t="inlineStr">
        <is>
          <t>អនុញ្ញាត (បានប្រកាស)</t>
        </is>
      </c>
      <c r="K584" s="618" t="n"/>
      <c r="L584" s="616">
        <f>I584</f>
        <v/>
      </c>
      <c r="M584" s="588">
        <f>I584-L584</f>
        <v/>
      </c>
      <c r="N584" s="221" t="n"/>
      <c r="O584" s="226">
        <f>U584=E584</f>
        <v/>
      </c>
      <c r="P584" s="226">
        <f>MONTH(F584)-MONTH(T584)</f>
        <v/>
      </c>
      <c r="Q584" s="226">
        <f>$B$5=X584</f>
        <v/>
      </c>
      <c r="R584" s="226">
        <f>I584-AD584</f>
        <v/>
      </c>
      <c r="S584" s="360" t="n"/>
      <c r="T584" s="361" t="n">
        <v>45807</v>
      </c>
      <c r="U584" s="360" t="inlineStr">
        <is>
          <t>BTT25-0001156</t>
        </is>
      </c>
      <c r="V584" s="360" t="n"/>
      <c r="W584" s="360" t="n"/>
      <c r="X584" s="360" t="n"/>
      <c r="Y584" s="360" t="inlineStr">
        <is>
          <t>ហូលីដេ ឌីហ្សាញ (ខេមបូឌា) ឯ.ក</t>
        </is>
      </c>
      <c r="Z584" s="362" t="n"/>
      <c r="AA584" s="362" t="n"/>
      <c r="AB584" s="360" t="n"/>
      <c r="AC584" s="360" t="n"/>
      <c r="AD584" s="362" t="n">
        <v>191039</v>
      </c>
      <c r="AE584" s="360" t="n"/>
      <c r="AF584" s="615" t="n"/>
      <c r="AN584" s="203" t="inlineStr">
        <is>
          <t>Truking / Service</t>
        </is>
      </c>
    </row>
    <row r="585">
      <c r="A585" s="220">
        <f>A584+1</f>
        <v/>
      </c>
      <c r="B585" s="222" t="inlineStr">
        <is>
          <t>Trucking &amp; Clearance-Ex</t>
        </is>
      </c>
      <c r="C585" s="222" t="inlineStr">
        <is>
          <t>BRILLIANT TRANSPORT AND TRADING Co., Ltd.</t>
        </is>
      </c>
      <c r="D585" s="223" t="inlineStr">
        <is>
          <t>K002-100089305</t>
        </is>
      </c>
      <c r="E585" s="349" t="inlineStr">
        <is>
          <t>BTT25-0001155</t>
        </is>
      </c>
      <c r="F585" s="332" t="n">
        <v>45807</v>
      </c>
      <c r="G585" s="224" t="n"/>
      <c r="H585" s="617" t="n"/>
      <c r="I585" s="617" t="n">
        <v>191039</v>
      </c>
      <c r="J585" s="221" t="inlineStr">
        <is>
          <t>អនុញ្ញាត (បានប្រកាស)</t>
        </is>
      </c>
      <c r="K585" s="618" t="n"/>
      <c r="L585" s="616">
        <f>I585</f>
        <v/>
      </c>
      <c r="M585" s="588">
        <f>I585-L585</f>
        <v/>
      </c>
      <c r="N585" s="221" t="n"/>
      <c r="O585" s="226">
        <f>U585=E585</f>
        <v/>
      </c>
      <c r="P585" s="226">
        <f>MONTH(F585)-MONTH(T585)</f>
        <v/>
      </c>
      <c r="Q585" s="226">
        <f>$B$5=X585</f>
        <v/>
      </c>
      <c r="R585" s="226">
        <f>I585-AD585</f>
        <v/>
      </c>
      <c r="S585" s="360" t="n"/>
      <c r="T585" s="361" t="n">
        <v>45807</v>
      </c>
      <c r="U585" s="360" t="inlineStr">
        <is>
          <t>BTT25-0001155</t>
        </is>
      </c>
      <c r="V585" s="360" t="n"/>
      <c r="W585" s="360" t="n"/>
      <c r="X585" s="360" t="n"/>
      <c r="Y585" s="360" t="inlineStr">
        <is>
          <t>ហូលីដេ ឌីហ្សាញ (ខេមបូឌា) ឯ.ក</t>
        </is>
      </c>
      <c r="Z585" s="362" t="n"/>
      <c r="AA585" s="362" t="n"/>
      <c r="AB585" s="360" t="n"/>
      <c r="AC585" s="360" t="n"/>
      <c r="AD585" s="362" t="n">
        <v>191039</v>
      </c>
      <c r="AE585" s="360" t="n"/>
      <c r="AF585" s="615" t="n"/>
      <c r="AN585" s="203" t="inlineStr">
        <is>
          <t>Truking / Service</t>
        </is>
      </c>
    </row>
    <row r="586">
      <c r="A586" s="220">
        <f>A585+1</f>
        <v/>
      </c>
      <c r="B586" s="222" t="inlineStr">
        <is>
          <t>Trucking &amp; Clearance-Ex</t>
        </is>
      </c>
      <c r="C586" s="222" t="inlineStr">
        <is>
          <t>BRILLIANT TRANSPORT AND TRADING Co., Ltd.</t>
        </is>
      </c>
      <c r="D586" s="223" t="inlineStr">
        <is>
          <t>K002-100089305</t>
        </is>
      </c>
      <c r="E586" s="349" t="inlineStr">
        <is>
          <t>BTT25-0001153</t>
        </is>
      </c>
      <c r="F586" s="332" t="n">
        <v>45806</v>
      </c>
      <c r="G586" s="224" t="n"/>
      <c r="H586" s="617" t="n"/>
      <c r="I586" s="617" t="n">
        <v>1220419</v>
      </c>
      <c r="J586" s="221" t="inlineStr">
        <is>
          <t>អនុញ្ញាត (បានប្រកាស)</t>
        </is>
      </c>
      <c r="K586" s="618" t="n"/>
      <c r="L586" s="616">
        <f>I586</f>
        <v/>
      </c>
      <c r="M586" s="588">
        <f>I586-L586</f>
        <v/>
      </c>
      <c r="N586" s="221" t="n"/>
      <c r="O586" s="226">
        <f>U586=E586</f>
        <v/>
      </c>
      <c r="P586" s="226">
        <f>MONTH(F586)-MONTH(T586)</f>
        <v/>
      </c>
      <c r="Q586" s="226">
        <f>$B$5=X586</f>
        <v/>
      </c>
      <c r="R586" s="226">
        <f>I586-AD586</f>
        <v/>
      </c>
      <c r="S586" s="360" t="n"/>
      <c r="T586" s="361" t="n">
        <v>45806</v>
      </c>
      <c r="U586" s="360" t="inlineStr">
        <is>
          <t>BTT25-0001153</t>
        </is>
      </c>
      <c r="V586" s="360" t="n"/>
      <c r="W586" s="360" t="n"/>
      <c r="X586" s="360" t="n"/>
      <c r="Y586" s="360" t="inlineStr">
        <is>
          <t>ហូលីដេ ឌីហ្សាញ (ខេមបូឌា) ឯ.ក</t>
        </is>
      </c>
      <c r="Z586" s="362" t="n"/>
      <c r="AA586" s="362" t="n"/>
      <c r="AB586" s="360" t="n"/>
      <c r="AC586" s="360" t="n"/>
      <c r="AD586" s="362" t="n">
        <v>1220419</v>
      </c>
      <c r="AE586" s="360" t="n"/>
      <c r="AF586" s="615" t="n"/>
      <c r="AN586" s="203" t="inlineStr">
        <is>
          <t>Truking / Service</t>
        </is>
      </c>
    </row>
    <row r="587">
      <c r="A587" s="220">
        <f>A586+1</f>
        <v/>
      </c>
      <c r="B587" s="222" t="inlineStr">
        <is>
          <t>Lift-Off-Ex</t>
        </is>
      </c>
      <c r="C587" s="222" t="inlineStr">
        <is>
          <t>Port Autonome Du Sihanoukville</t>
        </is>
      </c>
      <c r="D587" s="223" t="inlineStr">
        <is>
          <t>L001-100044638</t>
        </is>
      </c>
      <c r="E587" s="349" t="n">
        <v>202500122913</v>
      </c>
      <c r="F587" s="332" t="n">
        <v>45804</v>
      </c>
      <c r="G587" s="224" t="n"/>
      <c r="H587" s="617" t="n"/>
      <c r="I587" s="617" t="n">
        <v>20415</v>
      </c>
      <c r="J587" s="221" t="inlineStr">
        <is>
          <t>អនុញ្ញាត (បានប្រកាស)</t>
        </is>
      </c>
      <c r="K587" s="618" t="n"/>
      <c r="L587" s="616">
        <f>I587</f>
        <v/>
      </c>
      <c r="M587" s="588">
        <f>I587-L587</f>
        <v/>
      </c>
      <c r="N587" s="221" t="n"/>
      <c r="O587" s="226">
        <f>U587=E587</f>
        <v/>
      </c>
      <c r="P587" s="226">
        <f>MONTH(F587)-MONTH(T587)</f>
        <v/>
      </c>
      <c r="Q587" s="226">
        <f>$B$5=X587</f>
        <v/>
      </c>
      <c r="R587" s="226">
        <f>I587-AD587</f>
        <v/>
      </c>
      <c r="S587" s="360" t="n"/>
      <c r="T587" s="361" t="n">
        <v>45804</v>
      </c>
      <c r="U587" s="360" t="n">
        <v>202500122913</v>
      </c>
      <c r="V587" s="360" t="n"/>
      <c r="W587" s="360" t="inlineStr">
        <is>
          <t>បុគ្គលជាប់អាករ</t>
        </is>
      </c>
      <c r="X587" s="360" t="inlineStr">
        <is>
          <t>L001-901640009</t>
        </is>
      </c>
      <c r="Y587" s="360" t="inlineStr">
        <is>
          <t>ហូលីដេ ឌីហ្សាញ (ខេមបូឌា) ឯ.ក</t>
        </is>
      </c>
      <c r="Z587" s="362" t="n">
        <v>224568</v>
      </c>
      <c r="AA587" s="362" t="n">
        <v>204153</v>
      </c>
      <c r="AB587" s="360" t="n">
        <v>0</v>
      </c>
      <c r="AC587" s="360" t="inlineStr">
        <is>
          <t>-</t>
        </is>
      </c>
      <c r="AD587" s="362" t="n">
        <v>20415</v>
      </c>
      <c r="AE587" s="360" t="n"/>
      <c r="AF587" s="615" t="n"/>
    </row>
    <row r="588">
      <c r="A588" s="220">
        <f>A587+1</f>
        <v/>
      </c>
      <c r="B588" s="222" t="inlineStr">
        <is>
          <t>Lift-Off-Ex</t>
        </is>
      </c>
      <c r="C588" s="222" t="inlineStr">
        <is>
          <t>Port Autonome Du Sihanoukville</t>
        </is>
      </c>
      <c r="D588" s="223" t="inlineStr">
        <is>
          <t>L001-100044638</t>
        </is>
      </c>
      <c r="E588" s="349" t="n">
        <v>202500122914</v>
      </c>
      <c r="F588" s="332" t="n">
        <v>45804</v>
      </c>
      <c r="G588" s="224" t="n"/>
      <c r="H588" s="617" t="n"/>
      <c r="I588" s="617" t="n">
        <v>20415</v>
      </c>
      <c r="J588" s="221" t="inlineStr">
        <is>
          <t>អនុញ្ញាត (បានប្រកាស)</t>
        </is>
      </c>
      <c r="K588" s="618" t="n"/>
      <c r="L588" s="616">
        <f>I588</f>
        <v/>
      </c>
      <c r="M588" s="588">
        <f>I588-L588</f>
        <v/>
      </c>
      <c r="N588" s="221" t="n"/>
      <c r="O588" s="226">
        <f>U588=E588</f>
        <v/>
      </c>
      <c r="P588" s="226">
        <f>MONTH(F588)-MONTH(T588)</f>
        <v/>
      </c>
      <c r="Q588" s="226">
        <f>$B$5=X588</f>
        <v/>
      </c>
      <c r="R588" s="226">
        <f>I588-AD588</f>
        <v/>
      </c>
      <c r="S588" s="360" t="n"/>
      <c r="T588" s="361" t="n">
        <v>45804</v>
      </c>
      <c r="U588" s="360" t="n">
        <v>202500122914</v>
      </c>
      <c r="V588" s="360" t="n"/>
      <c r="W588" s="360" t="inlineStr">
        <is>
          <t>បុគ្គលជាប់អាករ</t>
        </is>
      </c>
      <c r="X588" s="360" t="inlineStr">
        <is>
          <t>L001-901640009</t>
        </is>
      </c>
      <c r="Y588" s="360" t="inlineStr">
        <is>
          <t>ហូលីដេ ឌីហ្សាញ (ខេមបូឌា) ឯ.ក</t>
        </is>
      </c>
      <c r="Z588" s="362" t="n">
        <v>224568</v>
      </c>
      <c r="AA588" s="362" t="n">
        <v>204153</v>
      </c>
      <c r="AB588" s="360" t="n">
        <v>0</v>
      </c>
      <c r="AC588" s="360" t="inlineStr">
        <is>
          <t>-</t>
        </is>
      </c>
      <c r="AD588" s="362" t="n">
        <v>20415</v>
      </c>
      <c r="AE588" s="360" t="n"/>
      <c r="AF588" s="615" t="n"/>
    </row>
    <row r="589">
      <c r="A589" s="220">
        <f>A588+1</f>
        <v/>
      </c>
      <c r="B589" s="222" t="inlineStr">
        <is>
          <t>Lift-Off-Ex</t>
        </is>
      </c>
      <c r="C589" s="222" t="inlineStr">
        <is>
          <t>Port Autonome Du Sihanoukville</t>
        </is>
      </c>
      <c r="D589" s="223" t="inlineStr">
        <is>
          <t>L001-100044638</t>
        </is>
      </c>
      <c r="E589" s="349" t="n">
        <v>202500122917</v>
      </c>
      <c r="F589" s="332" t="n">
        <v>45804</v>
      </c>
      <c r="G589" s="224" t="n"/>
      <c r="H589" s="617" t="n"/>
      <c r="I589" s="617" t="n">
        <v>20415</v>
      </c>
      <c r="J589" s="221" t="inlineStr">
        <is>
          <t>អនុញ្ញាត (បានប្រកាស)</t>
        </is>
      </c>
      <c r="K589" s="618" t="n"/>
      <c r="L589" s="616">
        <f>I589</f>
        <v/>
      </c>
      <c r="M589" s="588">
        <f>I589-L589</f>
        <v/>
      </c>
      <c r="N589" s="221" t="n"/>
      <c r="O589" s="226">
        <f>U589=E589</f>
        <v/>
      </c>
      <c r="P589" s="226">
        <f>MONTH(F589)-MONTH(T589)</f>
        <v/>
      </c>
      <c r="Q589" s="226">
        <f>$B$5=X589</f>
        <v/>
      </c>
      <c r="R589" s="226">
        <f>I589-AD589</f>
        <v/>
      </c>
      <c r="S589" s="360" t="n"/>
      <c r="T589" s="361" t="n">
        <v>45804</v>
      </c>
      <c r="U589" s="360" t="n">
        <v>202500122917</v>
      </c>
      <c r="V589" s="360" t="n"/>
      <c r="W589" s="360" t="inlineStr">
        <is>
          <t>បុគ្គលជាប់អាករ</t>
        </is>
      </c>
      <c r="X589" s="360" t="inlineStr">
        <is>
          <t>L001-901640009</t>
        </is>
      </c>
      <c r="Y589" s="360" t="inlineStr">
        <is>
          <t>ហូលីដេ ឌីហ្សាញ (ខេមបូឌា) ឯ.ក</t>
        </is>
      </c>
      <c r="Z589" s="362" t="n">
        <v>224568</v>
      </c>
      <c r="AA589" s="362" t="n">
        <v>204153</v>
      </c>
      <c r="AB589" s="360" t="n">
        <v>0</v>
      </c>
      <c r="AC589" s="360" t="inlineStr">
        <is>
          <t>-</t>
        </is>
      </c>
      <c r="AD589" s="362" t="n">
        <v>20415</v>
      </c>
      <c r="AE589" s="360" t="n"/>
      <c r="AF589" s="615" t="n"/>
    </row>
    <row r="590">
      <c r="A590" s="220">
        <f>A589+1</f>
        <v/>
      </c>
      <c r="B590" s="222" t="inlineStr">
        <is>
          <t>Lift-Off-Ex</t>
        </is>
      </c>
      <c r="C590" s="222" t="inlineStr">
        <is>
          <t>Port Autonome Du Sihanoukville</t>
        </is>
      </c>
      <c r="D590" s="223" t="inlineStr">
        <is>
          <t>L001-100044638</t>
        </is>
      </c>
      <c r="E590" s="349" t="n">
        <v>202500122920</v>
      </c>
      <c r="F590" s="332" t="n">
        <v>45804</v>
      </c>
      <c r="G590" s="224" t="n"/>
      <c r="H590" s="617" t="n"/>
      <c r="I590" s="617" t="n">
        <v>20415</v>
      </c>
      <c r="J590" s="221" t="inlineStr">
        <is>
          <t>អនុញ្ញាត (បានប្រកាស)</t>
        </is>
      </c>
      <c r="K590" s="618" t="n"/>
      <c r="L590" s="616">
        <f>I590</f>
        <v/>
      </c>
      <c r="M590" s="588">
        <f>I590-L590</f>
        <v/>
      </c>
      <c r="N590" s="221" t="n"/>
      <c r="O590" s="226">
        <f>U590=E590</f>
        <v/>
      </c>
      <c r="P590" s="226">
        <f>MONTH(F590)-MONTH(T590)</f>
        <v/>
      </c>
      <c r="Q590" s="226">
        <f>$B$5=X590</f>
        <v/>
      </c>
      <c r="R590" s="226">
        <f>I590-AD590</f>
        <v/>
      </c>
      <c r="S590" s="360" t="n"/>
      <c r="T590" s="361" t="n">
        <v>45804</v>
      </c>
      <c r="U590" s="360" t="n">
        <v>202500122920</v>
      </c>
      <c r="V590" s="360" t="n"/>
      <c r="W590" s="360" t="inlineStr">
        <is>
          <t>បុគ្គលជាប់អាករ</t>
        </is>
      </c>
      <c r="X590" s="360" t="inlineStr">
        <is>
          <t>L001-901640009</t>
        </is>
      </c>
      <c r="Y590" s="360" t="inlineStr">
        <is>
          <t>ហូលីដេ ឌីហ្សាញ (ខេមបូឌា) ឯ.ក</t>
        </is>
      </c>
      <c r="Z590" s="362" t="n">
        <v>224568</v>
      </c>
      <c r="AA590" s="362" t="n">
        <v>204153</v>
      </c>
      <c r="AB590" s="360" t="n">
        <v>0</v>
      </c>
      <c r="AC590" s="360" t="inlineStr">
        <is>
          <t>-</t>
        </is>
      </c>
      <c r="AD590" s="362" t="n">
        <v>20415</v>
      </c>
      <c r="AE590" s="360" t="n"/>
      <c r="AF590" s="615" t="n"/>
    </row>
    <row r="591">
      <c r="A591" s="220">
        <f>A590+1</f>
        <v/>
      </c>
      <c r="B591" s="222" t="inlineStr">
        <is>
          <t>Lift-Off-Ex</t>
        </is>
      </c>
      <c r="C591" s="222" t="inlineStr">
        <is>
          <t>Port Autonome Du Sihanoukville</t>
        </is>
      </c>
      <c r="D591" s="223" t="inlineStr">
        <is>
          <t>L001-100044638</t>
        </is>
      </c>
      <c r="E591" s="349" t="n">
        <v>202500122924</v>
      </c>
      <c r="F591" s="332" t="n">
        <v>45804</v>
      </c>
      <c r="G591" s="224" t="n"/>
      <c r="H591" s="617" t="n"/>
      <c r="I591" s="617" t="n">
        <v>20415</v>
      </c>
      <c r="J591" s="221" t="inlineStr">
        <is>
          <t>អនុញ្ញាត (បានប្រកាស)</t>
        </is>
      </c>
      <c r="K591" s="618" t="n"/>
      <c r="L591" s="616">
        <f>I591</f>
        <v/>
      </c>
      <c r="M591" s="588">
        <f>I591-L591</f>
        <v/>
      </c>
      <c r="N591" s="221" t="n"/>
      <c r="O591" s="226">
        <f>U591=E591</f>
        <v/>
      </c>
      <c r="P591" s="226">
        <f>MONTH(F591)-MONTH(T591)</f>
        <v/>
      </c>
      <c r="Q591" s="226">
        <f>$B$5=X591</f>
        <v/>
      </c>
      <c r="R591" s="226">
        <f>I591-AD591</f>
        <v/>
      </c>
      <c r="S591" s="360" t="n"/>
      <c r="T591" s="361" t="n">
        <v>45804</v>
      </c>
      <c r="U591" s="360" t="n">
        <v>202500122924</v>
      </c>
      <c r="V591" s="360" t="n"/>
      <c r="W591" s="360" t="inlineStr">
        <is>
          <t>បុគ្គលជាប់អាករ</t>
        </is>
      </c>
      <c r="X591" s="360" t="inlineStr">
        <is>
          <t>L001-901640009</t>
        </is>
      </c>
      <c r="Y591" s="360" t="inlineStr">
        <is>
          <t>ហូលីដេ ឌីហ្សាញ (ខេមបូឌា) ឯ.ក</t>
        </is>
      </c>
      <c r="Z591" s="362" t="n">
        <v>224568</v>
      </c>
      <c r="AA591" s="362" t="n">
        <v>204153</v>
      </c>
      <c r="AB591" s="360" t="n">
        <v>0</v>
      </c>
      <c r="AC591" s="360" t="inlineStr">
        <is>
          <t>-</t>
        </is>
      </c>
      <c r="AD591" s="362" t="n">
        <v>20415</v>
      </c>
      <c r="AE591" s="360" t="n"/>
      <c r="AF591" s="615" t="n"/>
    </row>
    <row r="592">
      <c r="A592" s="220">
        <f>A591+1</f>
        <v/>
      </c>
      <c r="B592" s="222" t="inlineStr">
        <is>
          <t>Lift-Off-Ex</t>
        </is>
      </c>
      <c r="C592" s="222" t="inlineStr">
        <is>
          <t>Port Autonome Du Sihanoukville</t>
        </is>
      </c>
      <c r="D592" s="223" t="inlineStr">
        <is>
          <t>L001-100044638</t>
        </is>
      </c>
      <c r="E592" s="349" t="n">
        <v>202500122925</v>
      </c>
      <c r="F592" s="332" t="n">
        <v>45804</v>
      </c>
      <c r="G592" s="224" t="n"/>
      <c r="H592" s="617" t="n"/>
      <c r="I592" s="617" t="n">
        <v>6805</v>
      </c>
      <c r="J592" s="221" t="inlineStr">
        <is>
          <t>អនុញ្ញាត (បានប្រកាស)</t>
        </is>
      </c>
      <c r="K592" s="618" t="n"/>
      <c r="L592" s="616">
        <f>I592</f>
        <v/>
      </c>
      <c r="M592" s="588">
        <f>I592-L592</f>
        <v/>
      </c>
      <c r="N592" s="221" t="n"/>
      <c r="O592" s="226">
        <f>U592=E592</f>
        <v/>
      </c>
      <c r="P592" s="226">
        <f>MONTH(F592)-MONTH(T592)</f>
        <v/>
      </c>
      <c r="Q592" s="226">
        <f>$B$5=X592</f>
        <v/>
      </c>
      <c r="R592" s="226">
        <f>I592-AD592</f>
        <v/>
      </c>
      <c r="S592" s="360" t="n"/>
      <c r="T592" s="361" t="n">
        <v>45804</v>
      </c>
      <c r="U592" s="360" t="n">
        <v>202500122925</v>
      </c>
      <c r="V592" s="360" t="n"/>
      <c r="W592" s="360" t="inlineStr">
        <is>
          <t>បុគ្គលជាប់អាករ</t>
        </is>
      </c>
      <c r="X592" s="360" t="inlineStr">
        <is>
          <t>L001-901640009</t>
        </is>
      </c>
      <c r="Y592" s="360" t="inlineStr">
        <is>
          <t>ហូលីដេ ឌីហ្សាញ (ខេមបូឌា) ឯ.ក</t>
        </is>
      </c>
      <c r="Z592" s="362" t="n">
        <v>74856</v>
      </c>
      <c r="AA592" s="362" t="n">
        <v>68051</v>
      </c>
      <c r="AB592" s="360" t="n">
        <v>0</v>
      </c>
      <c r="AC592" s="360" t="inlineStr">
        <is>
          <t>-</t>
        </is>
      </c>
      <c r="AD592" s="362" t="n">
        <v>6805</v>
      </c>
      <c r="AE592" s="360" t="n"/>
      <c r="AF592" s="615" t="n"/>
    </row>
    <row r="593">
      <c r="A593" s="220">
        <f>A592+1</f>
        <v/>
      </c>
      <c r="B593" s="222" t="inlineStr">
        <is>
          <t>Lift-Off-Ex</t>
        </is>
      </c>
      <c r="C593" s="222" t="inlineStr">
        <is>
          <t>Port Autonome Du Sihanoukville</t>
        </is>
      </c>
      <c r="D593" s="223" t="inlineStr">
        <is>
          <t>L001-100044638</t>
        </is>
      </c>
      <c r="E593" s="349" t="n">
        <v>202500122929</v>
      </c>
      <c r="F593" s="332" t="n">
        <v>45804</v>
      </c>
      <c r="G593" s="224" t="n"/>
      <c r="H593" s="617" t="n"/>
      <c r="I593" s="617" t="n">
        <v>6805</v>
      </c>
      <c r="J593" s="221" t="inlineStr">
        <is>
          <t>អនុញ្ញាត (បានប្រកាស)</t>
        </is>
      </c>
      <c r="K593" s="618" t="n"/>
      <c r="L593" s="616">
        <f>I593</f>
        <v/>
      </c>
      <c r="M593" s="588">
        <f>I593-L593</f>
        <v/>
      </c>
      <c r="N593" s="221" t="n"/>
      <c r="O593" s="226">
        <f>U593=E593</f>
        <v/>
      </c>
      <c r="P593" s="226">
        <f>MONTH(F593)-MONTH(T593)</f>
        <v/>
      </c>
      <c r="Q593" s="226">
        <f>$B$5=X593</f>
        <v/>
      </c>
      <c r="R593" s="226">
        <f>I593-AD593</f>
        <v/>
      </c>
      <c r="S593" s="360" t="n"/>
      <c r="T593" s="361" t="n">
        <v>45804</v>
      </c>
      <c r="U593" s="360" t="n">
        <v>202500122929</v>
      </c>
      <c r="V593" s="360" t="n"/>
      <c r="W593" s="360" t="inlineStr">
        <is>
          <t>បុគ្គលជាប់អាករ</t>
        </is>
      </c>
      <c r="X593" s="360" t="inlineStr">
        <is>
          <t>L001-901640009</t>
        </is>
      </c>
      <c r="Y593" s="360" t="inlineStr">
        <is>
          <t>ហូលីដេ ឌីហ្សាញ (ខេមបូឌា) ឯ.ក</t>
        </is>
      </c>
      <c r="Z593" s="362" t="n">
        <v>74856</v>
      </c>
      <c r="AA593" s="362" t="n">
        <v>68051</v>
      </c>
      <c r="AB593" s="360" t="n">
        <v>0</v>
      </c>
      <c r="AC593" s="360" t="inlineStr">
        <is>
          <t>-</t>
        </is>
      </c>
      <c r="AD593" s="362" t="n">
        <v>6805</v>
      </c>
      <c r="AE593" s="360" t="n"/>
      <c r="AF593" s="615" t="n"/>
    </row>
    <row r="594">
      <c r="A594" s="220">
        <f>A593+1</f>
        <v/>
      </c>
      <c r="B594" s="222" t="inlineStr">
        <is>
          <t>Lift-Off-Ex</t>
        </is>
      </c>
      <c r="C594" s="222" t="inlineStr">
        <is>
          <t>Port Autonome Du Sihanoukville</t>
        </is>
      </c>
      <c r="D594" s="223" t="inlineStr">
        <is>
          <t>L001-100044638</t>
        </is>
      </c>
      <c r="E594" s="349" t="n">
        <v>202500122930</v>
      </c>
      <c r="F594" s="332" t="n">
        <v>45804</v>
      </c>
      <c r="G594" s="224" t="n"/>
      <c r="H594" s="617" t="n"/>
      <c r="I594" s="617" t="n">
        <v>6805</v>
      </c>
      <c r="J594" s="221" t="inlineStr">
        <is>
          <t>អនុញ្ញាត (បានប្រកាស)</t>
        </is>
      </c>
      <c r="K594" s="618" t="n"/>
      <c r="L594" s="616">
        <f>I594</f>
        <v/>
      </c>
      <c r="M594" s="588">
        <f>I594-L594</f>
        <v/>
      </c>
      <c r="N594" s="221" t="n"/>
      <c r="O594" s="226">
        <f>U594=E594</f>
        <v/>
      </c>
      <c r="P594" s="226">
        <f>MONTH(F594)-MONTH(T594)</f>
        <v/>
      </c>
      <c r="Q594" s="226">
        <f>$B$5=X594</f>
        <v/>
      </c>
      <c r="R594" s="226">
        <f>I594-AD594</f>
        <v/>
      </c>
      <c r="S594" s="360" t="n"/>
      <c r="T594" s="361" t="n">
        <v>45804</v>
      </c>
      <c r="U594" s="360" t="n">
        <v>202500122930</v>
      </c>
      <c r="V594" s="360" t="n"/>
      <c r="W594" s="360" t="inlineStr">
        <is>
          <t>បុគ្គលជាប់អាករ</t>
        </is>
      </c>
      <c r="X594" s="360" t="inlineStr">
        <is>
          <t>L001-901640009</t>
        </is>
      </c>
      <c r="Y594" s="360" t="inlineStr">
        <is>
          <t>ហូលីដេ ឌីហ្សាញ (ខេមបូឌា) ឯ.ក</t>
        </is>
      </c>
      <c r="Z594" s="362" t="n">
        <v>74856</v>
      </c>
      <c r="AA594" s="362" t="n">
        <v>68051</v>
      </c>
      <c r="AB594" s="360" t="n">
        <v>0</v>
      </c>
      <c r="AC594" s="360" t="inlineStr">
        <is>
          <t>-</t>
        </is>
      </c>
      <c r="AD594" s="362" t="n">
        <v>6805</v>
      </c>
      <c r="AE594" s="360" t="n"/>
      <c r="AF594" s="615" t="n"/>
    </row>
    <row r="595">
      <c r="A595" s="220">
        <f>A594+1</f>
        <v/>
      </c>
      <c r="B595" s="222" t="inlineStr">
        <is>
          <t>Trucking &amp; Clearance-Ex</t>
        </is>
      </c>
      <c r="C595" s="222" t="inlineStr">
        <is>
          <t>BRILLIANT TRANSPORT AND TRADING Co., Ltd.</t>
        </is>
      </c>
      <c r="D595" s="223" t="inlineStr">
        <is>
          <t>K002-100089305</t>
        </is>
      </c>
      <c r="E595" s="349" t="inlineStr">
        <is>
          <t>BTT25-0001152</t>
        </is>
      </c>
      <c r="F595" s="332" t="n">
        <v>45806</v>
      </c>
      <c r="G595" s="224" t="n"/>
      <c r="H595" s="617" t="n"/>
      <c r="I595" s="617" t="n">
        <v>1533132</v>
      </c>
      <c r="J595" s="221" t="inlineStr">
        <is>
          <t>អនុញ្ញាត (បានប្រកាស)</t>
        </is>
      </c>
      <c r="K595" s="618" t="n"/>
      <c r="L595" s="616">
        <f>I595</f>
        <v/>
      </c>
      <c r="M595" s="588">
        <f>I595-L595</f>
        <v/>
      </c>
      <c r="N595" s="221" t="n"/>
      <c r="O595" s="226">
        <f>U595=E595</f>
        <v/>
      </c>
      <c r="P595" s="226">
        <f>MONTH(F595)-MONTH(T595)</f>
        <v/>
      </c>
      <c r="Q595" s="226">
        <f>$B$5=X595</f>
        <v/>
      </c>
      <c r="R595" s="226">
        <f>I595-AD595</f>
        <v/>
      </c>
      <c r="S595" s="360" t="n"/>
      <c r="T595" s="361" t="n">
        <v>45806</v>
      </c>
      <c r="U595" s="360" t="inlineStr">
        <is>
          <t>BTT25-0001152</t>
        </is>
      </c>
      <c r="V595" s="360" t="n"/>
      <c r="W595" s="360" t="n"/>
      <c r="X595" s="360" t="n"/>
      <c r="Y595" s="360" t="inlineStr">
        <is>
          <t>ហូលីដេ ឌីហ្សាញ (ខេមបូឌា) ឯ.ក</t>
        </is>
      </c>
      <c r="Z595" s="362" t="n"/>
      <c r="AA595" s="362" t="n"/>
      <c r="AB595" s="360" t="n"/>
      <c r="AC595" s="360" t="n"/>
      <c r="AD595" s="362" t="n">
        <v>1533132</v>
      </c>
      <c r="AE595" s="360" t="n"/>
      <c r="AF595" s="615" t="n"/>
      <c r="AN595" s="203" t="inlineStr">
        <is>
          <t>Truking / Service</t>
        </is>
      </c>
    </row>
    <row r="596">
      <c r="A596" s="220">
        <f>A595+1</f>
        <v/>
      </c>
      <c r="B596" s="222" t="inlineStr">
        <is>
          <t>Register GSP</t>
        </is>
      </c>
      <c r="C596" s="222" t="inlineStr">
        <is>
          <t>BRILLIANT TRANSPORT AND TRADING Co., Ltd.</t>
        </is>
      </c>
      <c r="D596" s="223" t="inlineStr">
        <is>
          <t>K002-100089305</t>
        </is>
      </c>
      <c r="E596" s="349" t="inlineStr">
        <is>
          <t>BTT25-0001144</t>
        </is>
      </c>
      <c r="F596" s="332" t="n">
        <v>45800</v>
      </c>
      <c r="G596" s="224" t="n"/>
      <c r="H596" s="617" t="n"/>
      <c r="I596" s="617" t="n">
        <v>120090</v>
      </c>
      <c r="J596" s="221" t="inlineStr">
        <is>
          <t>អនុញ្ញាត (បានប្រកាស)</t>
        </is>
      </c>
      <c r="K596" s="618" t="n"/>
      <c r="L596" s="616">
        <f>I596</f>
        <v/>
      </c>
      <c r="M596" s="588">
        <f>I596-L596</f>
        <v/>
      </c>
      <c r="N596" s="221" t="n"/>
      <c r="O596" s="226">
        <f>U596=E596</f>
        <v/>
      </c>
      <c r="P596" s="226">
        <f>MONTH(F596)-MONTH(T596)</f>
        <v/>
      </c>
      <c r="Q596" s="226">
        <f>$B$5=X596</f>
        <v/>
      </c>
      <c r="R596" s="226">
        <f>I596-AD596</f>
        <v/>
      </c>
      <c r="S596" s="360" t="n"/>
      <c r="T596" s="361" t="n">
        <v>45800</v>
      </c>
      <c r="U596" s="360" t="inlineStr">
        <is>
          <t>BTT25-0001144</t>
        </is>
      </c>
      <c r="V596" s="360" t="n"/>
      <c r="W596" s="360" t="n"/>
      <c r="X596" s="360" t="n"/>
      <c r="Y596" s="360" t="inlineStr">
        <is>
          <t>ហូលីដេ ឌីហ្សាញ (ខេមបូឌា) ឯ.ក</t>
        </is>
      </c>
      <c r="Z596" s="362" t="n"/>
      <c r="AA596" s="362" t="n"/>
      <c r="AB596" s="360" t="n"/>
      <c r="AC596" s="360" t="n"/>
      <c r="AD596" s="362" t="n">
        <v>120090</v>
      </c>
      <c r="AE596" s="360" t="n"/>
      <c r="AF596" s="615" t="n"/>
      <c r="AN596" s="203" t="inlineStr">
        <is>
          <t>Truking / Service</t>
        </is>
      </c>
    </row>
    <row r="597">
      <c r="A597" s="220">
        <f>A596+1</f>
        <v/>
      </c>
      <c r="B597" s="222" t="inlineStr">
        <is>
          <t>Trucking &amp; Clearance-Ex</t>
        </is>
      </c>
      <c r="C597" s="222" t="inlineStr">
        <is>
          <t>BRILLIANT TRANSPORT AND TRADING Co., Ltd.</t>
        </is>
      </c>
      <c r="D597" s="223" t="inlineStr">
        <is>
          <t>K002-100089305</t>
        </is>
      </c>
      <c r="E597" s="349" t="inlineStr">
        <is>
          <t>BTT25-0001158</t>
        </is>
      </c>
      <c r="F597" s="332" t="n">
        <v>45806</v>
      </c>
      <c r="G597" s="224" t="n"/>
      <c r="H597" s="617" t="n"/>
      <c r="I597" s="617" t="n">
        <v>213413</v>
      </c>
      <c r="J597" s="221" t="inlineStr">
        <is>
          <t>អនុញ្ញាត (បានប្រកាស)</t>
        </is>
      </c>
      <c r="K597" s="618" t="n"/>
      <c r="L597" s="616">
        <f>I597</f>
        <v/>
      </c>
      <c r="M597" s="588">
        <f>I597-L597</f>
        <v/>
      </c>
      <c r="N597" s="221" t="n"/>
      <c r="O597" s="226">
        <f>U597=E597</f>
        <v/>
      </c>
      <c r="P597" s="226">
        <f>MONTH(F597)-MONTH(T597)</f>
        <v/>
      </c>
      <c r="Q597" s="226">
        <f>$B$5=X597</f>
        <v/>
      </c>
      <c r="R597" s="226">
        <f>I597-AD597</f>
        <v/>
      </c>
      <c r="S597" s="360" t="n"/>
      <c r="T597" s="361" t="n">
        <v>45806</v>
      </c>
      <c r="U597" s="360" t="inlineStr">
        <is>
          <t>BTT25-0001158</t>
        </is>
      </c>
      <c r="V597" s="360" t="n"/>
      <c r="W597" s="360" t="n"/>
      <c r="X597" s="360" t="n"/>
      <c r="Y597" s="360" t="inlineStr">
        <is>
          <t>ហូលីដេ ឌីហ្សាញ (ខេមបូឌា) ឯ.ក</t>
        </is>
      </c>
      <c r="Z597" s="362" t="n"/>
      <c r="AA597" s="362" t="n"/>
      <c r="AB597" s="360" t="n"/>
      <c r="AC597" s="360" t="n"/>
      <c r="AD597" s="362" t="n">
        <v>213413</v>
      </c>
      <c r="AE597" s="360" t="n"/>
      <c r="AF597" s="615" t="n"/>
      <c r="AN597" s="203" t="inlineStr">
        <is>
          <t>Truking / Service</t>
        </is>
      </c>
    </row>
    <row r="598">
      <c r="A598" s="220">
        <f>A597+1</f>
        <v/>
      </c>
      <c r="B598" s="222" t="inlineStr">
        <is>
          <t>Trucking &amp; Clearance-Ex</t>
        </is>
      </c>
      <c r="C598" s="222" t="inlineStr">
        <is>
          <t>BRILLIANT TRANSPORT AND TRADING Co., Ltd.</t>
        </is>
      </c>
      <c r="D598" s="223" t="inlineStr">
        <is>
          <t>K002-100089305</t>
        </is>
      </c>
      <c r="E598" s="349" t="inlineStr">
        <is>
          <t>BTT25-0001159</t>
        </is>
      </c>
      <c r="F598" s="332" t="n">
        <v>45806</v>
      </c>
      <c r="G598" s="224" t="n"/>
      <c r="H598" s="617" t="n"/>
      <c r="I598" s="617" t="n">
        <v>203403</v>
      </c>
      <c r="J598" s="221" t="inlineStr">
        <is>
          <t>អនុញ្ញាត (បានប្រកាស)</t>
        </is>
      </c>
      <c r="K598" s="618" t="n"/>
      <c r="L598" s="616">
        <f>I598</f>
        <v/>
      </c>
      <c r="M598" s="588">
        <f>I598-L598</f>
        <v/>
      </c>
      <c r="N598" s="221" t="n"/>
      <c r="O598" s="226">
        <f>U598=E598</f>
        <v/>
      </c>
      <c r="P598" s="226">
        <f>MONTH(F598)-MONTH(T598)</f>
        <v/>
      </c>
      <c r="Q598" s="226">
        <f>$B$5=X598</f>
        <v/>
      </c>
      <c r="R598" s="226">
        <f>I598-AD598</f>
        <v/>
      </c>
      <c r="S598" s="360" t="n"/>
      <c r="T598" s="361" t="n">
        <v>45806</v>
      </c>
      <c r="U598" s="360" t="inlineStr">
        <is>
          <t>BTT25-0001159</t>
        </is>
      </c>
      <c r="V598" s="360" t="n"/>
      <c r="W598" s="360" t="n"/>
      <c r="X598" s="360" t="n"/>
      <c r="Y598" s="360" t="inlineStr">
        <is>
          <t>ហូលីដេ ឌីហ្សាញ (ខេមបូឌា) ឯ.ក</t>
        </is>
      </c>
      <c r="Z598" s="362" t="n"/>
      <c r="AA598" s="362" t="n"/>
      <c r="AB598" s="360" t="n"/>
      <c r="AC598" s="360" t="n"/>
      <c r="AD598" s="362" t="n">
        <v>203403</v>
      </c>
      <c r="AE598" s="360" t="n"/>
      <c r="AF598" s="615" t="n"/>
      <c r="AN598" s="203" t="inlineStr">
        <is>
          <t>Truking / Service</t>
        </is>
      </c>
    </row>
    <row r="599">
      <c r="A599" s="220">
        <f>A598+1</f>
        <v/>
      </c>
      <c r="B599" s="222" t="inlineStr">
        <is>
          <t>Storage 40 Feet Container-Ex</t>
        </is>
      </c>
      <c r="C599" s="222" t="inlineStr">
        <is>
          <t>PHNOM PENH AUTONOMOUS PORT "PPAP"</t>
        </is>
      </c>
      <c r="D599" s="223" t="inlineStr">
        <is>
          <t>L001-100044999</t>
        </is>
      </c>
      <c r="E599" s="349" t="inlineStr">
        <is>
          <t>INV20250542378</t>
        </is>
      </c>
      <c r="F599" s="332" t="n">
        <v>45805</v>
      </c>
      <c r="G599" s="224" t="n"/>
      <c r="H599" s="617" t="n"/>
      <c r="I599" s="617" t="n">
        <v>9607</v>
      </c>
      <c r="J599" s="221" t="inlineStr">
        <is>
          <t>អនុញ្ញាត (បានប្រកាស)</t>
        </is>
      </c>
      <c r="K599" s="618" t="n"/>
      <c r="L599" s="616">
        <f>I599</f>
        <v/>
      </c>
      <c r="M599" s="588">
        <f>I599-L599</f>
        <v/>
      </c>
      <c r="N599" s="221" t="n"/>
      <c r="O599" s="226">
        <f>U599=E599</f>
        <v/>
      </c>
      <c r="P599" s="226">
        <f>MONTH(F599)-MONTH(T599)</f>
        <v/>
      </c>
      <c r="Q599" s="226">
        <f>$B$5=X599</f>
        <v/>
      </c>
      <c r="R599" s="226">
        <f>I599-AD599</f>
        <v/>
      </c>
      <c r="S599" s="360" t="n"/>
      <c r="T599" s="361" t="n">
        <v>45805</v>
      </c>
      <c r="U599" s="360" t="inlineStr">
        <is>
          <t>INV20250542378</t>
        </is>
      </c>
      <c r="V599" s="360" t="n">
        <v>0</v>
      </c>
      <c r="W599" s="360" t="inlineStr">
        <is>
          <t>បុគ្គលជាប់អាករ</t>
        </is>
      </c>
      <c r="X599" s="360" t="inlineStr">
        <is>
          <t>L001-901640009</t>
        </is>
      </c>
      <c r="Y599" s="360" t="inlineStr">
        <is>
          <t>ហូលីដេ ឌីហ្សាញ (ខេមបូឌា) ឯ.ក</t>
        </is>
      </c>
      <c r="Z599" s="362" t="n">
        <v>105677</v>
      </c>
      <c r="AA599" s="362" t="n">
        <v>96070</v>
      </c>
      <c r="AB599" s="360" t="n">
        <v>0</v>
      </c>
      <c r="AC599" s="360" t="inlineStr">
        <is>
          <t>-</t>
        </is>
      </c>
      <c r="AD599" s="362" t="n">
        <v>9607</v>
      </c>
      <c r="AE599" s="360" t="n">
        <v>0</v>
      </c>
      <c r="AF599" s="615" t="n">
        <v>0</v>
      </c>
      <c r="AG599" s="203" t="n">
        <v>0</v>
      </c>
      <c r="AH599" s="203" t="n">
        <v>0</v>
      </c>
      <c r="AI599" s="203" t="n">
        <v>0</v>
      </c>
      <c r="AJ599" s="203" t="n">
        <v>0</v>
      </c>
      <c r="AK599" s="203" t="n">
        <v>0</v>
      </c>
      <c r="AL599" s="203" t="n">
        <v>0.01</v>
      </c>
      <c r="AM599" s="203" t="n">
        <v>0</v>
      </c>
      <c r="AN599" s="203" t="inlineStr">
        <is>
          <t>ចំណូលពីសេវាកម្ម (លើកដាក់ទំនិញ)</t>
        </is>
      </c>
    </row>
    <row r="600">
      <c r="A600" s="220">
        <f>A599+1</f>
        <v/>
      </c>
      <c r="B600" s="222" t="inlineStr">
        <is>
          <t>Storage 20&amp;40 Feet Container-Ex</t>
        </is>
      </c>
      <c r="C600" s="222" t="inlineStr">
        <is>
          <t>PHNOM PENH AUTONOMOUS PORT "PPAP"</t>
        </is>
      </c>
      <c r="D600" s="223" t="inlineStr">
        <is>
          <t>L001-100044999</t>
        </is>
      </c>
      <c r="E600" s="349" t="inlineStr">
        <is>
          <t>INV20250542377</t>
        </is>
      </c>
      <c r="F600" s="332" t="n">
        <v>45805</v>
      </c>
      <c r="G600" s="224" t="n"/>
      <c r="H600" s="617" t="n"/>
      <c r="I600" s="617" t="n">
        <v>14411</v>
      </c>
      <c r="J600" s="221" t="inlineStr">
        <is>
          <t>អនុញ្ញាត (បានប្រកាស)</t>
        </is>
      </c>
      <c r="K600" s="618" t="n"/>
      <c r="L600" s="616">
        <f>I600</f>
        <v/>
      </c>
      <c r="M600" s="588">
        <f>I600-L600</f>
        <v/>
      </c>
      <c r="N600" s="221" t="n"/>
      <c r="O600" s="226">
        <f>U600=E600</f>
        <v/>
      </c>
      <c r="P600" s="226">
        <f>MONTH(F600)-MONTH(T600)</f>
        <v/>
      </c>
      <c r="Q600" s="226">
        <f>$B$5=X600</f>
        <v/>
      </c>
      <c r="R600" s="226">
        <f>I600-AD600</f>
        <v/>
      </c>
      <c r="S600" s="360" t="n"/>
      <c r="T600" s="361" t="n">
        <v>45805</v>
      </c>
      <c r="U600" s="360" t="inlineStr">
        <is>
          <t>INV20250542377</t>
        </is>
      </c>
      <c r="V600" s="360" t="n">
        <v>0</v>
      </c>
      <c r="W600" s="360" t="inlineStr">
        <is>
          <t>បុគ្គលជាប់អាករ</t>
        </is>
      </c>
      <c r="X600" s="360" t="inlineStr">
        <is>
          <t>L001-901640009</t>
        </is>
      </c>
      <c r="Y600" s="360" t="inlineStr">
        <is>
          <t>ហូលីដេ ឌីហ្សាញ (ខេមបូឌា) ឯ.ក</t>
        </is>
      </c>
      <c r="Z600" s="362" t="n">
        <v>158521</v>
      </c>
      <c r="AA600" s="362" t="n">
        <v>144110</v>
      </c>
      <c r="AB600" s="360" t="n">
        <v>0</v>
      </c>
      <c r="AC600" s="360" t="inlineStr">
        <is>
          <t>-</t>
        </is>
      </c>
      <c r="AD600" s="362" t="n">
        <v>14411</v>
      </c>
      <c r="AE600" s="360" t="n">
        <v>0</v>
      </c>
      <c r="AF600" s="615" t="n">
        <v>0</v>
      </c>
      <c r="AG600" s="203" t="n">
        <v>0</v>
      </c>
      <c r="AH600" s="203" t="n">
        <v>0</v>
      </c>
      <c r="AI600" s="203" t="n">
        <v>0</v>
      </c>
      <c r="AJ600" s="203" t="n">
        <v>0</v>
      </c>
      <c r="AK600" s="203" t="n">
        <v>0</v>
      </c>
      <c r="AL600" s="203" t="n">
        <v>0.01</v>
      </c>
      <c r="AM600" s="203" t="n">
        <v>0</v>
      </c>
      <c r="AN600" s="203" t="inlineStr">
        <is>
          <t>ចំណូលពីសេវាកម្ម (លើកដាក់ទំនិញ)</t>
        </is>
      </c>
    </row>
    <row r="601">
      <c r="A601" s="220">
        <f>A600+1</f>
        <v/>
      </c>
      <c r="B601" s="222" t="inlineStr">
        <is>
          <t>Storage 20 Feet Container-Ex</t>
        </is>
      </c>
      <c r="C601" s="222" t="inlineStr">
        <is>
          <t>PHNOM PENH AUTONOMOUS PORT "PPAP"</t>
        </is>
      </c>
      <c r="D601" s="223" t="inlineStr">
        <is>
          <t>L001-100044999</t>
        </is>
      </c>
      <c r="E601" s="349" t="inlineStr">
        <is>
          <t>INV20250542375</t>
        </is>
      </c>
      <c r="F601" s="332" t="n">
        <v>45805</v>
      </c>
      <c r="G601" s="224" t="n"/>
      <c r="H601" s="617" t="n"/>
      <c r="I601" s="617" t="n">
        <v>1201</v>
      </c>
      <c r="J601" s="221" t="inlineStr">
        <is>
          <t>អនុញ្ញាត (បានប្រកាស)</t>
        </is>
      </c>
      <c r="K601" s="618" t="n"/>
      <c r="L601" s="616">
        <f>I601</f>
        <v/>
      </c>
      <c r="M601" s="588">
        <f>I601-L601</f>
        <v/>
      </c>
      <c r="N601" s="221" t="n"/>
      <c r="O601" s="226">
        <f>U601=E601</f>
        <v/>
      </c>
      <c r="P601" s="226">
        <f>MONTH(F601)-MONTH(T601)</f>
        <v/>
      </c>
      <c r="Q601" s="226">
        <f>$B$5=X601</f>
        <v/>
      </c>
      <c r="R601" s="226">
        <f>I601-AD601</f>
        <v/>
      </c>
      <c r="S601" s="360" t="n"/>
      <c r="T601" s="361" t="n">
        <v>45805</v>
      </c>
      <c r="U601" s="360" t="inlineStr">
        <is>
          <t>INV20250542375</t>
        </is>
      </c>
      <c r="V601" s="360" t="n">
        <v>0</v>
      </c>
      <c r="W601" s="360" t="inlineStr">
        <is>
          <t>បុគ្គលជាប់អាករ</t>
        </is>
      </c>
      <c r="X601" s="360" t="inlineStr">
        <is>
          <t>L001-901640009</t>
        </is>
      </c>
      <c r="Y601" s="360" t="inlineStr">
        <is>
          <t>ហូលីដេ ឌីហ្សាញ (ខេមបូឌា) ឯ.ក</t>
        </is>
      </c>
      <c r="Z601" s="362" t="n">
        <v>13211</v>
      </c>
      <c r="AA601" s="362" t="n">
        <v>12010</v>
      </c>
      <c r="AB601" s="360" t="n">
        <v>0</v>
      </c>
      <c r="AC601" s="360" t="inlineStr">
        <is>
          <t>-</t>
        </is>
      </c>
      <c r="AD601" s="362" t="n">
        <v>1201</v>
      </c>
      <c r="AE601" s="360" t="n">
        <v>0</v>
      </c>
      <c r="AF601" s="615" t="n">
        <v>0</v>
      </c>
      <c r="AG601" s="203" t="n">
        <v>0</v>
      </c>
      <c r="AH601" s="203" t="n">
        <v>0</v>
      </c>
      <c r="AI601" s="203" t="n">
        <v>0</v>
      </c>
      <c r="AJ601" s="203" t="n">
        <v>0</v>
      </c>
      <c r="AK601" s="203" t="n">
        <v>0</v>
      </c>
      <c r="AL601" s="203" t="n">
        <v>0.01</v>
      </c>
      <c r="AM601" s="203" t="n">
        <v>0</v>
      </c>
      <c r="AN601" s="203" t="inlineStr">
        <is>
          <t>ចំណូលពីសេវាកម្ម (លើកដាក់ទំនិញ)</t>
        </is>
      </c>
    </row>
    <row r="602">
      <c r="A602" s="220">
        <f>A601+1</f>
        <v/>
      </c>
      <c r="B602" s="222" t="inlineStr">
        <is>
          <t>Storage 40 Feet Container-Ex</t>
        </is>
      </c>
      <c r="C602" s="222" t="inlineStr">
        <is>
          <t>PHNOM PENH AUTONOMOUS PORT "PPAP"</t>
        </is>
      </c>
      <c r="D602" s="223" t="inlineStr">
        <is>
          <t>L001-100044999</t>
        </is>
      </c>
      <c r="E602" s="349" t="inlineStr">
        <is>
          <t>INV20250542374</t>
        </is>
      </c>
      <c r="F602" s="332" t="n">
        <v>45805</v>
      </c>
      <c r="G602" s="224" t="n"/>
      <c r="H602" s="617" t="n"/>
      <c r="I602" s="617" t="n">
        <v>2402</v>
      </c>
      <c r="J602" s="221" t="inlineStr">
        <is>
          <t>អនុញ្ញាត (បានប្រកាស)</t>
        </is>
      </c>
      <c r="K602" s="618" t="n"/>
      <c r="L602" s="616">
        <f>I602</f>
        <v/>
      </c>
      <c r="M602" s="588">
        <f>I602-L602</f>
        <v/>
      </c>
      <c r="N602" s="221" t="n"/>
      <c r="O602" s="226">
        <f>U602=E602</f>
        <v/>
      </c>
      <c r="P602" s="226">
        <f>MONTH(F602)-MONTH(T602)</f>
        <v/>
      </c>
      <c r="Q602" s="226">
        <f>$B$5=X602</f>
        <v/>
      </c>
      <c r="R602" s="226">
        <f>I602-AD602</f>
        <v/>
      </c>
      <c r="S602" s="360" t="n"/>
      <c r="T602" s="361" t="n">
        <v>45805</v>
      </c>
      <c r="U602" s="360" t="inlineStr">
        <is>
          <t>INV20250542374</t>
        </is>
      </c>
      <c r="V602" s="360" t="n">
        <v>0</v>
      </c>
      <c r="W602" s="360" t="inlineStr">
        <is>
          <t>បុគ្គលជាប់អាករ</t>
        </is>
      </c>
      <c r="X602" s="360" t="inlineStr">
        <is>
          <t>L001-901640009</t>
        </is>
      </c>
      <c r="Y602" s="360" t="inlineStr">
        <is>
          <t>ហូលីដេ ឌីហ្សាញ (ខេមបូឌា) ឯ.ក</t>
        </is>
      </c>
      <c r="Z602" s="362" t="n">
        <v>26422</v>
      </c>
      <c r="AA602" s="362" t="n">
        <v>24020</v>
      </c>
      <c r="AB602" s="360" t="n">
        <v>0</v>
      </c>
      <c r="AC602" s="360" t="inlineStr">
        <is>
          <t>-</t>
        </is>
      </c>
      <c r="AD602" s="362" t="n">
        <v>2402</v>
      </c>
      <c r="AE602" s="360" t="n">
        <v>0</v>
      </c>
      <c r="AF602" s="615" t="n">
        <v>0</v>
      </c>
      <c r="AG602" s="203" t="n">
        <v>0</v>
      </c>
      <c r="AH602" s="203" t="n">
        <v>0</v>
      </c>
      <c r="AI602" s="203" t="n">
        <v>0</v>
      </c>
      <c r="AJ602" s="203" t="n">
        <v>0</v>
      </c>
      <c r="AK602" s="203" t="n">
        <v>0</v>
      </c>
      <c r="AL602" s="203" t="n">
        <v>0.01</v>
      </c>
      <c r="AM602" s="203" t="n">
        <v>0</v>
      </c>
      <c r="AN602" s="203" t="inlineStr">
        <is>
          <t>ចំណូលពីសេវាកម្ម (លើកដាក់ទំនិញ)</t>
        </is>
      </c>
    </row>
    <row r="603">
      <c r="A603" s="220">
        <f>A602+1</f>
        <v/>
      </c>
      <c r="B603" s="222" t="inlineStr">
        <is>
          <t>Storage 40 Feet Container-Ex</t>
        </is>
      </c>
      <c r="C603" s="222" t="inlineStr">
        <is>
          <t>PHNOM PENH AUTONOMOUS PORT "PPAP"</t>
        </is>
      </c>
      <c r="D603" s="223" t="inlineStr">
        <is>
          <t>L001-100044999</t>
        </is>
      </c>
      <c r="E603" s="349" t="inlineStr">
        <is>
          <t>INV20250542372</t>
        </is>
      </c>
      <c r="F603" s="332" t="n">
        <v>45805</v>
      </c>
      <c r="G603" s="224" t="n"/>
      <c r="H603" s="617" t="n"/>
      <c r="I603" s="617" t="n">
        <v>2402</v>
      </c>
      <c r="J603" s="221" t="inlineStr">
        <is>
          <t>អនុញ្ញាត (បានប្រកាស)</t>
        </is>
      </c>
      <c r="K603" s="618" t="n"/>
      <c r="L603" s="616">
        <f>I603</f>
        <v/>
      </c>
      <c r="M603" s="588">
        <f>I603-L603</f>
        <v/>
      </c>
      <c r="N603" s="221" t="n"/>
      <c r="O603" s="226">
        <f>U603=E603</f>
        <v/>
      </c>
      <c r="P603" s="226">
        <f>MONTH(F603)-MONTH(T603)</f>
        <v/>
      </c>
      <c r="Q603" s="226">
        <f>$B$5=X603</f>
        <v/>
      </c>
      <c r="R603" s="226">
        <f>I603-AD603</f>
        <v/>
      </c>
      <c r="S603" s="360" t="n"/>
      <c r="T603" s="361" t="n">
        <v>45805</v>
      </c>
      <c r="U603" s="360" t="inlineStr">
        <is>
          <t>INV20250542372</t>
        </is>
      </c>
      <c r="V603" s="360" t="n">
        <v>0</v>
      </c>
      <c r="W603" s="360" t="inlineStr">
        <is>
          <t>បុគ្គលជាប់អាករ</t>
        </is>
      </c>
      <c r="X603" s="360" t="inlineStr">
        <is>
          <t>L001-901640009</t>
        </is>
      </c>
      <c r="Y603" s="360" t="inlineStr">
        <is>
          <t>ហូលីដេ ឌីហ្សាញ (ខេមបូឌា) ឯ.ក</t>
        </is>
      </c>
      <c r="Z603" s="362" t="n">
        <v>26422</v>
      </c>
      <c r="AA603" s="362" t="n">
        <v>24020</v>
      </c>
      <c r="AB603" s="360" t="n">
        <v>0</v>
      </c>
      <c r="AC603" s="360" t="inlineStr">
        <is>
          <t>-</t>
        </is>
      </c>
      <c r="AD603" s="362" t="n">
        <v>2402</v>
      </c>
      <c r="AE603" s="360" t="n">
        <v>0</v>
      </c>
      <c r="AF603" s="615" t="n">
        <v>0</v>
      </c>
      <c r="AG603" s="203" t="n">
        <v>0</v>
      </c>
      <c r="AH603" s="203" t="n">
        <v>0</v>
      </c>
      <c r="AI603" s="203" t="n">
        <v>0</v>
      </c>
      <c r="AJ603" s="203" t="n">
        <v>0</v>
      </c>
      <c r="AK603" s="203" t="n">
        <v>0</v>
      </c>
      <c r="AL603" s="203" t="n">
        <v>0.01</v>
      </c>
      <c r="AM603" s="203" t="n">
        <v>0</v>
      </c>
      <c r="AN603" s="203" t="inlineStr">
        <is>
          <t>ចំណូលពីសេវាកម្ម (លើកដាក់ទំនិញ)</t>
        </is>
      </c>
    </row>
    <row r="604">
      <c r="A604" s="220">
        <f>A603+1</f>
        <v/>
      </c>
      <c r="B604" s="222" t="inlineStr">
        <is>
          <t>Storage 40 Feet Container-Ex</t>
        </is>
      </c>
      <c r="C604" s="222" t="inlineStr">
        <is>
          <t>PHNOM PENH AUTONOMOUS PORT "PPAP"</t>
        </is>
      </c>
      <c r="D604" s="223" t="inlineStr">
        <is>
          <t>L001-100044999</t>
        </is>
      </c>
      <c r="E604" s="349" t="inlineStr">
        <is>
          <t>INV20250542371</t>
        </is>
      </c>
      <c r="F604" s="332" t="n">
        <v>45805</v>
      </c>
      <c r="G604" s="224" t="n"/>
      <c r="H604" s="617" t="n"/>
      <c r="I604" s="617" t="n">
        <v>2402</v>
      </c>
      <c r="J604" s="221" t="inlineStr">
        <is>
          <t>អនុញ្ញាត (បានប្រកាស)</t>
        </is>
      </c>
      <c r="K604" s="618" t="n"/>
      <c r="L604" s="616">
        <f>I604</f>
        <v/>
      </c>
      <c r="M604" s="588">
        <f>I604-L604</f>
        <v/>
      </c>
      <c r="N604" s="221" t="n"/>
      <c r="O604" s="226">
        <f>U604=E604</f>
        <v/>
      </c>
      <c r="P604" s="226">
        <f>MONTH(F604)-MONTH(T604)</f>
        <v/>
      </c>
      <c r="Q604" s="226">
        <f>$B$5=X604</f>
        <v/>
      </c>
      <c r="R604" s="226">
        <f>I604-AD604</f>
        <v/>
      </c>
      <c r="S604" s="360" t="n"/>
      <c r="T604" s="361" t="n">
        <v>45805</v>
      </c>
      <c r="U604" s="360" t="inlineStr">
        <is>
          <t>INV20250542371</t>
        </is>
      </c>
      <c r="V604" s="360" t="n">
        <v>0</v>
      </c>
      <c r="W604" s="360" t="inlineStr">
        <is>
          <t>បុគ្គលជាប់អាករ</t>
        </is>
      </c>
      <c r="X604" s="360" t="inlineStr">
        <is>
          <t>L001-901640009</t>
        </is>
      </c>
      <c r="Y604" s="360" t="inlineStr">
        <is>
          <t>ហូលីដេ ឌីហ្សាញ (ខេមបូឌា) ឯ.ក</t>
        </is>
      </c>
      <c r="Z604" s="362" t="n">
        <v>26422</v>
      </c>
      <c r="AA604" s="362" t="n">
        <v>24020</v>
      </c>
      <c r="AB604" s="360" t="n">
        <v>0</v>
      </c>
      <c r="AC604" s="360" t="inlineStr">
        <is>
          <t>-</t>
        </is>
      </c>
      <c r="AD604" s="362" t="n">
        <v>2402</v>
      </c>
      <c r="AE604" s="360" t="n">
        <v>0</v>
      </c>
      <c r="AF604" s="615" t="n">
        <v>0</v>
      </c>
      <c r="AG604" s="203" t="n">
        <v>0</v>
      </c>
      <c r="AH604" s="203" t="n">
        <v>0</v>
      </c>
      <c r="AI604" s="203" t="n">
        <v>0</v>
      </c>
      <c r="AJ604" s="203" t="n">
        <v>0</v>
      </c>
      <c r="AK604" s="203" t="n">
        <v>0</v>
      </c>
      <c r="AL604" s="203" t="n">
        <v>0.01</v>
      </c>
      <c r="AM604" s="203" t="n">
        <v>0</v>
      </c>
      <c r="AN604" s="203" t="inlineStr">
        <is>
          <t>ចំណូលពីសេវាកម្ម (លើកដាក់ទំនិញ)</t>
        </is>
      </c>
    </row>
    <row r="605">
      <c r="A605" s="220">
        <f>A604+1</f>
        <v/>
      </c>
      <c r="B605" s="222" t="inlineStr">
        <is>
          <t>Non Apply C/O Fee</t>
        </is>
      </c>
      <c r="C605" s="222" t="inlineStr">
        <is>
          <t>BRILLIANT TRANSPORT AND TRADING Co., Ltd.</t>
        </is>
      </c>
      <c r="D605" s="223" t="inlineStr">
        <is>
          <t>K002-100089305</t>
        </is>
      </c>
      <c r="E605" s="349" t="inlineStr">
        <is>
          <t>BTT25-0001166</t>
        </is>
      </c>
      <c r="F605" s="332" t="n">
        <v>45779</v>
      </c>
      <c r="G605" s="224" t="n"/>
      <c r="H605" s="617" t="n"/>
      <c r="I605" s="617" t="n">
        <v>1730865</v>
      </c>
      <c r="J605" s="221" t="inlineStr">
        <is>
          <t>អនុញ្ញាត (បានប្រកាស)</t>
        </is>
      </c>
      <c r="K605" s="618" t="n"/>
      <c r="L605" s="616">
        <f>I605</f>
        <v/>
      </c>
      <c r="M605" s="588">
        <f>I605-L605</f>
        <v/>
      </c>
      <c r="N605" s="221" t="n"/>
      <c r="O605" s="226">
        <f>U605=E605</f>
        <v/>
      </c>
      <c r="P605" s="226">
        <f>MONTH(F605)-MONTH(T605)</f>
        <v/>
      </c>
      <c r="Q605" s="226">
        <f>$B$5=X605</f>
        <v/>
      </c>
      <c r="R605" s="226">
        <f>I605-AD605</f>
        <v/>
      </c>
      <c r="S605" s="360" t="n"/>
      <c r="T605" s="361" t="n">
        <v>45779</v>
      </c>
      <c r="U605" s="360" t="inlineStr">
        <is>
          <t>BTT25-0001166</t>
        </is>
      </c>
      <c r="V605" s="360" t="n"/>
      <c r="W605" s="360" t="n"/>
      <c r="X605" s="360" t="n"/>
      <c r="Y605" s="360" t="inlineStr">
        <is>
          <t>ហូលីដេ ឌីហ្សាញ (ខេមបូឌា) ឯ.ក</t>
        </is>
      </c>
      <c r="Z605" s="362" t="n"/>
      <c r="AA605" s="362" t="n"/>
      <c r="AB605" s="360" t="n"/>
      <c r="AC605" s="360" t="n"/>
      <c r="AD605" s="362" t="n">
        <v>1730865</v>
      </c>
      <c r="AE605" s="360" t="n"/>
      <c r="AF605" s="615" t="n"/>
      <c r="AN605" s="203" t="inlineStr">
        <is>
          <t>Truking / Service</t>
        </is>
      </c>
    </row>
    <row r="606">
      <c r="A606" s="220">
        <f>A605+1</f>
        <v/>
      </c>
      <c r="B606" s="222" t="inlineStr">
        <is>
          <t>Trucking &amp; Clearance-Ex</t>
        </is>
      </c>
      <c r="C606" s="222" t="inlineStr">
        <is>
          <t>BRILLIANT TRANSPORT AND TRADING Co., Ltd.</t>
        </is>
      </c>
      <c r="D606" s="223" t="inlineStr">
        <is>
          <t>K002-100089305</t>
        </is>
      </c>
      <c r="E606" s="349" t="inlineStr">
        <is>
          <t>BTT25-0001164</t>
        </is>
      </c>
      <c r="F606" s="332" t="n">
        <v>45806</v>
      </c>
      <c r="G606" s="224" t="n"/>
      <c r="H606" s="617" t="n"/>
      <c r="I606" s="617" t="n">
        <v>203403</v>
      </c>
      <c r="J606" s="221" t="inlineStr">
        <is>
          <t>អនុញ្ញាត (បានប្រកាស)</t>
        </is>
      </c>
      <c r="K606" s="618" t="n"/>
      <c r="L606" s="616">
        <f>I606</f>
        <v/>
      </c>
      <c r="M606" s="588">
        <f>I606-L606</f>
        <v/>
      </c>
      <c r="N606" s="221" t="n"/>
      <c r="O606" s="226">
        <f>U606=E606</f>
        <v/>
      </c>
      <c r="P606" s="226">
        <f>MONTH(F606)-MONTH(T606)</f>
        <v/>
      </c>
      <c r="Q606" s="226">
        <f>$B$5=X606</f>
        <v/>
      </c>
      <c r="R606" s="226">
        <f>I606-AD606</f>
        <v/>
      </c>
      <c r="S606" s="360" t="n"/>
      <c r="T606" s="361" t="n">
        <v>45806</v>
      </c>
      <c r="U606" s="360" t="inlineStr">
        <is>
          <t>BTT25-0001164</t>
        </is>
      </c>
      <c r="V606" s="360" t="n"/>
      <c r="W606" s="360" t="n"/>
      <c r="X606" s="360" t="n"/>
      <c r="Y606" s="360" t="inlineStr">
        <is>
          <t>ហូលីដេ ឌីហ្សាញ (ខេមបូឌា) ឯ.ក</t>
        </is>
      </c>
      <c r="Z606" s="362" t="n"/>
      <c r="AA606" s="362" t="n"/>
      <c r="AB606" s="360" t="n"/>
      <c r="AC606" s="360" t="n"/>
      <c r="AD606" s="362" t="n">
        <v>203403</v>
      </c>
      <c r="AE606" s="360" t="n"/>
      <c r="AF606" s="615" t="n"/>
      <c r="AN606" s="203" t="inlineStr">
        <is>
          <t>Truking / Service</t>
        </is>
      </c>
    </row>
    <row r="607">
      <c r="A607" s="220">
        <f>A606+1</f>
        <v/>
      </c>
      <c r="B607" s="222" t="inlineStr">
        <is>
          <t>Trucking &amp; Clearance-Ex</t>
        </is>
      </c>
      <c r="C607" s="222" t="inlineStr">
        <is>
          <t>BRILLIANT TRANSPORT AND TRADING Co., Ltd.</t>
        </is>
      </c>
      <c r="D607" s="223" t="inlineStr">
        <is>
          <t>K002-100089305</t>
        </is>
      </c>
      <c r="E607" s="349" t="inlineStr">
        <is>
          <t>BTT25-0001163</t>
        </is>
      </c>
      <c r="F607" s="332" t="n">
        <v>45807</v>
      </c>
      <c r="G607" s="224" t="n"/>
      <c r="H607" s="617" t="n"/>
      <c r="I607" s="617" t="n">
        <v>191039</v>
      </c>
      <c r="J607" s="221" t="inlineStr">
        <is>
          <t>អនុញ្ញាត (បានប្រកាស)</t>
        </is>
      </c>
      <c r="K607" s="618">
        <f>L607</f>
        <v/>
      </c>
      <c r="L607" s="616">
        <f>I607</f>
        <v/>
      </c>
      <c r="M607" s="588">
        <f>I607-L607</f>
        <v/>
      </c>
      <c r="N607" s="221" t="n"/>
      <c r="O607" s="226">
        <f>U607=E607</f>
        <v/>
      </c>
      <c r="P607" s="226">
        <f>MONTH(F607)-MONTH(T607)</f>
        <v/>
      </c>
      <c r="Q607" s="226">
        <f>$B$5=X607</f>
        <v/>
      </c>
      <c r="R607" s="226">
        <f>I607-AD607</f>
        <v/>
      </c>
      <c r="S607" s="360" t="n"/>
      <c r="T607" s="361" t="n">
        <v>45807</v>
      </c>
      <c r="U607" s="360" t="inlineStr">
        <is>
          <t>BTT25-0001163</t>
        </is>
      </c>
      <c r="V607" s="360" t="n"/>
      <c r="W607" s="360" t="n"/>
      <c r="X607" s="360" t="n"/>
      <c r="Y607" s="360" t="inlineStr">
        <is>
          <t>ហូលីដេ ឌីហ្សាញ (ខេមបូឌា) ឯ.ក</t>
        </is>
      </c>
      <c r="Z607" s="362" t="n"/>
      <c r="AA607" s="362" t="n"/>
      <c r="AB607" s="360" t="n"/>
      <c r="AC607" s="360" t="n"/>
      <c r="AD607" s="362" t="n">
        <v>191039</v>
      </c>
      <c r="AE607" s="360" t="n"/>
      <c r="AF607" s="615" t="n"/>
      <c r="AN607" s="203" t="inlineStr">
        <is>
          <t>Truking / Service</t>
        </is>
      </c>
    </row>
    <row r="608">
      <c r="A608" s="220">
        <f>A607+1</f>
        <v/>
      </c>
      <c r="B608" s="222" t="inlineStr">
        <is>
          <t>Trucking &amp; Clearance-Ex</t>
        </is>
      </c>
      <c r="C608" s="222" t="inlineStr">
        <is>
          <t>BRILLIANT TRANSPORT AND TRADING Co., Ltd.</t>
        </is>
      </c>
      <c r="D608" s="223" t="inlineStr">
        <is>
          <t>K002-100089305</t>
        </is>
      </c>
      <c r="E608" s="349" t="inlineStr">
        <is>
          <t>BTT25-0001162</t>
        </is>
      </c>
      <c r="F608" s="332" t="n">
        <v>45806</v>
      </c>
      <c r="G608" s="224" t="n"/>
      <c r="H608" s="617" t="n"/>
      <c r="I608" s="617" t="n">
        <v>406806</v>
      </c>
      <c r="J608" s="221" t="inlineStr">
        <is>
          <t>អនុញ្ញាត (បានប្រកាស)</t>
        </is>
      </c>
      <c r="K608" s="618" t="n"/>
      <c r="L608" s="616">
        <f>I608</f>
        <v/>
      </c>
      <c r="M608" s="588">
        <f>I608-L608</f>
        <v/>
      </c>
      <c r="N608" s="221" t="n"/>
      <c r="O608" s="226">
        <f>U608=E608</f>
        <v/>
      </c>
      <c r="P608" s="226">
        <f>MONTH(F608)-MONTH(T608)</f>
        <v/>
      </c>
      <c r="Q608" s="226">
        <f>$B$5=X608</f>
        <v/>
      </c>
      <c r="R608" s="226">
        <f>I608-AD608</f>
        <v/>
      </c>
      <c r="S608" s="360" t="n"/>
      <c r="T608" s="361" t="n">
        <v>45806</v>
      </c>
      <c r="U608" s="360" t="inlineStr">
        <is>
          <t>BTT25-0001162</t>
        </is>
      </c>
      <c r="V608" s="360" t="n"/>
      <c r="W608" s="360" t="n"/>
      <c r="X608" s="360" t="n"/>
      <c r="Y608" s="360" t="inlineStr">
        <is>
          <t>ហូលីដេ ឌីហ្សាញ (ខេមបូឌា) ឯ.ក</t>
        </is>
      </c>
      <c r="Z608" s="362" t="n"/>
      <c r="AA608" s="362" t="n"/>
      <c r="AB608" s="360" t="n"/>
      <c r="AC608" s="360" t="n"/>
      <c r="AD608" s="362" t="n">
        <v>406806</v>
      </c>
      <c r="AE608" s="360" t="n"/>
      <c r="AF608" s="615" t="n"/>
      <c r="AN608" s="203" t="inlineStr">
        <is>
          <t>Truking / Service</t>
        </is>
      </c>
    </row>
    <row r="609">
      <c r="A609" s="220">
        <f>A608+1</f>
        <v/>
      </c>
      <c r="B609" s="222" t="inlineStr">
        <is>
          <t>Trucking &amp; Clearance-Ex</t>
        </is>
      </c>
      <c r="C609" s="222" t="inlineStr">
        <is>
          <t>BRILLIANT TRANSPORT AND TRADING Co., Ltd.</t>
        </is>
      </c>
      <c r="D609" s="223" t="inlineStr">
        <is>
          <t>K002-100089305</t>
        </is>
      </c>
      <c r="E609" s="349" t="inlineStr">
        <is>
          <t>BTT25-0001161</t>
        </is>
      </c>
      <c r="F609" s="332" t="n">
        <v>45806</v>
      </c>
      <c r="G609" s="224" t="n"/>
      <c r="H609" s="617" t="n"/>
      <c r="I609" s="617" t="n">
        <v>406806</v>
      </c>
      <c r="J609" s="221" t="inlineStr">
        <is>
          <t>អនុញ្ញាត (បានប្រកាស)</t>
        </is>
      </c>
      <c r="K609" s="618">
        <f>L609</f>
        <v/>
      </c>
      <c r="L609" s="616">
        <f>I609</f>
        <v/>
      </c>
      <c r="M609" s="588">
        <f>I609-L609</f>
        <v/>
      </c>
      <c r="N609" s="221" t="n"/>
      <c r="O609" s="226">
        <f>U609=E609</f>
        <v/>
      </c>
      <c r="P609" s="226">
        <f>MONTH(F609)-MONTH(T609)</f>
        <v/>
      </c>
      <c r="Q609" s="226">
        <f>$B$5=X609</f>
        <v/>
      </c>
      <c r="R609" s="226">
        <f>I609-AD609</f>
        <v/>
      </c>
      <c r="S609" s="360" t="n"/>
      <c r="T609" s="361" t="n">
        <v>45806</v>
      </c>
      <c r="U609" s="360" t="inlineStr">
        <is>
          <t>BTT25-0001161</t>
        </is>
      </c>
      <c r="V609" s="360" t="n"/>
      <c r="W609" s="360" t="n"/>
      <c r="X609" s="360" t="n"/>
      <c r="Y609" s="360" t="inlineStr">
        <is>
          <t>ហូលីដេ ឌីហ្សាញ (ខេមបូឌា) ឯ.ក</t>
        </is>
      </c>
      <c r="Z609" s="362" t="n"/>
      <c r="AA609" s="362" t="n"/>
      <c r="AB609" s="360" t="n"/>
      <c r="AC609" s="360" t="n"/>
      <c r="AD609" s="362" t="n">
        <v>406806</v>
      </c>
      <c r="AE609" s="360" t="n"/>
      <c r="AF609" s="615" t="n"/>
      <c r="AN609" s="203" t="inlineStr">
        <is>
          <t>Truking / Service</t>
        </is>
      </c>
    </row>
    <row r="610">
      <c r="A610" s="220">
        <f>A609+1</f>
        <v/>
      </c>
      <c r="B610" s="222" t="inlineStr">
        <is>
          <t>Trucking &amp; Clearance-Ex</t>
        </is>
      </c>
      <c r="C610" s="222" t="inlineStr">
        <is>
          <t>BRILLIANT TRANSPORT AND TRADING Co., Ltd.</t>
        </is>
      </c>
      <c r="D610" s="223" t="inlineStr">
        <is>
          <t>K002-100089305</t>
        </is>
      </c>
      <c r="E610" s="349" t="inlineStr">
        <is>
          <t>BTT25-0001160</t>
        </is>
      </c>
      <c r="F610" s="332" t="n">
        <v>45806</v>
      </c>
      <c r="G610" s="224" t="n"/>
      <c r="H610" s="617" t="n"/>
      <c r="I610" s="617" t="n">
        <v>203403</v>
      </c>
      <c r="J610" s="221" t="inlineStr">
        <is>
          <t>អនុញ្ញាត (បានប្រកាស)</t>
        </is>
      </c>
      <c r="K610" s="618" t="n"/>
      <c r="L610" s="616">
        <f>I610</f>
        <v/>
      </c>
      <c r="M610" s="588">
        <f>I610-L610</f>
        <v/>
      </c>
      <c r="N610" s="221" t="n"/>
      <c r="O610" s="226">
        <f>U610=E610</f>
        <v/>
      </c>
      <c r="P610" s="226">
        <f>MONTH(F610)-MONTH(T610)</f>
        <v/>
      </c>
      <c r="Q610" s="226">
        <f>$B$5=X610</f>
        <v/>
      </c>
      <c r="R610" s="226">
        <f>I610-AD610</f>
        <v/>
      </c>
      <c r="S610" s="360" t="n"/>
      <c r="T610" s="361" t="n">
        <v>45806</v>
      </c>
      <c r="U610" s="360" t="inlineStr">
        <is>
          <t>BTT25-0001160</t>
        </is>
      </c>
      <c r="V610" s="360" t="n"/>
      <c r="W610" s="360" t="n"/>
      <c r="X610" s="360" t="n"/>
      <c r="Y610" s="360" t="inlineStr">
        <is>
          <t>ហូលីដេ ឌីហ្សាញ (ខេមបូឌា) ឯ.ក</t>
        </is>
      </c>
      <c r="Z610" s="362" t="n"/>
      <c r="AA610" s="362" t="n"/>
      <c r="AB610" s="360" t="n"/>
      <c r="AC610" s="360" t="n"/>
      <c r="AD610" s="362" t="n">
        <v>203403</v>
      </c>
      <c r="AE610" s="360" t="n"/>
      <c r="AF610" s="615" t="n"/>
      <c r="AN610" s="203" t="inlineStr">
        <is>
          <t>Truking / Service</t>
        </is>
      </c>
    </row>
    <row r="611">
      <c r="A611" s="220">
        <f>A610+1</f>
        <v/>
      </c>
      <c r="B611" s="222" t="inlineStr">
        <is>
          <t>Trucking &amp; Clearance-Ex</t>
        </is>
      </c>
      <c r="C611" s="222" t="inlineStr">
        <is>
          <t>BRILLIANT TRANSPORT AND TRADING Co., Ltd.</t>
        </is>
      </c>
      <c r="D611" s="223" t="inlineStr">
        <is>
          <t>K002-100089305</t>
        </is>
      </c>
      <c r="E611" s="349" t="inlineStr">
        <is>
          <t>BTT25-0001117</t>
        </is>
      </c>
      <c r="F611" s="332" t="n">
        <v>45800</v>
      </c>
      <c r="G611" s="224" t="n"/>
      <c r="H611" s="617" t="n"/>
      <c r="I611" s="617" t="n">
        <v>813410</v>
      </c>
      <c r="J611" s="221" t="inlineStr">
        <is>
          <t>អនុញ្ញាត (បានប្រកាស)</t>
        </is>
      </c>
      <c r="K611" s="618">
        <f>L611</f>
        <v/>
      </c>
      <c r="L611" s="616">
        <f>I611</f>
        <v/>
      </c>
      <c r="M611" s="588">
        <f>I611-L611</f>
        <v/>
      </c>
      <c r="N611" s="221" t="n"/>
      <c r="O611" s="226">
        <f>U611=E611</f>
        <v/>
      </c>
      <c r="P611" s="226">
        <f>MONTH(F611)-MONTH(T611)</f>
        <v/>
      </c>
      <c r="Q611" s="226">
        <f>$B$5=X611</f>
        <v/>
      </c>
      <c r="R611" s="226">
        <f>I611-AD611</f>
        <v/>
      </c>
      <c r="S611" s="360" t="n"/>
      <c r="T611" s="361" t="n">
        <v>45800</v>
      </c>
      <c r="U611" s="360" t="inlineStr">
        <is>
          <t>BTT25-0001117</t>
        </is>
      </c>
      <c r="V611" s="360" t="n"/>
      <c r="W611" s="360" t="n"/>
      <c r="X611" s="360" t="n"/>
      <c r="Y611" s="360" t="inlineStr">
        <is>
          <t>ហូលីដេ ឌីហ្សាញ (ខេមបូឌា) ឯ.ក</t>
        </is>
      </c>
      <c r="Z611" s="362" t="n"/>
      <c r="AA611" s="362" t="n"/>
      <c r="AB611" s="360" t="n"/>
      <c r="AC611" s="360" t="n"/>
      <c r="AD611" s="362" t="n">
        <v>813410</v>
      </c>
      <c r="AE611" s="360" t="n"/>
      <c r="AF611" s="615" t="n"/>
      <c r="AN611" s="203" t="inlineStr">
        <is>
          <t>Truking / Service</t>
        </is>
      </c>
    </row>
    <row r="612">
      <c r="A612" s="220">
        <f>A611+1</f>
        <v/>
      </c>
      <c r="B612" s="222" t="inlineStr">
        <is>
          <t>Lift-Off-Ex</t>
        </is>
      </c>
      <c r="C612" s="222" t="inlineStr">
        <is>
          <t>PHNOM PENH AUTONOMOUS PORT "PPAP"</t>
        </is>
      </c>
      <c r="D612" s="223" t="inlineStr">
        <is>
          <t>L001-100044999</t>
        </is>
      </c>
      <c r="E612" s="349" t="inlineStr">
        <is>
          <t>INV20250539563</t>
        </is>
      </c>
      <c r="F612" s="332" t="n">
        <v>45797</v>
      </c>
      <c r="G612" s="224" t="n"/>
      <c r="H612" s="617" t="n"/>
      <c r="I612" s="617" t="n">
        <v>28021</v>
      </c>
      <c r="J612" s="221" t="inlineStr">
        <is>
          <t>អនុញ្ញាត (បានប្រកាស)</t>
        </is>
      </c>
      <c r="K612" s="618">
        <f>L612</f>
        <v/>
      </c>
      <c r="L612" s="616">
        <f>AD612</f>
        <v/>
      </c>
      <c r="M612" s="588">
        <f>I612-L612</f>
        <v/>
      </c>
      <c r="N612" s="221" t="n"/>
      <c r="O612" s="226">
        <f>U612=E612</f>
        <v/>
      </c>
      <c r="P612" s="226">
        <f>MONTH(F612)-MONTH(T612)</f>
        <v/>
      </c>
      <c r="Q612" s="226">
        <f>$B$5=X612</f>
        <v/>
      </c>
      <c r="R612" s="226">
        <f>I612-AD612</f>
        <v/>
      </c>
      <c r="S612" s="360" t="n"/>
      <c r="T612" s="361" t="n">
        <v>45797</v>
      </c>
      <c r="U612" s="360" t="inlineStr">
        <is>
          <t>INV20250539563</t>
        </is>
      </c>
      <c r="V612" s="360" t="n">
        <v>0</v>
      </c>
      <c r="W612" s="360" t="inlineStr">
        <is>
          <t>បុគ្គលជាប់អាករ</t>
        </is>
      </c>
      <c r="X612" s="360" t="inlineStr">
        <is>
          <t>L001-901640009</t>
        </is>
      </c>
      <c r="Y612" s="360" t="inlineStr">
        <is>
          <t>ហូលីដេ ឌីហ្សាញ (ខេមបូឌា) ឯ.ក</t>
        </is>
      </c>
      <c r="Z612" s="362" t="n">
        <v>308154</v>
      </c>
      <c r="AA612" s="362" t="n">
        <v>280140</v>
      </c>
      <c r="AB612" s="360" t="n">
        <v>0</v>
      </c>
      <c r="AC612" s="360" t="inlineStr">
        <is>
          <t>-</t>
        </is>
      </c>
      <c r="AD612" s="362" t="n">
        <v>28014</v>
      </c>
      <c r="AE612" s="360" t="n">
        <v>0</v>
      </c>
      <c r="AF612" s="615" t="n">
        <v>0</v>
      </c>
      <c r="AG612" s="203" t="n">
        <v>0</v>
      </c>
      <c r="AH612" s="203" t="n">
        <v>0</v>
      </c>
      <c r="AI612" s="203" t="n">
        <v>0</v>
      </c>
      <c r="AJ612" s="203" t="n">
        <v>0</v>
      </c>
      <c r="AK612" s="203" t="n">
        <v>0</v>
      </c>
      <c r="AL612" s="203" t="n">
        <v>0.01</v>
      </c>
      <c r="AM612" s="203" t="n">
        <v>0</v>
      </c>
      <c r="AN612" s="203" t="inlineStr">
        <is>
          <t>ចំណូលពីសេវាកម្ម (លើកដាក់ទំនិញ)</t>
        </is>
      </c>
    </row>
    <row r="613">
      <c r="A613" s="220">
        <f>A612+1</f>
        <v/>
      </c>
      <c r="B613" s="222" t="inlineStr">
        <is>
          <t>Lift-Off-Ex</t>
        </is>
      </c>
      <c r="C613" s="222" t="inlineStr">
        <is>
          <t>PHNOM PENH AUTONOMOUS PORT "PPAP"</t>
        </is>
      </c>
      <c r="D613" s="223" t="inlineStr">
        <is>
          <t>L001-100044999</t>
        </is>
      </c>
      <c r="E613" s="349" t="inlineStr">
        <is>
          <t>INV20250539554</t>
        </is>
      </c>
      <c r="F613" s="332" t="n">
        <v>45797</v>
      </c>
      <c r="G613" s="224" t="n"/>
      <c r="H613" s="617" t="n"/>
      <c r="I613" s="617" t="n">
        <v>28021</v>
      </c>
      <c r="J613" s="221" t="inlineStr">
        <is>
          <t>អនុញ្ញាត (បានប្រកាស)</t>
        </is>
      </c>
      <c r="K613" s="618">
        <f>L613</f>
        <v/>
      </c>
      <c r="L613" s="616">
        <f>AD613</f>
        <v/>
      </c>
      <c r="M613" s="588">
        <f>I613-L613</f>
        <v/>
      </c>
      <c r="N613" s="221" t="n"/>
      <c r="O613" s="226">
        <f>U613=E613</f>
        <v/>
      </c>
      <c r="P613" s="226">
        <f>MONTH(F613)-MONTH(T613)</f>
        <v/>
      </c>
      <c r="Q613" s="226">
        <f>$B$5=X613</f>
        <v/>
      </c>
      <c r="R613" s="226">
        <f>I613-AD613</f>
        <v/>
      </c>
      <c r="S613" s="360" t="n"/>
      <c r="T613" s="361" t="n">
        <v>45797</v>
      </c>
      <c r="U613" s="360" t="inlineStr">
        <is>
          <t>INV20250539554</t>
        </is>
      </c>
      <c r="V613" s="360" t="n">
        <v>0</v>
      </c>
      <c r="W613" s="360" t="inlineStr">
        <is>
          <t>បុគ្គលជាប់អាករ</t>
        </is>
      </c>
      <c r="X613" s="360" t="inlineStr">
        <is>
          <t>L001-901640009</t>
        </is>
      </c>
      <c r="Y613" s="360" t="inlineStr">
        <is>
          <t>ហូលីដេ ឌីហ្សាញ (ខេមបូឌា) ឯ.ក</t>
        </is>
      </c>
      <c r="Z613" s="362" t="n">
        <v>308154</v>
      </c>
      <c r="AA613" s="362" t="n">
        <v>280140</v>
      </c>
      <c r="AB613" s="360" t="n">
        <v>0</v>
      </c>
      <c r="AC613" s="360" t="inlineStr">
        <is>
          <t>-</t>
        </is>
      </c>
      <c r="AD613" s="362" t="n">
        <v>28014</v>
      </c>
      <c r="AE613" s="360" t="n">
        <v>0</v>
      </c>
      <c r="AF613" s="615" t="n">
        <v>0</v>
      </c>
      <c r="AG613" s="203" t="n">
        <v>0</v>
      </c>
      <c r="AH613" s="203" t="n">
        <v>0</v>
      </c>
      <c r="AI613" s="203" t="n">
        <v>0</v>
      </c>
      <c r="AJ613" s="203" t="n">
        <v>0</v>
      </c>
      <c r="AK613" s="203" t="n">
        <v>0</v>
      </c>
      <c r="AL613" s="203" t="n">
        <v>0.01</v>
      </c>
      <c r="AM613" s="203" t="n">
        <v>0</v>
      </c>
      <c r="AN613" s="203" t="inlineStr">
        <is>
          <t>ចំណូលពីសេវាកម្ម (លើកដាក់ទំនិញ)</t>
        </is>
      </c>
    </row>
    <row r="614">
      <c r="A614" s="220">
        <f>A613+1</f>
        <v/>
      </c>
      <c r="B614" s="222" t="inlineStr">
        <is>
          <t>Trucking &amp; Clearance-Ex</t>
        </is>
      </c>
      <c r="C614" s="222" t="inlineStr">
        <is>
          <t>BRILLIANT TRANSPORT AND TRADING Co., Ltd.</t>
        </is>
      </c>
      <c r="D614" s="223" t="inlineStr">
        <is>
          <t>K002-100089305</t>
        </is>
      </c>
      <c r="E614" s="349" t="inlineStr">
        <is>
          <t>BTT25-0001032</t>
        </is>
      </c>
      <c r="F614" s="332" t="n">
        <v>45793</v>
      </c>
      <c r="G614" s="224" t="n"/>
      <c r="H614" s="617" t="n"/>
      <c r="I614" s="617" t="n">
        <v>203302</v>
      </c>
      <c r="J614" s="221" t="inlineStr">
        <is>
          <t>អនុញ្ញាត (បានប្រកាស)</t>
        </is>
      </c>
      <c r="K614" s="618" t="n"/>
      <c r="L614" s="616">
        <f>I614</f>
        <v/>
      </c>
      <c r="M614" s="588">
        <f>I614-L614</f>
        <v/>
      </c>
      <c r="N614" s="221" t="n"/>
      <c r="O614" s="226">
        <f>U614=E614</f>
        <v/>
      </c>
      <c r="P614" s="226">
        <f>MONTH(F614)-MONTH(T614)</f>
        <v/>
      </c>
      <c r="Q614" s="226">
        <f>$B$5=X614</f>
        <v/>
      </c>
      <c r="R614" s="226">
        <f>I614-AD614</f>
        <v/>
      </c>
      <c r="S614" s="360" t="n"/>
      <c r="T614" s="361" t="n">
        <v>45793</v>
      </c>
      <c r="U614" s="360" t="inlineStr">
        <is>
          <t>BTT25-0001032</t>
        </is>
      </c>
      <c r="V614" s="360" t="n"/>
      <c r="W614" s="360" t="n"/>
      <c r="X614" s="360" t="n"/>
      <c r="Y614" s="360" t="inlineStr">
        <is>
          <t>ហូលីដេ ឌីហ្សាញ (ខេមបូឌា) ឯ.ក</t>
        </is>
      </c>
      <c r="Z614" s="362" t="n"/>
      <c r="AA614" s="362" t="n"/>
      <c r="AB614" s="360" t="n"/>
      <c r="AC614" s="360" t="n"/>
      <c r="AD614" s="362" t="n">
        <v>203302</v>
      </c>
      <c r="AE614" s="360" t="n"/>
      <c r="AF614" s="615" t="n"/>
      <c r="AN614" s="203" t="inlineStr">
        <is>
          <t>Truking / Service</t>
        </is>
      </c>
    </row>
    <row r="615">
      <c r="A615" s="220">
        <f>A614+1</f>
        <v/>
      </c>
      <c r="B615" s="222" t="inlineStr">
        <is>
          <t>Lift-Off-Ex</t>
        </is>
      </c>
      <c r="C615" s="222" t="inlineStr">
        <is>
          <t>PHNOM PENH AUTONOMOUS PORT "PPAP"</t>
        </is>
      </c>
      <c r="D615" s="223" t="inlineStr">
        <is>
          <t>L001-100044999</t>
        </is>
      </c>
      <c r="E615" s="349" t="inlineStr">
        <is>
          <t>INV20250539555</t>
        </is>
      </c>
      <c r="F615" s="332" t="n">
        <v>45797</v>
      </c>
      <c r="G615" s="224" t="n"/>
      <c r="H615" s="617" t="n"/>
      <c r="I615" s="617" t="n">
        <v>28021</v>
      </c>
      <c r="J615" s="221" t="inlineStr">
        <is>
          <t>អនុញ្ញាត (បានប្រកាស)</t>
        </is>
      </c>
      <c r="K615" s="618">
        <f>L615</f>
        <v/>
      </c>
      <c r="L615" s="616">
        <f>AD615</f>
        <v/>
      </c>
      <c r="M615" s="588">
        <f>I615-L615</f>
        <v/>
      </c>
      <c r="N615" s="221" t="n"/>
      <c r="O615" s="226">
        <f>U615=E615</f>
        <v/>
      </c>
      <c r="P615" s="226">
        <f>MONTH(F615)-MONTH(T615)</f>
        <v/>
      </c>
      <c r="Q615" s="226">
        <f>$B$5=X615</f>
        <v/>
      </c>
      <c r="R615" s="226">
        <f>I615-AD615</f>
        <v/>
      </c>
      <c r="S615" s="360" t="n"/>
      <c r="T615" s="361" t="n">
        <v>45797</v>
      </c>
      <c r="U615" s="360" t="inlineStr">
        <is>
          <t>INV20250539555</t>
        </is>
      </c>
      <c r="V615" s="360" t="n">
        <v>0</v>
      </c>
      <c r="W615" s="360" t="inlineStr">
        <is>
          <t>បុគ្គលជាប់អាករ</t>
        </is>
      </c>
      <c r="X615" s="360" t="inlineStr">
        <is>
          <t>L001-901640009</t>
        </is>
      </c>
      <c r="Y615" s="360" t="inlineStr">
        <is>
          <t>ហូលីដេ ឌីហ្សាញ (ខេមបូឌា) ឯ.ក</t>
        </is>
      </c>
      <c r="Z615" s="362" t="n">
        <v>308154</v>
      </c>
      <c r="AA615" s="362" t="n">
        <v>280140</v>
      </c>
      <c r="AB615" s="360" t="n">
        <v>0</v>
      </c>
      <c r="AC615" s="360" t="inlineStr">
        <is>
          <t>-</t>
        </is>
      </c>
      <c r="AD615" s="362" t="n">
        <v>28014</v>
      </c>
      <c r="AE615" s="360" t="n">
        <v>0</v>
      </c>
      <c r="AF615" s="615" t="n">
        <v>0</v>
      </c>
      <c r="AG615" s="203" t="n">
        <v>0</v>
      </c>
      <c r="AH615" s="203" t="n">
        <v>0</v>
      </c>
      <c r="AI615" s="203" t="n">
        <v>0</v>
      </c>
      <c r="AJ615" s="203" t="n">
        <v>0</v>
      </c>
      <c r="AK615" s="203" t="n">
        <v>0</v>
      </c>
      <c r="AL615" s="203" t="n">
        <v>0.01</v>
      </c>
      <c r="AM615" s="203" t="n">
        <v>0</v>
      </c>
      <c r="AN615" s="203" t="inlineStr">
        <is>
          <t>ចំណូលពីសេវាកម្ម (លើកដាក់ទំនិញ)</t>
        </is>
      </c>
    </row>
    <row r="616">
      <c r="A616" s="220">
        <f>A615+1</f>
        <v/>
      </c>
      <c r="B616" s="222" t="inlineStr">
        <is>
          <t>Trucking &amp; Clearance-Ex</t>
        </is>
      </c>
      <c r="C616" s="222" t="inlineStr">
        <is>
          <t>BRILLIANT TRANSPORT AND TRADING Co., Ltd.</t>
        </is>
      </c>
      <c r="D616" s="223" t="inlineStr">
        <is>
          <t>K002-100089305</t>
        </is>
      </c>
      <c r="E616" s="349" t="inlineStr">
        <is>
          <t>BTT25-0001031</t>
        </is>
      </c>
      <c r="F616" s="332" t="n">
        <v>45793</v>
      </c>
      <c r="G616" s="224" t="n"/>
      <c r="H616" s="617" t="n"/>
      <c r="I616" s="617" t="n">
        <v>203302</v>
      </c>
      <c r="J616" s="221" t="inlineStr">
        <is>
          <t>អនុញ្ញាត (បានប្រកាស)</t>
        </is>
      </c>
      <c r="K616" s="618" t="n"/>
      <c r="L616" s="616">
        <f>I616</f>
        <v/>
      </c>
      <c r="M616" s="588">
        <f>I616-L616</f>
        <v/>
      </c>
      <c r="N616" s="221" t="n"/>
      <c r="O616" s="226">
        <f>U616=E616</f>
        <v/>
      </c>
      <c r="P616" s="226">
        <f>MONTH(F616)-MONTH(T616)</f>
        <v/>
      </c>
      <c r="Q616" s="226">
        <f>$B$5=X616</f>
        <v/>
      </c>
      <c r="R616" s="226">
        <f>I616-AD616</f>
        <v/>
      </c>
      <c r="S616" s="360" t="n"/>
      <c r="T616" s="361" t="n">
        <v>45793</v>
      </c>
      <c r="U616" s="360" t="inlineStr">
        <is>
          <t>BTT25-0001031</t>
        </is>
      </c>
      <c r="V616" s="360" t="n"/>
      <c r="W616" s="360" t="n"/>
      <c r="X616" s="360" t="n"/>
      <c r="Y616" s="360" t="inlineStr">
        <is>
          <t>ហូលីដេ ឌីហ្សាញ (ខេមបូឌា) ឯ.ក</t>
        </is>
      </c>
      <c r="Z616" s="362" t="n"/>
      <c r="AA616" s="362" t="n"/>
      <c r="AB616" s="360" t="n"/>
      <c r="AC616" s="360" t="n"/>
      <c r="AD616" s="362" t="n">
        <v>203302</v>
      </c>
      <c r="AE616" s="360" t="n"/>
      <c r="AF616" s="615" t="n"/>
      <c r="AN616" s="203" t="inlineStr">
        <is>
          <t>Truking / Service</t>
        </is>
      </c>
    </row>
    <row r="617">
      <c r="A617" s="220">
        <f>A616+1</f>
        <v/>
      </c>
      <c r="B617" s="222" t="inlineStr">
        <is>
          <t>Lift-Off-Ex</t>
        </is>
      </c>
      <c r="C617" s="222" t="inlineStr">
        <is>
          <t>PHNOM PENH AUTONOMOUS PORT "PPAP"</t>
        </is>
      </c>
      <c r="D617" s="223" t="inlineStr">
        <is>
          <t>L001-100044999</t>
        </is>
      </c>
      <c r="E617" s="349" t="inlineStr">
        <is>
          <t>INV20250539556</t>
        </is>
      </c>
      <c r="F617" s="332" t="n">
        <v>45797</v>
      </c>
      <c r="G617" s="224" t="n"/>
      <c r="H617" s="617" t="n"/>
      <c r="I617" s="617" t="n">
        <v>28021</v>
      </c>
      <c r="J617" s="221" t="inlineStr">
        <is>
          <t>អនុញ្ញាត (បានប្រកាស)</t>
        </is>
      </c>
      <c r="K617" s="618">
        <f>L617</f>
        <v/>
      </c>
      <c r="L617" s="616">
        <f>AD617</f>
        <v/>
      </c>
      <c r="M617" s="588">
        <f>I617-L617</f>
        <v/>
      </c>
      <c r="N617" s="221" t="n"/>
      <c r="O617" s="226">
        <f>U617=E617</f>
        <v/>
      </c>
      <c r="P617" s="226">
        <f>MONTH(F617)-MONTH(T617)</f>
        <v/>
      </c>
      <c r="Q617" s="226">
        <f>$B$5=X617</f>
        <v/>
      </c>
      <c r="R617" s="226">
        <f>I617-AD617</f>
        <v/>
      </c>
      <c r="S617" s="360" t="n"/>
      <c r="T617" s="361" t="n">
        <v>45797</v>
      </c>
      <c r="U617" s="360" t="inlineStr">
        <is>
          <t>INV20250539556</t>
        </is>
      </c>
      <c r="V617" s="360" t="n">
        <v>0</v>
      </c>
      <c r="W617" s="360" t="inlineStr">
        <is>
          <t>បុគ្គលជាប់អាករ</t>
        </is>
      </c>
      <c r="X617" s="360" t="inlineStr">
        <is>
          <t>L001-901640009</t>
        </is>
      </c>
      <c r="Y617" s="360" t="inlineStr">
        <is>
          <t>ហូលីដេ ឌីហ្សាញ (ខេមបូឌា) ឯ.ក</t>
        </is>
      </c>
      <c r="Z617" s="362" t="n">
        <v>308154</v>
      </c>
      <c r="AA617" s="362" t="n">
        <v>280140</v>
      </c>
      <c r="AB617" s="360" t="n">
        <v>0</v>
      </c>
      <c r="AC617" s="360" t="inlineStr">
        <is>
          <t>-</t>
        </is>
      </c>
      <c r="AD617" s="362" t="n">
        <v>28014</v>
      </c>
      <c r="AE617" s="360" t="n">
        <v>0</v>
      </c>
      <c r="AF617" s="615" t="n">
        <v>0</v>
      </c>
      <c r="AG617" s="203" t="n">
        <v>0</v>
      </c>
      <c r="AH617" s="203" t="n">
        <v>0</v>
      </c>
      <c r="AI617" s="203" t="n">
        <v>0</v>
      </c>
      <c r="AJ617" s="203" t="n">
        <v>0</v>
      </c>
      <c r="AK617" s="203" t="n">
        <v>0</v>
      </c>
      <c r="AL617" s="203" t="n">
        <v>0.01</v>
      </c>
      <c r="AM617" s="203" t="n">
        <v>0</v>
      </c>
      <c r="AN617" s="203" t="inlineStr">
        <is>
          <t>ចំណូលពីសេវាកម្ម (លើកដាក់ទំនិញ)</t>
        </is>
      </c>
    </row>
    <row r="618">
      <c r="A618" s="220">
        <f>A617+1</f>
        <v/>
      </c>
      <c r="B618" s="222" t="inlineStr">
        <is>
          <t>Trucking &amp; Clearance-Ex</t>
        </is>
      </c>
      <c r="C618" s="222" t="inlineStr">
        <is>
          <t>BRILLIANT TRANSPORT AND TRADING Co., Ltd.</t>
        </is>
      </c>
      <c r="D618" s="223" t="inlineStr">
        <is>
          <t>K002-100089305</t>
        </is>
      </c>
      <c r="E618" s="349" t="inlineStr">
        <is>
          <t>BTT25-0001030</t>
        </is>
      </c>
      <c r="F618" s="332" t="n">
        <v>45793</v>
      </c>
      <c r="G618" s="224" t="n"/>
      <c r="H618" s="617" t="n"/>
      <c r="I618" s="617" t="n">
        <v>203302</v>
      </c>
      <c r="J618" s="221" t="inlineStr">
        <is>
          <t>អនុញ្ញាត (បានប្រកាស)</t>
        </is>
      </c>
      <c r="K618" s="618" t="n"/>
      <c r="L618" s="616">
        <f>I618</f>
        <v/>
      </c>
      <c r="M618" s="588">
        <f>I618-L618</f>
        <v/>
      </c>
      <c r="N618" s="221" t="n"/>
      <c r="O618" s="226">
        <f>U618=E618</f>
        <v/>
      </c>
      <c r="P618" s="226">
        <f>MONTH(F618)-MONTH(T618)</f>
        <v/>
      </c>
      <c r="Q618" s="226">
        <f>$B$5=X618</f>
        <v/>
      </c>
      <c r="R618" s="226">
        <f>I618-AD618</f>
        <v/>
      </c>
      <c r="S618" s="360" t="n"/>
      <c r="T618" s="361" t="n">
        <v>45793</v>
      </c>
      <c r="U618" s="360" t="inlineStr">
        <is>
          <t>BTT25-0001030</t>
        </is>
      </c>
      <c r="V618" s="360" t="n"/>
      <c r="W618" s="360" t="n"/>
      <c r="X618" s="360" t="n"/>
      <c r="Y618" s="360" t="inlineStr">
        <is>
          <t>ហូលីដេ ឌីហ្សាញ (ខេមបូឌា) ឯ.ក</t>
        </is>
      </c>
      <c r="Z618" s="362" t="n"/>
      <c r="AA618" s="362" t="n"/>
      <c r="AB618" s="360" t="n"/>
      <c r="AC618" s="360" t="n"/>
      <c r="AD618" s="362" t="n">
        <v>203302</v>
      </c>
      <c r="AE618" s="360" t="n"/>
      <c r="AF618" s="615" t="n"/>
      <c r="AN618" s="203" t="inlineStr">
        <is>
          <t>Truking / Service</t>
        </is>
      </c>
    </row>
    <row r="619" ht="23.4" customHeight="1" s="397" thickBot="1">
      <c r="A619" s="220">
        <f>A618+1</f>
        <v/>
      </c>
      <c r="B619" s="222" t="inlineStr">
        <is>
          <t>Lift-Off-Ex</t>
        </is>
      </c>
      <c r="C619" s="222" t="inlineStr">
        <is>
          <t>PHNOM PENH AUTONOMOUS PORT "PPAP"</t>
        </is>
      </c>
      <c r="D619" s="223" t="inlineStr">
        <is>
          <t>L001-100044999</t>
        </is>
      </c>
      <c r="E619" s="349" t="inlineStr">
        <is>
          <t>INV20250539557</t>
        </is>
      </c>
      <c r="F619" s="332" t="n">
        <v>45797</v>
      </c>
      <c r="G619" s="224" t="n"/>
      <c r="H619" s="617" t="n"/>
      <c r="I619" s="617" t="n">
        <v>28021</v>
      </c>
      <c r="J619" s="221" t="inlineStr">
        <is>
          <t>អនុញ្ញាត (បានប្រកាស)</t>
        </is>
      </c>
      <c r="K619" s="618">
        <f>L619</f>
        <v/>
      </c>
      <c r="L619" s="616">
        <f>AD619</f>
        <v/>
      </c>
      <c r="M619" s="588">
        <f>I619-L619</f>
        <v/>
      </c>
      <c r="N619" s="221" t="n"/>
      <c r="O619" s="226">
        <f>U619=E619</f>
        <v/>
      </c>
      <c r="P619" s="226">
        <f>MONTH(F619)-MONTH(T619)</f>
        <v/>
      </c>
      <c r="Q619" s="226">
        <f>$B$5=X619</f>
        <v/>
      </c>
      <c r="R619" s="226">
        <f>I619-AD619</f>
        <v/>
      </c>
      <c r="S619" s="360" t="n"/>
      <c r="T619" s="361" t="n">
        <v>45797</v>
      </c>
      <c r="U619" s="360" t="inlineStr">
        <is>
          <t>INV20250539557</t>
        </is>
      </c>
      <c r="V619" s="360" t="n">
        <v>0</v>
      </c>
      <c r="W619" s="360" t="inlineStr">
        <is>
          <t>បុគ្គលជាប់អាករ</t>
        </is>
      </c>
      <c r="X619" s="360" t="inlineStr">
        <is>
          <t>L001-901640009</t>
        </is>
      </c>
      <c r="Y619" s="360" t="inlineStr">
        <is>
          <t>ហូលីដេ ឌីហ្សាញ (ខេមបូឌា) ឯ.ក</t>
        </is>
      </c>
      <c r="Z619" s="362" t="n">
        <v>308154</v>
      </c>
      <c r="AA619" s="362" t="n">
        <v>280140</v>
      </c>
      <c r="AB619" s="360" t="n">
        <v>0</v>
      </c>
      <c r="AC619" s="360" t="inlineStr">
        <is>
          <t>-</t>
        </is>
      </c>
      <c r="AD619" s="362" t="n">
        <v>28014</v>
      </c>
      <c r="AE619" s="360" t="n">
        <v>0</v>
      </c>
      <c r="AF619" s="615" t="n">
        <v>0</v>
      </c>
      <c r="AG619" s="203" t="n">
        <v>0</v>
      </c>
      <c r="AH619" s="203" t="n">
        <v>0</v>
      </c>
      <c r="AI619" s="203" t="n">
        <v>0</v>
      </c>
      <c r="AJ619" s="203" t="n">
        <v>0</v>
      </c>
      <c r="AK619" s="203" t="n">
        <v>0</v>
      </c>
      <c r="AL619" s="203" t="n">
        <v>0.01</v>
      </c>
      <c r="AM619" s="203" t="n">
        <v>0</v>
      </c>
      <c r="AN619" s="203" t="inlineStr">
        <is>
          <t>ចំណូលពីសេវាកម្ម (លើកដាក់ទំនិញ)</t>
        </is>
      </c>
    </row>
    <row r="620" ht="23.4" customHeight="1" s="397" thickBot="1">
      <c r="A620" s="220">
        <f>A619+1</f>
        <v/>
      </c>
      <c r="B620" s="222" t="inlineStr">
        <is>
          <t>Trucking &amp; Clearance-Ex</t>
        </is>
      </c>
      <c r="C620" s="222" t="inlineStr">
        <is>
          <t>BRILLIANT TRANSPORT AND TRADING Co., Ltd.</t>
        </is>
      </c>
      <c r="D620" s="223" t="inlineStr">
        <is>
          <t>K002-100089305</t>
        </is>
      </c>
      <c r="E620" s="349" t="inlineStr">
        <is>
          <t>BTT25-0001029</t>
        </is>
      </c>
      <c r="F620" s="332" t="n">
        <v>45793</v>
      </c>
      <c r="G620" s="224" t="n"/>
      <c r="H620" s="617" t="n"/>
      <c r="I620" s="617" t="n">
        <v>203302</v>
      </c>
      <c r="J620" s="221" t="inlineStr">
        <is>
          <t>អនុញ្ញាត (បានប្រកាស)</t>
        </is>
      </c>
      <c r="K620" s="618" t="n"/>
      <c r="L620" s="616">
        <f>I620</f>
        <v/>
      </c>
      <c r="M620" s="588">
        <f>I620-L620</f>
        <v/>
      </c>
      <c r="N620" s="221" t="n"/>
      <c r="O620" s="226">
        <f>U620=E620</f>
        <v/>
      </c>
      <c r="P620" s="226">
        <f>MONTH(F620)-MONTH(T620)</f>
        <v/>
      </c>
      <c r="Q620" s="226">
        <f>$B$5=X620</f>
        <v/>
      </c>
      <c r="R620" s="226">
        <f>I620-AD620</f>
        <v/>
      </c>
      <c r="S620" s="360" t="n"/>
      <c r="T620" s="367" t="n">
        <v>45793</v>
      </c>
      <c r="U620" s="368" t="inlineStr">
        <is>
          <t>BTT25-0001029</t>
        </is>
      </c>
      <c r="V620" s="368" t="n"/>
      <c r="W620" s="368" t="n"/>
      <c r="X620" s="369" t="n"/>
      <c r="Y620" s="370" t="inlineStr">
        <is>
          <t>ហូលីដេ ឌីហ្សាញ (ខេមបូឌា) ឯ.ក</t>
        </is>
      </c>
      <c r="Z620" s="371" t="n"/>
      <c r="AA620" s="371" t="n"/>
      <c r="AB620" s="371" t="n"/>
      <c r="AC620" s="372" t="n"/>
      <c r="AD620" s="371" t="n">
        <v>203302</v>
      </c>
      <c r="AE620" s="371" t="n"/>
      <c r="AF620" s="371" t="n"/>
      <c r="AG620" s="371" t="n"/>
      <c r="AH620" s="371" t="n"/>
      <c r="AI620" s="371" t="n"/>
      <c r="AJ620" s="371" t="n"/>
      <c r="AK620" s="371" t="n"/>
      <c r="AL620" s="373" t="n"/>
      <c r="AM620" s="372" t="n"/>
      <c r="AN620" s="370" t="inlineStr">
        <is>
          <t>Truking / Service</t>
        </is>
      </c>
    </row>
    <row r="621" ht="23.4" customHeight="1" s="397" thickBot="1">
      <c r="A621" s="220">
        <f>A620+1</f>
        <v/>
      </c>
      <c r="B621" s="222" t="inlineStr">
        <is>
          <t>Lift-Off-Ex</t>
        </is>
      </c>
      <c r="C621" s="222" t="inlineStr">
        <is>
          <t>PHNOM PENH AUTONOMOUS PORT "PPAP"</t>
        </is>
      </c>
      <c r="D621" s="223" t="inlineStr">
        <is>
          <t>L001-100044999</t>
        </is>
      </c>
      <c r="E621" s="349" t="inlineStr">
        <is>
          <t>INV20250539561</t>
        </is>
      </c>
      <c r="F621" s="332" t="n">
        <v>45797</v>
      </c>
      <c r="G621" s="224" t="n"/>
      <c r="H621" s="617" t="n"/>
      <c r="I621" s="617" t="n">
        <v>28021</v>
      </c>
      <c r="J621" s="221" t="inlineStr">
        <is>
          <t>អនុញ្ញាត (បានប្រកាស)</t>
        </is>
      </c>
      <c r="K621" s="618">
        <f>L621</f>
        <v/>
      </c>
      <c r="L621" s="616">
        <f>AD621</f>
        <v/>
      </c>
      <c r="M621" s="588">
        <f>I621-L621</f>
        <v/>
      </c>
      <c r="N621" s="221" t="n"/>
      <c r="O621" s="226">
        <f>U621=E621</f>
        <v/>
      </c>
      <c r="P621" s="226">
        <f>MONTH(F621)-MONTH(T621)</f>
        <v/>
      </c>
      <c r="Q621" s="226">
        <f>$B$5=X621</f>
        <v/>
      </c>
      <c r="R621" s="226">
        <f>I621-AD621</f>
        <v/>
      </c>
      <c r="S621" s="360" t="n"/>
      <c r="T621" s="361" t="n">
        <v>45797</v>
      </c>
      <c r="U621" s="360" t="inlineStr">
        <is>
          <t>INV20250539561</t>
        </is>
      </c>
      <c r="V621" s="360" t="n">
        <v>0</v>
      </c>
      <c r="W621" s="360" t="inlineStr">
        <is>
          <t>បុគ្គលជាប់អាករ</t>
        </is>
      </c>
      <c r="X621" s="360" t="inlineStr">
        <is>
          <t>L001-901640009</t>
        </is>
      </c>
      <c r="Y621" s="360" t="inlineStr">
        <is>
          <t>ហូលីដេ ឌីហ្សាញ (ខេមបូឌា) ឯ.ក</t>
        </is>
      </c>
      <c r="Z621" s="362" t="n">
        <v>308154</v>
      </c>
      <c r="AA621" s="362" t="n">
        <v>280140</v>
      </c>
      <c r="AB621" s="360" t="n">
        <v>0</v>
      </c>
      <c r="AC621" s="360" t="inlineStr">
        <is>
          <t>-</t>
        </is>
      </c>
      <c r="AD621" s="362" t="n">
        <v>28014</v>
      </c>
      <c r="AE621" s="360" t="n">
        <v>0</v>
      </c>
      <c r="AF621" s="615" t="n">
        <v>0</v>
      </c>
      <c r="AG621" s="203" t="n">
        <v>0</v>
      </c>
      <c r="AH621" s="203" t="n">
        <v>0</v>
      </c>
      <c r="AI621" s="203" t="n">
        <v>0</v>
      </c>
      <c r="AJ621" s="203" t="n">
        <v>0</v>
      </c>
      <c r="AK621" s="203" t="n">
        <v>0</v>
      </c>
      <c r="AL621" s="203" t="n">
        <v>0.01</v>
      </c>
      <c r="AM621" s="203" t="n">
        <v>0</v>
      </c>
      <c r="AN621" s="203" t="inlineStr">
        <is>
          <t>ចំណូលពីសេវាកម្ម (លើកដាក់ទំនិញ)</t>
        </is>
      </c>
    </row>
    <row r="622" ht="23.4" customHeight="1" s="397" thickBot="1">
      <c r="A622" s="220">
        <f>A621+1</f>
        <v/>
      </c>
      <c r="B622" s="222" t="inlineStr">
        <is>
          <t>Trucking &amp; Clearance-Ex</t>
        </is>
      </c>
      <c r="C622" s="222" t="inlineStr">
        <is>
          <t>BRILLIANT TRANSPORT AND TRADING Co., Ltd.</t>
        </is>
      </c>
      <c r="D622" s="223" t="inlineStr">
        <is>
          <t>K002-100089305</t>
        </is>
      </c>
      <c r="E622" s="349" t="inlineStr">
        <is>
          <t>BTT25-0001028</t>
        </is>
      </c>
      <c r="F622" s="332" t="n">
        <v>45793</v>
      </c>
      <c r="G622" s="224" t="n"/>
      <c r="H622" s="617" t="n"/>
      <c r="I622" s="617" t="n">
        <v>203302</v>
      </c>
      <c r="J622" s="221" t="inlineStr">
        <is>
          <t>អនុញ្ញាត (បានប្រកាស)</t>
        </is>
      </c>
      <c r="K622" s="618" t="n"/>
      <c r="L622" s="616">
        <f>I622</f>
        <v/>
      </c>
      <c r="M622" s="588">
        <f>I622-L622</f>
        <v/>
      </c>
      <c r="N622" s="221" t="n"/>
      <c r="O622" s="226">
        <f>U622=E622</f>
        <v/>
      </c>
      <c r="P622" s="226">
        <f>MONTH(F622)-MONTH(T622)</f>
        <v/>
      </c>
      <c r="Q622" s="226">
        <f>$B$5=X622</f>
        <v/>
      </c>
      <c r="R622" s="226">
        <f>I622-AD622</f>
        <v/>
      </c>
      <c r="S622" s="360" t="n"/>
      <c r="T622" s="367" t="n">
        <v>45793</v>
      </c>
      <c r="U622" s="368" t="inlineStr">
        <is>
          <t>BTT25-0001028</t>
        </is>
      </c>
      <c r="V622" s="368" t="n"/>
      <c r="W622" s="368" t="n"/>
      <c r="X622" s="369" t="n"/>
      <c r="Y622" s="370" t="inlineStr">
        <is>
          <t>ហូលីដេ ឌីហ្សាញ (ខេមបូឌា) ឯ.ក</t>
        </is>
      </c>
      <c r="Z622" s="371" t="n"/>
      <c r="AA622" s="371" t="n"/>
      <c r="AB622" s="371" t="n"/>
      <c r="AC622" s="372" t="n"/>
      <c r="AD622" s="371" t="n">
        <v>203302</v>
      </c>
      <c r="AE622" s="371" t="n"/>
      <c r="AF622" s="371" t="n"/>
      <c r="AG622" s="371" t="n"/>
      <c r="AH622" s="371" t="n"/>
      <c r="AI622" s="371" t="n"/>
      <c r="AJ622" s="371" t="n"/>
      <c r="AK622" s="371" t="n"/>
      <c r="AL622" s="373" t="n"/>
      <c r="AM622" s="372" t="n"/>
      <c r="AN622" s="370" t="inlineStr">
        <is>
          <t>Truking / Service</t>
        </is>
      </c>
    </row>
    <row r="623">
      <c r="A623" s="220">
        <f>A622+1</f>
        <v/>
      </c>
      <c r="B623" s="222" t="inlineStr">
        <is>
          <t>Lift-Off-Ex</t>
        </is>
      </c>
      <c r="C623" s="222" t="inlineStr">
        <is>
          <t>PHNOM PENH AUTONOMOUS PORT "PPAP"</t>
        </is>
      </c>
      <c r="D623" s="223" t="inlineStr">
        <is>
          <t>L001-100044999</t>
        </is>
      </c>
      <c r="E623" s="349" t="inlineStr">
        <is>
          <t>INV20250539562</t>
        </is>
      </c>
      <c r="F623" s="332" t="n">
        <v>45797</v>
      </c>
      <c r="G623" s="224" t="n"/>
      <c r="H623" s="617" t="n"/>
      <c r="I623" s="617" t="n">
        <v>28021</v>
      </c>
      <c r="J623" s="221" t="inlineStr">
        <is>
          <t>អនុញ្ញាត (បានប្រកាស)</t>
        </is>
      </c>
      <c r="K623" s="618">
        <f>L623</f>
        <v/>
      </c>
      <c r="L623" s="616">
        <f>AD623</f>
        <v/>
      </c>
      <c r="M623" s="588">
        <f>I623-L623</f>
        <v/>
      </c>
      <c r="N623" s="221" t="n"/>
      <c r="O623" s="226">
        <f>U623=E623</f>
        <v/>
      </c>
      <c r="P623" s="226">
        <f>MONTH(F623)-MONTH(T623)</f>
        <v/>
      </c>
      <c r="Q623" s="226">
        <f>$B$5=X623</f>
        <v/>
      </c>
      <c r="R623" s="226">
        <f>I623-AD623</f>
        <v/>
      </c>
      <c r="S623" s="360" t="n"/>
      <c r="T623" s="361" t="n">
        <v>45797</v>
      </c>
      <c r="U623" s="360" t="inlineStr">
        <is>
          <t>INV20250539562</t>
        </is>
      </c>
      <c r="V623" s="360" t="n">
        <v>0</v>
      </c>
      <c r="W623" s="360" t="inlineStr">
        <is>
          <t>បុគ្គលជាប់អាករ</t>
        </is>
      </c>
      <c r="X623" s="360" t="inlineStr">
        <is>
          <t>L001-901640009</t>
        </is>
      </c>
      <c r="Y623" s="360" t="inlineStr">
        <is>
          <t>ហូលីដេ ឌីហ្សាញ (ខេមបូឌា) ឯ.ក</t>
        </is>
      </c>
      <c r="Z623" s="362" t="n">
        <v>308154</v>
      </c>
      <c r="AA623" s="362" t="n">
        <v>280140</v>
      </c>
      <c r="AB623" s="360" t="n">
        <v>0</v>
      </c>
      <c r="AC623" s="360" t="inlineStr">
        <is>
          <t>-</t>
        </is>
      </c>
      <c r="AD623" s="362" t="n">
        <v>28014</v>
      </c>
      <c r="AE623" s="360" t="n">
        <v>0</v>
      </c>
      <c r="AF623" s="615" t="n">
        <v>0</v>
      </c>
      <c r="AG623" s="203" t="n">
        <v>0</v>
      </c>
      <c r="AH623" s="203" t="n">
        <v>0</v>
      </c>
      <c r="AI623" s="203" t="n">
        <v>0</v>
      </c>
      <c r="AJ623" s="203" t="n">
        <v>0</v>
      </c>
      <c r="AK623" s="203" t="n">
        <v>0</v>
      </c>
      <c r="AL623" s="203" t="n">
        <v>0.01</v>
      </c>
      <c r="AM623" s="203" t="n">
        <v>0</v>
      </c>
      <c r="AN623" s="203" t="inlineStr">
        <is>
          <t>ចំណូលពីសេវាកម្ម (លើកដាក់ទំនិញ)</t>
        </is>
      </c>
    </row>
    <row r="624">
      <c r="A624" s="220">
        <f>A623+1</f>
        <v/>
      </c>
      <c r="B624" s="222" t="inlineStr">
        <is>
          <t>Trucking &amp; Clearance-Ex</t>
        </is>
      </c>
      <c r="C624" s="222" t="inlineStr">
        <is>
          <t>BRILLIANT TRANSPORT AND TRADING Co., Ltd.</t>
        </is>
      </c>
      <c r="D624" s="223" t="inlineStr">
        <is>
          <t>K002-100089305</t>
        </is>
      </c>
      <c r="E624" s="349" t="inlineStr">
        <is>
          <t>BTT25-0001027</t>
        </is>
      </c>
      <c r="F624" s="332" t="n">
        <v>45793</v>
      </c>
      <c r="G624" s="224" t="n"/>
      <c r="H624" s="617" t="n"/>
      <c r="I624" s="617" t="n">
        <v>203302</v>
      </c>
      <c r="J624" s="221" t="inlineStr">
        <is>
          <t>អនុញ្ញាត (បានប្រកាស)</t>
        </is>
      </c>
      <c r="K624" s="618" t="n"/>
      <c r="L624" s="616">
        <f>I624</f>
        <v/>
      </c>
      <c r="M624" s="588">
        <f>I624-L624</f>
        <v/>
      </c>
      <c r="N624" s="221" t="n"/>
      <c r="O624" s="226">
        <f>U624=E624</f>
        <v/>
      </c>
      <c r="P624" s="226">
        <f>MONTH(F624)-MONTH(T624)</f>
        <v/>
      </c>
      <c r="Q624" s="226">
        <f>$B$5=X624</f>
        <v/>
      </c>
      <c r="R624" s="226">
        <f>I624-AD624</f>
        <v/>
      </c>
      <c r="S624" s="360" t="n"/>
      <c r="T624" s="361" t="n">
        <v>45793</v>
      </c>
      <c r="U624" s="360" t="inlineStr">
        <is>
          <t>BTT25-0001027</t>
        </is>
      </c>
      <c r="V624" s="360" t="n"/>
      <c r="W624" s="360" t="n"/>
      <c r="X624" s="360" t="n"/>
      <c r="Y624" s="360" t="inlineStr">
        <is>
          <t>ហូលីដេ ឌីហ្សាញ (ខេមបូឌា) ឯ.ក</t>
        </is>
      </c>
      <c r="Z624" s="362" t="n"/>
      <c r="AA624" s="362" t="n"/>
      <c r="AB624" s="360" t="n"/>
      <c r="AC624" s="360" t="n"/>
      <c r="AD624" s="362" t="n">
        <v>203302</v>
      </c>
      <c r="AE624" s="360" t="n"/>
      <c r="AF624" s="615" t="n"/>
      <c r="AN624" s="203" t="inlineStr">
        <is>
          <t>Truking / Service</t>
        </is>
      </c>
    </row>
    <row r="625">
      <c r="A625" s="220">
        <f>A624+1</f>
        <v/>
      </c>
      <c r="B625" s="222" t="inlineStr">
        <is>
          <t>Trucking &amp; Clearance-Ex</t>
        </is>
      </c>
      <c r="C625" s="222" t="inlineStr">
        <is>
          <t>BRILLIANT TRANSPORT AND TRADING Co., Ltd.</t>
        </is>
      </c>
      <c r="D625" s="223" t="inlineStr">
        <is>
          <t>K002-100089305</t>
        </is>
      </c>
      <c r="E625" s="349" t="inlineStr">
        <is>
          <t>BTT25-0001033</t>
        </is>
      </c>
      <c r="F625" s="332" t="n">
        <v>45793</v>
      </c>
      <c r="G625" s="224" t="n"/>
      <c r="H625" s="617" t="n"/>
      <c r="I625" s="617" t="n">
        <v>406603</v>
      </c>
      <c r="J625" s="221" t="inlineStr">
        <is>
          <t>អនុញ្ញាត (បានប្រកាស)</t>
        </is>
      </c>
      <c r="K625" s="618" t="n"/>
      <c r="L625" s="616">
        <f>I625</f>
        <v/>
      </c>
      <c r="M625" s="588">
        <f>I625-L625</f>
        <v/>
      </c>
      <c r="N625" s="221" t="n"/>
      <c r="O625" s="226">
        <f>U625=E625</f>
        <v/>
      </c>
      <c r="P625" s="226">
        <f>MONTH(F625)-MONTH(T625)</f>
        <v/>
      </c>
      <c r="Q625" s="226">
        <f>$B$5=X625</f>
        <v/>
      </c>
      <c r="R625" s="226">
        <f>I625-AD625</f>
        <v/>
      </c>
      <c r="S625" s="360" t="n"/>
      <c r="T625" s="361" t="n">
        <v>45793</v>
      </c>
      <c r="U625" s="360" t="inlineStr">
        <is>
          <t>BTT25-0001033</t>
        </is>
      </c>
      <c r="V625" s="360" t="n"/>
      <c r="W625" s="360" t="n"/>
      <c r="X625" s="360" t="n"/>
      <c r="Y625" s="360" t="inlineStr">
        <is>
          <t>ហូលីដេ ឌីហ្សាញ (ខេមបូឌា) ឯ.ក</t>
        </is>
      </c>
      <c r="Z625" s="362" t="n"/>
      <c r="AA625" s="362" t="n"/>
      <c r="AB625" s="360" t="n"/>
      <c r="AC625" s="360" t="n"/>
      <c r="AD625" s="362" t="n">
        <v>406603</v>
      </c>
      <c r="AE625" s="360" t="n"/>
      <c r="AF625" s="615" t="n"/>
      <c r="AN625" s="203" t="inlineStr">
        <is>
          <t>Truking / Service</t>
        </is>
      </c>
    </row>
    <row r="626">
      <c r="A626" s="220">
        <f>A625+1</f>
        <v/>
      </c>
      <c r="B626" s="222" t="inlineStr">
        <is>
          <t>Lift-Off-Ex</t>
        </is>
      </c>
      <c r="C626" s="222" t="inlineStr">
        <is>
          <t>PHNOM PENH AUTONOMOUS PORT "PPAP"</t>
        </is>
      </c>
      <c r="D626" s="223" t="inlineStr">
        <is>
          <t>L001-100044999</t>
        </is>
      </c>
      <c r="E626" s="349" t="inlineStr">
        <is>
          <t>INV20250539553</t>
        </is>
      </c>
      <c r="F626" s="332" t="n">
        <v>45797</v>
      </c>
      <c r="G626" s="224" t="n"/>
      <c r="H626" s="617" t="n"/>
      <c r="I626" s="617" t="n">
        <v>56042</v>
      </c>
      <c r="J626" s="221" t="inlineStr">
        <is>
          <t>អនុញ្ញាត (បានប្រកាស)</t>
        </is>
      </c>
      <c r="K626" s="618">
        <f>L626</f>
        <v/>
      </c>
      <c r="L626" s="616">
        <f>AD626</f>
        <v/>
      </c>
      <c r="M626" s="588">
        <f>I626-L626</f>
        <v/>
      </c>
      <c r="N626" s="221" t="n"/>
      <c r="O626" s="226">
        <f>U626=E626</f>
        <v/>
      </c>
      <c r="P626" s="226">
        <f>MONTH(F626)-MONTH(T626)</f>
        <v/>
      </c>
      <c r="Q626" s="226">
        <f>$B$5=X626</f>
        <v/>
      </c>
      <c r="R626" s="226">
        <f>I626-AD626</f>
        <v/>
      </c>
      <c r="S626" s="360" t="n"/>
      <c r="T626" s="361" t="n">
        <v>45797</v>
      </c>
      <c r="U626" s="360" t="inlineStr">
        <is>
          <t>INV20250539553</t>
        </is>
      </c>
      <c r="V626" s="360" t="n">
        <v>0</v>
      </c>
      <c r="W626" s="360" t="inlineStr">
        <is>
          <t>បុគ្គលជាប់អាករ</t>
        </is>
      </c>
      <c r="X626" s="360" t="inlineStr">
        <is>
          <t>L001-901640009</t>
        </is>
      </c>
      <c r="Y626" s="360" t="inlineStr">
        <is>
          <t>ហូលីដេ ឌីហ្សាញ (ខេមបូឌា) ឯ.ក</t>
        </is>
      </c>
      <c r="Z626" s="362" t="n">
        <v>616308</v>
      </c>
      <c r="AA626" s="362" t="n">
        <v>560280</v>
      </c>
      <c r="AB626" s="360" t="n">
        <v>0</v>
      </c>
      <c r="AC626" s="360" t="inlineStr">
        <is>
          <t>-</t>
        </is>
      </c>
      <c r="AD626" s="362" t="n">
        <v>56028</v>
      </c>
      <c r="AE626" s="360" t="n">
        <v>0</v>
      </c>
      <c r="AF626" s="615" t="n">
        <v>0</v>
      </c>
      <c r="AG626" s="203" t="n">
        <v>0</v>
      </c>
      <c r="AH626" s="203" t="n">
        <v>0</v>
      </c>
      <c r="AI626" s="203" t="n">
        <v>0</v>
      </c>
      <c r="AJ626" s="203" t="n">
        <v>0</v>
      </c>
      <c r="AK626" s="203" t="n">
        <v>0</v>
      </c>
      <c r="AL626" s="203" t="n">
        <v>0.01</v>
      </c>
      <c r="AM626" s="203" t="n">
        <v>0</v>
      </c>
      <c r="AN626" s="203" t="inlineStr">
        <is>
          <t>ចំណូលពីសេវាកម្ម (លើកដាក់ទំនិញ)</t>
        </is>
      </c>
    </row>
    <row r="627">
      <c r="A627" s="220">
        <f>A626+1</f>
        <v/>
      </c>
      <c r="B627" s="222" t="inlineStr">
        <is>
          <t>Lift-Off-Ex</t>
        </is>
      </c>
      <c r="C627" s="222" t="inlineStr">
        <is>
          <t>PHNOM PENH AUTONOMOUS PORT "PPAP"</t>
        </is>
      </c>
      <c r="D627" s="223" t="inlineStr">
        <is>
          <t>L001-100044999</t>
        </is>
      </c>
      <c r="E627" s="349" t="inlineStr">
        <is>
          <t>INV20250541415</t>
        </is>
      </c>
      <c r="F627" s="332" t="n">
        <v>45803</v>
      </c>
      <c r="G627" s="224" t="n"/>
      <c r="H627" s="617" t="n"/>
      <c r="I627" s="617" t="n">
        <v>56028</v>
      </c>
      <c r="J627" s="221" t="inlineStr">
        <is>
          <t>អនុញ្ញាត (បានប្រកាស)</t>
        </is>
      </c>
      <c r="K627" s="618" t="n"/>
      <c r="L627" s="616">
        <f>I627</f>
        <v/>
      </c>
      <c r="M627" s="588">
        <f>I627-L627</f>
        <v/>
      </c>
      <c r="N627" s="221" t="n"/>
      <c r="O627" s="226">
        <f>U627=E627</f>
        <v/>
      </c>
      <c r="P627" s="226">
        <f>MONTH(F627)-MONTH(T627)</f>
        <v/>
      </c>
      <c r="Q627" s="226">
        <f>$B$5=X627</f>
        <v/>
      </c>
      <c r="R627" s="226">
        <f>I627-AD627</f>
        <v/>
      </c>
      <c r="S627" s="360" t="n"/>
      <c r="T627" s="361" t="n">
        <v>45803</v>
      </c>
      <c r="U627" s="360" t="inlineStr">
        <is>
          <t>INV20250541415</t>
        </is>
      </c>
      <c r="V627" s="360" t="n">
        <v>0</v>
      </c>
      <c r="W627" s="360" t="inlineStr">
        <is>
          <t>បុគ្គលជាប់អាករ</t>
        </is>
      </c>
      <c r="X627" s="360" t="inlineStr">
        <is>
          <t>L001-901640009</t>
        </is>
      </c>
      <c r="Y627" s="360" t="inlineStr">
        <is>
          <t>ហូលីដេ ឌីហ្សាញ (ខេមបូឌា) ឯ.ក</t>
        </is>
      </c>
      <c r="Z627" s="362" t="n">
        <v>616308</v>
      </c>
      <c r="AA627" s="362" t="n">
        <v>560280</v>
      </c>
      <c r="AB627" s="360" t="n">
        <v>0</v>
      </c>
      <c r="AC627" s="360" t="inlineStr">
        <is>
          <t>-</t>
        </is>
      </c>
      <c r="AD627" s="362" t="n">
        <v>56028</v>
      </c>
      <c r="AE627" s="360" t="n">
        <v>0</v>
      </c>
      <c r="AF627" s="615" t="n">
        <v>0</v>
      </c>
      <c r="AG627" s="203" t="n">
        <v>0</v>
      </c>
      <c r="AH627" s="203" t="n">
        <v>0</v>
      </c>
      <c r="AI627" s="203" t="n">
        <v>0</v>
      </c>
      <c r="AJ627" s="203" t="n">
        <v>0</v>
      </c>
      <c r="AK627" s="203" t="n">
        <v>0</v>
      </c>
      <c r="AL627" s="203" t="n">
        <v>0.01</v>
      </c>
      <c r="AM627" s="203" t="n">
        <v>0</v>
      </c>
      <c r="AN627" s="203" t="inlineStr">
        <is>
          <t>ចំណូលពីសេវាកម្ម (លើកដាក់ទំនិញ)</t>
        </is>
      </c>
    </row>
    <row r="628">
      <c r="A628" s="220">
        <f>A627+1</f>
        <v/>
      </c>
      <c r="B628" s="222" t="inlineStr">
        <is>
          <t>Trucking &amp; Clearance-Ex</t>
        </is>
      </c>
      <c r="C628" s="222" t="inlineStr">
        <is>
          <t>BRILLIANT TRANSPORT AND TRADING Co., Ltd.</t>
        </is>
      </c>
      <c r="D628" s="223" t="inlineStr">
        <is>
          <t>K002-100089305</t>
        </is>
      </c>
      <c r="E628" s="349" t="inlineStr">
        <is>
          <t>BTT25-0001116</t>
        </is>
      </c>
      <c r="F628" s="332" t="n">
        <v>45800</v>
      </c>
      <c r="G628" s="224" t="n"/>
      <c r="H628" s="617" t="n"/>
      <c r="I628" s="617" t="n">
        <v>406705</v>
      </c>
      <c r="J628" s="221" t="inlineStr">
        <is>
          <t>អនុញ្ញាត (បានប្រកាស)</t>
        </is>
      </c>
      <c r="K628" s="618" t="n"/>
      <c r="L628" s="616">
        <f>I628</f>
        <v/>
      </c>
      <c r="M628" s="588">
        <f>I628-L628</f>
        <v/>
      </c>
      <c r="N628" s="221" t="n"/>
      <c r="O628" s="226">
        <f>U628=E628</f>
        <v/>
      </c>
      <c r="P628" s="226">
        <f>MONTH(F628)-MONTH(T628)</f>
        <v/>
      </c>
      <c r="Q628" s="226">
        <f>$B$5=X628</f>
        <v/>
      </c>
      <c r="R628" s="226">
        <f>I628-AD628</f>
        <v/>
      </c>
      <c r="S628" s="360" t="n"/>
      <c r="T628" s="361" t="n">
        <v>45800</v>
      </c>
      <c r="U628" s="360" t="inlineStr">
        <is>
          <t>BTT25-0001116</t>
        </is>
      </c>
      <c r="V628" s="360" t="n"/>
      <c r="W628" s="360" t="n"/>
      <c r="X628" s="360" t="n"/>
      <c r="Y628" s="360" t="inlineStr">
        <is>
          <t>ហូលីដេ ឌីហ្សាញ (ខេមបូឌា) ឯ.ក</t>
        </is>
      </c>
      <c r="Z628" s="362" t="n"/>
      <c r="AA628" s="362" t="n"/>
      <c r="AB628" s="360" t="n"/>
      <c r="AC628" s="360" t="n"/>
      <c r="AD628" s="362" t="n">
        <v>406705</v>
      </c>
      <c r="AE628" s="360" t="n"/>
      <c r="AF628" s="615" t="n"/>
      <c r="AN628" s="203" t="inlineStr">
        <is>
          <t>Truking / Service</t>
        </is>
      </c>
    </row>
    <row r="629">
      <c r="A629" s="220">
        <f>A628+1</f>
        <v/>
      </c>
      <c r="B629" s="222" t="inlineStr">
        <is>
          <t>Lift-Off-Ex</t>
        </is>
      </c>
      <c r="C629" s="222" t="inlineStr">
        <is>
          <t>PHNOM PENH AUTONOMOUS PORT "PPAP"</t>
        </is>
      </c>
      <c r="D629" s="223" t="inlineStr">
        <is>
          <t>L001-100044999</t>
        </is>
      </c>
      <c r="E629" s="349" t="inlineStr">
        <is>
          <t>INV20250541414</t>
        </is>
      </c>
      <c r="F629" s="332" t="n">
        <v>45803</v>
      </c>
      <c r="G629" s="224" t="n"/>
      <c r="H629" s="617" t="n"/>
      <c r="I629" s="617" t="n">
        <v>56028</v>
      </c>
      <c r="J629" s="221" t="inlineStr">
        <is>
          <t>អនុញ្ញាត (បានប្រកាស)</t>
        </is>
      </c>
      <c r="K629" s="618" t="n"/>
      <c r="L629" s="616">
        <f>I629</f>
        <v/>
      </c>
      <c r="M629" s="588">
        <f>I629-L629</f>
        <v/>
      </c>
      <c r="N629" s="221" t="n"/>
      <c r="O629" s="226">
        <f>U629=E629</f>
        <v/>
      </c>
      <c r="P629" s="226">
        <f>MONTH(F629)-MONTH(T629)</f>
        <v/>
      </c>
      <c r="Q629" s="226">
        <f>$B$5=X629</f>
        <v/>
      </c>
      <c r="R629" s="226">
        <f>I629-AD629</f>
        <v/>
      </c>
      <c r="S629" s="360" t="n"/>
      <c r="T629" s="361" t="n">
        <v>45803</v>
      </c>
      <c r="U629" s="360" t="inlineStr">
        <is>
          <t>INV20250541414</t>
        </is>
      </c>
      <c r="V629" s="360" t="n">
        <v>0</v>
      </c>
      <c r="W629" s="360" t="inlineStr">
        <is>
          <t>បុគ្គលជាប់អាករ</t>
        </is>
      </c>
      <c r="X629" s="360" t="inlineStr">
        <is>
          <t>L001-901640009</t>
        </is>
      </c>
      <c r="Y629" s="360" t="inlineStr">
        <is>
          <t>ហូលីដេ ឌីហ្សាញ (ខេមបូឌា) ឯ.ក</t>
        </is>
      </c>
      <c r="Z629" s="362" t="n">
        <v>616308</v>
      </c>
      <c r="AA629" s="362" t="n">
        <v>560280</v>
      </c>
      <c r="AB629" s="360" t="n">
        <v>0</v>
      </c>
      <c r="AC629" s="360" t="inlineStr">
        <is>
          <t>-</t>
        </is>
      </c>
      <c r="AD629" s="362" t="n">
        <v>56028</v>
      </c>
      <c r="AE629" s="360" t="n">
        <v>0</v>
      </c>
      <c r="AF629" s="615" t="n">
        <v>0</v>
      </c>
      <c r="AG629" s="203" t="n">
        <v>0</v>
      </c>
      <c r="AH629" s="203" t="n">
        <v>0</v>
      </c>
      <c r="AI629" s="203" t="n">
        <v>0</v>
      </c>
      <c r="AJ629" s="203" t="n">
        <v>0</v>
      </c>
      <c r="AK629" s="203" t="n">
        <v>0</v>
      </c>
      <c r="AL629" s="203" t="n">
        <v>0.01</v>
      </c>
      <c r="AM629" s="203" t="n">
        <v>0</v>
      </c>
      <c r="AN629" s="203" t="inlineStr">
        <is>
          <t>ចំណូលពីសេវាកម្ម (លើកដាក់ទំនិញ)</t>
        </is>
      </c>
    </row>
    <row r="630">
      <c r="A630" s="220">
        <f>A629+1</f>
        <v/>
      </c>
      <c r="B630" s="222" t="inlineStr">
        <is>
          <t>Trucking &amp; Clearance-Ex</t>
        </is>
      </c>
      <c r="C630" s="222" t="inlineStr">
        <is>
          <t>BRILLIANT TRANSPORT AND TRADING Co., Ltd.</t>
        </is>
      </c>
      <c r="D630" s="223" t="inlineStr">
        <is>
          <t>K002-100089305</t>
        </is>
      </c>
      <c r="E630" s="349" t="inlineStr">
        <is>
          <t>BTT25-0001115</t>
        </is>
      </c>
      <c r="F630" s="332" t="n">
        <v>45800</v>
      </c>
      <c r="G630" s="224" t="n"/>
      <c r="H630" s="617" t="n"/>
      <c r="I630" s="617" t="n">
        <v>406705</v>
      </c>
      <c r="J630" s="221" t="inlineStr">
        <is>
          <t>អនុញ្ញាត (បានប្រកាស)</t>
        </is>
      </c>
      <c r="K630" s="618" t="n"/>
      <c r="L630" s="616">
        <f>I630</f>
        <v/>
      </c>
      <c r="M630" s="588">
        <f>I630-L630</f>
        <v/>
      </c>
      <c r="N630" s="221" t="n"/>
      <c r="O630" s="226">
        <f>U630=E630</f>
        <v/>
      </c>
      <c r="P630" s="226">
        <f>MONTH(F630)-MONTH(T630)</f>
        <v/>
      </c>
      <c r="Q630" s="226">
        <f>$B$5=X630</f>
        <v/>
      </c>
      <c r="R630" s="226">
        <f>I630-AD630</f>
        <v/>
      </c>
      <c r="S630" s="360" t="n"/>
      <c r="T630" s="361" t="n">
        <v>45800</v>
      </c>
      <c r="U630" s="360" t="inlineStr">
        <is>
          <t>BTT25-0001115</t>
        </is>
      </c>
      <c r="V630" s="360" t="n"/>
      <c r="W630" s="360" t="n"/>
      <c r="X630" s="360" t="n"/>
      <c r="Y630" s="360" t="inlineStr">
        <is>
          <t>ហូលីដេ ឌីហ្សាញ (ខេមបូឌា) ឯ.ក</t>
        </is>
      </c>
      <c r="Z630" s="362" t="n"/>
      <c r="AA630" s="362" t="n"/>
      <c r="AB630" s="360" t="n"/>
      <c r="AC630" s="360" t="n"/>
      <c r="AD630" s="362" t="n">
        <v>406705</v>
      </c>
      <c r="AE630" s="360" t="n"/>
      <c r="AF630" s="615" t="n"/>
      <c r="AN630" s="203" t="inlineStr">
        <is>
          <t>Truking / Service</t>
        </is>
      </c>
    </row>
    <row r="631">
      <c r="A631" s="220">
        <f>A630+1</f>
        <v/>
      </c>
      <c r="B631" s="222" t="inlineStr">
        <is>
          <t>Lift-Off-Ex</t>
        </is>
      </c>
      <c r="C631" s="222" t="inlineStr">
        <is>
          <t>PHNOM PENH AUTONOMOUS PORT "PPAP"</t>
        </is>
      </c>
      <c r="D631" s="223" t="inlineStr">
        <is>
          <t>L001-100044999</t>
        </is>
      </c>
      <c r="E631" s="349" t="inlineStr">
        <is>
          <t>INV20250541413</t>
        </is>
      </c>
      <c r="F631" s="332" t="n">
        <v>45803</v>
      </c>
      <c r="G631" s="224" t="n"/>
      <c r="H631" s="617" t="n"/>
      <c r="I631" s="617" t="n">
        <v>56028</v>
      </c>
      <c r="J631" s="221" t="inlineStr">
        <is>
          <t>អនុញ្ញាត (បានប្រកាស)</t>
        </is>
      </c>
      <c r="K631" s="618" t="n"/>
      <c r="L631" s="616">
        <f>I631</f>
        <v/>
      </c>
      <c r="M631" s="588">
        <f>I631-L631</f>
        <v/>
      </c>
      <c r="N631" s="221" t="n"/>
      <c r="O631" s="226">
        <f>U631=E631</f>
        <v/>
      </c>
      <c r="P631" s="226">
        <f>MONTH(F631)-MONTH(T631)</f>
        <v/>
      </c>
      <c r="Q631" s="226">
        <f>$B$5=X631</f>
        <v/>
      </c>
      <c r="R631" s="226">
        <f>I631-AD631</f>
        <v/>
      </c>
      <c r="S631" s="360" t="n"/>
      <c r="T631" s="361" t="n">
        <v>45803</v>
      </c>
      <c r="U631" s="360" t="inlineStr">
        <is>
          <t>INV20250541413</t>
        </is>
      </c>
      <c r="V631" s="360" t="n">
        <v>0</v>
      </c>
      <c r="W631" s="360" t="inlineStr">
        <is>
          <t>បុគ្គលជាប់អាករ</t>
        </is>
      </c>
      <c r="X631" s="360" t="inlineStr">
        <is>
          <t>L001-901640009</t>
        </is>
      </c>
      <c r="Y631" s="360" t="inlineStr">
        <is>
          <t>ហូលីដេ ឌីហ្សាញ (ខេមបូឌា) ឯ.ក</t>
        </is>
      </c>
      <c r="Z631" s="362" t="n">
        <v>616308</v>
      </c>
      <c r="AA631" s="362" t="n">
        <v>560280</v>
      </c>
      <c r="AB631" s="360" t="n">
        <v>0</v>
      </c>
      <c r="AC631" s="360" t="inlineStr">
        <is>
          <t>-</t>
        </is>
      </c>
      <c r="AD631" s="362" t="n">
        <v>56028</v>
      </c>
      <c r="AE631" s="360" t="n">
        <v>0</v>
      </c>
      <c r="AF631" s="615" t="n">
        <v>0</v>
      </c>
      <c r="AG631" s="203" t="n">
        <v>0</v>
      </c>
      <c r="AH631" s="203" t="n">
        <v>0</v>
      </c>
      <c r="AI631" s="203" t="n">
        <v>0</v>
      </c>
      <c r="AJ631" s="203" t="n">
        <v>0</v>
      </c>
      <c r="AK631" s="203" t="n">
        <v>0</v>
      </c>
      <c r="AL631" s="203" t="n">
        <v>0.01</v>
      </c>
      <c r="AM631" s="203" t="n">
        <v>0</v>
      </c>
      <c r="AN631" s="203" t="inlineStr">
        <is>
          <t>ចំណូលពីសេវាកម្ម (លើកដាក់ទំនិញ)</t>
        </is>
      </c>
    </row>
    <row r="632">
      <c r="A632" s="220">
        <f>A631+1</f>
        <v/>
      </c>
      <c r="B632" s="222" t="inlineStr">
        <is>
          <t>Trucking &amp; Clearance-Ex</t>
        </is>
      </c>
      <c r="C632" s="222" t="inlineStr">
        <is>
          <t>BRILLIANT TRANSPORT AND TRADING Co., Ltd.</t>
        </is>
      </c>
      <c r="D632" s="223" t="inlineStr">
        <is>
          <t>K002-100089305</t>
        </is>
      </c>
      <c r="E632" s="349" t="inlineStr">
        <is>
          <t>BTT25-0001114</t>
        </is>
      </c>
      <c r="F632" s="332" t="n">
        <v>45800</v>
      </c>
      <c r="G632" s="224" t="n"/>
      <c r="H632" s="617" t="n"/>
      <c r="I632" s="617" t="n">
        <v>406705</v>
      </c>
      <c r="J632" s="221" t="inlineStr">
        <is>
          <t>អនុញ្ញាត (បានប្រកាស)</t>
        </is>
      </c>
      <c r="K632" s="618" t="n"/>
      <c r="L632" s="616">
        <f>I632</f>
        <v/>
      </c>
      <c r="M632" s="588">
        <f>I632-L632</f>
        <v/>
      </c>
      <c r="N632" s="221" t="n"/>
      <c r="O632" s="226">
        <f>U632=E632</f>
        <v/>
      </c>
      <c r="P632" s="226">
        <f>MONTH(F632)-MONTH(T632)</f>
        <v/>
      </c>
      <c r="Q632" s="226">
        <f>$B$5=X632</f>
        <v/>
      </c>
      <c r="R632" s="226">
        <f>I632-AD632</f>
        <v/>
      </c>
      <c r="S632" s="360" t="n"/>
      <c r="T632" s="361" t="n">
        <v>45800</v>
      </c>
      <c r="U632" s="360" t="inlineStr">
        <is>
          <t>BTT25-0001114</t>
        </is>
      </c>
      <c r="V632" s="360" t="n"/>
      <c r="W632" s="360" t="n"/>
      <c r="X632" s="360" t="n"/>
      <c r="Y632" s="360" t="inlineStr">
        <is>
          <t>ហូលីដេ ឌីហ្សាញ (ខេមបូឌា) ឯ.ក</t>
        </is>
      </c>
      <c r="Z632" s="362" t="n"/>
      <c r="AA632" s="362" t="n"/>
      <c r="AB632" s="360" t="n"/>
      <c r="AC632" s="360" t="n"/>
      <c r="AD632" s="362" t="n">
        <v>406705</v>
      </c>
      <c r="AE632" s="360" t="n"/>
      <c r="AF632" s="615" t="n"/>
      <c r="AN632" s="203" t="inlineStr">
        <is>
          <t>Truking / Service</t>
        </is>
      </c>
    </row>
    <row r="633">
      <c r="A633" s="220">
        <f>A632+1</f>
        <v/>
      </c>
      <c r="B633" s="222" t="inlineStr">
        <is>
          <t>Lift-Off-Ex</t>
        </is>
      </c>
      <c r="C633" s="222" t="inlineStr">
        <is>
          <t>PHNOM PENH AUTONOMOUS PORT "PPAP"</t>
        </is>
      </c>
      <c r="D633" s="223" t="inlineStr">
        <is>
          <t>L001-100044999</t>
        </is>
      </c>
      <c r="E633" s="349" t="inlineStr">
        <is>
          <t>INV20250541412</t>
        </is>
      </c>
      <c r="F633" s="332" t="n">
        <v>45803</v>
      </c>
      <c r="G633" s="224" t="n"/>
      <c r="H633" s="617" t="n"/>
      <c r="I633" s="617" t="n">
        <v>28014</v>
      </c>
      <c r="J633" s="221" t="inlineStr">
        <is>
          <t>អនុញ្ញាត (បានប្រកាស)</t>
        </is>
      </c>
      <c r="K633" s="618" t="n"/>
      <c r="L633" s="616">
        <f>I633</f>
        <v/>
      </c>
      <c r="M633" s="588">
        <f>I633-L633</f>
        <v/>
      </c>
      <c r="N633" s="221" t="n"/>
      <c r="O633" s="226">
        <f>U633=E633</f>
        <v/>
      </c>
      <c r="P633" s="226">
        <f>MONTH(F633)-MONTH(T633)</f>
        <v/>
      </c>
      <c r="Q633" s="226">
        <f>$B$5=X633</f>
        <v/>
      </c>
      <c r="R633" s="226">
        <f>I633-AD633</f>
        <v/>
      </c>
      <c r="S633" s="360" t="n"/>
      <c r="T633" s="361" t="n">
        <v>45803</v>
      </c>
      <c r="U633" s="360" t="inlineStr">
        <is>
          <t>INV20250541412</t>
        </is>
      </c>
      <c r="V633" s="360" t="n">
        <v>0</v>
      </c>
      <c r="W633" s="360" t="inlineStr">
        <is>
          <t>បុគ្គលជាប់អាករ</t>
        </is>
      </c>
      <c r="X633" s="360" t="inlineStr">
        <is>
          <t>L001-901640009</t>
        </is>
      </c>
      <c r="Y633" s="360" t="inlineStr">
        <is>
          <t>ហូលីដេ ឌីហ្សាញ (ខេមបូឌា) ឯ.ក</t>
        </is>
      </c>
      <c r="Z633" s="362" t="n">
        <v>308154</v>
      </c>
      <c r="AA633" s="362" t="n">
        <v>280140</v>
      </c>
      <c r="AB633" s="360" t="n">
        <v>0</v>
      </c>
      <c r="AC633" s="360" t="inlineStr">
        <is>
          <t>-</t>
        </is>
      </c>
      <c r="AD633" s="362" t="n">
        <v>28014</v>
      </c>
      <c r="AE633" s="360" t="n">
        <v>0</v>
      </c>
      <c r="AF633" s="615" t="n">
        <v>0</v>
      </c>
      <c r="AG633" s="203" t="n">
        <v>0</v>
      </c>
      <c r="AH633" s="203" t="n">
        <v>0</v>
      </c>
      <c r="AI633" s="203" t="n">
        <v>0</v>
      </c>
      <c r="AJ633" s="203" t="n">
        <v>0</v>
      </c>
      <c r="AK633" s="203" t="n">
        <v>0</v>
      </c>
      <c r="AL633" s="203" t="n">
        <v>0.01</v>
      </c>
      <c r="AM633" s="203" t="n">
        <v>0</v>
      </c>
      <c r="AN633" s="203" t="inlineStr">
        <is>
          <t>ចំណូលពីសេវាកម្ម (លើកដាក់ទំនិញ)</t>
        </is>
      </c>
    </row>
    <row r="634">
      <c r="A634" s="220">
        <f>A633+1</f>
        <v/>
      </c>
      <c r="B634" s="222" t="inlineStr">
        <is>
          <t>Trucking &amp; Clearance-Ex</t>
        </is>
      </c>
      <c r="C634" s="222" t="inlineStr">
        <is>
          <t>BRILLIANT TRANSPORT AND TRADING Co., Ltd.</t>
        </is>
      </c>
      <c r="D634" s="223" t="inlineStr">
        <is>
          <t>K002-100089305</t>
        </is>
      </c>
      <c r="E634" s="349" t="inlineStr">
        <is>
          <t>BTT25-0001111</t>
        </is>
      </c>
      <c r="F634" s="332" t="n">
        <v>45800</v>
      </c>
      <c r="G634" s="224" t="n"/>
      <c r="H634" s="617" t="n"/>
      <c r="I634" s="617" t="n">
        <v>586039</v>
      </c>
      <c r="J634" s="221" t="inlineStr">
        <is>
          <t>អនុញ្ញាត (បានប្រកាស)</t>
        </is>
      </c>
      <c r="K634" s="618" t="n"/>
      <c r="L634" s="616">
        <f>I634</f>
        <v/>
      </c>
      <c r="M634" s="588">
        <f>I634-L634</f>
        <v/>
      </c>
      <c r="N634" s="221" t="n"/>
      <c r="O634" s="226">
        <f>U634=E634</f>
        <v/>
      </c>
      <c r="P634" s="226">
        <f>MONTH(F634)-MONTH(T634)</f>
        <v/>
      </c>
      <c r="Q634" s="226">
        <f>$B$5=X634</f>
        <v/>
      </c>
      <c r="R634" s="226">
        <f>I634-AD634</f>
        <v/>
      </c>
      <c r="S634" s="360" t="n"/>
      <c r="T634" s="361" t="n">
        <v>45800</v>
      </c>
      <c r="U634" s="360" t="inlineStr">
        <is>
          <t>BTT25-0001111</t>
        </is>
      </c>
      <c r="V634" s="360" t="n"/>
      <c r="W634" s="360" t="n"/>
      <c r="X634" s="360" t="n"/>
      <c r="Y634" s="360" t="inlineStr">
        <is>
          <t>ហូលីដេ ឌីហ្សាញ (ខេមបូឌា) ឯ.ក</t>
        </is>
      </c>
      <c r="Z634" s="362" t="n"/>
      <c r="AA634" s="362" t="n"/>
      <c r="AB634" s="360" t="n"/>
      <c r="AC634" s="360" t="n"/>
      <c r="AD634" s="362" t="n">
        <v>586039</v>
      </c>
      <c r="AE634" s="360" t="n"/>
      <c r="AF634" s="615" t="n"/>
      <c r="AN634" s="203" t="inlineStr">
        <is>
          <t>Truking / Service</t>
        </is>
      </c>
    </row>
    <row r="635" ht="23.4" customHeight="1" s="397" thickBot="1">
      <c r="A635" s="220">
        <f>A634+1</f>
        <v/>
      </c>
      <c r="B635" s="222" t="inlineStr">
        <is>
          <t>Trucking &amp; Clearance-Ex</t>
        </is>
      </c>
      <c r="C635" s="222" t="inlineStr">
        <is>
          <t>BRILLIANT TRANSPORT AND TRADING Co., Ltd.</t>
        </is>
      </c>
      <c r="D635" s="223" t="inlineStr">
        <is>
          <t>K002-100089305</t>
        </is>
      </c>
      <c r="E635" s="349" t="inlineStr">
        <is>
          <t>BTT25-0001113</t>
        </is>
      </c>
      <c r="F635" s="332" t="n">
        <v>45800</v>
      </c>
      <c r="G635" s="224" t="n"/>
      <c r="H635" s="617" t="n"/>
      <c r="I635" s="617" t="n">
        <v>203352</v>
      </c>
      <c r="J635" s="221" t="inlineStr">
        <is>
          <t>អនុញ្ញាត (បានប្រកាស)</t>
        </is>
      </c>
      <c r="K635" s="618" t="n"/>
      <c r="L635" s="616">
        <f>I635</f>
        <v/>
      </c>
      <c r="M635" s="588">
        <f>I635-L635</f>
        <v/>
      </c>
      <c r="N635" s="221" t="n"/>
      <c r="O635" s="226">
        <f>U635=E635</f>
        <v/>
      </c>
      <c r="P635" s="226">
        <f>MONTH(F635)-MONTH(T635)</f>
        <v/>
      </c>
      <c r="Q635" s="226">
        <f>$B$5=X635</f>
        <v/>
      </c>
      <c r="R635" s="226">
        <f>I635-AD635</f>
        <v/>
      </c>
      <c r="S635" s="360" t="n"/>
      <c r="T635" s="361" t="n">
        <v>45800</v>
      </c>
      <c r="U635" s="360" t="inlineStr">
        <is>
          <t>BTT25-0001113</t>
        </is>
      </c>
      <c r="V635" s="360" t="n"/>
      <c r="W635" s="360" t="n"/>
      <c r="X635" s="360" t="n"/>
      <c r="Y635" s="360" t="inlineStr">
        <is>
          <t>ហូលីដេ ឌីហ្សាញ (ខេមបូឌា) ឯ.ក</t>
        </is>
      </c>
      <c r="Z635" s="362" t="n"/>
      <c r="AA635" s="362" t="n"/>
      <c r="AB635" s="360" t="n"/>
      <c r="AC635" s="360" t="n"/>
      <c r="AD635" s="362" t="n">
        <v>203352</v>
      </c>
      <c r="AE635" s="360" t="n"/>
      <c r="AF635" s="615" t="n"/>
      <c r="AN635" s="203" t="inlineStr">
        <is>
          <t>Truking / Service</t>
        </is>
      </c>
    </row>
    <row r="636" ht="23.4" customHeight="1" s="397" thickBot="1">
      <c r="A636" s="220">
        <f>A635+1</f>
        <v/>
      </c>
      <c r="B636" s="222" t="inlineStr">
        <is>
          <t>Lift-Off-Ex</t>
        </is>
      </c>
      <c r="C636" s="222" t="inlineStr">
        <is>
          <t>PHNOM PENH AUTONOMOUS PORT "PPAP"</t>
        </is>
      </c>
      <c r="D636" s="223" t="inlineStr">
        <is>
          <t>L001-100044999</t>
        </is>
      </c>
      <c r="E636" s="349" t="inlineStr">
        <is>
          <t>INV20250541411</t>
        </is>
      </c>
      <c r="F636" s="332" t="n">
        <v>45803</v>
      </c>
      <c r="G636" s="224" t="n"/>
      <c r="H636" s="617" t="n"/>
      <c r="I636" s="617" t="n">
        <v>280140</v>
      </c>
      <c r="J636" s="221" t="inlineStr">
        <is>
          <t>អនុញ្ញាត (បានប្រកាស)</t>
        </is>
      </c>
      <c r="K636" s="618" t="n"/>
      <c r="L636" s="616">
        <f>I636</f>
        <v/>
      </c>
      <c r="M636" s="588">
        <f>I636-L636</f>
        <v/>
      </c>
      <c r="N636" s="221" t="n"/>
      <c r="O636" s="226">
        <f>U636=E636</f>
        <v/>
      </c>
      <c r="P636" s="226">
        <f>MONTH(F636)-MONTH(T636)</f>
        <v/>
      </c>
      <c r="Q636" s="226">
        <f>$B$5=X636</f>
        <v/>
      </c>
      <c r="R636" s="226">
        <f>I636-AD636</f>
        <v/>
      </c>
      <c r="S636" s="360" t="n"/>
      <c r="T636" s="367" t="n">
        <v>45803</v>
      </c>
      <c r="U636" s="368" t="inlineStr">
        <is>
          <t>INV20250541411</t>
        </is>
      </c>
      <c r="V636" s="368" t="n">
        <v>0</v>
      </c>
      <c r="W636" s="368" t="inlineStr">
        <is>
          <t>បុគ្គលជាប់អាករ</t>
        </is>
      </c>
      <c r="X636" s="369" t="inlineStr">
        <is>
          <t>L001-901640009</t>
        </is>
      </c>
      <c r="Y636" s="370" t="inlineStr">
        <is>
          <t>ហូលីដេ ឌីហ្សាញ (ខេមបូឌា) ឯ.ក</t>
        </is>
      </c>
      <c r="Z636" s="371" t="n">
        <v>3081540</v>
      </c>
      <c r="AA636" s="371" t="n">
        <v>2801400</v>
      </c>
      <c r="AB636" s="371" t="n">
        <v>0</v>
      </c>
      <c r="AC636" s="372" t="inlineStr">
        <is>
          <t>-</t>
        </is>
      </c>
      <c r="AD636" s="371" t="n">
        <v>280140</v>
      </c>
      <c r="AE636" s="371" t="n">
        <v>0</v>
      </c>
      <c r="AF636" s="371" t="n">
        <v>0</v>
      </c>
      <c r="AG636" s="371" t="n">
        <v>0</v>
      </c>
      <c r="AH636" s="371" t="n">
        <v>0</v>
      </c>
      <c r="AI636" s="371" t="n">
        <v>0</v>
      </c>
      <c r="AJ636" s="371" t="n">
        <v>0</v>
      </c>
      <c r="AK636" s="371" t="n">
        <v>0</v>
      </c>
      <c r="AL636" s="373" t="n">
        <v>0.01</v>
      </c>
      <c r="AM636" s="372" t="n">
        <v>0</v>
      </c>
      <c r="AN636" s="370" t="inlineStr">
        <is>
          <t>ចំណូលពីសេវាកម្ម (លើកដាក់ទំនិញ)</t>
        </is>
      </c>
    </row>
    <row r="637">
      <c r="A637" s="220">
        <f>A636+1</f>
        <v/>
      </c>
      <c r="B637" s="222" t="inlineStr">
        <is>
          <t>Trucking &amp; Clearance-Ex</t>
        </is>
      </c>
      <c r="C637" s="222" t="inlineStr">
        <is>
          <t>BRILLIANT TRANSPORT AND TRADING Co., Ltd.</t>
        </is>
      </c>
      <c r="D637" s="223" t="inlineStr">
        <is>
          <t>K002-100089305</t>
        </is>
      </c>
      <c r="E637" s="349" t="inlineStr">
        <is>
          <t>BTT25-0001112</t>
        </is>
      </c>
      <c r="F637" s="332" t="n">
        <v>45800</v>
      </c>
      <c r="G637" s="224" t="n"/>
      <c r="H637" s="617" t="n"/>
      <c r="I637" s="617" t="n">
        <v>2093569</v>
      </c>
      <c r="J637" s="221" t="inlineStr">
        <is>
          <t>អនុញ្ញាត (បានប្រកាស)</t>
        </is>
      </c>
      <c r="K637" s="618" t="n"/>
      <c r="L637" s="616">
        <f>I637</f>
        <v/>
      </c>
      <c r="M637" s="588">
        <f>I637-L637</f>
        <v/>
      </c>
      <c r="N637" s="221" t="n"/>
      <c r="O637" s="226">
        <f>U637=E637</f>
        <v/>
      </c>
      <c r="P637" s="226">
        <f>MONTH(F637)-MONTH(T637)</f>
        <v/>
      </c>
      <c r="Q637" s="226">
        <f>$B$5=X637</f>
        <v/>
      </c>
      <c r="R637" s="226">
        <f>I637-AD637</f>
        <v/>
      </c>
      <c r="S637" s="360" t="n"/>
      <c r="T637" s="361" t="n">
        <v>45800</v>
      </c>
      <c r="U637" s="360" t="inlineStr">
        <is>
          <t>BTT25-0001112</t>
        </is>
      </c>
      <c r="V637" s="360" t="n"/>
      <c r="W637" s="360" t="n"/>
      <c r="X637" s="360" t="n"/>
      <c r="Y637" s="360" t="inlineStr">
        <is>
          <t>ហូលីដេ ឌីហ្សាញ (ខេមបូឌា) ឯ.ក</t>
        </is>
      </c>
      <c r="Z637" s="362" t="n"/>
      <c r="AA637" s="362" t="n"/>
      <c r="AB637" s="360" t="n"/>
      <c r="AC637" s="360" t="n"/>
      <c r="AD637" s="362" t="n">
        <v>2093569</v>
      </c>
      <c r="AE637" s="360" t="n"/>
      <c r="AF637" s="615" t="n"/>
      <c r="AN637" s="203" t="inlineStr">
        <is>
          <t>Truking / Service</t>
        </is>
      </c>
    </row>
    <row r="638">
      <c r="A638" s="220">
        <f>A637+1</f>
        <v/>
      </c>
      <c r="B638" s="222" t="inlineStr">
        <is>
          <t>Lift-Off-Ex</t>
        </is>
      </c>
      <c r="C638" s="222" t="inlineStr">
        <is>
          <t>Port Autonome Du Sihanoukville</t>
        </is>
      </c>
      <c r="D638" s="223" t="inlineStr">
        <is>
          <t>L001-100044638</t>
        </is>
      </c>
      <c r="E638" s="349" t="n">
        <v>202500120022</v>
      </c>
      <c r="F638" s="332" t="n">
        <v>45800</v>
      </c>
      <c r="G638" s="224" t="n"/>
      <c r="H638" s="617" t="n"/>
      <c r="I638" s="617" t="n">
        <v>20415</v>
      </c>
      <c r="J638" s="221" t="inlineStr">
        <is>
          <t>អនុញ្ញាត (បានប្រកាស)</t>
        </is>
      </c>
      <c r="K638" s="618" t="n"/>
      <c r="L638" s="616">
        <f>I638</f>
        <v/>
      </c>
      <c r="M638" s="588">
        <f>I638-L638</f>
        <v/>
      </c>
      <c r="N638" s="221" t="n"/>
      <c r="O638" s="226">
        <f>U638=E638</f>
        <v/>
      </c>
      <c r="P638" s="226">
        <f>MONTH(F638)-MONTH(T638)</f>
        <v/>
      </c>
      <c r="Q638" s="226">
        <f>$B$5=X638</f>
        <v/>
      </c>
      <c r="R638" s="226">
        <f>I638-AD638</f>
        <v/>
      </c>
      <c r="S638" s="360" t="n"/>
      <c r="T638" s="363" t="n">
        <v>45800</v>
      </c>
      <c r="U638" s="360" t="n">
        <v>202500120022</v>
      </c>
      <c r="V638" s="360" t="n"/>
      <c r="W638" s="360" t="inlineStr">
        <is>
          <t>បុគ្គលជាប់អាករ</t>
        </is>
      </c>
      <c r="X638" s="360" t="inlineStr">
        <is>
          <t>L001-901640009</t>
        </is>
      </c>
      <c r="Y638" s="360" t="inlineStr">
        <is>
          <t>ហូលីដេ ឌីហ្សាញ (ខេមបូឌា) ឯ.ក</t>
        </is>
      </c>
      <c r="Z638" s="362" t="n">
        <v>224568</v>
      </c>
      <c r="AA638" s="362" t="n">
        <v>204153</v>
      </c>
      <c r="AB638" s="360" t="n">
        <v>0</v>
      </c>
      <c r="AC638" s="360" t="inlineStr">
        <is>
          <t>-</t>
        </is>
      </c>
      <c r="AD638" s="362" t="n">
        <v>20415</v>
      </c>
      <c r="AE638" s="360" t="n"/>
      <c r="AF638" s="615" t="n"/>
    </row>
    <row r="639" ht="23.4" customHeight="1" s="397" thickBot="1">
      <c r="A639" s="220">
        <f>A638+1</f>
        <v/>
      </c>
      <c r="B639" s="222" t="inlineStr">
        <is>
          <t>Lift-Off-Ex</t>
        </is>
      </c>
      <c r="C639" s="222" t="inlineStr">
        <is>
          <t>Port Autonome Du Sihanoukville</t>
        </is>
      </c>
      <c r="D639" s="223" t="inlineStr">
        <is>
          <t>L001-100044638</t>
        </is>
      </c>
      <c r="E639" s="349" t="n">
        <v>202500120026</v>
      </c>
      <c r="F639" s="332" t="n">
        <v>45800</v>
      </c>
      <c r="G639" s="224" t="n"/>
      <c r="H639" s="617" t="n"/>
      <c r="I639" s="617" t="n">
        <v>6805</v>
      </c>
      <c r="J639" s="221" t="inlineStr">
        <is>
          <t>អនុញ្ញាត (បានប្រកាស)</t>
        </is>
      </c>
      <c r="K639" s="618" t="n"/>
      <c r="L639" s="616">
        <f>I639</f>
        <v/>
      </c>
      <c r="M639" s="588">
        <f>I639-L639</f>
        <v/>
      </c>
      <c r="N639" s="221" t="n"/>
      <c r="O639" s="226">
        <f>U639=E639</f>
        <v/>
      </c>
      <c r="P639" s="226">
        <f>MONTH(F639)-MONTH(T639)</f>
        <v/>
      </c>
      <c r="Q639" s="226">
        <f>$B$5=X639</f>
        <v/>
      </c>
      <c r="R639" s="226">
        <f>I639-AD639</f>
        <v/>
      </c>
      <c r="S639" s="360" t="n"/>
      <c r="T639" s="361" t="n">
        <v>45800</v>
      </c>
      <c r="U639" s="360" t="n">
        <v>202500120026</v>
      </c>
      <c r="V639" s="360" t="n"/>
      <c r="W639" s="360" t="inlineStr">
        <is>
          <t>បុគ្គលជាប់អាករ</t>
        </is>
      </c>
      <c r="X639" s="360" t="inlineStr">
        <is>
          <t>L001-901640009</t>
        </is>
      </c>
      <c r="Y639" s="360" t="inlineStr">
        <is>
          <t>ហូលីដេ ឌីហ្សាញ (ខេមបូឌា) ឯ.ក</t>
        </is>
      </c>
      <c r="Z639" s="362" t="n">
        <v>74856</v>
      </c>
      <c r="AA639" s="362" t="n">
        <v>68051</v>
      </c>
      <c r="AB639" s="360" t="n">
        <v>0</v>
      </c>
      <c r="AC639" s="360" t="inlineStr">
        <is>
          <t>-</t>
        </is>
      </c>
      <c r="AD639" s="362" t="n">
        <v>6805</v>
      </c>
      <c r="AE639" s="360" t="n">
        <v>0</v>
      </c>
      <c r="AF639" s="615" t="n"/>
    </row>
    <row r="640" ht="23.4" customHeight="1" s="397" thickBot="1">
      <c r="A640" s="220">
        <f>A639+1</f>
        <v/>
      </c>
      <c r="B640" s="222" t="inlineStr">
        <is>
          <t>Trucking &amp; Clearance-Ex</t>
        </is>
      </c>
      <c r="C640" s="222" t="inlineStr">
        <is>
          <t>WANAKA LOGISTICS CO., LTD.</t>
        </is>
      </c>
      <c r="D640" s="223" t="inlineStr">
        <is>
          <t>K005-901907953</t>
        </is>
      </c>
      <c r="E640" s="349" t="inlineStr">
        <is>
          <t>WL25-001897</t>
        </is>
      </c>
      <c r="F640" s="332" t="n">
        <v>45805</v>
      </c>
      <c r="G640" s="224" t="n"/>
      <c r="H640" s="617" t="n"/>
      <c r="I640" s="617" t="n">
        <v>156117</v>
      </c>
      <c r="J640" s="221" t="inlineStr">
        <is>
          <t>អនុញ្ញាត (បានប្រកាស)</t>
        </is>
      </c>
      <c r="K640" s="618" t="n"/>
      <c r="L640" s="616">
        <f>I640</f>
        <v/>
      </c>
      <c r="M640" s="588">
        <f>I640-L640</f>
        <v/>
      </c>
      <c r="N640" s="221" t="n"/>
      <c r="O640" s="226">
        <f>U640=E640</f>
        <v/>
      </c>
      <c r="P640" s="226">
        <f>MONTH(F640)-MONTH(T640)</f>
        <v/>
      </c>
      <c r="Q640" s="226">
        <f>$B$5=X640</f>
        <v/>
      </c>
      <c r="R640" s="226">
        <f>I640-AD640</f>
        <v/>
      </c>
      <c r="S640" s="360" t="n"/>
      <c r="T640" s="367" t="n">
        <v>45805</v>
      </c>
      <c r="U640" s="368" t="inlineStr">
        <is>
          <t>WL25-001897</t>
        </is>
      </c>
      <c r="V640" s="368" t="n"/>
      <c r="W640" s="368" t="n"/>
      <c r="X640" s="369" t="n"/>
      <c r="Y640" s="370" t="inlineStr">
        <is>
          <t>ហូលីដេ ឌីហ្សាញ (ខេមបូឌា) ឯ.ក</t>
        </is>
      </c>
      <c r="Z640" s="371" t="n"/>
      <c r="AA640" s="371" t="n"/>
      <c r="AB640" s="371" t="n"/>
      <c r="AC640" s="372" t="n"/>
      <c r="AD640" s="371" t="n">
        <v>156117</v>
      </c>
      <c r="AE640" s="371" t="n"/>
      <c r="AF640" s="371" t="n"/>
      <c r="AG640" s="371" t="n"/>
      <c r="AH640" s="371" t="n"/>
      <c r="AI640" s="371" t="n"/>
      <c r="AJ640" s="371" t="n"/>
      <c r="AK640" s="371" t="n"/>
      <c r="AL640" s="373" t="n"/>
      <c r="AM640" s="372" t="n"/>
      <c r="AN640" s="370" t="n"/>
    </row>
    <row r="641">
      <c r="A641" s="220">
        <f>A640+1</f>
        <v/>
      </c>
      <c r="B641" s="222" t="inlineStr">
        <is>
          <t>Lift-Off-Ex</t>
        </is>
      </c>
      <c r="C641" s="222" t="inlineStr">
        <is>
          <t>PHNOM PENH AUTONOMOUS PORT "PPAP"</t>
        </is>
      </c>
      <c r="D641" s="223" t="inlineStr">
        <is>
          <t>L001-100044999</t>
        </is>
      </c>
      <c r="E641" s="349" t="inlineStr">
        <is>
          <t>INV20250542478</t>
        </is>
      </c>
      <c r="F641" s="332" t="n">
        <v>45805</v>
      </c>
      <c r="G641" s="224" t="n"/>
      <c r="H641" s="617" t="n"/>
      <c r="I641" s="617" t="n">
        <v>28021</v>
      </c>
      <c r="J641" s="221" t="inlineStr">
        <is>
          <t>អនុញ្ញាត (បានប្រកាស)</t>
        </is>
      </c>
      <c r="K641" s="618" t="n"/>
      <c r="L641" s="616">
        <f>I641</f>
        <v/>
      </c>
      <c r="M641" s="588">
        <f>I641-L641</f>
        <v/>
      </c>
      <c r="N641" s="221" t="n"/>
      <c r="O641" s="226">
        <f>U641=E641</f>
        <v/>
      </c>
      <c r="P641" s="226">
        <f>MONTH(F641)-MONTH(T641)</f>
        <v/>
      </c>
      <c r="Q641" s="226">
        <f>$B$5=X641</f>
        <v/>
      </c>
      <c r="R641" s="226">
        <f>I641-AD641</f>
        <v/>
      </c>
      <c r="S641" s="360" t="n"/>
      <c r="T641" s="361" t="n">
        <v>45805</v>
      </c>
      <c r="U641" s="360" t="inlineStr">
        <is>
          <t>INV20250542478</t>
        </is>
      </c>
      <c r="V641" s="360" t="n">
        <v>0</v>
      </c>
      <c r="W641" s="360" t="inlineStr">
        <is>
          <t>បុគ្គលជាប់អាករ</t>
        </is>
      </c>
      <c r="X641" s="360" t="inlineStr">
        <is>
          <t>L001-901640009</t>
        </is>
      </c>
      <c r="Y641" s="360" t="inlineStr">
        <is>
          <t>ហូលីដេ ឌីហ្សាញ (ខេមបូឌា) ឯ.ក</t>
        </is>
      </c>
      <c r="Z641" s="362" t="n">
        <v>308231</v>
      </c>
      <c r="AA641" s="362" t="n">
        <v>280210</v>
      </c>
      <c r="AB641" s="360" t="n">
        <v>0</v>
      </c>
      <c r="AC641" s="360" t="inlineStr">
        <is>
          <t>-</t>
        </is>
      </c>
      <c r="AD641" s="362" t="n">
        <v>28021</v>
      </c>
      <c r="AE641" s="360" t="n">
        <v>0</v>
      </c>
      <c r="AF641" s="615" t="n">
        <v>0</v>
      </c>
      <c r="AG641" s="203" t="n">
        <v>0</v>
      </c>
      <c r="AH641" s="203" t="n">
        <v>0</v>
      </c>
      <c r="AI641" s="203" t="n">
        <v>0</v>
      </c>
      <c r="AJ641" s="203" t="n">
        <v>0</v>
      </c>
      <c r="AK641" s="203" t="n">
        <v>0</v>
      </c>
      <c r="AL641" s="203" t="n">
        <v>0.01</v>
      </c>
      <c r="AM641" s="203" t="n">
        <v>0</v>
      </c>
      <c r="AN641" s="203" t="inlineStr">
        <is>
          <t>ចំណូលពីសេវាកម្ម (លើកដាក់ទំនិញ)</t>
        </is>
      </c>
    </row>
    <row r="642">
      <c r="A642" s="220">
        <f>A641+1</f>
        <v/>
      </c>
      <c r="B642" s="222" t="inlineStr">
        <is>
          <t>Trucking &amp; Clearance-Ex</t>
        </is>
      </c>
      <c r="C642" s="222" t="inlineStr">
        <is>
          <t>KR GLOBAL LOGISTICS CO., LTD.</t>
        </is>
      </c>
      <c r="D642" s="223" t="inlineStr">
        <is>
          <t>K005-902004162</t>
        </is>
      </c>
      <c r="E642" s="349" t="inlineStr">
        <is>
          <t>KR252617</t>
        </is>
      </c>
      <c r="F642" s="332" t="n">
        <v>45807</v>
      </c>
      <c r="G642" s="224" t="n"/>
      <c r="H642" s="617" t="n"/>
      <c r="I642" s="617" t="n">
        <v>839849</v>
      </c>
      <c r="J642" s="221" t="inlineStr">
        <is>
          <t>អនុញ្ញាត (បានប្រកាស)</t>
        </is>
      </c>
      <c r="K642" s="618" t="n"/>
      <c r="L642" s="616">
        <f>I642</f>
        <v/>
      </c>
      <c r="M642" s="588">
        <f>I642-L642</f>
        <v/>
      </c>
      <c r="N642" s="221" t="n"/>
      <c r="O642" s="226">
        <f>U642=E642</f>
        <v/>
      </c>
      <c r="P642" s="226">
        <f>MONTH(F642)-MONTH(T642)</f>
        <v/>
      </c>
      <c r="Q642" s="226">
        <f>$B$5=X642</f>
        <v/>
      </c>
      <c r="R642" s="226">
        <f>I642-AD642</f>
        <v/>
      </c>
      <c r="S642" s="360" t="n"/>
      <c r="T642" s="361" t="n">
        <v>45807</v>
      </c>
      <c r="U642" s="360" t="inlineStr">
        <is>
          <t>KR252617</t>
        </is>
      </c>
      <c r="V642" s="360" t="n"/>
      <c r="W642" s="360" t="n"/>
      <c r="X642" s="360" t="n"/>
      <c r="Y642" s="360" t="inlineStr">
        <is>
          <t>ហូលីដេ ឌីហ្សាញ (ខេមបូឌា) ឯ.ក</t>
        </is>
      </c>
      <c r="Z642" s="362" t="n"/>
      <c r="AA642" s="362" t="n"/>
      <c r="AB642" s="360" t="n"/>
      <c r="AC642" s="360" t="n"/>
      <c r="AD642" s="362" t="n">
        <v>839849</v>
      </c>
      <c r="AE642" s="360" t="n"/>
      <c r="AF642" s="615" t="n"/>
    </row>
    <row r="643">
      <c r="A643" s="220">
        <f>A642+1</f>
        <v/>
      </c>
      <c r="B643" s="222" t="inlineStr">
        <is>
          <t>Trucking &amp; Clearance-Ex</t>
        </is>
      </c>
      <c r="C643" s="222" t="inlineStr">
        <is>
          <t>KR GLOBAL LOGISTICS CO., LTD.</t>
        </is>
      </c>
      <c r="D643" s="223" t="inlineStr">
        <is>
          <t>K005-902004162</t>
        </is>
      </c>
      <c r="E643" s="349" t="inlineStr">
        <is>
          <t>KR252616</t>
        </is>
      </c>
      <c r="F643" s="332" t="n">
        <v>45807</v>
      </c>
      <c r="G643" s="224" t="n"/>
      <c r="H643" s="617" t="n"/>
      <c r="I643" s="617" t="n">
        <v>169412</v>
      </c>
      <c r="J643" s="221" t="inlineStr">
        <is>
          <t>អនុញ្ញាត (បានប្រកាស)</t>
        </is>
      </c>
      <c r="K643" s="618" t="n"/>
      <c r="L643" s="616">
        <f>I643</f>
        <v/>
      </c>
      <c r="M643" s="588">
        <f>I643-L643</f>
        <v/>
      </c>
      <c r="N643" s="221" t="n"/>
      <c r="O643" s="226">
        <f>U643=E643</f>
        <v/>
      </c>
      <c r="P643" s="226">
        <f>MONTH(F643)-MONTH(T643)</f>
        <v/>
      </c>
      <c r="Q643" s="226">
        <f>$B$5=X643</f>
        <v/>
      </c>
      <c r="R643" s="226">
        <f>I643-AD643</f>
        <v/>
      </c>
      <c r="S643" s="360" t="n"/>
      <c r="T643" s="361" t="n">
        <v>45807</v>
      </c>
      <c r="U643" s="360" t="inlineStr">
        <is>
          <t>KR252616</t>
        </is>
      </c>
      <c r="V643" s="360" t="n"/>
      <c r="W643" s="360" t="n"/>
      <c r="X643" s="360" t="n"/>
      <c r="Y643" s="360" t="inlineStr">
        <is>
          <t>ហូលីដេ ឌីហ្សាញ (ខេមបូឌា) ឯ.ក</t>
        </is>
      </c>
      <c r="Z643" s="362" t="n"/>
      <c r="AA643" s="362" t="n"/>
      <c r="AB643" s="360" t="n"/>
      <c r="AC643" s="360" t="n"/>
      <c r="AD643" s="362" t="n">
        <v>169412</v>
      </c>
      <c r="AE643" s="360" t="n"/>
      <c r="AF643" s="615" t="n"/>
    </row>
    <row r="644">
      <c r="A644" s="220">
        <f>A643+1</f>
        <v/>
      </c>
      <c r="B644" s="222" t="inlineStr">
        <is>
          <t>Trucking &amp; Clearance-Ex</t>
        </is>
      </c>
      <c r="C644" s="222" t="inlineStr">
        <is>
          <t>KR GLOBAL LOGISTICS CO., LTD.</t>
        </is>
      </c>
      <c r="D644" s="223" t="inlineStr">
        <is>
          <t>K005-902004162</t>
        </is>
      </c>
      <c r="E644" s="349" t="inlineStr">
        <is>
          <t>KR252615</t>
        </is>
      </c>
      <c r="F644" s="332" t="n">
        <v>45807</v>
      </c>
      <c r="G644" s="224" t="n"/>
      <c r="H644" s="617" t="n"/>
      <c r="I644" s="617" t="n">
        <v>673441</v>
      </c>
      <c r="J644" s="221" t="inlineStr">
        <is>
          <t>អនុញ្ញាត (បានប្រកាស)</t>
        </is>
      </c>
      <c r="K644" s="618" t="n"/>
      <c r="L644" s="616">
        <f>I644</f>
        <v/>
      </c>
      <c r="M644" s="588">
        <f>I644-L644</f>
        <v/>
      </c>
      <c r="N644" s="221" t="n"/>
      <c r="O644" s="226">
        <f>U644=E644</f>
        <v/>
      </c>
      <c r="P644" s="226">
        <f>MONTH(F644)-MONTH(T644)</f>
        <v/>
      </c>
      <c r="Q644" s="226">
        <f>$B$5=X644</f>
        <v/>
      </c>
      <c r="R644" s="226">
        <f>I644-AD644</f>
        <v/>
      </c>
      <c r="S644" s="360" t="n"/>
      <c r="T644" s="361" t="n">
        <v>45807</v>
      </c>
      <c r="U644" s="360" t="inlineStr">
        <is>
          <t>KR252615</t>
        </is>
      </c>
      <c r="V644" s="360" t="n"/>
      <c r="W644" s="360" t="n"/>
      <c r="X644" s="360" t="n"/>
      <c r="Y644" s="360" t="inlineStr">
        <is>
          <t>ហូលីដេ ឌីហ្សាញ (ខេមបូឌា) ឯ.ក</t>
        </is>
      </c>
      <c r="Z644" s="362" t="n"/>
      <c r="AA644" s="362" t="n"/>
      <c r="AB644" s="360" t="n"/>
      <c r="AC644" s="360" t="n"/>
      <c r="AD644" s="362" t="n">
        <v>673441</v>
      </c>
      <c r="AE644" s="360" t="n"/>
      <c r="AF644" s="615" t="n"/>
    </row>
    <row r="645">
      <c r="A645" s="220">
        <f>A644+1</f>
        <v/>
      </c>
      <c r="B645" s="222" t="inlineStr">
        <is>
          <t>Trucking &amp; Clearance-Ex</t>
        </is>
      </c>
      <c r="C645" s="222" t="inlineStr">
        <is>
          <t>KR GLOBAL LOGISTICS CO., LTD.</t>
        </is>
      </c>
      <c r="D645" s="223" t="inlineStr">
        <is>
          <t>K005-902004162</t>
        </is>
      </c>
      <c r="E645" s="349" t="inlineStr">
        <is>
          <t>KR252614</t>
        </is>
      </c>
      <c r="F645" s="332" t="n">
        <v>45807</v>
      </c>
      <c r="G645" s="224" t="n"/>
      <c r="H645" s="617" t="n"/>
      <c r="I645" s="617" t="n">
        <v>678848</v>
      </c>
      <c r="J645" s="221" t="inlineStr">
        <is>
          <t>អនុញ្ញាត (បានប្រកាស)</t>
        </is>
      </c>
      <c r="K645" s="618" t="n"/>
      <c r="L645" s="616">
        <f>I645</f>
        <v/>
      </c>
      <c r="M645" s="588">
        <f>I645-L645</f>
        <v/>
      </c>
      <c r="N645" s="221" t="n"/>
      <c r="O645" s="226">
        <f>U645=E645</f>
        <v/>
      </c>
      <c r="P645" s="226">
        <f>MONTH(F645)-MONTH(T645)</f>
        <v/>
      </c>
      <c r="Q645" s="226">
        <f>$B$5=X645</f>
        <v/>
      </c>
      <c r="R645" s="226">
        <f>I645-AD645</f>
        <v/>
      </c>
      <c r="S645" s="360" t="n"/>
      <c r="T645" s="361" t="n">
        <v>45807</v>
      </c>
      <c r="U645" s="360" t="inlineStr">
        <is>
          <t>KR252614</t>
        </is>
      </c>
      <c r="V645" s="360" t="n"/>
      <c r="W645" s="360" t="n"/>
      <c r="X645" s="360" t="n"/>
      <c r="Y645" s="360" t="inlineStr">
        <is>
          <t>ហូលីដេ ឌីហ្សាញ (ខេមបូឌា) ឯ.ក</t>
        </is>
      </c>
      <c r="Z645" s="362" t="n"/>
      <c r="AA645" s="362" t="n"/>
      <c r="AB645" s="360" t="n"/>
      <c r="AC645" s="360" t="n"/>
      <c r="AD645" s="362" t="n">
        <v>678848</v>
      </c>
      <c r="AE645" s="360" t="n"/>
      <c r="AF645" s="615" t="n"/>
    </row>
    <row r="646">
      <c r="A646" s="220">
        <f>A645+1</f>
        <v/>
      </c>
      <c r="B646" s="222" t="inlineStr">
        <is>
          <t>Trucking &amp; Clearance-Ex</t>
        </is>
      </c>
      <c r="C646" s="222" t="inlineStr">
        <is>
          <t>KR GLOBAL LOGISTICS CO., LTD.</t>
        </is>
      </c>
      <c r="D646" s="223" t="inlineStr">
        <is>
          <t>K005-902004162</t>
        </is>
      </c>
      <c r="E646" s="349" t="inlineStr">
        <is>
          <t>KR252612</t>
        </is>
      </c>
      <c r="F646" s="332" t="n">
        <v>45807</v>
      </c>
      <c r="G646" s="224" t="n"/>
      <c r="H646" s="617" t="n"/>
      <c r="I646" s="617" t="n">
        <v>210663</v>
      </c>
      <c r="J646" s="221" t="inlineStr">
        <is>
          <t>អនុញ្ញាត (បានប្រកាស)</t>
        </is>
      </c>
      <c r="K646" s="618" t="n"/>
      <c r="L646" s="616">
        <f>I646</f>
        <v/>
      </c>
      <c r="M646" s="588">
        <f>I646-L646</f>
        <v/>
      </c>
      <c r="N646" s="221" t="n"/>
      <c r="O646" s="226">
        <f>U646=E646</f>
        <v/>
      </c>
      <c r="P646" s="226">
        <f>MONTH(F646)-MONTH(T646)</f>
        <v/>
      </c>
      <c r="Q646" s="226">
        <f>$B$5=X646</f>
        <v/>
      </c>
      <c r="R646" s="226">
        <f>I646-AD646</f>
        <v/>
      </c>
      <c r="S646" s="360" t="n"/>
      <c r="T646" s="361" t="n">
        <v>45807</v>
      </c>
      <c r="U646" s="360" t="inlineStr">
        <is>
          <t>KR252612</t>
        </is>
      </c>
      <c r="V646" s="360" t="n"/>
      <c r="W646" s="360" t="n"/>
      <c r="X646" s="360" t="n"/>
      <c r="Y646" s="360" t="inlineStr">
        <is>
          <t>ហូលីដេ ឌីហ្សាញ (ខេមបូឌា) ឯ.ក</t>
        </is>
      </c>
      <c r="Z646" s="362" t="n"/>
      <c r="AA646" s="362" t="n"/>
      <c r="AB646" s="360" t="n"/>
      <c r="AC646" s="360" t="n"/>
      <c r="AD646" s="362" t="n">
        <v>210663</v>
      </c>
      <c r="AE646" s="360" t="n"/>
      <c r="AF646" s="615" t="n"/>
    </row>
    <row r="647">
      <c r="A647" s="220">
        <f>A646+1</f>
        <v/>
      </c>
      <c r="B647" s="222" t="inlineStr">
        <is>
          <t>Lift-Off-Ex</t>
        </is>
      </c>
      <c r="C647" s="222" t="inlineStr">
        <is>
          <t>PHNOM PENH AUTONOMOUS PORT "PPAP"</t>
        </is>
      </c>
      <c r="D647" s="223" t="inlineStr">
        <is>
          <t>L001-100044999</t>
        </is>
      </c>
      <c r="E647" s="349" t="inlineStr">
        <is>
          <t>INV20250541767</t>
        </is>
      </c>
      <c r="F647" s="332" t="n">
        <v>45803</v>
      </c>
      <c r="G647" s="224" t="n"/>
      <c r="H647" s="617" t="n"/>
      <c r="I647" s="617" t="n">
        <v>18409</v>
      </c>
      <c r="J647" s="221" t="inlineStr">
        <is>
          <t>អនុញ្ញាត (បានប្រកាស)</t>
        </is>
      </c>
      <c r="K647" s="618" t="n"/>
      <c r="L647" s="616">
        <f>I647</f>
        <v/>
      </c>
      <c r="M647" s="588">
        <f>I647-L647</f>
        <v/>
      </c>
      <c r="N647" s="221" t="n"/>
      <c r="O647" s="226">
        <f>U647=E647</f>
        <v/>
      </c>
      <c r="P647" s="226">
        <f>MONTH(F647)-MONTH(T647)</f>
        <v/>
      </c>
      <c r="Q647" s="226">
        <f>$B$5=X647</f>
        <v/>
      </c>
      <c r="R647" s="226">
        <f>I647-AD647</f>
        <v/>
      </c>
      <c r="S647" s="360" t="n"/>
      <c r="T647" s="361" t="n">
        <v>45803</v>
      </c>
      <c r="U647" s="360" t="inlineStr">
        <is>
          <t>INV20250541767</t>
        </is>
      </c>
      <c r="V647" s="360" t="n">
        <v>0</v>
      </c>
      <c r="W647" s="360" t="inlineStr">
        <is>
          <t>បុគ្គលជាប់អាករ</t>
        </is>
      </c>
      <c r="X647" s="360" t="inlineStr">
        <is>
          <t>L001-901640009</t>
        </is>
      </c>
      <c r="Y647" s="360" t="inlineStr">
        <is>
          <t>ហូលីដេ ឌីហ្សាញ (ខេមបូឌា) ឯ.ក</t>
        </is>
      </c>
      <c r="Z647" s="362" t="n">
        <v>202499</v>
      </c>
      <c r="AA647" s="362" t="n">
        <v>184090</v>
      </c>
      <c r="AB647" s="360" t="n">
        <v>0</v>
      </c>
      <c r="AC647" s="360" t="inlineStr">
        <is>
          <t>-</t>
        </is>
      </c>
      <c r="AD647" s="362" t="n">
        <v>18409</v>
      </c>
      <c r="AE647" s="360" t="n">
        <v>0</v>
      </c>
      <c r="AF647" s="615" t="n">
        <v>0</v>
      </c>
      <c r="AG647" s="203" t="n">
        <v>0</v>
      </c>
      <c r="AH647" s="203" t="n">
        <v>0</v>
      </c>
      <c r="AI647" s="203" t="n">
        <v>0</v>
      </c>
      <c r="AJ647" s="203" t="n">
        <v>0</v>
      </c>
      <c r="AK647" s="203" t="n">
        <v>0</v>
      </c>
      <c r="AL647" s="203" t="n">
        <v>0.01</v>
      </c>
      <c r="AM647" s="203" t="n">
        <v>0</v>
      </c>
      <c r="AN647" s="203" t="inlineStr">
        <is>
          <t>ចំណូលពីសេវាកម្ម (លើកដាក់ទំនិញ)</t>
        </is>
      </c>
    </row>
    <row r="648">
      <c r="A648" s="220">
        <f>A647+1</f>
        <v/>
      </c>
      <c r="B648" s="222" t="inlineStr">
        <is>
          <t>Trucking &amp; Clearance-Ex</t>
        </is>
      </c>
      <c r="C648" s="222" t="inlineStr">
        <is>
          <t>KR GLOBAL LOGISTICS CO., LTD.</t>
        </is>
      </c>
      <c r="D648" s="223" t="inlineStr">
        <is>
          <t>K005-902004162</t>
        </is>
      </c>
      <c r="E648" s="349" t="inlineStr">
        <is>
          <t>KR252611</t>
        </is>
      </c>
      <c r="F648" s="332" t="n">
        <v>45807</v>
      </c>
      <c r="G648" s="224" t="n"/>
      <c r="H648" s="617" t="n"/>
      <c r="I648" s="617" t="n">
        <v>161402</v>
      </c>
      <c r="J648" s="221" t="inlineStr">
        <is>
          <t>អនុញ្ញាត (បានប្រកាស)</t>
        </is>
      </c>
      <c r="K648" s="618" t="n"/>
      <c r="L648" s="616">
        <f>I648</f>
        <v/>
      </c>
      <c r="M648" s="588">
        <f>I648-L648</f>
        <v/>
      </c>
      <c r="N648" s="221" t="n"/>
      <c r="O648" s="226">
        <f>U648=E648</f>
        <v/>
      </c>
      <c r="P648" s="226">
        <f>MONTH(F648)-MONTH(T648)</f>
        <v/>
      </c>
      <c r="Q648" s="226">
        <f>$B$5=X648</f>
        <v/>
      </c>
      <c r="R648" s="226">
        <f>I648-AD648</f>
        <v/>
      </c>
      <c r="S648" s="360" t="n"/>
      <c r="T648" s="361" t="n">
        <v>45807</v>
      </c>
      <c r="U648" s="360" t="inlineStr">
        <is>
          <t>KR252611</t>
        </is>
      </c>
      <c r="V648" s="360" t="n"/>
      <c r="W648" s="360" t="n"/>
      <c r="X648" s="360" t="n"/>
      <c r="Y648" s="360" t="inlineStr">
        <is>
          <t>ហូលីដេ ឌីហ្សាញ (ខេមបូឌា) ឯ.ក</t>
        </is>
      </c>
      <c r="Z648" s="362" t="n"/>
      <c r="AA648" s="362" t="n"/>
      <c r="AB648" s="360" t="n"/>
      <c r="AC648" s="360" t="n"/>
      <c r="AD648" s="362" t="n">
        <v>161402</v>
      </c>
      <c r="AE648" s="360" t="n"/>
      <c r="AF648" s="615" t="n"/>
    </row>
    <row r="649">
      <c r="A649" s="220">
        <f>A648+1</f>
        <v/>
      </c>
      <c r="B649" s="222" t="inlineStr">
        <is>
          <t>Lift-Off-Ex</t>
        </is>
      </c>
      <c r="C649" s="222" t="inlineStr">
        <is>
          <t>PHNOM PENH AUTONOMOUS PORT "PPAP"</t>
        </is>
      </c>
      <c r="D649" s="223" t="inlineStr">
        <is>
          <t>L001-100044999</t>
        </is>
      </c>
      <c r="E649" s="349" t="inlineStr">
        <is>
          <t>INV20250541766</t>
        </is>
      </c>
      <c r="F649" s="332" t="n">
        <v>45803</v>
      </c>
      <c r="G649" s="224" t="n"/>
      <c r="H649" s="617" t="n"/>
      <c r="I649" s="617" t="n">
        <v>28014</v>
      </c>
      <c r="J649" s="221" t="inlineStr">
        <is>
          <t>អនុញ្ញាត (បានប្រកាស)</t>
        </is>
      </c>
      <c r="K649" s="618" t="n"/>
      <c r="L649" s="616">
        <f>I649</f>
        <v/>
      </c>
      <c r="M649" s="588">
        <f>I649-L649</f>
        <v/>
      </c>
      <c r="N649" s="221" t="n"/>
      <c r="O649" s="226">
        <f>U649=E649</f>
        <v/>
      </c>
      <c r="P649" s="226">
        <f>MONTH(F649)-MONTH(T649)</f>
        <v/>
      </c>
      <c r="Q649" s="226">
        <f>$B$5=X649</f>
        <v/>
      </c>
      <c r="R649" s="226">
        <f>I649-AD649</f>
        <v/>
      </c>
      <c r="S649" s="360" t="n"/>
      <c r="T649" s="361" t="n">
        <v>45803</v>
      </c>
      <c r="U649" s="360" t="inlineStr">
        <is>
          <t>INV20250541766</t>
        </is>
      </c>
      <c r="V649" s="360" t="n">
        <v>0</v>
      </c>
      <c r="W649" s="360" t="inlineStr">
        <is>
          <t>បុគ្គលជាប់អាករ</t>
        </is>
      </c>
      <c r="X649" s="360" t="inlineStr">
        <is>
          <t>L001-901640009</t>
        </is>
      </c>
      <c r="Y649" s="360" t="inlineStr">
        <is>
          <t>ហូលីដេ ឌីហ្សាញ (ខេមបូឌា) ឯ.ក</t>
        </is>
      </c>
      <c r="Z649" s="362" t="n">
        <v>308154</v>
      </c>
      <c r="AA649" s="362" t="n">
        <v>280140</v>
      </c>
      <c r="AB649" s="360" t="n">
        <v>0</v>
      </c>
      <c r="AC649" s="360" t="inlineStr">
        <is>
          <t>-</t>
        </is>
      </c>
      <c r="AD649" s="362" t="n">
        <v>28014</v>
      </c>
      <c r="AE649" s="360" t="n">
        <v>0</v>
      </c>
      <c r="AF649" s="615" t="n">
        <v>0</v>
      </c>
      <c r="AG649" s="203" t="n">
        <v>0</v>
      </c>
      <c r="AH649" s="203" t="n">
        <v>0</v>
      </c>
      <c r="AI649" s="203" t="n">
        <v>0</v>
      </c>
      <c r="AJ649" s="203" t="n">
        <v>0</v>
      </c>
      <c r="AK649" s="203" t="n">
        <v>0</v>
      </c>
      <c r="AL649" s="203" t="n">
        <v>0.01</v>
      </c>
      <c r="AM649" s="203" t="n">
        <v>0</v>
      </c>
      <c r="AN649" s="203" t="inlineStr">
        <is>
          <t>ចំណូលពីសេវាកម្ម (លើកដាក់ទំនិញ)</t>
        </is>
      </c>
    </row>
    <row r="650">
      <c r="A650" s="220">
        <f>A649+1</f>
        <v/>
      </c>
      <c r="B650" s="222" t="inlineStr">
        <is>
          <t>Trucking &amp; Clearance-Ex</t>
        </is>
      </c>
      <c r="C650" s="222" t="inlineStr">
        <is>
          <t>KR GLOBAL LOGISTICS CO., LTD.</t>
        </is>
      </c>
      <c r="D650" s="223" t="inlineStr">
        <is>
          <t>K005-902004162</t>
        </is>
      </c>
      <c r="E650" s="349" t="inlineStr">
        <is>
          <t>KR252610</t>
        </is>
      </c>
      <c r="F650" s="332" t="n">
        <v>45807</v>
      </c>
      <c r="G650" s="224" t="n"/>
      <c r="H650" s="617" t="n"/>
      <c r="I650" s="617" t="n">
        <v>169412</v>
      </c>
      <c r="J650" s="221" t="inlineStr">
        <is>
          <t>អនុញ្ញាត (បានប្រកាស)</t>
        </is>
      </c>
      <c r="K650" s="618" t="n"/>
      <c r="L650" s="616">
        <f>I650</f>
        <v/>
      </c>
      <c r="M650" s="588">
        <f>I650-L650</f>
        <v/>
      </c>
      <c r="N650" s="221" t="n"/>
      <c r="O650" s="226">
        <f>U650=E650</f>
        <v/>
      </c>
      <c r="P650" s="226">
        <f>MONTH(F650)-MONTH(T650)</f>
        <v/>
      </c>
      <c r="Q650" s="226">
        <f>$B$5=X650</f>
        <v/>
      </c>
      <c r="R650" s="226">
        <f>I650-AD650</f>
        <v/>
      </c>
      <c r="S650" s="360" t="n"/>
      <c r="T650" s="361" t="n">
        <v>45807</v>
      </c>
      <c r="U650" s="360" t="inlineStr">
        <is>
          <t>KR252610</t>
        </is>
      </c>
      <c r="V650" s="360" t="n"/>
      <c r="W650" s="360" t="n"/>
      <c r="X650" s="360" t="n"/>
      <c r="Y650" s="360" t="inlineStr">
        <is>
          <t>ហូលីដេ ឌីហ្សាញ (ខេមបូឌា) ឯ.ក</t>
        </is>
      </c>
      <c r="Z650" s="362" t="n"/>
      <c r="AA650" s="362" t="n"/>
      <c r="AB650" s="360" t="n"/>
      <c r="AC650" s="360" t="n"/>
      <c r="AD650" s="362" t="n">
        <v>169412</v>
      </c>
      <c r="AE650" s="360" t="n"/>
      <c r="AF650" s="615" t="n"/>
    </row>
    <row r="651">
      <c r="A651" s="220">
        <f>A650+1</f>
        <v/>
      </c>
      <c r="B651" s="222" t="inlineStr">
        <is>
          <t>Lift-Off-Ex</t>
        </is>
      </c>
      <c r="C651" s="222" t="inlineStr">
        <is>
          <t>PHNOM PENH AUTONOMOUS PORT "PPAP"</t>
        </is>
      </c>
      <c r="D651" s="223" t="inlineStr">
        <is>
          <t>L001-100044999</t>
        </is>
      </c>
      <c r="E651" s="349" t="inlineStr">
        <is>
          <t>INV20250541764</t>
        </is>
      </c>
      <c r="F651" s="332" t="n">
        <v>45803</v>
      </c>
      <c r="G651" s="224" t="n"/>
      <c r="H651" s="617" t="n"/>
      <c r="I651" s="617" t="n">
        <v>28014</v>
      </c>
      <c r="J651" s="221" t="inlineStr">
        <is>
          <t>អនុញ្ញាត (បានប្រកាស)</t>
        </is>
      </c>
      <c r="K651" s="618" t="n"/>
      <c r="L651" s="616">
        <f>I651</f>
        <v/>
      </c>
      <c r="M651" s="588">
        <f>I651-L651</f>
        <v/>
      </c>
      <c r="N651" s="221" t="n"/>
      <c r="O651" s="226">
        <f>U651=E651</f>
        <v/>
      </c>
      <c r="P651" s="226">
        <f>MONTH(F651)-MONTH(T651)</f>
        <v/>
      </c>
      <c r="Q651" s="226">
        <f>$B$5=X651</f>
        <v/>
      </c>
      <c r="R651" s="226">
        <f>I651-AD651</f>
        <v/>
      </c>
      <c r="S651" s="360" t="n"/>
      <c r="T651" s="361" t="n">
        <v>45803</v>
      </c>
      <c r="U651" s="360" t="inlineStr">
        <is>
          <t>INV20250541764</t>
        </is>
      </c>
      <c r="V651" s="360" t="n">
        <v>0</v>
      </c>
      <c r="W651" s="360" t="inlineStr">
        <is>
          <t>បុគ្គលជាប់អាករ</t>
        </is>
      </c>
      <c r="X651" s="360" t="inlineStr">
        <is>
          <t>L001-901640009</t>
        </is>
      </c>
      <c r="Y651" s="360" t="inlineStr">
        <is>
          <t>ហូលីដេ ឌីហ្សាញ (ខេមបូឌា) ឯ.ក</t>
        </is>
      </c>
      <c r="Z651" s="362" t="n">
        <v>308154</v>
      </c>
      <c r="AA651" s="362" t="n">
        <v>280140</v>
      </c>
      <c r="AB651" s="360" t="n">
        <v>0</v>
      </c>
      <c r="AC651" s="360" t="inlineStr">
        <is>
          <t>-</t>
        </is>
      </c>
      <c r="AD651" s="362" t="n">
        <v>28014</v>
      </c>
      <c r="AE651" s="360" t="n">
        <v>0</v>
      </c>
      <c r="AF651" s="615" t="n">
        <v>0</v>
      </c>
      <c r="AG651" s="203" t="n">
        <v>0</v>
      </c>
      <c r="AH651" s="203" t="n">
        <v>0</v>
      </c>
      <c r="AI651" s="203" t="n">
        <v>0</v>
      </c>
      <c r="AJ651" s="203" t="n">
        <v>0</v>
      </c>
      <c r="AK651" s="203" t="n">
        <v>0</v>
      </c>
      <c r="AL651" s="203" t="n">
        <v>0.01</v>
      </c>
      <c r="AM651" s="203" t="n">
        <v>0</v>
      </c>
      <c r="AN651" s="203" t="inlineStr">
        <is>
          <t>ចំណូលពីសេវាកម្ម (លើកដាក់ទំនិញ)</t>
        </is>
      </c>
    </row>
    <row r="652">
      <c r="A652" s="220">
        <f>A651+1</f>
        <v/>
      </c>
      <c r="B652" s="222" t="inlineStr">
        <is>
          <t>Trucking &amp; Clearance-Ex</t>
        </is>
      </c>
      <c r="C652" s="222" t="inlineStr">
        <is>
          <t>KR GLOBAL LOGISTICS CO., LTD.</t>
        </is>
      </c>
      <c r="D652" s="223" t="inlineStr">
        <is>
          <t>K005-902004162</t>
        </is>
      </c>
      <c r="E652" s="349" t="inlineStr">
        <is>
          <t>KR252607</t>
        </is>
      </c>
      <c r="F652" s="332" t="n">
        <v>45807</v>
      </c>
      <c r="G652" s="224" t="n"/>
      <c r="H652" s="617" t="n"/>
      <c r="I652" s="617" t="n">
        <v>169412</v>
      </c>
      <c r="J652" s="221" t="inlineStr">
        <is>
          <t>អនុញ្ញាត (បានប្រកាស)</t>
        </is>
      </c>
      <c r="K652" s="618" t="n"/>
      <c r="L652" s="616">
        <f>I652</f>
        <v/>
      </c>
      <c r="M652" s="588">
        <f>I652-L652</f>
        <v/>
      </c>
      <c r="N652" s="221" t="n"/>
      <c r="O652" s="226">
        <f>U652=E652</f>
        <v/>
      </c>
      <c r="P652" s="226">
        <f>MONTH(F652)-MONTH(T652)</f>
        <v/>
      </c>
      <c r="Q652" s="226">
        <f>$B$5=X652</f>
        <v/>
      </c>
      <c r="R652" s="226">
        <f>I652-AD652</f>
        <v/>
      </c>
      <c r="S652" s="360" t="n"/>
      <c r="T652" s="361" t="n">
        <v>45807</v>
      </c>
      <c r="U652" s="360" t="inlineStr">
        <is>
          <t>KR252607</t>
        </is>
      </c>
      <c r="V652" s="360" t="n"/>
      <c r="W652" s="360" t="n"/>
      <c r="X652" s="360" t="n"/>
      <c r="Y652" s="360" t="inlineStr">
        <is>
          <t>ហូលីដេ ឌីហ្សាញ (ខេមបូឌា) ឯ.ក</t>
        </is>
      </c>
      <c r="Z652" s="362" t="n"/>
      <c r="AA652" s="362" t="n"/>
      <c r="AB652" s="360" t="n"/>
      <c r="AC652" s="360" t="n"/>
      <c r="AD652" s="362" t="n">
        <v>169412</v>
      </c>
      <c r="AE652" s="360" t="n"/>
      <c r="AF652" s="615" t="n"/>
    </row>
    <row r="653">
      <c r="A653" s="220">
        <f>A652+1</f>
        <v/>
      </c>
      <c r="B653" s="222" t="inlineStr">
        <is>
          <t>Trucking &amp; Clearance-Ex</t>
        </is>
      </c>
      <c r="C653" s="222" t="inlineStr">
        <is>
          <t>WANAKA LOGISTICS CO., LTD.</t>
        </is>
      </c>
      <c r="D653" s="223" t="inlineStr">
        <is>
          <t>K005-901907953</t>
        </is>
      </c>
      <c r="E653" s="349" t="inlineStr">
        <is>
          <t>WL25-001757</t>
        </is>
      </c>
      <c r="F653" s="332" t="n">
        <v>45800</v>
      </c>
      <c r="G653" s="224" t="n"/>
      <c r="H653" s="617" t="n"/>
      <c r="I653" s="617" t="n">
        <v>782987</v>
      </c>
      <c r="J653" s="221" t="inlineStr">
        <is>
          <t>អនុញ្ញាត (បានប្រកាស)</t>
        </is>
      </c>
      <c r="K653" s="618" t="n"/>
      <c r="L653" s="616">
        <f>I653</f>
        <v/>
      </c>
      <c r="M653" s="588">
        <f>I653-L653</f>
        <v/>
      </c>
      <c r="N653" s="221" t="n"/>
      <c r="O653" s="226">
        <f>U653=E653</f>
        <v/>
      </c>
      <c r="P653" s="226">
        <f>MONTH(F653)-MONTH(T653)</f>
        <v/>
      </c>
      <c r="Q653" s="226">
        <f>$B$5=X653</f>
        <v/>
      </c>
      <c r="R653" s="226">
        <f>I653-AD653</f>
        <v/>
      </c>
      <c r="S653" s="360" t="n"/>
      <c r="T653" s="361" t="n">
        <v>45800</v>
      </c>
      <c r="U653" s="360" t="inlineStr">
        <is>
          <t>WL25-001757</t>
        </is>
      </c>
      <c r="V653" s="360" t="n"/>
      <c r="W653" s="360" t="n"/>
      <c r="X653" s="360" t="n"/>
      <c r="Y653" s="360" t="inlineStr">
        <is>
          <t>ហូលីដេ ឌីហ្សាញ (ខេមបូឌា) ឯ.ក</t>
        </is>
      </c>
      <c r="Z653" s="362" t="n"/>
      <c r="AA653" s="362" t="n"/>
      <c r="AB653" s="360" t="n"/>
      <c r="AC653" s="360" t="n"/>
      <c r="AD653" s="362" t="n">
        <v>782987</v>
      </c>
      <c r="AE653" s="360" t="n"/>
      <c r="AF653" s="615" t="n"/>
    </row>
    <row r="654">
      <c r="A654" s="220">
        <f>A653+1</f>
        <v/>
      </c>
      <c r="B654" s="222" t="inlineStr">
        <is>
          <t>Lift-Off-Ex</t>
        </is>
      </c>
      <c r="C654" s="222" t="inlineStr">
        <is>
          <t>PHNOM PENH AUTONOMOUS PORT "PPAP"</t>
        </is>
      </c>
      <c r="D654" s="223" t="inlineStr">
        <is>
          <t>L001-100044999</t>
        </is>
      </c>
      <c r="E654" s="349" t="inlineStr">
        <is>
          <t>INV20250539874</t>
        </is>
      </c>
      <c r="F654" s="332" t="n">
        <v>45798</v>
      </c>
      <c r="G654" s="224" t="n"/>
      <c r="H654" s="617" t="n"/>
      <c r="I654" s="617" t="n">
        <v>140105</v>
      </c>
      <c r="J654" s="221" t="inlineStr">
        <is>
          <t>អនុញ្ញាត (បានប្រកាស)</t>
        </is>
      </c>
      <c r="K654" s="618" t="n"/>
      <c r="L654" s="616">
        <f>I654</f>
        <v/>
      </c>
      <c r="M654" s="588">
        <f>I654-L654</f>
        <v/>
      </c>
      <c r="N654" s="221" t="n"/>
      <c r="O654" s="226">
        <f>U654=E654</f>
        <v/>
      </c>
      <c r="P654" s="226">
        <f>MONTH(F654)-MONTH(T654)</f>
        <v/>
      </c>
      <c r="Q654" s="226">
        <f>$B$5=X654</f>
        <v/>
      </c>
      <c r="R654" s="226">
        <f>I654-AD654</f>
        <v/>
      </c>
      <c r="S654" s="360" t="n"/>
      <c r="T654" s="361" t="n">
        <v>45798</v>
      </c>
      <c r="U654" s="360" t="inlineStr">
        <is>
          <t>INV20250539874</t>
        </is>
      </c>
      <c r="V654" s="360" t="n">
        <v>0</v>
      </c>
      <c r="W654" s="360" t="inlineStr">
        <is>
          <t>បុគ្គលជាប់អាករ</t>
        </is>
      </c>
      <c r="X654" s="360" t="inlineStr">
        <is>
          <t>L001-901640009</t>
        </is>
      </c>
      <c r="Y654" s="360" t="inlineStr">
        <is>
          <t>ហូលីដេ ឌីហ្សាញ (ខេមបូឌា) ឯ.ក</t>
        </is>
      </c>
      <c r="Z654" s="362" t="n">
        <v>1541155</v>
      </c>
      <c r="AA654" s="362" t="n">
        <v>1401050</v>
      </c>
      <c r="AB654" s="360" t="n">
        <v>0</v>
      </c>
      <c r="AC654" s="360" t="inlineStr">
        <is>
          <t>-</t>
        </is>
      </c>
      <c r="AD654" s="362" t="n">
        <v>140105</v>
      </c>
      <c r="AE654" s="360" t="n">
        <v>0</v>
      </c>
      <c r="AF654" s="615" t="n">
        <v>0</v>
      </c>
      <c r="AG654" s="203" t="n">
        <v>0</v>
      </c>
      <c r="AH654" s="203" t="n">
        <v>0</v>
      </c>
      <c r="AI654" s="203" t="n">
        <v>0</v>
      </c>
      <c r="AJ654" s="203" t="n">
        <v>0</v>
      </c>
      <c r="AK654" s="203" t="n">
        <v>0</v>
      </c>
      <c r="AL654" s="203" t="n">
        <v>0.01</v>
      </c>
      <c r="AM654" s="203" t="n">
        <v>0</v>
      </c>
      <c r="AN654" s="203" t="inlineStr">
        <is>
          <t>ចំណូលពីសេវាកម្ម (លើកដាក់ទំនិញ)</t>
        </is>
      </c>
    </row>
    <row r="655">
      <c r="A655" s="220">
        <f>A654+1</f>
        <v/>
      </c>
      <c r="B655" s="222" t="inlineStr">
        <is>
          <t>Lift-Off-Ex</t>
        </is>
      </c>
      <c r="C655" s="222" t="inlineStr">
        <is>
          <t>PHNOM PENH AUTONOMOUS PORT "PPAP"</t>
        </is>
      </c>
      <c r="D655" s="223" t="inlineStr">
        <is>
          <t>L001-100044999</t>
        </is>
      </c>
      <c r="E655" s="349" t="inlineStr">
        <is>
          <t>INV20250539882</t>
        </is>
      </c>
      <c r="F655" s="332" t="n">
        <v>45798</v>
      </c>
      <c r="G655" s="224" t="n"/>
      <c r="H655" s="617" t="n"/>
      <c r="I655" s="617" t="n">
        <v>56042</v>
      </c>
      <c r="J655" s="221" t="inlineStr">
        <is>
          <t>អនុញ្ញាត (បានប្រកាស)</t>
        </is>
      </c>
      <c r="K655" s="618" t="n"/>
      <c r="L655" s="616">
        <f>I655</f>
        <v/>
      </c>
      <c r="M655" s="588">
        <f>I655-L655</f>
        <v/>
      </c>
      <c r="N655" s="221" t="n"/>
      <c r="O655" s="226">
        <f>U655=E655</f>
        <v/>
      </c>
      <c r="P655" s="226">
        <f>MONTH(F655)-MONTH(T655)</f>
        <v/>
      </c>
      <c r="Q655" s="226">
        <f>$B$5=X655</f>
        <v/>
      </c>
      <c r="R655" s="226">
        <f>I655-AD655</f>
        <v/>
      </c>
      <c r="S655" s="360" t="n"/>
      <c r="T655" s="361" t="n">
        <v>45798</v>
      </c>
      <c r="U655" s="360" t="inlineStr">
        <is>
          <t>INV20250539882</t>
        </is>
      </c>
      <c r="V655" s="360" t="n">
        <v>0</v>
      </c>
      <c r="W655" s="360" t="inlineStr">
        <is>
          <t>បុគ្គលជាប់អាករ</t>
        </is>
      </c>
      <c r="X655" s="360" t="inlineStr">
        <is>
          <t>L001-901640009</t>
        </is>
      </c>
      <c r="Y655" s="360" t="inlineStr">
        <is>
          <t>ហូលីដេ ឌីហ្សាញ (ខេមបូឌា) ឯ.ក</t>
        </is>
      </c>
      <c r="Z655" s="362" t="n">
        <v>616462</v>
      </c>
      <c r="AA655" s="362" t="n">
        <v>560420</v>
      </c>
      <c r="AB655" s="360" t="n">
        <v>0</v>
      </c>
      <c r="AC655" s="360" t="inlineStr">
        <is>
          <t>-</t>
        </is>
      </c>
      <c r="AD655" s="362" t="n">
        <v>56042</v>
      </c>
      <c r="AE655" s="360" t="n">
        <v>0</v>
      </c>
      <c r="AF655" s="615" t="n">
        <v>0</v>
      </c>
      <c r="AG655" s="203" t="n">
        <v>0</v>
      </c>
      <c r="AH655" s="203" t="n">
        <v>0</v>
      </c>
      <c r="AI655" s="203" t="n">
        <v>0</v>
      </c>
      <c r="AJ655" s="203" t="n">
        <v>0</v>
      </c>
      <c r="AK655" s="203" t="n">
        <v>0</v>
      </c>
      <c r="AL655" s="203" t="n">
        <v>0.01</v>
      </c>
      <c r="AM655" s="203" t="n">
        <v>0</v>
      </c>
      <c r="AN655" s="203" t="inlineStr">
        <is>
          <t>ចំណូលពីសេវាកម្ម (លើកដាក់ទំនិញ)</t>
        </is>
      </c>
    </row>
    <row r="656">
      <c r="A656" s="220">
        <f>A655+1</f>
        <v/>
      </c>
      <c r="B656" s="222" t="inlineStr">
        <is>
          <t>Trucking &amp; Clearance-Ex</t>
        </is>
      </c>
      <c r="C656" s="222" t="inlineStr">
        <is>
          <t>WANAKA LOGISTICS CO., LTD.</t>
        </is>
      </c>
      <c r="D656" s="223" t="inlineStr">
        <is>
          <t>K005-901907953</t>
        </is>
      </c>
      <c r="E656" s="349" t="inlineStr">
        <is>
          <t>WL25-001763</t>
        </is>
      </c>
      <c r="F656" s="332" t="n">
        <v>45800</v>
      </c>
      <c r="G656" s="224" t="n"/>
      <c r="H656" s="617" t="n"/>
      <c r="I656" s="617" t="n">
        <v>314636</v>
      </c>
      <c r="J656" s="221" t="inlineStr">
        <is>
          <t>អនុញ្ញាត (បានប្រកាស)</t>
        </is>
      </c>
      <c r="K656" s="618" t="n"/>
      <c r="L656" s="616">
        <f>I656</f>
        <v/>
      </c>
      <c r="M656" s="588">
        <f>I656-L656</f>
        <v/>
      </c>
      <c r="N656" s="221" t="n"/>
      <c r="O656" s="226">
        <f>U656=E656</f>
        <v/>
      </c>
      <c r="P656" s="226">
        <f>MONTH(F656)-MONTH(T656)</f>
        <v/>
      </c>
      <c r="Q656" s="226">
        <f>$B$5=X656</f>
        <v/>
      </c>
      <c r="R656" s="226">
        <f>I656-AD656</f>
        <v/>
      </c>
      <c r="S656" s="360" t="n"/>
      <c r="T656" s="361" t="n">
        <v>45800</v>
      </c>
      <c r="U656" s="360" t="inlineStr">
        <is>
          <t>WL25-001763</t>
        </is>
      </c>
      <c r="V656" s="360" t="n"/>
      <c r="W656" s="360" t="n"/>
      <c r="X656" s="360" t="n"/>
      <c r="Y656" s="360" t="inlineStr">
        <is>
          <t>ហូលីដេ ឌីហ្សាញ (ខេមបូឌា) ឯ.ក</t>
        </is>
      </c>
      <c r="Z656" s="362" t="n"/>
      <c r="AA656" s="362" t="n"/>
      <c r="AB656" s="360" t="n"/>
      <c r="AC656" s="360" t="n"/>
      <c r="AD656" s="362" t="n">
        <v>314636</v>
      </c>
      <c r="AE656" s="360" t="n"/>
      <c r="AF656" s="615" t="n"/>
    </row>
    <row r="657">
      <c r="A657" s="220">
        <f>A656+1</f>
        <v/>
      </c>
      <c r="B657" s="222" t="inlineStr">
        <is>
          <t>Storage 40 Feet Container-Ex</t>
        </is>
      </c>
      <c r="C657" s="222" t="inlineStr">
        <is>
          <t>PHNOM PENH AUTONOMOUS PORT "PPAP"</t>
        </is>
      </c>
      <c r="D657" s="223" t="inlineStr">
        <is>
          <t>L001-100044999</t>
        </is>
      </c>
      <c r="E657" s="349" t="inlineStr">
        <is>
          <t>INV20250542847</t>
        </is>
      </c>
      <c r="F657" s="332" t="n">
        <v>45807</v>
      </c>
      <c r="G657" s="224" t="n"/>
      <c r="H657" s="617" t="n"/>
      <c r="I657" s="617" t="n">
        <v>9612</v>
      </c>
      <c r="J657" s="221" t="inlineStr">
        <is>
          <t>អនុញ្ញាត (បានប្រកាស)</t>
        </is>
      </c>
      <c r="K657" s="618" t="n"/>
      <c r="L657" s="616">
        <f>I657</f>
        <v/>
      </c>
      <c r="M657" s="588">
        <f>I657-L657</f>
        <v/>
      </c>
      <c r="N657" s="221" t="n"/>
      <c r="O657" s="226">
        <f>U657=E657</f>
        <v/>
      </c>
      <c r="P657" s="226">
        <f>MONTH(F657)-MONTH(T657)</f>
        <v/>
      </c>
      <c r="Q657" s="226">
        <f>$B$5=X657</f>
        <v/>
      </c>
      <c r="R657" s="226">
        <f>I657-AD657</f>
        <v/>
      </c>
      <c r="S657" s="360" t="n"/>
      <c r="T657" s="361" t="n">
        <v>45807</v>
      </c>
      <c r="U657" s="360" t="inlineStr">
        <is>
          <t>INV20250542847</t>
        </is>
      </c>
      <c r="V657" s="360" t="n">
        <v>0</v>
      </c>
      <c r="W657" s="360" t="inlineStr">
        <is>
          <t>បុគ្គលជាប់អាករ</t>
        </is>
      </c>
      <c r="X657" s="360" t="inlineStr">
        <is>
          <t>L001-901640009</t>
        </is>
      </c>
      <c r="Y657" s="360" t="inlineStr">
        <is>
          <t>ហូលីដេ ឌីហ្សាញ (ខេមបូឌា) ឯ.ក</t>
        </is>
      </c>
      <c r="Z657" s="362" t="n">
        <v>105732</v>
      </c>
      <c r="AA657" s="362" t="n">
        <v>96120</v>
      </c>
      <c r="AB657" s="360" t="n">
        <v>0</v>
      </c>
      <c r="AC657" s="360" t="inlineStr">
        <is>
          <t>-</t>
        </is>
      </c>
      <c r="AD657" s="362" t="n">
        <v>9612</v>
      </c>
      <c r="AE657" s="360" t="n">
        <v>0</v>
      </c>
      <c r="AF657" s="615" t="n">
        <v>0</v>
      </c>
      <c r="AG657" s="203" t="n">
        <v>0</v>
      </c>
      <c r="AH657" s="203" t="n">
        <v>0</v>
      </c>
      <c r="AI657" s="203" t="n">
        <v>0</v>
      </c>
      <c r="AJ657" s="203" t="n">
        <v>0</v>
      </c>
      <c r="AK657" s="203" t="n">
        <v>0</v>
      </c>
      <c r="AL657" s="203" t="n">
        <v>0.01</v>
      </c>
      <c r="AM657" s="203" t="n">
        <v>0</v>
      </c>
      <c r="AN657" s="203" t="inlineStr">
        <is>
          <t>ចំណូលពីសេវាកម្ម (លើកដាក់ទំនិញ)</t>
        </is>
      </c>
    </row>
    <row r="658">
      <c r="A658" s="220">
        <f>A657+1</f>
        <v/>
      </c>
      <c r="B658" s="222" t="inlineStr">
        <is>
          <t>Lift-Off-Ex</t>
        </is>
      </c>
      <c r="C658" s="222" t="inlineStr">
        <is>
          <t>PHNOM PENH AUTONOMOUS PORT "PPAP"</t>
        </is>
      </c>
      <c r="D658" s="223" t="inlineStr">
        <is>
          <t>L001-100044999</t>
        </is>
      </c>
      <c r="E658" s="349" t="inlineStr">
        <is>
          <t>INV20250539878</t>
        </is>
      </c>
      <c r="F658" s="332" t="n">
        <v>45798</v>
      </c>
      <c r="G658" s="224" t="n"/>
      <c r="H658" s="617" t="n"/>
      <c r="I658" s="617" t="n">
        <v>112084</v>
      </c>
      <c r="J658" s="221" t="inlineStr">
        <is>
          <t>អនុញ្ញាត (បានប្រកាស)</t>
        </is>
      </c>
      <c r="K658" s="618" t="n"/>
      <c r="L658" s="616">
        <f>I658</f>
        <v/>
      </c>
      <c r="M658" s="588">
        <f>I658-L658</f>
        <v/>
      </c>
      <c r="N658" s="221" t="n"/>
      <c r="O658" s="226">
        <f>U658=E658</f>
        <v/>
      </c>
      <c r="P658" s="226">
        <f>MONTH(F658)-MONTH(T658)</f>
        <v/>
      </c>
      <c r="Q658" s="226">
        <f>$B$5=X658</f>
        <v/>
      </c>
      <c r="R658" s="226">
        <f>I658-AD658</f>
        <v/>
      </c>
      <c r="S658" s="360" t="n"/>
      <c r="T658" s="361" t="n">
        <v>45798</v>
      </c>
      <c r="U658" s="360" t="inlineStr">
        <is>
          <t>INV20250539878</t>
        </is>
      </c>
      <c r="V658" s="360" t="n">
        <v>0</v>
      </c>
      <c r="W658" s="360" t="inlineStr">
        <is>
          <t>បុគ្គលជាប់អាករ</t>
        </is>
      </c>
      <c r="X658" s="360" t="inlineStr">
        <is>
          <t>L001-901640009</t>
        </is>
      </c>
      <c r="Y658" s="360" t="inlineStr">
        <is>
          <t>ហូលីដេ ឌីហ្សាញ (ខេមបូឌា) ឯ.ក</t>
        </is>
      </c>
      <c r="Z658" s="362" t="n">
        <v>1232924</v>
      </c>
      <c r="AA658" s="362" t="n">
        <v>1120840</v>
      </c>
      <c r="AB658" s="360" t="n">
        <v>0</v>
      </c>
      <c r="AC658" s="360" t="inlineStr">
        <is>
          <t>-</t>
        </is>
      </c>
      <c r="AD658" s="362" t="n">
        <v>112084</v>
      </c>
      <c r="AE658" s="360" t="n">
        <v>0</v>
      </c>
      <c r="AF658" s="615" t="n">
        <v>0</v>
      </c>
      <c r="AG658" s="203" t="n">
        <v>0</v>
      </c>
      <c r="AH658" s="203" t="n">
        <v>0</v>
      </c>
      <c r="AI658" s="203" t="n">
        <v>0</v>
      </c>
      <c r="AJ658" s="203" t="n">
        <v>0</v>
      </c>
      <c r="AK658" s="203" t="n">
        <v>0</v>
      </c>
      <c r="AL658" s="203" t="n">
        <v>0.01</v>
      </c>
      <c r="AM658" s="203" t="n">
        <v>0</v>
      </c>
      <c r="AN658" s="203" t="inlineStr">
        <is>
          <t>ចំណូលពីសេវាកម្ម (លើកដាក់ទំនិញ)</t>
        </is>
      </c>
    </row>
    <row r="659">
      <c r="A659" s="220">
        <f>A658+1</f>
        <v/>
      </c>
      <c r="B659" s="222" t="inlineStr">
        <is>
          <t>Trucking &amp; Clearance-Ex</t>
        </is>
      </c>
      <c r="C659" s="222" t="inlineStr">
        <is>
          <t>WANAKA LOGISTICS CO., LTD.</t>
        </is>
      </c>
      <c r="D659" s="223" t="inlineStr">
        <is>
          <t>K005-901907953</t>
        </is>
      </c>
      <c r="E659" s="349" t="inlineStr">
        <is>
          <t>WL25-001762</t>
        </is>
      </c>
      <c r="F659" s="332" t="n">
        <v>45800</v>
      </c>
      <c r="G659" s="224" t="n"/>
      <c r="H659" s="617" t="n"/>
      <c r="I659" s="617" t="n">
        <v>629272</v>
      </c>
      <c r="J659" s="221" t="inlineStr">
        <is>
          <t>អនុញ្ញាត (បានប្រកាស)</t>
        </is>
      </c>
      <c r="K659" s="618" t="n"/>
      <c r="L659" s="616">
        <f>I659</f>
        <v/>
      </c>
      <c r="M659" s="588">
        <f>I659-L659</f>
        <v/>
      </c>
      <c r="N659" s="221" t="n"/>
      <c r="O659" s="226">
        <f>U659=E659</f>
        <v/>
      </c>
      <c r="P659" s="226">
        <f>MONTH(F659)-MONTH(T659)</f>
        <v/>
      </c>
      <c r="Q659" s="226">
        <f>$B$5=X659</f>
        <v/>
      </c>
      <c r="R659" s="226">
        <f>I659-AD659</f>
        <v/>
      </c>
      <c r="S659" s="360" t="n"/>
      <c r="T659" s="361" t="n">
        <v>45800</v>
      </c>
      <c r="U659" s="360" t="inlineStr">
        <is>
          <t>WL25-001762</t>
        </is>
      </c>
      <c r="V659" s="360" t="n"/>
      <c r="W659" s="360" t="n"/>
      <c r="X659" s="360" t="n"/>
      <c r="Y659" s="360" t="inlineStr">
        <is>
          <t>ហូលីដេ ឌីហ្សាញ (ខេមបូឌា) ឯ.ក</t>
        </is>
      </c>
      <c r="Z659" s="362" t="n"/>
      <c r="AA659" s="362" t="n"/>
      <c r="AB659" s="360" t="n"/>
      <c r="AC659" s="360" t="n"/>
      <c r="AD659" s="362" t="n">
        <v>629272</v>
      </c>
      <c r="AE659" s="360" t="n"/>
      <c r="AF659" s="615" t="n"/>
    </row>
    <row r="660">
      <c r="A660" s="220">
        <f>A659+1</f>
        <v/>
      </c>
      <c r="B660" s="222" t="inlineStr">
        <is>
          <t>Lift-Off-Ex</t>
        </is>
      </c>
      <c r="C660" s="222" t="inlineStr">
        <is>
          <t>PHNOM PENH AUTONOMOUS PORT "PPAP"</t>
        </is>
      </c>
      <c r="D660" s="223" t="inlineStr">
        <is>
          <t>L001-100044999</t>
        </is>
      </c>
      <c r="E660" s="349" t="inlineStr">
        <is>
          <t>INV20250539889</t>
        </is>
      </c>
      <c r="F660" s="332" t="n">
        <v>45798</v>
      </c>
      <c r="G660" s="224" t="n"/>
      <c r="H660" s="617" t="n"/>
      <c r="I660" s="617" t="n">
        <v>28021</v>
      </c>
      <c r="J660" s="221" t="inlineStr">
        <is>
          <t>អនុញ្ញាត (បានប្រកាស)</t>
        </is>
      </c>
      <c r="K660" s="618" t="n"/>
      <c r="L660" s="616">
        <f>I660</f>
        <v/>
      </c>
      <c r="M660" s="588">
        <f>I660-L660</f>
        <v/>
      </c>
      <c r="N660" s="221" t="n"/>
      <c r="O660" s="226">
        <f>U660=E660</f>
        <v/>
      </c>
      <c r="P660" s="226">
        <f>MONTH(F660)-MONTH(T660)</f>
        <v/>
      </c>
      <c r="Q660" s="226">
        <f>$B$5=X660</f>
        <v/>
      </c>
      <c r="R660" s="226">
        <f>I660-AD660</f>
        <v/>
      </c>
      <c r="S660" s="360" t="n"/>
      <c r="T660" s="361" t="n">
        <v>45798</v>
      </c>
      <c r="U660" s="360" t="inlineStr">
        <is>
          <t>INV20250539889</t>
        </is>
      </c>
      <c r="V660" s="360" t="n">
        <v>0</v>
      </c>
      <c r="W660" s="360" t="inlineStr">
        <is>
          <t>បុគ្គលជាប់អាករ</t>
        </is>
      </c>
      <c r="X660" s="360" t="inlineStr">
        <is>
          <t>L001-901640009</t>
        </is>
      </c>
      <c r="Y660" s="360" t="inlineStr">
        <is>
          <t>ហូលីដេ ឌីហ្សាញ (ខេមបូឌា) ឯ.ក</t>
        </is>
      </c>
      <c r="Z660" s="362" t="n">
        <v>308231</v>
      </c>
      <c r="AA660" s="362" t="n">
        <v>280210</v>
      </c>
      <c r="AB660" s="360" t="n">
        <v>0</v>
      </c>
      <c r="AC660" s="360" t="inlineStr">
        <is>
          <t>-</t>
        </is>
      </c>
      <c r="AD660" s="362" t="n">
        <v>28021</v>
      </c>
      <c r="AE660" s="360" t="n">
        <v>0</v>
      </c>
      <c r="AF660" s="615" t="n">
        <v>0</v>
      </c>
      <c r="AG660" s="203" t="n">
        <v>0</v>
      </c>
      <c r="AH660" s="203" t="n">
        <v>0</v>
      </c>
      <c r="AI660" s="203" t="n">
        <v>0</v>
      </c>
      <c r="AJ660" s="203" t="n">
        <v>0</v>
      </c>
      <c r="AK660" s="203" t="n">
        <v>0</v>
      </c>
      <c r="AL660" s="203" t="n">
        <v>0.01</v>
      </c>
      <c r="AM660" s="203" t="n">
        <v>0</v>
      </c>
      <c r="AN660" s="203" t="inlineStr">
        <is>
          <t>ចំណូលពីសេវាកម្ម (លើកដាក់ទំនិញ)</t>
        </is>
      </c>
    </row>
    <row r="661">
      <c r="A661" s="220">
        <f>A660+1</f>
        <v/>
      </c>
      <c r="B661" s="222" t="inlineStr">
        <is>
          <t>Trucking &amp; Clearance-Ex</t>
        </is>
      </c>
      <c r="C661" s="222" t="inlineStr">
        <is>
          <t>WANAKA LOGISTICS CO., LTD.</t>
        </is>
      </c>
      <c r="D661" s="223" t="inlineStr">
        <is>
          <t>K005-901907953</t>
        </is>
      </c>
      <c r="E661" s="349" t="inlineStr">
        <is>
          <t>WL25-001761</t>
        </is>
      </c>
      <c r="F661" s="332" t="n">
        <v>45800</v>
      </c>
      <c r="G661" s="224" t="n"/>
      <c r="H661" s="617" t="n"/>
      <c r="I661" s="617" t="n">
        <v>157318</v>
      </c>
      <c r="J661" s="221" t="inlineStr">
        <is>
          <t>អនុញ្ញាត (បានប្រកាស)</t>
        </is>
      </c>
      <c r="K661" s="618" t="n"/>
      <c r="L661" s="616">
        <f>I661</f>
        <v/>
      </c>
      <c r="M661" s="588">
        <f>I661-L661</f>
        <v/>
      </c>
      <c r="N661" s="221" t="n"/>
      <c r="O661" s="226">
        <f>U661=E661</f>
        <v/>
      </c>
      <c r="P661" s="226">
        <f>MONTH(F661)-MONTH(T661)</f>
        <v/>
      </c>
      <c r="Q661" s="226">
        <f>$B$5=X661</f>
        <v/>
      </c>
      <c r="R661" s="226">
        <f>I661-AD661</f>
        <v/>
      </c>
      <c r="S661" s="360" t="n"/>
      <c r="T661" s="361" t="n">
        <v>45800</v>
      </c>
      <c r="U661" s="360" t="inlineStr">
        <is>
          <t>WL25-001761</t>
        </is>
      </c>
      <c r="V661" s="360" t="n"/>
      <c r="W661" s="360" t="n"/>
      <c r="X661" s="360" t="n"/>
      <c r="Y661" s="360" t="inlineStr">
        <is>
          <t>ហូលីដេ ឌីហ្សាញ (ខេមបូឌា) ឯ.ក</t>
        </is>
      </c>
      <c r="Z661" s="362" t="n"/>
      <c r="AA661" s="362" t="n"/>
      <c r="AB661" s="360" t="n"/>
      <c r="AC661" s="360" t="n"/>
      <c r="AD661" s="362" t="n">
        <v>157318</v>
      </c>
      <c r="AE661" s="360" t="n"/>
      <c r="AF661" s="615" t="n"/>
    </row>
    <row r="662">
      <c r="A662" s="220">
        <f>A661+1</f>
        <v/>
      </c>
      <c r="B662" s="222" t="inlineStr">
        <is>
          <t>Trucking &amp; Clearance-Ex</t>
        </is>
      </c>
      <c r="C662" s="222" t="inlineStr">
        <is>
          <t>WANAKA LOGISTICS CO., LTD.</t>
        </is>
      </c>
      <c r="D662" s="223" t="inlineStr">
        <is>
          <t>K005-901907953</t>
        </is>
      </c>
      <c r="E662" s="349" t="inlineStr">
        <is>
          <t>WL25-001758</t>
        </is>
      </c>
      <c r="F662" s="332" t="n">
        <v>45800</v>
      </c>
      <c r="G662" s="224" t="n"/>
      <c r="H662" s="617" t="n"/>
      <c r="I662" s="617" t="n">
        <v>312234</v>
      </c>
      <c r="J662" s="221" t="inlineStr">
        <is>
          <t>អនុញ្ញាត (បានប្រកាស)</t>
        </is>
      </c>
      <c r="K662" s="618" t="n"/>
      <c r="L662" s="616">
        <f>I662</f>
        <v/>
      </c>
      <c r="M662" s="588">
        <f>I662-L662</f>
        <v/>
      </c>
      <c r="N662" s="221" t="n"/>
      <c r="O662" s="226">
        <f>U662=E662</f>
        <v/>
      </c>
      <c r="P662" s="226">
        <f>MONTH(F662)-MONTH(T662)</f>
        <v/>
      </c>
      <c r="Q662" s="226">
        <f>$B$5=X662</f>
        <v/>
      </c>
      <c r="R662" s="226">
        <f>I662-AD662</f>
        <v/>
      </c>
      <c r="S662" s="360" t="n"/>
      <c r="T662" s="361" t="n">
        <v>45800</v>
      </c>
      <c r="U662" s="360" t="inlineStr">
        <is>
          <t>WL25-001758</t>
        </is>
      </c>
      <c r="V662" s="360" t="n"/>
      <c r="W662" s="360" t="n"/>
      <c r="X662" s="360" t="n"/>
      <c r="Y662" s="360" t="inlineStr">
        <is>
          <t>ហូលីដេ ឌីហ្សាញ (ខេមបូឌា) ឯ.ក</t>
        </is>
      </c>
      <c r="Z662" s="362" t="n"/>
      <c r="AA662" s="362" t="n"/>
      <c r="AB662" s="360" t="n"/>
      <c r="AC662" s="360" t="n"/>
      <c r="AD662" s="362" t="n">
        <v>312234</v>
      </c>
      <c r="AE662" s="360" t="n"/>
      <c r="AF662" s="615" t="n"/>
    </row>
    <row r="663">
      <c r="A663" s="220">
        <f>A662+1</f>
        <v/>
      </c>
      <c r="B663" s="222" t="inlineStr">
        <is>
          <t>Lift-Off-Ex</t>
        </is>
      </c>
      <c r="C663" s="222" t="inlineStr">
        <is>
          <t>PHNOM PENH AUTONOMOUS PORT "PPAP"</t>
        </is>
      </c>
      <c r="D663" s="223" t="inlineStr">
        <is>
          <t>L001-100044999</t>
        </is>
      </c>
      <c r="E663" s="349" t="inlineStr">
        <is>
          <t>INV20250539890</t>
        </is>
      </c>
      <c r="F663" s="332" t="n">
        <v>45798</v>
      </c>
      <c r="G663" s="224" t="n"/>
      <c r="H663" s="617" t="n"/>
      <c r="I663" s="617" t="n">
        <v>18414</v>
      </c>
      <c r="J663" s="221" t="inlineStr">
        <is>
          <t>អនុញ្ញាត (បានប្រកាស)</t>
        </is>
      </c>
      <c r="K663" s="618" t="n"/>
      <c r="L663" s="616">
        <f>I663</f>
        <v/>
      </c>
      <c r="M663" s="588">
        <f>I663-L663</f>
        <v/>
      </c>
      <c r="N663" s="221" t="n"/>
      <c r="O663" s="226">
        <f>U663=E663</f>
        <v/>
      </c>
      <c r="P663" s="226">
        <f>MONTH(F663)-MONTH(T663)</f>
        <v/>
      </c>
      <c r="Q663" s="226">
        <f>$B$5=X663</f>
        <v/>
      </c>
      <c r="R663" s="226">
        <f>I663-AD663</f>
        <v/>
      </c>
      <c r="S663" s="360" t="n"/>
      <c r="T663" s="361" t="n">
        <v>45798</v>
      </c>
      <c r="U663" s="360" t="inlineStr">
        <is>
          <t>INV20250539890</t>
        </is>
      </c>
      <c r="V663" s="360" t="n">
        <v>0</v>
      </c>
      <c r="W663" s="360" t="inlineStr">
        <is>
          <t>បុគ្គលជាប់អាករ</t>
        </is>
      </c>
      <c r="X663" s="360" t="inlineStr">
        <is>
          <t>L001-901640009</t>
        </is>
      </c>
      <c r="Y663" s="360" t="inlineStr">
        <is>
          <t>ហូលីដេ ឌីហ្សាញ (ខេមបូឌា) ឯ.ក</t>
        </is>
      </c>
      <c r="Z663" s="362" t="n">
        <v>202554</v>
      </c>
      <c r="AA663" s="362" t="n">
        <v>184140</v>
      </c>
      <c r="AB663" s="360" t="n">
        <v>0</v>
      </c>
      <c r="AC663" s="360" t="inlineStr">
        <is>
          <t>-</t>
        </is>
      </c>
      <c r="AD663" s="362" t="n">
        <v>18414</v>
      </c>
      <c r="AE663" s="360" t="n">
        <v>0</v>
      </c>
      <c r="AF663" s="615" t="n">
        <v>0</v>
      </c>
      <c r="AG663" s="203" t="n">
        <v>0</v>
      </c>
      <c r="AH663" s="203" t="n">
        <v>0</v>
      </c>
      <c r="AI663" s="203" t="n">
        <v>0</v>
      </c>
      <c r="AJ663" s="203" t="n">
        <v>0</v>
      </c>
      <c r="AK663" s="203" t="n">
        <v>0</v>
      </c>
      <c r="AL663" s="203" t="n">
        <v>0.01</v>
      </c>
      <c r="AM663" s="203" t="n">
        <v>0</v>
      </c>
      <c r="AN663" s="203" t="inlineStr">
        <is>
          <t>ចំណូលពីសេវាកម្ម (លើកដាក់ទំនិញ)</t>
        </is>
      </c>
    </row>
    <row r="664">
      <c r="A664" s="220">
        <f>A663+1</f>
        <v/>
      </c>
      <c r="B664" s="222" t="inlineStr">
        <is>
          <t>Trucking &amp; Clearance-Ex</t>
        </is>
      </c>
      <c r="C664" s="222" t="inlineStr">
        <is>
          <t>WANAKA LOGISTICS CO., LTD.</t>
        </is>
      </c>
      <c r="D664" s="223" t="inlineStr">
        <is>
          <t>K005-901907953</t>
        </is>
      </c>
      <c r="E664" s="349" t="inlineStr">
        <is>
          <t>WL25-001760</t>
        </is>
      </c>
      <c r="F664" s="332" t="n">
        <v>45800</v>
      </c>
      <c r="G664" s="224" t="n"/>
      <c r="H664" s="617" t="n"/>
      <c r="I664" s="617" t="n">
        <v>148912</v>
      </c>
      <c r="J664" s="221" t="inlineStr">
        <is>
          <t>អនុញ្ញាត (បានប្រកាស)</t>
        </is>
      </c>
      <c r="K664" s="618" t="n"/>
      <c r="L664" s="616">
        <f>I664</f>
        <v/>
      </c>
      <c r="M664" s="588">
        <f>I664-L664</f>
        <v/>
      </c>
      <c r="N664" s="221" t="n"/>
      <c r="O664" s="226">
        <f>U664=E664</f>
        <v/>
      </c>
      <c r="P664" s="226">
        <f>MONTH(F664)-MONTH(T664)</f>
        <v/>
      </c>
      <c r="Q664" s="226">
        <f>$B$5=X664</f>
        <v/>
      </c>
      <c r="R664" s="226">
        <f>I664-AD664</f>
        <v/>
      </c>
      <c r="S664" s="360" t="n"/>
      <c r="T664" s="361" t="n">
        <v>45800</v>
      </c>
      <c r="U664" s="360" t="inlineStr">
        <is>
          <t>WL25-001760</t>
        </is>
      </c>
      <c r="V664" s="360" t="n"/>
      <c r="W664" s="360" t="n"/>
      <c r="X664" s="360" t="n"/>
      <c r="Y664" s="360" t="inlineStr">
        <is>
          <t>ហូលីដេ ឌីហ្សាញ (ខេមបូឌា) ឯ.ក</t>
        </is>
      </c>
      <c r="Z664" s="362" t="n"/>
      <c r="AA664" s="362" t="n"/>
      <c r="AB664" s="360" t="n"/>
      <c r="AC664" s="360" t="n"/>
      <c r="AD664" s="362" t="n">
        <v>148912</v>
      </c>
      <c r="AE664" s="360" t="n"/>
      <c r="AF664" s="615" t="n"/>
    </row>
    <row r="665">
      <c r="A665" s="220">
        <f>A664+1</f>
        <v/>
      </c>
      <c r="B665" s="222" t="inlineStr">
        <is>
          <t>Lift-Off-Ex</t>
        </is>
      </c>
      <c r="C665" s="222" t="inlineStr">
        <is>
          <t>PHNOM PENH AUTONOMOUS PORT "PPAP"</t>
        </is>
      </c>
      <c r="D665" s="223" t="inlineStr">
        <is>
          <t>L001-100044999</t>
        </is>
      </c>
      <c r="E665" s="349" t="inlineStr">
        <is>
          <t>INV20250539873</t>
        </is>
      </c>
      <c r="F665" s="332" t="n">
        <v>45798</v>
      </c>
      <c r="G665" s="224" t="n"/>
      <c r="H665" s="617" t="n"/>
      <c r="I665" s="617" t="n">
        <v>196147</v>
      </c>
      <c r="J665" s="221" t="inlineStr">
        <is>
          <t>អនុញ្ញាត (បានប្រកាស)</t>
        </is>
      </c>
      <c r="K665" s="618" t="n"/>
      <c r="L665" s="616">
        <f>I665</f>
        <v/>
      </c>
      <c r="M665" s="588">
        <f>I665-L665</f>
        <v/>
      </c>
      <c r="N665" s="221" t="n"/>
      <c r="O665" s="226">
        <f>U665=E665</f>
        <v/>
      </c>
      <c r="P665" s="226">
        <f>MONTH(F665)-MONTH(T665)</f>
        <v/>
      </c>
      <c r="Q665" s="226">
        <f>$B$5=X665</f>
        <v/>
      </c>
      <c r="R665" s="226">
        <f>I665-AD665</f>
        <v/>
      </c>
      <c r="S665" s="360" t="n"/>
      <c r="T665" s="361" t="n">
        <v>45798</v>
      </c>
      <c r="U665" s="360" t="inlineStr">
        <is>
          <t>INV20250539873</t>
        </is>
      </c>
      <c r="V665" s="360" t="n">
        <v>0</v>
      </c>
      <c r="W665" s="360" t="inlineStr">
        <is>
          <t>បុគ្គលជាប់អាករ</t>
        </is>
      </c>
      <c r="X665" s="360" t="inlineStr">
        <is>
          <t>L001-901640009</t>
        </is>
      </c>
      <c r="Y665" s="360" t="inlineStr">
        <is>
          <t>ហូលីដេ ឌីហ្សាញ (ខេមបូឌា) ឯ.ក</t>
        </is>
      </c>
      <c r="Z665" s="362" t="n">
        <v>2157617</v>
      </c>
      <c r="AA665" s="362" t="n">
        <v>1961470</v>
      </c>
      <c r="AB665" s="360" t="n">
        <v>0</v>
      </c>
      <c r="AC665" s="360" t="inlineStr">
        <is>
          <t>-</t>
        </is>
      </c>
      <c r="AD665" s="362" t="n">
        <v>196147</v>
      </c>
      <c r="AE665" s="360" t="n">
        <v>0</v>
      </c>
      <c r="AF665" s="615" t="n">
        <v>0</v>
      </c>
      <c r="AG665" s="203" t="n">
        <v>0</v>
      </c>
      <c r="AH665" s="203" t="n">
        <v>0</v>
      </c>
      <c r="AI665" s="203" t="n">
        <v>0</v>
      </c>
      <c r="AJ665" s="203" t="n">
        <v>0</v>
      </c>
      <c r="AK665" s="203" t="n">
        <v>0</v>
      </c>
      <c r="AL665" s="203" t="n">
        <v>0.01</v>
      </c>
      <c r="AM665" s="203" t="n">
        <v>0</v>
      </c>
      <c r="AN665" s="203" t="inlineStr">
        <is>
          <t>ចំណូលពីសេវាកម្ម (លើកដាក់ទំនិញ)</t>
        </is>
      </c>
    </row>
    <row r="666">
      <c r="A666" s="220">
        <f>A665+1</f>
        <v/>
      </c>
      <c r="B666" s="222" t="inlineStr">
        <is>
          <t>Trucking &amp; Clearance-Ex</t>
        </is>
      </c>
      <c r="C666" s="222" t="inlineStr">
        <is>
          <t>WANAKA LOGISTICS CO., LTD.</t>
        </is>
      </c>
      <c r="D666" s="223" t="inlineStr">
        <is>
          <t>K005-901907953</t>
        </is>
      </c>
      <c r="E666" s="349" t="inlineStr">
        <is>
          <t>WL25-001759</t>
        </is>
      </c>
      <c r="F666" s="332" t="n">
        <v>45800</v>
      </c>
      <c r="G666" s="224" t="n"/>
      <c r="H666" s="617" t="n"/>
      <c r="I666" s="617" t="n">
        <v>1095221</v>
      </c>
      <c r="J666" s="221" t="inlineStr">
        <is>
          <t>អនុញ្ញាត (បានប្រកាស)</t>
        </is>
      </c>
      <c r="K666" s="618" t="n"/>
      <c r="L666" s="616">
        <f>I666</f>
        <v/>
      </c>
      <c r="M666" s="588">
        <f>I666-L666</f>
        <v/>
      </c>
      <c r="N666" s="221" t="n"/>
      <c r="O666" s="226">
        <f>U666=E666</f>
        <v/>
      </c>
      <c r="P666" s="226">
        <f>MONTH(F666)-MONTH(T666)</f>
        <v/>
      </c>
      <c r="Q666" s="226">
        <f>$B$5=X666</f>
        <v/>
      </c>
      <c r="R666" s="226">
        <f>I666-AD666</f>
        <v/>
      </c>
      <c r="S666" s="360" t="n"/>
      <c r="T666" s="361" t="n">
        <v>45800</v>
      </c>
      <c r="U666" s="360" t="inlineStr">
        <is>
          <t>WL25-001759</t>
        </is>
      </c>
      <c r="V666" s="360" t="n"/>
      <c r="W666" s="360" t="n"/>
      <c r="X666" s="360" t="n"/>
      <c r="Y666" s="360" t="inlineStr">
        <is>
          <t>ហូលីដេ ឌីហ្សាញ (ខេមបូឌា) ឯ.ក</t>
        </is>
      </c>
      <c r="Z666" s="362" t="n"/>
      <c r="AA666" s="362" t="n"/>
      <c r="AB666" s="360" t="n"/>
      <c r="AC666" s="360" t="n"/>
      <c r="AD666" s="362" t="n">
        <v>1095221</v>
      </c>
      <c r="AE666" s="360" t="n"/>
      <c r="AF666" s="615" t="n"/>
    </row>
    <row r="667">
      <c r="A667" s="220">
        <f>A666+1</f>
        <v/>
      </c>
      <c r="B667" s="222" t="inlineStr">
        <is>
          <t>Lift-Off-Ex</t>
        </is>
      </c>
      <c r="C667" s="222" t="inlineStr">
        <is>
          <t>PHNOM PENH AUTONOMOUS PORT "PPAP"</t>
        </is>
      </c>
      <c r="D667" s="223" t="inlineStr">
        <is>
          <t>L001-100044999</t>
        </is>
      </c>
      <c r="E667" s="349" t="inlineStr">
        <is>
          <t>INV20250539883</t>
        </is>
      </c>
      <c r="F667" s="332" t="n">
        <v>45798</v>
      </c>
      <c r="G667" s="224" t="n"/>
      <c r="H667" s="617" t="n"/>
      <c r="I667" s="617" t="n">
        <v>56042</v>
      </c>
      <c r="J667" s="221" t="inlineStr">
        <is>
          <t>អនុញ្ញាត (បានប្រកាស)</t>
        </is>
      </c>
      <c r="K667" s="618" t="n"/>
      <c r="L667" s="616">
        <f>I667</f>
        <v/>
      </c>
      <c r="M667" s="588">
        <f>I667-L667</f>
        <v/>
      </c>
      <c r="N667" s="221" t="n"/>
      <c r="O667" s="226">
        <f>U667=E667</f>
        <v/>
      </c>
      <c r="P667" s="226">
        <f>MONTH(F667)-MONTH(T667)</f>
        <v/>
      </c>
      <c r="Q667" s="226">
        <f>$B$5=X667</f>
        <v/>
      </c>
      <c r="R667" s="226">
        <f>I667-AD667</f>
        <v/>
      </c>
      <c r="S667" s="360" t="n"/>
      <c r="T667" s="361" t="n">
        <v>45798</v>
      </c>
      <c r="U667" s="360" t="inlineStr">
        <is>
          <t>INV20250539883</t>
        </is>
      </c>
      <c r="V667" s="360" t="n">
        <v>0</v>
      </c>
      <c r="W667" s="360" t="inlineStr">
        <is>
          <t>បុគ្គលជាប់អាករ</t>
        </is>
      </c>
      <c r="X667" s="360" t="inlineStr">
        <is>
          <t>L001-901640009</t>
        </is>
      </c>
      <c r="Y667" s="360" t="inlineStr">
        <is>
          <t>ហូលីដេ ឌីហ្សាញ (ខេមបូឌា) ឯ.ក</t>
        </is>
      </c>
      <c r="Z667" s="362" t="n">
        <v>616462</v>
      </c>
      <c r="AA667" s="362" t="n">
        <v>560420</v>
      </c>
      <c r="AB667" s="360" t="n">
        <v>0</v>
      </c>
      <c r="AC667" s="360" t="inlineStr">
        <is>
          <t>-</t>
        </is>
      </c>
      <c r="AD667" s="362" t="n">
        <v>56042</v>
      </c>
      <c r="AE667" s="360" t="n">
        <v>0</v>
      </c>
      <c r="AF667" s="615" t="n">
        <v>0</v>
      </c>
      <c r="AG667" s="203" t="n">
        <v>0</v>
      </c>
      <c r="AH667" s="203" t="n">
        <v>0</v>
      </c>
      <c r="AI667" s="203" t="n">
        <v>0</v>
      </c>
      <c r="AJ667" s="203" t="n">
        <v>0</v>
      </c>
      <c r="AK667" s="203" t="n">
        <v>0</v>
      </c>
      <c r="AL667" s="203" t="n">
        <v>0.01</v>
      </c>
      <c r="AM667" s="203" t="n">
        <v>0</v>
      </c>
      <c r="AN667" s="203" t="inlineStr">
        <is>
          <t>ចំណូលពីសេវាកម្ម (លើកដាក់ទំនិញ)</t>
        </is>
      </c>
    </row>
    <row r="668">
      <c r="A668" s="220">
        <f>A667+1</f>
        <v/>
      </c>
      <c r="B668" s="222" t="inlineStr">
        <is>
          <t>Lift-Off-Ex</t>
        </is>
      </c>
      <c r="C668" s="222" t="inlineStr">
        <is>
          <t>PHNOM PENH AUTONOMOUS PORT "PPAP"</t>
        </is>
      </c>
      <c r="D668" s="223" t="inlineStr">
        <is>
          <t>L001-100044999</t>
        </is>
      </c>
      <c r="E668" s="349" t="inlineStr">
        <is>
          <t>INV20250541763</t>
        </is>
      </c>
      <c r="F668" s="332" t="n">
        <v>45803</v>
      </c>
      <c r="G668" s="224" t="n"/>
      <c r="H668" s="617" t="n"/>
      <c r="I668" s="617" t="n">
        <v>56028</v>
      </c>
      <c r="J668" s="221" t="inlineStr">
        <is>
          <t>អនុញ្ញាត (បានប្រកាស)</t>
        </is>
      </c>
      <c r="K668" s="618" t="n"/>
      <c r="L668" s="616">
        <f>I668</f>
        <v/>
      </c>
      <c r="M668" s="588">
        <f>I668-L668</f>
        <v/>
      </c>
      <c r="N668" s="221" t="n"/>
      <c r="O668" s="226">
        <f>U668=E668</f>
        <v/>
      </c>
      <c r="P668" s="226">
        <f>MONTH(F668)-MONTH(T668)</f>
        <v/>
      </c>
      <c r="Q668" s="226">
        <f>$B$5=X668</f>
        <v/>
      </c>
      <c r="R668" s="226">
        <f>I668-AD668</f>
        <v/>
      </c>
      <c r="S668" s="360" t="n"/>
      <c r="T668" s="361" t="n">
        <v>45803</v>
      </c>
      <c r="U668" s="360" t="inlineStr">
        <is>
          <t>INV20250541763</t>
        </is>
      </c>
      <c r="V668" s="360" t="n">
        <v>0</v>
      </c>
      <c r="W668" s="360" t="inlineStr">
        <is>
          <t>បុគ្គលជាប់អាករ</t>
        </is>
      </c>
      <c r="X668" s="360" t="inlineStr">
        <is>
          <t>L001-901640009</t>
        </is>
      </c>
      <c r="Y668" s="360" t="inlineStr">
        <is>
          <t>ហូលីដេ ឌីហ្សាញ (ខេមបូឌា) ឯ.ក</t>
        </is>
      </c>
      <c r="Z668" s="362" t="n">
        <v>616308</v>
      </c>
      <c r="AA668" s="362" t="n">
        <v>560280</v>
      </c>
      <c r="AB668" s="360" t="n">
        <v>0</v>
      </c>
      <c r="AC668" s="360" t="inlineStr">
        <is>
          <t>-</t>
        </is>
      </c>
      <c r="AD668" s="362" t="n">
        <v>56028</v>
      </c>
      <c r="AE668" s="360" t="n">
        <v>0</v>
      </c>
      <c r="AF668" s="615" t="n">
        <v>0</v>
      </c>
      <c r="AG668" s="203" t="n">
        <v>0</v>
      </c>
      <c r="AH668" s="203" t="n">
        <v>0</v>
      </c>
      <c r="AI668" s="203" t="n">
        <v>0</v>
      </c>
      <c r="AJ668" s="203" t="n">
        <v>0</v>
      </c>
      <c r="AK668" s="203" t="n">
        <v>0</v>
      </c>
      <c r="AL668" s="203" t="n">
        <v>0.01</v>
      </c>
      <c r="AM668" s="203" t="n">
        <v>0</v>
      </c>
      <c r="AN668" s="203" t="inlineStr">
        <is>
          <t>ចំណូលពីសេវាកម្ម (លើកដាក់ទំនិញ)</t>
        </is>
      </c>
    </row>
    <row r="669">
      <c r="A669" s="220">
        <f>A668+1</f>
        <v/>
      </c>
      <c r="B669" s="222" t="inlineStr">
        <is>
          <t>Trucking &amp; Clearance-Ex</t>
        </is>
      </c>
      <c r="C669" s="222" t="inlineStr">
        <is>
          <t>KR GLOBAL LOGISTICS CO., LTD.</t>
        </is>
      </c>
      <c r="D669" s="223" t="inlineStr">
        <is>
          <t>K005-902004162</t>
        </is>
      </c>
      <c r="E669" s="349" t="inlineStr">
        <is>
          <t>KR252606</t>
        </is>
      </c>
      <c r="F669" s="332" t="n">
        <v>45807</v>
      </c>
      <c r="G669" s="224" t="n"/>
      <c r="H669" s="617" t="n"/>
      <c r="I669" s="617" t="n">
        <v>340025</v>
      </c>
      <c r="J669" s="221" t="inlineStr">
        <is>
          <t>អនុញ្ញាត (បានប្រកាស)</t>
        </is>
      </c>
      <c r="K669" s="618" t="n"/>
      <c r="L669" s="616">
        <f>I669</f>
        <v/>
      </c>
      <c r="M669" s="588">
        <f>I669-L669</f>
        <v/>
      </c>
      <c r="N669" s="221" t="n"/>
      <c r="O669" s="226">
        <f>U669=E669</f>
        <v/>
      </c>
      <c r="P669" s="226">
        <f>MONTH(F669)-MONTH(T669)</f>
        <v/>
      </c>
      <c r="Q669" s="226">
        <f>$B$5=X669</f>
        <v/>
      </c>
      <c r="R669" s="226">
        <f>I669-AD669</f>
        <v/>
      </c>
      <c r="S669" s="360" t="n"/>
      <c r="T669" s="361" t="n">
        <v>45807</v>
      </c>
      <c r="U669" s="360" t="inlineStr">
        <is>
          <t>KR252606</t>
        </is>
      </c>
      <c r="V669" s="360" t="n"/>
      <c r="W669" s="360" t="n"/>
      <c r="X669" s="360" t="n"/>
      <c r="Y669" s="360" t="inlineStr">
        <is>
          <t>ហូលីដេ ឌីហ្សាញ (ខេមបូឌា) ឯ.ក</t>
        </is>
      </c>
      <c r="Z669" s="362" t="n"/>
      <c r="AA669" s="362" t="n"/>
      <c r="AB669" s="360" t="n"/>
      <c r="AC669" s="360" t="n"/>
      <c r="AD669" s="362" t="n">
        <v>340025</v>
      </c>
      <c r="AE669" s="360" t="n"/>
      <c r="AF669" s="615" t="n"/>
    </row>
    <row r="670">
      <c r="A670" s="220">
        <f>A669+1</f>
        <v/>
      </c>
      <c r="B670" s="222" t="inlineStr">
        <is>
          <t>Lift-Off-Ex</t>
        </is>
      </c>
      <c r="C670" s="222" t="inlineStr">
        <is>
          <t>PHNOM PENH AUTONOMOUS PORT "PPAP"</t>
        </is>
      </c>
      <c r="D670" s="223" t="inlineStr">
        <is>
          <t>L001-100044999</t>
        </is>
      </c>
      <c r="E670" s="349" t="inlineStr">
        <is>
          <t>INV20250541762</t>
        </is>
      </c>
      <c r="F670" s="332" t="n">
        <v>45803</v>
      </c>
      <c r="G670" s="224" t="n"/>
      <c r="H670" s="617" t="n"/>
      <c r="I670" s="617" t="n">
        <v>28014</v>
      </c>
      <c r="J670" s="221" t="inlineStr">
        <is>
          <t>អនុញ្ញាត (បានប្រកាស)</t>
        </is>
      </c>
      <c r="K670" s="618" t="n"/>
      <c r="L670" s="616">
        <f>I670</f>
        <v/>
      </c>
      <c r="M670" s="588">
        <f>I670-L670</f>
        <v/>
      </c>
      <c r="N670" s="221" t="n"/>
      <c r="O670" s="226">
        <f>U670=E670</f>
        <v/>
      </c>
      <c r="P670" s="226">
        <f>MONTH(F670)-MONTH(T670)</f>
        <v/>
      </c>
      <c r="Q670" s="226">
        <f>$B$5=X670</f>
        <v/>
      </c>
      <c r="R670" s="226">
        <f>I670-AD670</f>
        <v/>
      </c>
      <c r="S670" s="360" t="n"/>
      <c r="T670" s="361" t="n">
        <v>45803</v>
      </c>
      <c r="U670" s="360" t="inlineStr">
        <is>
          <t>INV20250541762</t>
        </is>
      </c>
      <c r="V670" s="360" t="n">
        <v>0</v>
      </c>
      <c r="W670" s="360" t="inlineStr">
        <is>
          <t>បុគ្គលជាប់អាករ</t>
        </is>
      </c>
      <c r="X670" s="360" t="inlineStr">
        <is>
          <t>L001-901640009</t>
        </is>
      </c>
      <c r="Y670" s="360" t="inlineStr">
        <is>
          <t>ហូលីដេ ឌីហ្សាញ (ខេមបូឌា) ឯ.ក</t>
        </is>
      </c>
      <c r="Z670" s="362" t="n">
        <v>308154</v>
      </c>
      <c r="AA670" s="362" t="n">
        <v>280140</v>
      </c>
      <c r="AB670" s="360" t="n">
        <v>0</v>
      </c>
      <c r="AC670" s="360" t="inlineStr">
        <is>
          <t>-</t>
        </is>
      </c>
      <c r="AD670" s="362" t="n">
        <v>28014</v>
      </c>
      <c r="AE670" s="360" t="n">
        <v>0</v>
      </c>
      <c r="AF670" s="615" t="n">
        <v>0</v>
      </c>
      <c r="AG670" s="203" t="n">
        <v>0</v>
      </c>
      <c r="AH670" s="203" t="n">
        <v>0</v>
      </c>
      <c r="AI670" s="203" t="n">
        <v>0</v>
      </c>
      <c r="AJ670" s="203" t="n">
        <v>0</v>
      </c>
      <c r="AK670" s="203" t="n">
        <v>0</v>
      </c>
      <c r="AL670" s="203" t="n">
        <v>0.01</v>
      </c>
      <c r="AM670" s="203" t="n">
        <v>0</v>
      </c>
      <c r="AN670" s="203" t="inlineStr">
        <is>
          <t>ចំណូលពីសេវាកម្ម (លើកដាក់ទំនិញ)</t>
        </is>
      </c>
    </row>
    <row r="671">
      <c r="A671" s="220">
        <f>A670+1</f>
        <v/>
      </c>
      <c r="B671" s="222" t="inlineStr">
        <is>
          <t>Trucking &amp; Clearance-Ex</t>
        </is>
      </c>
      <c r="C671" s="222" t="inlineStr">
        <is>
          <t>KR GLOBAL LOGISTICS CO., LTD.</t>
        </is>
      </c>
      <c r="D671" s="223" t="inlineStr">
        <is>
          <t>K005-902004162</t>
        </is>
      </c>
      <c r="E671" s="349" t="inlineStr">
        <is>
          <t>KR252270</t>
        </is>
      </c>
      <c r="F671" s="332" t="n">
        <v>45786</v>
      </c>
      <c r="G671" s="224" t="n"/>
      <c r="H671" s="617" t="n"/>
      <c r="I671" s="617" t="n">
        <v>170528</v>
      </c>
      <c r="J671" s="221" t="inlineStr">
        <is>
          <t>អនុញ្ញាត (បានប្រកាស)</t>
        </is>
      </c>
      <c r="K671" s="618" t="n"/>
      <c r="L671" s="616">
        <f>I671</f>
        <v/>
      </c>
      <c r="M671" s="588">
        <f>I671-L671</f>
        <v/>
      </c>
      <c r="N671" s="221" t="n"/>
      <c r="O671" s="226">
        <f>U671=E671</f>
        <v/>
      </c>
      <c r="P671" s="226">
        <f>MONTH(F671)-MONTH(T671)</f>
        <v/>
      </c>
      <c r="Q671" s="226">
        <f>$B$5=X671</f>
        <v/>
      </c>
      <c r="R671" s="226">
        <f>I671-AD671</f>
        <v/>
      </c>
      <c r="S671" s="360" t="n"/>
      <c r="T671" s="361" t="n">
        <v>45786</v>
      </c>
      <c r="U671" s="360" t="inlineStr">
        <is>
          <t>KR252270</t>
        </is>
      </c>
      <c r="V671" s="360" t="n"/>
      <c r="W671" s="360" t="n"/>
      <c r="X671" s="360" t="n"/>
      <c r="Y671" s="360" t="inlineStr">
        <is>
          <t>ហូលីដេ ឌីហ្សាញ (ខេមបូឌា) ឯ.ក</t>
        </is>
      </c>
      <c r="Z671" s="362" t="n"/>
      <c r="AA671" s="362" t="n"/>
      <c r="AB671" s="360" t="n"/>
      <c r="AC671" s="360" t="n"/>
      <c r="AD671" s="362" t="n">
        <v>170528</v>
      </c>
      <c r="AE671" s="360" t="n"/>
      <c r="AF671" s="615" t="n"/>
    </row>
    <row r="672">
      <c r="A672" s="220">
        <f>A671+1</f>
        <v/>
      </c>
      <c r="B672" s="222" t="inlineStr">
        <is>
          <t>Lift-Off-Ex</t>
        </is>
      </c>
      <c r="C672" s="222" t="inlineStr">
        <is>
          <t>PHNOM PENH AUTONOMOUS PORT "PPAP"</t>
        </is>
      </c>
      <c r="D672" s="223" t="inlineStr">
        <is>
          <t>L001-100044999</t>
        </is>
      </c>
      <c r="E672" s="349" t="inlineStr">
        <is>
          <t>INV20250539158</t>
        </is>
      </c>
      <c r="F672" s="332" t="n">
        <v>45796</v>
      </c>
      <c r="G672" s="224" t="n"/>
      <c r="H672" s="617" t="n"/>
      <c r="I672" s="617" t="n">
        <v>28014</v>
      </c>
      <c r="J672" s="221" t="inlineStr">
        <is>
          <t>អនុញ្ញាត (បានប្រកាស)</t>
        </is>
      </c>
      <c r="K672" s="618" t="n"/>
      <c r="L672" s="616">
        <f>I672</f>
        <v/>
      </c>
      <c r="M672" s="588">
        <f>I672-L672</f>
        <v/>
      </c>
      <c r="N672" s="221" t="n"/>
      <c r="O672" s="226">
        <f>U672=E672</f>
        <v/>
      </c>
      <c r="P672" s="226">
        <f>MONTH(F672)-MONTH(T672)</f>
        <v/>
      </c>
      <c r="Q672" s="226">
        <f>$B$5=X672</f>
        <v/>
      </c>
      <c r="R672" s="226">
        <f>I672-AD672</f>
        <v/>
      </c>
      <c r="S672" s="360" t="n"/>
      <c r="T672" s="361" t="n">
        <v>45796</v>
      </c>
      <c r="U672" s="360" t="inlineStr">
        <is>
          <t>INV20250539158</t>
        </is>
      </c>
      <c r="V672" s="360" t="n">
        <v>0</v>
      </c>
      <c r="W672" s="360" t="inlineStr">
        <is>
          <t>បុគ្គលជាប់អាករ</t>
        </is>
      </c>
      <c r="X672" s="360" t="inlineStr">
        <is>
          <t>L001-901640009</t>
        </is>
      </c>
      <c r="Y672" s="360" t="inlineStr">
        <is>
          <t>ហូលីដេ ឌីហ្សាញ (ខេមបូឌា) ឯ.ក</t>
        </is>
      </c>
      <c r="Z672" s="362" t="n">
        <v>308154</v>
      </c>
      <c r="AA672" s="362" t="n">
        <v>280140</v>
      </c>
      <c r="AB672" s="360" t="n">
        <v>0</v>
      </c>
      <c r="AC672" s="360" t="inlineStr">
        <is>
          <t>-</t>
        </is>
      </c>
      <c r="AD672" s="362" t="n">
        <v>28014</v>
      </c>
      <c r="AE672" s="360" t="n">
        <v>0</v>
      </c>
      <c r="AF672" s="615" t="n">
        <v>0</v>
      </c>
      <c r="AG672" s="203" t="n">
        <v>0</v>
      </c>
      <c r="AH672" s="203" t="n">
        <v>0</v>
      </c>
      <c r="AI672" s="203" t="n">
        <v>0</v>
      </c>
      <c r="AJ672" s="203" t="n">
        <v>0</v>
      </c>
      <c r="AK672" s="203" t="n">
        <v>0</v>
      </c>
      <c r="AL672" s="203" t="n">
        <v>0.01</v>
      </c>
      <c r="AM672" s="203" t="n">
        <v>0</v>
      </c>
      <c r="AN672" s="203" t="inlineStr">
        <is>
          <t>ចំណូលពីសេវាកម្ម (លើកដាក់ទំនិញ)</t>
        </is>
      </c>
    </row>
    <row r="673">
      <c r="A673" s="220">
        <f>A672+1</f>
        <v/>
      </c>
      <c r="B673" s="222" t="inlineStr">
        <is>
          <t>Trucking &amp; Clearance-Ex</t>
        </is>
      </c>
      <c r="C673" s="222" t="inlineStr">
        <is>
          <t>KR GLOBAL LOGISTICS CO., LTD.</t>
        </is>
      </c>
      <c r="D673" s="223" t="inlineStr">
        <is>
          <t>K005-902004162</t>
        </is>
      </c>
      <c r="E673" s="349" t="inlineStr">
        <is>
          <t>KR252269</t>
        </is>
      </c>
      <c r="F673" s="332" t="n">
        <v>45786</v>
      </c>
      <c r="G673" s="224" t="n"/>
      <c r="H673" s="617" t="n"/>
      <c r="I673" s="617" t="n">
        <v>170528</v>
      </c>
      <c r="J673" s="221" t="inlineStr">
        <is>
          <t>អនុញ្ញាត (បានប្រកាស)</t>
        </is>
      </c>
      <c r="K673" s="618" t="n"/>
      <c r="L673" s="616">
        <f>I673</f>
        <v/>
      </c>
      <c r="M673" s="588">
        <f>I673-L673</f>
        <v/>
      </c>
      <c r="N673" s="221" t="n"/>
      <c r="O673" s="226">
        <f>U673=E673</f>
        <v/>
      </c>
      <c r="P673" s="226">
        <f>MONTH(F673)-MONTH(T673)</f>
        <v/>
      </c>
      <c r="Q673" s="226">
        <f>$B$5=X673</f>
        <v/>
      </c>
      <c r="R673" s="226">
        <f>I673-AD673</f>
        <v/>
      </c>
      <c r="S673" s="360" t="n"/>
      <c r="T673" s="361" t="n">
        <v>45786</v>
      </c>
      <c r="U673" s="360" t="inlineStr">
        <is>
          <t>KR252269</t>
        </is>
      </c>
      <c r="V673" s="360" t="n"/>
      <c r="W673" s="360" t="n"/>
      <c r="X673" s="360" t="n"/>
      <c r="Y673" s="360" t="inlineStr">
        <is>
          <t>ហូលីដេ ឌីហ្សាញ (ខេមបូឌា) ឯ.ក</t>
        </is>
      </c>
      <c r="Z673" s="362" t="n"/>
      <c r="AA673" s="362" t="n"/>
      <c r="AB673" s="360" t="n"/>
      <c r="AC673" s="360" t="n"/>
      <c r="AD673" s="362" t="n">
        <v>170528</v>
      </c>
      <c r="AE673" s="360" t="n"/>
      <c r="AF673" s="615" t="n"/>
    </row>
    <row r="674">
      <c r="A674" s="220">
        <f>A673+1</f>
        <v/>
      </c>
      <c r="B674" s="222" t="inlineStr">
        <is>
          <t>Lift-Off-Ex</t>
        </is>
      </c>
      <c r="C674" s="222" t="inlineStr">
        <is>
          <t>PHNOM PENH AUTONOMOUS PORT "PPAP"</t>
        </is>
      </c>
      <c r="D674" s="223" t="inlineStr">
        <is>
          <t>L001-100044999</t>
        </is>
      </c>
      <c r="E674" s="349" t="inlineStr">
        <is>
          <t>INV20250539157</t>
        </is>
      </c>
      <c r="F674" s="332" t="n">
        <v>45796</v>
      </c>
      <c r="G674" s="224" t="n"/>
      <c r="H674" s="617" t="n"/>
      <c r="I674" s="617" t="n">
        <v>28014</v>
      </c>
      <c r="J674" s="221" t="inlineStr">
        <is>
          <t>អនុញ្ញាត (បានប្រកាស)</t>
        </is>
      </c>
      <c r="K674" s="618" t="n"/>
      <c r="L674" s="616">
        <f>I674</f>
        <v/>
      </c>
      <c r="M674" s="588">
        <f>I674-L674</f>
        <v/>
      </c>
      <c r="N674" s="221" t="n"/>
      <c r="O674" s="226">
        <f>U674=E674</f>
        <v/>
      </c>
      <c r="P674" s="226">
        <f>MONTH(F674)-MONTH(T674)</f>
        <v/>
      </c>
      <c r="Q674" s="226">
        <f>$B$5=X674</f>
        <v/>
      </c>
      <c r="R674" s="226">
        <f>I674-AD674</f>
        <v/>
      </c>
      <c r="S674" s="360" t="n"/>
      <c r="T674" s="363" t="n">
        <v>45796</v>
      </c>
      <c r="U674" s="360" t="inlineStr">
        <is>
          <t>INV20250539157</t>
        </is>
      </c>
      <c r="V674" s="360" t="n">
        <v>0</v>
      </c>
      <c r="W674" s="360" t="inlineStr">
        <is>
          <t>បុគ្គលជាប់អាករ</t>
        </is>
      </c>
      <c r="X674" s="360" t="inlineStr">
        <is>
          <t>L001-901640009</t>
        </is>
      </c>
      <c r="Y674" s="360" t="inlineStr">
        <is>
          <t>ហូលីដេ ឌីហ្សាញ (ខេមបូឌា) ឯ.ក</t>
        </is>
      </c>
      <c r="Z674" s="362" t="n">
        <v>308154</v>
      </c>
      <c r="AA674" s="362" t="n">
        <v>280140</v>
      </c>
      <c r="AB674" s="360" t="n">
        <v>0</v>
      </c>
      <c r="AC674" s="360" t="inlineStr">
        <is>
          <t>-</t>
        </is>
      </c>
      <c r="AD674" s="362" t="n">
        <v>28014</v>
      </c>
      <c r="AE674" s="360" t="n">
        <v>0</v>
      </c>
      <c r="AF674" s="615" t="n">
        <v>0</v>
      </c>
      <c r="AG674" s="203" t="n">
        <v>0</v>
      </c>
      <c r="AH674" s="203" t="n">
        <v>0</v>
      </c>
      <c r="AI674" s="203" t="n">
        <v>0</v>
      </c>
      <c r="AJ674" s="203" t="n">
        <v>0</v>
      </c>
      <c r="AK674" s="203" t="n">
        <v>0</v>
      </c>
      <c r="AL674" s="203" t="n">
        <v>0.01</v>
      </c>
      <c r="AM674" s="203" t="n">
        <v>0</v>
      </c>
      <c r="AN674" s="203" t="inlineStr">
        <is>
          <t>ចំណូលពីសេវាកម្ម (លើកដាក់ទំនិញ)</t>
        </is>
      </c>
    </row>
    <row r="675">
      <c r="A675" s="220">
        <f>A674+1</f>
        <v/>
      </c>
      <c r="B675" s="222" t="inlineStr">
        <is>
          <t>Trucking &amp; Clearance-Ex</t>
        </is>
      </c>
      <c r="C675" s="222" t="inlineStr">
        <is>
          <t>KR GLOBAL LOGISTICS CO., LTD.</t>
        </is>
      </c>
      <c r="D675" s="223" t="inlineStr">
        <is>
          <t>K005-902004162</t>
        </is>
      </c>
      <c r="E675" s="349" t="inlineStr">
        <is>
          <t>KR252268</t>
        </is>
      </c>
      <c r="F675" s="332" t="n">
        <v>45786</v>
      </c>
      <c r="G675" s="224" t="n"/>
      <c r="H675" s="617" t="n"/>
      <c r="I675" s="617" t="n">
        <v>170528</v>
      </c>
      <c r="J675" s="221" t="inlineStr">
        <is>
          <t>អនុញ្ញាត (បានប្រកាស)</t>
        </is>
      </c>
      <c r="K675" s="618" t="n"/>
      <c r="L675" s="616">
        <f>I675</f>
        <v/>
      </c>
      <c r="M675" s="588">
        <f>I675-L675</f>
        <v/>
      </c>
      <c r="N675" s="221" t="n"/>
      <c r="O675" s="226">
        <f>U675=E675</f>
        <v/>
      </c>
      <c r="P675" s="226">
        <f>MONTH(F675)-MONTH(T675)</f>
        <v/>
      </c>
      <c r="Q675" s="226">
        <f>$B$5=X675</f>
        <v/>
      </c>
      <c r="R675" s="226">
        <f>I675-AD675</f>
        <v/>
      </c>
      <c r="S675" s="360" t="n"/>
      <c r="T675" s="361" t="n">
        <v>45786</v>
      </c>
      <c r="U675" s="360" t="inlineStr">
        <is>
          <t>KR252268</t>
        </is>
      </c>
      <c r="V675" s="360" t="n"/>
      <c r="W675" s="360" t="n"/>
      <c r="X675" s="360" t="n"/>
      <c r="Y675" s="360" t="inlineStr">
        <is>
          <t>ហូលីដេ ឌីហ្សាញ (ខេមបូឌា) ឯ.ក</t>
        </is>
      </c>
      <c r="Z675" s="362" t="n"/>
      <c r="AA675" s="362" t="n"/>
      <c r="AB675" s="360" t="n"/>
      <c r="AC675" s="360" t="n"/>
      <c r="AD675" s="362" t="n">
        <v>170528</v>
      </c>
      <c r="AE675" s="360" t="n"/>
      <c r="AF675" s="615" t="n"/>
    </row>
    <row r="676">
      <c r="A676" s="220">
        <f>A675+1</f>
        <v/>
      </c>
      <c r="B676" s="222" t="inlineStr">
        <is>
          <t>Lift-Off-Ex</t>
        </is>
      </c>
      <c r="C676" s="222" t="inlineStr">
        <is>
          <t>PHNOM PENH AUTONOMOUS PORT "PPAP"</t>
        </is>
      </c>
      <c r="D676" s="223" t="inlineStr">
        <is>
          <t>L001-100044999</t>
        </is>
      </c>
      <c r="E676" s="349" t="inlineStr">
        <is>
          <t>INV20250539156</t>
        </is>
      </c>
      <c r="F676" s="332" t="n">
        <v>45796</v>
      </c>
      <c r="G676" s="224" t="n"/>
      <c r="H676" s="617" t="n"/>
      <c r="I676" s="617" t="n">
        <v>112056</v>
      </c>
      <c r="J676" s="221" t="inlineStr">
        <is>
          <t>អនុញ្ញាត (បានប្រកាស)</t>
        </is>
      </c>
      <c r="K676" s="618" t="n"/>
      <c r="L676" s="616">
        <f>I676</f>
        <v/>
      </c>
      <c r="M676" s="588">
        <f>I676-L676</f>
        <v/>
      </c>
      <c r="N676" s="221" t="n"/>
      <c r="O676" s="226">
        <f>U676=E676</f>
        <v/>
      </c>
      <c r="P676" s="226">
        <f>MONTH(F676)-MONTH(T676)</f>
        <v/>
      </c>
      <c r="Q676" s="226">
        <f>$B$5=X676</f>
        <v/>
      </c>
      <c r="R676" s="226">
        <f>I676-AD676</f>
        <v/>
      </c>
      <c r="S676" s="360" t="n"/>
      <c r="T676" s="361" t="n">
        <v>45796</v>
      </c>
      <c r="U676" s="360" t="inlineStr">
        <is>
          <t>INV20250539156</t>
        </is>
      </c>
      <c r="V676" s="360" t="n">
        <v>0</v>
      </c>
      <c r="W676" s="360" t="inlineStr">
        <is>
          <t>បុគ្គលជាប់អាករ</t>
        </is>
      </c>
      <c r="X676" s="360" t="inlineStr">
        <is>
          <t>L001-901640009</t>
        </is>
      </c>
      <c r="Y676" s="360" t="inlineStr">
        <is>
          <t>ហូលីដេ ឌីហ្សាញ (ខេមបូឌា) ឯ.ក</t>
        </is>
      </c>
      <c r="Z676" s="362" t="n">
        <v>1232616</v>
      </c>
      <c r="AA676" s="362" t="n">
        <v>1120560</v>
      </c>
      <c r="AB676" s="360" t="n">
        <v>0</v>
      </c>
      <c r="AC676" s="360" t="inlineStr">
        <is>
          <t>-</t>
        </is>
      </c>
      <c r="AD676" s="362" t="n">
        <v>112056</v>
      </c>
      <c r="AE676" s="360" t="n">
        <v>0</v>
      </c>
      <c r="AF676" s="615" t="n">
        <v>0</v>
      </c>
      <c r="AG676" s="203" t="n">
        <v>0</v>
      </c>
      <c r="AH676" s="203" t="n">
        <v>0</v>
      </c>
      <c r="AI676" s="203" t="n">
        <v>0</v>
      </c>
      <c r="AJ676" s="203" t="n">
        <v>0</v>
      </c>
      <c r="AK676" s="203" t="n">
        <v>0</v>
      </c>
      <c r="AL676" s="203" t="n">
        <v>0.01</v>
      </c>
      <c r="AM676" s="203" t="n">
        <v>0</v>
      </c>
      <c r="AN676" s="203" t="inlineStr">
        <is>
          <t>ចំណូលពីសេវាកម្ម (លើកដាក់ទំនិញ)</t>
        </is>
      </c>
    </row>
    <row r="677">
      <c r="A677" s="220">
        <f>A676+1</f>
        <v/>
      </c>
      <c r="B677" s="222" t="inlineStr">
        <is>
          <t>Trucking &amp; Clearance-Ex</t>
        </is>
      </c>
      <c r="C677" s="222" t="inlineStr">
        <is>
          <t>KR GLOBAL LOGISTICS CO., LTD.</t>
        </is>
      </c>
      <c r="D677" s="223" t="inlineStr">
        <is>
          <t>K005-902004162</t>
        </is>
      </c>
      <c r="E677" s="349" t="inlineStr">
        <is>
          <t>KR252267</t>
        </is>
      </c>
      <c r="F677" s="332" t="n">
        <v>45786</v>
      </c>
      <c r="G677" s="224" t="n"/>
      <c r="H677" s="617" t="n"/>
      <c r="I677" s="617" t="n">
        <v>677308</v>
      </c>
      <c r="J677" s="221" t="inlineStr">
        <is>
          <t>អនុញ្ញាត (បានប្រកាស)</t>
        </is>
      </c>
      <c r="K677" s="618" t="n"/>
      <c r="L677" s="616">
        <f>I677</f>
        <v/>
      </c>
      <c r="M677" s="588">
        <f>I677-L677</f>
        <v/>
      </c>
      <c r="N677" s="221" t="n"/>
      <c r="O677" s="226">
        <f>U677=E677</f>
        <v/>
      </c>
      <c r="P677" s="226">
        <f>MONTH(F677)-MONTH(T677)</f>
        <v/>
      </c>
      <c r="Q677" s="226">
        <f>$B$5=X677</f>
        <v/>
      </c>
      <c r="R677" s="226">
        <f>I677-AD677</f>
        <v/>
      </c>
      <c r="S677" s="360" t="n"/>
      <c r="T677" s="363" t="n">
        <v>45786</v>
      </c>
      <c r="U677" s="360" t="inlineStr">
        <is>
          <t>KR252267</t>
        </is>
      </c>
      <c r="V677" s="360" t="n"/>
      <c r="W677" s="360" t="n"/>
      <c r="X677" s="360" t="n"/>
      <c r="Y677" s="360" t="inlineStr">
        <is>
          <t>ហូលីដេ ឌីហ្សាញ (ខេមបូឌា) ឯ.ក</t>
        </is>
      </c>
      <c r="Z677" s="362" t="n"/>
      <c r="AA677" s="362" t="n"/>
      <c r="AB677" s="360" t="n"/>
      <c r="AC677" s="360" t="n"/>
      <c r="AD677" s="362" t="n">
        <v>677308</v>
      </c>
      <c r="AE677" s="360" t="n"/>
      <c r="AF677" s="615" t="n"/>
    </row>
    <row r="678">
      <c r="A678" s="220">
        <f>A677+1</f>
        <v/>
      </c>
      <c r="B678" s="222" t="inlineStr">
        <is>
          <t>Lift-Off-Ex</t>
        </is>
      </c>
      <c r="C678" s="222" t="inlineStr">
        <is>
          <t>PHNOM PENH AUTONOMOUS PORT "PPAP"</t>
        </is>
      </c>
      <c r="D678" s="223" t="inlineStr">
        <is>
          <t>L001-100044999</t>
        </is>
      </c>
      <c r="E678" s="349" t="inlineStr">
        <is>
          <t>INV20250539155</t>
        </is>
      </c>
      <c r="F678" s="332" t="n">
        <v>45796</v>
      </c>
      <c r="G678" s="224" t="n"/>
      <c r="H678" s="617" t="n"/>
      <c r="I678" s="617" t="n">
        <v>28014</v>
      </c>
      <c r="J678" s="221" t="inlineStr">
        <is>
          <t>អនុញ្ញាត (បានប្រកាស)</t>
        </is>
      </c>
      <c r="K678" s="618" t="n"/>
      <c r="L678" s="616">
        <f>I678</f>
        <v/>
      </c>
      <c r="M678" s="588">
        <f>I678-L678</f>
        <v/>
      </c>
      <c r="N678" s="221" t="n"/>
      <c r="O678" s="226">
        <f>U678=E678</f>
        <v/>
      </c>
      <c r="P678" s="226">
        <f>MONTH(F678)-MONTH(T678)</f>
        <v/>
      </c>
      <c r="Q678" s="226">
        <f>$B$5=X678</f>
        <v/>
      </c>
      <c r="R678" s="226">
        <f>I678-AD678</f>
        <v/>
      </c>
      <c r="S678" s="360" t="n"/>
      <c r="T678" s="361" t="n">
        <v>45796</v>
      </c>
      <c r="U678" s="360" t="inlineStr">
        <is>
          <t>INV20250539155</t>
        </is>
      </c>
      <c r="V678" s="360" t="n">
        <v>0</v>
      </c>
      <c r="W678" s="360" t="inlineStr">
        <is>
          <t>បុគ្គលជាប់អាករ</t>
        </is>
      </c>
      <c r="X678" s="360" t="inlineStr">
        <is>
          <t>L001-901640009</t>
        </is>
      </c>
      <c r="Y678" s="360" t="inlineStr">
        <is>
          <t>ហូលីដេ ឌីហ្សាញ (ខេមបូឌា) ឯ.ក</t>
        </is>
      </c>
      <c r="Z678" s="362" t="n">
        <v>308154</v>
      </c>
      <c r="AA678" s="362" t="n">
        <v>280140</v>
      </c>
      <c r="AB678" s="360" t="n">
        <v>0</v>
      </c>
      <c r="AC678" s="360" t="inlineStr">
        <is>
          <t>-</t>
        </is>
      </c>
      <c r="AD678" s="362" t="n">
        <v>28014</v>
      </c>
      <c r="AE678" s="360" t="n">
        <v>0</v>
      </c>
      <c r="AF678" s="615" t="n">
        <v>0</v>
      </c>
      <c r="AG678" s="203" t="n">
        <v>0</v>
      </c>
      <c r="AH678" s="203" t="n">
        <v>0</v>
      </c>
      <c r="AI678" s="203" t="n">
        <v>0</v>
      </c>
      <c r="AJ678" s="203" t="n">
        <v>0</v>
      </c>
      <c r="AK678" s="203" t="n">
        <v>0</v>
      </c>
      <c r="AL678" s="203" t="n">
        <v>0.01</v>
      </c>
      <c r="AM678" s="203" t="n">
        <v>0</v>
      </c>
      <c r="AN678" s="203" t="inlineStr">
        <is>
          <t>ចំណូលពីសេវាកម្ម (លើកដាក់ទំនិញ)</t>
        </is>
      </c>
    </row>
    <row r="679">
      <c r="A679" s="220">
        <f>A678+1</f>
        <v/>
      </c>
      <c r="B679" s="222" t="inlineStr">
        <is>
          <t>Trucking &amp; Clearance-Ex</t>
        </is>
      </c>
      <c r="C679" s="222" t="inlineStr">
        <is>
          <t>KR GLOBAL LOGISTICS CO., LTD.</t>
        </is>
      </c>
      <c r="D679" s="223" t="inlineStr">
        <is>
          <t>K005-902004162</t>
        </is>
      </c>
      <c r="E679" s="349" t="inlineStr">
        <is>
          <t>KR252266</t>
        </is>
      </c>
      <c r="F679" s="332" t="n">
        <v>45786</v>
      </c>
      <c r="G679" s="224" t="n"/>
      <c r="H679" s="617" t="n"/>
      <c r="I679" s="617" t="n">
        <v>170528</v>
      </c>
      <c r="J679" s="221" t="inlineStr">
        <is>
          <t>អនុញ្ញាត (បានប្រកាស)</t>
        </is>
      </c>
      <c r="K679" s="618" t="n"/>
      <c r="L679" s="616">
        <f>I679</f>
        <v/>
      </c>
      <c r="M679" s="588">
        <f>I679-L679</f>
        <v/>
      </c>
      <c r="N679" s="221" t="n"/>
      <c r="O679" s="226">
        <f>U679=E679</f>
        <v/>
      </c>
      <c r="P679" s="226">
        <f>MONTH(F679)-MONTH(T679)</f>
        <v/>
      </c>
      <c r="Q679" s="226">
        <f>$B$5=X679</f>
        <v/>
      </c>
      <c r="R679" s="226">
        <f>I679-AD679</f>
        <v/>
      </c>
      <c r="S679" s="360" t="n"/>
      <c r="T679" s="361" t="n">
        <v>45786</v>
      </c>
      <c r="U679" s="360" t="inlineStr">
        <is>
          <t>KR252266</t>
        </is>
      </c>
      <c r="V679" s="360" t="n"/>
      <c r="W679" s="360" t="n"/>
      <c r="X679" s="360" t="n"/>
      <c r="Y679" s="360" t="inlineStr">
        <is>
          <t>ហូលីដេ ឌីហ្សាញ (ខេមបូឌា) ឯ.ក</t>
        </is>
      </c>
      <c r="Z679" s="362" t="n"/>
      <c r="AA679" s="362" t="n"/>
      <c r="AB679" s="360" t="n"/>
      <c r="AC679" s="360" t="n"/>
      <c r="AD679" s="362" t="n">
        <v>170528</v>
      </c>
      <c r="AE679" s="360" t="n"/>
      <c r="AF679" s="615" t="n"/>
    </row>
    <row r="680">
      <c r="A680" s="220">
        <f>A679+1</f>
        <v/>
      </c>
      <c r="B680" s="222" t="inlineStr">
        <is>
          <t>Lift-Off-Ex</t>
        </is>
      </c>
      <c r="C680" s="222" t="inlineStr">
        <is>
          <t>PHNOM PENH AUTONOMOUS PORT "PPAP"</t>
        </is>
      </c>
      <c r="D680" s="223" t="inlineStr">
        <is>
          <t>L001-100044999</t>
        </is>
      </c>
      <c r="E680" s="349" t="inlineStr">
        <is>
          <t>INV20250539154</t>
        </is>
      </c>
      <c r="F680" s="332" t="n">
        <v>45796</v>
      </c>
      <c r="G680" s="224" t="n"/>
      <c r="H680" s="617" t="n"/>
      <c r="I680" s="617" t="n">
        <v>28014</v>
      </c>
      <c r="J680" s="221" t="inlineStr">
        <is>
          <t>អនុញ្ញាត (បានប្រកាស)</t>
        </is>
      </c>
      <c r="K680" s="618" t="n"/>
      <c r="L680" s="616">
        <f>I680</f>
        <v/>
      </c>
      <c r="M680" s="588">
        <f>I680-L680</f>
        <v/>
      </c>
      <c r="N680" s="221" t="n"/>
      <c r="O680" s="226">
        <f>U680=E680</f>
        <v/>
      </c>
      <c r="P680" s="226">
        <f>MONTH(F680)-MONTH(T680)</f>
        <v/>
      </c>
      <c r="Q680" s="226">
        <f>$B$5=X680</f>
        <v/>
      </c>
      <c r="R680" s="226">
        <f>I680-AD680</f>
        <v/>
      </c>
      <c r="S680" s="360" t="n"/>
      <c r="T680" s="361" t="n">
        <v>45796</v>
      </c>
      <c r="U680" s="360" t="inlineStr">
        <is>
          <t>INV20250539154</t>
        </is>
      </c>
      <c r="V680" s="360" t="n">
        <v>0</v>
      </c>
      <c r="W680" s="360" t="inlineStr">
        <is>
          <t>បុគ្គលជាប់អាករ</t>
        </is>
      </c>
      <c r="X680" s="360" t="inlineStr">
        <is>
          <t>L001-901640009</t>
        </is>
      </c>
      <c r="Y680" s="360" t="inlineStr">
        <is>
          <t>ហូលីដេ ឌីហ្សាញ (ខេមបូឌា) ឯ.ក</t>
        </is>
      </c>
      <c r="Z680" s="362" t="n">
        <v>308154</v>
      </c>
      <c r="AA680" s="362" t="n">
        <v>280140</v>
      </c>
      <c r="AB680" s="360" t="n">
        <v>0</v>
      </c>
      <c r="AC680" s="360" t="inlineStr">
        <is>
          <t>-</t>
        </is>
      </c>
      <c r="AD680" s="362" t="n">
        <v>28014</v>
      </c>
      <c r="AE680" s="360" t="n">
        <v>0</v>
      </c>
      <c r="AF680" s="615" t="n">
        <v>0</v>
      </c>
      <c r="AG680" s="203" t="n">
        <v>0</v>
      </c>
      <c r="AH680" s="203" t="n">
        <v>0</v>
      </c>
      <c r="AI680" s="203" t="n">
        <v>0</v>
      </c>
      <c r="AJ680" s="203" t="n">
        <v>0</v>
      </c>
      <c r="AK680" s="203" t="n">
        <v>0</v>
      </c>
      <c r="AL680" s="203" t="n">
        <v>0.01</v>
      </c>
      <c r="AM680" s="203" t="n">
        <v>0</v>
      </c>
      <c r="AN680" s="203" t="inlineStr">
        <is>
          <t>ចំណូលពីសេវាកម្ម (លើកដាក់ទំនិញ)</t>
        </is>
      </c>
    </row>
    <row r="681">
      <c r="A681" s="220">
        <f>A680+1</f>
        <v/>
      </c>
      <c r="B681" s="222" t="inlineStr">
        <is>
          <t>Trucking &amp; Clearance-Ex</t>
        </is>
      </c>
      <c r="C681" s="222" t="inlineStr">
        <is>
          <t>KR GLOBAL LOGISTICS CO., LTD.</t>
        </is>
      </c>
      <c r="D681" s="223" t="inlineStr">
        <is>
          <t>K005-902004162</t>
        </is>
      </c>
      <c r="E681" s="349" t="inlineStr">
        <is>
          <t>KR252265</t>
        </is>
      </c>
      <c r="F681" s="332" t="n">
        <v>45786</v>
      </c>
      <c r="G681" s="224" t="n"/>
      <c r="H681" s="617" t="n"/>
      <c r="I681" s="617" t="n">
        <v>170528</v>
      </c>
      <c r="J681" s="221" t="inlineStr">
        <is>
          <t>អនុញ្ញាត (បានប្រកាស)</t>
        </is>
      </c>
      <c r="K681" s="618" t="n"/>
      <c r="L681" s="616">
        <f>I681</f>
        <v/>
      </c>
      <c r="M681" s="588">
        <f>I681-L681</f>
        <v/>
      </c>
      <c r="N681" s="221" t="n"/>
      <c r="O681" s="226">
        <f>U681=E681</f>
        <v/>
      </c>
      <c r="P681" s="226">
        <f>MONTH(F681)-MONTH(T681)</f>
        <v/>
      </c>
      <c r="Q681" s="226">
        <f>$B$5=X681</f>
        <v/>
      </c>
      <c r="R681" s="226">
        <f>I681-AD681</f>
        <v/>
      </c>
      <c r="S681" s="360" t="n"/>
      <c r="T681" s="361" t="n">
        <v>45786</v>
      </c>
      <c r="U681" s="360" t="inlineStr">
        <is>
          <t>KR252265</t>
        </is>
      </c>
      <c r="V681" s="360" t="n"/>
      <c r="W681" s="360" t="n"/>
      <c r="X681" s="360" t="n"/>
      <c r="Y681" s="360" t="inlineStr">
        <is>
          <t>ហូលីដេ ឌីហ្សាញ (ខេមបូឌា) ឯ.ក</t>
        </is>
      </c>
      <c r="Z681" s="362" t="n"/>
      <c r="AA681" s="362" t="n"/>
      <c r="AB681" s="360" t="n"/>
      <c r="AC681" s="360" t="n"/>
      <c r="AD681" s="362" t="n">
        <v>170528</v>
      </c>
      <c r="AE681" s="360" t="n"/>
      <c r="AF681" s="615" t="n"/>
    </row>
    <row r="682">
      <c r="A682" s="220">
        <f>A681+1</f>
        <v/>
      </c>
      <c r="B682" s="222" t="inlineStr">
        <is>
          <t>Lift-Off-Ex</t>
        </is>
      </c>
      <c r="C682" s="222" t="inlineStr">
        <is>
          <t>PHNOM PENH AUTONOMOUS PORT "PPAP"</t>
        </is>
      </c>
      <c r="D682" s="223" t="inlineStr">
        <is>
          <t>L001-100044999</t>
        </is>
      </c>
      <c r="E682" s="349" t="inlineStr">
        <is>
          <t>INV20250539153</t>
        </is>
      </c>
      <c r="F682" s="332" t="n">
        <v>45796</v>
      </c>
      <c r="G682" s="224" t="n"/>
      <c r="H682" s="617" t="n"/>
      <c r="I682" s="617" t="n">
        <v>56028</v>
      </c>
      <c r="J682" s="221" t="inlineStr">
        <is>
          <t>អនុញ្ញាត (បានប្រកាស)</t>
        </is>
      </c>
      <c r="K682" s="618" t="n"/>
      <c r="L682" s="616">
        <f>I682</f>
        <v/>
      </c>
      <c r="M682" s="588">
        <f>I682-L682</f>
        <v/>
      </c>
      <c r="N682" s="221" t="n"/>
      <c r="O682" s="226">
        <f>U682=E682</f>
        <v/>
      </c>
      <c r="P682" s="226">
        <f>MONTH(F682)-MONTH(T682)</f>
        <v/>
      </c>
      <c r="Q682" s="226">
        <f>$B$5=X682</f>
        <v/>
      </c>
      <c r="R682" s="226">
        <f>I682-AD682</f>
        <v/>
      </c>
      <c r="S682" s="360" t="n"/>
      <c r="T682" s="361" t="n">
        <v>45796</v>
      </c>
      <c r="U682" s="360" t="inlineStr">
        <is>
          <t>INV20250539153</t>
        </is>
      </c>
      <c r="V682" s="360" t="n">
        <v>0</v>
      </c>
      <c r="W682" s="360" t="inlineStr">
        <is>
          <t>បុគ្គលជាប់អាករ</t>
        </is>
      </c>
      <c r="X682" s="360" t="inlineStr">
        <is>
          <t>L001-901640009</t>
        </is>
      </c>
      <c r="Y682" s="360" t="inlineStr">
        <is>
          <t>ហូលីដេ ឌីហ្សាញ (ខេមបូឌា) ឯ.ក</t>
        </is>
      </c>
      <c r="Z682" s="362" t="n">
        <v>616308</v>
      </c>
      <c r="AA682" s="362" t="n">
        <v>560280</v>
      </c>
      <c r="AB682" s="360" t="n">
        <v>0</v>
      </c>
      <c r="AC682" s="360" t="inlineStr">
        <is>
          <t>-</t>
        </is>
      </c>
      <c r="AD682" s="362" t="n">
        <v>56028</v>
      </c>
      <c r="AE682" s="360" t="n">
        <v>0</v>
      </c>
      <c r="AF682" s="615" t="n">
        <v>0</v>
      </c>
      <c r="AG682" s="203" t="n">
        <v>0</v>
      </c>
      <c r="AH682" s="203" t="n">
        <v>0</v>
      </c>
      <c r="AI682" s="203" t="n">
        <v>0</v>
      </c>
      <c r="AJ682" s="203" t="n">
        <v>0</v>
      </c>
      <c r="AK682" s="203" t="n">
        <v>0</v>
      </c>
      <c r="AL682" s="203" t="n">
        <v>0.01</v>
      </c>
      <c r="AM682" s="203" t="n">
        <v>0</v>
      </c>
      <c r="AN682" s="203" t="inlineStr">
        <is>
          <t>ចំណូលពីសេវាកម្ម (លើកដាក់ទំនិញ)</t>
        </is>
      </c>
    </row>
    <row r="683">
      <c r="A683" s="220">
        <f>A682+1</f>
        <v/>
      </c>
      <c r="B683" s="222" t="inlineStr">
        <is>
          <t>Trucking &amp; Clearance-Ex</t>
        </is>
      </c>
      <c r="C683" s="222" t="inlineStr">
        <is>
          <t>KR GLOBAL LOGISTICS CO., LTD.</t>
        </is>
      </c>
      <c r="D683" s="223" t="inlineStr">
        <is>
          <t>K005-902004162</t>
        </is>
      </c>
      <c r="E683" s="349" t="inlineStr">
        <is>
          <t>KR252264</t>
        </is>
      </c>
      <c r="F683" s="332" t="n">
        <v>45786</v>
      </c>
      <c r="G683" s="224" t="n"/>
      <c r="H683" s="617" t="n"/>
      <c r="I683" s="617" t="n">
        <v>341056</v>
      </c>
      <c r="J683" s="221" t="inlineStr">
        <is>
          <t>អនុញ្ញាត (បានប្រកាស)</t>
        </is>
      </c>
      <c r="K683" s="618" t="n"/>
      <c r="L683" s="616">
        <f>I683</f>
        <v/>
      </c>
      <c r="M683" s="588">
        <f>I683-L683</f>
        <v/>
      </c>
      <c r="N683" s="221" t="n"/>
      <c r="O683" s="226">
        <f>U683=E683</f>
        <v/>
      </c>
      <c r="P683" s="226">
        <f>MONTH(F683)-MONTH(T683)</f>
        <v/>
      </c>
      <c r="Q683" s="226">
        <f>$B$5=X683</f>
        <v/>
      </c>
      <c r="R683" s="226">
        <f>I683-AD683</f>
        <v/>
      </c>
      <c r="S683" s="360" t="n"/>
      <c r="T683" s="361" t="n">
        <v>45786</v>
      </c>
      <c r="U683" s="360" t="inlineStr">
        <is>
          <t>KR252264</t>
        </is>
      </c>
      <c r="V683" s="360" t="n"/>
      <c r="W683" s="360" t="n"/>
      <c r="X683" s="360" t="n"/>
      <c r="Y683" s="360" t="inlineStr">
        <is>
          <t>ហូលីដេ ឌីហ្សាញ (ខេមបូឌា) ឯ.ក</t>
        </is>
      </c>
      <c r="Z683" s="362" t="n"/>
      <c r="AA683" s="362" t="n"/>
      <c r="AB683" s="360" t="n"/>
      <c r="AC683" s="360" t="n"/>
      <c r="AD683" s="362" t="n">
        <v>341056</v>
      </c>
      <c r="AE683" s="360" t="n"/>
      <c r="AF683" s="615" t="n"/>
    </row>
    <row r="684">
      <c r="A684" s="220">
        <f>A683+1</f>
        <v/>
      </c>
      <c r="B684" s="222" t="inlineStr">
        <is>
          <t>Lift-Off-Ex</t>
        </is>
      </c>
      <c r="C684" s="222" t="inlineStr">
        <is>
          <t>PHNOM PENH AUTONOMOUS PORT "PPAP"</t>
        </is>
      </c>
      <c r="D684" s="223" t="inlineStr">
        <is>
          <t>L001-100044999</t>
        </is>
      </c>
      <c r="E684" s="349" t="inlineStr">
        <is>
          <t>INV20250539159</t>
        </is>
      </c>
      <c r="F684" s="332" t="n">
        <v>45796</v>
      </c>
      <c r="G684" s="224" t="n"/>
      <c r="H684" s="617" t="n"/>
      <c r="I684" s="617" t="n">
        <v>28014</v>
      </c>
      <c r="J684" s="221" t="inlineStr">
        <is>
          <t>អនុញ្ញាត (បានប្រកាស)</t>
        </is>
      </c>
      <c r="K684" s="618" t="n"/>
      <c r="L684" s="616">
        <f>I684</f>
        <v/>
      </c>
      <c r="M684" s="588">
        <f>I684-L684</f>
        <v/>
      </c>
      <c r="N684" s="221" t="n"/>
      <c r="O684" s="226">
        <f>U684=E684</f>
        <v/>
      </c>
      <c r="P684" s="226">
        <f>MONTH(F684)-MONTH(T684)</f>
        <v/>
      </c>
      <c r="Q684" s="226">
        <f>$B$5=X684</f>
        <v/>
      </c>
      <c r="R684" s="226">
        <f>I684-AD684</f>
        <v/>
      </c>
      <c r="S684" s="360" t="n"/>
      <c r="T684" s="361" t="n">
        <v>45796</v>
      </c>
      <c r="U684" s="360" t="inlineStr">
        <is>
          <t>INV20250539159</t>
        </is>
      </c>
      <c r="V684" s="360" t="n">
        <v>0</v>
      </c>
      <c r="W684" s="360" t="inlineStr">
        <is>
          <t>បុគ្គលជាប់អាករ</t>
        </is>
      </c>
      <c r="X684" s="360" t="inlineStr">
        <is>
          <t>L001-901640009</t>
        </is>
      </c>
      <c r="Y684" s="360" t="inlineStr">
        <is>
          <t>ហូលីដេ ឌីហ្សាញ (ខេមបូឌា) ឯ.ក</t>
        </is>
      </c>
      <c r="Z684" s="362" t="n">
        <v>308154</v>
      </c>
      <c r="AA684" s="362" t="n">
        <v>280140</v>
      </c>
      <c r="AB684" s="360" t="n">
        <v>0</v>
      </c>
      <c r="AC684" s="360" t="inlineStr">
        <is>
          <t>-</t>
        </is>
      </c>
      <c r="AD684" s="362" t="n">
        <v>28014</v>
      </c>
      <c r="AE684" s="360" t="n">
        <v>0</v>
      </c>
      <c r="AF684" s="615" t="n">
        <v>0</v>
      </c>
      <c r="AG684" s="203" t="n">
        <v>0</v>
      </c>
      <c r="AH684" s="203" t="n">
        <v>0</v>
      </c>
      <c r="AI684" s="203" t="n">
        <v>0</v>
      </c>
      <c r="AJ684" s="203" t="n">
        <v>0</v>
      </c>
      <c r="AK684" s="203" t="n">
        <v>0</v>
      </c>
      <c r="AL684" s="203" t="n">
        <v>0.01</v>
      </c>
      <c r="AM684" s="203" t="n">
        <v>0</v>
      </c>
      <c r="AN684" s="203" t="inlineStr">
        <is>
          <t>ចំណូលពីសេវាកម្ម (លើកដាក់ទំនិញ)</t>
        </is>
      </c>
    </row>
    <row r="685">
      <c r="A685" s="220">
        <f>A684+1</f>
        <v/>
      </c>
      <c r="B685" s="222" t="inlineStr">
        <is>
          <t>Trucking &amp; Clearance-Ex</t>
        </is>
      </c>
      <c r="C685" s="222" t="inlineStr">
        <is>
          <t>KR GLOBAL LOGISTICS CO., LTD.</t>
        </is>
      </c>
      <c r="D685" s="223" t="inlineStr">
        <is>
          <t>K005-902004162</t>
        </is>
      </c>
      <c r="E685" s="349" t="inlineStr">
        <is>
          <t>KR252271</t>
        </is>
      </c>
      <c r="F685" s="332" t="n">
        <v>45786</v>
      </c>
      <c r="G685" s="224" t="n"/>
      <c r="H685" s="617" t="n"/>
      <c r="I685" s="617" t="n">
        <v>170528</v>
      </c>
      <c r="J685" s="221" t="inlineStr">
        <is>
          <t>អនុញ្ញាត (បានប្រកាស)</t>
        </is>
      </c>
      <c r="K685" s="618" t="n"/>
      <c r="L685" s="616">
        <f>I685</f>
        <v/>
      </c>
      <c r="M685" s="588">
        <f>I685-L685</f>
        <v/>
      </c>
      <c r="N685" s="221" t="n"/>
      <c r="O685" s="226">
        <f>U685=E685</f>
        <v/>
      </c>
      <c r="P685" s="226">
        <f>MONTH(F685)-MONTH(T685)</f>
        <v/>
      </c>
      <c r="Q685" s="226">
        <f>$B$5=X685</f>
        <v/>
      </c>
      <c r="R685" s="226">
        <f>I685-AD685</f>
        <v/>
      </c>
      <c r="S685" s="360" t="n"/>
      <c r="T685" s="361" t="n">
        <v>45786</v>
      </c>
      <c r="U685" s="360" t="inlineStr">
        <is>
          <t>KR252271</t>
        </is>
      </c>
      <c r="V685" s="360" t="n"/>
      <c r="W685" s="360" t="n"/>
      <c r="X685" s="360" t="n"/>
      <c r="Y685" s="360" t="inlineStr">
        <is>
          <t>ហូលីដេ ឌីហ្សាញ (ខេមបូឌា) ឯ.ក</t>
        </is>
      </c>
      <c r="Z685" s="362" t="n"/>
      <c r="AA685" s="362" t="n"/>
      <c r="AB685" s="360" t="n"/>
      <c r="AC685" s="360" t="n"/>
      <c r="AD685" s="362" t="n">
        <v>170528</v>
      </c>
      <c r="AE685" s="360" t="n"/>
      <c r="AF685" s="615" t="n"/>
    </row>
    <row r="686">
      <c r="A686" s="220">
        <f>A685+1</f>
        <v/>
      </c>
      <c r="B686" s="222" t="inlineStr">
        <is>
          <t>Lift-Off-Ex</t>
        </is>
      </c>
      <c r="C686" s="222" t="inlineStr">
        <is>
          <t>PHNOM PENH AUTONOMOUS PORT "PPAP"</t>
        </is>
      </c>
      <c r="D686" s="223" t="inlineStr">
        <is>
          <t>L001-100044999</t>
        </is>
      </c>
      <c r="E686" s="349" t="inlineStr">
        <is>
          <t>INV20250539163</t>
        </is>
      </c>
      <c r="F686" s="332" t="n">
        <v>45796</v>
      </c>
      <c r="G686" s="224" t="n"/>
      <c r="H686" s="617" t="n"/>
      <c r="I686" s="617" t="n">
        <v>56028</v>
      </c>
      <c r="J686" s="221" t="inlineStr">
        <is>
          <t>អនុញ្ញាត (បានប្រកាស)</t>
        </is>
      </c>
      <c r="K686" s="618" t="n"/>
      <c r="L686" s="616">
        <f>I686</f>
        <v/>
      </c>
      <c r="M686" s="588">
        <f>I686-L686</f>
        <v/>
      </c>
      <c r="N686" s="221" t="n"/>
      <c r="O686" s="226">
        <f>U686=E686</f>
        <v/>
      </c>
      <c r="P686" s="226">
        <f>MONTH(F686)-MONTH(T686)</f>
        <v/>
      </c>
      <c r="Q686" s="226">
        <f>$B$5=X686</f>
        <v/>
      </c>
      <c r="R686" s="226">
        <f>I686-AD686</f>
        <v/>
      </c>
      <c r="S686" s="360" t="n"/>
      <c r="T686" s="363" t="n">
        <v>45796</v>
      </c>
      <c r="U686" s="360" t="inlineStr">
        <is>
          <t>INV20250539163</t>
        </is>
      </c>
      <c r="V686" s="360" t="n">
        <v>0</v>
      </c>
      <c r="W686" s="360" t="inlineStr">
        <is>
          <t>បុគ្គលជាប់អាករ</t>
        </is>
      </c>
      <c r="X686" s="360" t="inlineStr">
        <is>
          <t>L001-901640009</t>
        </is>
      </c>
      <c r="Y686" s="360" t="inlineStr">
        <is>
          <t>ហូលីដេ ឌីហ្សាញ (ខេមបូឌា) ឯ.ក</t>
        </is>
      </c>
      <c r="Z686" s="362" t="n">
        <v>616308</v>
      </c>
      <c r="AA686" s="362" t="n">
        <v>560280</v>
      </c>
      <c r="AB686" s="360" t="n">
        <v>0</v>
      </c>
      <c r="AC686" s="360" t="inlineStr">
        <is>
          <t>-</t>
        </is>
      </c>
      <c r="AD686" s="362" t="n">
        <v>56028</v>
      </c>
      <c r="AE686" s="360" t="n">
        <v>0</v>
      </c>
      <c r="AF686" s="615" t="n">
        <v>0</v>
      </c>
      <c r="AG686" s="203" t="n">
        <v>0</v>
      </c>
      <c r="AH686" s="203" t="n">
        <v>0</v>
      </c>
      <c r="AI686" s="203" t="n">
        <v>0</v>
      </c>
      <c r="AJ686" s="203" t="n">
        <v>0</v>
      </c>
      <c r="AK686" s="203" t="n">
        <v>0</v>
      </c>
      <c r="AL686" s="203" t="n">
        <v>0.01</v>
      </c>
      <c r="AM686" s="203" t="n">
        <v>0</v>
      </c>
      <c r="AN686" s="203" t="inlineStr">
        <is>
          <t>ចំណូលពីសេវាកម្ម (លើកដាក់ទំនិញ)</t>
        </is>
      </c>
    </row>
    <row r="687">
      <c r="A687" s="220">
        <f>A686+1</f>
        <v/>
      </c>
      <c r="B687" s="222" t="inlineStr">
        <is>
          <t>Trucking &amp; Clearance-Ex</t>
        </is>
      </c>
      <c r="C687" s="222" t="inlineStr">
        <is>
          <t>KR GLOBAL LOGISTICS CO., LTD.</t>
        </is>
      </c>
      <c r="D687" s="223" t="inlineStr">
        <is>
          <t>K005-902004162</t>
        </is>
      </c>
      <c r="E687" s="349" t="inlineStr">
        <is>
          <t>KR252603</t>
        </is>
      </c>
      <c r="F687" s="332" t="n">
        <v>45807</v>
      </c>
      <c r="G687" s="224" t="n"/>
      <c r="H687" s="617" t="n"/>
      <c r="I687" s="617" t="n">
        <v>171014</v>
      </c>
      <c r="J687" s="221" t="inlineStr">
        <is>
          <t>អនុញ្ញាត (បានប្រកាស)</t>
        </is>
      </c>
      <c r="K687" s="618" t="n"/>
      <c r="L687" s="616">
        <f>I687</f>
        <v/>
      </c>
      <c r="M687" s="588">
        <f>I687-L687</f>
        <v/>
      </c>
      <c r="N687" s="221" t="n"/>
      <c r="O687" s="226">
        <f>U687=E687</f>
        <v/>
      </c>
      <c r="P687" s="226">
        <f>MONTH(F687)-MONTH(T687)</f>
        <v/>
      </c>
      <c r="Q687" s="226">
        <f>$B$5=X687</f>
        <v/>
      </c>
      <c r="R687" s="226">
        <f>I687-AD687</f>
        <v/>
      </c>
      <c r="S687" s="360" t="n"/>
      <c r="T687" s="361" t="n">
        <v>45807</v>
      </c>
      <c r="U687" s="360" t="inlineStr">
        <is>
          <t>KR252603</t>
        </is>
      </c>
      <c r="V687" s="360" t="n"/>
      <c r="W687" s="360" t="n"/>
      <c r="X687" s="360" t="n"/>
      <c r="Y687" s="360" t="inlineStr">
        <is>
          <t>ហូលីដេ ឌីហ្សាញ (ខេមបូឌា) ឯ.ក</t>
        </is>
      </c>
      <c r="Z687" s="362" t="n"/>
      <c r="AA687" s="362" t="n"/>
      <c r="AB687" s="360" t="n"/>
      <c r="AC687" s="360" t="n"/>
      <c r="AD687" s="362" t="n">
        <v>171014</v>
      </c>
      <c r="AE687" s="360" t="n"/>
      <c r="AF687" s="615" t="n"/>
    </row>
    <row r="688">
      <c r="A688" s="220">
        <f>A687+1</f>
        <v/>
      </c>
      <c r="B688" s="222" t="inlineStr">
        <is>
          <t>Lift-Off-Ex</t>
        </is>
      </c>
      <c r="C688" s="222" t="inlineStr">
        <is>
          <t>PHNOM PENH AUTONOMOUS PORT "PPAP"</t>
        </is>
      </c>
      <c r="D688" s="223" t="inlineStr">
        <is>
          <t>L001-100044999</t>
        </is>
      </c>
      <c r="E688" s="349" t="inlineStr">
        <is>
          <t>INV20250541761</t>
        </is>
      </c>
      <c r="F688" s="332" t="n">
        <v>45803</v>
      </c>
      <c r="G688" s="224" t="n"/>
      <c r="H688" s="617" t="n"/>
      <c r="I688" s="617" t="n">
        <v>224112</v>
      </c>
      <c r="J688" s="221" t="inlineStr">
        <is>
          <t>អនុញ្ញាត (បានប្រកាស)</t>
        </is>
      </c>
      <c r="K688" s="618" t="n"/>
      <c r="L688" s="616">
        <f>I688</f>
        <v/>
      </c>
      <c r="M688" s="588">
        <f>I688-L688</f>
        <v/>
      </c>
      <c r="N688" s="221" t="n"/>
      <c r="O688" s="226">
        <f>U688=E688</f>
        <v/>
      </c>
      <c r="P688" s="226">
        <f>MONTH(F688)-MONTH(T688)</f>
        <v/>
      </c>
      <c r="Q688" s="226">
        <f>$B$5=X688</f>
        <v/>
      </c>
      <c r="R688" s="226">
        <f>I688-AD688</f>
        <v/>
      </c>
      <c r="S688" s="360" t="n"/>
      <c r="T688" s="363" t="n">
        <v>45803</v>
      </c>
      <c r="U688" s="360" t="inlineStr">
        <is>
          <t>INV20250541761</t>
        </is>
      </c>
      <c r="V688" s="360" t="n">
        <v>0</v>
      </c>
      <c r="W688" s="360" t="inlineStr">
        <is>
          <t>បុគ្គលជាប់អាករ</t>
        </is>
      </c>
      <c r="X688" s="360" t="inlineStr">
        <is>
          <t>L001-901640009</t>
        </is>
      </c>
      <c r="Y688" s="360" t="inlineStr">
        <is>
          <t>ហូលីដេ ឌីហ្សាញ (ខេមបូឌា) ឯ.ក</t>
        </is>
      </c>
      <c r="Z688" s="362" t="n">
        <v>2465232</v>
      </c>
      <c r="AA688" s="362" t="n">
        <v>2241120</v>
      </c>
      <c r="AB688" s="360" t="n">
        <v>0</v>
      </c>
      <c r="AC688" s="360" t="inlineStr">
        <is>
          <t>-</t>
        </is>
      </c>
      <c r="AD688" s="362" t="n">
        <v>224112</v>
      </c>
      <c r="AE688" s="360" t="n">
        <v>0</v>
      </c>
      <c r="AF688" s="615" t="n">
        <v>0</v>
      </c>
      <c r="AG688" s="203" t="n">
        <v>0</v>
      </c>
      <c r="AH688" s="203" t="n">
        <v>0</v>
      </c>
      <c r="AI688" s="203" t="n">
        <v>0</v>
      </c>
      <c r="AJ688" s="203" t="n">
        <v>0</v>
      </c>
      <c r="AK688" s="203" t="n">
        <v>0</v>
      </c>
      <c r="AL688" s="203" t="n">
        <v>0.01</v>
      </c>
      <c r="AM688" s="203" t="n">
        <v>0</v>
      </c>
      <c r="AN688" s="203" t="inlineStr">
        <is>
          <t>ចំណូលពីសេវាកម្ម (លើកដាក់ទំនិញ)</t>
        </is>
      </c>
    </row>
    <row r="689">
      <c r="A689" s="220">
        <f>A688+1</f>
        <v/>
      </c>
      <c r="B689" s="222" t="inlineStr">
        <is>
          <t>Trucking &amp; Clearance-Ex</t>
        </is>
      </c>
      <c r="C689" s="222" t="inlineStr">
        <is>
          <t>KR GLOBAL LOGISTICS CO., LTD.</t>
        </is>
      </c>
      <c r="D689" s="223" t="inlineStr">
        <is>
          <t>K005-902004162</t>
        </is>
      </c>
      <c r="E689" s="349" t="inlineStr">
        <is>
          <t>KR252598</t>
        </is>
      </c>
      <c r="F689" s="332" t="n">
        <v>45807</v>
      </c>
      <c r="G689" s="224" t="n"/>
      <c r="H689" s="617" t="n"/>
      <c r="I689" s="617" t="n">
        <v>1404954</v>
      </c>
      <c r="J689" s="221" t="inlineStr">
        <is>
          <t>អនុញ្ញាត (បានប្រកាស)</t>
        </is>
      </c>
      <c r="K689" s="618" t="n"/>
      <c r="L689" s="616">
        <f>I689</f>
        <v/>
      </c>
      <c r="M689" s="588">
        <f>I689-L689</f>
        <v/>
      </c>
      <c r="N689" s="221" t="n"/>
      <c r="O689" s="226">
        <f>U689=E689</f>
        <v/>
      </c>
      <c r="P689" s="226">
        <f>MONTH(F689)-MONTH(T689)</f>
        <v/>
      </c>
      <c r="Q689" s="226">
        <f>$B$5=X689</f>
        <v/>
      </c>
      <c r="R689" s="226">
        <f>I689-AD689</f>
        <v/>
      </c>
      <c r="S689" s="360" t="n"/>
      <c r="T689" s="361" t="n">
        <v>45807</v>
      </c>
      <c r="U689" s="360" t="inlineStr">
        <is>
          <t>KR252598</t>
        </is>
      </c>
      <c r="V689" s="360" t="n"/>
      <c r="W689" s="360" t="n"/>
      <c r="X689" s="360" t="n"/>
      <c r="Y689" s="360" t="inlineStr">
        <is>
          <t>ហូលីដេ ឌីហ្សាញ (ខេមបូឌា) ឯ.ក</t>
        </is>
      </c>
      <c r="Z689" s="362" t="n"/>
      <c r="AA689" s="362" t="n"/>
      <c r="AB689" s="360" t="n"/>
      <c r="AC689" s="360" t="n"/>
      <c r="AD689" s="362" t="n">
        <v>1404954</v>
      </c>
      <c r="AE689" s="360" t="n"/>
      <c r="AF689" s="615" t="n"/>
    </row>
    <row r="690">
      <c r="A690" s="220">
        <f>A689+1</f>
        <v/>
      </c>
      <c r="B690" s="222" t="inlineStr">
        <is>
          <t>Lift-Off-Ex</t>
        </is>
      </c>
      <c r="C690" s="222" t="inlineStr">
        <is>
          <t>PHNOM PENH AUTONOMOUS PORT "PPAP"</t>
        </is>
      </c>
      <c r="D690" s="223" t="inlineStr">
        <is>
          <t>L001-100044999</t>
        </is>
      </c>
      <c r="E690" s="349" t="inlineStr">
        <is>
          <t>INV20250539164</t>
        </is>
      </c>
      <c r="F690" s="332" t="n">
        <v>45796</v>
      </c>
      <c r="G690" s="224" t="n"/>
      <c r="H690" s="617" t="n"/>
      <c r="I690" s="617" t="n">
        <v>28014</v>
      </c>
      <c r="J690" s="221" t="inlineStr">
        <is>
          <t>អនុញ្ញាត (បានប្រកាស)</t>
        </is>
      </c>
      <c r="K690" s="618" t="n"/>
      <c r="L690" s="616">
        <f>I690</f>
        <v/>
      </c>
      <c r="M690" s="588">
        <f>I690-L690</f>
        <v/>
      </c>
      <c r="N690" s="221" t="n"/>
      <c r="O690" s="226">
        <f>U690=E690</f>
        <v/>
      </c>
      <c r="P690" s="226">
        <f>MONTH(F690)-MONTH(T690)</f>
        <v/>
      </c>
      <c r="Q690" s="226">
        <f>$B$5=X690</f>
        <v/>
      </c>
      <c r="R690" s="226">
        <f>I690-AD690</f>
        <v/>
      </c>
      <c r="S690" s="360" t="n"/>
      <c r="T690" s="361" t="n">
        <v>45796</v>
      </c>
      <c r="U690" s="360" t="inlineStr">
        <is>
          <t>INV20250539164</t>
        </is>
      </c>
      <c r="V690" s="360" t="n">
        <v>0</v>
      </c>
      <c r="W690" s="360" t="inlineStr">
        <is>
          <t>បុគ្គលជាប់អាករ</t>
        </is>
      </c>
      <c r="X690" s="360" t="inlineStr">
        <is>
          <t>L001-901640009</t>
        </is>
      </c>
      <c r="Y690" s="360" t="inlineStr">
        <is>
          <t>ហូលីដេ ឌីហ្សាញ (ខេមបូឌា) ឯ.ក</t>
        </is>
      </c>
      <c r="Z690" s="362" t="n">
        <v>308154</v>
      </c>
      <c r="AA690" s="362" t="n">
        <v>280140</v>
      </c>
      <c r="AB690" s="360" t="n">
        <v>0</v>
      </c>
      <c r="AC690" s="360" t="inlineStr">
        <is>
          <t>-</t>
        </is>
      </c>
      <c r="AD690" s="362" t="n">
        <v>28014</v>
      </c>
      <c r="AE690" s="360" t="n">
        <v>0</v>
      </c>
      <c r="AF690" s="615" t="n">
        <v>0</v>
      </c>
      <c r="AG690" s="203" t="n">
        <v>0</v>
      </c>
      <c r="AH690" s="203" t="n">
        <v>0</v>
      </c>
      <c r="AI690" s="203" t="n">
        <v>0</v>
      </c>
      <c r="AJ690" s="203" t="n">
        <v>0</v>
      </c>
      <c r="AK690" s="203" t="n">
        <v>0</v>
      </c>
      <c r="AL690" s="203" t="n">
        <v>0.01</v>
      </c>
      <c r="AM690" s="203" t="n">
        <v>0</v>
      </c>
      <c r="AN690" s="203" t="inlineStr">
        <is>
          <t>ចំណូលពីសេវាកម្ម (លើកដាក់ទំនិញ)</t>
        </is>
      </c>
    </row>
    <row r="691">
      <c r="A691" s="220">
        <f>A690+1</f>
        <v/>
      </c>
      <c r="B691" s="222" t="inlineStr">
        <is>
          <t>Trucking &amp; Clearance-Ex</t>
        </is>
      </c>
      <c r="C691" s="222" t="inlineStr">
        <is>
          <t>KR GLOBAL LOGISTICS CO., LTD.</t>
        </is>
      </c>
      <c r="D691" s="223" t="inlineStr">
        <is>
          <t>K005-902004162</t>
        </is>
      </c>
      <c r="E691" s="349" t="inlineStr">
        <is>
          <t>KR252275</t>
        </is>
      </c>
      <c r="F691" s="332" t="n">
        <v>45786</v>
      </c>
      <c r="G691" s="224" t="n"/>
      <c r="H691" s="617" t="n"/>
      <c r="I691" s="617" t="n">
        <v>170528</v>
      </c>
      <c r="J691" s="221" t="inlineStr">
        <is>
          <t>អនុញ្ញាត (បានប្រកាស)</t>
        </is>
      </c>
      <c r="K691" s="618" t="n"/>
      <c r="L691" s="616">
        <f>I691</f>
        <v/>
      </c>
      <c r="M691" s="588">
        <f>I691-L691</f>
        <v/>
      </c>
      <c r="N691" s="221" t="n"/>
      <c r="O691" s="226">
        <f>U691=E691</f>
        <v/>
      </c>
      <c r="P691" s="226">
        <f>MONTH(F691)-MONTH(T691)</f>
        <v/>
      </c>
      <c r="Q691" s="226">
        <f>$B$5=X691</f>
        <v/>
      </c>
      <c r="R691" s="226">
        <f>I691-AD691</f>
        <v/>
      </c>
      <c r="S691" s="360" t="n"/>
      <c r="T691" s="361" t="n">
        <v>45786</v>
      </c>
      <c r="U691" s="360" t="inlineStr">
        <is>
          <t>KR252275</t>
        </is>
      </c>
      <c r="V691" s="360" t="n"/>
      <c r="W691" s="360" t="n"/>
      <c r="X691" s="360" t="n"/>
      <c r="Y691" s="360" t="inlineStr">
        <is>
          <t>ហូលីដេ ឌីហ្សាញ (ខេមបូឌា) ឯ.ក</t>
        </is>
      </c>
      <c r="Z691" s="362" t="n"/>
      <c r="AA691" s="362" t="n"/>
      <c r="AB691" s="360" t="n"/>
      <c r="AC691" s="360" t="n"/>
      <c r="AD691" s="362" t="n">
        <v>170528</v>
      </c>
      <c r="AE691" s="360" t="n"/>
      <c r="AF691" s="615" t="n"/>
    </row>
    <row r="692">
      <c r="A692" s="220">
        <f>A691+1</f>
        <v/>
      </c>
      <c r="B692" s="222" t="inlineStr">
        <is>
          <t>Trucking &amp; Clearance-Ex</t>
        </is>
      </c>
      <c r="C692" s="222" t="inlineStr">
        <is>
          <t>KR GLOBAL LOGISTICS CO., LTD.</t>
        </is>
      </c>
      <c r="D692" s="223" t="inlineStr">
        <is>
          <t>K005-902004162</t>
        </is>
      </c>
      <c r="E692" s="349" t="inlineStr">
        <is>
          <t>KR252274</t>
        </is>
      </c>
      <c r="F692" s="332" t="n">
        <v>45786</v>
      </c>
      <c r="G692" s="224" t="n"/>
      <c r="H692" s="617" t="n"/>
      <c r="I692" s="617" t="n">
        <v>341056</v>
      </c>
      <c r="J692" s="221" t="inlineStr">
        <is>
          <t>អនុញ្ញាត (បានប្រកាស)</t>
        </is>
      </c>
      <c r="K692" s="618" t="n"/>
      <c r="L692" s="616">
        <f>I692</f>
        <v/>
      </c>
      <c r="M692" s="588">
        <f>I692-L692</f>
        <v/>
      </c>
      <c r="N692" s="221" t="n"/>
      <c r="O692" s="226">
        <f>U692=E692</f>
        <v/>
      </c>
      <c r="P692" s="226">
        <f>MONTH(F692)-MONTH(T692)</f>
        <v/>
      </c>
      <c r="Q692" s="226">
        <f>$B$5=X692</f>
        <v/>
      </c>
      <c r="R692" s="226">
        <f>I692-AD692</f>
        <v/>
      </c>
      <c r="S692" s="360" t="n"/>
      <c r="T692" s="361" t="n">
        <v>45786</v>
      </c>
      <c r="U692" s="360" t="inlineStr">
        <is>
          <t>KR252274</t>
        </is>
      </c>
      <c r="V692" s="360" t="n"/>
      <c r="W692" s="360" t="n"/>
      <c r="X692" s="360" t="n"/>
      <c r="Y692" s="360" t="inlineStr">
        <is>
          <t>ហូលីដេ ឌីហ្សាញ (ខេមបូឌា) ឯ.ក</t>
        </is>
      </c>
      <c r="Z692" s="362" t="n"/>
      <c r="AA692" s="362" t="n"/>
      <c r="AB692" s="360" t="n"/>
      <c r="AC692" s="360" t="n"/>
      <c r="AD692" s="362" t="n">
        <v>341056</v>
      </c>
      <c r="AE692" s="360" t="n"/>
      <c r="AF692" s="615" t="n"/>
    </row>
    <row r="693">
      <c r="A693" s="220">
        <f>A692+1</f>
        <v/>
      </c>
      <c r="B693" s="222" t="inlineStr">
        <is>
          <t>Lift-Off-Ex</t>
        </is>
      </c>
      <c r="C693" s="222" t="inlineStr">
        <is>
          <t>PHNOM PENH AUTONOMOUS PORT "PPAP"</t>
        </is>
      </c>
      <c r="D693" s="223" t="inlineStr">
        <is>
          <t>L001-100044999</t>
        </is>
      </c>
      <c r="E693" s="349" t="inlineStr">
        <is>
          <t>INV20250539162</t>
        </is>
      </c>
      <c r="F693" s="332" t="n">
        <v>45796</v>
      </c>
      <c r="G693" s="224" t="n"/>
      <c r="H693" s="617" t="n"/>
      <c r="I693" s="617" t="n">
        <v>46423</v>
      </c>
      <c r="J693" s="221" t="inlineStr">
        <is>
          <t>អនុញ្ញាត (បានប្រកាស)</t>
        </is>
      </c>
      <c r="K693" s="618">
        <f>L693</f>
        <v/>
      </c>
      <c r="L693" s="616">
        <f>I693</f>
        <v/>
      </c>
      <c r="M693" s="588">
        <f>I693-L693</f>
        <v/>
      </c>
      <c r="N693" s="221" t="n"/>
      <c r="O693" s="226">
        <f>U693=E693</f>
        <v/>
      </c>
      <c r="P693" s="226">
        <f>MONTH(F693)-MONTH(T693)</f>
        <v/>
      </c>
      <c r="Q693" s="226">
        <f>$B$5=X693</f>
        <v/>
      </c>
      <c r="R693" s="226">
        <f>I693-AD693</f>
        <v/>
      </c>
      <c r="S693" s="360" t="n"/>
      <c r="T693" s="361" t="n">
        <v>45796</v>
      </c>
      <c r="U693" s="360" t="inlineStr">
        <is>
          <t>INV20250539162</t>
        </is>
      </c>
      <c r="V693" s="360" t="n">
        <v>0</v>
      </c>
      <c r="W693" s="360" t="inlineStr">
        <is>
          <t>បុគ្គលជាប់អាករ</t>
        </is>
      </c>
      <c r="X693" s="360" t="inlineStr">
        <is>
          <t>L001-901640009</t>
        </is>
      </c>
      <c r="Y693" s="360" t="inlineStr">
        <is>
          <t>ហូលីដេ ឌីហ្សាញ (ខេមបូឌា) ឯ.ក</t>
        </is>
      </c>
      <c r="Z693" s="362" t="n">
        <v>510653</v>
      </c>
      <c r="AA693" s="362" t="n">
        <v>464230</v>
      </c>
      <c r="AB693" s="360" t="n">
        <v>0</v>
      </c>
      <c r="AC693" s="360" t="inlineStr">
        <is>
          <t>-</t>
        </is>
      </c>
      <c r="AD693" s="362" t="n">
        <v>46423</v>
      </c>
      <c r="AE693" s="360" t="n">
        <v>0</v>
      </c>
      <c r="AF693" s="615" t="n">
        <v>0</v>
      </c>
      <c r="AG693" s="203" t="n">
        <v>0</v>
      </c>
      <c r="AH693" s="203" t="n">
        <v>0</v>
      </c>
      <c r="AI693" s="203" t="n">
        <v>0</v>
      </c>
      <c r="AJ693" s="203" t="n">
        <v>0</v>
      </c>
      <c r="AK693" s="203" t="n">
        <v>0</v>
      </c>
      <c r="AL693" s="203" t="n">
        <v>0.01</v>
      </c>
      <c r="AM693" s="203" t="n">
        <v>0</v>
      </c>
      <c r="AN693" s="203" t="inlineStr">
        <is>
          <t>ចំណូលពីសេវាកម្ម (លើកដាក់ទំនិញ)</t>
        </is>
      </c>
    </row>
    <row r="694">
      <c r="A694" s="220">
        <f>A693+1</f>
        <v/>
      </c>
      <c r="B694" s="222" t="inlineStr">
        <is>
          <t>Trucking &amp; Clearance-Ex</t>
        </is>
      </c>
      <c r="C694" s="222" t="inlineStr">
        <is>
          <t>KR GLOBAL LOGISTICS CO., LTD.</t>
        </is>
      </c>
      <c r="D694" s="223" t="inlineStr">
        <is>
          <t>K005-902004162</t>
        </is>
      </c>
      <c r="E694" s="349" t="inlineStr">
        <is>
          <t>KR252273</t>
        </is>
      </c>
      <c r="F694" s="332" t="n">
        <v>45786</v>
      </c>
      <c r="G694" s="224" t="n"/>
      <c r="H694" s="617" t="n"/>
      <c r="I694" s="617" t="n">
        <v>332649</v>
      </c>
      <c r="J694" s="221" t="inlineStr">
        <is>
          <t>អនុញ្ញាត (បានប្រកាស)</t>
        </is>
      </c>
      <c r="K694" s="618" t="n"/>
      <c r="L694" s="616">
        <f>I694</f>
        <v/>
      </c>
      <c r="M694" s="588">
        <f>I694-L694</f>
        <v/>
      </c>
      <c r="N694" s="221" t="n"/>
      <c r="O694" s="226">
        <f>U694=E694</f>
        <v/>
      </c>
      <c r="P694" s="226">
        <f>MONTH(F694)-MONTH(T694)</f>
        <v/>
      </c>
      <c r="Q694" s="226">
        <f>$B$5=X694</f>
        <v/>
      </c>
      <c r="R694" s="226">
        <f>I694-AD694</f>
        <v/>
      </c>
      <c r="S694" s="360" t="n"/>
      <c r="T694" s="363" t="n">
        <v>45786</v>
      </c>
      <c r="U694" s="360" t="inlineStr">
        <is>
          <t>KR252273</t>
        </is>
      </c>
      <c r="V694" s="360" t="n"/>
      <c r="W694" s="360" t="n"/>
      <c r="X694" s="360" t="n"/>
      <c r="Y694" s="360" t="inlineStr">
        <is>
          <t>ហូលីដេ ឌីហ្សាញ (ខេមបូឌា) ឯ.ក</t>
        </is>
      </c>
      <c r="Z694" s="362" t="n"/>
      <c r="AA694" s="362" t="n"/>
      <c r="AB694" s="360" t="n"/>
      <c r="AC694" s="360" t="n"/>
      <c r="AD694" s="362" t="n">
        <v>332649</v>
      </c>
      <c r="AE694" s="360" t="n"/>
      <c r="AF694" s="615" t="n"/>
    </row>
    <row r="695">
      <c r="A695" s="220">
        <f>A694+1</f>
        <v/>
      </c>
      <c r="B695" s="222" t="inlineStr">
        <is>
          <t>Lift-Off-Ex</t>
        </is>
      </c>
      <c r="C695" s="222" t="inlineStr">
        <is>
          <t>PHNOM PENH AUTONOMOUS PORT "PPAP"</t>
        </is>
      </c>
      <c r="D695" s="223" t="inlineStr">
        <is>
          <t>L001-100044999</t>
        </is>
      </c>
      <c r="E695" s="349" t="inlineStr">
        <is>
          <t>INV20250539161</t>
        </is>
      </c>
      <c r="F695" s="332" t="n">
        <v>45796</v>
      </c>
      <c r="G695" s="224" t="n"/>
      <c r="H695" s="617" t="n"/>
      <c r="I695" s="617" t="n">
        <v>56028</v>
      </c>
      <c r="J695" s="221" t="inlineStr">
        <is>
          <t>អនុញ្ញាត (បានប្រកាស)</t>
        </is>
      </c>
      <c r="K695" s="618" t="n"/>
      <c r="L695" s="616">
        <f>I695</f>
        <v/>
      </c>
      <c r="M695" s="588">
        <f>I695-L695</f>
        <v/>
      </c>
      <c r="N695" s="221" t="n"/>
      <c r="O695" s="226">
        <f>U695=E695</f>
        <v/>
      </c>
      <c r="P695" s="226">
        <f>MONTH(F695)-MONTH(T695)</f>
        <v/>
      </c>
      <c r="Q695" s="226">
        <f>$B$5=X695</f>
        <v/>
      </c>
      <c r="R695" s="226">
        <f>I695-AD695</f>
        <v/>
      </c>
      <c r="S695" s="360" t="n"/>
      <c r="T695" s="361" t="n">
        <v>45796</v>
      </c>
      <c r="U695" s="360" t="inlineStr">
        <is>
          <t>INV20250539161</t>
        </is>
      </c>
      <c r="V695" s="360" t="n">
        <v>0</v>
      </c>
      <c r="W695" s="360" t="inlineStr">
        <is>
          <t>បុគ្គលជាប់អាករ</t>
        </is>
      </c>
      <c r="X695" s="360" t="inlineStr">
        <is>
          <t>L001-901640009</t>
        </is>
      </c>
      <c r="Y695" s="360" t="inlineStr">
        <is>
          <t>ហូលីដេ ឌីហ្សាញ (ខេមបូឌា) ឯ.ក</t>
        </is>
      </c>
      <c r="Z695" s="362" t="n">
        <v>616308</v>
      </c>
      <c r="AA695" s="362" t="n">
        <v>560280</v>
      </c>
      <c r="AB695" s="360" t="n">
        <v>0</v>
      </c>
      <c r="AC695" s="360" t="inlineStr">
        <is>
          <t>-</t>
        </is>
      </c>
      <c r="AD695" s="362" t="n">
        <v>56028</v>
      </c>
      <c r="AE695" s="360" t="n">
        <v>0</v>
      </c>
      <c r="AF695" s="615" t="n">
        <v>0</v>
      </c>
      <c r="AG695" s="203" t="n">
        <v>0</v>
      </c>
      <c r="AH695" s="203" t="n">
        <v>0</v>
      </c>
      <c r="AI695" s="203" t="n">
        <v>0</v>
      </c>
      <c r="AJ695" s="203" t="n">
        <v>0</v>
      </c>
      <c r="AK695" s="203" t="n">
        <v>0</v>
      </c>
      <c r="AL695" s="203" t="n">
        <v>0.01</v>
      </c>
      <c r="AM695" s="203" t="n">
        <v>0</v>
      </c>
      <c r="AN695" s="203" t="inlineStr">
        <is>
          <t>ចំណូលពីសេវាកម្ម (លើកដាក់ទំនិញ)</t>
        </is>
      </c>
    </row>
    <row r="696">
      <c r="A696" s="220">
        <f>A695+1</f>
        <v/>
      </c>
      <c r="B696" s="222" t="inlineStr">
        <is>
          <t>Trucking &amp; Clearance-Ex</t>
        </is>
      </c>
      <c r="C696" s="222" t="inlineStr">
        <is>
          <t>KR GLOBAL LOGISTICS CO., LTD.</t>
        </is>
      </c>
      <c r="D696" s="223" t="inlineStr">
        <is>
          <t>K005-902004162</t>
        </is>
      </c>
      <c r="E696" s="349" t="inlineStr">
        <is>
          <t>KR252272</t>
        </is>
      </c>
      <c r="F696" s="332" t="n">
        <v>45786</v>
      </c>
      <c r="G696" s="224" t="n"/>
      <c r="H696" s="617" t="n"/>
      <c r="I696" s="617" t="n">
        <v>341056</v>
      </c>
      <c r="J696" s="221" t="inlineStr">
        <is>
          <t>អនុញ្ញាត (បានប្រកាស)</t>
        </is>
      </c>
      <c r="K696" s="618" t="n"/>
      <c r="L696" s="616">
        <f>I696</f>
        <v/>
      </c>
      <c r="M696" s="588">
        <f>I696-L696</f>
        <v/>
      </c>
      <c r="N696" s="221" t="n"/>
      <c r="O696" s="226">
        <f>U696=E696</f>
        <v/>
      </c>
      <c r="P696" s="226">
        <f>MONTH(F696)-MONTH(T696)</f>
        <v/>
      </c>
      <c r="Q696" s="226">
        <f>$B$5=X696</f>
        <v/>
      </c>
      <c r="R696" s="226">
        <f>I696-AD696</f>
        <v/>
      </c>
      <c r="S696" s="360" t="n"/>
      <c r="T696" s="361" t="n">
        <v>45786</v>
      </c>
      <c r="U696" s="360" t="inlineStr">
        <is>
          <t>KR252272</t>
        </is>
      </c>
      <c r="V696" s="360" t="n"/>
      <c r="W696" s="360" t="n"/>
      <c r="X696" s="360" t="n"/>
      <c r="Y696" s="360" t="inlineStr">
        <is>
          <t>ហូលីដេ ឌីហ្សាញ (ខេមបូឌា) ឯ.ក</t>
        </is>
      </c>
      <c r="Z696" s="362" t="n"/>
      <c r="AA696" s="362" t="n"/>
      <c r="AB696" s="360" t="n"/>
      <c r="AC696" s="360" t="n"/>
      <c r="AD696" s="362" t="n">
        <v>341056</v>
      </c>
      <c r="AE696" s="360" t="n"/>
      <c r="AF696" s="615" t="n"/>
    </row>
    <row r="697">
      <c r="A697" s="220">
        <f>A696+1</f>
        <v/>
      </c>
      <c r="B697" s="222" t="inlineStr">
        <is>
          <t>Lift-Off-Ex</t>
        </is>
      </c>
      <c r="C697" s="222" t="inlineStr">
        <is>
          <t>PHNOM PENH AUTONOMOUS PORT "PPAP"</t>
        </is>
      </c>
      <c r="D697" s="223" t="inlineStr">
        <is>
          <t>L001-100044999</t>
        </is>
      </c>
      <c r="E697" s="349" t="inlineStr">
        <is>
          <t>INV20250539160</t>
        </is>
      </c>
      <c r="F697" s="332" t="n">
        <v>45796</v>
      </c>
      <c r="G697" s="224" t="n"/>
      <c r="H697" s="617" t="n"/>
      <c r="I697" s="617" t="n">
        <v>28014</v>
      </c>
      <c r="J697" s="221" t="inlineStr">
        <is>
          <t>អនុញ្ញាត (បានប្រកាស)</t>
        </is>
      </c>
      <c r="K697" s="618" t="n"/>
      <c r="L697" s="616">
        <f>I697</f>
        <v/>
      </c>
      <c r="M697" s="588">
        <f>I697-L697</f>
        <v/>
      </c>
      <c r="N697" s="221" t="n"/>
      <c r="O697" s="226">
        <f>U697=E697</f>
        <v/>
      </c>
      <c r="P697" s="226">
        <f>MONTH(F697)-MONTH(T697)</f>
        <v/>
      </c>
      <c r="Q697" s="226">
        <f>$B$5=X697</f>
        <v/>
      </c>
      <c r="R697" s="226">
        <f>I697-AD697</f>
        <v/>
      </c>
      <c r="S697" s="360" t="n"/>
      <c r="T697" s="361" t="n">
        <v>45796</v>
      </c>
      <c r="U697" s="360" t="inlineStr">
        <is>
          <t>INV20250539160</t>
        </is>
      </c>
      <c r="V697" s="360" t="n">
        <v>0</v>
      </c>
      <c r="W697" s="360" t="inlineStr">
        <is>
          <t>បុគ្គលជាប់អាករ</t>
        </is>
      </c>
      <c r="X697" s="360" t="inlineStr">
        <is>
          <t>L001-901640009</t>
        </is>
      </c>
      <c r="Y697" s="360" t="inlineStr">
        <is>
          <t>ហូលីដេ ឌីហ្សាញ (ខេមបូឌា) ឯ.ក</t>
        </is>
      </c>
      <c r="Z697" s="362" t="n">
        <v>308154</v>
      </c>
      <c r="AA697" s="362" t="n">
        <v>280140</v>
      </c>
      <c r="AB697" s="360" t="n">
        <v>0</v>
      </c>
      <c r="AC697" s="360" t="inlineStr">
        <is>
          <t>-</t>
        </is>
      </c>
      <c r="AD697" s="362" t="n">
        <v>28014</v>
      </c>
      <c r="AE697" s="360" t="n">
        <v>0</v>
      </c>
      <c r="AF697" s="615" t="n">
        <v>0</v>
      </c>
      <c r="AG697" s="203" t="n">
        <v>0</v>
      </c>
      <c r="AH697" s="203" t="n">
        <v>0</v>
      </c>
      <c r="AI697" s="203" t="n">
        <v>0</v>
      </c>
      <c r="AJ697" s="203" t="n">
        <v>0</v>
      </c>
      <c r="AK697" s="203" t="n">
        <v>0</v>
      </c>
      <c r="AL697" s="203" t="n">
        <v>0.01</v>
      </c>
      <c r="AM697" s="203" t="n">
        <v>0</v>
      </c>
      <c r="AN697" s="203" t="inlineStr">
        <is>
          <t>ចំណូលពីសេវាកម្ម (លើកដាក់ទំនិញ)</t>
        </is>
      </c>
    </row>
    <row r="698">
      <c r="A698" s="220">
        <f>A697+1</f>
        <v/>
      </c>
      <c r="B698" s="222" t="inlineStr">
        <is>
          <t>Trucking &amp; Clearance-Ex</t>
        </is>
      </c>
      <c r="C698" s="222" t="inlineStr">
        <is>
          <t>WANAKA LOGISTICS CO., LTD.</t>
        </is>
      </c>
      <c r="D698" s="223" t="inlineStr">
        <is>
          <t>K005-901907953</t>
        </is>
      </c>
      <c r="E698" s="349" t="inlineStr">
        <is>
          <t>WL25-001764</t>
        </is>
      </c>
      <c r="F698" s="332" t="n">
        <v>45800</v>
      </c>
      <c r="G698" s="224" t="n"/>
      <c r="H698" s="617" t="n"/>
      <c r="I698" s="617" t="n">
        <v>306230</v>
      </c>
      <c r="J698" s="221" t="inlineStr">
        <is>
          <t>អនុញ្ញាត (បានប្រកាស)</t>
        </is>
      </c>
      <c r="K698" s="618" t="n"/>
      <c r="L698" s="616">
        <f>I698</f>
        <v/>
      </c>
      <c r="M698" s="588">
        <f>I698-L698</f>
        <v/>
      </c>
      <c r="N698" s="221" t="n"/>
      <c r="O698" s="226">
        <f>U698=E698</f>
        <v/>
      </c>
      <c r="P698" s="226">
        <f>MONTH(F698)-MONTH(T698)</f>
        <v/>
      </c>
      <c r="Q698" s="226">
        <f>$B$5=X698</f>
        <v/>
      </c>
      <c r="R698" s="226">
        <f>I698-AD698</f>
        <v/>
      </c>
      <c r="S698" s="360" t="n"/>
      <c r="T698" s="361" t="n">
        <v>45800</v>
      </c>
      <c r="U698" s="360" t="inlineStr">
        <is>
          <t>WL25-001764</t>
        </is>
      </c>
      <c r="V698" s="360" t="n"/>
      <c r="W698" s="360" t="n"/>
      <c r="X698" s="360" t="n"/>
      <c r="Y698" s="360" t="inlineStr">
        <is>
          <t>ហូលីដេ ឌីហ្សាញ (ខេមបូឌា) ឯ.ក</t>
        </is>
      </c>
      <c r="Z698" s="362" t="n"/>
      <c r="AA698" s="362" t="n"/>
      <c r="AB698" s="360" t="n"/>
      <c r="AC698" s="360" t="n"/>
      <c r="AD698" s="362" t="n">
        <v>306230</v>
      </c>
      <c r="AE698" s="360" t="n"/>
      <c r="AF698" s="615" t="n"/>
    </row>
    <row r="699">
      <c r="A699" s="220">
        <f>A698+1</f>
        <v/>
      </c>
      <c r="B699" s="222" t="inlineStr">
        <is>
          <t>Lift-Off-Ex</t>
        </is>
      </c>
      <c r="C699" s="222" t="inlineStr">
        <is>
          <t>PHNOM PENH AUTONOMOUS PORT "PPAP"</t>
        </is>
      </c>
      <c r="D699" s="223" t="inlineStr">
        <is>
          <t>L001-100044999</t>
        </is>
      </c>
      <c r="E699" s="349" t="inlineStr">
        <is>
          <t>INV20250539886</t>
        </is>
      </c>
      <c r="F699" s="332" t="n">
        <v>45798</v>
      </c>
      <c r="G699" s="224" t="n"/>
      <c r="H699" s="617" t="n"/>
      <c r="I699" s="617" t="n">
        <v>46435</v>
      </c>
      <c r="J699" s="221" t="inlineStr">
        <is>
          <t>អនុញ្ញាត (បានប្រកាស)</t>
        </is>
      </c>
      <c r="K699" s="618" t="n"/>
      <c r="L699" s="616">
        <f>I699</f>
        <v/>
      </c>
      <c r="M699" s="588">
        <f>I699-L699</f>
        <v/>
      </c>
      <c r="N699" s="221" t="n"/>
      <c r="O699" s="226">
        <f>U699=E699</f>
        <v/>
      </c>
      <c r="P699" s="226">
        <f>MONTH(F699)-MONTH(T699)</f>
        <v/>
      </c>
      <c r="Q699" s="226">
        <f>$B$5=X699</f>
        <v/>
      </c>
      <c r="R699" s="226">
        <f>I699-AD699</f>
        <v/>
      </c>
      <c r="S699" s="360" t="n"/>
      <c r="T699" s="361" t="n">
        <v>45798</v>
      </c>
      <c r="U699" s="360" t="inlineStr">
        <is>
          <t>INV20250539886</t>
        </is>
      </c>
      <c r="V699" s="360" t="n">
        <v>0</v>
      </c>
      <c r="W699" s="360" t="inlineStr">
        <is>
          <t>បុគ្គលជាប់អាករ</t>
        </is>
      </c>
      <c r="X699" s="360" t="inlineStr">
        <is>
          <t>L001-901640009</t>
        </is>
      </c>
      <c r="Y699" s="360" t="inlineStr">
        <is>
          <t>ហូលីដេ ឌីហ្សាញ (ខេមបូឌា) ឯ.ក</t>
        </is>
      </c>
      <c r="Z699" s="362" t="n">
        <v>510785</v>
      </c>
      <c r="AA699" s="362" t="n">
        <v>464350</v>
      </c>
      <c r="AB699" s="360" t="n">
        <v>0</v>
      </c>
      <c r="AC699" s="360" t="inlineStr">
        <is>
          <t>-</t>
        </is>
      </c>
      <c r="AD699" s="362" t="n">
        <v>46435</v>
      </c>
      <c r="AE699" s="360" t="n">
        <v>0</v>
      </c>
      <c r="AF699" s="615" t="n">
        <v>0</v>
      </c>
      <c r="AG699" s="203" t="n">
        <v>0</v>
      </c>
      <c r="AH699" s="203" t="n">
        <v>0</v>
      </c>
      <c r="AI699" s="203" t="n">
        <v>0</v>
      </c>
      <c r="AJ699" s="203" t="n">
        <v>0</v>
      </c>
      <c r="AK699" s="203" t="n">
        <v>0</v>
      </c>
      <c r="AL699" s="203" t="n">
        <v>0.01</v>
      </c>
      <c r="AM699" s="203" t="n">
        <v>0</v>
      </c>
      <c r="AN699" s="203" t="inlineStr">
        <is>
          <t>ចំណូលពីសេវាកម្ម (លើកដាក់ទំនិញ)</t>
        </is>
      </c>
    </row>
    <row r="700">
      <c r="A700" s="220">
        <f>A699+1</f>
        <v/>
      </c>
      <c r="B700" s="222" t="inlineStr">
        <is>
          <t>Trucking &amp; Clearance-Ex</t>
        </is>
      </c>
      <c r="C700" s="222" t="inlineStr">
        <is>
          <t>WANAKA LOGISTICS CO., LTD.</t>
        </is>
      </c>
      <c r="D700" s="223" t="inlineStr">
        <is>
          <t>K005-901907953</t>
        </is>
      </c>
      <c r="E700" s="349" t="inlineStr">
        <is>
          <t>WL25-001765</t>
        </is>
      </c>
      <c r="F700" s="332" t="n">
        <v>45800</v>
      </c>
      <c r="G700" s="224" t="n"/>
      <c r="H700" s="617" t="n"/>
      <c r="I700" s="617" t="n">
        <v>157318</v>
      </c>
      <c r="J700" s="221" t="inlineStr">
        <is>
          <t>អនុញ្ញាត (បានប្រកាស)</t>
        </is>
      </c>
      <c r="K700" s="618" t="n"/>
      <c r="L700" s="616">
        <f>I700</f>
        <v/>
      </c>
      <c r="M700" s="588">
        <f>I700-L700</f>
        <v/>
      </c>
      <c r="N700" s="221" t="n"/>
      <c r="O700" s="226">
        <f>U700=E700</f>
        <v/>
      </c>
      <c r="P700" s="226">
        <f>MONTH(F700)-MONTH(T700)</f>
        <v/>
      </c>
      <c r="Q700" s="226">
        <f>$B$5=X700</f>
        <v/>
      </c>
      <c r="R700" s="226">
        <f>I700-AD700</f>
        <v/>
      </c>
      <c r="S700" s="360" t="n"/>
      <c r="T700" s="361" t="n">
        <v>45800</v>
      </c>
      <c r="U700" s="360" t="inlineStr">
        <is>
          <t>WL25-001765</t>
        </is>
      </c>
      <c r="V700" s="360" t="n"/>
      <c r="W700" s="360" t="n"/>
      <c r="X700" s="360" t="n"/>
      <c r="Y700" s="360" t="inlineStr">
        <is>
          <t>ហូលីដេ ឌីហ្សាញ (ខេមបូឌា) ឯ.ក</t>
        </is>
      </c>
      <c r="Z700" s="362" t="n"/>
      <c r="AA700" s="362" t="n"/>
      <c r="AB700" s="360" t="n"/>
      <c r="AC700" s="360" t="n"/>
      <c r="AD700" s="362" t="n">
        <v>157318</v>
      </c>
      <c r="AE700" s="360" t="n"/>
      <c r="AF700" s="615" t="n"/>
    </row>
    <row r="701">
      <c r="A701" s="220">
        <f>A700+1</f>
        <v/>
      </c>
      <c r="B701" s="222" t="inlineStr">
        <is>
          <t>Lift-Off-Ex</t>
        </is>
      </c>
      <c r="C701" s="222" t="inlineStr">
        <is>
          <t>PHNOM PENH AUTONOMOUS PORT "PPAP"</t>
        </is>
      </c>
      <c r="D701" s="223" t="inlineStr">
        <is>
          <t>L001-100044999</t>
        </is>
      </c>
      <c r="E701" s="349" t="inlineStr">
        <is>
          <t>INV20250542470</t>
        </is>
      </c>
      <c r="F701" s="332" t="n">
        <v>45805</v>
      </c>
      <c r="G701" s="224" t="n"/>
      <c r="H701" s="617" t="n"/>
      <c r="I701" s="617" t="n">
        <v>56042</v>
      </c>
      <c r="J701" s="221" t="inlineStr">
        <is>
          <t>អនុញ្ញាត (បានប្រកាស)</t>
        </is>
      </c>
      <c r="K701" s="618" t="n"/>
      <c r="L701" s="616">
        <f>I701</f>
        <v/>
      </c>
      <c r="M701" s="588">
        <f>I701-L701</f>
        <v/>
      </c>
      <c r="N701" s="221" t="n"/>
      <c r="O701" s="226">
        <f>U701=E701</f>
        <v/>
      </c>
      <c r="P701" s="226">
        <f>MONTH(F701)-MONTH(T701)</f>
        <v/>
      </c>
      <c r="Q701" s="226">
        <f>$B$5=X701</f>
        <v/>
      </c>
      <c r="R701" s="226">
        <f>I701-AD701</f>
        <v/>
      </c>
      <c r="S701" s="360" t="n"/>
      <c r="T701" s="361" t="n">
        <v>45805</v>
      </c>
      <c r="U701" s="360" t="inlineStr">
        <is>
          <t>INV20250542470</t>
        </is>
      </c>
      <c r="V701" s="360" t="n">
        <v>0</v>
      </c>
      <c r="W701" s="360" t="inlineStr">
        <is>
          <t>បុគ្គលជាប់អាករ</t>
        </is>
      </c>
      <c r="X701" s="360" t="inlineStr">
        <is>
          <t>L001-901640009</t>
        </is>
      </c>
      <c r="Y701" s="360" t="inlineStr">
        <is>
          <t>ហូលីដេ ឌីហ្សាញ (ខេមបូឌា) ឯ.ក</t>
        </is>
      </c>
      <c r="Z701" s="362" t="n">
        <v>616462</v>
      </c>
      <c r="AA701" s="362" t="n">
        <v>560420</v>
      </c>
      <c r="AB701" s="360" t="n">
        <v>0</v>
      </c>
      <c r="AC701" s="360" t="inlineStr">
        <is>
          <t>-</t>
        </is>
      </c>
      <c r="AD701" s="362" t="n">
        <v>56042</v>
      </c>
      <c r="AE701" s="360" t="n">
        <v>0</v>
      </c>
      <c r="AF701" s="615" t="n">
        <v>0</v>
      </c>
      <c r="AG701" s="203" t="n">
        <v>0</v>
      </c>
      <c r="AH701" s="203" t="n">
        <v>0</v>
      </c>
      <c r="AI701" s="203" t="n">
        <v>0</v>
      </c>
      <c r="AJ701" s="203" t="n">
        <v>0</v>
      </c>
      <c r="AK701" s="203" t="n">
        <v>0</v>
      </c>
      <c r="AL701" s="203" t="n">
        <v>0.01</v>
      </c>
      <c r="AM701" s="203" t="n">
        <v>0</v>
      </c>
      <c r="AN701" s="203" t="inlineStr">
        <is>
          <t>ចំណូលពីសេវាកម្ម (លើកដាក់ទំនិញ)</t>
        </is>
      </c>
    </row>
    <row r="702">
      <c r="A702" s="220">
        <f>A701+1</f>
        <v/>
      </c>
      <c r="B702" s="222" t="inlineStr">
        <is>
          <t>Trucking &amp; Clearance-Ex</t>
        </is>
      </c>
      <c r="C702" s="222" t="inlineStr">
        <is>
          <t>WANAKA LOGISTICS CO., LTD.</t>
        </is>
      </c>
      <c r="D702" s="223" t="inlineStr">
        <is>
          <t>K005-901907953</t>
        </is>
      </c>
      <c r="E702" s="349" t="inlineStr">
        <is>
          <t>WL25-001888</t>
        </is>
      </c>
      <c r="F702" s="332" t="n">
        <v>45805</v>
      </c>
      <c r="G702" s="224" t="n"/>
      <c r="H702" s="617" t="n"/>
      <c r="I702" s="617" t="n">
        <v>314636</v>
      </c>
      <c r="J702" s="221" t="inlineStr">
        <is>
          <t>អនុញ្ញាត (បានប្រកាស)</t>
        </is>
      </c>
      <c r="K702" s="618" t="n"/>
      <c r="L702" s="616">
        <f>I702</f>
        <v/>
      </c>
      <c r="M702" s="588">
        <f>I702-L702</f>
        <v/>
      </c>
      <c r="N702" s="221" t="n"/>
      <c r="O702" s="226">
        <f>U702=E702</f>
        <v/>
      </c>
      <c r="P702" s="226">
        <f>MONTH(F702)-MONTH(T702)</f>
        <v/>
      </c>
      <c r="Q702" s="226">
        <f>$B$5=X702</f>
        <v/>
      </c>
      <c r="R702" s="226">
        <f>I702-AD702</f>
        <v/>
      </c>
      <c r="S702" s="360" t="n"/>
      <c r="T702" s="361" t="n">
        <v>45805</v>
      </c>
      <c r="U702" s="360" t="inlineStr">
        <is>
          <t>WL25-001888</t>
        </is>
      </c>
      <c r="V702" s="360" t="n"/>
      <c r="W702" s="360" t="n"/>
      <c r="X702" s="360" t="n"/>
      <c r="Y702" s="360" t="inlineStr">
        <is>
          <t>ហូលីដេ ឌីហ្សាញ (ខេមបូឌា) ឯ.ក</t>
        </is>
      </c>
      <c r="Z702" s="362" t="n"/>
      <c r="AA702" s="362" t="n"/>
      <c r="AB702" s="360" t="n"/>
      <c r="AC702" s="360" t="n"/>
      <c r="AD702" s="362" t="n">
        <v>314636</v>
      </c>
      <c r="AE702" s="360" t="n"/>
      <c r="AF702" s="615" t="n"/>
    </row>
    <row r="703">
      <c r="A703" s="220">
        <f>A702+1</f>
        <v/>
      </c>
      <c r="B703" s="222" t="inlineStr">
        <is>
          <t>Lift-Off-Ex</t>
        </is>
      </c>
      <c r="C703" s="222" t="inlineStr">
        <is>
          <t>PHNOM PENH AUTONOMOUS PORT "PPAP"</t>
        </is>
      </c>
      <c r="D703" s="223" t="inlineStr">
        <is>
          <t>L001-100044999</t>
        </is>
      </c>
      <c r="E703" s="349" t="inlineStr">
        <is>
          <t>INV20250542484</t>
        </is>
      </c>
      <c r="F703" s="332" t="n">
        <v>45805</v>
      </c>
      <c r="G703" s="224" t="n"/>
      <c r="H703" s="617" t="n"/>
      <c r="I703" s="617" t="n">
        <v>28021</v>
      </c>
      <c r="J703" s="221" t="inlineStr">
        <is>
          <t>អនុញ្ញាត (បានប្រកាស)</t>
        </is>
      </c>
      <c r="K703" s="618" t="n"/>
      <c r="L703" s="616">
        <f>I703</f>
        <v/>
      </c>
      <c r="M703" s="588">
        <f>I703-L703</f>
        <v/>
      </c>
      <c r="N703" s="221" t="n"/>
      <c r="O703" s="226">
        <f>U703=E703</f>
        <v/>
      </c>
      <c r="P703" s="226">
        <f>MONTH(F703)-MONTH(T703)</f>
        <v/>
      </c>
      <c r="Q703" s="226">
        <f>$B$5=X703</f>
        <v/>
      </c>
      <c r="R703" s="226">
        <f>I703-AD703</f>
        <v/>
      </c>
      <c r="S703" s="360" t="n"/>
      <c r="T703" s="361" t="n">
        <v>45805</v>
      </c>
      <c r="U703" s="360" t="inlineStr">
        <is>
          <t>INV20250542484</t>
        </is>
      </c>
      <c r="V703" s="360" t="n">
        <v>0</v>
      </c>
      <c r="W703" s="360" t="inlineStr">
        <is>
          <t>បុគ្គលជាប់អាករ</t>
        </is>
      </c>
      <c r="X703" s="360" t="inlineStr">
        <is>
          <t>L001-901640009</t>
        </is>
      </c>
      <c r="Y703" s="360" t="inlineStr">
        <is>
          <t>ហូលីដេ ឌីហ្សាញ (ខេមបូឌា) ឯ.ក</t>
        </is>
      </c>
      <c r="Z703" s="362" t="n">
        <v>308231</v>
      </c>
      <c r="AA703" s="362" t="n">
        <v>280210</v>
      </c>
      <c r="AB703" s="360" t="n">
        <v>0</v>
      </c>
      <c r="AC703" s="360" t="inlineStr">
        <is>
          <t>-</t>
        </is>
      </c>
      <c r="AD703" s="362" t="n">
        <v>28021</v>
      </c>
      <c r="AE703" s="360" t="n">
        <v>0</v>
      </c>
      <c r="AF703" s="615" t="n">
        <v>0</v>
      </c>
      <c r="AG703" s="203" t="n">
        <v>0</v>
      </c>
      <c r="AH703" s="203" t="n">
        <v>0</v>
      </c>
      <c r="AI703" s="203" t="n">
        <v>0</v>
      </c>
      <c r="AJ703" s="203" t="n">
        <v>0</v>
      </c>
      <c r="AK703" s="203" t="n">
        <v>0</v>
      </c>
      <c r="AL703" s="203" t="n">
        <v>0.01</v>
      </c>
      <c r="AM703" s="203" t="n">
        <v>0</v>
      </c>
      <c r="AN703" s="203" t="inlineStr">
        <is>
          <t>ចំណូលពីសេវាកម្ម (លើកដាក់ទំនិញ)</t>
        </is>
      </c>
    </row>
    <row r="704">
      <c r="A704" s="220">
        <f>A703+1</f>
        <v/>
      </c>
      <c r="B704" s="222" t="inlineStr">
        <is>
          <t>Trucking &amp; Clearance-Ex</t>
        </is>
      </c>
      <c r="C704" s="222" t="inlineStr">
        <is>
          <t>WANAKA LOGISTICS CO., LTD.</t>
        </is>
      </c>
      <c r="D704" s="223" t="inlineStr">
        <is>
          <t>K005-901907953</t>
        </is>
      </c>
      <c r="E704" s="349" t="inlineStr">
        <is>
          <t>WL25-001887</t>
        </is>
      </c>
      <c r="F704" s="332" t="n">
        <v>45805</v>
      </c>
      <c r="G704" s="224" t="n"/>
      <c r="H704" s="617" t="n"/>
      <c r="I704" s="617" t="n">
        <v>157318</v>
      </c>
      <c r="J704" s="221" t="inlineStr">
        <is>
          <t>អនុញ្ញាត (បានប្រកាស)</t>
        </is>
      </c>
      <c r="K704" s="618" t="n"/>
      <c r="L704" s="616">
        <f>I704</f>
        <v/>
      </c>
      <c r="M704" s="588">
        <f>I704-L704</f>
        <v/>
      </c>
      <c r="N704" s="221" t="n"/>
      <c r="O704" s="226">
        <f>U704=E704</f>
        <v/>
      </c>
      <c r="P704" s="226">
        <f>MONTH(F704)-MONTH(T704)</f>
        <v/>
      </c>
      <c r="Q704" s="226">
        <f>$B$5=X704</f>
        <v/>
      </c>
      <c r="R704" s="226">
        <f>I704-AD704</f>
        <v/>
      </c>
      <c r="S704" s="360" t="n"/>
      <c r="T704" s="361" t="n">
        <v>45805</v>
      </c>
      <c r="U704" s="360" t="inlineStr">
        <is>
          <t>WL25-001887</t>
        </is>
      </c>
      <c r="V704" s="360" t="n"/>
      <c r="W704" s="360" t="n"/>
      <c r="X704" s="360" t="n"/>
      <c r="Y704" s="360" t="inlineStr">
        <is>
          <t>ហូលីដេ ឌីហ្សាញ (ខេមបូឌា) ឯ.ក</t>
        </is>
      </c>
      <c r="Z704" s="362" t="n"/>
      <c r="AA704" s="362" t="n"/>
      <c r="AB704" s="360" t="n"/>
      <c r="AC704" s="360" t="n"/>
      <c r="AD704" s="362" t="n">
        <v>157318</v>
      </c>
      <c r="AE704" s="360" t="n"/>
      <c r="AF704" s="615" t="n"/>
    </row>
    <row r="705">
      <c r="A705" s="220">
        <f>A704+1</f>
        <v/>
      </c>
      <c r="B705" s="222" t="inlineStr">
        <is>
          <t>Lift-Off-Ex</t>
        </is>
      </c>
      <c r="C705" s="222" t="inlineStr">
        <is>
          <t>PHNOM PENH AUTONOMOUS PORT "PPAP"</t>
        </is>
      </c>
      <c r="D705" s="223" t="inlineStr">
        <is>
          <t>L001-100044999</t>
        </is>
      </c>
      <c r="E705" s="349" t="inlineStr">
        <is>
          <t>INV20250542483</t>
        </is>
      </c>
      <c r="F705" s="332" t="n">
        <v>45805</v>
      </c>
      <c r="G705" s="224" t="n"/>
      <c r="H705" s="617" t="n"/>
      <c r="I705" s="617" t="n">
        <v>28021</v>
      </c>
      <c r="J705" s="221" t="inlineStr">
        <is>
          <t>អនុញ្ញាត (បានប្រកាស)</t>
        </is>
      </c>
      <c r="K705" s="618" t="n"/>
      <c r="L705" s="616">
        <f>I705</f>
        <v/>
      </c>
      <c r="M705" s="588">
        <f>I705-L705</f>
        <v/>
      </c>
      <c r="N705" s="221" t="n"/>
      <c r="O705" s="226">
        <f>U705=E705</f>
        <v/>
      </c>
      <c r="P705" s="226">
        <f>MONTH(F705)-MONTH(T705)</f>
        <v/>
      </c>
      <c r="Q705" s="226">
        <f>$B$5=X705</f>
        <v/>
      </c>
      <c r="R705" s="226">
        <f>I705-AD705</f>
        <v/>
      </c>
      <c r="S705" s="360" t="n"/>
      <c r="T705" s="361" t="n">
        <v>45805</v>
      </c>
      <c r="U705" s="360" t="inlineStr">
        <is>
          <t>INV20250542483</t>
        </is>
      </c>
      <c r="V705" s="360" t="n">
        <v>0</v>
      </c>
      <c r="W705" s="360" t="inlineStr">
        <is>
          <t>បុគ្គលជាប់អាករ</t>
        </is>
      </c>
      <c r="X705" s="360" t="inlineStr">
        <is>
          <t>L001-901640009</t>
        </is>
      </c>
      <c r="Y705" s="360" t="inlineStr">
        <is>
          <t>ហូលីដេ ឌីហ្សាញ (ខេមបូឌា) ឯ.ក</t>
        </is>
      </c>
      <c r="Z705" s="362" t="n">
        <v>308231</v>
      </c>
      <c r="AA705" s="362" t="n">
        <v>280210</v>
      </c>
      <c r="AB705" s="360" t="n">
        <v>0</v>
      </c>
      <c r="AC705" s="360" t="inlineStr">
        <is>
          <t>-</t>
        </is>
      </c>
      <c r="AD705" s="362" t="n">
        <v>28021</v>
      </c>
      <c r="AE705" s="360" t="n">
        <v>0</v>
      </c>
      <c r="AF705" s="615" t="n">
        <v>0</v>
      </c>
      <c r="AG705" s="203" t="n">
        <v>0</v>
      </c>
      <c r="AH705" s="203" t="n">
        <v>0</v>
      </c>
      <c r="AI705" s="203" t="n">
        <v>0</v>
      </c>
      <c r="AJ705" s="203" t="n">
        <v>0</v>
      </c>
      <c r="AK705" s="203" t="n">
        <v>0</v>
      </c>
      <c r="AL705" s="203" t="n">
        <v>0.01</v>
      </c>
      <c r="AM705" s="203" t="n">
        <v>0</v>
      </c>
      <c r="AN705" s="203" t="inlineStr">
        <is>
          <t>ចំណូលពីសេវាកម្ម (លើកដាក់ទំនិញ)</t>
        </is>
      </c>
    </row>
    <row r="706">
      <c r="A706" s="220">
        <f>A705+1</f>
        <v/>
      </c>
      <c r="B706" s="222" t="inlineStr">
        <is>
          <t>Trucking &amp; Clearance-Ex</t>
        </is>
      </c>
      <c r="C706" s="222" t="inlineStr">
        <is>
          <t>WANAKA LOGISTICS CO., LTD.</t>
        </is>
      </c>
      <c r="D706" s="223" t="inlineStr">
        <is>
          <t>K005-901907953</t>
        </is>
      </c>
      <c r="E706" s="349" t="inlineStr">
        <is>
          <t>WL25-001886</t>
        </is>
      </c>
      <c r="F706" s="332" t="n">
        <v>45805</v>
      </c>
      <c r="G706" s="224" t="n"/>
      <c r="H706" s="617" t="n"/>
      <c r="I706" s="617" t="n">
        <v>157318</v>
      </c>
      <c r="J706" s="221" t="inlineStr">
        <is>
          <t>អនុញ្ញាត (បានប្រកាស)</t>
        </is>
      </c>
      <c r="K706" s="618" t="n"/>
      <c r="L706" s="616">
        <f>I706</f>
        <v/>
      </c>
      <c r="M706" s="588">
        <f>I706-L706</f>
        <v/>
      </c>
      <c r="N706" s="221" t="n"/>
      <c r="O706" s="226">
        <f>U706=E706</f>
        <v/>
      </c>
      <c r="P706" s="226">
        <f>MONTH(F706)-MONTH(T706)</f>
        <v/>
      </c>
      <c r="Q706" s="226">
        <f>$B$5=X706</f>
        <v/>
      </c>
      <c r="R706" s="226">
        <f>I706-AD706</f>
        <v/>
      </c>
      <c r="S706" s="360" t="n"/>
      <c r="T706" s="363" t="n">
        <v>45805</v>
      </c>
      <c r="U706" s="360" t="inlineStr">
        <is>
          <t>WL25-001886</t>
        </is>
      </c>
      <c r="V706" s="360" t="n"/>
      <c r="W706" s="360" t="n"/>
      <c r="X706" s="360" t="n"/>
      <c r="Y706" s="360" t="inlineStr">
        <is>
          <t>ហូលីដេ ឌីហ្សាញ (ខេមបូឌា) ឯ.ក</t>
        </is>
      </c>
      <c r="Z706" s="362" t="n"/>
      <c r="AA706" s="362" t="n"/>
      <c r="AB706" s="360" t="n"/>
      <c r="AC706" s="360" t="n"/>
      <c r="AD706" s="362" t="n">
        <v>157318</v>
      </c>
      <c r="AE706" s="360" t="n"/>
      <c r="AF706" s="615" t="n"/>
    </row>
    <row r="707">
      <c r="A707" s="220">
        <f>A706+1</f>
        <v/>
      </c>
      <c r="B707" s="222" t="inlineStr">
        <is>
          <t>Lift-Off-Ex</t>
        </is>
      </c>
      <c r="C707" s="222" t="inlineStr">
        <is>
          <t>PHNOM PENH AUTONOMOUS PORT "PPAP"</t>
        </is>
      </c>
      <c r="D707" s="223" t="inlineStr">
        <is>
          <t>L001-100044999</t>
        </is>
      </c>
      <c r="E707" s="349" t="inlineStr">
        <is>
          <t>INV20250539872</t>
        </is>
      </c>
      <c r="F707" s="332" t="n">
        <v>45798</v>
      </c>
      <c r="G707" s="224" t="n"/>
      <c r="H707" s="617" t="n"/>
      <c r="I707" s="617" t="n">
        <v>168126</v>
      </c>
      <c r="J707" s="221" t="inlineStr">
        <is>
          <t>អនុញ្ញាត (បានប្រកាស)</t>
        </is>
      </c>
      <c r="K707" s="618" t="n"/>
      <c r="L707" s="616">
        <f>I707</f>
        <v/>
      </c>
      <c r="M707" s="588">
        <f>I707-L707</f>
        <v/>
      </c>
      <c r="N707" s="221" t="n"/>
      <c r="O707" s="226">
        <f>U707=E707</f>
        <v/>
      </c>
      <c r="P707" s="226">
        <f>MONTH(F707)-MONTH(T707)</f>
        <v/>
      </c>
      <c r="Q707" s="226">
        <f>$B$5=X707</f>
        <v/>
      </c>
      <c r="R707" s="226">
        <f>I707-AD707</f>
        <v/>
      </c>
      <c r="S707" s="360" t="n"/>
      <c r="T707" s="361" t="n">
        <v>45798</v>
      </c>
      <c r="U707" s="360" t="inlineStr">
        <is>
          <t>INV20250539872</t>
        </is>
      </c>
      <c r="V707" s="360" t="n">
        <v>0</v>
      </c>
      <c r="W707" s="360" t="inlineStr">
        <is>
          <t>បុគ្គលជាប់អាករ</t>
        </is>
      </c>
      <c r="X707" s="360" t="inlineStr">
        <is>
          <t>L001-901640009</t>
        </is>
      </c>
      <c r="Y707" s="360" t="inlineStr">
        <is>
          <t>ហូលីដេ ឌីហ្សាញ (ខេមបូឌា) ឯ.ក</t>
        </is>
      </c>
      <c r="Z707" s="362" t="n">
        <v>1849386</v>
      </c>
      <c r="AA707" s="362" t="n">
        <v>1681260</v>
      </c>
      <c r="AB707" s="360" t="n">
        <v>0</v>
      </c>
      <c r="AC707" s="360" t="inlineStr">
        <is>
          <t>-</t>
        </is>
      </c>
      <c r="AD707" s="362" t="n">
        <v>168126</v>
      </c>
      <c r="AE707" s="360" t="n">
        <v>0</v>
      </c>
      <c r="AF707" s="615" t="n">
        <v>0</v>
      </c>
      <c r="AG707" s="203" t="n">
        <v>0</v>
      </c>
      <c r="AH707" s="203" t="n">
        <v>0</v>
      </c>
      <c r="AI707" s="203" t="n">
        <v>0</v>
      </c>
      <c r="AJ707" s="203" t="n">
        <v>0</v>
      </c>
      <c r="AK707" s="203" t="n">
        <v>0</v>
      </c>
      <c r="AL707" s="203" t="n">
        <v>0.01</v>
      </c>
      <c r="AM707" s="203" t="n">
        <v>0</v>
      </c>
      <c r="AN707" s="203" t="inlineStr">
        <is>
          <t>ចំណូលពីសេវាកម្ម (លើកដាក់ទំនិញ)</t>
        </is>
      </c>
    </row>
    <row r="708">
      <c r="A708" s="220">
        <f>A707+1</f>
        <v/>
      </c>
      <c r="B708" s="222" t="inlineStr">
        <is>
          <t>Trucking &amp; Clearance-Ex</t>
        </is>
      </c>
      <c r="C708" s="222" t="inlineStr">
        <is>
          <t>WANAKA LOGISTICS CO., LTD.</t>
        </is>
      </c>
      <c r="D708" s="223" t="inlineStr">
        <is>
          <t>K005-901907953</t>
        </is>
      </c>
      <c r="E708" s="349" t="inlineStr">
        <is>
          <t>WL25-001782</t>
        </is>
      </c>
      <c r="F708" s="332" t="n">
        <v>45800</v>
      </c>
      <c r="G708" s="224" t="n"/>
      <c r="H708" s="617" t="n"/>
      <c r="I708" s="617" t="n">
        <v>963922</v>
      </c>
      <c r="J708" s="221" t="inlineStr">
        <is>
          <t>អនុញ្ញាត (បានប្រកាស)</t>
        </is>
      </c>
      <c r="K708" s="618" t="n"/>
      <c r="L708" s="616">
        <f>I708</f>
        <v/>
      </c>
      <c r="M708" s="588">
        <f>I708-L708</f>
        <v/>
      </c>
      <c r="N708" s="221" t="n"/>
      <c r="O708" s="226">
        <f>U708=E708</f>
        <v/>
      </c>
      <c r="P708" s="226">
        <f>MONTH(F708)-MONTH(T708)</f>
        <v/>
      </c>
      <c r="Q708" s="226">
        <f>$B$5=X708</f>
        <v/>
      </c>
      <c r="R708" s="226">
        <f>I708-AD708</f>
        <v/>
      </c>
      <c r="S708" s="360" t="n"/>
      <c r="T708" s="361" t="n">
        <v>45800</v>
      </c>
      <c r="U708" s="360" t="inlineStr">
        <is>
          <t>WL25-001782</t>
        </is>
      </c>
      <c r="V708" s="360" t="n"/>
      <c r="W708" s="360" t="n"/>
      <c r="X708" s="360" t="n"/>
      <c r="Y708" s="360" t="inlineStr">
        <is>
          <t>ហូលីដេ ឌីហ្សាញ (ខេមបូឌា) ឯ.ក</t>
        </is>
      </c>
      <c r="Z708" s="362" t="n"/>
      <c r="AA708" s="362" t="n"/>
      <c r="AB708" s="360" t="n"/>
      <c r="AC708" s="360" t="n"/>
      <c r="AD708" s="362" t="n">
        <v>963922</v>
      </c>
      <c r="AE708" s="360" t="n"/>
      <c r="AF708" s="615" t="n"/>
    </row>
    <row r="709">
      <c r="A709" s="220">
        <f>A708+1</f>
        <v/>
      </c>
      <c r="B709" s="222" t="inlineStr">
        <is>
          <t>Lift-Off-Ex</t>
        </is>
      </c>
      <c r="C709" s="222" t="inlineStr">
        <is>
          <t>PHNOM PENH AUTONOMOUS PORT "PPAP"</t>
        </is>
      </c>
      <c r="D709" s="223" t="inlineStr">
        <is>
          <t>L001-100044999</t>
        </is>
      </c>
      <c r="E709" s="349" t="inlineStr">
        <is>
          <t>INV20250539876</t>
        </is>
      </c>
      <c r="F709" s="332" t="n">
        <v>45798</v>
      </c>
      <c r="G709" s="224" t="n"/>
      <c r="H709" s="617" t="n"/>
      <c r="I709" s="617" t="n">
        <v>112084</v>
      </c>
      <c r="J709" s="221" t="inlineStr">
        <is>
          <t>អនុញ្ញាត (បានប្រកាស)</t>
        </is>
      </c>
      <c r="K709" s="618" t="n"/>
      <c r="L709" s="616">
        <f>I709</f>
        <v/>
      </c>
      <c r="M709" s="588">
        <f>I709-L709</f>
        <v/>
      </c>
      <c r="N709" s="221" t="n"/>
      <c r="O709" s="226">
        <f>U709=E709</f>
        <v/>
      </c>
      <c r="P709" s="226">
        <f>MONTH(F709)-MONTH(T709)</f>
        <v/>
      </c>
      <c r="Q709" s="226">
        <f>$B$5=X709</f>
        <v/>
      </c>
      <c r="R709" s="226">
        <f>I709-AD709</f>
        <v/>
      </c>
      <c r="S709" s="360" t="n"/>
      <c r="T709" s="363" t="n">
        <v>45798</v>
      </c>
      <c r="U709" s="360" t="inlineStr">
        <is>
          <t>INV20250539876</t>
        </is>
      </c>
      <c r="V709" s="360" t="n">
        <v>0</v>
      </c>
      <c r="W709" s="360" t="inlineStr">
        <is>
          <t>បុគ្គលជាប់អាករ</t>
        </is>
      </c>
      <c r="X709" s="360" t="inlineStr">
        <is>
          <t>L001-901640009</t>
        </is>
      </c>
      <c r="Y709" s="360" t="inlineStr">
        <is>
          <t>ហូលីដេ ឌីហ្សាញ (ខេមបូឌា) ឯ.ក</t>
        </is>
      </c>
      <c r="Z709" s="362" t="n">
        <v>1232924</v>
      </c>
      <c r="AA709" s="362" t="n">
        <v>1120840</v>
      </c>
      <c r="AB709" s="360" t="n">
        <v>0</v>
      </c>
      <c r="AC709" s="360" t="inlineStr">
        <is>
          <t>-</t>
        </is>
      </c>
      <c r="AD709" s="362" t="n">
        <v>112084</v>
      </c>
      <c r="AE709" s="360" t="n">
        <v>0</v>
      </c>
      <c r="AF709" s="615" t="n">
        <v>0</v>
      </c>
      <c r="AG709" s="203" t="n">
        <v>0</v>
      </c>
      <c r="AH709" s="203" t="n">
        <v>0</v>
      </c>
      <c r="AI709" s="203" t="n">
        <v>0</v>
      </c>
      <c r="AJ709" s="203" t="n">
        <v>0</v>
      </c>
      <c r="AK709" s="203" t="n">
        <v>0</v>
      </c>
      <c r="AL709" s="203" t="n">
        <v>0.01</v>
      </c>
      <c r="AM709" s="203" t="n">
        <v>0</v>
      </c>
      <c r="AN709" s="203" t="inlineStr">
        <is>
          <t>ចំណូលពីសេវាកម្ម (លើកដាក់ទំនិញ)</t>
        </is>
      </c>
    </row>
    <row r="710">
      <c r="A710" s="220">
        <f>A709+1</f>
        <v/>
      </c>
      <c r="B710" s="222" t="inlineStr">
        <is>
          <t>Trucking &amp; Clearance-Ex</t>
        </is>
      </c>
      <c r="C710" s="222" t="inlineStr">
        <is>
          <t>WANAKA LOGISTICS CO., LTD.</t>
        </is>
      </c>
      <c r="D710" s="223" t="inlineStr">
        <is>
          <t>K005-901907953</t>
        </is>
      </c>
      <c r="E710" s="349" t="inlineStr">
        <is>
          <t>WL25-001781</t>
        </is>
      </c>
      <c r="F710" s="332" t="n">
        <v>45800</v>
      </c>
      <c r="G710" s="224" t="n"/>
      <c r="H710" s="617" t="n"/>
      <c r="I710" s="617" t="n">
        <v>649287</v>
      </c>
      <c r="J710" s="221" t="inlineStr">
        <is>
          <t>អនុញ្ញាត (បានប្រកាស)</t>
        </is>
      </c>
      <c r="K710" s="618" t="n"/>
      <c r="L710" s="616">
        <f>I710</f>
        <v/>
      </c>
      <c r="M710" s="588">
        <f>I710-L710</f>
        <v/>
      </c>
      <c r="N710" s="221" t="n"/>
      <c r="O710" s="226">
        <f>U710=E710</f>
        <v/>
      </c>
      <c r="P710" s="226">
        <f>MONTH(F710)-MONTH(T710)</f>
        <v/>
      </c>
      <c r="Q710" s="226">
        <f>$B$5=X710</f>
        <v/>
      </c>
      <c r="R710" s="226">
        <f>I710-AD710</f>
        <v/>
      </c>
      <c r="S710" s="360" t="n"/>
      <c r="T710" s="361" t="n">
        <v>45800</v>
      </c>
      <c r="U710" s="360" t="inlineStr">
        <is>
          <t>WL25-001781</t>
        </is>
      </c>
      <c r="V710" s="360" t="n"/>
      <c r="W710" s="360" t="n"/>
      <c r="X710" s="360" t="n"/>
      <c r="Y710" s="360" t="inlineStr">
        <is>
          <t>ហូលីដេ ឌីហ្សាញ (ខេមបូឌា) ឯ.ក</t>
        </is>
      </c>
      <c r="Z710" s="362" t="n"/>
      <c r="AA710" s="362" t="n"/>
      <c r="AB710" s="360" t="n"/>
      <c r="AC710" s="360" t="n"/>
      <c r="AD710" s="362" t="n">
        <v>649287</v>
      </c>
      <c r="AE710" s="360" t="n"/>
      <c r="AF710" s="615" t="n"/>
    </row>
    <row r="711">
      <c r="A711" s="220">
        <f>A710+1</f>
        <v/>
      </c>
      <c r="B711" s="222" t="inlineStr">
        <is>
          <t>Lift-Off-Ex</t>
        </is>
      </c>
      <c r="C711" s="222" t="inlineStr">
        <is>
          <t>PHNOM PENH AUTONOMOUS PORT "PPAP"</t>
        </is>
      </c>
      <c r="D711" s="223" t="inlineStr">
        <is>
          <t>L001-100044999</t>
        </is>
      </c>
      <c r="E711" s="349" t="inlineStr">
        <is>
          <t>INV20250539893</t>
        </is>
      </c>
      <c r="F711" s="332" t="n">
        <v>45798</v>
      </c>
      <c r="G711" s="224" t="n"/>
      <c r="H711" s="617" t="n"/>
      <c r="I711" s="617" t="n">
        <v>28021</v>
      </c>
      <c r="J711" s="221" t="inlineStr">
        <is>
          <t>អនុញ្ញាត (បានប្រកាស)</t>
        </is>
      </c>
      <c r="K711" s="618" t="n"/>
      <c r="L711" s="616">
        <f>I711</f>
        <v/>
      </c>
      <c r="M711" s="588">
        <f>I711-L711</f>
        <v/>
      </c>
      <c r="N711" s="221" t="n"/>
      <c r="O711" s="226">
        <f>U711=E711</f>
        <v/>
      </c>
      <c r="P711" s="226">
        <f>MONTH(F711)-MONTH(T711)</f>
        <v/>
      </c>
      <c r="Q711" s="226">
        <f>$B$5=X711</f>
        <v/>
      </c>
      <c r="R711" s="226">
        <f>I711-AD711</f>
        <v/>
      </c>
      <c r="S711" s="360" t="n"/>
      <c r="T711" s="361" t="n">
        <v>45798</v>
      </c>
      <c r="U711" s="360" t="inlineStr">
        <is>
          <t>INV20250539893</t>
        </is>
      </c>
      <c r="V711" s="360" t="n">
        <v>0</v>
      </c>
      <c r="W711" s="360" t="inlineStr">
        <is>
          <t>បុគ្គលជាប់អាករ</t>
        </is>
      </c>
      <c r="X711" s="360" t="inlineStr">
        <is>
          <t>L001-901640009</t>
        </is>
      </c>
      <c r="Y711" s="360" t="inlineStr">
        <is>
          <t>ហូលីដេ ឌីហ្សាញ (ខេមបូឌា) ឯ.ក</t>
        </is>
      </c>
      <c r="Z711" s="362" t="n">
        <v>308231</v>
      </c>
      <c r="AA711" s="362" t="n">
        <v>280210</v>
      </c>
      <c r="AB711" s="360" t="n">
        <v>0</v>
      </c>
      <c r="AC711" s="360" t="inlineStr">
        <is>
          <t>-</t>
        </is>
      </c>
      <c r="AD711" s="362" t="n">
        <v>28021</v>
      </c>
      <c r="AE711" s="360" t="n">
        <v>0</v>
      </c>
      <c r="AF711" s="615" t="n">
        <v>0</v>
      </c>
      <c r="AG711" s="203" t="n">
        <v>0</v>
      </c>
      <c r="AH711" s="203" t="n">
        <v>0</v>
      </c>
      <c r="AI711" s="203" t="n">
        <v>0</v>
      </c>
      <c r="AJ711" s="203" t="n">
        <v>0</v>
      </c>
      <c r="AK711" s="203" t="n">
        <v>0</v>
      </c>
      <c r="AL711" s="203" t="n">
        <v>0.01</v>
      </c>
      <c r="AM711" s="203" t="n">
        <v>0</v>
      </c>
      <c r="AN711" s="203" t="inlineStr">
        <is>
          <t>ចំណូលពីសេវាកម្ម (លើកដាក់ទំនិញ)</t>
        </is>
      </c>
    </row>
    <row r="712">
      <c r="A712" s="220">
        <f>A711+1</f>
        <v/>
      </c>
      <c r="B712" s="222" t="inlineStr">
        <is>
          <t>Trucking &amp; Clearance-Ex</t>
        </is>
      </c>
      <c r="C712" s="222" t="inlineStr">
        <is>
          <t>WANAKA LOGISTICS CO., LTD.</t>
        </is>
      </c>
      <c r="D712" s="223" t="inlineStr">
        <is>
          <t>K005-901907953</t>
        </is>
      </c>
      <c r="E712" s="349" t="inlineStr">
        <is>
          <t>WL25-001780</t>
        </is>
      </c>
      <c r="F712" s="332" t="n">
        <v>45800</v>
      </c>
      <c r="G712" s="224" t="n"/>
      <c r="H712" s="617" t="n"/>
      <c r="I712" s="617" t="n">
        <v>157318</v>
      </c>
      <c r="J712" s="221" t="inlineStr">
        <is>
          <t>អនុញ្ញាត (បានប្រកាស)</t>
        </is>
      </c>
      <c r="K712" s="618" t="n"/>
      <c r="L712" s="616">
        <f>I712</f>
        <v/>
      </c>
      <c r="M712" s="588">
        <f>I712-L712</f>
        <v/>
      </c>
      <c r="N712" s="221" t="n"/>
      <c r="O712" s="226">
        <f>U712=E712</f>
        <v/>
      </c>
      <c r="P712" s="226">
        <f>MONTH(F712)-MONTH(T712)</f>
        <v/>
      </c>
      <c r="Q712" s="226">
        <f>$B$5=X712</f>
        <v/>
      </c>
      <c r="R712" s="226">
        <f>I712-AD712</f>
        <v/>
      </c>
      <c r="S712" s="360" t="n"/>
      <c r="T712" s="361" t="n">
        <v>45800</v>
      </c>
      <c r="U712" s="360" t="inlineStr">
        <is>
          <t>WL25-001780</t>
        </is>
      </c>
      <c r="V712" s="360" t="n"/>
      <c r="W712" s="360" t="n"/>
      <c r="X712" s="360" t="n"/>
      <c r="Y712" s="360" t="inlineStr">
        <is>
          <t>ហូលីដេ ឌីហ្សាញ (ខេមបូឌា) ឯ.ក</t>
        </is>
      </c>
      <c r="Z712" s="362" t="n"/>
      <c r="AA712" s="362" t="n"/>
      <c r="AB712" s="360" t="n"/>
      <c r="AC712" s="360" t="n"/>
      <c r="AD712" s="362" t="n">
        <v>157318</v>
      </c>
      <c r="AE712" s="360" t="n"/>
      <c r="AF712" s="615" t="n"/>
    </row>
    <row r="713">
      <c r="A713" s="220">
        <f>A712+1</f>
        <v/>
      </c>
      <c r="B713" s="222" t="inlineStr">
        <is>
          <t>Lift-Off-Ex</t>
        </is>
      </c>
      <c r="C713" s="222" t="inlineStr">
        <is>
          <t>PHNOM PENH AUTONOMOUS PORT "PPAP"</t>
        </is>
      </c>
      <c r="D713" s="223" t="inlineStr">
        <is>
          <t>L001-100044999</t>
        </is>
      </c>
      <c r="E713" s="349" t="inlineStr">
        <is>
          <t>INV20250539891</t>
        </is>
      </c>
      <c r="F713" s="332" t="n">
        <v>45798</v>
      </c>
      <c r="G713" s="224" t="n"/>
      <c r="H713" s="617" t="n"/>
      <c r="I713" s="617" t="n">
        <v>28021</v>
      </c>
      <c r="J713" s="221" t="inlineStr">
        <is>
          <t>អនុញ្ញាត (បានប្រកាស)</t>
        </is>
      </c>
      <c r="K713" s="618" t="n"/>
      <c r="L713" s="616">
        <f>I713</f>
        <v/>
      </c>
      <c r="M713" s="588">
        <f>I713-L713</f>
        <v/>
      </c>
      <c r="N713" s="221" t="n"/>
      <c r="O713" s="226">
        <f>U713=E713</f>
        <v/>
      </c>
      <c r="P713" s="226">
        <f>MONTH(F713)-MONTH(T713)</f>
        <v/>
      </c>
      <c r="Q713" s="226">
        <f>$B$5=X713</f>
        <v/>
      </c>
      <c r="R713" s="226">
        <f>I713-AD713</f>
        <v/>
      </c>
      <c r="S713" s="360" t="n"/>
      <c r="T713" s="363" t="n">
        <v>45798</v>
      </c>
      <c r="U713" s="360" t="inlineStr">
        <is>
          <t>INV20250539891</t>
        </is>
      </c>
      <c r="V713" s="360" t="n">
        <v>0</v>
      </c>
      <c r="W713" s="360" t="inlineStr">
        <is>
          <t>បុគ្គលជាប់អាករ</t>
        </is>
      </c>
      <c r="X713" s="360" t="inlineStr">
        <is>
          <t>L001-901640009</t>
        </is>
      </c>
      <c r="Y713" s="360" t="inlineStr">
        <is>
          <t>ហូលីដេ ឌីហ្សាញ (ខេមបូឌា) ឯ.ក</t>
        </is>
      </c>
      <c r="Z713" s="362" t="n">
        <v>308231</v>
      </c>
      <c r="AA713" s="362" t="n">
        <v>280210</v>
      </c>
      <c r="AB713" s="360" t="n">
        <v>0</v>
      </c>
      <c r="AC713" s="360" t="inlineStr">
        <is>
          <t>-</t>
        </is>
      </c>
      <c r="AD713" s="362" t="n">
        <v>28021</v>
      </c>
      <c r="AE713" s="360" t="n">
        <v>0</v>
      </c>
      <c r="AF713" s="615" t="n">
        <v>0</v>
      </c>
      <c r="AG713" s="203" t="n">
        <v>0</v>
      </c>
      <c r="AH713" s="203" t="n">
        <v>0</v>
      </c>
      <c r="AI713" s="203" t="n">
        <v>0</v>
      </c>
      <c r="AJ713" s="203" t="n">
        <v>0</v>
      </c>
      <c r="AK713" s="203" t="n">
        <v>0</v>
      </c>
      <c r="AL713" s="203" t="n">
        <v>0.01</v>
      </c>
      <c r="AM713" s="203" t="n">
        <v>0</v>
      </c>
      <c r="AN713" s="203" t="inlineStr">
        <is>
          <t>ចំណូលពីសេវាកម្ម (លើកដាក់ទំនិញ)</t>
        </is>
      </c>
    </row>
    <row r="714">
      <c r="A714" s="220">
        <f>A713+1</f>
        <v/>
      </c>
      <c r="B714" s="222" t="inlineStr">
        <is>
          <t>Trucking &amp; Clearance-Ex</t>
        </is>
      </c>
      <c r="C714" s="222" t="inlineStr">
        <is>
          <t>WANAKA LOGISTICS CO., LTD.</t>
        </is>
      </c>
      <c r="D714" s="223" t="inlineStr">
        <is>
          <t>K005-901907953</t>
        </is>
      </c>
      <c r="E714" s="349" t="inlineStr">
        <is>
          <t>WL25-001889</t>
        </is>
      </c>
      <c r="F714" s="332" t="n">
        <v>45805</v>
      </c>
      <c r="G714" s="224" t="n"/>
      <c r="H714" s="617" t="n"/>
      <c r="I714" s="617" t="n">
        <v>157318</v>
      </c>
      <c r="J714" s="221" t="inlineStr">
        <is>
          <t>អនុញ្ញាត (បានប្រកាស)</t>
        </is>
      </c>
      <c r="K714" s="618" t="n"/>
      <c r="L714" s="616">
        <f>I714</f>
        <v/>
      </c>
      <c r="M714" s="588">
        <f>I714-L714</f>
        <v/>
      </c>
      <c r="N714" s="221" t="n"/>
      <c r="O714" s="226">
        <f>U714=E714</f>
        <v/>
      </c>
      <c r="P714" s="226">
        <f>MONTH(F714)-MONTH(T714)</f>
        <v/>
      </c>
      <c r="Q714" s="226">
        <f>$B$5=X714</f>
        <v/>
      </c>
      <c r="R714" s="226">
        <f>I714-AD714</f>
        <v/>
      </c>
      <c r="S714" s="360" t="n"/>
      <c r="T714" s="363" t="n">
        <v>45805</v>
      </c>
      <c r="U714" s="360" t="inlineStr">
        <is>
          <t>WL25-001889</t>
        </is>
      </c>
      <c r="V714" s="360" t="n"/>
      <c r="W714" s="360" t="n"/>
      <c r="X714" s="360" t="n"/>
      <c r="Y714" s="360" t="inlineStr">
        <is>
          <t>ហូលីដេ ឌីហ្សាញ (ខេមបូឌា) ឯ.ក</t>
        </is>
      </c>
      <c r="Z714" s="362" t="n"/>
      <c r="AA714" s="362" t="n"/>
      <c r="AB714" s="360" t="n"/>
      <c r="AC714" s="360" t="n"/>
      <c r="AD714" s="362" t="n">
        <v>157318</v>
      </c>
      <c r="AE714" s="360" t="n"/>
      <c r="AF714" s="615" t="n"/>
    </row>
    <row r="715">
      <c r="A715" s="220">
        <f>A714+1</f>
        <v/>
      </c>
      <c r="B715" s="222" t="inlineStr">
        <is>
          <t>Lift-Off-Ex</t>
        </is>
      </c>
      <c r="C715" s="222" t="inlineStr">
        <is>
          <t>PHNOM PENH AUTONOMOUS PORT "PPAP"</t>
        </is>
      </c>
      <c r="D715" s="223" t="inlineStr">
        <is>
          <t>L001-100044999</t>
        </is>
      </c>
      <c r="E715" s="349" t="inlineStr">
        <is>
          <t>INV20250542480</t>
        </is>
      </c>
      <c r="F715" s="332" t="n">
        <v>45805</v>
      </c>
      <c r="G715" s="224" t="n"/>
      <c r="H715" s="617" t="n"/>
      <c r="I715" s="617" t="n">
        <v>28021</v>
      </c>
      <c r="J715" s="221" t="inlineStr">
        <is>
          <t>អនុញ្ញាត (បានប្រកាស)</t>
        </is>
      </c>
      <c r="K715" s="618" t="n"/>
      <c r="L715" s="616">
        <f>I715</f>
        <v/>
      </c>
      <c r="M715" s="588">
        <f>I715-L715</f>
        <v/>
      </c>
      <c r="N715" s="221" t="n"/>
      <c r="O715" s="226">
        <f>U715=E715</f>
        <v/>
      </c>
      <c r="P715" s="226">
        <f>MONTH(F715)-MONTH(T715)</f>
        <v/>
      </c>
      <c r="Q715" s="226">
        <f>$B$5=X715</f>
        <v/>
      </c>
      <c r="R715" s="226">
        <f>I715-AD715</f>
        <v/>
      </c>
      <c r="S715" s="360" t="n"/>
      <c r="T715" s="361" t="n">
        <v>45805</v>
      </c>
      <c r="U715" s="360" t="inlineStr">
        <is>
          <t>INV20250542480</t>
        </is>
      </c>
      <c r="V715" s="360" t="n">
        <v>0</v>
      </c>
      <c r="W715" s="360" t="inlineStr">
        <is>
          <t>បុគ្គលជាប់អាករ</t>
        </is>
      </c>
      <c r="X715" s="360" t="inlineStr">
        <is>
          <t>L001-901640009</t>
        </is>
      </c>
      <c r="Y715" s="360" t="inlineStr">
        <is>
          <t>ហូលីដេ ឌីហ្សាញ (ខេមបូឌា) ឯ.ក</t>
        </is>
      </c>
      <c r="Z715" s="362" t="n">
        <v>308231</v>
      </c>
      <c r="AA715" s="362" t="n">
        <v>280210</v>
      </c>
      <c r="AB715" s="360" t="n">
        <v>0</v>
      </c>
      <c r="AC715" s="360" t="inlineStr">
        <is>
          <t>-</t>
        </is>
      </c>
      <c r="AD715" s="362" t="n">
        <v>28021</v>
      </c>
      <c r="AE715" s="360" t="n">
        <v>0</v>
      </c>
      <c r="AF715" s="615" t="n">
        <v>0</v>
      </c>
      <c r="AG715" s="203" t="n">
        <v>0</v>
      </c>
      <c r="AH715" s="203" t="n">
        <v>0</v>
      </c>
      <c r="AI715" s="203" t="n">
        <v>0</v>
      </c>
      <c r="AJ715" s="203" t="n">
        <v>0</v>
      </c>
      <c r="AK715" s="203" t="n">
        <v>0</v>
      </c>
      <c r="AL715" s="203" t="n">
        <v>0.01</v>
      </c>
      <c r="AM715" s="203" t="n">
        <v>0</v>
      </c>
      <c r="AN715" s="203" t="inlineStr">
        <is>
          <t>ចំណូលពីសេវាកម្ម (លើកដាក់ទំនិញ)</t>
        </is>
      </c>
    </row>
    <row r="716">
      <c r="A716" s="220">
        <f>A715+1</f>
        <v/>
      </c>
      <c r="B716" s="222" t="inlineStr">
        <is>
          <t>Trucking &amp; Clearance-Ex</t>
        </is>
      </c>
      <c r="C716" s="222" t="inlineStr">
        <is>
          <t>WANAKA LOGISTICS CO., LTD.</t>
        </is>
      </c>
      <c r="D716" s="223" t="inlineStr">
        <is>
          <t>K005-901907953</t>
        </is>
      </c>
      <c r="E716" s="349" t="inlineStr">
        <is>
          <t>WL25-001896</t>
        </is>
      </c>
      <c r="F716" s="332" t="n">
        <v>45805</v>
      </c>
      <c r="G716" s="224" t="n"/>
      <c r="H716" s="617" t="n"/>
      <c r="I716" s="617" t="n">
        <v>156117</v>
      </c>
      <c r="J716" s="221" t="inlineStr">
        <is>
          <t>អនុញ្ញាត (បានប្រកាស)</t>
        </is>
      </c>
      <c r="K716" s="618" t="n"/>
      <c r="L716" s="616">
        <f>I716</f>
        <v/>
      </c>
      <c r="M716" s="588">
        <f>I716-L716</f>
        <v/>
      </c>
      <c r="N716" s="221" t="n"/>
      <c r="O716" s="226">
        <f>U716=E716</f>
        <v/>
      </c>
      <c r="P716" s="226">
        <f>MONTH(F716)-MONTH(T716)</f>
        <v/>
      </c>
      <c r="Q716" s="226">
        <f>$B$5=X716</f>
        <v/>
      </c>
      <c r="R716" s="226">
        <f>I716-AD716</f>
        <v/>
      </c>
      <c r="S716" s="360" t="n"/>
      <c r="T716" s="361" t="n">
        <v>45805</v>
      </c>
      <c r="U716" s="360" t="inlineStr">
        <is>
          <t>WL25-001896</t>
        </is>
      </c>
      <c r="V716" s="360" t="n"/>
      <c r="W716" s="360" t="n"/>
      <c r="X716" s="360" t="n"/>
      <c r="Y716" s="360" t="inlineStr">
        <is>
          <t>ហូលីដេ ឌីហ្សាញ (ខេមបូឌា) ឯ.ក</t>
        </is>
      </c>
      <c r="Z716" s="362" t="n"/>
      <c r="AA716" s="362" t="n"/>
      <c r="AB716" s="360" t="n"/>
      <c r="AC716" s="360" t="n"/>
      <c r="AD716" s="362" t="n">
        <v>156117</v>
      </c>
      <c r="AE716" s="360" t="n"/>
      <c r="AF716" s="615" t="n"/>
    </row>
    <row r="717">
      <c r="A717" s="220">
        <f>A716+1</f>
        <v/>
      </c>
      <c r="B717" s="222" t="inlineStr">
        <is>
          <t>Lift-Off-Ex</t>
        </is>
      </c>
      <c r="C717" s="222" t="inlineStr">
        <is>
          <t>PHNOM PENH AUTONOMOUS PORT "PPAP"</t>
        </is>
      </c>
      <c r="D717" s="223" t="inlineStr">
        <is>
          <t>L001-100044999</t>
        </is>
      </c>
      <c r="E717" s="349" t="inlineStr">
        <is>
          <t>INV20250542476</t>
        </is>
      </c>
      <c r="F717" s="332" t="n">
        <v>45805</v>
      </c>
      <c r="G717" s="224" t="n"/>
      <c r="H717" s="617" t="n"/>
      <c r="I717" s="617" t="n">
        <v>56042</v>
      </c>
      <c r="J717" s="221" t="inlineStr">
        <is>
          <t>អនុញ្ញាត (បានប្រកាស)</t>
        </is>
      </c>
      <c r="K717" s="618" t="n"/>
      <c r="L717" s="616">
        <f>I717</f>
        <v/>
      </c>
      <c r="M717" s="588">
        <f>I717-L717</f>
        <v/>
      </c>
      <c r="N717" s="221" t="n"/>
      <c r="O717" s="226">
        <f>U717=E717</f>
        <v/>
      </c>
      <c r="P717" s="226">
        <f>MONTH(F717)-MONTH(T717)</f>
        <v/>
      </c>
      <c r="Q717" s="226">
        <f>$B$5=X717</f>
        <v/>
      </c>
      <c r="R717" s="226">
        <f>I717-AD717</f>
        <v/>
      </c>
      <c r="S717" s="360" t="n"/>
      <c r="T717" s="361" t="n">
        <v>45805</v>
      </c>
      <c r="U717" s="360" t="inlineStr">
        <is>
          <t>INV20250542476</t>
        </is>
      </c>
      <c r="V717" s="360" t="n">
        <v>0</v>
      </c>
      <c r="W717" s="360" t="inlineStr">
        <is>
          <t>បុគ្គលជាប់អាករ</t>
        </is>
      </c>
      <c r="X717" s="360" t="inlineStr">
        <is>
          <t>L001-901640009</t>
        </is>
      </c>
      <c r="Y717" s="360" t="inlineStr">
        <is>
          <t>ហូលីដេ ឌីហ្សាញ (ខេមបូឌា) ឯ.ក</t>
        </is>
      </c>
      <c r="Z717" s="362" t="n">
        <v>616462</v>
      </c>
      <c r="AA717" s="362" t="n">
        <v>560420</v>
      </c>
      <c r="AB717" s="360" t="n">
        <v>0</v>
      </c>
      <c r="AC717" s="360" t="inlineStr">
        <is>
          <t>-</t>
        </is>
      </c>
      <c r="AD717" s="362" t="n">
        <v>56042</v>
      </c>
      <c r="AE717" s="360" t="n">
        <v>0</v>
      </c>
      <c r="AF717" s="615" t="n">
        <v>0</v>
      </c>
      <c r="AG717" s="203" t="n">
        <v>0</v>
      </c>
      <c r="AH717" s="203" t="n">
        <v>0</v>
      </c>
      <c r="AI717" s="203" t="n">
        <v>0</v>
      </c>
      <c r="AJ717" s="203" t="n">
        <v>0</v>
      </c>
      <c r="AK717" s="203" t="n">
        <v>0</v>
      </c>
      <c r="AL717" s="203" t="n">
        <v>0.01</v>
      </c>
      <c r="AM717" s="203" t="n">
        <v>0</v>
      </c>
      <c r="AN717" s="203" t="inlineStr">
        <is>
          <t>ចំណូលពីសេវាកម្ម (លើកដាក់ទំនិញ)</t>
        </is>
      </c>
    </row>
    <row r="718">
      <c r="A718" s="220">
        <f>A717+1</f>
        <v/>
      </c>
      <c r="B718" s="222" t="inlineStr">
        <is>
          <t>Trucking &amp; Clearance-Ex</t>
        </is>
      </c>
      <c r="C718" s="222" t="inlineStr">
        <is>
          <t>WANAKA LOGISTICS CO., LTD.</t>
        </is>
      </c>
      <c r="D718" s="223" t="inlineStr">
        <is>
          <t>K005-901907953</t>
        </is>
      </c>
      <c r="E718" s="349" t="inlineStr">
        <is>
          <t>WL25-001895</t>
        </is>
      </c>
      <c r="F718" s="332" t="n">
        <v>45805</v>
      </c>
      <c r="G718" s="224" t="n"/>
      <c r="H718" s="617" t="n"/>
      <c r="I718" s="617" t="n">
        <v>314636</v>
      </c>
      <c r="J718" s="221" t="inlineStr">
        <is>
          <t>អនុញ្ញាត (បានប្រកាស)</t>
        </is>
      </c>
      <c r="K718" s="618" t="n"/>
      <c r="L718" s="616">
        <f>I718</f>
        <v/>
      </c>
      <c r="M718" s="588">
        <f>I718-L718</f>
        <v/>
      </c>
      <c r="N718" s="221" t="n"/>
      <c r="O718" s="226">
        <f>U718=E718</f>
        <v/>
      </c>
      <c r="P718" s="226">
        <f>MONTH(F718)-MONTH(T718)</f>
        <v/>
      </c>
      <c r="Q718" s="226">
        <f>$B$5=X718</f>
        <v/>
      </c>
      <c r="R718" s="226">
        <f>I718-AD718</f>
        <v/>
      </c>
      <c r="S718" s="360" t="n"/>
      <c r="T718" s="361" t="n">
        <v>45805</v>
      </c>
      <c r="U718" s="360" t="inlineStr">
        <is>
          <t>WL25-001895</t>
        </is>
      </c>
      <c r="V718" s="360" t="n"/>
      <c r="W718" s="360" t="n"/>
      <c r="X718" s="360" t="n"/>
      <c r="Y718" s="360" t="inlineStr">
        <is>
          <t>ហូលីដេ ឌីហ្សាញ (ខេមបូឌា) ឯ.ក</t>
        </is>
      </c>
      <c r="Z718" s="362" t="n"/>
      <c r="AA718" s="362" t="n"/>
      <c r="AB718" s="360" t="n"/>
      <c r="AC718" s="360" t="n"/>
      <c r="AD718" s="362" t="n">
        <v>314636</v>
      </c>
      <c r="AE718" s="360" t="n"/>
      <c r="AF718" s="615" t="n"/>
    </row>
    <row r="719">
      <c r="A719" s="220">
        <f>A718+1</f>
        <v/>
      </c>
      <c r="B719" s="222" t="inlineStr">
        <is>
          <t>Lift-Off-Ex</t>
        </is>
      </c>
      <c r="C719" s="222" t="inlineStr">
        <is>
          <t>PHNOM PENH AUTONOMOUS PORT "PPAP"</t>
        </is>
      </c>
      <c r="D719" s="223" t="inlineStr">
        <is>
          <t>L001-100044999</t>
        </is>
      </c>
      <c r="E719" s="349" t="inlineStr">
        <is>
          <t>INV20250542475</t>
        </is>
      </c>
      <c r="F719" s="332" t="n">
        <v>45805</v>
      </c>
      <c r="G719" s="224" t="n"/>
      <c r="H719" s="617" t="n"/>
      <c r="I719" s="617" t="n">
        <v>56042</v>
      </c>
      <c r="J719" s="221" t="inlineStr">
        <is>
          <t>អនុញ្ញាត (បានប្រកាស)</t>
        </is>
      </c>
      <c r="K719" s="618" t="n"/>
      <c r="L719" s="616">
        <f>I719</f>
        <v/>
      </c>
      <c r="M719" s="588">
        <f>I719-L719</f>
        <v/>
      </c>
      <c r="N719" s="221" t="n"/>
      <c r="O719" s="226">
        <f>U719=E719</f>
        <v/>
      </c>
      <c r="P719" s="226">
        <f>MONTH(F719)-MONTH(T719)</f>
        <v/>
      </c>
      <c r="Q719" s="226">
        <f>$B$5=X719</f>
        <v/>
      </c>
      <c r="R719" s="226">
        <f>I719-AD719</f>
        <v/>
      </c>
      <c r="S719" s="360" t="n"/>
      <c r="T719" s="361" t="n">
        <v>45805</v>
      </c>
      <c r="U719" s="360" t="inlineStr">
        <is>
          <t>INV20250542475</t>
        </is>
      </c>
      <c r="V719" s="360" t="n">
        <v>0</v>
      </c>
      <c r="W719" s="360" t="inlineStr">
        <is>
          <t>បុគ្គលជាប់អាករ</t>
        </is>
      </c>
      <c r="X719" s="360" t="inlineStr">
        <is>
          <t>L001-901640009</t>
        </is>
      </c>
      <c r="Y719" s="360" t="inlineStr">
        <is>
          <t>ហូលីដេ ឌីហ្សាញ (ខេមបូឌា) ឯ.ក</t>
        </is>
      </c>
      <c r="Z719" s="362" t="n">
        <v>616462</v>
      </c>
      <c r="AA719" s="362" t="n">
        <v>560420</v>
      </c>
      <c r="AB719" s="360" t="n">
        <v>0</v>
      </c>
      <c r="AC719" s="360" t="inlineStr">
        <is>
          <t>-</t>
        </is>
      </c>
      <c r="AD719" s="362" t="n">
        <v>56042</v>
      </c>
      <c r="AE719" s="360" t="n">
        <v>0</v>
      </c>
      <c r="AF719" s="615" t="n">
        <v>0</v>
      </c>
      <c r="AG719" s="203" t="n">
        <v>0</v>
      </c>
      <c r="AH719" s="203" t="n">
        <v>0</v>
      </c>
      <c r="AI719" s="203" t="n">
        <v>0</v>
      </c>
      <c r="AJ719" s="203" t="n">
        <v>0</v>
      </c>
      <c r="AK719" s="203" t="n">
        <v>0</v>
      </c>
      <c r="AL719" s="203" t="n">
        <v>0.01</v>
      </c>
      <c r="AM719" s="203" t="n">
        <v>0</v>
      </c>
      <c r="AN719" s="203" t="inlineStr">
        <is>
          <t>ចំណូលពីសេវាកម្ម (លើកដាក់ទំនិញ)</t>
        </is>
      </c>
    </row>
    <row r="720">
      <c r="A720" s="220">
        <f>A719+1</f>
        <v/>
      </c>
      <c r="B720" s="222" t="inlineStr">
        <is>
          <t>Trucking &amp; Clearance-Ex</t>
        </is>
      </c>
      <c r="C720" s="222" t="inlineStr">
        <is>
          <t>WANAKA LOGISTICS CO., LTD.</t>
        </is>
      </c>
      <c r="D720" s="223" t="inlineStr">
        <is>
          <t>K005-901907953</t>
        </is>
      </c>
      <c r="E720" s="349" t="inlineStr">
        <is>
          <t>WL25-001894</t>
        </is>
      </c>
      <c r="F720" s="332" t="n">
        <v>45805</v>
      </c>
      <c r="G720" s="224" t="n"/>
      <c r="H720" s="617" t="n"/>
      <c r="I720" s="617" t="n">
        <v>314636</v>
      </c>
      <c r="J720" s="221" t="inlineStr">
        <is>
          <t>អនុញ្ញាត (បានប្រកាស)</t>
        </is>
      </c>
      <c r="K720" s="618" t="n"/>
      <c r="L720" s="616">
        <f>I720</f>
        <v/>
      </c>
      <c r="M720" s="588">
        <f>I720-L720</f>
        <v/>
      </c>
      <c r="N720" s="221" t="n"/>
      <c r="O720" s="226">
        <f>U720=E720</f>
        <v/>
      </c>
      <c r="P720" s="226">
        <f>MONTH(F720)-MONTH(T720)</f>
        <v/>
      </c>
      <c r="Q720" s="226">
        <f>$B$5=X720</f>
        <v/>
      </c>
      <c r="R720" s="226">
        <f>I720-AD720</f>
        <v/>
      </c>
      <c r="S720" s="360" t="n"/>
      <c r="T720" s="361" t="n">
        <v>45805</v>
      </c>
      <c r="U720" s="360" t="inlineStr">
        <is>
          <t>WL25-001894</t>
        </is>
      </c>
      <c r="V720" s="360" t="n"/>
      <c r="W720" s="360" t="n"/>
      <c r="X720" s="360" t="n"/>
      <c r="Y720" s="360" t="inlineStr">
        <is>
          <t>ហូលីដេ ឌីហ្សាញ (ខេមបូឌា) ឯ.ក</t>
        </is>
      </c>
      <c r="Z720" s="362" t="n"/>
      <c r="AA720" s="362" t="n"/>
      <c r="AB720" s="360" t="n"/>
      <c r="AC720" s="360" t="n"/>
      <c r="AD720" s="362" t="n">
        <v>314636</v>
      </c>
      <c r="AE720" s="360" t="n"/>
      <c r="AF720" s="615" t="n"/>
    </row>
    <row r="721">
      <c r="A721" s="220">
        <f>A720+1</f>
        <v/>
      </c>
      <c r="B721" s="222" t="inlineStr">
        <is>
          <t>Lift-Off-Ex</t>
        </is>
      </c>
      <c r="C721" s="222" t="inlineStr">
        <is>
          <t>PHNOM PENH AUTONOMOUS PORT "PPAP"</t>
        </is>
      </c>
      <c r="D721" s="223" t="inlineStr">
        <is>
          <t>L001-100044999</t>
        </is>
      </c>
      <c r="E721" s="349" t="inlineStr">
        <is>
          <t>INV20250542474</t>
        </is>
      </c>
      <c r="F721" s="332" t="n">
        <v>45805</v>
      </c>
      <c r="G721" s="224" t="n"/>
      <c r="H721" s="617" t="n"/>
      <c r="I721" s="617" t="n">
        <v>28021</v>
      </c>
      <c r="J721" s="221" t="inlineStr">
        <is>
          <t>អនុញ្ញាត (បានប្រកាស)</t>
        </is>
      </c>
      <c r="K721" s="618" t="n"/>
      <c r="L721" s="616">
        <f>I721</f>
        <v/>
      </c>
      <c r="M721" s="588">
        <f>I721-L721</f>
        <v/>
      </c>
      <c r="N721" s="221" t="n"/>
      <c r="O721" s="226">
        <f>U721=E721</f>
        <v/>
      </c>
      <c r="P721" s="226">
        <f>MONTH(F721)-MONTH(T721)</f>
        <v/>
      </c>
      <c r="Q721" s="226">
        <f>$B$5=X721</f>
        <v/>
      </c>
      <c r="R721" s="226">
        <f>I721-AD721</f>
        <v/>
      </c>
      <c r="S721" s="360" t="n"/>
      <c r="T721" s="361" t="n">
        <v>45805</v>
      </c>
      <c r="U721" s="360" t="inlineStr">
        <is>
          <t>INV20250542474</t>
        </is>
      </c>
      <c r="V721" s="360" t="n">
        <v>0</v>
      </c>
      <c r="W721" s="360" t="inlineStr">
        <is>
          <t>បុគ្គលជាប់អាករ</t>
        </is>
      </c>
      <c r="X721" s="360" t="inlineStr">
        <is>
          <t>L001-901640009</t>
        </is>
      </c>
      <c r="Y721" s="360" t="inlineStr">
        <is>
          <t>ហូលីដេ ឌីហ្សាញ (ខេមបូឌា) ឯ.ក</t>
        </is>
      </c>
      <c r="Z721" s="362" t="n">
        <v>308231</v>
      </c>
      <c r="AA721" s="362" t="n">
        <v>280210</v>
      </c>
      <c r="AB721" s="360" t="n">
        <v>0</v>
      </c>
      <c r="AC721" s="360" t="inlineStr">
        <is>
          <t>-</t>
        </is>
      </c>
      <c r="AD721" s="362" t="n">
        <v>28021</v>
      </c>
      <c r="AE721" s="360" t="n">
        <v>0</v>
      </c>
      <c r="AF721" s="615" t="n">
        <v>0</v>
      </c>
      <c r="AG721" s="203" t="n">
        <v>0</v>
      </c>
      <c r="AH721" s="203" t="n">
        <v>0</v>
      </c>
      <c r="AI721" s="203" t="n">
        <v>0</v>
      </c>
      <c r="AJ721" s="203" t="n">
        <v>0</v>
      </c>
      <c r="AK721" s="203" t="n">
        <v>0</v>
      </c>
      <c r="AL721" s="203" t="n">
        <v>0.01</v>
      </c>
      <c r="AM721" s="203" t="n">
        <v>0</v>
      </c>
      <c r="AN721" s="203" t="inlineStr">
        <is>
          <t>ចំណូលពីសេវាកម្ម (លើកដាក់ទំនិញ)</t>
        </is>
      </c>
    </row>
    <row r="722">
      <c r="A722" s="220">
        <f>A721+1</f>
        <v/>
      </c>
      <c r="B722" s="222" t="inlineStr">
        <is>
          <t>Trucking &amp; Clearance-Ex</t>
        </is>
      </c>
      <c r="C722" s="222" t="inlineStr">
        <is>
          <t>WANAKA LOGISTICS CO., LTD.</t>
        </is>
      </c>
      <c r="D722" s="223" t="inlineStr">
        <is>
          <t>K005-901907953</t>
        </is>
      </c>
      <c r="E722" s="349" t="inlineStr">
        <is>
          <t>WL25-001893</t>
        </is>
      </c>
      <c r="F722" s="332" t="n">
        <v>45805</v>
      </c>
      <c r="G722" s="224" t="n"/>
      <c r="H722" s="617" t="n"/>
      <c r="I722" s="617" t="n">
        <v>157318</v>
      </c>
      <c r="J722" s="221" t="inlineStr">
        <is>
          <t>អនុញ្ញាត (បានប្រកាស)</t>
        </is>
      </c>
      <c r="K722" s="618" t="n"/>
      <c r="L722" s="616">
        <f>I722</f>
        <v/>
      </c>
      <c r="M722" s="588">
        <f>I722-L722</f>
        <v/>
      </c>
      <c r="N722" s="221" t="n"/>
      <c r="O722" s="226">
        <f>U722=E722</f>
        <v/>
      </c>
      <c r="P722" s="226">
        <f>MONTH(F722)-MONTH(T722)</f>
        <v/>
      </c>
      <c r="Q722" s="226">
        <f>$B$5=X722</f>
        <v/>
      </c>
      <c r="R722" s="226">
        <f>I722-AD722</f>
        <v/>
      </c>
      <c r="S722" s="360" t="n"/>
      <c r="T722" s="361" t="n">
        <v>45805</v>
      </c>
      <c r="U722" s="360" t="inlineStr">
        <is>
          <t>WL25-001893</t>
        </is>
      </c>
      <c r="V722" s="360" t="n"/>
      <c r="W722" s="360" t="n"/>
      <c r="X722" s="360" t="n"/>
      <c r="Y722" s="360" t="inlineStr">
        <is>
          <t>ហូលីដេ ឌីហ្សាញ (ខេមបូឌា) ឯ.ក</t>
        </is>
      </c>
      <c r="Z722" s="362" t="n"/>
      <c r="AA722" s="362" t="n"/>
      <c r="AB722" s="360" t="n"/>
      <c r="AC722" s="360" t="n"/>
      <c r="AD722" s="362" t="n">
        <v>157318</v>
      </c>
      <c r="AE722" s="360" t="n"/>
      <c r="AF722" s="615" t="n"/>
    </row>
    <row r="723">
      <c r="A723" s="220">
        <f>A722+1</f>
        <v/>
      </c>
      <c r="B723" s="222" t="inlineStr">
        <is>
          <t>Trucking &amp; Clearance-Ex</t>
        </is>
      </c>
      <c r="C723" s="222" t="inlineStr">
        <is>
          <t>WANAKA LOGISTICS CO., LTD.</t>
        </is>
      </c>
      <c r="D723" s="223" t="inlineStr">
        <is>
          <t>K005-901907953</t>
        </is>
      </c>
      <c r="E723" s="349" t="inlineStr">
        <is>
          <t>WL25-001890</t>
        </is>
      </c>
      <c r="F723" s="332" t="n">
        <v>45805</v>
      </c>
      <c r="G723" s="224" t="n"/>
      <c r="H723" s="617" t="n"/>
      <c r="I723" s="617" t="n">
        <v>157318</v>
      </c>
      <c r="J723" s="221" t="inlineStr">
        <is>
          <t>អនុញ្ញាត (បានប្រកាស)</t>
        </is>
      </c>
      <c r="K723" s="618" t="n"/>
      <c r="L723" s="616">
        <f>I723</f>
        <v/>
      </c>
      <c r="M723" s="588">
        <f>I723-L723</f>
        <v/>
      </c>
      <c r="N723" s="221" t="n"/>
      <c r="O723" s="226">
        <f>U723=E723</f>
        <v/>
      </c>
      <c r="P723" s="226">
        <f>MONTH(F723)-MONTH(T723)</f>
        <v/>
      </c>
      <c r="Q723" s="226">
        <f>$B$5=X723</f>
        <v/>
      </c>
      <c r="R723" s="226">
        <f>I723-AD723</f>
        <v/>
      </c>
      <c r="S723" s="360" t="n"/>
      <c r="T723" s="361" t="n">
        <v>45805</v>
      </c>
      <c r="U723" s="360" t="inlineStr">
        <is>
          <t>WL25-001890</t>
        </is>
      </c>
      <c r="V723" s="360" t="n"/>
      <c r="W723" s="360" t="n"/>
      <c r="X723" s="360" t="n"/>
      <c r="Y723" s="360" t="inlineStr">
        <is>
          <t>ហូលីដេ ឌីហ្សាញ (ខេមបូឌា) ឯ.ក</t>
        </is>
      </c>
      <c r="Z723" s="362" t="n"/>
      <c r="AA723" s="362" t="n"/>
      <c r="AB723" s="360" t="n"/>
      <c r="AC723" s="360" t="n"/>
      <c r="AD723" s="362" t="n">
        <v>157318</v>
      </c>
      <c r="AE723" s="360" t="n"/>
      <c r="AF723" s="615" t="n"/>
    </row>
    <row r="724">
      <c r="A724" s="220">
        <f>A723+1</f>
        <v/>
      </c>
      <c r="B724" s="222" t="inlineStr">
        <is>
          <t>Lift-Off-Ex</t>
        </is>
      </c>
      <c r="C724" s="222" t="inlineStr">
        <is>
          <t>PHNOM PENH AUTONOMOUS PORT "PPAP"</t>
        </is>
      </c>
      <c r="D724" s="223" t="inlineStr">
        <is>
          <t>L001-100044999</t>
        </is>
      </c>
      <c r="E724" s="349" t="inlineStr">
        <is>
          <t>INV20250542473</t>
        </is>
      </c>
      <c r="F724" s="332" t="n">
        <v>45805</v>
      </c>
      <c r="G724" s="224" t="n"/>
      <c r="H724" s="617" t="n"/>
      <c r="I724" s="617" t="n">
        <v>56042</v>
      </c>
      <c r="J724" s="221" t="inlineStr">
        <is>
          <t>អនុញ្ញាត (បានប្រកាស)</t>
        </is>
      </c>
      <c r="K724" s="618" t="n"/>
      <c r="L724" s="616">
        <f>I724</f>
        <v/>
      </c>
      <c r="M724" s="588">
        <f>I724-L724</f>
        <v/>
      </c>
      <c r="N724" s="221" t="n"/>
      <c r="O724" s="226">
        <f>U724=E724</f>
        <v/>
      </c>
      <c r="P724" s="226">
        <f>MONTH(F724)-MONTH(T724)</f>
        <v/>
      </c>
      <c r="Q724" s="226">
        <f>$B$5=X724</f>
        <v/>
      </c>
      <c r="R724" s="226">
        <f>I724-AD724</f>
        <v/>
      </c>
      <c r="S724" s="360" t="n"/>
      <c r="T724" s="361" t="n">
        <v>45805</v>
      </c>
      <c r="U724" s="360" t="inlineStr">
        <is>
          <t>INV20250542473</t>
        </is>
      </c>
      <c r="V724" s="360" t="n">
        <v>0</v>
      </c>
      <c r="W724" s="360" t="inlineStr">
        <is>
          <t>បុគ្គលជាប់អាករ</t>
        </is>
      </c>
      <c r="X724" s="360" t="inlineStr">
        <is>
          <t>L001-901640009</t>
        </is>
      </c>
      <c r="Y724" s="360" t="inlineStr">
        <is>
          <t>ហូលីដេ ឌីហ្សាញ (ខេមបូឌា) ឯ.ក</t>
        </is>
      </c>
      <c r="Z724" s="362" t="n">
        <v>616462</v>
      </c>
      <c r="AA724" s="362" t="n">
        <v>560420</v>
      </c>
      <c r="AB724" s="360" t="n">
        <v>0</v>
      </c>
      <c r="AC724" s="360" t="inlineStr">
        <is>
          <t>-</t>
        </is>
      </c>
      <c r="AD724" s="362" t="n">
        <v>56042</v>
      </c>
      <c r="AE724" s="360" t="n">
        <v>0</v>
      </c>
      <c r="AF724" s="615" t="n">
        <v>0</v>
      </c>
      <c r="AG724" s="203" t="n">
        <v>0</v>
      </c>
      <c r="AH724" s="203" t="n">
        <v>0</v>
      </c>
      <c r="AI724" s="203" t="n">
        <v>0</v>
      </c>
      <c r="AJ724" s="203" t="n">
        <v>0</v>
      </c>
      <c r="AK724" s="203" t="n">
        <v>0</v>
      </c>
      <c r="AL724" s="203" t="n">
        <v>0.01</v>
      </c>
      <c r="AM724" s="203" t="n">
        <v>0</v>
      </c>
      <c r="AN724" s="203" t="inlineStr">
        <is>
          <t>ចំណូលពីសេវាកម្ម (លើកដាក់ទំនិញ)</t>
        </is>
      </c>
    </row>
    <row r="725">
      <c r="A725" s="220">
        <f>A724+1</f>
        <v/>
      </c>
      <c r="B725" s="222" t="inlineStr">
        <is>
          <t>Trucking &amp; Clearance-Ex</t>
        </is>
      </c>
      <c r="C725" s="222" t="inlineStr">
        <is>
          <t>WANAKA LOGISTICS CO., LTD.</t>
        </is>
      </c>
      <c r="D725" s="223" t="inlineStr">
        <is>
          <t>K005-901907953</t>
        </is>
      </c>
      <c r="E725" s="349" t="inlineStr">
        <is>
          <t>WL25-001892</t>
        </is>
      </c>
      <c r="F725" s="332" t="n">
        <v>45805</v>
      </c>
      <c r="G725" s="224" t="n"/>
      <c r="H725" s="617" t="n"/>
      <c r="I725" s="617" t="n">
        <v>314636</v>
      </c>
      <c r="J725" s="221" t="inlineStr">
        <is>
          <t>អនុញ្ញាត (បានប្រកាស)</t>
        </is>
      </c>
      <c r="K725" s="618" t="n"/>
      <c r="L725" s="616">
        <f>I725</f>
        <v/>
      </c>
      <c r="M725" s="588">
        <f>I725-L725</f>
        <v/>
      </c>
      <c r="N725" s="221" t="n"/>
      <c r="O725" s="226">
        <f>U725=E725</f>
        <v/>
      </c>
      <c r="P725" s="226">
        <f>MONTH(F725)-MONTH(T725)</f>
        <v/>
      </c>
      <c r="Q725" s="226">
        <f>$B$5=X725</f>
        <v/>
      </c>
      <c r="R725" s="226">
        <f>I725-AD725</f>
        <v/>
      </c>
      <c r="S725" s="360" t="n"/>
      <c r="T725" s="361" t="n">
        <v>45805</v>
      </c>
      <c r="U725" s="360" t="inlineStr">
        <is>
          <t>WL25-001892</t>
        </is>
      </c>
      <c r="V725" s="360" t="n"/>
      <c r="W725" s="360" t="n"/>
      <c r="X725" s="360" t="n"/>
      <c r="Y725" s="360" t="inlineStr">
        <is>
          <t>ហូលីដេ ឌីហ្សាញ (ខេមបូឌា) ឯ.ក</t>
        </is>
      </c>
      <c r="Z725" s="362" t="n"/>
      <c r="AA725" s="362" t="n"/>
      <c r="AB725" s="360" t="n"/>
      <c r="AC725" s="360" t="n"/>
      <c r="AD725" s="362" t="n">
        <v>314636</v>
      </c>
      <c r="AE725" s="360" t="n"/>
      <c r="AF725" s="615" t="n"/>
    </row>
    <row r="726">
      <c r="A726" s="220">
        <f>A725+1</f>
        <v/>
      </c>
      <c r="B726" s="222" t="inlineStr">
        <is>
          <t>Lift-Off-Ex</t>
        </is>
      </c>
      <c r="C726" s="222" t="inlineStr">
        <is>
          <t>PHNOM PENH AUTONOMOUS PORT "PPAP"</t>
        </is>
      </c>
      <c r="D726" s="223" t="inlineStr">
        <is>
          <t>L001-100044999</t>
        </is>
      </c>
      <c r="E726" s="349" t="inlineStr">
        <is>
          <t>INV20250542485</t>
        </is>
      </c>
      <c r="F726" s="332" t="n">
        <v>45805</v>
      </c>
      <c r="G726" s="224" t="n"/>
      <c r="H726" s="617" t="n"/>
      <c r="I726" s="617" t="n">
        <v>28021</v>
      </c>
      <c r="J726" s="221" t="inlineStr">
        <is>
          <t>អនុញ្ញាត (បានប្រកាស)</t>
        </is>
      </c>
      <c r="K726" s="618" t="n"/>
      <c r="L726" s="616">
        <f>I726</f>
        <v/>
      </c>
      <c r="M726" s="588">
        <f>I726-L726</f>
        <v/>
      </c>
      <c r="N726" s="221" t="n"/>
      <c r="O726" s="226">
        <f>U726=E726</f>
        <v/>
      </c>
      <c r="P726" s="226">
        <f>MONTH(F726)-MONTH(T726)</f>
        <v/>
      </c>
      <c r="Q726" s="226">
        <f>$B$5=X726</f>
        <v/>
      </c>
      <c r="R726" s="226">
        <f>I726-AD726</f>
        <v/>
      </c>
      <c r="S726" s="360" t="n"/>
      <c r="T726" s="361" t="n">
        <v>45805</v>
      </c>
      <c r="U726" s="360" t="inlineStr">
        <is>
          <t>INV20250542485</t>
        </is>
      </c>
      <c r="V726" s="360" t="n">
        <v>0</v>
      </c>
      <c r="W726" s="360" t="inlineStr">
        <is>
          <t>បុគ្គលជាប់អាករ</t>
        </is>
      </c>
      <c r="X726" s="360" t="inlineStr">
        <is>
          <t>L001-901640009</t>
        </is>
      </c>
      <c r="Y726" s="360" t="inlineStr">
        <is>
          <t>ហូលីដេ ឌីហ្សាញ (ខេមបូឌា) ឯ.ក</t>
        </is>
      </c>
      <c r="Z726" s="362" t="n">
        <v>308231</v>
      </c>
      <c r="AA726" s="362" t="n">
        <v>280210</v>
      </c>
      <c r="AB726" s="360" t="n">
        <v>0</v>
      </c>
      <c r="AC726" s="360" t="inlineStr">
        <is>
          <t>-</t>
        </is>
      </c>
      <c r="AD726" s="362" t="n">
        <v>28021</v>
      </c>
      <c r="AE726" s="360" t="n">
        <v>0</v>
      </c>
      <c r="AF726" s="615" t="n">
        <v>0</v>
      </c>
      <c r="AG726" s="203" t="n">
        <v>0</v>
      </c>
      <c r="AH726" s="203" t="n">
        <v>0</v>
      </c>
      <c r="AI726" s="203" t="n">
        <v>0</v>
      </c>
      <c r="AJ726" s="203" t="n">
        <v>0</v>
      </c>
      <c r="AK726" s="203" t="n">
        <v>0</v>
      </c>
      <c r="AL726" s="203" t="n">
        <v>0.01</v>
      </c>
      <c r="AM726" s="203" t="n">
        <v>0</v>
      </c>
      <c r="AN726" s="203" t="inlineStr">
        <is>
          <t>ចំណូលពីសេវាកម្ម (លើកដាក់ទំនិញ)</t>
        </is>
      </c>
    </row>
    <row r="727">
      <c r="A727" s="220">
        <f>A726+1</f>
        <v/>
      </c>
      <c r="B727" s="222" t="inlineStr">
        <is>
          <t>Trucking &amp; Clearance-Ex</t>
        </is>
      </c>
      <c r="C727" s="222" t="inlineStr">
        <is>
          <t>WANAKA LOGISTICS CO., LTD.</t>
        </is>
      </c>
      <c r="D727" s="223" t="inlineStr">
        <is>
          <t>K005-901907953</t>
        </is>
      </c>
      <c r="E727" s="349" t="inlineStr">
        <is>
          <t>WL25-001891</t>
        </is>
      </c>
      <c r="F727" s="332" t="n">
        <v>45805</v>
      </c>
      <c r="G727" s="224" t="n"/>
      <c r="H727" s="617" t="n"/>
      <c r="I727" s="617" t="n">
        <v>157318</v>
      </c>
      <c r="J727" s="221" t="inlineStr">
        <is>
          <t>អនុញ្ញាត (បានប្រកាស)</t>
        </is>
      </c>
      <c r="K727" s="618" t="n"/>
      <c r="L727" s="616">
        <f>I727</f>
        <v/>
      </c>
      <c r="M727" s="588">
        <f>I727-L727</f>
        <v/>
      </c>
      <c r="N727" s="221" t="n"/>
      <c r="O727" s="226">
        <f>U727=E727</f>
        <v/>
      </c>
      <c r="P727" s="226">
        <f>MONTH(F727)-MONTH(T727)</f>
        <v/>
      </c>
      <c r="Q727" s="226">
        <f>$B$5=X727</f>
        <v/>
      </c>
      <c r="R727" s="226">
        <f>I727-AD727</f>
        <v/>
      </c>
      <c r="S727" s="360" t="n"/>
      <c r="T727" s="361" t="n">
        <v>45805</v>
      </c>
      <c r="U727" s="360" t="inlineStr">
        <is>
          <t>WL25-001891</t>
        </is>
      </c>
      <c r="V727" s="360" t="n"/>
      <c r="W727" s="360" t="n"/>
      <c r="X727" s="360" t="n"/>
      <c r="Y727" s="360" t="inlineStr">
        <is>
          <t>ហូលីដេ ឌីហ្សាញ (ខេមបូឌា) ឯ.ក</t>
        </is>
      </c>
      <c r="Z727" s="362" t="n"/>
      <c r="AA727" s="362" t="n"/>
      <c r="AB727" s="360" t="n"/>
      <c r="AC727" s="360" t="n"/>
      <c r="AD727" s="362" t="n">
        <v>157318</v>
      </c>
      <c r="AE727" s="360" t="n"/>
      <c r="AF727" s="615" t="n"/>
    </row>
    <row r="728">
      <c r="A728" s="220">
        <f>A727+1</f>
        <v/>
      </c>
      <c r="B728" s="222" t="inlineStr">
        <is>
          <t>Lift-Off-Ex</t>
        </is>
      </c>
      <c r="C728" s="222" t="inlineStr">
        <is>
          <t>PHNOM PENH AUTONOMOUS PORT "PPAP"</t>
        </is>
      </c>
      <c r="D728" s="223" t="inlineStr">
        <is>
          <t>L001-100044999</t>
        </is>
      </c>
      <c r="E728" s="349" t="inlineStr">
        <is>
          <t>INV20250542481</t>
        </is>
      </c>
      <c r="F728" s="332" t="n">
        <v>45805</v>
      </c>
      <c r="G728" s="224" t="n"/>
      <c r="H728" s="617" t="n"/>
      <c r="I728" s="617" t="n">
        <v>28021</v>
      </c>
      <c r="J728" s="221" t="inlineStr">
        <is>
          <t>អនុញ្ញាត (បានប្រកាស)</t>
        </is>
      </c>
      <c r="K728" s="618" t="n"/>
      <c r="L728" s="616">
        <f>I728</f>
        <v/>
      </c>
      <c r="M728" s="588">
        <f>I728-L728</f>
        <v/>
      </c>
      <c r="N728" s="221" t="n"/>
      <c r="O728" s="226">
        <f>U728=E728</f>
        <v/>
      </c>
      <c r="P728" s="226">
        <f>MONTH(F728)-MONTH(T728)</f>
        <v/>
      </c>
      <c r="Q728" s="226">
        <f>$B$5=X728</f>
        <v/>
      </c>
      <c r="R728" s="226">
        <f>I728-AD728</f>
        <v/>
      </c>
      <c r="S728" s="360" t="n"/>
      <c r="T728" s="363" t="n">
        <v>45805</v>
      </c>
      <c r="U728" s="360" t="inlineStr">
        <is>
          <t>INV20250542481</t>
        </is>
      </c>
      <c r="V728" s="360" t="n">
        <v>0</v>
      </c>
      <c r="W728" s="360" t="inlineStr">
        <is>
          <t>បុគ្គលជាប់អាករ</t>
        </is>
      </c>
      <c r="X728" s="360" t="inlineStr">
        <is>
          <t>L001-901640009</t>
        </is>
      </c>
      <c r="Y728" s="360" t="inlineStr">
        <is>
          <t>ហូលីដេ ឌីហ្សាញ (ខេមបូឌា) ឯ.ក</t>
        </is>
      </c>
      <c r="Z728" s="362" t="n">
        <v>308231</v>
      </c>
      <c r="AA728" s="362" t="n">
        <v>280210</v>
      </c>
      <c r="AB728" s="360" t="n">
        <v>0</v>
      </c>
      <c r="AC728" s="360" t="inlineStr">
        <is>
          <t>-</t>
        </is>
      </c>
      <c r="AD728" s="362" t="n">
        <v>28021</v>
      </c>
      <c r="AE728" s="360" t="n">
        <v>0</v>
      </c>
      <c r="AF728" s="615" t="n">
        <v>0</v>
      </c>
      <c r="AG728" s="203" t="n">
        <v>0</v>
      </c>
      <c r="AH728" s="203" t="n">
        <v>0</v>
      </c>
      <c r="AI728" s="203" t="n">
        <v>0</v>
      </c>
      <c r="AJ728" s="203" t="n">
        <v>0</v>
      </c>
      <c r="AK728" s="203" t="n">
        <v>0</v>
      </c>
      <c r="AL728" s="203" t="n">
        <v>0.01</v>
      </c>
      <c r="AM728" s="203" t="n">
        <v>0</v>
      </c>
      <c r="AN728" s="203" t="inlineStr">
        <is>
          <t>ចំណូលពីសេវាកម្ម (លើកដាក់ទំនិញ)</t>
        </is>
      </c>
    </row>
    <row r="729">
      <c r="A729" s="220">
        <f>A728+1</f>
        <v/>
      </c>
      <c r="B729" s="222" t="inlineStr">
        <is>
          <t>Trucking &amp; Clearance-Ex</t>
        </is>
      </c>
      <c r="C729" s="222" t="inlineStr">
        <is>
          <t>WANAKA LOGISTICS CO., LTD.</t>
        </is>
      </c>
      <c r="D729" s="223" t="inlineStr">
        <is>
          <t>K005-901907953</t>
        </is>
      </c>
      <c r="E729" s="349" t="inlineStr">
        <is>
          <t>WL25-001779</t>
        </is>
      </c>
      <c r="F729" s="332" t="n">
        <v>45800</v>
      </c>
      <c r="G729" s="224" t="n"/>
      <c r="H729" s="617" t="n"/>
      <c r="I729" s="617" t="n">
        <v>157318</v>
      </c>
      <c r="J729" s="221" t="inlineStr">
        <is>
          <t>អនុញ្ញាត (បានប្រកាស)</t>
        </is>
      </c>
      <c r="K729" s="618" t="n"/>
      <c r="L729" s="616">
        <f>I729</f>
        <v/>
      </c>
      <c r="M729" s="588">
        <f>I729-L729</f>
        <v/>
      </c>
      <c r="N729" s="221" t="n"/>
      <c r="O729" s="226">
        <f>U729=E729</f>
        <v/>
      </c>
      <c r="P729" s="226">
        <f>MONTH(F729)-MONTH(T729)</f>
        <v/>
      </c>
      <c r="Q729" s="226">
        <f>$B$5=X729</f>
        <v/>
      </c>
      <c r="R729" s="226">
        <f>I729-AD729</f>
        <v/>
      </c>
      <c r="S729" s="360" t="n"/>
      <c r="T729" s="361" t="n">
        <v>45800</v>
      </c>
      <c r="U729" s="360" t="inlineStr">
        <is>
          <t>WL25-001779</t>
        </is>
      </c>
      <c r="V729" s="360" t="n"/>
      <c r="W729" s="360" t="n"/>
      <c r="X729" s="360" t="n"/>
      <c r="Y729" s="360" t="inlineStr">
        <is>
          <t>ហូលីដេ ឌីហ្សាញ (ខេមបូឌា) ឯ.ក</t>
        </is>
      </c>
      <c r="Z729" s="362" t="n"/>
      <c r="AA729" s="362" t="n"/>
      <c r="AB729" s="360" t="n"/>
      <c r="AC729" s="360" t="n"/>
      <c r="AD729" s="362" t="n">
        <v>157318</v>
      </c>
      <c r="AE729" s="360" t="n"/>
      <c r="AF729" s="615" t="n"/>
    </row>
    <row r="730">
      <c r="A730" s="220">
        <f>A729+1</f>
        <v/>
      </c>
      <c r="B730" s="222" t="inlineStr">
        <is>
          <t>Lift-Off-Ex</t>
        </is>
      </c>
      <c r="C730" s="222" t="inlineStr">
        <is>
          <t>PHNOM PENH AUTONOMOUS PORT "PPAP"</t>
        </is>
      </c>
      <c r="D730" s="223" t="inlineStr">
        <is>
          <t>L001-100044999</t>
        </is>
      </c>
      <c r="E730" s="349" t="inlineStr">
        <is>
          <t>INV20250539871</t>
        </is>
      </c>
      <c r="F730" s="332" t="n">
        <v>45798</v>
      </c>
      <c r="G730" s="224" t="n"/>
      <c r="H730" s="617" t="n"/>
      <c r="I730" s="617" t="n">
        <v>252189</v>
      </c>
      <c r="J730" s="221" t="inlineStr">
        <is>
          <t>អនុញ្ញាត (បានប្រកាស)</t>
        </is>
      </c>
      <c r="K730" s="618" t="n"/>
      <c r="L730" s="616">
        <f>I730</f>
        <v/>
      </c>
      <c r="M730" s="588">
        <f>I730-L730</f>
        <v/>
      </c>
      <c r="N730" s="221" t="n"/>
      <c r="O730" s="226">
        <f>U730=E730</f>
        <v/>
      </c>
      <c r="P730" s="226">
        <f>MONTH(F730)-MONTH(T730)</f>
        <v/>
      </c>
      <c r="Q730" s="226">
        <f>$B$5=X730</f>
        <v/>
      </c>
      <c r="R730" s="226">
        <f>I730-AD730</f>
        <v/>
      </c>
      <c r="S730" s="360" t="n"/>
      <c r="T730" s="363" t="n">
        <v>45798</v>
      </c>
      <c r="U730" s="360" t="inlineStr">
        <is>
          <t>INV20250539871</t>
        </is>
      </c>
      <c r="V730" s="360" t="n">
        <v>0</v>
      </c>
      <c r="W730" s="360" t="inlineStr">
        <is>
          <t>បុគ្គលជាប់អាករ</t>
        </is>
      </c>
      <c r="X730" s="360" t="inlineStr">
        <is>
          <t>L001-901640009</t>
        </is>
      </c>
      <c r="Y730" s="360" t="inlineStr">
        <is>
          <t>ហូលីដេ ឌីហ្សាញ (ខេមបូឌា) ឯ.ក</t>
        </is>
      </c>
      <c r="Z730" s="362" t="n">
        <v>2774079</v>
      </c>
      <c r="AA730" s="362" t="n">
        <v>2521890</v>
      </c>
      <c r="AB730" s="360" t="n">
        <v>0</v>
      </c>
      <c r="AC730" s="360" t="inlineStr">
        <is>
          <t>-</t>
        </is>
      </c>
      <c r="AD730" s="362" t="n">
        <v>252189</v>
      </c>
      <c r="AE730" s="360" t="n">
        <v>0</v>
      </c>
      <c r="AF730" s="615" t="n">
        <v>0</v>
      </c>
      <c r="AG730" s="203" t="n">
        <v>0</v>
      </c>
      <c r="AH730" s="203" t="n">
        <v>0</v>
      </c>
      <c r="AI730" s="203" t="n">
        <v>0</v>
      </c>
      <c r="AJ730" s="203" t="n">
        <v>0</v>
      </c>
      <c r="AK730" s="203" t="n">
        <v>0</v>
      </c>
      <c r="AL730" s="203" t="n">
        <v>0.01</v>
      </c>
      <c r="AM730" s="203" t="n">
        <v>0</v>
      </c>
      <c r="AN730" s="203" t="inlineStr">
        <is>
          <t>ចំណូលពីសេវាកម្ម (លើកដាក់ទំនិញ)</t>
        </is>
      </c>
    </row>
    <row r="731">
      <c r="A731" s="220">
        <f>A730+1</f>
        <v/>
      </c>
      <c r="B731" s="222" t="inlineStr">
        <is>
          <t>Trucking &amp; Clearance-Ex</t>
        </is>
      </c>
      <c r="C731" s="222" t="inlineStr">
        <is>
          <t>WANAKA LOGISTICS CO., LTD.</t>
        </is>
      </c>
      <c r="D731" s="223" t="inlineStr">
        <is>
          <t>K005-901907953</t>
        </is>
      </c>
      <c r="E731" s="349" t="inlineStr">
        <is>
          <t>WL25-001771</t>
        </is>
      </c>
      <c r="F731" s="332" t="n">
        <v>45800</v>
      </c>
      <c r="G731" s="224" t="n"/>
      <c r="H731" s="617" t="n"/>
      <c r="I731" s="617" t="n">
        <v>156117</v>
      </c>
      <c r="J731" s="221" t="inlineStr">
        <is>
          <t>អនុញ្ញាត (បានប្រកាស)</t>
        </is>
      </c>
      <c r="K731" s="618" t="n"/>
      <c r="L731" s="616">
        <f>I731</f>
        <v/>
      </c>
      <c r="M731" s="588">
        <f>I731-L731</f>
        <v/>
      </c>
      <c r="N731" s="221" t="n"/>
      <c r="O731" s="226">
        <f>U731=E731</f>
        <v/>
      </c>
      <c r="P731" s="226">
        <f>MONTH(F731)-MONTH(T731)</f>
        <v/>
      </c>
      <c r="Q731" s="226">
        <f>$B$5=X731</f>
        <v/>
      </c>
      <c r="R731" s="226">
        <f>I731-AD731</f>
        <v/>
      </c>
      <c r="S731" s="360" t="n"/>
      <c r="T731" s="361" t="n">
        <v>45800</v>
      </c>
      <c r="U731" s="360" t="inlineStr">
        <is>
          <t>WL25-001771</t>
        </is>
      </c>
      <c r="V731" s="360" t="n"/>
      <c r="W731" s="360" t="n"/>
      <c r="X731" s="360" t="n"/>
      <c r="Y731" s="360" t="inlineStr">
        <is>
          <t>ហូលីដេ ឌីហ្សាញ (ខេមបូឌា) ឯ.ក</t>
        </is>
      </c>
      <c r="Z731" s="362" t="n"/>
      <c r="AA731" s="362" t="n"/>
      <c r="AB731" s="360" t="n"/>
      <c r="AC731" s="360" t="n"/>
      <c r="AD731" s="362" t="n">
        <v>156117</v>
      </c>
      <c r="AE731" s="360" t="n"/>
      <c r="AF731" s="615" t="n"/>
    </row>
    <row r="732">
      <c r="A732" s="220">
        <f>A731+1</f>
        <v/>
      </c>
      <c r="B732" s="222" t="inlineStr">
        <is>
          <t>Lift-Off-Ex</t>
        </is>
      </c>
      <c r="C732" s="222" t="inlineStr">
        <is>
          <t>PHNOM PENH AUTONOMOUS PORT "PPAP"</t>
        </is>
      </c>
      <c r="D732" s="223" t="inlineStr">
        <is>
          <t>L001-100044999</t>
        </is>
      </c>
      <c r="E732" s="349" t="inlineStr">
        <is>
          <t>INV20250539899</t>
        </is>
      </c>
      <c r="F732" s="332" t="n">
        <v>45798</v>
      </c>
      <c r="G732" s="224" t="n"/>
      <c r="H732" s="617" t="n"/>
      <c r="I732" s="617" t="n">
        <v>28021</v>
      </c>
      <c r="J732" s="221" t="inlineStr">
        <is>
          <t>អនុញ្ញាត (បានប្រកាស)</t>
        </is>
      </c>
      <c r="K732" s="618" t="n"/>
      <c r="L732" s="616">
        <f>I732</f>
        <v/>
      </c>
      <c r="M732" s="588">
        <f>I732-L732</f>
        <v/>
      </c>
      <c r="N732" s="221" t="n"/>
      <c r="O732" s="226">
        <f>U732=E732</f>
        <v/>
      </c>
      <c r="P732" s="226">
        <f>MONTH(F732)-MONTH(T732)</f>
        <v/>
      </c>
      <c r="Q732" s="226">
        <f>$B$5=X732</f>
        <v/>
      </c>
      <c r="R732" s="226">
        <f>I732-AD732</f>
        <v/>
      </c>
      <c r="S732" s="360" t="n"/>
      <c r="T732" s="363" t="n">
        <v>45798</v>
      </c>
      <c r="U732" s="360" t="inlineStr">
        <is>
          <t>INV20250539899</t>
        </is>
      </c>
      <c r="V732" s="360" t="n">
        <v>0</v>
      </c>
      <c r="W732" s="360" t="inlineStr">
        <is>
          <t>បុគ្គលជាប់អាករ</t>
        </is>
      </c>
      <c r="X732" s="360" t="inlineStr">
        <is>
          <t>L001-901640009</t>
        </is>
      </c>
      <c r="Y732" s="360" t="inlineStr">
        <is>
          <t>ហូលីដេ ឌីហ្សាញ (ខេមបូឌា) ឯ.ក</t>
        </is>
      </c>
      <c r="Z732" s="362" t="n">
        <v>308231</v>
      </c>
      <c r="AA732" s="362" t="n">
        <v>280210</v>
      </c>
      <c r="AB732" s="360" t="n">
        <v>0</v>
      </c>
      <c r="AC732" s="360" t="inlineStr">
        <is>
          <t>-</t>
        </is>
      </c>
      <c r="AD732" s="362" t="n">
        <v>28021</v>
      </c>
      <c r="AE732" s="360" t="n">
        <v>0</v>
      </c>
      <c r="AF732" s="615" t="n">
        <v>0</v>
      </c>
      <c r="AG732" s="203" t="n">
        <v>0</v>
      </c>
      <c r="AH732" s="203" t="n">
        <v>0</v>
      </c>
      <c r="AI732" s="203" t="n">
        <v>0</v>
      </c>
      <c r="AJ732" s="203" t="n">
        <v>0</v>
      </c>
      <c r="AK732" s="203" t="n">
        <v>0</v>
      </c>
      <c r="AL732" s="203" t="n">
        <v>0.01</v>
      </c>
      <c r="AM732" s="203" t="n">
        <v>0</v>
      </c>
      <c r="AN732" s="203" t="inlineStr">
        <is>
          <t>ចំណូលពីសេវាកម្ម (លើកដាក់ទំនិញ)</t>
        </is>
      </c>
    </row>
    <row r="733">
      <c r="A733" s="220">
        <f>A732+1</f>
        <v/>
      </c>
      <c r="B733" s="222" t="inlineStr">
        <is>
          <t>Trucking &amp; Clearance-Ex</t>
        </is>
      </c>
      <c r="C733" s="222" t="inlineStr">
        <is>
          <t>WANAKA LOGISTICS CO., LTD.</t>
        </is>
      </c>
      <c r="D733" s="223" t="inlineStr">
        <is>
          <t>K005-901907953</t>
        </is>
      </c>
      <c r="E733" s="349" t="inlineStr">
        <is>
          <t>WL25-001770</t>
        </is>
      </c>
      <c r="F733" s="332" t="n">
        <v>45800</v>
      </c>
      <c r="G733" s="224" t="n"/>
      <c r="H733" s="617" t="n"/>
      <c r="I733" s="617" t="n">
        <v>157318</v>
      </c>
      <c r="J733" s="221" t="inlineStr">
        <is>
          <t>អនុញ្ញាត (បានប្រកាស)</t>
        </is>
      </c>
      <c r="K733" s="618" t="n"/>
      <c r="L733" s="616">
        <f>I733</f>
        <v/>
      </c>
      <c r="M733" s="588">
        <f>I733-L733</f>
        <v/>
      </c>
      <c r="N733" s="221" t="n"/>
      <c r="O733" s="226">
        <f>U733=E733</f>
        <v/>
      </c>
      <c r="P733" s="226">
        <f>MONTH(F733)-MONTH(T733)</f>
        <v/>
      </c>
      <c r="Q733" s="226">
        <f>$B$5=X733</f>
        <v/>
      </c>
      <c r="R733" s="226">
        <f>I733-AD733</f>
        <v/>
      </c>
      <c r="S733" s="360" t="n"/>
      <c r="T733" s="361" t="n">
        <v>45800</v>
      </c>
      <c r="U733" s="360" t="inlineStr">
        <is>
          <t>WL25-001770</t>
        </is>
      </c>
      <c r="V733" s="360" t="n"/>
      <c r="W733" s="360" t="n"/>
      <c r="X733" s="360" t="n"/>
      <c r="Y733" s="360" t="inlineStr">
        <is>
          <t>ហូលីដេ ឌីហ្សាញ (ខេមបូឌា) ឯ.ក</t>
        </is>
      </c>
      <c r="Z733" s="362" t="n"/>
      <c r="AA733" s="362" t="n"/>
      <c r="AB733" s="360" t="n"/>
      <c r="AC733" s="360" t="n"/>
      <c r="AD733" s="362" t="n">
        <v>157318</v>
      </c>
      <c r="AE733" s="360" t="n"/>
      <c r="AF733" s="615" t="n"/>
    </row>
    <row r="734">
      <c r="A734" s="220">
        <f>A733+1</f>
        <v/>
      </c>
      <c r="B734" s="222" t="inlineStr">
        <is>
          <t>Lift-Off-Ex</t>
        </is>
      </c>
      <c r="C734" s="222" t="inlineStr">
        <is>
          <t>PHNOM PENH AUTONOMOUS PORT "PPAP"</t>
        </is>
      </c>
      <c r="D734" s="223" t="inlineStr">
        <is>
          <t>L001-100044999</t>
        </is>
      </c>
      <c r="E734" s="349" t="inlineStr">
        <is>
          <t>INV20250539896</t>
        </is>
      </c>
      <c r="F734" s="332" t="n">
        <v>45798</v>
      </c>
      <c r="G734" s="224" t="n"/>
      <c r="H734" s="617" t="n"/>
      <c r="I734" s="617" t="n">
        <v>28021</v>
      </c>
      <c r="J734" s="221" t="inlineStr">
        <is>
          <t>អនុញ្ញាត (បានប្រកាស)</t>
        </is>
      </c>
      <c r="K734" s="618" t="n"/>
      <c r="L734" s="616">
        <f>I734</f>
        <v/>
      </c>
      <c r="M734" s="588">
        <f>I734-L734</f>
        <v/>
      </c>
      <c r="N734" s="221" t="n"/>
      <c r="O734" s="226">
        <f>U734=E734</f>
        <v/>
      </c>
      <c r="P734" s="226">
        <f>MONTH(F734)-MONTH(T734)</f>
        <v/>
      </c>
      <c r="Q734" s="226">
        <f>$B$5=X734</f>
        <v/>
      </c>
      <c r="R734" s="226">
        <f>I734-AD734</f>
        <v/>
      </c>
      <c r="S734" s="360" t="n"/>
      <c r="T734" s="361" t="n">
        <v>45798</v>
      </c>
      <c r="U734" s="360" t="inlineStr">
        <is>
          <t>INV20250539896</t>
        </is>
      </c>
      <c r="V734" s="360" t="n">
        <v>0</v>
      </c>
      <c r="W734" s="360" t="inlineStr">
        <is>
          <t>បុគ្គលជាប់អាករ</t>
        </is>
      </c>
      <c r="X734" s="360" t="inlineStr">
        <is>
          <t>L001-901640009</t>
        </is>
      </c>
      <c r="Y734" s="360" t="inlineStr">
        <is>
          <t>ហូលីដេ ឌីហ្សាញ (ខេមបូឌា) ឯ.ក</t>
        </is>
      </c>
      <c r="Z734" s="362" t="n">
        <v>308231</v>
      </c>
      <c r="AA734" s="362" t="n">
        <v>280210</v>
      </c>
      <c r="AB734" s="360" t="n">
        <v>0</v>
      </c>
      <c r="AC734" s="360" t="inlineStr">
        <is>
          <t>-</t>
        </is>
      </c>
      <c r="AD734" s="362" t="n">
        <v>28021</v>
      </c>
      <c r="AE734" s="360" t="n">
        <v>0</v>
      </c>
      <c r="AF734" s="615" t="n">
        <v>0</v>
      </c>
      <c r="AG734" s="203" t="n">
        <v>0</v>
      </c>
      <c r="AH734" s="203" t="n">
        <v>0</v>
      </c>
      <c r="AI734" s="203" t="n">
        <v>0</v>
      </c>
      <c r="AJ734" s="203" t="n">
        <v>0</v>
      </c>
      <c r="AK734" s="203" t="n">
        <v>0</v>
      </c>
      <c r="AL734" s="203" t="n">
        <v>0.01</v>
      </c>
      <c r="AM734" s="203" t="n">
        <v>0</v>
      </c>
      <c r="AN734" s="203" t="inlineStr">
        <is>
          <t>ចំណូលពីសេវាកម្ម (លើកដាក់ទំនិញ)</t>
        </is>
      </c>
    </row>
    <row r="735">
      <c r="A735" s="220">
        <f>A734+1</f>
        <v/>
      </c>
      <c r="B735" s="222" t="inlineStr">
        <is>
          <t>Trucking &amp; Clearance-Ex</t>
        </is>
      </c>
      <c r="C735" s="222" t="inlineStr">
        <is>
          <t>WANAKA LOGISTICS CO., LTD.</t>
        </is>
      </c>
      <c r="D735" s="223" t="inlineStr">
        <is>
          <t>K005-901907953</t>
        </is>
      </c>
      <c r="E735" s="349" t="inlineStr">
        <is>
          <t>WL25-001769</t>
        </is>
      </c>
      <c r="F735" s="332" t="n">
        <v>45800</v>
      </c>
      <c r="G735" s="224" t="n"/>
      <c r="H735" s="617" t="n"/>
      <c r="I735" s="617" t="n">
        <v>157318</v>
      </c>
      <c r="J735" s="221" t="inlineStr">
        <is>
          <t>អនុញ្ញាត (បានប្រកាស)</t>
        </is>
      </c>
      <c r="K735" s="618" t="n"/>
      <c r="L735" s="616">
        <f>I735</f>
        <v/>
      </c>
      <c r="M735" s="588">
        <f>I735-L735</f>
        <v/>
      </c>
      <c r="N735" s="221" t="n"/>
      <c r="O735" s="226">
        <f>U735=E735</f>
        <v/>
      </c>
      <c r="P735" s="226">
        <f>MONTH(F735)-MONTH(T735)</f>
        <v/>
      </c>
      <c r="Q735" s="226">
        <f>$B$5=X735</f>
        <v/>
      </c>
      <c r="R735" s="226">
        <f>I735-AD735</f>
        <v/>
      </c>
      <c r="S735" s="360" t="n"/>
      <c r="T735" s="361" t="n">
        <v>45800</v>
      </c>
      <c r="U735" s="360" t="inlineStr">
        <is>
          <t>WL25-001769</t>
        </is>
      </c>
      <c r="V735" s="360" t="n"/>
      <c r="W735" s="360" t="n"/>
      <c r="X735" s="360" t="n"/>
      <c r="Y735" s="360" t="inlineStr">
        <is>
          <t>ហូលីដេ ឌីហ្សាញ (ខេមបូឌា) ឯ.ក</t>
        </is>
      </c>
      <c r="Z735" s="362" t="n"/>
      <c r="AA735" s="362" t="n"/>
      <c r="AB735" s="360" t="n"/>
      <c r="AC735" s="360" t="n"/>
      <c r="AD735" s="362" t="n">
        <v>157318</v>
      </c>
      <c r="AE735" s="360" t="n"/>
      <c r="AF735" s="615" t="n"/>
    </row>
    <row r="736">
      <c r="A736" s="220">
        <f>A735+1</f>
        <v/>
      </c>
      <c r="B736" s="222" t="inlineStr">
        <is>
          <t>Lift-Off-Ex</t>
        </is>
      </c>
      <c r="C736" s="222" t="inlineStr">
        <is>
          <t>PHNOM PENH AUTONOMOUS PORT "PPAP"</t>
        </is>
      </c>
      <c r="D736" s="223" t="inlineStr">
        <is>
          <t>L001-100044999</t>
        </is>
      </c>
      <c r="E736" s="349" t="inlineStr">
        <is>
          <t>INV20250539898</t>
        </is>
      </c>
      <c r="F736" s="332" t="n">
        <v>45798</v>
      </c>
      <c r="G736" s="224" t="n"/>
      <c r="H736" s="617" t="n"/>
      <c r="I736" s="617" t="n">
        <v>28021</v>
      </c>
      <c r="J736" s="221" t="inlineStr">
        <is>
          <t>អនុញ្ញាត (បានប្រកាស)</t>
        </is>
      </c>
      <c r="K736" s="618" t="n"/>
      <c r="L736" s="616">
        <f>I736</f>
        <v/>
      </c>
      <c r="M736" s="588">
        <f>I736-L736</f>
        <v/>
      </c>
      <c r="N736" s="221" t="n"/>
      <c r="O736" s="226">
        <f>U736=E736</f>
        <v/>
      </c>
      <c r="P736" s="226">
        <f>MONTH(F736)-MONTH(T736)</f>
        <v/>
      </c>
      <c r="Q736" s="226">
        <f>$B$5=X736</f>
        <v/>
      </c>
      <c r="R736" s="226">
        <f>I736-AD736</f>
        <v/>
      </c>
      <c r="S736" s="360" t="n"/>
      <c r="T736" s="361" t="n">
        <v>45798</v>
      </c>
      <c r="U736" s="360" t="inlineStr">
        <is>
          <t>INV20250539898</t>
        </is>
      </c>
      <c r="V736" s="360" t="n">
        <v>0</v>
      </c>
      <c r="W736" s="360" t="inlineStr">
        <is>
          <t>បុគ្គលជាប់អាករ</t>
        </is>
      </c>
      <c r="X736" s="360" t="inlineStr">
        <is>
          <t>L001-901640009</t>
        </is>
      </c>
      <c r="Y736" s="360" t="inlineStr">
        <is>
          <t>ហូលីដេ ឌីហ្សាញ (ខេមបូឌា) ឯ.ក</t>
        </is>
      </c>
      <c r="Z736" s="362" t="n">
        <v>308231</v>
      </c>
      <c r="AA736" s="362" t="n">
        <v>280210</v>
      </c>
      <c r="AB736" s="360" t="n">
        <v>0</v>
      </c>
      <c r="AC736" s="360" t="inlineStr">
        <is>
          <t>-</t>
        </is>
      </c>
      <c r="AD736" s="362" t="n">
        <v>28021</v>
      </c>
      <c r="AE736" s="360" t="n">
        <v>0</v>
      </c>
      <c r="AF736" s="615" t="n">
        <v>0</v>
      </c>
      <c r="AG736" s="203" t="n">
        <v>0</v>
      </c>
      <c r="AH736" s="203" t="n">
        <v>0</v>
      </c>
      <c r="AI736" s="203" t="n">
        <v>0</v>
      </c>
      <c r="AJ736" s="203" t="n">
        <v>0</v>
      </c>
      <c r="AK736" s="203" t="n">
        <v>0</v>
      </c>
      <c r="AL736" s="203" t="n">
        <v>0.01</v>
      </c>
      <c r="AM736" s="203" t="n">
        <v>0</v>
      </c>
      <c r="AN736" s="203" t="inlineStr">
        <is>
          <t>ចំណូលពីសេវាកម្ម (លើកដាក់ទំនិញ)</t>
        </is>
      </c>
    </row>
    <row r="737">
      <c r="A737" s="220">
        <f>A736+1</f>
        <v/>
      </c>
      <c r="B737" s="222" t="inlineStr">
        <is>
          <t>Trucking &amp; Clearance-Ex</t>
        </is>
      </c>
      <c r="C737" s="222" t="inlineStr">
        <is>
          <t>WANAKA LOGISTICS CO., LTD.</t>
        </is>
      </c>
      <c r="D737" s="223" t="inlineStr">
        <is>
          <t>K005-901907953</t>
        </is>
      </c>
      <c r="E737" s="349" t="inlineStr">
        <is>
          <t>WL25-001768</t>
        </is>
      </c>
      <c r="F737" s="332" t="n">
        <v>45800</v>
      </c>
      <c r="G737" s="224" t="n"/>
      <c r="H737" s="617" t="n"/>
      <c r="I737" s="617" t="n">
        <v>156117</v>
      </c>
      <c r="J737" s="221" t="inlineStr">
        <is>
          <t>អនុញ្ញាត (បានប្រកាស)</t>
        </is>
      </c>
      <c r="K737" s="618" t="n"/>
      <c r="L737" s="616">
        <f>I737</f>
        <v/>
      </c>
      <c r="M737" s="588">
        <f>I737-L737</f>
        <v/>
      </c>
      <c r="N737" s="221" t="n"/>
      <c r="O737" s="226">
        <f>U737=E737</f>
        <v/>
      </c>
      <c r="P737" s="226">
        <f>MONTH(F737)-MONTH(T737)</f>
        <v/>
      </c>
      <c r="Q737" s="226">
        <f>$B$5=X737</f>
        <v/>
      </c>
      <c r="R737" s="226">
        <f>I737-AD737</f>
        <v/>
      </c>
      <c r="S737" s="360" t="n"/>
      <c r="T737" s="361" t="n">
        <v>45800</v>
      </c>
      <c r="U737" s="360" t="inlineStr">
        <is>
          <t>WL25-001768</t>
        </is>
      </c>
      <c r="V737" s="360" t="n"/>
      <c r="W737" s="360" t="n"/>
      <c r="X737" s="360" t="n"/>
      <c r="Y737" s="360" t="inlineStr">
        <is>
          <t>ហូលីដេ ឌីហ្សាញ (ខេមបូឌា) ឯ.ក</t>
        </is>
      </c>
      <c r="Z737" s="362" t="n"/>
      <c r="AA737" s="362" t="n"/>
      <c r="AB737" s="360" t="n"/>
      <c r="AC737" s="360" t="n"/>
      <c r="AD737" s="362" t="n">
        <v>156117</v>
      </c>
      <c r="AE737" s="360" t="n"/>
      <c r="AF737" s="615" t="n"/>
    </row>
    <row r="738">
      <c r="A738" s="220">
        <f>A737+1</f>
        <v/>
      </c>
      <c r="B738" s="222" t="inlineStr">
        <is>
          <t>Lift-Off-Ex</t>
        </is>
      </c>
      <c r="C738" s="222" t="inlineStr">
        <is>
          <t>PHNOM PENH AUTONOMOUS PORT "PPAP"</t>
        </is>
      </c>
      <c r="D738" s="223" t="inlineStr">
        <is>
          <t>L001-100044999</t>
        </is>
      </c>
      <c r="E738" s="349" t="inlineStr">
        <is>
          <t>INV20250539888</t>
        </is>
      </c>
      <c r="F738" s="332" t="n">
        <v>45798</v>
      </c>
      <c r="G738" s="224" t="n"/>
      <c r="H738" s="617" t="n"/>
      <c r="I738" s="617" t="n">
        <v>28021</v>
      </c>
      <c r="J738" s="221" t="inlineStr">
        <is>
          <t>អនុញ្ញាត (បានប្រកាស)</t>
        </is>
      </c>
      <c r="K738" s="618" t="n"/>
      <c r="L738" s="616">
        <f>I738</f>
        <v/>
      </c>
      <c r="M738" s="588">
        <f>I738-L738</f>
        <v/>
      </c>
      <c r="N738" s="221" t="n"/>
      <c r="O738" s="226">
        <f>U738=E738</f>
        <v/>
      </c>
      <c r="P738" s="226">
        <f>MONTH(F738)-MONTH(T738)</f>
        <v/>
      </c>
      <c r="Q738" s="226">
        <f>$B$5=X738</f>
        <v/>
      </c>
      <c r="R738" s="226">
        <f>I738-AD738</f>
        <v/>
      </c>
      <c r="S738" s="360" t="n"/>
      <c r="T738" s="361" t="n">
        <v>45798</v>
      </c>
      <c r="U738" s="360" t="inlineStr">
        <is>
          <t>INV20250539888</t>
        </is>
      </c>
      <c r="V738" s="360" t="n">
        <v>0</v>
      </c>
      <c r="W738" s="360" t="inlineStr">
        <is>
          <t>បុគ្គលជាប់អាករ</t>
        </is>
      </c>
      <c r="X738" s="360" t="inlineStr">
        <is>
          <t>L001-901640009</t>
        </is>
      </c>
      <c r="Y738" s="360" t="inlineStr">
        <is>
          <t>ហូលីដេ ឌីហ្សាញ (ខេមបូឌា) ឯ.ក</t>
        </is>
      </c>
      <c r="Z738" s="362" t="n">
        <v>308231</v>
      </c>
      <c r="AA738" s="362" t="n">
        <v>280210</v>
      </c>
      <c r="AB738" s="360" t="n">
        <v>0</v>
      </c>
      <c r="AC738" s="360" t="inlineStr">
        <is>
          <t>-</t>
        </is>
      </c>
      <c r="AD738" s="362" t="n">
        <v>28021</v>
      </c>
      <c r="AE738" s="360" t="n">
        <v>0</v>
      </c>
      <c r="AF738" s="615" t="n">
        <v>0</v>
      </c>
      <c r="AG738" s="203" t="n">
        <v>0</v>
      </c>
      <c r="AH738" s="203" t="n">
        <v>0</v>
      </c>
      <c r="AI738" s="203" t="n">
        <v>0</v>
      </c>
      <c r="AJ738" s="203" t="n">
        <v>0</v>
      </c>
      <c r="AK738" s="203" t="n">
        <v>0</v>
      </c>
      <c r="AL738" s="203" t="n">
        <v>0.01</v>
      </c>
      <c r="AM738" s="203" t="n">
        <v>0</v>
      </c>
      <c r="AN738" s="203" t="inlineStr">
        <is>
          <t>ចំណូលពីសេវាកម្ម (លើកដាក់ទំនិញ)</t>
        </is>
      </c>
    </row>
    <row r="739">
      <c r="A739" s="220">
        <f>A738+1</f>
        <v/>
      </c>
      <c r="B739" s="222" t="inlineStr">
        <is>
          <t>Lift-Off-Ex</t>
        </is>
      </c>
      <c r="C739" s="222" t="inlineStr">
        <is>
          <t>PHNOM PENH AUTONOMOUS PORT "PPAP"</t>
        </is>
      </c>
      <c r="D739" s="223" t="inlineStr">
        <is>
          <t>L001-100044999</t>
        </is>
      </c>
      <c r="E739" s="349" t="inlineStr">
        <is>
          <t>INV20250539897</t>
        </is>
      </c>
      <c r="F739" s="332" t="n">
        <v>45798</v>
      </c>
      <c r="G739" s="224" t="n"/>
      <c r="H739" s="617" t="n"/>
      <c r="I739" s="617" t="n">
        <v>28021</v>
      </c>
      <c r="J739" s="221" t="inlineStr">
        <is>
          <t>អនុញ្ញាត (បានប្រកាស)</t>
        </is>
      </c>
      <c r="K739" s="618" t="n"/>
      <c r="L739" s="616">
        <f>I739</f>
        <v/>
      </c>
      <c r="M739" s="588">
        <f>I739-L739</f>
        <v/>
      </c>
      <c r="N739" s="221" t="n"/>
      <c r="O739" s="226">
        <f>U739=E739</f>
        <v/>
      </c>
      <c r="P739" s="226">
        <f>MONTH(F739)-MONTH(T739)</f>
        <v/>
      </c>
      <c r="Q739" s="226">
        <f>$B$5=X739</f>
        <v/>
      </c>
      <c r="R739" s="226">
        <f>I739-AD739</f>
        <v/>
      </c>
      <c r="S739" s="360" t="n"/>
      <c r="T739" s="361" t="n">
        <v>45798</v>
      </c>
      <c r="U739" s="360" t="inlineStr">
        <is>
          <t>INV20250539897</t>
        </is>
      </c>
      <c r="V739" s="360" t="n">
        <v>0</v>
      </c>
      <c r="W739" s="360" t="inlineStr">
        <is>
          <t>បុគ្គលជាប់អាករ</t>
        </is>
      </c>
      <c r="X739" s="360" t="inlineStr">
        <is>
          <t>L001-901640009</t>
        </is>
      </c>
      <c r="Y739" s="360" t="inlineStr">
        <is>
          <t>ហូលីដេ ឌីហ្សាញ (ខេមបូឌា) ឯ.ក</t>
        </is>
      </c>
      <c r="Z739" s="362" t="n">
        <v>308231</v>
      </c>
      <c r="AA739" s="362" t="n">
        <v>280210</v>
      </c>
      <c r="AB739" s="360" t="n">
        <v>0</v>
      </c>
      <c r="AC739" s="360" t="inlineStr">
        <is>
          <t>-</t>
        </is>
      </c>
      <c r="AD739" s="362" t="n">
        <v>28021</v>
      </c>
      <c r="AE739" s="360" t="n">
        <v>0</v>
      </c>
      <c r="AF739" s="615" t="n">
        <v>0</v>
      </c>
      <c r="AG739" s="203" t="n">
        <v>0</v>
      </c>
      <c r="AH739" s="203" t="n">
        <v>0</v>
      </c>
      <c r="AI739" s="203" t="n">
        <v>0</v>
      </c>
      <c r="AJ739" s="203" t="n">
        <v>0</v>
      </c>
      <c r="AK739" s="203" t="n">
        <v>0</v>
      </c>
      <c r="AL739" s="203" t="n">
        <v>0.01</v>
      </c>
      <c r="AM739" s="203" t="n">
        <v>0</v>
      </c>
      <c r="AN739" s="203" t="inlineStr">
        <is>
          <t>ចំណូលពីសេវាកម្ម (លើកដាក់ទំនិញ)</t>
        </is>
      </c>
    </row>
    <row r="740">
      <c r="A740" s="220">
        <f>A739+1</f>
        <v/>
      </c>
      <c r="B740" s="222" t="inlineStr">
        <is>
          <t>Trucking &amp; Clearance-Ex</t>
        </is>
      </c>
      <c r="C740" s="222" t="inlineStr">
        <is>
          <t>WANAKA LOGISTICS CO., LTD.</t>
        </is>
      </c>
      <c r="D740" s="223" t="inlineStr">
        <is>
          <t>K005-901907953</t>
        </is>
      </c>
      <c r="E740" s="349" t="inlineStr">
        <is>
          <t>WL25-001767</t>
        </is>
      </c>
      <c r="F740" s="332" t="n">
        <v>45800</v>
      </c>
      <c r="G740" s="224" t="n"/>
      <c r="H740" s="617" t="n"/>
      <c r="I740" s="617" t="n">
        <v>156117</v>
      </c>
      <c r="J740" s="221" t="inlineStr">
        <is>
          <t>អនុញ្ញាត (បានប្រកាស)</t>
        </is>
      </c>
      <c r="K740" s="618" t="n"/>
      <c r="L740" s="616">
        <f>I740</f>
        <v/>
      </c>
      <c r="M740" s="588">
        <f>I740-L740</f>
        <v/>
      </c>
      <c r="N740" s="221" t="n"/>
      <c r="O740" s="226">
        <f>U740=E740</f>
        <v/>
      </c>
      <c r="P740" s="226">
        <f>MONTH(F740)-MONTH(T740)</f>
        <v/>
      </c>
      <c r="Q740" s="226">
        <f>$B$5=X740</f>
        <v/>
      </c>
      <c r="R740" s="226">
        <f>I740-AD740</f>
        <v/>
      </c>
      <c r="S740" s="360" t="n"/>
      <c r="T740" s="361" t="n">
        <v>45800</v>
      </c>
      <c r="U740" s="360" t="inlineStr">
        <is>
          <t>WL25-001767</t>
        </is>
      </c>
      <c r="V740" s="360" t="n"/>
      <c r="W740" s="360" t="n"/>
      <c r="X740" s="360" t="n"/>
      <c r="Y740" s="360" t="inlineStr">
        <is>
          <t>ហូលីដេ ឌីហ្សាញ (ខេមបូឌា) ឯ.ក</t>
        </is>
      </c>
      <c r="Z740" s="362" t="n"/>
      <c r="AA740" s="362" t="n"/>
      <c r="AB740" s="360" t="n"/>
      <c r="AC740" s="360" t="n"/>
      <c r="AD740" s="362" t="n">
        <v>156117</v>
      </c>
      <c r="AE740" s="360" t="n"/>
      <c r="AF740" s="615" t="n"/>
    </row>
    <row r="741">
      <c r="A741" s="220">
        <f>A740+1</f>
        <v/>
      </c>
      <c r="B741" s="222" t="inlineStr">
        <is>
          <t>Lift-Off-Ex</t>
        </is>
      </c>
      <c r="C741" s="222" t="inlineStr">
        <is>
          <t>PHNOM PENH AUTONOMOUS PORT "PPAP"</t>
        </is>
      </c>
      <c r="D741" s="223" t="inlineStr">
        <is>
          <t>L001-100044999</t>
        </is>
      </c>
      <c r="E741" s="349" t="inlineStr">
        <is>
          <t>INV20250539868</t>
        </is>
      </c>
      <c r="F741" s="332" t="n">
        <v>45798</v>
      </c>
      <c r="G741" s="224" t="n"/>
      <c r="H741" s="617" t="n"/>
      <c r="I741" s="617" t="n">
        <v>280210</v>
      </c>
      <c r="J741" s="221" t="inlineStr">
        <is>
          <t>អនុញ្ញាត (បានប្រកាស)</t>
        </is>
      </c>
      <c r="K741" s="618" t="n"/>
      <c r="L741" s="616">
        <f>I741</f>
        <v/>
      </c>
      <c r="M741" s="588">
        <f>I741-L741</f>
        <v/>
      </c>
      <c r="N741" s="221" t="n"/>
      <c r="O741" s="226">
        <f>U741=E741</f>
        <v/>
      </c>
      <c r="P741" s="226">
        <f>MONTH(F741)-MONTH(T741)</f>
        <v/>
      </c>
      <c r="Q741" s="226">
        <f>$B$5=X741</f>
        <v/>
      </c>
      <c r="R741" s="226">
        <f>I741-AD741</f>
        <v/>
      </c>
      <c r="S741" s="360" t="n"/>
      <c r="T741" s="361" t="n">
        <v>45798</v>
      </c>
      <c r="U741" s="360" t="inlineStr">
        <is>
          <t>INV20250539868</t>
        </is>
      </c>
      <c r="V741" s="360" t="n">
        <v>0</v>
      </c>
      <c r="W741" s="360" t="inlineStr">
        <is>
          <t>បុគ្គលជាប់អាករ</t>
        </is>
      </c>
      <c r="X741" s="360" t="inlineStr">
        <is>
          <t>L001-901640009</t>
        </is>
      </c>
      <c r="Y741" s="360" t="inlineStr">
        <is>
          <t>ហូលីដេ ឌីហ្សាញ (ខេមបូឌា) ឯ.ក</t>
        </is>
      </c>
      <c r="Z741" s="362" t="n">
        <v>3082310</v>
      </c>
      <c r="AA741" s="362" t="n">
        <v>2802100</v>
      </c>
      <c r="AB741" s="360" t="n">
        <v>0</v>
      </c>
      <c r="AC741" s="360" t="inlineStr">
        <is>
          <t>-</t>
        </is>
      </c>
      <c r="AD741" s="362" t="n">
        <v>280210</v>
      </c>
      <c r="AE741" s="360" t="n">
        <v>0</v>
      </c>
      <c r="AF741" s="615" t="n">
        <v>0</v>
      </c>
      <c r="AG741" s="203" t="n">
        <v>0</v>
      </c>
      <c r="AH741" s="203" t="n">
        <v>0</v>
      </c>
      <c r="AI741" s="203" t="n">
        <v>0</v>
      </c>
      <c r="AJ741" s="203" t="n">
        <v>0</v>
      </c>
      <c r="AK741" s="203" t="n">
        <v>0</v>
      </c>
      <c r="AL741" s="203" t="n">
        <v>0.01</v>
      </c>
      <c r="AM741" s="203" t="n">
        <v>0</v>
      </c>
      <c r="AN741" s="203" t="inlineStr">
        <is>
          <t>ចំណូលពីសេវាកម្ម (លើកដាក់ទំនិញ)</t>
        </is>
      </c>
    </row>
    <row r="742">
      <c r="A742" s="220">
        <f>A741+1</f>
        <v/>
      </c>
      <c r="B742" s="222" t="inlineStr">
        <is>
          <t>Trucking &amp; Clearance-Ex</t>
        </is>
      </c>
      <c r="C742" s="222" t="inlineStr">
        <is>
          <t>WANAKA LOGISTICS CO., LTD.</t>
        </is>
      </c>
      <c r="D742" s="223" t="inlineStr">
        <is>
          <t>K005-901907953</t>
        </is>
      </c>
      <c r="E742" s="349" t="inlineStr">
        <is>
          <t>WL25-001766</t>
        </is>
      </c>
      <c r="F742" s="332" t="n">
        <v>45800</v>
      </c>
      <c r="G742" s="224" t="n"/>
      <c r="H742" s="617" t="n"/>
      <c r="I742" s="617" t="n">
        <v>1565974</v>
      </c>
      <c r="J742" s="221" t="inlineStr">
        <is>
          <t>អនុញ្ញាត (បានប្រកាស)</t>
        </is>
      </c>
      <c r="K742" s="618" t="n"/>
      <c r="L742" s="616">
        <f>I742</f>
        <v/>
      </c>
      <c r="M742" s="588">
        <f>I742-L742</f>
        <v/>
      </c>
      <c r="N742" s="221" t="n"/>
      <c r="O742" s="226">
        <f>U742=E742</f>
        <v/>
      </c>
      <c r="P742" s="226">
        <f>MONTH(F742)-MONTH(T742)</f>
        <v/>
      </c>
      <c r="Q742" s="226">
        <f>$B$5=X742</f>
        <v/>
      </c>
      <c r="R742" s="226">
        <f>I742-AD742</f>
        <v/>
      </c>
      <c r="S742" s="360" t="n"/>
      <c r="T742" s="361" t="n">
        <v>45800</v>
      </c>
      <c r="U742" s="360" t="inlineStr">
        <is>
          <t>WL25-001766</t>
        </is>
      </c>
      <c r="V742" s="360" t="n"/>
      <c r="W742" s="360" t="n"/>
      <c r="X742" s="360" t="n"/>
      <c r="Y742" s="360" t="inlineStr">
        <is>
          <t>ហូលីដេ ឌីហ្សាញ (ខេមបូឌា) ឯ.ក</t>
        </is>
      </c>
      <c r="Z742" s="362" t="n"/>
      <c r="AA742" s="362" t="n"/>
      <c r="AB742" s="360" t="n"/>
      <c r="AC742" s="360" t="n"/>
      <c r="AD742" s="362" t="n">
        <v>1565974</v>
      </c>
      <c r="AE742" s="360" t="n"/>
      <c r="AF742" s="615" t="n"/>
    </row>
    <row r="743">
      <c r="A743" s="220">
        <f>A742+1</f>
        <v/>
      </c>
      <c r="B743" s="222" t="inlineStr">
        <is>
          <t>Lift-Off-Ex</t>
        </is>
      </c>
      <c r="C743" s="222" t="inlineStr">
        <is>
          <t>PHNOM PENH AUTONOMOUS PORT "PPAP"</t>
        </is>
      </c>
      <c r="D743" s="223" t="inlineStr">
        <is>
          <t>L001-100044999</t>
        </is>
      </c>
      <c r="E743" s="349" t="inlineStr">
        <is>
          <t>INV20250539870</t>
        </is>
      </c>
      <c r="F743" s="332" t="n">
        <v>45798</v>
      </c>
      <c r="G743" s="224" t="n"/>
      <c r="H743" s="617" t="n"/>
      <c r="I743" s="617" t="n">
        <v>28021</v>
      </c>
      <c r="J743" s="221" t="inlineStr">
        <is>
          <t>អនុញ្ញាត (បានប្រកាស)</t>
        </is>
      </c>
      <c r="K743" s="618" t="n"/>
      <c r="L743" s="616">
        <f>I743</f>
        <v/>
      </c>
      <c r="M743" s="588">
        <f>I743-L743</f>
        <v/>
      </c>
      <c r="N743" s="221" t="n"/>
      <c r="O743" s="226">
        <f>U743=E743</f>
        <v/>
      </c>
      <c r="P743" s="226">
        <f>MONTH(F743)-MONTH(T743)</f>
        <v/>
      </c>
      <c r="Q743" s="226">
        <f>$B$5=X743</f>
        <v/>
      </c>
      <c r="R743" s="226">
        <f>I743-AD743</f>
        <v/>
      </c>
      <c r="S743" s="360" t="n"/>
      <c r="T743" s="361" t="n">
        <v>45798</v>
      </c>
      <c r="U743" s="360" t="inlineStr">
        <is>
          <t>INV20250539870</t>
        </is>
      </c>
      <c r="V743" s="360" t="n">
        <v>0</v>
      </c>
      <c r="W743" s="360" t="inlineStr">
        <is>
          <t>បុគ្គលជាប់អាករ</t>
        </is>
      </c>
      <c r="X743" s="360" t="inlineStr">
        <is>
          <t>L001-901640009</t>
        </is>
      </c>
      <c r="Y743" s="360" t="inlineStr">
        <is>
          <t>ហូលីដេ ឌីហ្សាញ (ខេមបូឌា) ឯ.ក</t>
        </is>
      </c>
      <c r="Z743" s="362" t="n">
        <v>308231</v>
      </c>
      <c r="AA743" s="362" t="n">
        <v>280210</v>
      </c>
      <c r="AB743" s="360" t="n">
        <v>0</v>
      </c>
      <c r="AC743" s="360" t="inlineStr">
        <is>
          <t>-</t>
        </is>
      </c>
      <c r="AD743" s="362" t="n">
        <v>28021</v>
      </c>
      <c r="AE743" s="360" t="n">
        <v>0</v>
      </c>
      <c r="AF743" s="615" t="n">
        <v>0</v>
      </c>
      <c r="AG743" s="203" t="n">
        <v>0</v>
      </c>
      <c r="AH743" s="203" t="n">
        <v>0</v>
      </c>
      <c r="AI743" s="203" t="n">
        <v>0</v>
      </c>
      <c r="AJ743" s="203" t="n">
        <v>0</v>
      </c>
      <c r="AK743" s="203" t="n">
        <v>0</v>
      </c>
      <c r="AL743" s="203" t="n">
        <v>0.01</v>
      </c>
      <c r="AM743" s="203" t="n">
        <v>0</v>
      </c>
      <c r="AN743" s="203" t="inlineStr">
        <is>
          <t>ចំណូលពីសេវាកម្ម (លើកដាក់ទំនិញ)</t>
        </is>
      </c>
    </row>
    <row r="744">
      <c r="A744" s="220">
        <f>A743+1</f>
        <v/>
      </c>
      <c r="B744" s="222" t="inlineStr">
        <is>
          <t>Trucking &amp; Clearance-Ex</t>
        </is>
      </c>
      <c r="C744" s="222" t="inlineStr">
        <is>
          <t>WANAKA LOGISTICS CO., LTD.</t>
        </is>
      </c>
      <c r="D744" s="223" t="inlineStr">
        <is>
          <t>K005-901907953</t>
        </is>
      </c>
      <c r="E744" s="349" t="inlineStr">
        <is>
          <t>WL25-001772</t>
        </is>
      </c>
      <c r="F744" s="332" t="n">
        <v>45800</v>
      </c>
      <c r="G744" s="224" t="n"/>
      <c r="H744" s="617" t="n"/>
      <c r="I744" s="617" t="n">
        <v>157318</v>
      </c>
      <c r="J744" s="221" t="inlineStr">
        <is>
          <t>អនុញ្ញាត (បានប្រកាស)</t>
        </is>
      </c>
      <c r="K744" s="618" t="n"/>
      <c r="L744" s="616">
        <f>I744</f>
        <v/>
      </c>
      <c r="M744" s="588">
        <f>I744-L744</f>
        <v/>
      </c>
      <c r="N744" s="221" t="n"/>
      <c r="O744" s="226">
        <f>U744=E744</f>
        <v/>
      </c>
      <c r="P744" s="226">
        <f>MONTH(F744)-MONTH(T744)</f>
        <v/>
      </c>
      <c r="Q744" s="226">
        <f>$B$5=X744</f>
        <v/>
      </c>
      <c r="R744" s="226">
        <f>I744-AD744</f>
        <v/>
      </c>
      <c r="S744" s="360" t="n"/>
      <c r="T744" s="361" t="n">
        <v>45800</v>
      </c>
      <c r="U744" s="360" t="inlineStr">
        <is>
          <t>WL25-001772</t>
        </is>
      </c>
      <c r="V744" s="360" t="n"/>
      <c r="W744" s="360" t="n"/>
      <c r="X744" s="360" t="n"/>
      <c r="Y744" s="360" t="inlineStr">
        <is>
          <t>ហូលីដេ ឌីហ្សាញ (ខេមបូឌា) ឯ.ក</t>
        </is>
      </c>
      <c r="Z744" s="362" t="n"/>
      <c r="AA744" s="362" t="n"/>
      <c r="AB744" s="360" t="n"/>
      <c r="AC744" s="360" t="n"/>
      <c r="AD744" s="362" t="n">
        <v>157318</v>
      </c>
      <c r="AE744" s="360" t="n"/>
      <c r="AF744" s="615" t="n"/>
    </row>
    <row r="745">
      <c r="A745" s="220">
        <f>A744+1</f>
        <v/>
      </c>
      <c r="B745" s="222" t="inlineStr">
        <is>
          <t>Lift-Off-Ex</t>
        </is>
      </c>
      <c r="C745" s="222" t="inlineStr">
        <is>
          <t>PHNOM PENH AUTONOMOUS PORT "PPAP"</t>
        </is>
      </c>
      <c r="D745" s="223" t="inlineStr">
        <is>
          <t>L001-100044999</t>
        </is>
      </c>
      <c r="E745" s="349" t="inlineStr">
        <is>
          <t>INV20250539884</t>
        </is>
      </c>
      <c r="F745" s="332" t="n">
        <v>45798</v>
      </c>
      <c r="G745" s="224" t="n"/>
      <c r="H745" s="617" t="n"/>
      <c r="I745" s="617" t="n">
        <v>56042</v>
      </c>
      <c r="J745" s="221" t="inlineStr">
        <is>
          <t>អនុញ្ញាត (បានប្រកាស)</t>
        </is>
      </c>
      <c r="K745" s="618" t="n"/>
      <c r="L745" s="616">
        <f>I745</f>
        <v/>
      </c>
      <c r="M745" s="588">
        <f>I745-L745</f>
        <v/>
      </c>
      <c r="N745" s="221" t="n"/>
      <c r="O745" s="226">
        <f>U745=E745</f>
        <v/>
      </c>
      <c r="P745" s="226">
        <f>MONTH(F745)-MONTH(T745)</f>
        <v/>
      </c>
      <c r="Q745" s="226">
        <f>$B$5=X745</f>
        <v/>
      </c>
      <c r="R745" s="226">
        <f>I745-AD745</f>
        <v/>
      </c>
      <c r="S745" s="360" t="n"/>
      <c r="T745" s="361" t="n">
        <v>45798</v>
      </c>
      <c r="U745" s="360" t="inlineStr">
        <is>
          <t>INV20250539884</t>
        </is>
      </c>
      <c r="V745" s="360" t="n">
        <v>0</v>
      </c>
      <c r="W745" s="360" t="inlineStr">
        <is>
          <t>បុគ្គលជាប់អាករ</t>
        </is>
      </c>
      <c r="X745" s="360" t="inlineStr">
        <is>
          <t>L001-901640009</t>
        </is>
      </c>
      <c r="Y745" s="360" t="inlineStr">
        <is>
          <t>ហូលីដេ ឌីហ្សាញ (ខេមបូឌា) ឯ.ក</t>
        </is>
      </c>
      <c r="Z745" s="362" t="n">
        <v>616462</v>
      </c>
      <c r="AA745" s="362" t="n">
        <v>560420</v>
      </c>
      <c r="AB745" s="360" t="n">
        <v>0</v>
      </c>
      <c r="AC745" s="360" t="inlineStr">
        <is>
          <t>-</t>
        </is>
      </c>
      <c r="AD745" s="362" t="n">
        <v>56042</v>
      </c>
      <c r="AE745" s="360" t="n">
        <v>0</v>
      </c>
      <c r="AF745" s="615" t="n">
        <v>0</v>
      </c>
      <c r="AG745" s="203" t="n">
        <v>0</v>
      </c>
      <c r="AH745" s="203" t="n">
        <v>0</v>
      </c>
      <c r="AI745" s="203" t="n">
        <v>0</v>
      </c>
      <c r="AJ745" s="203" t="n">
        <v>0</v>
      </c>
      <c r="AK745" s="203" t="n">
        <v>0</v>
      </c>
      <c r="AL745" s="203" t="n">
        <v>0.01</v>
      </c>
      <c r="AM745" s="203" t="n">
        <v>0</v>
      </c>
      <c r="AN745" s="203" t="inlineStr">
        <is>
          <t>ចំណូលពីសេវាកម្ម (លើកដាក់ទំនិញ)</t>
        </is>
      </c>
    </row>
    <row r="746">
      <c r="A746" s="220">
        <f>A745+1</f>
        <v/>
      </c>
      <c r="B746" s="222" t="inlineStr">
        <is>
          <t>Trucking &amp; Clearance-Ex</t>
        </is>
      </c>
      <c r="C746" s="222" t="inlineStr">
        <is>
          <t>WANAKA LOGISTICS CO., LTD.</t>
        </is>
      </c>
      <c r="D746" s="223" t="inlineStr">
        <is>
          <t>K005-901907953</t>
        </is>
      </c>
      <c r="E746" s="349" t="inlineStr">
        <is>
          <t>WL25-001778</t>
        </is>
      </c>
      <c r="F746" s="332" t="n">
        <v>45800</v>
      </c>
      <c r="G746" s="224" t="n"/>
      <c r="H746" s="617" t="n"/>
      <c r="I746" s="617" t="n">
        <v>1415861</v>
      </c>
      <c r="J746" s="221" t="inlineStr">
        <is>
          <t>អនុញ្ញាត (បានប្រកាស)</t>
        </is>
      </c>
      <c r="K746" s="618" t="n"/>
      <c r="L746" s="616">
        <f>I746</f>
        <v/>
      </c>
      <c r="M746" s="588">
        <f>I746-L746</f>
        <v/>
      </c>
      <c r="N746" s="221" t="n"/>
      <c r="O746" s="226">
        <f>U746=E746</f>
        <v/>
      </c>
      <c r="P746" s="226">
        <f>MONTH(F746)-MONTH(T746)</f>
        <v/>
      </c>
      <c r="Q746" s="226">
        <f>$B$5=X746</f>
        <v/>
      </c>
      <c r="R746" s="226">
        <f>I746-AD746</f>
        <v/>
      </c>
      <c r="S746" s="360" t="n"/>
      <c r="T746" s="361" t="n">
        <v>45800</v>
      </c>
      <c r="U746" s="360" t="inlineStr">
        <is>
          <t>WL25-001778</t>
        </is>
      </c>
      <c r="V746" s="360" t="n"/>
      <c r="W746" s="360" t="n"/>
      <c r="X746" s="360" t="n"/>
      <c r="Y746" s="360" t="inlineStr">
        <is>
          <t>ហូលីដេ ឌីហ្សាញ (ខេមបូឌា) ឯ.ក</t>
        </is>
      </c>
      <c r="Z746" s="362" t="n"/>
      <c r="AA746" s="362" t="n"/>
      <c r="AB746" s="360" t="n"/>
      <c r="AC746" s="360" t="n"/>
      <c r="AD746" s="362" t="n">
        <v>1415861</v>
      </c>
      <c r="AE746" s="360" t="n"/>
      <c r="AF746" s="615" t="n"/>
    </row>
    <row r="747">
      <c r="A747" s="220">
        <f>A746+1</f>
        <v/>
      </c>
      <c r="B747" s="222" t="inlineStr">
        <is>
          <t>Lift-Off-Ex</t>
        </is>
      </c>
      <c r="C747" s="222" t="inlineStr">
        <is>
          <t>PHNOM PENH AUTONOMOUS PORT "PPAP"</t>
        </is>
      </c>
      <c r="D747" s="223" t="inlineStr">
        <is>
          <t>L001-100044999</t>
        </is>
      </c>
      <c r="E747" s="349" t="inlineStr">
        <is>
          <t>INV20250539881</t>
        </is>
      </c>
      <c r="F747" s="332" t="n">
        <v>45798</v>
      </c>
      <c r="G747" s="224" t="n"/>
      <c r="H747" s="617" t="n"/>
      <c r="I747" s="617" t="n">
        <v>56042</v>
      </c>
      <c r="J747" s="221" t="inlineStr">
        <is>
          <t>អនុញ្ញាត (បានប្រកាស)</t>
        </is>
      </c>
      <c r="K747" s="618" t="n"/>
      <c r="L747" s="616">
        <f>I747</f>
        <v/>
      </c>
      <c r="M747" s="588">
        <f>I747-L747</f>
        <v/>
      </c>
      <c r="N747" s="221" t="n"/>
      <c r="O747" s="226">
        <f>U747=E747</f>
        <v/>
      </c>
      <c r="P747" s="226">
        <f>MONTH(F747)-MONTH(T747)</f>
        <v/>
      </c>
      <c r="Q747" s="226">
        <f>$B$5=X747</f>
        <v/>
      </c>
      <c r="R747" s="226">
        <f>I747-AD747</f>
        <v/>
      </c>
      <c r="S747" s="360" t="n"/>
      <c r="T747" s="361" t="n">
        <v>45798</v>
      </c>
      <c r="U747" s="360" t="inlineStr">
        <is>
          <t>INV20250539881</t>
        </is>
      </c>
      <c r="V747" s="360" t="n">
        <v>0</v>
      </c>
      <c r="W747" s="360" t="inlineStr">
        <is>
          <t>បុគ្គលជាប់អាករ</t>
        </is>
      </c>
      <c r="X747" s="360" t="inlineStr">
        <is>
          <t>L001-901640009</t>
        </is>
      </c>
      <c r="Y747" s="360" t="inlineStr">
        <is>
          <t>ហូលីដេ ឌីហ្សាញ (ខេមបូឌា) ឯ.ក</t>
        </is>
      </c>
      <c r="Z747" s="362" t="n">
        <v>616462</v>
      </c>
      <c r="AA747" s="362" t="n">
        <v>560420</v>
      </c>
      <c r="AB747" s="360" t="n">
        <v>0</v>
      </c>
      <c r="AC747" s="360" t="inlineStr">
        <is>
          <t>-</t>
        </is>
      </c>
      <c r="AD747" s="362" t="n">
        <v>56042</v>
      </c>
      <c r="AE747" s="360" t="n">
        <v>0</v>
      </c>
      <c r="AF747" s="615" t="n">
        <v>0</v>
      </c>
      <c r="AG747" s="203" t="n">
        <v>0</v>
      </c>
      <c r="AH747" s="203" t="n">
        <v>0</v>
      </c>
      <c r="AI747" s="203" t="n">
        <v>0</v>
      </c>
      <c r="AJ747" s="203" t="n">
        <v>0</v>
      </c>
      <c r="AK747" s="203" t="n">
        <v>0</v>
      </c>
      <c r="AL747" s="203" t="n">
        <v>0.01</v>
      </c>
      <c r="AM747" s="203" t="n">
        <v>0</v>
      </c>
      <c r="AN747" s="203" t="inlineStr">
        <is>
          <t>ចំណូលពីសេវាកម្ម (លើកដាក់ទំនិញ)</t>
        </is>
      </c>
    </row>
    <row r="748">
      <c r="A748" s="220">
        <f>A747+1</f>
        <v/>
      </c>
      <c r="B748" s="222" t="inlineStr">
        <is>
          <t>Trucking &amp; Clearance-Ex</t>
        </is>
      </c>
      <c r="C748" s="222" t="inlineStr">
        <is>
          <t>WANAKA LOGISTICS CO., LTD.</t>
        </is>
      </c>
      <c r="D748" s="223" t="inlineStr">
        <is>
          <t>K005-901907953</t>
        </is>
      </c>
      <c r="E748" s="349" t="inlineStr">
        <is>
          <t>WL25-001777</t>
        </is>
      </c>
      <c r="F748" s="332" t="n">
        <v>45800</v>
      </c>
      <c r="G748" s="224" t="n"/>
      <c r="H748" s="617" t="n"/>
      <c r="I748" s="617" t="n">
        <v>332249</v>
      </c>
      <c r="J748" s="221" t="inlineStr">
        <is>
          <t>អនុញ្ញាត (បានប្រកាស)</t>
        </is>
      </c>
      <c r="K748" s="618" t="n"/>
      <c r="L748" s="616">
        <f>I748</f>
        <v/>
      </c>
      <c r="M748" s="588">
        <f>I748-L748</f>
        <v/>
      </c>
      <c r="N748" s="221" t="n"/>
      <c r="O748" s="226">
        <f>U748=E748</f>
        <v/>
      </c>
      <c r="P748" s="226">
        <f>MONTH(F748)-MONTH(T748)</f>
        <v/>
      </c>
      <c r="Q748" s="226">
        <f>$B$5=X748</f>
        <v/>
      </c>
      <c r="R748" s="226">
        <f>I748-AD748</f>
        <v/>
      </c>
      <c r="S748" s="360" t="n"/>
      <c r="T748" s="361" t="n">
        <v>45800</v>
      </c>
      <c r="U748" s="360" t="inlineStr">
        <is>
          <t>WL25-001777</t>
        </is>
      </c>
      <c r="V748" s="360" t="n"/>
      <c r="W748" s="360" t="n"/>
      <c r="X748" s="360" t="n"/>
      <c r="Y748" s="360" t="inlineStr">
        <is>
          <t>ហូលីដេ ឌីហ្សាញ (ខេមបូឌា) ឯ.ក</t>
        </is>
      </c>
      <c r="Z748" s="362" t="n"/>
      <c r="AA748" s="362" t="n"/>
      <c r="AB748" s="360" t="n"/>
      <c r="AC748" s="360" t="n"/>
      <c r="AD748" s="362" t="n">
        <v>332249</v>
      </c>
      <c r="AE748" s="360" t="n"/>
      <c r="AF748" s="615" t="n"/>
    </row>
    <row r="749">
      <c r="A749" s="220">
        <f>A748+1</f>
        <v/>
      </c>
      <c r="B749" s="222" t="inlineStr">
        <is>
          <t>Storage 20&amp;40 Feet Container-Ex</t>
        </is>
      </c>
      <c r="C749" s="222" t="inlineStr">
        <is>
          <t>PHNOM PENH AUTONOMOUS PORT "PPAP"</t>
        </is>
      </c>
      <c r="D749" s="223" t="inlineStr">
        <is>
          <t>L001-100044999</t>
        </is>
      </c>
      <c r="E749" s="349" t="inlineStr">
        <is>
          <t>INV20250542848</t>
        </is>
      </c>
      <c r="F749" s="332" t="n">
        <v>45807</v>
      </c>
      <c r="G749" s="224" t="n"/>
      <c r="H749" s="617" t="n"/>
      <c r="I749" s="617" t="n">
        <v>6008</v>
      </c>
      <c r="J749" s="221" t="inlineStr">
        <is>
          <t>អនុញ្ញាត (បានប្រកាស)</t>
        </is>
      </c>
      <c r="K749" s="618" t="n"/>
      <c r="L749" s="616">
        <f>I749</f>
        <v/>
      </c>
      <c r="M749" s="588">
        <f>I749-L749</f>
        <v/>
      </c>
      <c r="N749" s="221" t="n"/>
      <c r="O749" s="226">
        <f>U749=E749</f>
        <v/>
      </c>
      <c r="P749" s="226">
        <f>MONTH(F749)-MONTH(T749)</f>
        <v/>
      </c>
      <c r="Q749" s="226">
        <f>$B$5=X749</f>
        <v/>
      </c>
      <c r="R749" s="226">
        <f>I749-AD749</f>
        <v/>
      </c>
      <c r="S749" s="360" t="n"/>
      <c r="T749" s="361" t="n">
        <v>45807</v>
      </c>
      <c r="U749" s="360" t="inlineStr">
        <is>
          <t>INV20250542848</t>
        </is>
      </c>
      <c r="V749" s="360" t="n">
        <v>0</v>
      </c>
      <c r="W749" s="360" t="inlineStr">
        <is>
          <t>បុគ្គលជាប់អាករ</t>
        </is>
      </c>
      <c r="X749" s="360" t="inlineStr">
        <is>
          <t>L001-901640009</t>
        </is>
      </c>
      <c r="Y749" s="360" t="inlineStr">
        <is>
          <t>ហូលីដេ ឌីហ្សាញ (ខេមបូឌា) ឯ.ក</t>
        </is>
      </c>
      <c r="Z749" s="362" t="n">
        <v>66088</v>
      </c>
      <c r="AA749" s="362" t="n">
        <v>60080</v>
      </c>
      <c r="AB749" s="360" t="n">
        <v>0</v>
      </c>
      <c r="AC749" s="360" t="inlineStr">
        <is>
          <t>-</t>
        </is>
      </c>
      <c r="AD749" s="362" t="n">
        <v>6008</v>
      </c>
      <c r="AE749" s="360" t="n">
        <v>0</v>
      </c>
      <c r="AF749" s="615" t="n">
        <v>0</v>
      </c>
      <c r="AG749" s="203" t="n">
        <v>0</v>
      </c>
      <c r="AH749" s="203" t="n">
        <v>0</v>
      </c>
      <c r="AI749" s="203" t="n">
        <v>0</v>
      </c>
      <c r="AJ749" s="203" t="n">
        <v>0</v>
      </c>
      <c r="AK749" s="203" t="n">
        <v>0</v>
      </c>
      <c r="AL749" s="203" t="n">
        <v>0.01</v>
      </c>
      <c r="AM749" s="203" t="n">
        <v>0</v>
      </c>
      <c r="AN749" s="203" t="inlineStr">
        <is>
          <t>ចំណូលពីសេវាកម្ម (លើកដាក់ទំនិញ)</t>
        </is>
      </c>
    </row>
    <row r="750">
      <c r="A750" s="220">
        <f>A749+1</f>
        <v/>
      </c>
      <c r="B750" s="222" t="inlineStr">
        <is>
          <t>Lift-Off-Ex</t>
        </is>
      </c>
      <c r="C750" s="222" t="inlineStr">
        <is>
          <t>PHNOM PENH AUTONOMOUS PORT "PPAP"</t>
        </is>
      </c>
      <c r="D750" s="223" t="inlineStr">
        <is>
          <t>L001-100044999</t>
        </is>
      </c>
      <c r="E750" s="349" t="inlineStr">
        <is>
          <t>INV20250539879</t>
        </is>
      </c>
      <c r="F750" s="332" t="n">
        <v>45798</v>
      </c>
      <c r="G750" s="224" t="n"/>
      <c r="H750" s="617" t="n"/>
      <c r="I750" s="617" t="n">
        <v>74456</v>
      </c>
      <c r="J750" s="221" t="inlineStr">
        <is>
          <t>អនុញ្ញាត (បានប្រកាស)</t>
        </is>
      </c>
      <c r="K750" s="618" t="n"/>
      <c r="L750" s="616">
        <f>I750</f>
        <v/>
      </c>
      <c r="M750" s="588">
        <f>I750-L750</f>
        <v/>
      </c>
      <c r="N750" s="221" t="n"/>
      <c r="O750" s="226">
        <f>U750=E750</f>
        <v/>
      </c>
      <c r="P750" s="226">
        <f>MONTH(F750)-MONTH(T750)</f>
        <v/>
      </c>
      <c r="Q750" s="226">
        <f>$B$5=X750</f>
        <v/>
      </c>
      <c r="R750" s="226">
        <f>I750-AD750</f>
        <v/>
      </c>
      <c r="S750" s="360" t="n"/>
      <c r="T750" s="361" t="n">
        <v>45798</v>
      </c>
      <c r="U750" s="360" t="inlineStr">
        <is>
          <t>INV20250539879</t>
        </is>
      </c>
      <c r="V750" s="360" t="n">
        <v>0</v>
      </c>
      <c r="W750" s="360" t="inlineStr">
        <is>
          <t>បុគ្គលជាប់អាករ</t>
        </is>
      </c>
      <c r="X750" s="360" t="inlineStr">
        <is>
          <t>L001-901640009</t>
        </is>
      </c>
      <c r="Y750" s="360" t="inlineStr">
        <is>
          <t>ហូលីដេ ឌីហ្សាញ (ខេមបូឌា) ឯ.ក</t>
        </is>
      </c>
      <c r="Z750" s="362" t="n">
        <v>819016</v>
      </c>
      <c r="AA750" s="362" t="n">
        <v>744560</v>
      </c>
      <c r="AB750" s="360" t="n">
        <v>0</v>
      </c>
      <c r="AC750" s="360" t="inlineStr">
        <is>
          <t>-</t>
        </is>
      </c>
      <c r="AD750" s="362" t="n">
        <v>74456</v>
      </c>
      <c r="AE750" s="360" t="n">
        <v>0</v>
      </c>
      <c r="AF750" s="615" t="n">
        <v>0</v>
      </c>
      <c r="AG750" s="203" t="n">
        <v>0</v>
      </c>
      <c r="AH750" s="203" t="n">
        <v>0</v>
      </c>
      <c r="AI750" s="203" t="n">
        <v>0</v>
      </c>
      <c r="AJ750" s="203" t="n">
        <v>0</v>
      </c>
      <c r="AK750" s="203" t="n">
        <v>0</v>
      </c>
      <c r="AL750" s="203" t="n">
        <v>0.01</v>
      </c>
      <c r="AM750" s="203" t="n">
        <v>0</v>
      </c>
      <c r="AN750" s="203" t="inlineStr">
        <is>
          <t>ចំណូលពីសេវាកម្ម (លើកដាក់ទំនិញ)</t>
        </is>
      </c>
    </row>
    <row r="751">
      <c r="A751" s="220">
        <f>A750+1</f>
        <v/>
      </c>
      <c r="B751" s="222" t="inlineStr">
        <is>
          <t>Trucking &amp; Clearance-Ex</t>
        </is>
      </c>
      <c r="C751" s="222" t="inlineStr">
        <is>
          <t>WANAKA LOGISTICS CO., LTD.</t>
        </is>
      </c>
      <c r="D751" s="223" t="inlineStr">
        <is>
          <t>K005-901907953</t>
        </is>
      </c>
      <c r="E751" s="349" t="inlineStr">
        <is>
          <t>WL25-001776</t>
        </is>
      </c>
      <c r="F751" s="332" t="n">
        <v>45800</v>
      </c>
      <c r="G751" s="224" t="n"/>
      <c r="H751" s="617" t="n"/>
      <c r="I751" s="617" t="n">
        <v>463547</v>
      </c>
      <c r="J751" s="221" t="inlineStr">
        <is>
          <t>អនុញ្ញាត (បានប្រកាស)</t>
        </is>
      </c>
      <c r="K751" s="618" t="n"/>
      <c r="L751" s="616">
        <f>I751</f>
        <v/>
      </c>
      <c r="M751" s="588">
        <f>I751-L751</f>
        <v/>
      </c>
      <c r="N751" s="221" t="n"/>
      <c r="O751" s="226">
        <f>U751=E751</f>
        <v/>
      </c>
      <c r="P751" s="226">
        <f>MONTH(F751)-MONTH(T751)</f>
        <v/>
      </c>
      <c r="Q751" s="226">
        <f>$B$5=X751</f>
        <v/>
      </c>
      <c r="R751" s="226">
        <f>I751-AD751</f>
        <v/>
      </c>
      <c r="S751" s="360" t="n"/>
      <c r="T751" s="361" t="n">
        <v>45800</v>
      </c>
      <c r="U751" s="360" t="inlineStr">
        <is>
          <t>WL25-001776</t>
        </is>
      </c>
      <c r="V751" s="360" t="n"/>
      <c r="W751" s="360" t="n"/>
      <c r="X751" s="360" t="n"/>
      <c r="Y751" s="360" t="inlineStr">
        <is>
          <t>ហូលីដេ ឌីហ្សាញ (ខេមបូឌា) ឯ.ក</t>
        </is>
      </c>
      <c r="Z751" s="362" t="n"/>
      <c r="AA751" s="362" t="n"/>
      <c r="AB751" s="360" t="n"/>
      <c r="AC751" s="360" t="n"/>
      <c r="AD751" s="362" t="n">
        <v>463547</v>
      </c>
      <c r="AE751" s="360" t="n"/>
      <c r="AF751" s="615" t="n"/>
    </row>
    <row r="752">
      <c r="A752" s="220">
        <f>A751+1</f>
        <v/>
      </c>
      <c r="B752" s="222" t="inlineStr">
        <is>
          <t>Trucking &amp; Clearance-Ex</t>
        </is>
      </c>
      <c r="C752" s="222" t="inlineStr">
        <is>
          <t>WANAKA LOGISTICS CO., LTD.</t>
        </is>
      </c>
      <c r="D752" s="223" t="inlineStr">
        <is>
          <t>K005-901907953</t>
        </is>
      </c>
      <c r="E752" s="349" t="inlineStr">
        <is>
          <t>WL25-001775</t>
        </is>
      </c>
      <c r="F752" s="332" t="n">
        <v>45800</v>
      </c>
      <c r="G752" s="224" t="n"/>
      <c r="H752" s="617" t="n"/>
      <c r="I752" s="617" t="n">
        <v>312234</v>
      </c>
      <c r="J752" s="221" t="inlineStr">
        <is>
          <t>អនុញ្ញាត (បានប្រកាស)</t>
        </is>
      </c>
      <c r="K752" s="618" t="n"/>
      <c r="L752" s="616">
        <f>I752</f>
        <v/>
      </c>
      <c r="M752" s="588">
        <f>I752-L752</f>
        <v/>
      </c>
      <c r="N752" s="221" t="n"/>
      <c r="O752" s="226">
        <f>U752=E752</f>
        <v/>
      </c>
      <c r="P752" s="226">
        <f>MONTH(F752)-MONTH(T752)</f>
        <v/>
      </c>
      <c r="Q752" s="226">
        <f>$B$5=X752</f>
        <v/>
      </c>
      <c r="R752" s="226">
        <f>I752-AD752</f>
        <v/>
      </c>
      <c r="S752" s="360" t="n"/>
      <c r="T752" s="361" t="n">
        <v>45800</v>
      </c>
      <c r="U752" s="360" t="inlineStr">
        <is>
          <t>WL25-001775</t>
        </is>
      </c>
      <c r="V752" s="360" t="n"/>
      <c r="W752" s="360" t="n"/>
      <c r="X752" s="360" t="n"/>
      <c r="Y752" s="360" t="inlineStr">
        <is>
          <t>ហូលីដេ ឌីហ្សាញ (ខេមបូឌា) ឯ.ក</t>
        </is>
      </c>
      <c r="Z752" s="362" t="n"/>
      <c r="AA752" s="362" t="n"/>
      <c r="AB752" s="360" t="n"/>
      <c r="AC752" s="360" t="n"/>
      <c r="AD752" s="362" t="n">
        <v>312234</v>
      </c>
      <c r="AE752" s="360" t="n"/>
      <c r="AF752" s="615" t="n"/>
    </row>
    <row r="753">
      <c r="A753" s="220">
        <f>A752+1</f>
        <v/>
      </c>
      <c r="B753" s="222" t="inlineStr">
        <is>
          <t>Lift-Off-Ex</t>
        </is>
      </c>
      <c r="C753" s="222" t="inlineStr">
        <is>
          <t>PHNOM PENH AUTONOMOUS PORT "PPAP"</t>
        </is>
      </c>
      <c r="D753" s="223" t="inlineStr">
        <is>
          <t>L001-100044999</t>
        </is>
      </c>
      <c r="E753" s="349" t="inlineStr">
        <is>
          <t>INV20250539875</t>
        </is>
      </c>
      <c r="F753" s="332" t="n">
        <v>45798</v>
      </c>
      <c r="G753" s="224" t="n"/>
      <c r="H753" s="617" t="n"/>
      <c r="I753" s="617" t="n">
        <v>112084</v>
      </c>
      <c r="J753" s="221" t="inlineStr">
        <is>
          <t>អនុញ្ញាត (បានប្រកាស)</t>
        </is>
      </c>
      <c r="K753" s="618" t="n"/>
      <c r="L753" s="616">
        <f>I753</f>
        <v/>
      </c>
      <c r="M753" s="588">
        <f>I753-L753</f>
        <v/>
      </c>
      <c r="N753" s="221" t="n"/>
      <c r="O753" s="226">
        <f>U753=E753</f>
        <v/>
      </c>
      <c r="P753" s="226">
        <f>MONTH(F753)-MONTH(T753)</f>
        <v/>
      </c>
      <c r="Q753" s="226">
        <f>$B$5=X753</f>
        <v/>
      </c>
      <c r="R753" s="226">
        <f>I753-AD753</f>
        <v/>
      </c>
      <c r="S753" s="360" t="n"/>
      <c r="T753" s="361" t="n">
        <v>45798</v>
      </c>
      <c r="U753" s="360" t="inlineStr">
        <is>
          <t>INV20250539875</t>
        </is>
      </c>
      <c r="V753" s="360" t="n">
        <v>0</v>
      </c>
      <c r="W753" s="360" t="inlineStr">
        <is>
          <t>បុគ្គលជាប់អាករ</t>
        </is>
      </c>
      <c r="X753" s="360" t="inlineStr">
        <is>
          <t>L001-901640009</t>
        </is>
      </c>
      <c r="Y753" s="360" t="inlineStr">
        <is>
          <t>ហូលីដេ ឌីហ្សាញ (ខេមបូឌា) ឯ.ក</t>
        </is>
      </c>
      <c r="Z753" s="362" t="n">
        <v>1232924</v>
      </c>
      <c r="AA753" s="362" t="n">
        <v>1120840</v>
      </c>
      <c r="AB753" s="360" t="n">
        <v>0</v>
      </c>
      <c r="AC753" s="360" t="inlineStr">
        <is>
          <t>-</t>
        </is>
      </c>
      <c r="AD753" s="362" t="n">
        <v>112084</v>
      </c>
      <c r="AE753" s="360" t="n">
        <v>0</v>
      </c>
      <c r="AF753" s="615" t="n">
        <v>0</v>
      </c>
      <c r="AG753" s="203" t="n">
        <v>0</v>
      </c>
      <c r="AH753" s="203" t="n">
        <v>0</v>
      </c>
      <c r="AI753" s="203" t="n">
        <v>0</v>
      </c>
      <c r="AJ753" s="203" t="n">
        <v>0</v>
      </c>
      <c r="AK753" s="203" t="n">
        <v>0</v>
      </c>
      <c r="AL753" s="203" t="n">
        <v>0.01</v>
      </c>
      <c r="AM753" s="203" t="n">
        <v>0</v>
      </c>
      <c r="AN753" s="203" t="inlineStr">
        <is>
          <t>ចំណូលពីសេវាកម្ម (លើកដាក់ទំនិញ)</t>
        </is>
      </c>
    </row>
    <row r="754">
      <c r="A754" s="220">
        <f>A753+1</f>
        <v/>
      </c>
      <c r="B754" s="222" t="inlineStr">
        <is>
          <t>Trucking &amp; Clearance-Ex</t>
        </is>
      </c>
      <c r="C754" s="222" t="inlineStr">
        <is>
          <t>WANAKA LOGISTICS CO., LTD.</t>
        </is>
      </c>
      <c r="D754" s="223" t="inlineStr">
        <is>
          <t>K005-901907953</t>
        </is>
      </c>
      <c r="E754" s="349" t="inlineStr">
        <is>
          <t>WL25-001774</t>
        </is>
      </c>
      <c r="F754" s="332" t="n">
        <v>45800</v>
      </c>
      <c r="G754" s="224" t="n"/>
      <c r="H754" s="617" t="n"/>
      <c r="I754" s="617" t="n">
        <v>624468</v>
      </c>
      <c r="J754" s="221" t="inlineStr">
        <is>
          <t>អនុញ្ញាត (បានប្រកាស)</t>
        </is>
      </c>
      <c r="K754" s="618" t="n"/>
      <c r="L754" s="616">
        <f>I754</f>
        <v/>
      </c>
      <c r="M754" s="588">
        <f>I754-L754</f>
        <v/>
      </c>
      <c r="N754" s="221" t="n"/>
      <c r="O754" s="226">
        <f>U754=E754</f>
        <v/>
      </c>
      <c r="P754" s="226">
        <f>MONTH(F754)-MONTH(T754)</f>
        <v/>
      </c>
      <c r="Q754" s="226">
        <f>$B$5=X754</f>
        <v/>
      </c>
      <c r="R754" s="226">
        <f>I754-AD754</f>
        <v/>
      </c>
      <c r="S754" s="360" t="n"/>
      <c r="T754" s="361" t="n">
        <v>45800</v>
      </c>
      <c r="U754" s="360" t="inlineStr">
        <is>
          <t>WL25-001774</t>
        </is>
      </c>
      <c r="V754" s="360" t="n"/>
      <c r="W754" s="360" t="n"/>
      <c r="X754" s="360" t="n"/>
      <c r="Y754" s="360" t="inlineStr">
        <is>
          <t>ហូលីដេ ឌីហ្សាញ (ខេមបូឌា) ឯ.ក</t>
        </is>
      </c>
      <c r="Z754" s="362" t="n"/>
      <c r="AA754" s="362" t="n"/>
      <c r="AB754" s="360" t="n"/>
      <c r="AC754" s="360" t="n"/>
      <c r="AD754" s="362" t="n">
        <v>624468</v>
      </c>
      <c r="AE754" s="360" t="n"/>
      <c r="AF754" s="615" t="n"/>
    </row>
    <row r="755">
      <c r="A755" s="220">
        <f>A754+1</f>
        <v/>
      </c>
      <c r="B755" s="222" t="inlineStr">
        <is>
          <t>Lift-Off-Ex</t>
        </is>
      </c>
      <c r="C755" s="222" t="inlineStr">
        <is>
          <t>PHNOM PENH AUTONOMOUS PORT "PPAP"</t>
        </is>
      </c>
      <c r="D755" s="223" t="inlineStr">
        <is>
          <t>L001-100044999</t>
        </is>
      </c>
      <c r="E755" s="349" t="inlineStr">
        <is>
          <t>INV20250539894</t>
        </is>
      </c>
      <c r="F755" s="332" t="n">
        <v>45798</v>
      </c>
      <c r="G755" s="224" t="n"/>
      <c r="H755" s="617" t="n"/>
      <c r="I755" s="617" t="n">
        <v>28021</v>
      </c>
      <c r="J755" s="221" t="inlineStr">
        <is>
          <t>អនុញ្ញាត (បានប្រកាស)</t>
        </is>
      </c>
      <c r="K755" s="618" t="n"/>
      <c r="L755" s="616">
        <f>I755</f>
        <v/>
      </c>
      <c r="M755" s="588">
        <f>I755-L755</f>
        <v/>
      </c>
      <c r="N755" s="221" t="n"/>
      <c r="O755" s="226">
        <f>U755=E755</f>
        <v/>
      </c>
      <c r="P755" s="226">
        <f>MONTH(F755)-MONTH(T755)</f>
        <v/>
      </c>
      <c r="Q755" s="226">
        <f>$B$5=X755</f>
        <v/>
      </c>
      <c r="R755" s="226">
        <f>I755-AD755</f>
        <v/>
      </c>
      <c r="S755" s="360" t="n"/>
      <c r="T755" s="361" t="n">
        <v>45798</v>
      </c>
      <c r="U755" s="360" t="inlineStr">
        <is>
          <t>INV20250539894</t>
        </is>
      </c>
      <c r="V755" s="360" t="n">
        <v>0</v>
      </c>
      <c r="W755" s="360" t="inlineStr">
        <is>
          <t>បុគ្គលជាប់អាករ</t>
        </is>
      </c>
      <c r="X755" s="360" t="inlineStr">
        <is>
          <t>L001-901640009</t>
        </is>
      </c>
      <c r="Y755" s="360" t="inlineStr">
        <is>
          <t>ហូលីដេ ឌីហ្សាញ (ខេមបូឌា) ឯ.ក</t>
        </is>
      </c>
      <c r="Z755" s="362" t="n">
        <v>308231</v>
      </c>
      <c r="AA755" s="362" t="n">
        <v>280210</v>
      </c>
      <c r="AB755" s="360" t="n">
        <v>0</v>
      </c>
      <c r="AC755" s="360" t="inlineStr">
        <is>
          <t>-</t>
        </is>
      </c>
      <c r="AD755" s="362" t="n">
        <v>28021</v>
      </c>
      <c r="AE755" s="360" t="n">
        <v>0</v>
      </c>
      <c r="AF755" s="615" t="n">
        <v>0</v>
      </c>
      <c r="AG755" s="203" t="n">
        <v>0</v>
      </c>
      <c r="AH755" s="203" t="n">
        <v>0</v>
      </c>
      <c r="AI755" s="203" t="n">
        <v>0</v>
      </c>
      <c r="AJ755" s="203" t="n">
        <v>0</v>
      </c>
      <c r="AK755" s="203" t="n">
        <v>0</v>
      </c>
      <c r="AL755" s="203" t="n">
        <v>0.01</v>
      </c>
      <c r="AM755" s="203" t="n">
        <v>0</v>
      </c>
      <c r="AN755" s="203" t="inlineStr">
        <is>
          <t>ចំណូលពីសេវាកម្ម (លើកដាក់ទំនិញ)</t>
        </is>
      </c>
    </row>
    <row r="756">
      <c r="A756" s="220">
        <f>A755+1</f>
        <v/>
      </c>
      <c r="B756" s="222" t="inlineStr">
        <is>
          <t>Trucking &amp; Clearance-Ex</t>
        </is>
      </c>
      <c r="C756" s="222" t="inlineStr">
        <is>
          <t>WANAKA LOGISTICS CO., LTD.</t>
        </is>
      </c>
      <c r="D756" s="223" t="inlineStr">
        <is>
          <t>K005-901907953</t>
        </is>
      </c>
      <c r="E756" s="349" t="inlineStr">
        <is>
          <t>WL25-001773</t>
        </is>
      </c>
      <c r="F756" s="332" t="n">
        <v>45800</v>
      </c>
      <c r="G756" s="224" t="n"/>
      <c r="H756" s="617" t="n"/>
      <c r="I756" s="617" t="n">
        <v>157318</v>
      </c>
      <c r="J756" s="221" t="inlineStr">
        <is>
          <t>អនុញ្ញាត (បានប្រកាស)</t>
        </is>
      </c>
      <c r="K756" s="618" t="n"/>
      <c r="L756" s="616">
        <f>I756</f>
        <v/>
      </c>
      <c r="M756" s="588">
        <f>I756-L756</f>
        <v/>
      </c>
      <c r="N756" s="221" t="n"/>
      <c r="O756" s="226">
        <f>U756=E756</f>
        <v/>
      </c>
      <c r="P756" s="226">
        <f>MONTH(F756)-MONTH(T756)</f>
        <v/>
      </c>
      <c r="Q756" s="226">
        <f>$B$5=X756</f>
        <v/>
      </c>
      <c r="R756" s="226">
        <f>I756-AD756</f>
        <v/>
      </c>
      <c r="S756" s="360" t="n"/>
      <c r="T756" s="361" t="n">
        <v>45800</v>
      </c>
      <c r="U756" s="360" t="inlineStr">
        <is>
          <t>WL25-001773</t>
        </is>
      </c>
      <c r="V756" s="360" t="n"/>
      <c r="W756" s="360" t="n"/>
      <c r="X756" s="360" t="n"/>
      <c r="Y756" s="360" t="inlineStr">
        <is>
          <t>ហូលីដេ ឌីហ្សាញ (ខេមបូឌា) ឯ.ក</t>
        </is>
      </c>
      <c r="Z756" s="362" t="n"/>
      <c r="AA756" s="362" t="n"/>
      <c r="AB756" s="360" t="n"/>
      <c r="AC756" s="360" t="n"/>
      <c r="AD756" s="362" t="n">
        <v>157318</v>
      </c>
      <c r="AE756" s="360" t="n"/>
      <c r="AF756" s="615" t="n"/>
    </row>
    <row r="757">
      <c r="A757" s="220">
        <f>A756+1</f>
        <v/>
      </c>
      <c r="B757" s="222" t="inlineStr">
        <is>
          <t>Lift-Off-Ex</t>
        </is>
      </c>
      <c r="C757" s="222" t="inlineStr">
        <is>
          <t>PHNOM PENH AUTONOMOUS PORT "PPAP"</t>
        </is>
      </c>
      <c r="D757" s="223" t="inlineStr">
        <is>
          <t>L001-100044999</t>
        </is>
      </c>
      <c r="E757" s="349" t="inlineStr">
        <is>
          <t>INV20250539887</t>
        </is>
      </c>
      <c r="F757" s="332" t="n">
        <v>45798</v>
      </c>
      <c r="G757" s="224" t="n"/>
      <c r="H757" s="617" t="n"/>
      <c r="I757" s="617" t="n">
        <v>28021</v>
      </c>
      <c r="J757" s="221" t="inlineStr">
        <is>
          <t>អនុញ្ញាត (បានប្រកាស)</t>
        </is>
      </c>
      <c r="K757" s="618" t="n"/>
      <c r="L757" s="616">
        <f>I757</f>
        <v/>
      </c>
      <c r="M757" s="588">
        <f>I757-L757</f>
        <v/>
      </c>
      <c r="N757" s="221" t="n"/>
      <c r="O757" s="226">
        <f>U757=E757</f>
        <v/>
      </c>
      <c r="P757" s="226">
        <f>MONTH(F757)-MONTH(T757)+YEAR(F757)-YEAR(T757)</f>
        <v/>
      </c>
      <c r="Q757" s="226">
        <f>$B$5=X757</f>
        <v/>
      </c>
      <c r="R757" s="226">
        <f>I757-AD757</f>
        <v/>
      </c>
      <c r="S757" s="360" t="n"/>
      <c r="T757" s="361" t="n">
        <v>45433</v>
      </c>
      <c r="U757" s="360" t="inlineStr">
        <is>
          <t>INV20250539887</t>
        </is>
      </c>
      <c r="V757" s="360" t="n">
        <v>0</v>
      </c>
      <c r="W757" s="360" t="inlineStr">
        <is>
          <t>បុគ្គលជាប់អាករ</t>
        </is>
      </c>
      <c r="X757" s="360" t="inlineStr">
        <is>
          <t>L001-901640009</t>
        </is>
      </c>
      <c r="Y757" s="360" t="inlineStr">
        <is>
          <t>ហូលីដេ ឌីហ្សាញ (ខេមបូឌា) ឯ.ក</t>
        </is>
      </c>
      <c r="Z757" s="362" t="n">
        <v>308231</v>
      </c>
      <c r="AA757" s="362" t="n">
        <v>280210</v>
      </c>
      <c r="AB757" s="360" t="n">
        <v>0</v>
      </c>
      <c r="AC757" s="360" t="inlineStr">
        <is>
          <t>-</t>
        </is>
      </c>
      <c r="AD757" s="362" t="n">
        <v>28021</v>
      </c>
      <c r="AE757" s="360" t="n">
        <v>0</v>
      </c>
      <c r="AF757" s="615" t="n">
        <v>0</v>
      </c>
      <c r="AG757" s="203" t="n">
        <v>0</v>
      </c>
      <c r="AH757" s="203" t="n">
        <v>0</v>
      </c>
      <c r="AI757" s="203" t="n">
        <v>0</v>
      </c>
      <c r="AJ757" s="203" t="n">
        <v>0</v>
      </c>
      <c r="AK757" s="203" t="n">
        <v>0</v>
      </c>
      <c r="AL757" s="203" t="n">
        <v>0.01</v>
      </c>
      <c r="AM757" s="203" t="n">
        <v>0</v>
      </c>
      <c r="AN757" s="203" t="inlineStr">
        <is>
          <t>ចំណូលពីសេវាកម្ម (លើកដាក់ទំនិញ)</t>
        </is>
      </c>
    </row>
    <row r="758">
      <c r="A758" s="220">
        <f>A757+1</f>
        <v/>
      </c>
      <c r="B758" s="222" t="inlineStr">
        <is>
          <t>Handling Fee,FCR Fee</t>
        </is>
      </c>
      <c r="C758" s="222" t="inlineStr">
        <is>
          <t>CENTURY DISTRIBUTION SYSTEMS (CAMBODIA) CO., LTD.</t>
        </is>
      </c>
      <c r="D758" s="223" t="inlineStr">
        <is>
          <t>L001-902205494</t>
        </is>
      </c>
      <c r="E758" s="349" t="inlineStr">
        <is>
          <t>CDS202504-2521</t>
        </is>
      </c>
      <c r="F758" s="332" t="n">
        <v>45755</v>
      </c>
      <c r="G758" s="224" t="n"/>
      <c r="H758" s="617" t="n"/>
      <c r="I758" s="617" t="n">
        <v>144072</v>
      </c>
      <c r="J758" s="221" t="inlineStr">
        <is>
          <t>អនុញ្ញាត (បានប្រកាស)</t>
        </is>
      </c>
      <c r="K758" s="618" t="n"/>
      <c r="L758" s="616">
        <f>I758</f>
        <v/>
      </c>
      <c r="M758" s="588">
        <f>I758-L758</f>
        <v/>
      </c>
      <c r="N758" s="221" t="n"/>
      <c r="O758" s="226">
        <f>U758=E758</f>
        <v/>
      </c>
      <c r="P758" s="226">
        <f>MONTH(F758)-MONTH(T758)</f>
        <v/>
      </c>
      <c r="Q758" s="226">
        <f>$B$5=X758</f>
        <v/>
      </c>
      <c r="R758" s="226">
        <f>I758-AD758</f>
        <v/>
      </c>
      <c r="S758" s="360" t="n"/>
      <c r="T758" s="363" t="n">
        <v>45755</v>
      </c>
      <c r="U758" s="360" t="inlineStr">
        <is>
          <t>CDS202504-2521</t>
        </is>
      </c>
      <c r="V758" s="360" t="n">
        <v>0</v>
      </c>
      <c r="W758" s="360" t="inlineStr">
        <is>
          <t>បុគ្គលជាប់អាករ</t>
        </is>
      </c>
      <c r="X758" s="360" t="inlineStr">
        <is>
          <t>L001-901640009</t>
        </is>
      </c>
      <c r="Y758" s="360" t="inlineStr">
        <is>
          <t>ហូលីដេ ឌីហ្សាញ (ខេមបូឌា) ឯ.ក</t>
        </is>
      </c>
      <c r="Z758" s="362" t="n">
        <v>1584792</v>
      </c>
      <c r="AA758" s="362" t="n">
        <v>1440720</v>
      </c>
      <c r="AB758" s="360" t="n">
        <v>0</v>
      </c>
      <c r="AC758" s="360" t="inlineStr">
        <is>
          <t>-</t>
        </is>
      </c>
      <c r="AD758" s="362" t="n">
        <v>144072</v>
      </c>
      <c r="AE758" s="360" t="n">
        <v>0</v>
      </c>
      <c r="AF758" s="615" t="n">
        <v>0</v>
      </c>
      <c r="AG758" s="203" t="n">
        <v>0</v>
      </c>
      <c r="AH758" s="203" t="n">
        <v>0</v>
      </c>
      <c r="AI758" s="203" t="n">
        <v>0</v>
      </c>
      <c r="AJ758" s="203" t="n">
        <v>0</v>
      </c>
      <c r="AK758" s="203" t="n">
        <v>0</v>
      </c>
      <c r="AL758" s="203" t="n">
        <v>0.01</v>
      </c>
      <c r="AM758" s="203" t="n">
        <v>0</v>
      </c>
      <c r="AN758" s="203" t="inlineStr">
        <is>
          <t>OCEAN SHIPPING LOCAL CHARGES</t>
        </is>
      </c>
      <c r="AO758" s="203" t="inlineStr">
        <is>
          <t>បានប្រកាសនិងបង់ពន្ធ</t>
        </is>
      </c>
    </row>
    <row r="759" ht="25.2" customHeight="1" s="397">
      <c r="A759" s="220" t="n"/>
      <c r="B759" s="228" t="n"/>
      <c r="C759" s="228" t="n"/>
      <c r="D759" s="229" t="n"/>
      <c r="E759" s="620" t="n"/>
      <c r="F759" s="621" t="n"/>
      <c r="G759" s="224" t="n"/>
      <c r="H759" s="622" t="n"/>
      <c r="I759" s="623" t="n"/>
      <c r="J759" s="615" t="n"/>
      <c r="K759" s="573" t="n"/>
      <c r="L759" s="616" t="n"/>
    </row>
    <row r="760" ht="25.2" customHeight="1" s="397">
      <c r="A760" s="234" t="inlineStr">
        <is>
          <t>Total</t>
        </is>
      </c>
      <c r="B760" s="234" t="n"/>
      <c r="C760" s="234" t="n"/>
      <c r="D760" s="234" t="n"/>
      <c r="E760" s="234" t="n"/>
      <c r="F760" s="234" t="n"/>
      <c r="G760" s="234" t="n"/>
      <c r="H760" s="234" t="n"/>
      <c r="I760" s="624">
        <f>SUM(I10:I758)</f>
        <v/>
      </c>
      <c r="J760" s="221" t="n"/>
      <c r="K760" s="616" t="n"/>
      <c r="L760" s="624">
        <f>SUM(L10:L758)</f>
        <v/>
      </c>
      <c r="M760" s="624">
        <f>SUM(M10:M758)</f>
        <v/>
      </c>
      <c r="N760" s="625" t="n"/>
    </row>
    <row r="762" customFormat="1" s="238">
      <c r="A762" s="246" t="inlineStr">
        <is>
          <t>តារាងសង្ខេបប្រាក់អាករដែលអាចស្នើសុំបង្វិលសង ហូលីដេ ឌីហ្សាញ (ខេមបូឌា) ឯ.ក</t>
        </is>
      </c>
      <c r="B762" s="203" t="n"/>
      <c r="C762" s="203" t="n"/>
      <c r="D762" s="203" t="n"/>
      <c r="E762" s="203" t="n"/>
      <c r="F762" s="203" t="n"/>
      <c r="G762" s="203" t="n"/>
      <c r="H762" s="203" t="n"/>
      <c r="I762" s="203" t="n"/>
      <c r="J762" s="432" t="n"/>
      <c r="K762" s="432" t="n"/>
      <c r="L762" s="626" t="n"/>
      <c r="M762" s="627" t="n"/>
      <c r="N762" s="627" t="n"/>
      <c r="O762" s="239" t="n"/>
      <c r="P762" s="239" t="n"/>
      <c r="Q762" s="239" t="n"/>
      <c r="R762" s="239" t="n"/>
      <c r="S762" s="334" t="n"/>
      <c r="T762" s="627" t="n"/>
      <c r="U762" s="627" t="n"/>
      <c r="V762" s="627" t="n"/>
      <c r="W762" s="627" t="n"/>
      <c r="X762" s="627" t="n"/>
      <c r="Y762" s="627" t="n"/>
      <c r="Z762" s="627" t="n"/>
      <c r="AA762" s="627" t="n"/>
      <c r="AB762" s="627" t="n"/>
      <c r="AC762" s="627" t="n"/>
      <c r="AD762" s="627" t="n"/>
      <c r="AE762" s="627" t="n"/>
      <c r="AF762" s="239" t="n"/>
      <c r="AG762" s="239" t="n"/>
      <c r="AI762" s="239" t="n"/>
      <c r="AJ762" s="239" t="n"/>
    </row>
    <row r="763" ht="24.6" customFormat="1" customHeight="1" s="238">
      <c r="A763" s="234" t="inlineStr">
        <is>
          <t>ចំនួន.វិ</t>
        </is>
      </c>
      <c r="B763" s="234" t="inlineStr">
        <is>
          <t>បរិយាយ</t>
        </is>
      </c>
      <c r="C763" s="351" t="inlineStr">
        <is>
          <t>ចំនួនទឹកប្រាក់</t>
        </is>
      </c>
      <c r="D763" s="253" t="inlineStr">
        <is>
          <t>តាង</t>
        </is>
      </c>
      <c r="E763" s="253" t="inlineStr">
        <is>
          <t>ផ្សេងៗ</t>
        </is>
      </c>
      <c r="K763" s="461" t="n"/>
      <c r="L763" s="626" t="n"/>
      <c r="M763" s="627" t="n"/>
      <c r="N763" s="627" t="n"/>
      <c r="O763" s="239" t="n"/>
      <c r="P763" s="239" t="n"/>
      <c r="Q763" s="239" t="n"/>
      <c r="R763" s="239" t="n"/>
      <c r="S763" s="334" t="n"/>
      <c r="T763" s="627" t="n"/>
      <c r="U763" s="627" t="n"/>
      <c r="V763" s="627" t="n"/>
      <c r="W763" s="627" t="n"/>
      <c r="X763" s="627" t="n"/>
      <c r="Y763" s="627" t="n"/>
      <c r="Z763" s="627" t="n"/>
      <c r="AA763" s="627" t="n"/>
      <c r="AB763" s="627" t="n"/>
      <c r="AC763" s="627" t="n"/>
      <c r="AD763" s="627" t="n"/>
      <c r="AE763" s="627" t="n"/>
      <c r="AF763" s="239" t="n"/>
      <c r="AG763" s="240" t="n"/>
      <c r="AI763" s="239" t="n"/>
      <c r="AJ763" s="239" t="n"/>
    </row>
    <row r="764" customFormat="1" s="238">
      <c r="A764" s="220" t="n"/>
      <c r="B764" s="221" t="inlineStr">
        <is>
          <t>ចំនួនប្រាក់អាករលើការនាំចូល</t>
        </is>
      </c>
      <c r="C764" s="628">
        <f>'Annex II-IM Non-State Charge'!G17</f>
        <v/>
      </c>
      <c r="D764" s="248" t="n"/>
      <c r="E764" s="248" t="n"/>
      <c r="K764" s="434" t="n"/>
      <c r="L764" s="626" t="n"/>
      <c r="M764" s="627" t="n"/>
      <c r="N764" s="627" t="n"/>
      <c r="O764" s="239" t="n"/>
      <c r="P764" s="239" t="n"/>
      <c r="Q764" s="239" t="n"/>
      <c r="R764" s="239" t="n"/>
      <c r="S764" s="334" t="n"/>
      <c r="T764" s="627" t="n"/>
      <c r="U764" s="627" t="n"/>
      <c r="V764" s="627" t="n"/>
      <c r="W764" s="627" t="n"/>
      <c r="X764" s="627" t="n"/>
      <c r="Y764" s="627" t="n"/>
      <c r="Z764" s="627" t="n"/>
      <c r="AA764" s="627" t="n"/>
      <c r="AB764" s="627" t="n"/>
      <c r="AC764" s="627" t="n"/>
      <c r="AD764" s="627" t="n"/>
      <c r="AE764" s="627" t="n"/>
      <c r="AF764" s="239" t="n"/>
      <c r="AG764" s="240" t="n"/>
      <c r="AI764" s="239" t="n"/>
      <c r="AJ764" s="239" t="n"/>
    </row>
    <row r="765" customFormat="1" s="238">
      <c r="A765" s="608" t="n"/>
      <c r="B765" s="221" t="inlineStr">
        <is>
          <t>ចំនួនប្រាក់អាករលើធាតុចូលទិញក្នុងស្រុក</t>
        </is>
      </c>
      <c r="C765" s="628">
        <f>I760</f>
        <v/>
      </c>
      <c r="D765" s="248" t="n"/>
      <c r="E765" s="248" t="n"/>
      <c r="F765" s="250" t="n"/>
      <c r="G765" s="203" t="n"/>
      <c r="H765" s="587" t="n"/>
      <c r="I765" s="434" t="n"/>
      <c r="J765" s="432" t="n"/>
      <c r="K765" s="432" t="n"/>
      <c r="L765" s="626" t="n"/>
      <c r="M765" s="627" t="n"/>
      <c r="N765" s="627" t="n"/>
      <c r="O765" s="239" t="n"/>
      <c r="P765" s="239" t="n"/>
      <c r="Q765" s="239" t="n"/>
      <c r="R765" s="239" t="n"/>
      <c r="S765" s="334" t="n"/>
      <c r="T765" s="627" t="n"/>
      <c r="U765" s="627" t="n"/>
      <c r="V765" s="627" t="n"/>
      <c r="W765" s="627" t="n"/>
      <c r="X765" s="627" t="n"/>
      <c r="Y765" s="627" t="n"/>
      <c r="Z765" s="627" t="n"/>
      <c r="AA765" s="627" t="n"/>
      <c r="AB765" s="627" t="n"/>
      <c r="AC765" s="627" t="n"/>
      <c r="AD765" s="627" t="n"/>
      <c r="AE765" s="627" t="n"/>
      <c r="AF765" s="239" t="n"/>
      <c r="AG765" s="240" t="n"/>
      <c r="AI765" s="239" t="n"/>
      <c r="AJ765" s="239" t="n"/>
    </row>
    <row r="766" customFormat="1" s="238">
      <c r="A766" s="608" t="n"/>
      <c r="B766" s="251" t="inlineStr">
        <is>
          <t>ចំនួនប្រាក់អាករលើធាតុចូលសរុប</t>
        </is>
      </c>
      <c r="C766" s="629">
        <f>C764+C765</f>
        <v/>
      </c>
      <c r="D766" s="253" t="n"/>
      <c r="E766" s="248" t="n"/>
      <c r="F766" s="250" t="n"/>
      <c r="G766" s="203" t="n"/>
      <c r="H766" s="587" t="n"/>
      <c r="I766" s="247" t="n"/>
      <c r="J766" s="432" t="n"/>
      <c r="K766" s="432" t="n"/>
      <c r="L766" s="626" t="n"/>
      <c r="M766" s="627" t="n"/>
      <c r="N766" s="627" t="n"/>
      <c r="O766" s="239" t="n"/>
      <c r="P766" s="239" t="n"/>
      <c r="Q766" s="239" t="n"/>
      <c r="R766" s="239" t="n"/>
      <c r="S766" s="334" t="n"/>
      <c r="T766" s="627" t="n"/>
      <c r="U766" s="627" t="n"/>
      <c r="V766" s="627" t="n"/>
      <c r="W766" s="627" t="n"/>
      <c r="X766" s="627" t="n"/>
      <c r="Y766" s="627" t="n"/>
      <c r="Z766" s="627" t="n"/>
      <c r="AA766" s="627" t="n"/>
      <c r="AB766" s="627" t="n"/>
      <c r="AC766" s="627" t="n"/>
      <c r="AD766" s="627" t="n"/>
      <c r="AE766" s="627" t="n"/>
      <c r="AF766" s="239" t="n"/>
      <c r="AG766" s="239" t="n"/>
      <c r="AI766" s="239" t="n"/>
      <c r="AJ766" s="239" t="n"/>
    </row>
    <row r="767" customFormat="1" s="238">
      <c r="A767" s="608" t="n"/>
      <c r="B767" s="221" t="inlineStr">
        <is>
          <t>ចំនួនប្រាក់អាករលើធាតុចេញលក់ក្នុងស្រុក</t>
        </is>
      </c>
      <c r="C767" s="628">
        <f>'Annex V-Local Sale'!G12</f>
        <v/>
      </c>
      <c r="D767" s="253" t="n"/>
      <c r="E767" s="248" t="n"/>
      <c r="F767" s="250" t="n"/>
      <c r="G767" s="203" t="n"/>
      <c r="H767" s="587" t="n"/>
      <c r="I767" s="247" t="n"/>
      <c r="J767" s="432" t="n"/>
      <c r="K767" s="432" t="n"/>
      <c r="L767" s="626" t="n"/>
      <c r="M767" s="627" t="n"/>
      <c r="N767" s="627" t="n"/>
      <c r="O767" s="350" t="n"/>
      <c r="P767" s="350" t="n"/>
      <c r="Q767" s="350" t="n"/>
      <c r="R767" s="350" t="n"/>
      <c r="S767" s="334" t="n"/>
      <c r="T767" s="627" t="n"/>
      <c r="U767" s="627" t="n"/>
      <c r="V767" s="627" t="n"/>
      <c r="W767" s="627" t="n"/>
      <c r="X767" s="627" t="n"/>
      <c r="Y767" s="627" t="n"/>
      <c r="Z767" s="627" t="n"/>
      <c r="AA767" s="627" t="n"/>
      <c r="AB767" s="627" t="n"/>
      <c r="AC767" s="627" t="n"/>
      <c r="AD767" s="627" t="n"/>
      <c r="AE767" s="627" t="n"/>
      <c r="AF767" s="239" t="n"/>
      <c r="AG767" s="239" t="n"/>
      <c r="AI767" s="239" t="n"/>
      <c r="AJ767" s="239" t="n"/>
    </row>
    <row r="768" customFormat="1" s="238">
      <c r="A768" s="608" t="n"/>
      <c r="B768" s="251" t="inlineStr">
        <is>
          <t>ចំនួនប្រាក់អាករលើធាតុចេញសរុប</t>
        </is>
      </c>
      <c r="C768" s="628">
        <f>C767</f>
        <v/>
      </c>
      <c r="D768" s="253" t="n"/>
      <c r="E768" s="248" t="n"/>
      <c r="F768" s="250" t="n"/>
      <c r="G768" s="203" t="n"/>
      <c r="H768" s="587" t="n"/>
      <c r="I768" s="247" t="n"/>
      <c r="J768" s="432" t="n"/>
      <c r="K768" s="432" t="n"/>
      <c r="L768" s="626" t="n"/>
      <c r="M768" s="627" t="n"/>
      <c r="N768" s="627" t="n"/>
      <c r="O768" s="350" t="n"/>
      <c r="P768" s="350" t="n"/>
      <c r="Q768" s="350" t="n"/>
      <c r="R768" s="350" t="n"/>
      <c r="S768" s="334" t="n"/>
      <c r="T768" s="627" t="n"/>
      <c r="U768" s="627" t="n"/>
      <c r="V768" s="627" t="n"/>
      <c r="W768" s="627" t="n"/>
      <c r="X768" s="627" t="n"/>
      <c r="Y768" s="627" t="n"/>
      <c r="Z768" s="627" t="n"/>
      <c r="AA768" s="627" t="n"/>
      <c r="AB768" s="627" t="n"/>
      <c r="AC768" s="627" t="n"/>
      <c r="AD768" s="627" t="n"/>
      <c r="AE768" s="627" t="n"/>
      <c r="AF768" s="239" t="n"/>
      <c r="AG768" s="239" t="n"/>
      <c r="AI768" s="239" t="n"/>
      <c r="AJ768" s="239" t="n"/>
    </row>
    <row r="769" customFormat="1" s="238">
      <c r="A769" s="608" t="n"/>
      <c r="B769" s="255" t="inlineStr">
        <is>
          <t>ចំនួនប្រាក់អាករដែលអាចធ្វើការផ្ទៀងផ្ទាត់</t>
        </is>
      </c>
      <c r="C769" s="630">
        <f>C766-C768</f>
        <v/>
      </c>
      <c r="D769" s="253" t="n"/>
      <c r="E769" s="631" t="n"/>
      <c r="F769" s="250" t="n"/>
      <c r="G769" s="203" t="n"/>
      <c r="H769" s="587" t="n"/>
      <c r="I769" s="247" t="n"/>
      <c r="J769" s="432" t="n"/>
      <c r="K769" s="432" t="n"/>
      <c r="L769" s="626" t="n"/>
      <c r="M769" s="627" t="n"/>
      <c r="N769" s="627" t="inlineStr">
        <is>
          <t>ហូលីដេ ឌីហ្សាញ (ខេមបូឌា) ឯ.ក</t>
        </is>
      </c>
      <c r="O769" s="350" t="n"/>
      <c r="P769" s="350" t="n"/>
      <c r="Q769" s="350" t="n"/>
      <c r="R769" s="350" t="n"/>
      <c r="S769" s="334" t="n"/>
      <c r="T769" s="627" t="n"/>
      <c r="U769" s="627" t="n"/>
      <c r="V769" s="627" t="n"/>
      <c r="W769" s="627" t="n"/>
      <c r="X769" s="627" t="n"/>
      <c r="Y769" s="627" t="n"/>
      <c r="Z769" s="627" t="n"/>
      <c r="AA769" s="627" t="n"/>
      <c r="AB769" s="627" t="n"/>
      <c r="AC769" s="627" t="n"/>
      <c r="AD769" s="627" t="n"/>
      <c r="AE769" s="627" t="n"/>
      <c r="AF769" s="239" t="n"/>
      <c r="AG769" s="239" t="n"/>
      <c r="AI769" s="239" t="n"/>
      <c r="AJ769" s="239" t="n"/>
    </row>
    <row r="770" customFormat="1" s="238">
      <c r="A770" s="564" t="n"/>
      <c r="B770" s="234" t="inlineStr">
        <is>
          <t>ចំនួនប្រាក់អាករស្នើសុំតាមប្រព័ន្ធ E-VAT</t>
        </is>
      </c>
      <c r="C770" s="624">
        <f>'Company information'!H9</f>
        <v/>
      </c>
      <c r="D770" s="253" t="inlineStr">
        <is>
          <t>ក</t>
        </is>
      </c>
      <c r="E770" s="221" t="n"/>
      <c r="F770" s="247" t="n"/>
      <c r="G770" s="203" t="n"/>
      <c r="H770" s="587" t="n"/>
      <c r="I770" s="247" t="n"/>
      <c r="J770" s="432" t="n"/>
      <c r="K770" s="432" t="n"/>
      <c r="L770" s="626" t="n"/>
      <c r="M770" s="627" t="n"/>
      <c r="N770" s="366" t="n"/>
      <c r="O770" s="239" t="n"/>
      <c r="P770" s="239" t="n"/>
      <c r="Q770" s="239" t="n"/>
      <c r="R770" s="239" t="n"/>
      <c r="S770" s="334" t="n"/>
      <c r="T770" s="627" t="n"/>
      <c r="U770" s="627" t="n"/>
      <c r="V770" s="627" t="n"/>
      <c r="W770" s="627" t="n"/>
      <c r="X770" s="627" t="n"/>
      <c r="Y770" s="627" t="n"/>
      <c r="Z770" s="627" t="n"/>
      <c r="AA770" s="627" t="n"/>
      <c r="AB770" s="627" t="n"/>
      <c r="AC770" s="627" t="n"/>
      <c r="AD770" s="627" t="n"/>
      <c r="AE770" s="627" t="n"/>
      <c r="AF770" s="239" t="n"/>
      <c r="AG770" s="239" t="n"/>
      <c r="AH770" s="433" t="n"/>
      <c r="AI770" s="239" t="n"/>
      <c r="AJ770" s="239" t="n"/>
    </row>
    <row r="771" ht="40.2" customFormat="1" customHeight="1" s="238">
      <c r="A771" s="376">
        <f>COUNTIF($J$10:$J$758,"អនុញ្ញាត (បានប្រកាស)")</f>
        <v/>
      </c>
      <c r="B771" s="377" t="inlineStr">
        <is>
          <t>ចំនួនប្រាក់អាករដែលបានប្រកាស</t>
        </is>
      </c>
      <c r="C771" s="628">
        <f>SUMIF($J$10:$J$758,"អនុញ្ញាត (បានប្រកាស)",$L$10:$L$758)</f>
        <v/>
      </c>
      <c r="D771" s="253" t="inlineStr">
        <is>
          <t>ខ</t>
        </is>
      </c>
      <c r="E771" s="221" t="inlineStr">
        <is>
          <t>គួរអនុញ្ញាត</t>
        </is>
      </c>
      <c r="K771" s="432" t="n"/>
      <c r="L771" s="626" t="n"/>
      <c r="M771" s="627" t="n"/>
      <c r="N771" s="366" t="n"/>
      <c r="O771" s="239" t="n"/>
      <c r="P771" s="239" t="n"/>
      <c r="Q771" s="239" t="n"/>
      <c r="R771" s="239" t="n"/>
      <c r="S771" s="334" t="n"/>
      <c r="T771" s="627" t="n"/>
      <c r="U771" s="627" t="n"/>
      <c r="V771" s="627" t="n"/>
      <c r="W771" s="627" t="n"/>
      <c r="X771" s="627" t="n"/>
      <c r="Y771" s="627" t="n"/>
      <c r="Z771" s="627" t="n"/>
      <c r="AA771" s="627" t="n"/>
      <c r="AB771" s="627" t="n"/>
      <c r="AC771" s="627" t="n"/>
      <c r="AD771" s="627" t="n"/>
      <c r="AE771" s="627" t="n"/>
      <c r="AF771" s="239" t="n"/>
      <c r="AG771" s="240" t="n"/>
      <c r="AH771" s="243" t="n"/>
      <c r="AI771" s="239" t="n"/>
      <c r="AJ771" s="239" t="n"/>
    </row>
    <row r="772" ht="40.2" customFormat="1" customHeight="1" s="238">
      <c r="A772" s="376" t="n"/>
      <c r="B772" s="377" t="inlineStr">
        <is>
          <t>ចំនួនប្រាក់អាករទិញក្នុងស្រុក(ផ្ទៀងផ្ទាត់តាមក្រោយ)</t>
        </is>
      </c>
      <c r="C772" s="628" t="n"/>
      <c r="D772" s="253" t="n"/>
      <c r="E772" s="221" t="inlineStr">
        <is>
          <t>គួរអនុញ្ញាត(អនុលោមភាព "មាស")</t>
        </is>
      </c>
      <c r="K772" s="432" t="n"/>
      <c r="L772" s="626" t="n"/>
      <c r="M772" s="627" t="n"/>
      <c r="N772" s="366" t="n"/>
      <c r="O772" s="239" t="n"/>
      <c r="P772" s="239" t="n"/>
      <c r="Q772" s="239" t="n"/>
      <c r="R772" s="239" t="n"/>
      <c r="S772" s="334" t="n"/>
      <c r="T772" s="627" t="n"/>
      <c r="U772" s="627" t="n"/>
      <c r="V772" s="627" t="n"/>
      <c r="W772" s="627" t="n"/>
      <c r="X772" s="627" t="n"/>
      <c r="Y772" s="627" t="n"/>
      <c r="Z772" s="627" t="n"/>
      <c r="AA772" s="627" t="n"/>
      <c r="AB772" s="627" t="n"/>
      <c r="AC772" s="627" t="n"/>
      <c r="AD772" s="627" t="n"/>
      <c r="AE772" s="627" t="n"/>
      <c r="AF772" s="239" t="n"/>
      <c r="AG772" s="240" t="n"/>
      <c r="AH772" s="243" t="n"/>
      <c r="AI772" s="239" t="n"/>
      <c r="AJ772" s="239" t="n"/>
    </row>
    <row r="773" ht="40.2" customFormat="1" customHeight="1" s="238">
      <c r="A773" s="376" t="n"/>
      <c r="B773" s="377" t="inlineStr">
        <is>
          <t>ចំនួនប្រាក់អាករនាំចូលមានឯកសារគាំទ្រ(ផ្ទៀងផ្ទាត់តាមក្រោយ)</t>
        </is>
      </c>
      <c r="C773" s="628" t="n"/>
      <c r="D773" s="253" t="n"/>
      <c r="E773" s="221" t="inlineStr">
        <is>
          <t>គួរអនុញ្ញាត(អនុលោមភាព "មាស")</t>
        </is>
      </c>
      <c r="K773" s="432" t="n"/>
      <c r="L773" s="626" t="n"/>
      <c r="M773" s="627" t="n"/>
      <c r="N773" s="366" t="n"/>
      <c r="O773" s="239" t="n"/>
      <c r="P773" s="239" t="n"/>
      <c r="Q773" s="239" t="n"/>
      <c r="R773" s="239" t="n"/>
      <c r="S773" s="334" t="n"/>
      <c r="T773" s="627" t="n"/>
      <c r="U773" s="627" t="n"/>
      <c r="V773" s="627" t="n"/>
      <c r="W773" s="627" t="n"/>
      <c r="X773" s="627" t="n"/>
      <c r="Y773" s="627" t="n"/>
      <c r="Z773" s="627" t="n"/>
      <c r="AA773" s="627" t="n"/>
      <c r="AB773" s="627" t="n"/>
      <c r="AC773" s="627" t="n"/>
      <c r="AD773" s="627" t="n"/>
      <c r="AE773" s="627" t="n"/>
      <c r="AF773" s="239" t="n"/>
      <c r="AG773" s="240" t="n"/>
      <c r="AH773" s="243" t="n"/>
      <c r="AI773" s="239" t="n"/>
      <c r="AJ773" s="239" t="n"/>
    </row>
    <row r="774" customFormat="1" s="238">
      <c r="A774" s="376">
        <f>COUNTIF('Annex II-IM Non-State Charge'!$H$10:$H$15,"អាចប្រើប្រាស់ជាឥណទានបាន")</f>
        <v/>
      </c>
      <c r="B774" s="377" t="inlineStr">
        <is>
          <t>ចំនួនប្រាក់អាករនាំចូលមានឯកសារគាំទ្រ</t>
        </is>
      </c>
      <c r="C774" s="628">
        <f>SUMIF('Annex II-IM Non-State Charge'!$H$10:$H$15,"អាចប្រើប្រាស់ជាឥណទានបាន",'Annex II-IM Non-State Charge'!$J$10:$J$15)</f>
        <v/>
      </c>
      <c r="D774" s="253" t="inlineStr">
        <is>
          <t>គ</t>
        </is>
      </c>
      <c r="E774" s="221" t="inlineStr">
        <is>
          <t>គួរអនុញ្ញាត</t>
        </is>
      </c>
      <c r="F774" s="343" t="n"/>
      <c r="G774" s="431" t="n"/>
      <c r="H774" s="431" t="n"/>
      <c r="I774" s="431" t="n"/>
      <c r="J774" s="432" t="n"/>
      <c r="K774" s="432" t="n"/>
      <c r="L774" s="626" t="n"/>
      <c r="M774" s="627" t="n"/>
      <c r="N774" s="627" t="n"/>
      <c r="O774" s="239" t="n"/>
      <c r="P774" s="239" t="n"/>
      <c r="Q774" s="239" t="n"/>
      <c r="R774" s="239" t="n"/>
      <c r="S774" s="334" t="n"/>
      <c r="T774" s="627" t="n"/>
      <c r="U774" s="627" t="n"/>
      <c r="V774" s="627" t="n"/>
      <c r="W774" s="627" t="n"/>
      <c r="X774" s="627" t="n"/>
      <c r="Y774" s="627" t="n"/>
      <c r="Z774" s="627" t="n"/>
      <c r="AA774" s="627" t="n"/>
      <c r="AB774" s="627" t="n"/>
      <c r="AC774" s="627" t="n"/>
      <c r="AD774" s="627" t="n"/>
      <c r="AE774" s="627" t="n"/>
      <c r="AF774" s="239" t="n"/>
      <c r="AG774" s="240" t="n"/>
      <c r="AH774" s="243" t="n"/>
      <c r="AI774" s="239" t="n"/>
      <c r="AJ774" s="239" t="n"/>
    </row>
    <row r="775" customFormat="1" s="238">
      <c r="A775" s="376">
        <f>'Annex II-IM Non-State Charge'!A15</f>
        <v/>
      </c>
      <c r="B775" s="377" t="inlineStr">
        <is>
          <t>ចំនួនប្រាក់អាករនាំចូលមិនមានឯកសារគាំទ្រ</t>
        </is>
      </c>
      <c r="C775" s="628">
        <f>C764</f>
        <v/>
      </c>
      <c r="D775" s="253" t="inlineStr">
        <is>
          <t>គ</t>
        </is>
      </c>
      <c r="E775" s="221" t="inlineStr">
        <is>
          <t>ព្យួរទុក</t>
        </is>
      </c>
      <c r="F775" s="343" t="n"/>
      <c r="G775" s="431" t="n"/>
      <c r="H775" s="431" t="n"/>
      <c r="I775" s="431" t="n"/>
      <c r="J775" s="432" t="n"/>
      <c r="K775" s="432" t="n"/>
      <c r="L775" s="626" t="n"/>
      <c r="M775" s="627" t="n"/>
      <c r="N775" s="627" t="n"/>
      <c r="O775" s="239" t="n"/>
      <c r="P775" s="239" t="n"/>
      <c r="Q775" s="239" t="n"/>
      <c r="R775" s="239" t="n"/>
      <c r="S775" s="334" t="n"/>
      <c r="T775" s="627" t="n"/>
      <c r="U775" s="627" t="n"/>
      <c r="V775" s="627" t="n"/>
      <c r="W775" s="627" t="n"/>
      <c r="X775" s="627" t="n"/>
      <c r="Y775" s="627" t="n"/>
      <c r="Z775" s="627" t="n"/>
      <c r="AA775" s="627" t="n"/>
      <c r="AB775" s="627" t="n"/>
      <c r="AC775" s="627" t="n"/>
      <c r="AD775" s="627" t="n"/>
      <c r="AE775" s="627" t="n"/>
      <c r="AF775" s="239" t="n"/>
      <c r="AG775" s="240" t="n"/>
      <c r="AH775" s="243" t="n"/>
      <c r="AI775" s="239" t="n"/>
      <c r="AJ775" s="239" t="n"/>
    </row>
    <row r="776" customFormat="1" s="238">
      <c r="A776" s="376">
        <f>COUNTIF($J$10:$J$758,"ព្យួរទុក (មិនបានប្រកាស)")</f>
        <v/>
      </c>
      <c r="B776" s="377" t="inlineStr">
        <is>
          <t>ចំនួនប្រាក់អាករដែលមិនបានប្រកាស</t>
        </is>
      </c>
      <c r="C776" s="628">
        <f>SUMIF($J$10:$J$758,"ព្យួរទុក (មិនបានប្រកាស)",$M$10:$M$758)+SUMIF($J$10:$J$758,"អនុញ្ញាត (បានប្រកាស)",$M$10:$M$758)</f>
        <v/>
      </c>
      <c r="D776" s="253" t="inlineStr">
        <is>
          <t>គ</t>
        </is>
      </c>
      <c r="E776" s="221" t="inlineStr">
        <is>
          <t>ព្យួរទុក</t>
        </is>
      </c>
      <c r="L776" s="626" t="n"/>
      <c r="M776" s="627" t="n"/>
      <c r="N776" s="627" t="n"/>
      <c r="O776" s="239" t="n"/>
      <c r="P776" s="239" t="n"/>
      <c r="Q776" s="239" t="n"/>
      <c r="R776" s="239" t="n"/>
      <c r="S776" s="334" t="n"/>
      <c r="T776" s="627" t="n"/>
      <c r="U776" s="627" t="n"/>
      <c r="V776" s="627" t="n"/>
      <c r="W776" s="627" t="n"/>
      <c r="X776" s="627" t="n"/>
      <c r="Y776" s="627" t="n"/>
      <c r="Z776" s="627" t="n"/>
      <c r="AA776" s="627" t="n"/>
      <c r="AB776" s="627" t="n"/>
      <c r="AC776" s="627" t="n"/>
      <c r="AD776" s="627" t="n"/>
      <c r="AE776" s="627" t="n"/>
      <c r="AF776" s="239" t="n"/>
      <c r="AG776" s="239" t="n"/>
      <c r="AH776" s="243" t="n"/>
      <c r="AI776" s="239" t="n"/>
      <c r="AJ776" s="239" t="n"/>
    </row>
    <row r="777" customFormat="1" s="238">
      <c r="A777" s="376">
        <f>COUNTIF($J$10:$J$758,"ព្យួរទុក (មិនមានទិន្នន័យ)")</f>
        <v/>
      </c>
      <c r="B777" s="377" t="inlineStr">
        <is>
          <t>ចំនួនប្រាក់អាករដែលមិនមានទិន្នន័យ</t>
        </is>
      </c>
      <c r="C777" s="628">
        <f>SUMIF($J$10:$J$758,"ព្យួរទុក (មិនមានទិន្នន័យ)",$M$10:$M$758)</f>
        <v/>
      </c>
      <c r="D777" s="253" t="inlineStr">
        <is>
          <t>ឃ</t>
        </is>
      </c>
      <c r="E777" s="221" t="inlineStr">
        <is>
          <t>ព្យួរទុក</t>
        </is>
      </c>
      <c r="L777" s="626" t="n"/>
      <c r="M777" s="627" t="n"/>
      <c r="N777" s="627" t="n"/>
      <c r="O777" s="632" t="n"/>
      <c r="P777" s="632" t="n"/>
      <c r="Q777" s="632" t="n"/>
      <c r="R777" s="632" t="n"/>
      <c r="S777" s="334" t="n"/>
      <c r="T777" s="627" t="n"/>
      <c r="U777" s="627" t="n"/>
      <c r="V777" s="627" t="n"/>
      <c r="W777" s="627" t="n"/>
      <c r="X777" s="627" t="n"/>
      <c r="Y777" s="627" t="n"/>
      <c r="Z777" s="627" t="n"/>
      <c r="AA777" s="627" t="n"/>
      <c r="AB777" s="627" t="n"/>
      <c r="AC777" s="627" t="n"/>
      <c r="AD777" s="627" t="n"/>
      <c r="AE777" s="627" t="n"/>
      <c r="AF777" s="239" t="n"/>
      <c r="AG777" s="239" t="n"/>
      <c r="AH777" s="243" t="n"/>
      <c r="AI777" s="239" t="n"/>
      <c r="AJ777" s="239" t="n"/>
    </row>
    <row r="778" customFormat="1" s="238">
      <c r="A778" s="376">
        <f>COUNTIF($J$10:$J$758,"ព្យួរទុក (ប្រកាសខុស)")</f>
        <v/>
      </c>
      <c r="B778" s="377" t="inlineStr">
        <is>
          <t>ចំនួនប្រាក់អាករដែលប្រកាសខុស</t>
        </is>
      </c>
      <c r="C778" s="628">
        <f>SUMIF($J$10:$J$758,"ព្យួរទុក (ប្រកាសខុស)",$M$10:$M$758)</f>
        <v/>
      </c>
      <c r="D778" s="253" t="inlineStr">
        <is>
          <t>ច</t>
        </is>
      </c>
      <c r="E778" s="221" t="inlineStr">
        <is>
          <t>ព្យួរទុក</t>
        </is>
      </c>
      <c r="L778" s="626" t="n"/>
      <c r="M778" s="627" t="n"/>
      <c r="N778" s="627" t="n"/>
      <c r="O778" s="239" t="n"/>
      <c r="P778" s="239" t="n"/>
      <c r="Q778" s="239" t="n"/>
      <c r="R778" s="239" t="n"/>
      <c r="S778" s="334" t="n"/>
      <c r="T778" s="627" t="n"/>
      <c r="U778" s="627" t="n"/>
      <c r="V778" s="627" t="n"/>
      <c r="W778" s="627" t="n"/>
      <c r="X778" s="627" t="n"/>
      <c r="Y778" s="627" t="n"/>
      <c r="Z778" s="627" t="n"/>
      <c r="AA778" s="627" t="n"/>
      <c r="AB778" s="627" t="n"/>
      <c r="AC778" s="627" t="n"/>
      <c r="AD778" s="627" t="n"/>
      <c r="AE778" s="627" t="n"/>
      <c r="AF778" s="239" t="n"/>
      <c r="AG778" s="239" t="n"/>
      <c r="AH778" s="243" t="n"/>
      <c r="AI778" s="239" t="n"/>
      <c r="AJ778" s="239" t="n"/>
    </row>
    <row r="779" ht="23.25" customFormat="1" customHeight="1" s="238">
      <c r="A779" s="376">
        <f>COUNTIF($J$10:$J$758,"ព្យួរទុក (មិនអនុញ្ញាតជាឥណទាន)")</f>
        <v/>
      </c>
      <c r="B779" s="377" t="inlineStr">
        <is>
          <t>ចំនួនប្រាក់អាករដែលមិនអនុញ្ញាតជាឥណទាន</t>
        </is>
      </c>
      <c r="C779" s="628">
        <f>SUMIF($J$10:$J$758,"ព្យួរទុក (មិនអនុញ្ញាតជាឥណទាន)",$M$10:$M$758)</f>
        <v/>
      </c>
      <c r="D779" s="253" t="inlineStr">
        <is>
          <t>ឆ</t>
        </is>
      </c>
      <c r="E779" s="221" t="inlineStr">
        <is>
          <t>ព្យួរទុក</t>
        </is>
      </c>
      <c r="L779" s="626" t="n"/>
      <c r="M779" s="627" t="n"/>
      <c r="N779" s="627" t="n"/>
      <c r="O779" s="239" t="n"/>
      <c r="P779" s="239" t="n"/>
      <c r="Q779" s="239" t="n"/>
      <c r="R779" s="239" t="n"/>
      <c r="S779" s="334" t="n"/>
      <c r="T779" s="627" t="n"/>
      <c r="U779" s="627" t="n"/>
      <c r="V779" s="627" t="n"/>
      <c r="W779" s="627" t="n"/>
      <c r="X779" s="627" t="n"/>
      <c r="Y779" s="627" t="n"/>
      <c r="Z779" s="627" t="n"/>
      <c r="AA779" s="627" t="n"/>
      <c r="AB779" s="627" t="n"/>
      <c r="AC779" s="627" t="n"/>
      <c r="AD779" s="627" t="n"/>
      <c r="AE779" s="627" t="n"/>
      <c r="AF779" s="239" t="n"/>
      <c r="AG779" s="239" t="n"/>
      <c r="AH779" s="243" t="n"/>
      <c r="AI779" s="239" t="n"/>
      <c r="AJ779" s="239" t="n"/>
    </row>
    <row r="780" ht="23.25" customFormat="1" customHeight="1" s="238">
      <c r="A780" s="376" t="n"/>
      <c r="B780" s="377" t="inlineStr">
        <is>
          <t>ចំនួនប្រាក់អាករដែលព្យួរទុកឥណទាន</t>
        </is>
      </c>
      <c r="C780" s="628" t="n"/>
      <c r="D780" s="253" t="n"/>
      <c r="E780" s="221" t="n"/>
      <c r="L780" s="626" t="n"/>
      <c r="M780" s="627" t="n"/>
      <c r="N780" s="627" t="n"/>
      <c r="O780" s="239" t="n"/>
      <c r="P780" s="239" t="n"/>
      <c r="Q780" s="239" t="n"/>
      <c r="R780" s="239" t="n"/>
      <c r="S780" s="334" t="n"/>
      <c r="T780" s="627" t="n"/>
      <c r="U780" s="627" t="n"/>
      <c r="V780" s="627" t="n"/>
      <c r="W780" s="627" t="n"/>
      <c r="X780" s="627" t="n"/>
      <c r="Y780" s="627" t="n"/>
      <c r="Z780" s="627" t="n"/>
      <c r="AA780" s="627" t="n"/>
      <c r="AB780" s="627" t="n"/>
      <c r="AC780" s="627" t="n"/>
      <c r="AD780" s="627" t="n"/>
      <c r="AE780" s="627" t="n"/>
      <c r="AF780" s="239" t="n"/>
      <c r="AG780" s="239" t="n"/>
      <c r="AH780" s="243" t="n"/>
      <c r="AI780" s="239" t="n"/>
      <c r="AJ780" s="239" t="n"/>
    </row>
    <row r="781" customFormat="1" s="238">
      <c r="A781" s="376" t="n"/>
      <c r="B781" s="377" t="inlineStr">
        <is>
          <t>លម្អៀងបា្រក់អាករជាមួយប្រព័ន្ធ E-VAT</t>
        </is>
      </c>
      <c r="C781" s="628">
        <f>C770-C769</f>
        <v/>
      </c>
      <c r="D781" s="253" t="inlineStr">
        <is>
          <t>ជ</t>
        </is>
      </c>
      <c r="E781" s="221" t="inlineStr">
        <is>
          <t>ព្យួរទុក</t>
        </is>
      </c>
      <c r="L781" s="626" t="n"/>
      <c r="M781" s="627" t="n"/>
      <c r="N781" s="627" t="n"/>
      <c r="O781" s="239" t="n"/>
      <c r="P781" s="239" t="n"/>
      <c r="Q781" s="239" t="n"/>
      <c r="R781" s="239" t="n"/>
      <c r="S781" s="334" t="n"/>
      <c r="T781" s="627" t="n"/>
      <c r="U781" s="627" t="n"/>
      <c r="V781" s="627" t="n"/>
      <c r="W781" s="627" t="n"/>
      <c r="X781" s="627" t="n"/>
      <c r="Y781" s="627" t="n"/>
      <c r="Z781" s="627" t="n"/>
      <c r="AA781" s="627" t="n"/>
      <c r="AB781" s="627" t="n"/>
      <c r="AC781" s="627" t="n"/>
      <c r="AD781" s="627" t="n"/>
      <c r="AE781" s="627" t="n"/>
      <c r="AF781" s="239" t="n"/>
      <c r="AG781" s="239" t="n"/>
      <c r="AH781" s="243" t="n"/>
      <c r="AI781" s="239" t="n"/>
      <c r="AJ781" s="239" t="n"/>
    </row>
    <row r="782" customFormat="1" s="238">
      <c r="A782" s="377" t="n"/>
      <c r="B782" s="377" t="inlineStr">
        <is>
          <t>សរុបប្រាក់អាករគួរបង្វិលសងជូនក្រុមហ៊ុន</t>
        </is>
      </c>
      <c r="C782" s="624">
        <f>C770-C776-C777</f>
        <v/>
      </c>
      <c r="D782" s="633" t="inlineStr">
        <is>
          <t>ង=ក-ខ-គ-ឃ</t>
        </is>
      </c>
      <c r="E782" s="634" t="n"/>
      <c r="L782" s="626" t="n"/>
      <c r="M782" s="627" t="n"/>
      <c r="N782" s="627" t="n"/>
      <c r="O782" s="632" t="n"/>
      <c r="P782" s="632" t="n"/>
      <c r="Q782" s="632" t="n"/>
      <c r="R782" s="632" t="n"/>
      <c r="S782" s="334" t="n"/>
      <c r="T782" s="627" t="n"/>
      <c r="U782" s="627" t="n"/>
      <c r="V782" s="627" t="n"/>
      <c r="W782" s="627" t="n"/>
      <c r="X782" s="627" t="n"/>
      <c r="Y782" s="627" t="n"/>
      <c r="Z782" s="627" t="n"/>
      <c r="AA782" s="627" t="n"/>
      <c r="AB782" s="627" t="n"/>
      <c r="AC782" s="627" t="n"/>
      <c r="AD782" s="627" t="n"/>
      <c r="AE782" s="627" t="n"/>
      <c r="AF782" s="239" t="n"/>
      <c r="AG782" s="239" t="n"/>
      <c r="AH782" s="243" t="n"/>
      <c r="AI782" s="239" t="n"/>
      <c r="AJ782" s="239" t="n"/>
    </row>
    <row r="783" ht="23.25" customHeight="1" s="397">
      <c r="A783" s="465" t="inlineStr">
        <is>
          <t>សេចក្តីធានាអះអាងរបស់មន្ត្រីសវនករទទួលបន្ទុក៖
លទ្ធផលនៃការផ្ទៀងផ្ទាត់វិក្កយបត្រអាករ (Invoice Cross-check) ខាងលើ ពិតជាត្រឹមត្រូវតាមការប្រកាសរបស់អ្នកផ្គត់ផ្គង់ពិតប្រាកដមែន។</t>
        </is>
      </c>
    </row>
    <row r="784"/>
    <row r="785"/>
    <row r="786" ht="24.6" customHeight="1" s="397">
      <c r="A786" s="461" t="inlineStr">
        <is>
          <t>រាជធានីភ្នំពេញ.ថ្ងៃទី         ខែ                   ឆ្នាំ២០២៥</t>
        </is>
      </c>
    </row>
    <row r="787">
      <c r="A787" s="434" t="inlineStr">
        <is>
          <t>មន្ត្រីសវនកម្ម</t>
        </is>
      </c>
      <c r="F787" s="431" t="inlineStr">
        <is>
          <t>បានឃើញ និងឯកភាព</t>
        </is>
      </c>
      <c r="L787" s="375" t="n"/>
    </row>
    <row r="788">
      <c r="A788" s="203" t="n"/>
      <c r="D788" s="203" t="n"/>
      <c r="E788" s="203" t="n"/>
      <c r="F788" s="433" t="inlineStr">
        <is>
          <t>រាជធានីភ្នំពេញ.ថ្ងៃទី         ខែ                   ឆ្នាំ២០២៥</t>
        </is>
      </c>
    </row>
    <row r="789">
      <c r="F789" s="434" t="inlineStr">
        <is>
          <t>ប្រធានការិយាល័យ</t>
        </is>
      </c>
    </row>
    <row r="790" ht="27" customHeight="1" s="397">
      <c r="A790" s="431">
        <f>'Company information'!C9</f>
        <v/>
      </c>
      <c r="C790" s="432">
        <f>'Company information'!D9</f>
        <v/>
      </c>
    </row>
    <row r="791">
      <c r="D791" s="635" t="n"/>
    </row>
  </sheetData>
  <autoFilter ref="A9:AO758"/>
  <mergeCells count="40">
    <mergeCell ref="F788:K788"/>
    <mergeCell ref="A7:A8"/>
    <mergeCell ref="R7:R8"/>
    <mergeCell ref="Z7:Z8"/>
    <mergeCell ref="A787:E787"/>
    <mergeCell ref="A3:L3"/>
    <mergeCell ref="W7:Y7"/>
    <mergeCell ref="S7:S8"/>
    <mergeCell ref="U7:U8"/>
    <mergeCell ref="A2:L2"/>
    <mergeCell ref="F789:K789"/>
    <mergeCell ref="J6:K6"/>
    <mergeCell ref="D7:D8"/>
    <mergeCell ref="C790:E790"/>
    <mergeCell ref="J7:J8"/>
    <mergeCell ref="AG7:AG8"/>
    <mergeCell ref="P7:P8"/>
    <mergeCell ref="R5:S6"/>
    <mergeCell ref="A764:A770"/>
    <mergeCell ref="AA7:AB7"/>
    <mergeCell ref="L5:Q6"/>
    <mergeCell ref="C7:C8"/>
    <mergeCell ref="T7:T8"/>
    <mergeCell ref="V7:V8"/>
    <mergeCell ref="K7:K8"/>
    <mergeCell ref="AC7:AC8"/>
    <mergeCell ref="O7:O8"/>
    <mergeCell ref="A790:B790"/>
    <mergeCell ref="AF7:AF8"/>
    <mergeCell ref="Q7:Q8"/>
    <mergeCell ref="T5:AJ6"/>
    <mergeCell ref="AD7:AE7"/>
    <mergeCell ref="F787:K787"/>
    <mergeCell ref="E7:F7"/>
    <mergeCell ref="A1:L1"/>
    <mergeCell ref="A783:E785"/>
    <mergeCell ref="B7:B8"/>
    <mergeCell ref="A786:E786"/>
    <mergeCell ref="L7:L8"/>
    <mergeCell ref="G7:I7"/>
  </mergeCells>
  <conditionalFormatting sqref="B763:B765">
    <cfRule type="duplicateValues" priority="12" dxfId="0"/>
  </conditionalFormatting>
  <conditionalFormatting sqref="B766:B769">
    <cfRule type="duplicateValues" priority="13" dxfId="0"/>
  </conditionalFormatting>
  <conditionalFormatting sqref="B770:B775">
    <cfRule type="duplicateValues" priority="1044" dxfId="0"/>
  </conditionalFormatting>
  <conditionalFormatting sqref="B776">
    <cfRule type="duplicateValues" priority="9" dxfId="0"/>
  </conditionalFormatting>
  <conditionalFormatting sqref="B777">
    <cfRule type="duplicateValues" priority="15" dxfId="0"/>
  </conditionalFormatting>
  <conditionalFormatting sqref="B778">
    <cfRule type="duplicateValues" priority="7" dxfId="0"/>
  </conditionalFormatting>
  <conditionalFormatting sqref="B779:B780">
    <cfRule type="duplicateValues" priority="8" dxfId="0"/>
  </conditionalFormatting>
  <conditionalFormatting sqref="B781">
    <cfRule type="duplicateValues" priority="2" dxfId="0"/>
  </conditionalFormatting>
  <conditionalFormatting sqref="E759">
    <cfRule type="duplicateValues" priority="1043" dxfId="0"/>
  </conditionalFormatting>
  <printOptions horizontalCentered="1"/>
  <pageMargins left="0.2" right="0.2" top="0.5" bottom="0.45" header="0" footer="0"/>
  <pageSetup orientation="portrait" paperSize="9" scale="48" fitToHeight="0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29"/>
  <sheetViews>
    <sheetView view="pageBreakPreview" zoomScale="70" zoomScaleNormal="100" zoomScaleSheetLayoutView="70" workbookViewId="0">
      <selection activeCell="D13" sqref="D13"/>
    </sheetView>
  </sheetViews>
  <sheetFormatPr baseColWidth="8" defaultColWidth="9.109375" defaultRowHeight="25.2"/>
  <cols>
    <col width="12.33203125" customWidth="1" style="294" min="1" max="1"/>
    <col width="41.44140625" customWidth="1" style="294" min="2" max="2"/>
    <col width="31.5546875" customWidth="1" style="294" min="3" max="3"/>
    <col width="28.88671875" customWidth="1" style="294" min="4" max="4"/>
    <col width="25.5546875" bestFit="1" customWidth="1" style="294" min="5" max="5"/>
    <col width="9.109375" customWidth="1" style="194" min="6" max="8"/>
    <col width="17" bestFit="1" customWidth="1" style="194" min="9" max="9"/>
    <col width="9.109375" customWidth="1" style="194" min="10" max="16384"/>
  </cols>
  <sheetData>
    <row r="1" ht="22.8" customFormat="1" customHeight="1" s="208">
      <c r="A1" s="412" t="inlineStr">
        <is>
          <t>តារាងឧបសម្ព័ន្ធ  IV</t>
        </is>
      </c>
    </row>
    <row r="2" ht="22.8" customFormat="1" customHeight="1" s="208">
      <c r="A2" s="412" t="inlineStr">
        <is>
          <t>បញ្ជាក់អំពីការលក់</t>
        </is>
      </c>
    </row>
    <row r="3" ht="22.8" customFormat="1" customHeight="1" s="208">
      <c r="A3" s="412" t="inlineStr">
        <is>
          <t>(ការនាំចេញ/លក់បន្ទុករដ្ឋ/លក់តាមអត្រា០%)</t>
        </is>
      </c>
    </row>
    <row r="4" ht="22.8" customFormat="1" customHeight="1" s="208">
      <c r="A4" s="292" t="inlineStr">
        <is>
          <t>ក្រុមហ៊ុន៖</t>
        </is>
      </c>
      <c r="B4" s="205">
        <f>'Company information'!D2</f>
        <v/>
      </c>
      <c r="C4" s="206" t="n"/>
      <c r="D4" s="636" t="inlineStr">
        <is>
          <t xml:space="preserve">សវនករពន្ធដារ៖ </t>
        </is>
      </c>
      <c r="E4" s="559">
        <f>'Company information'!D8</f>
        <v/>
      </c>
    </row>
    <row r="5" ht="22.8" customFormat="1" customHeight="1" s="208">
      <c r="A5" s="211" t="inlineStr">
        <is>
          <t>លេខ អតប ៖</t>
        </is>
      </c>
      <c r="B5" s="205">
        <f>'Company information'!D4</f>
        <v/>
      </c>
      <c r="C5" s="206" t="n"/>
      <c r="D5" s="206" t="n"/>
      <c r="E5" s="559">
        <f>'Company information'!E8</f>
        <v/>
      </c>
    </row>
    <row r="6" ht="22.8" customFormat="1" customHeight="1" s="208">
      <c r="A6" s="560">
        <f>'Company information'!H8</f>
        <v/>
      </c>
      <c r="B6" s="205" t="n"/>
      <c r="D6" s="637" t="inlineStr">
        <is>
          <t>ទឹកប្រាក់ស្នើសុំបង្វិលសងចំនួន៖</t>
        </is>
      </c>
      <c r="E6" s="562">
        <f>'Company information'!H9</f>
        <v/>
      </c>
    </row>
    <row r="7">
      <c r="A7" s="413" t="inlineStr">
        <is>
          <t>ល.រ</t>
        </is>
      </c>
      <c r="B7" s="413" t="inlineStr">
        <is>
          <t>បរិយាយ</t>
        </is>
      </c>
      <c r="C7" s="413" t="inlineStr">
        <is>
          <t>ប្រតិវេទន៍គយនាំចេញ/វិក្កយបត្រ</t>
        </is>
      </c>
      <c r="D7" s="563" t="n"/>
      <c r="E7" s="413" t="inlineStr">
        <is>
          <t>តម្លៃជារៀល</t>
        </is>
      </c>
    </row>
    <row r="8">
      <c r="A8" s="564" t="n"/>
      <c r="B8" s="564" t="n"/>
      <c r="C8" s="413" t="inlineStr">
        <is>
          <t>លេខ</t>
        </is>
      </c>
      <c r="D8" s="413" t="inlineStr">
        <is>
          <t>ចុះថ្ងៃទី ខែ ឆ្នាំ</t>
        </is>
      </c>
      <c r="E8" s="564" t="n"/>
    </row>
    <row r="9" ht="24" customFormat="1" customHeight="1" s="2">
      <c r="A9" s="275" t="n"/>
      <c r="B9" s="296" t="n"/>
      <c r="C9" s="567" t="n"/>
      <c r="D9" s="565" t="n"/>
      <c r="E9" s="568" t="n"/>
    </row>
    <row r="10" ht="24" customFormat="1" customHeight="1" s="2">
      <c r="A10" s="275" t="n"/>
      <c r="B10" s="276" t="n"/>
      <c r="C10" s="567" t="n"/>
      <c r="D10" s="565" t="n"/>
      <c r="E10" s="568" t="n"/>
    </row>
    <row r="11" ht="24" customFormat="1" customHeight="1" s="2">
      <c r="A11" s="275" t="n"/>
      <c r="B11" s="276" t="n"/>
      <c r="C11" s="567" t="n"/>
      <c r="D11" s="565" t="n"/>
      <c r="E11" s="568" t="n"/>
    </row>
    <row r="12" ht="24" customFormat="1" customHeight="1" s="2">
      <c r="A12" s="275" t="n"/>
      <c r="B12" s="276" t="n"/>
      <c r="C12" s="567" t="n"/>
      <c r="D12" s="565" t="n"/>
      <c r="E12" s="568" t="n"/>
    </row>
    <row r="13" ht="24" customFormat="1" customHeight="1" s="2">
      <c r="A13" s="275" t="n"/>
      <c r="B13" s="276" t="n"/>
      <c r="C13" s="567" t="n"/>
      <c r="D13" s="565" t="n"/>
      <c r="E13" s="568" t="n"/>
    </row>
    <row r="14" ht="24" customFormat="1" customHeight="1" s="2">
      <c r="A14" s="275" t="n"/>
      <c r="B14" s="276" t="n"/>
      <c r="C14" s="567" t="n"/>
      <c r="D14" s="565" t="n"/>
      <c r="E14" s="568" t="n"/>
    </row>
    <row r="15" ht="24" customFormat="1" customHeight="1" s="2">
      <c r="A15" s="275" t="n"/>
      <c r="B15" s="276" t="n"/>
      <c r="C15" s="567" t="n"/>
      <c r="D15" s="565" t="n"/>
      <c r="E15" s="568" t="n"/>
    </row>
    <row r="16" ht="24" customFormat="1" customHeight="1" s="2">
      <c r="A16" s="275" t="n"/>
      <c r="B16" s="276" t="n"/>
      <c r="C16" s="567" t="n"/>
      <c r="D16" s="565" t="n"/>
      <c r="E16" s="568" t="n"/>
    </row>
    <row r="17" ht="24" customFormat="1" customHeight="1" s="2">
      <c r="A17" s="275" t="n"/>
      <c r="B17" s="276" t="n"/>
      <c r="C17" s="567" t="n"/>
      <c r="D17" s="565" t="n"/>
      <c r="E17" s="568" t="n"/>
    </row>
    <row r="18" ht="24" customFormat="1" customHeight="1" s="2">
      <c r="A18" s="275" t="n"/>
      <c r="B18" s="276" t="n"/>
      <c r="C18" s="567" t="n"/>
      <c r="D18" s="565" t="n"/>
      <c r="E18" s="568" t="n"/>
    </row>
    <row r="19" ht="24" customFormat="1" customHeight="1" s="2">
      <c r="A19" s="275" t="n"/>
      <c r="B19" s="276" t="n"/>
      <c r="C19" s="567" t="n"/>
      <c r="D19" s="565" t="n"/>
      <c r="E19" s="568" t="n"/>
    </row>
    <row r="20" ht="24" customFormat="1" customHeight="1" s="2">
      <c r="A20" s="275" t="n"/>
      <c r="B20" s="276" t="n"/>
      <c r="C20" s="567" t="n"/>
      <c r="D20" s="565" t="n"/>
      <c r="E20" s="568" t="n"/>
    </row>
    <row r="21" ht="24" customFormat="1" customHeight="1" s="2">
      <c r="A21" s="275" t="n"/>
      <c r="B21" s="276" t="n"/>
      <c r="C21" s="567" t="n"/>
      <c r="D21" s="565" t="n"/>
      <c r="E21" s="568" t="n"/>
    </row>
    <row r="22">
      <c r="A22" s="638" t="inlineStr">
        <is>
          <t>ទឹកប្រាក់សរុបចំនួន</t>
        </is>
      </c>
      <c r="B22" s="574" t="n"/>
      <c r="C22" s="574" t="n"/>
      <c r="D22" s="563" t="n"/>
      <c r="E22" s="639">
        <f>SUM(E10:E21)</f>
        <v/>
      </c>
      <c r="I22" s="640">
        <f>E22+'Annex V-Local Sale'!G12*10</f>
        <v/>
      </c>
    </row>
    <row r="24">
      <c r="D24" s="411" t="inlineStr">
        <is>
          <t>រាជធានីភ្នំពេញ.ថ្ងៃទី            ខែ          ឆ្នាំ</t>
        </is>
      </c>
    </row>
    <row r="25">
      <c r="D25" s="411" t="inlineStr">
        <is>
          <t>មន្ត្រីសវនកម្ម</t>
        </is>
      </c>
    </row>
    <row r="26">
      <c r="E26" s="208" t="n"/>
    </row>
    <row r="27">
      <c r="E27" s="208" t="n"/>
    </row>
    <row r="28">
      <c r="D28" s="290">
        <f>'Company information'!D9</f>
        <v/>
      </c>
      <c r="E28" s="641">
        <f>'Company information'!E9</f>
        <v/>
      </c>
    </row>
    <row r="29">
      <c r="E29" s="291" t="n"/>
    </row>
  </sheetData>
  <autoFilter ref="A9:I21"/>
  <mergeCells count="10">
    <mergeCell ref="D25:E25"/>
    <mergeCell ref="D24:E24"/>
    <mergeCell ref="C7:D7"/>
    <mergeCell ref="A2:E2"/>
    <mergeCell ref="A22:D22"/>
    <mergeCell ref="A7:A8"/>
    <mergeCell ref="B7:B8"/>
    <mergeCell ref="A1:E1"/>
    <mergeCell ref="E7:E8"/>
    <mergeCell ref="A3:E3"/>
  </mergeCells>
  <printOptions horizontalCentered="1"/>
  <pageMargins left="0.1" right="0.1" top="0.25" bottom="0.5" header="0.47" footer="0.3"/>
  <pageSetup orientation="portrait" paperSize="9" scale="73" fitToHeight="0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N23"/>
  <sheetViews>
    <sheetView view="pageBreakPreview" zoomScale="55" zoomScaleNormal="100" zoomScaleSheetLayoutView="55" workbookViewId="0">
      <selection activeCell="H6" sqref="H6"/>
    </sheetView>
  </sheetViews>
  <sheetFormatPr baseColWidth="8" defaultColWidth="9.109375" defaultRowHeight="45.6"/>
  <cols>
    <col width="13.44140625" customWidth="1" style="302" min="1" max="1"/>
    <col width="39.33203125" customWidth="1" style="303" min="2" max="2"/>
    <col width="19.109375" customWidth="1" style="269" min="3" max="3"/>
    <col width="14.33203125" customWidth="1" style="269" min="4" max="4"/>
    <col width="19.6640625" customWidth="1" style="269" min="5" max="5"/>
    <col width="18.6640625" customWidth="1" style="269" min="6" max="7"/>
    <col width="22.109375" customWidth="1" style="269" min="8" max="8"/>
    <col width="9.109375" customWidth="1" style="405" min="9" max="12"/>
    <col width="29.88671875" customWidth="1" style="405" min="13" max="13"/>
    <col width="9.109375" customWidth="1" style="405" min="14" max="16384"/>
  </cols>
  <sheetData>
    <row r="1" ht="24.6" customFormat="1" customHeight="1" s="314">
      <c r="A1" s="471" t="inlineStr">
        <is>
          <t>តារាងឧបសម្ព័ន្ធ V</t>
        </is>
      </c>
      <c r="I1" s="312" t="n"/>
      <c r="J1" s="312" t="n"/>
    </row>
    <row r="2" ht="24.6" customFormat="1" customHeight="1" s="314">
      <c r="A2" s="471" t="inlineStr">
        <is>
          <t>បញ្ជាក់អំពីអាករលើធាតុចេញ</t>
        </is>
      </c>
      <c r="I2" s="312" t="n"/>
      <c r="J2" s="312" t="n"/>
    </row>
    <row r="3" ht="24.6" customFormat="1" customHeight="1" s="314">
      <c r="A3" s="471" t="inlineStr">
        <is>
          <t>( ការលក់ក្នុងស្រុក )</t>
        </is>
      </c>
      <c r="I3" s="312" t="n"/>
      <c r="J3" s="312" t="n"/>
    </row>
    <row r="4" ht="24.6" customFormat="1" customHeight="1" s="314">
      <c r="A4" s="315" t="inlineStr">
        <is>
          <t>ក្រុមហ៊ុន៖</t>
        </is>
      </c>
      <c r="B4" s="316">
        <f>'Company information'!D2</f>
        <v/>
      </c>
      <c r="C4" s="317" t="n"/>
      <c r="D4" s="317" t="n"/>
      <c r="E4" s="318" t="n"/>
      <c r="G4" s="642" t="inlineStr">
        <is>
          <t xml:space="preserve">សវនករពន្ធដារ៖ </t>
        </is>
      </c>
      <c r="H4" s="592">
        <f>'Company information'!D8</f>
        <v/>
      </c>
    </row>
    <row r="5" ht="24.6" customFormat="1" customHeight="1" s="314">
      <c r="A5" s="321" t="inlineStr">
        <is>
          <t>លេខ អតប ៖</t>
        </is>
      </c>
      <c r="B5" s="316">
        <f>'Company information'!D4</f>
        <v/>
      </c>
      <c r="C5" s="317" t="n"/>
      <c r="D5" s="317" t="n"/>
      <c r="E5" s="318" t="n"/>
      <c r="F5" s="317" t="n"/>
      <c r="G5" s="590" t="n"/>
      <c r="H5" s="592">
        <f>'Company information'!E8</f>
        <v/>
      </c>
    </row>
    <row r="6" ht="24.6" customFormat="1" customHeight="1" s="314">
      <c r="A6" s="597">
        <f>'Company information'!H8</f>
        <v/>
      </c>
      <c r="B6" s="316" t="n"/>
      <c r="D6" s="317" t="n"/>
      <c r="E6" s="318" t="n"/>
      <c r="F6" s="643" t="inlineStr">
        <is>
          <t>ទឹកប្រាក់ស្នើសុំបង្វិលសងចំនួន៖</t>
        </is>
      </c>
      <c r="H6" s="644">
        <f>'Company information'!H9</f>
        <v/>
      </c>
      <c r="J6" s="645" t="n"/>
    </row>
    <row r="7" ht="25.2" customFormat="1" customHeight="1" s="194">
      <c r="A7" s="418" t="inlineStr">
        <is>
          <t>ល.រ</t>
        </is>
      </c>
      <c r="B7" s="418" t="inlineStr">
        <is>
          <t>បរិយាយ</t>
        </is>
      </c>
      <c r="C7" s="418" t="inlineStr">
        <is>
          <t>វិក្កយបត្រ</t>
        </is>
      </c>
      <c r="D7" s="563" t="n"/>
      <c r="E7" s="418" t="inlineStr">
        <is>
          <t>អាករតម្លៃ (ដុល្លា)</t>
        </is>
      </c>
      <c r="F7" s="418" t="inlineStr">
        <is>
          <t>អត្រាប្តូរប្រាក់</t>
        </is>
      </c>
      <c r="G7" s="418" t="inlineStr">
        <is>
          <t>អាករតម្លៃ (រៀល)</t>
        </is>
      </c>
      <c r="H7" s="418" t="inlineStr">
        <is>
          <t>ផ្សេងៗ</t>
        </is>
      </c>
    </row>
    <row r="8" ht="25.2" customFormat="1" customHeight="1" s="194">
      <c r="A8" s="564" t="n"/>
      <c r="B8" s="564" t="n"/>
      <c r="C8" s="418" t="inlineStr">
        <is>
          <t>លេខ</t>
        </is>
      </c>
      <c r="D8" s="418" t="inlineStr">
        <is>
          <t>ថ្ងៃ ខែ ឆ្នាំ</t>
        </is>
      </c>
      <c r="E8" s="564" t="n"/>
      <c r="F8" s="564" t="n"/>
      <c r="G8" s="564" t="n"/>
      <c r="H8" s="564" t="n"/>
    </row>
    <row r="9" ht="25.2" customFormat="1" customHeight="1" s="194">
      <c r="A9" s="260" t="n"/>
      <c r="B9" s="260" t="n"/>
      <c r="C9" s="260" t="n"/>
      <c r="D9" s="260" t="n"/>
      <c r="E9" s="260" t="n"/>
      <c r="F9" s="260" t="n"/>
      <c r="G9" s="260" t="n"/>
      <c r="H9" s="260" t="n"/>
    </row>
    <row r="10" ht="25.2" customFormat="1" customHeight="1" s="194">
      <c r="A10" s="260" t="n"/>
      <c r="B10" s="260" t="n"/>
      <c r="C10" s="260" t="n"/>
      <c r="D10" s="344" t="n"/>
      <c r="E10" s="260" t="n"/>
      <c r="F10" s="260" t="n"/>
      <c r="G10" s="646" t="n"/>
      <c r="H10" s="260" t="n"/>
    </row>
    <row r="11" ht="24" customFormat="1" customHeight="1" s="2">
      <c r="A11" s="260" t="n"/>
      <c r="B11" s="271" t="n"/>
      <c r="C11" s="647" t="n"/>
      <c r="D11" s="648" t="n"/>
      <c r="E11" s="273" t="n"/>
      <c r="F11" s="300" t="n"/>
      <c r="G11" s="273" t="n"/>
      <c r="H11" s="583" t="n"/>
    </row>
    <row r="12" ht="28.2" customFormat="1" customHeight="1" s="403">
      <c r="A12" s="470" t="inlineStr">
        <is>
          <t>សរុបអាករលើការលក់ក្នុងស្រុក</t>
        </is>
      </c>
      <c r="B12" s="574" t="n"/>
      <c r="C12" s="574" t="n"/>
      <c r="D12" s="574" t="n"/>
      <c r="E12" s="574" t="n"/>
      <c r="F12" s="563" t="n"/>
      <c r="G12" s="575">
        <f>SUM(G10:G10)</f>
        <v/>
      </c>
      <c r="H12" s="576" t="n"/>
    </row>
    <row r="13" ht="22.8" customFormat="1" customHeight="1" s="403">
      <c r="A13" s="290" t="n"/>
      <c r="B13" s="290" t="n"/>
      <c r="C13" s="290" t="n"/>
      <c r="D13" s="290" t="n"/>
      <c r="E13" s="290" t="n"/>
      <c r="F13" s="290" t="n"/>
      <c r="G13" s="290" t="n"/>
      <c r="H13" s="290" t="n"/>
      <c r="L13" s="403" t="n"/>
      <c r="M13" s="403" t="n"/>
      <c r="N13" s="403" t="n"/>
    </row>
    <row r="14" ht="27.6" customFormat="1" customHeight="1" s="403">
      <c r="A14" s="290" t="n"/>
      <c r="B14" s="290" t="n"/>
      <c r="C14" s="290" t="n"/>
      <c r="D14" s="290" t="n"/>
      <c r="E14" s="290" t="n"/>
      <c r="F14" s="290" t="n"/>
      <c r="G14" s="410" t="inlineStr">
        <is>
          <t>រាជធានីភ្នំពេញ.ថ្ងៃទី            ខែ          ឆ្នាំ</t>
        </is>
      </c>
      <c r="H14" s="290" t="n"/>
      <c r="I14" s="201" t="n"/>
      <c r="J14" s="201" t="n"/>
      <c r="L14" s="403" t="n"/>
      <c r="M14" s="403" t="n"/>
      <c r="N14" s="403" t="n"/>
    </row>
    <row r="15" ht="27.6" customFormat="1" customHeight="1" s="403">
      <c r="A15" s="290" t="n"/>
      <c r="B15" s="290" t="n"/>
      <c r="C15" s="290" t="n"/>
      <c r="D15" s="290" t="n"/>
      <c r="E15" s="290" t="n"/>
      <c r="F15" s="290" t="n"/>
      <c r="G15" s="410" t="inlineStr">
        <is>
          <t>មន្ត្រីសវនកម្ម</t>
        </is>
      </c>
      <c r="H15" s="290" t="n"/>
      <c r="I15" s="201" t="n"/>
      <c r="J15" s="201" t="n"/>
      <c r="L15" s="403" t="n"/>
      <c r="M15" s="403" t="n"/>
      <c r="N15" s="403" t="n"/>
    </row>
    <row r="16" ht="27.6" customFormat="1" customHeight="1" s="403">
      <c r="A16" s="290" t="n"/>
      <c r="B16" s="290" t="n"/>
      <c r="C16" s="290" t="n"/>
      <c r="D16" s="290" t="n"/>
      <c r="E16" s="290" t="n"/>
      <c r="F16" s="290" t="n"/>
      <c r="G16" s="208" t="n"/>
      <c r="H16" s="208" t="n"/>
      <c r="I16" s="649" t="n"/>
      <c r="J16" s="198" t="n"/>
      <c r="L16" s="403" t="n"/>
      <c r="M16" s="404" t="n"/>
      <c r="N16" s="403" t="n"/>
    </row>
    <row r="17" ht="27.6" customFormat="1" customHeight="1" s="403">
      <c r="A17" s="290" t="n"/>
      <c r="B17" s="290" t="n"/>
      <c r="C17" s="290" t="n"/>
      <c r="D17" s="290" t="n"/>
      <c r="E17" s="290" t="n"/>
      <c r="F17" s="290" t="n"/>
      <c r="G17" s="208" t="n"/>
      <c r="H17" s="208" t="n"/>
      <c r="I17" s="649" t="n"/>
      <c r="J17" s="198" t="n"/>
      <c r="L17" s="403" t="n"/>
      <c r="M17" s="404" t="n"/>
      <c r="N17" s="403" t="n"/>
    </row>
    <row r="18" ht="27.6" customFormat="1" customHeight="1" s="403">
      <c r="A18" s="290" t="n"/>
      <c r="B18" s="290" t="n"/>
      <c r="C18" s="290" t="n"/>
      <c r="D18" s="290" t="n"/>
      <c r="E18" s="290" t="n"/>
      <c r="F18" s="410">
        <f>'Company information'!D9</f>
        <v/>
      </c>
      <c r="G18" s="410" t="n"/>
      <c r="H18" s="410">
        <f>'Company information'!E9</f>
        <v/>
      </c>
      <c r="I18" s="201" t="n"/>
      <c r="J18" s="201" t="n"/>
      <c r="L18" s="403" t="n"/>
      <c r="M18" s="404" t="n"/>
      <c r="N18" s="403" t="n"/>
    </row>
    <row r="19">
      <c r="L19" s="405" t="n"/>
      <c r="M19" s="404" t="n"/>
      <c r="N19" s="405" t="n"/>
    </row>
    <row r="20">
      <c r="L20" s="405" t="n"/>
      <c r="M20" s="404" t="n"/>
      <c r="N20" s="405" t="n"/>
    </row>
    <row r="21">
      <c r="L21" s="405" t="n"/>
      <c r="M21" s="404" t="n"/>
      <c r="N21" s="405" t="n"/>
    </row>
    <row r="22">
      <c r="L22" s="405" t="n"/>
      <c r="M22" s="405" t="n"/>
      <c r="N22" s="405" t="n"/>
    </row>
    <row r="23">
      <c r="L23" s="405" t="n"/>
      <c r="M23" s="405" t="n"/>
      <c r="N23" s="405" t="n"/>
    </row>
  </sheetData>
  <mergeCells count="11">
    <mergeCell ref="A3:H3"/>
    <mergeCell ref="C7:D7"/>
    <mergeCell ref="A2:H2"/>
    <mergeCell ref="A7:A8"/>
    <mergeCell ref="G7:G8"/>
    <mergeCell ref="B7:B8"/>
    <mergeCell ref="E7:E8"/>
    <mergeCell ref="A12:F12"/>
    <mergeCell ref="F7:F8"/>
    <mergeCell ref="A1:H1"/>
    <mergeCell ref="H7:H8"/>
  </mergeCells>
  <printOptions horizontalCentered="1"/>
  <pageMargins left="0.2" right="0.2" top="0.25" bottom="0.45" header="0.3" footer="0.3"/>
  <pageSetup orientation="portrait" paperSize="9" scale="61" fitToHeight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O28"/>
  <sheetViews>
    <sheetView zoomScale="40" zoomScaleNormal="40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C25" sqref="C25"/>
    </sheetView>
  </sheetViews>
  <sheetFormatPr baseColWidth="8" defaultColWidth="8.88671875" defaultRowHeight="22.8"/>
  <cols>
    <col width="8.88671875" customWidth="1" style="307" min="1" max="2"/>
    <col width="48.33203125" bestFit="1" customWidth="1" style="308" min="3" max="3"/>
    <col width="22.109375" customWidth="1" style="308" min="4" max="4"/>
    <col width="11" bestFit="1" customWidth="1" style="308" min="5" max="10"/>
    <col width="12.44140625" bestFit="1" customWidth="1" style="308" min="11" max="11"/>
    <col width="10.6640625" bestFit="1" customWidth="1" style="308" min="12" max="12"/>
    <col width="10.44140625" bestFit="1" customWidth="1" style="308" min="13" max="13"/>
    <col width="10.88671875" bestFit="1" customWidth="1" style="308" min="14" max="15"/>
    <col width="11" bestFit="1" customWidth="1" style="308" min="16" max="16"/>
    <col width="10.6640625" bestFit="1" customWidth="1" style="308" min="17" max="17"/>
    <col width="11.88671875" bestFit="1" customWidth="1" style="308" min="18" max="18"/>
    <col width="10.88671875" bestFit="1" customWidth="1" style="308" min="19" max="20"/>
    <col width="10.6640625" bestFit="1" customWidth="1" style="308" min="21" max="24"/>
    <col width="10.88671875" bestFit="1" customWidth="1" style="308" min="25" max="25"/>
    <col width="10.44140625" bestFit="1" customWidth="1" style="308" min="26" max="26"/>
    <col width="13.5546875" bestFit="1" customWidth="1" style="307" min="27" max="27"/>
    <col width="10.5546875" bestFit="1" customWidth="1" style="307" min="28" max="28"/>
    <col width="10.88671875" bestFit="1" customWidth="1" style="307" min="29" max="29"/>
    <col width="10.6640625" bestFit="1" customWidth="1" style="307" min="30" max="31"/>
    <col width="11" bestFit="1" customWidth="1" style="307" min="32" max="32"/>
    <col width="10.5546875" bestFit="1" customWidth="1" style="307" min="33" max="33"/>
    <col width="10.6640625" bestFit="1" customWidth="1" style="307" min="34" max="34"/>
    <col width="11" bestFit="1" customWidth="1" style="307" min="35" max="35"/>
    <col width="10.6640625" bestFit="1" customWidth="1" style="307" min="36" max="36"/>
    <col width="11.88671875" bestFit="1" customWidth="1" style="307" min="37" max="37"/>
    <col width="10.6640625" bestFit="1" customWidth="1" style="307" min="38" max="38"/>
    <col width="10.5546875" bestFit="1" customWidth="1" style="307" min="39" max="39"/>
    <col width="10.6640625" bestFit="1" customWidth="1" style="307" min="40" max="40"/>
    <col width="11" bestFit="1" customWidth="1" style="307" min="41" max="41"/>
    <col width="10.6640625" bestFit="1" customWidth="1" style="307" min="42" max="42"/>
    <col width="10.88671875" bestFit="1" customWidth="1" style="307" min="43" max="43"/>
    <col width="9" bestFit="1" customWidth="1" style="307" min="44" max="44"/>
    <col width="8.88671875" customWidth="1" style="307" min="45" max="64"/>
    <col width="10.88671875" bestFit="1" customWidth="1" style="307" min="65" max="65"/>
    <col width="8.88671875" customWidth="1" style="307" min="66" max="16384"/>
  </cols>
  <sheetData>
    <row r="1">
      <c r="A1" s="305" t="n"/>
      <c r="B1" s="305" t="n"/>
      <c r="C1" s="306" t="n"/>
      <c r="D1" s="307" t="n"/>
      <c r="E1" s="307" t="n"/>
      <c r="F1" s="307" t="n"/>
      <c r="G1" s="307" t="n"/>
      <c r="H1" s="307" t="n"/>
      <c r="I1" s="307" t="n"/>
      <c r="J1" s="307" t="n"/>
      <c r="K1" s="307" t="n"/>
      <c r="L1" s="307" t="n"/>
      <c r="M1" s="307" t="n"/>
      <c r="N1" s="307" t="n"/>
      <c r="O1" s="307" t="n"/>
      <c r="P1" s="307" t="n"/>
      <c r="Q1" s="307" t="n"/>
      <c r="R1" s="307" t="n"/>
      <c r="S1" s="307" t="n"/>
      <c r="T1" s="307" t="n"/>
      <c r="U1" s="307" t="n"/>
      <c r="V1" s="307" t="n"/>
      <c r="W1" s="307" t="n"/>
      <c r="X1" s="307" t="n"/>
      <c r="Y1" s="307" t="n"/>
      <c r="Z1" s="307" t="n"/>
    </row>
    <row r="2">
      <c r="D2" s="307" t="n"/>
      <c r="E2" s="307" t="n"/>
      <c r="F2" s="307" t="n"/>
      <c r="G2" s="307" t="n"/>
      <c r="H2" s="307" t="n"/>
      <c r="I2" s="307" t="n"/>
      <c r="J2" s="307" t="n"/>
      <c r="K2" s="307" t="n"/>
      <c r="L2" s="307" t="n"/>
      <c r="M2" s="307" t="n"/>
      <c r="N2" s="307" t="n"/>
      <c r="O2" s="307" t="n"/>
      <c r="P2" s="307" t="n"/>
      <c r="Q2" s="307" t="n"/>
      <c r="R2" s="307" t="n"/>
      <c r="S2" s="307" t="n"/>
      <c r="T2" s="307" t="n"/>
      <c r="U2" s="307" t="n"/>
      <c r="V2" s="307" t="n"/>
      <c r="W2" s="307" t="n"/>
      <c r="X2" s="307" t="n"/>
      <c r="Y2" s="307" t="n"/>
      <c r="Z2" s="307" t="n"/>
    </row>
    <row r="3">
      <c r="D3" s="307" t="n"/>
      <c r="E3" s="307" t="n"/>
      <c r="F3" s="307" t="n"/>
      <c r="G3" s="307" t="n"/>
      <c r="H3" s="307" t="n"/>
      <c r="I3" s="307" t="n"/>
      <c r="J3" s="307" t="n"/>
      <c r="K3" s="307" t="n"/>
      <c r="L3" s="307" t="n"/>
      <c r="M3" s="307" t="n"/>
      <c r="N3" s="307" t="n"/>
      <c r="O3" s="307" t="n"/>
      <c r="P3" s="307" t="n"/>
      <c r="Q3" s="307" t="n"/>
      <c r="R3" s="307" t="n"/>
      <c r="S3" s="307" t="n"/>
      <c r="T3" s="307" t="n"/>
      <c r="U3" s="307" t="n"/>
      <c r="V3" s="307" t="n"/>
      <c r="W3" s="307" t="n"/>
      <c r="X3" s="307" t="n"/>
      <c r="Y3" s="307" t="n"/>
      <c r="Z3" s="307" t="n"/>
    </row>
    <row r="4">
      <c r="B4" s="355" t="n"/>
      <c r="C4" s="308">
        <f>'Company information'!C7</f>
        <v/>
      </c>
      <c r="D4" s="307" t="n"/>
      <c r="E4" s="307" t="n"/>
      <c r="F4" s="307" t="n"/>
      <c r="G4" s="307" t="n"/>
      <c r="H4" s="307" t="n"/>
      <c r="I4" s="307" t="n"/>
      <c r="J4" s="307" t="n"/>
      <c r="K4" s="307" t="n"/>
      <c r="L4" s="307" t="n"/>
      <c r="M4" s="307" t="n"/>
      <c r="N4" s="307" t="n"/>
      <c r="O4" s="307" t="n"/>
      <c r="P4" s="307" t="n"/>
      <c r="Q4" s="307" t="n"/>
      <c r="R4" s="307" t="n"/>
      <c r="S4" s="307" t="n"/>
      <c r="T4" s="307" t="n"/>
      <c r="U4" s="307" t="n"/>
      <c r="V4" s="307" t="n"/>
      <c r="W4" s="307" t="n"/>
      <c r="X4" s="307" t="n"/>
      <c r="Y4" s="307" t="n"/>
      <c r="Z4" s="307" t="n"/>
    </row>
    <row r="5">
      <c r="B5" s="356" t="inlineStr">
        <is>
          <t>ល.រ</t>
        </is>
      </c>
      <c r="C5" s="357" t="inlineStr">
        <is>
          <t>ប្រភេទពន្ធ</t>
        </is>
      </c>
      <c r="D5" s="406" t="n"/>
      <c r="E5" s="406" t="n"/>
      <c r="F5" s="406" t="n"/>
      <c r="G5" s="406" t="n"/>
      <c r="H5" s="406" t="n"/>
      <c r="I5" s="406" t="n"/>
      <c r="J5" s="406" t="n"/>
      <c r="K5" s="406" t="n"/>
      <c r="L5" s="406" t="n"/>
      <c r="M5" s="406" t="n"/>
      <c r="N5" s="406" t="n"/>
      <c r="O5" s="406" t="n"/>
      <c r="P5" s="406" t="n"/>
      <c r="Q5" s="406" t="n"/>
      <c r="R5" s="406" t="n"/>
      <c r="S5" s="406" t="n"/>
      <c r="T5" s="406" t="n"/>
      <c r="U5" s="406" t="n"/>
      <c r="V5" s="406" t="n"/>
      <c r="W5" s="406" t="n"/>
      <c r="X5" s="406" t="n"/>
      <c r="Y5" s="307" t="n"/>
      <c r="Z5" s="307" t="n"/>
    </row>
    <row r="6">
      <c r="B6" s="354" t="n">
        <v>1</v>
      </c>
      <c r="C6" s="308" t="inlineStr">
        <is>
          <t>ពន្ធលើប្រាក់បៀវត្ស</t>
        </is>
      </c>
      <c r="D6" s="307" t="n"/>
      <c r="E6" s="307" t="n"/>
      <c r="F6" s="307" t="n"/>
      <c r="G6" s="307" t="n"/>
      <c r="H6" s="307" t="n"/>
      <c r="I6" s="307" t="n"/>
      <c r="J6" s="307" t="n"/>
      <c r="K6" s="307" t="n"/>
      <c r="L6" s="307" t="n"/>
      <c r="M6" s="307" t="n"/>
      <c r="N6" s="307" t="n"/>
      <c r="O6" s="307" t="n"/>
      <c r="P6" s="307" t="n"/>
      <c r="Q6" s="307" t="n"/>
      <c r="R6" s="307" t="n"/>
      <c r="S6" s="307" t="n"/>
      <c r="T6" s="307" t="n"/>
      <c r="U6" s="307" t="n"/>
      <c r="V6" s="307" t="n"/>
      <c r="W6" s="307" t="n"/>
      <c r="X6" s="307" t="n"/>
      <c r="Y6" s="307" t="n"/>
      <c r="Z6" s="307" t="n"/>
    </row>
    <row r="7">
      <c r="B7" s="354" t="n">
        <v>2</v>
      </c>
      <c r="C7" s="308" t="inlineStr">
        <is>
          <t>ពន្ធលើអត្ថប្រយោជន៍បន្ថែម</t>
        </is>
      </c>
      <c r="D7" s="307" t="n"/>
      <c r="E7" s="307" t="n"/>
      <c r="F7" s="307" t="n"/>
      <c r="G7" s="307" t="n"/>
      <c r="H7" s="307" t="n"/>
      <c r="I7" s="307" t="n"/>
      <c r="J7" s="307" t="n"/>
      <c r="K7" s="307" t="n"/>
      <c r="L7" s="307" t="n"/>
      <c r="M7" s="307" t="n"/>
      <c r="N7" s="307" t="n"/>
      <c r="O7" s="307" t="n"/>
      <c r="P7" s="307" t="n"/>
      <c r="Q7" s="307" t="n"/>
      <c r="R7" s="307" t="n"/>
      <c r="S7" s="307" t="n"/>
      <c r="T7" s="307" t="n"/>
      <c r="U7" s="307" t="n"/>
      <c r="V7" s="307" t="n"/>
      <c r="W7" s="307" t="n"/>
      <c r="X7" s="307" t="n"/>
      <c r="Y7" s="307" t="n"/>
      <c r="Z7" s="307" t="n"/>
    </row>
    <row r="8">
      <c r="B8" s="354" t="n">
        <v>3</v>
      </c>
      <c r="C8" s="308" t="inlineStr">
        <is>
          <t>ប្រាក់រំដោះពន្ធលើប្រាក់ចំណូល</t>
        </is>
      </c>
      <c r="D8" s="307" t="n"/>
      <c r="E8" s="307" t="n"/>
      <c r="F8" s="307" t="n"/>
      <c r="G8" s="307" t="n"/>
      <c r="H8" s="307" t="n"/>
      <c r="I8" s="307" t="n"/>
      <c r="J8" s="307" t="n"/>
      <c r="K8" s="307" t="n"/>
      <c r="L8" s="307" t="n"/>
      <c r="M8" s="307" t="n"/>
      <c r="N8" s="307" t="n"/>
      <c r="O8" s="307" t="n"/>
      <c r="P8" s="307" t="n"/>
      <c r="Q8" s="307" t="n"/>
      <c r="R8" s="307" t="n"/>
      <c r="S8" s="307" t="n"/>
      <c r="T8" s="307" t="n"/>
      <c r="U8" s="307" t="n"/>
      <c r="V8" s="307" t="n"/>
      <c r="W8" s="307" t="n"/>
      <c r="X8" s="307" t="n"/>
      <c r="Y8" s="307" t="n"/>
      <c r="Z8" s="307" t="n"/>
    </row>
    <row r="9">
      <c r="B9" s="354" t="n">
        <v>4</v>
      </c>
      <c r="C9" s="308" t="inlineStr">
        <is>
          <t>ពន្ធលើប្រាក់ចំណូលប្រចាំឆ្នាំ</t>
        </is>
      </c>
      <c r="D9" s="307" t="n"/>
      <c r="E9" s="307" t="n"/>
      <c r="F9" s="307" t="n"/>
      <c r="G9" s="307" t="n"/>
      <c r="H9" s="307" t="n"/>
      <c r="I9" s="307" t="n"/>
      <c r="J9" s="307" t="n"/>
      <c r="K9" s="307" t="n"/>
      <c r="L9" s="307" t="n"/>
      <c r="M9" s="307" t="n"/>
      <c r="N9" s="307" t="n"/>
      <c r="O9" s="307" t="n"/>
      <c r="P9" s="307" t="n"/>
      <c r="Q9" s="307" t="n"/>
      <c r="R9" s="307" t="n"/>
      <c r="S9" s="307" t="n"/>
      <c r="T9" s="307" t="n"/>
      <c r="U9" s="307" t="n"/>
      <c r="V9" s="307" t="n"/>
      <c r="W9" s="307" t="n"/>
      <c r="X9" s="307" t="n"/>
      <c r="Y9" s="307" t="n"/>
      <c r="Z9" s="307" t="n"/>
    </row>
    <row r="10">
      <c r="B10" s="354" t="n">
        <v>5</v>
      </c>
      <c r="C10" s="308" t="inlineStr">
        <is>
          <t>ពន្ធកាត់ទុកលើសេវាកម្ម ១៥%</t>
        </is>
      </c>
      <c r="D10" s="307" t="n"/>
      <c r="E10" s="307" t="n"/>
      <c r="F10" s="307" t="n"/>
      <c r="G10" s="307" t="n"/>
      <c r="H10" s="307" t="n"/>
      <c r="I10" s="307" t="n"/>
      <c r="J10" s="307" t="n"/>
      <c r="K10" s="307" t="n"/>
      <c r="L10" s="307" t="n"/>
      <c r="M10" s="307" t="n"/>
      <c r="N10" s="307" t="n"/>
      <c r="O10" s="307" t="n"/>
      <c r="P10" s="307" t="n"/>
      <c r="Q10" s="307" t="n"/>
      <c r="R10" s="307" t="n"/>
      <c r="S10" s="307" t="n"/>
      <c r="T10" s="307" t="n"/>
      <c r="U10" s="307" t="n"/>
      <c r="V10" s="307" t="n"/>
      <c r="W10" s="307" t="n"/>
      <c r="X10" s="307" t="n"/>
      <c r="Y10" s="307" t="n"/>
      <c r="Z10" s="307" t="n"/>
    </row>
    <row r="11" hidden="1" s="397">
      <c r="B11" s="354" t="n">
        <v>6</v>
      </c>
      <c r="C11" s="308" t="inlineStr">
        <is>
          <t>ពន្ធកាត់ទុកលើអនិវាសនជន(ការប្រាក់)</t>
        </is>
      </c>
      <c r="D11" s="307" t="n"/>
      <c r="E11" s="307" t="n"/>
      <c r="F11" s="307" t="n"/>
      <c r="G11" s="307" t="n"/>
      <c r="H11" s="307" t="n"/>
      <c r="I11" s="307" t="n"/>
      <c r="J11" s="307" t="n"/>
      <c r="K11" s="307" t="n"/>
      <c r="L11" s="307" t="n"/>
      <c r="M11" s="307" t="n"/>
      <c r="N11" s="307" t="n"/>
      <c r="O11" s="307" t="n"/>
      <c r="P11" s="307" t="n"/>
      <c r="Q11" s="307" t="n"/>
      <c r="R11" s="307" t="n"/>
      <c r="S11" s="307" t="n"/>
      <c r="T11" s="307" t="n"/>
      <c r="U11" s="307" t="n"/>
      <c r="V11" s="307" t="n"/>
      <c r="W11" s="307" t="n"/>
      <c r="X11" s="307" t="n"/>
      <c r="Y11" s="307" t="n"/>
      <c r="Z11" s="307" t="n"/>
    </row>
    <row r="12">
      <c r="B12" s="354" t="n">
        <v>7</v>
      </c>
      <c r="C12" s="308" t="inlineStr">
        <is>
          <t>ពន្ធកាត់ទុកលើអនិវាសនជន(សេវាគ្រប់គ្រង បច្ចេកទេស)</t>
        </is>
      </c>
      <c r="D12" s="307" t="n"/>
      <c r="E12" s="307" t="n"/>
      <c r="F12" s="307" t="n"/>
      <c r="G12" s="307" t="n"/>
      <c r="H12" s="307" t="n"/>
      <c r="I12" s="307" t="n"/>
      <c r="J12" s="307" t="n"/>
      <c r="K12" s="307" t="n"/>
      <c r="L12" s="307" t="n"/>
      <c r="M12" s="307" t="n"/>
      <c r="N12" s="307" t="n"/>
      <c r="O12" s="307" t="n"/>
      <c r="P12" s="307" t="n"/>
      <c r="Q12" s="307" t="n"/>
      <c r="R12" s="307" t="n"/>
      <c r="S12" s="307" t="n"/>
      <c r="T12" s="307" t="n"/>
      <c r="U12" s="307" t="n"/>
      <c r="V12" s="307" t="n"/>
      <c r="W12" s="307" t="n"/>
      <c r="X12" s="307" t="n"/>
      <c r="Y12" s="307" t="n"/>
      <c r="Z12" s="307" t="n"/>
    </row>
    <row r="13">
      <c r="B13" s="354" t="n">
        <v>8</v>
      </c>
      <c r="C13" s="308" t="inlineStr">
        <is>
          <t>ពន្ធកាត់ទុកលើអនិវាសនជន (ភាគលាភ)</t>
        </is>
      </c>
      <c r="D13" s="307" t="n"/>
      <c r="E13" s="307" t="n"/>
      <c r="F13" s="307" t="n"/>
      <c r="G13" s="307" t="n"/>
      <c r="H13" s="307" t="n"/>
      <c r="I13" s="307" t="n"/>
      <c r="J13" s="307" t="n"/>
      <c r="K13" s="307" t="n"/>
      <c r="L13" s="307" t="n"/>
      <c r="M13" s="307" t="n"/>
      <c r="N13" s="307" t="n"/>
      <c r="O13" s="307" t="n"/>
      <c r="P13" s="307" t="n"/>
      <c r="Q13" s="307" t="n"/>
      <c r="R13" s="307" t="n"/>
      <c r="S13" s="307" t="n"/>
      <c r="T13" s="307" t="n"/>
      <c r="U13" s="307" t="n"/>
      <c r="V13" s="307" t="n"/>
      <c r="W13" s="307" t="n"/>
      <c r="X13" s="307" t="n"/>
      <c r="Y13" s="307" t="n"/>
      <c r="Z13" s="307" t="n"/>
    </row>
    <row r="14">
      <c r="B14" s="354" t="n">
        <v>9</v>
      </c>
      <c r="C14" s="308" t="inlineStr">
        <is>
          <t>ពន្ធកាត់ទុកលើថ្លៃឈ្នួល (រូបវន្តបុគ្គល)</t>
        </is>
      </c>
      <c r="D14" s="307" t="n"/>
      <c r="E14" s="307" t="n"/>
      <c r="F14" s="307" t="n"/>
      <c r="G14" s="307" t="n"/>
      <c r="H14" s="307" t="n"/>
      <c r="I14" s="307" t="n"/>
      <c r="J14" s="307" t="n"/>
      <c r="K14" s="307" t="n"/>
      <c r="L14" s="307" t="n"/>
      <c r="M14" s="307" t="n"/>
      <c r="N14" s="307" t="n"/>
      <c r="O14" s="307" t="n"/>
      <c r="P14" s="307" t="n"/>
      <c r="Q14" s="307" t="n"/>
      <c r="R14" s="307" t="n"/>
      <c r="S14" s="307" t="n"/>
      <c r="T14" s="307" t="n"/>
      <c r="U14" s="307" t="n"/>
      <c r="V14" s="307" t="n"/>
      <c r="W14" s="307" t="n"/>
      <c r="X14" s="307" t="n"/>
      <c r="Y14" s="307" t="n"/>
      <c r="Z14" s="307" t="n"/>
    </row>
    <row r="15">
      <c r="B15" s="354" t="n">
        <v>10</v>
      </c>
      <c r="C15" s="308" t="inlineStr">
        <is>
          <t>ពន្ធកាត់ទុកលើថ្លៃឈ្នួល (នីតិបុគ្គល)</t>
        </is>
      </c>
      <c r="D15" s="307" t="n"/>
      <c r="E15" s="307" t="n"/>
      <c r="F15" s="307" t="n"/>
      <c r="G15" s="307" t="n"/>
      <c r="H15" s="307" t="n"/>
      <c r="I15" s="307" t="n"/>
      <c r="J15" s="307" t="n"/>
      <c r="K15" s="307" t="n"/>
      <c r="L15" s="307" t="n"/>
      <c r="M15" s="307" t="n"/>
      <c r="N15" s="307" t="n"/>
      <c r="O15" s="307" t="n"/>
      <c r="P15" s="307" t="n"/>
      <c r="Q15" s="307" t="n"/>
      <c r="R15" s="307" t="n"/>
      <c r="S15" s="307" t="n"/>
      <c r="T15" s="307" t="n"/>
      <c r="U15" s="307" t="n"/>
      <c r="V15" s="307" t="n"/>
      <c r="W15" s="307" t="n"/>
      <c r="X15" s="307" t="n"/>
      <c r="Y15" s="307" t="n"/>
      <c r="Z15" s="307" t="n"/>
    </row>
    <row r="16">
      <c r="B16" s="354" t="n">
        <v>11</v>
      </c>
      <c r="C16" s="308" t="inlineStr">
        <is>
          <t>ពន្ធលើផ្ទាំងផ្សព្វផ្សាយ - ផ្ទាំងផ្សាយពាណិជ្ជកម្ម</t>
        </is>
      </c>
      <c r="D16" s="307" t="n"/>
      <c r="E16" s="307" t="n"/>
      <c r="F16" s="307" t="n"/>
      <c r="G16" s="307" t="n"/>
      <c r="H16" s="307" t="n"/>
      <c r="I16" s="307" t="n"/>
      <c r="J16" s="307" t="n"/>
      <c r="K16" s="307" t="n"/>
      <c r="L16" s="307" t="n"/>
      <c r="M16" s="307" t="n"/>
      <c r="N16" s="307" t="n"/>
      <c r="O16" s="307" t="n"/>
      <c r="P16" s="307" t="n"/>
      <c r="Q16" s="307" t="n"/>
      <c r="R16" s="307" t="n"/>
      <c r="S16" s="307" t="n"/>
      <c r="T16" s="307" t="n"/>
      <c r="U16" s="307" t="n"/>
      <c r="V16" s="307" t="n"/>
      <c r="W16" s="307" t="n"/>
      <c r="X16" s="307" t="n"/>
      <c r="Y16" s="307" t="n"/>
      <c r="Z16" s="307" t="n"/>
    </row>
    <row r="17">
      <c r="B17" s="354" t="n">
        <v>12</v>
      </c>
      <c r="C17" s="308" t="inlineStr">
        <is>
          <t>អាករលើតម្លៃបន្ថែម</t>
        </is>
      </c>
      <c r="D17" s="307" t="n"/>
      <c r="E17" s="307" t="n"/>
      <c r="F17" s="307" t="n"/>
      <c r="G17" s="307" t="n"/>
      <c r="H17" s="307" t="n"/>
      <c r="I17" s="307" t="n"/>
      <c r="J17" s="307" t="n"/>
      <c r="K17" s="307" t="n"/>
      <c r="L17" s="307" t="n"/>
      <c r="M17" s="307" t="n"/>
      <c r="N17" s="307" t="n"/>
      <c r="O17" s="307" t="n"/>
      <c r="P17" s="307" t="n"/>
      <c r="Q17" s="307" t="n"/>
      <c r="R17" s="307" t="n"/>
      <c r="S17" s="307" t="n"/>
      <c r="T17" s="307" t="n"/>
      <c r="U17" s="307" t="n"/>
      <c r="V17" s="307" t="n"/>
      <c r="W17" s="307" t="n"/>
      <c r="X17" s="307" t="n"/>
      <c r="Y17" s="307" t="n"/>
      <c r="Z17" s="307" t="n"/>
    </row>
    <row r="18">
      <c r="B18" s="354" t="n">
        <v>13</v>
      </c>
      <c r="C18" s="308" t="inlineStr">
        <is>
          <t>ពន្ធពិន័យលើការយឺតយ៉ាវ</t>
        </is>
      </c>
      <c r="D18" s="307" t="n"/>
      <c r="E18" s="307" t="n"/>
      <c r="F18" s="307" t="n"/>
      <c r="G18" s="307" t="n"/>
      <c r="H18" s="307" t="n"/>
      <c r="I18" s="307" t="n"/>
      <c r="J18" s="307" t="n"/>
      <c r="K18" s="307" t="n"/>
      <c r="L18" s="307" t="n"/>
      <c r="M18" s="307" t="n"/>
      <c r="N18" s="307" t="n"/>
      <c r="O18" s="307" t="n"/>
      <c r="P18" s="307" t="n"/>
      <c r="Q18" s="307" t="n"/>
      <c r="R18" s="307" t="n"/>
      <c r="S18" s="307" t="n"/>
      <c r="T18" s="307" t="n"/>
      <c r="U18" s="307" t="n"/>
      <c r="V18" s="307" t="n"/>
      <c r="W18" s="307" t="n"/>
      <c r="X18" s="307" t="n"/>
      <c r="Y18" s="307" t="n"/>
      <c r="Z18" s="307" t="n"/>
    </row>
    <row r="19">
      <c r="B19" s="354" t="n">
        <v>14</v>
      </c>
      <c r="C19" s="308" t="inlineStr">
        <is>
          <t>កម្រៃសេវាចុះបញ្ជី ឬបច្ចុប្បន្នភាព</t>
        </is>
      </c>
      <c r="D19" s="307" t="n"/>
      <c r="E19" s="307" t="n"/>
      <c r="F19" s="307" t="n"/>
      <c r="G19" s="307" t="n"/>
      <c r="H19" s="307" t="n"/>
      <c r="I19" s="307" t="n"/>
      <c r="J19" s="307" t="n"/>
      <c r="K19" s="307" t="n"/>
      <c r="L19" s="307" t="n"/>
      <c r="M19" s="307" t="n"/>
      <c r="N19" s="307" t="n"/>
      <c r="O19" s="307" t="n"/>
      <c r="P19" s="307" t="n"/>
      <c r="Q19" s="307" t="n"/>
      <c r="R19" s="307" t="n"/>
      <c r="S19" s="307" t="n"/>
      <c r="T19" s="307" t="n"/>
      <c r="U19" s="307" t="n"/>
      <c r="V19" s="307" t="n"/>
      <c r="W19" s="307" t="n"/>
      <c r="X19" s="307" t="n"/>
      <c r="Y19" s="307" t="n"/>
      <c r="Z19" s="307" t="n"/>
    </row>
    <row r="20">
      <c r="B20" s="354" t="n">
        <v>15</v>
      </c>
      <c r="C20" s="308" t="inlineStr">
        <is>
          <t>ពន្ធប៉ាតង់</t>
        </is>
      </c>
      <c r="D20" s="307" t="n"/>
      <c r="E20" s="307" t="n"/>
      <c r="F20" s="307" t="n"/>
      <c r="G20" s="307" t="n"/>
      <c r="H20" s="307" t="n"/>
      <c r="I20" s="307" t="n"/>
      <c r="J20" s="307" t="n"/>
      <c r="K20" s="307" t="n"/>
      <c r="L20" s="307" t="n"/>
      <c r="M20" s="307" t="n"/>
      <c r="N20" s="307" t="n"/>
      <c r="O20" s="307" t="n"/>
      <c r="P20" s="307" t="n"/>
      <c r="Q20" s="307" t="n"/>
      <c r="R20" s="307" t="n"/>
      <c r="S20" s="307" t="n"/>
      <c r="T20" s="307" t="n"/>
      <c r="U20" s="307" t="n"/>
      <c r="V20" s="307" t="n"/>
      <c r="W20" s="307" t="n"/>
      <c r="X20" s="307" t="n"/>
      <c r="Y20" s="307" t="n"/>
      <c r="Z20" s="307" t="n"/>
    </row>
    <row r="21">
      <c r="C21" s="308" t="inlineStr">
        <is>
          <t>សរុបទឹកប្រាក់ពន្ធបានបង់ចូលរដ្ឋ</t>
        </is>
      </c>
      <c r="D21" s="307" t="n"/>
      <c r="E21" s="307" t="n"/>
      <c r="F21" s="307" t="n"/>
      <c r="G21" s="307" t="n"/>
      <c r="H21" s="307" t="n"/>
      <c r="I21" s="307" t="n"/>
      <c r="J21" s="307" t="n"/>
      <c r="K21" s="307" t="n"/>
      <c r="L21" s="307" t="n"/>
      <c r="M21" s="307" t="n"/>
      <c r="N21" s="307" t="n"/>
      <c r="O21" s="307" t="n"/>
      <c r="P21" s="307" t="n"/>
      <c r="Q21" s="307" t="n"/>
      <c r="R21" s="307" t="n"/>
      <c r="S21" s="307" t="n"/>
      <c r="T21" s="307" t="n"/>
      <c r="U21" s="307" t="n"/>
      <c r="V21" s="307" t="n"/>
      <c r="W21" s="307" t="n"/>
      <c r="X21" s="307" t="n"/>
      <c r="Y21" s="307" t="n"/>
      <c r="Z21" s="307" t="n"/>
    </row>
    <row r="22">
      <c r="E22" s="305" t="n"/>
      <c r="F22" s="305" t="n"/>
      <c r="G22" s="305" t="n"/>
      <c r="H22" s="305" t="n"/>
      <c r="I22" s="305" t="n"/>
      <c r="J22" s="306" t="n"/>
      <c r="K22" s="306" t="n"/>
      <c r="L22" s="306" t="n"/>
      <c r="M22" s="306" t="n"/>
      <c r="N22" s="306" t="n"/>
      <c r="O22" s="306" t="n"/>
      <c r="P22" s="306" t="n"/>
      <c r="Q22" s="306" t="n"/>
      <c r="R22" s="306" t="n"/>
      <c r="S22" s="306" t="n"/>
      <c r="T22" s="306" t="n"/>
      <c r="U22" s="306" t="n"/>
      <c r="V22" s="306" t="n"/>
      <c r="W22" s="306" t="n"/>
      <c r="X22" s="306" t="n"/>
      <c r="Y22" s="306" t="n"/>
      <c r="Z22" s="306" t="n"/>
      <c r="AA22" s="305" t="n"/>
      <c r="AB22" s="305" t="n"/>
      <c r="AO22" s="305" t="n"/>
    </row>
    <row r="23">
      <c r="E23" s="305" t="n"/>
      <c r="F23" s="305" t="n"/>
      <c r="G23" s="305" t="n"/>
      <c r="H23" s="305" t="n"/>
      <c r="I23" s="305" t="n"/>
      <c r="J23" s="306" t="n"/>
      <c r="K23" s="306" t="n"/>
      <c r="L23" s="306" t="n"/>
      <c r="M23" s="306" t="n"/>
      <c r="N23" s="306" t="n"/>
      <c r="O23" s="306" t="n"/>
      <c r="P23" s="306" t="n"/>
      <c r="Q23" s="306" t="n"/>
      <c r="R23" s="306" t="n"/>
      <c r="S23" s="306" t="n"/>
      <c r="T23" s="306" t="n"/>
      <c r="U23" s="306" t="n"/>
      <c r="V23" s="306" t="n"/>
      <c r="W23" s="306" t="n"/>
      <c r="X23" s="306" t="n"/>
      <c r="Y23" s="306" t="n"/>
      <c r="Z23" s="306" t="n"/>
      <c r="AA23" s="305" t="n"/>
      <c r="AB23" s="305" t="n"/>
      <c r="AO23" s="305" t="n"/>
    </row>
    <row r="24">
      <c r="E24" s="305" t="n"/>
      <c r="F24" s="305" t="n"/>
      <c r="G24" s="305" t="n"/>
      <c r="H24" s="305" t="n"/>
      <c r="I24" s="305" t="n"/>
      <c r="J24" s="306" t="n"/>
      <c r="K24" s="306" t="n"/>
      <c r="L24" s="306" t="n"/>
      <c r="M24" s="306" t="n"/>
      <c r="N24" s="306" t="n"/>
      <c r="O24" s="306" t="n"/>
      <c r="P24" s="306" t="n"/>
      <c r="Q24" s="306" t="n"/>
      <c r="R24" s="306" t="n"/>
      <c r="S24" s="306" t="n"/>
      <c r="T24" s="306" t="n"/>
      <c r="U24" s="306" t="n"/>
      <c r="V24" s="306" t="n"/>
      <c r="W24" s="306" t="n"/>
      <c r="X24" s="306" t="n"/>
      <c r="Y24" s="306" t="n"/>
      <c r="Z24" s="306" t="n"/>
      <c r="AA24" s="305" t="n"/>
      <c r="AB24" s="305" t="n"/>
      <c r="AO24" s="305" t="n"/>
    </row>
    <row r="25">
      <c r="E25" s="305" t="n"/>
      <c r="J25" s="305" t="n"/>
      <c r="K25" s="306" t="n"/>
      <c r="O25" s="306" t="n"/>
      <c r="Q25" s="306" t="n"/>
      <c r="AA25" s="305" t="n"/>
      <c r="AB25" s="305" t="n"/>
      <c r="AO25" s="305" t="n"/>
    </row>
    <row r="26">
      <c r="K26" s="306" t="n"/>
      <c r="Q26" s="306" t="n"/>
      <c r="AB26" s="305" t="n"/>
    </row>
    <row r="27">
      <c r="Q27" s="306" t="n"/>
      <c r="AA27" s="305" t="n"/>
      <c r="AB27" s="305" t="n"/>
    </row>
    <row r="28">
      <c r="Q28" s="306" t="n"/>
      <c r="AB28" s="305" t="n"/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86"/>
  <sheetViews>
    <sheetView zoomScale="90" zoomScaleNormal="90" workbookViewId="0">
      <selection activeCell="E11" sqref="E11"/>
    </sheetView>
  </sheetViews>
  <sheetFormatPr baseColWidth="8" defaultColWidth="9.109375" defaultRowHeight="13.2"/>
  <cols>
    <col width="5.88671875" customWidth="1" style="3" min="1" max="1"/>
    <col width="15.6640625" customWidth="1" style="3" min="2" max="2"/>
    <col width="11.6640625" bestFit="1" customWidth="1" style="3" min="3" max="3"/>
    <col width="11.33203125" bestFit="1" customWidth="1" style="3" min="4" max="4"/>
    <col width="33.109375" customWidth="1" style="3" min="5" max="5"/>
    <col width="10.5546875" bestFit="1" customWidth="1" style="3" min="6" max="6"/>
    <col width="15.44140625" customWidth="1" style="3" min="7" max="7"/>
    <col width="11.6640625" bestFit="1" customWidth="1" style="3" min="8" max="8"/>
    <col width="16.109375" bestFit="1" customWidth="1" style="3" min="9" max="9"/>
    <col width="14.44140625" customWidth="1" style="3" min="10" max="10"/>
    <col width="9.109375" customWidth="1" style="3" min="11" max="16384"/>
  </cols>
  <sheetData>
    <row r="1" ht="27.75" customHeight="1" s="397">
      <c r="A1" s="475" t="inlineStr">
        <is>
          <t>តារាងឧបសម្ព័ន្ឋ</t>
        </is>
      </c>
    </row>
    <row r="2" ht="32.25" customHeight="1" s="397">
      <c r="A2" s="475" t="inlineStr">
        <is>
          <t>តារាងប្រៀធៀបវិក្ក័យប័ត្រស្នើសុំបង្វិលសងអាករលើតំលៃបន្ថែម  ( Cross checking )</t>
        </is>
      </c>
    </row>
    <row r="3" ht="22.5" customHeight="1" s="397">
      <c r="A3" s="476">
        <f>'Annex I-IM State Charge'!#REF!</f>
        <v/>
      </c>
      <c r="F3" s="4" t="n"/>
      <c r="G3" s="4" t="n"/>
      <c r="H3" s="4" t="n"/>
      <c r="I3" s="4" t="n"/>
      <c r="J3" s="4" t="n"/>
    </row>
    <row r="4" ht="21" customHeight="1" s="397">
      <c r="A4" s="477">
        <f>'Annex I-IM State Charge'!#REF!</f>
        <v/>
      </c>
      <c r="B4" s="580" t="n"/>
      <c r="C4" s="580" t="n"/>
      <c r="D4" s="580" t="n"/>
      <c r="E4" s="5" t="n"/>
      <c r="F4" s="4" t="n"/>
      <c r="G4" s="4" t="n"/>
      <c r="H4" s="4" t="n"/>
      <c r="I4" s="4" t="n"/>
      <c r="J4" s="4" t="n"/>
    </row>
    <row r="5" ht="24" customHeight="1" s="397">
      <c r="A5" s="79" t="inlineStr">
        <is>
          <t>ល.រ</t>
        </is>
      </c>
      <c r="B5" s="486" t="inlineStr">
        <is>
          <t>ក្រុមហ៊ុនស្នើសុំបង្វិលសង</t>
        </is>
      </c>
      <c r="C5" s="594" t="n"/>
      <c r="D5" s="595" t="n"/>
      <c r="E5" s="484" t="inlineStr">
        <is>
          <t>អ្នកផ្គត់ផ្គង់</t>
        </is>
      </c>
      <c r="F5" s="574" t="n"/>
      <c r="G5" s="574" t="n"/>
      <c r="H5" s="574" t="n"/>
      <c r="I5" s="563" t="n"/>
      <c r="J5" s="474" t="inlineStr">
        <is>
          <t>ផ្សេងៗ</t>
        </is>
      </c>
    </row>
    <row r="6" ht="24" customHeight="1" s="397">
      <c r="A6" s="608" t="n"/>
      <c r="B6" s="488" t="inlineStr">
        <is>
          <t>វិក្កយបត្រ</t>
        </is>
      </c>
      <c r="C6" s="580" t="n"/>
      <c r="D6" s="601" t="n"/>
      <c r="E6" s="473" t="inlineStr">
        <is>
          <t>សហគ្រាស</t>
        </is>
      </c>
      <c r="F6" s="474" t="inlineStr">
        <is>
          <t>លេខអតប</t>
        </is>
      </c>
      <c r="G6" s="488" t="inlineStr">
        <is>
          <t>វិក្កយបត្រ</t>
        </is>
      </c>
      <c r="H6" s="580" t="n"/>
      <c r="I6" s="601" t="n"/>
      <c r="J6" s="608" t="n"/>
    </row>
    <row r="7" ht="21" customHeight="1" s="397">
      <c r="A7" s="564" t="n"/>
      <c r="B7" s="488" t="inlineStr">
        <is>
          <t>លេខ</t>
        </is>
      </c>
      <c r="C7" s="488" t="inlineStr">
        <is>
          <t>ថ្ងៃទី ខែ ឆ្នាំ</t>
        </is>
      </c>
      <c r="D7" s="488" t="inlineStr">
        <is>
          <t>ប្រាក់អាករ</t>
        </is>
      </c>
      <c r="E7" s="601" t="n"/>
      <c r="F7" s="564" t="n"/>
      <c r="G7" s="488" t="inlineStr">
        <is>
          <t>លេខ</t>
        </is>
      </c>
      <c r="H7" s="488" t="inlineStr">
        <is>
          <t>ថ្ងៃទី ខែ ឆ្នាំ</t>
        </is>
      </c>
      <c r="I7" s="488" t="inlineStr">
        <is>
          <t>ប្រាក់អាករ</t>
        </is>
      </c>
      <c r="J7" s="564" t="n"/>
    </row>
    <row r="8" ht="24" customHeight="1" s="397">
      <c r="A8" s="479" t="n">
        <v>1</v>
      </c>
      <c r="B8" s="12" t="inlineStr">
        <is>
          <t>030209</t>
        </is>
      </c>
      <c r="C8" s="13" t="n">
        <v>41246</v>
      </c>
      <c r="D8" s="650" t="n">
        <v>58.25</v>
      </c>
      <c r="E8" s="11" t="inlineStr">
        <is>
          <t>A P L Logistics</t>
        </is>
      </c>
      <c r="F8" s="10" t="inlineStr">
        <is>
          <t>100046460</t>
        </is>
      </c>
      <c r="G8" s="12" t="inlineStr">
        <is>
          <t>030209</t>
        </is>
      </c>
      <c r="H8" s="13" t="n">
        <v>41246</v>
      </c>
      <c r="I8" s="650" t="n">
        <v>58.25</v>
      </c>
      <c r="J8" s="76" t="inlineStr">
        <is>
          <t>បានបង់</t>
        </is>
      </c>
    </row>
    <row r="9" ht="24" customHeight="1" s="397">
      <c r="A9" s="479" t="n">
        <v>2</v>
      </c>
      <c r="B9" s="12" t="inlineStr">
        <is>
          <t>030231</t>
        </is>
      </c>
      <c r="C9" s="13" t="n">
        <v>41248</v>
      </c>
      <c r="D9" s="650" t="n">
        <v>4</v>
      </c>
      <c r="E9" s="11" t="inlineStr">
        <is>
          <t>A P L Logistics</t>
        </is>
      </c>
      <c r="F9" s="10" t="inlineStr">
        <is>
          <t>100046460</t>
        </is>
      </c>
      <c r="G9" s="12" t="inlineStr">
        <is>
          <t>030231</t>
        </is>
      </c>
      <c r="H9" s="13" t="n">
        <v>41248</v>
      </c>
      <c r="I9" s="650" t="n">
        <v>4</v>
      </c>
      <c r="J9" s="76" t="inlineStr">
        <is>
          <t>បានបង់</t>
        </is>
      </c>
    </row>
    <row r="10" ht="24" customHeight="1" s="397">
      <c r="A10" s="479" t="n">
        <v>3</v>
      </c>
      <c r="B10" s="12" t="inlineStr">
        <is>
          <t>030241</t>
        </is>
      </c>
      <c r="C10" s="13" t="n">
        <v>41254</v>
      </c>
      <c r="D10" s="650" t="n">
        <v>49.75</v>
      </c>
      <c r="E10" s="11" t="inlineStr">
        <is>
          <t>A P L Logistics</t>
        </is>
      </c>
      <c r="F10" s="10" t="inlineStr">
        <is>
          <t>100046460</t>
        </is>
      </c>
      <c r="G10" s="12" t="inlineStr">
        <is>
          <t>030241</t>
        </is>
      </c>
      <c r="H10" s="13" t="n">
        <v>41254</v>
      </c>
      <c r="I10" s="650" t="n">
        <v>49.75</v>
      </c>
      <c r="J10" s="76" t="inlineStr">
        <is>
          <t>បានបង់</t>
        </is>
      </c>
    </row>
    <row r="11" ht="18" customHeight="1" s="397">
      <c r="A11" s="479" t="n">
        <v>4</v>
      </c>
      <c r="B11" s="12" t="inlineStr">
        <is>
          <t>030262</t>
        </is>
      </c>
      <c r="C11" s="13" t="n">
        <v>41254</v>
      </c>
      <c r="D11" s="650" t="n">
        <v>181.79</v>
      </c>
      <c r="E11" s="11" t="inlineStr">
        <is>
          <t>A P L Logistics</t>
        </is>
      </c>
      <c r="F11" s="10" t="inlineStr">
        <is>
          <t>100046460</t>
        </is>
      </c>
      <c r="G11" s="12" t="inlineStr">
        <is>
          <t>030262</t>
        </is>
      </c>
      <c r="H11" s="13" t="n">
        <v>41254</v>
      </c>
      <c r="I11" s="650" t="n">
        <v>181.79</v>
      </c>
      <c r="J11" s="76" t="inlineStr">
        <is>
          <t>បានបង់</t>
        </is>
      </c>
    </row>
    <row r="12" ht="18" customHeight="1" s="397">
      <c r="A12" s="479" t="n">
        <v>5</v>
      </c>
      <c r="B12" s="12" t="inlineStr">
        <is>
          <t>030302</t>
        </is>
      </c>
      <c r="C12" s="13" t="n">
        <v>41260</v>
      </c>
      <c r="D12" s="650" t="n">
        <v>46.69</v>
      </c>
      <c r="E12" s="11" t="inlineStr">
        <is>
          <t>A P L Logistics</t>
        </is>
      </c>
      <c r="F12" s="10" t="inlineStr">
        <is>
          <t>100046460</t>
        </is>
      </c>
      <c r="G12" s="12" t="inlineStr">
        <is>
          <t>030302</t>
        </is>
      </c>
      <c r="H12" s="13" t="n">
        <v>41260</v>
      </c>
      <c r="I12" s="650" t="n">
        <v>46.69</v>
      </c>
      <c r="J12" s="76" t="inlineStr">
        <is>
          <t>បានបង់</t>
        </is>
      </c>
    </row>
    <row r="13" ht="18" customHeight="1" s="397">
      <c r="A13" s="479" t="n">
        <v>6</v>
      </c>
      <c r="B13" s="12" t="inlineStr">
        <is>
          <t>030328</t>
        </is>
      </c>
      <c r="C13" s="13" t="n">
        <v>41260</v>
      </c>
      <c r="D13" s="650" t="n">
        <v>236.64</v>
      </c>
      <c r="E13" s="11" t="inlineStr">
        <is>
          <t>A P L Logistics</t>
        </is>
      </c>
      <c r="F13" s="10" t="inlineStr">
        <is>
          <t>100046460</t>
        </is>
      </c>
      <c r="G13" s="12" t="inlineStr">
        <is>
          <t>030328</t>
        </is>
      </c>
      <c r="H13" s="13" t="n">
        <v>41260</v>
      </c>
      <c r="I13" s="650" t="n">
        <v>236.64</v>
      </c>
      <c r="J13" s="76" t="inlineStr">
        <is>
          <t>បានបង់</t>
        </is>
      </c>
    </row>
    <row r="14" ht="18" customHeight="1" s="397">
      <c r="A14" s="479" t="n">
        <v>7</v>
      </c>
      <c r="B14" s="12" t="inlineStr">
        <is>
          <t>030343</t>
        </is>
      </c>
      <c r="C14" s="13" t="n">
        <v>41261</v>
      </c>
      <c r="D14" s="650" t="n">
        <v>4</v>
      </c>
      <c r="E14" s="11" t="inlineStr">
        <is>
          <t>A P L Logistics</t>
        </is>
      </c>
      <c r="F14" s="10" t="inlineStr">
        <is>
          <t>100046460</t>
        </is>
      </c>
      <c r="G14" s="12" t="inlineStr">
        <is>
          <t>030343</t>
        </is>
      </c>
      <c r="H14" s="13" t="n">
        <v>41261</v>
      </c>
      <c r="I14" s="650" t="n">
        <v>4</v>
      </c>
      <c r="J14" s="76" t="inlineStr">
        <is>
          <t>បានបង់</t>
        </is>
      </c>
    </row>
    <row r="15" ht="18" customHeight="1" s="397">
      <c r="A15" s="479" t="n">
        <v>8</v>
      </c>
      <c r="B15" s="12" t="inlineStr">
        <is>
          <t>030353</t>
        </is>
      </c>
      <c r="C15" s="13" t="n">
        <v>41261</v>
      </c>
      <c r="D15" s="650" t="n">
        <v>10</v>
      </c>
      <c r="E15" s="11" t="inlineStr">
        <is>
          <t>A P L Logistics</t>
        </is>
      </c>
      <c r="F15" s="10" t="inlineStr">
        <is>
          <t>100046460</t>
        </is>
      </c>
      <c r="G15" s="12" t="inlineStr">
        <is>
          <t>030353</t>
        </is>
      </c>
      <c r="H15" s="13" t="n">
        <v>41261</v>
      </c>
      <c r="I15" s="650" t="n">
        <v>10</v>
      </c>
      <c r="J15" s="76" t="inlineStr">
        <is>
          <t>បានបង់</t>
        </is>
      </c>
    </row>
    <row r="16" ht="18" customHeight="1" s="397">
      <c r="A16" s="479" t="n">
        <v>9</v>
      </c>
      <c r="B16" s="12" t="inlineStr">
        <is>
          <t>030450</t>
        </is>
      </c>
      <c r="C16" s="13" t="n">
        <v>41274</v>
      </c>
      <c r="D16" s="650" t="n">
        <v>87.52</v>
      </c>
      <c r="E16" s="11" t="inlineStr">
        <is>
          <t>A P L Logistics</t>
        </is>
      </c>
      <c r="F16" s="10" t="inlineStr">
        <is>
          <t>100046460</t>
        </is>
      </c>
      <c r="G16" s="12" t="inlineStr">
        <is>
          <t>030450</t>
        </is>
      </c>
      <c r="H16" s="13" t="n">
        <v>41274</v>
      </c>
      <c r="I16" s="650" t="n">
        <v>87.52</v>
      </c>
      <c r="J16" s="76" t="inlineStr">
        <is>
          <t>បានបង់</t>
        </is>
      </c>
    </row>
    <row r="17" ht="18" customHeight="1" s="397">
      <c r="A17" s="479" t="n">
        <v>10</v>
      </c>
      <c r="B17" s="12" t="inlineStr">
        <is>
          <t>030469</t>
        </is>
      </c>
      <c r="C17" s="13" t="n">
        <v>41274</v>
      </c>
      <c r="D17" s="650" t="n">
        <v>39.29</v>
      </c>
      <c r="E17" s="11" t="inlineStr">
        <is>
          <t>A P L Logistics</t>
        </is>
      </c>
      <c r="F17" s="10" t="inlineStr">
        <is>
          <t>100046460</t>
        </is>
      </c>
      <c r="G17" s="12" t="inlineStr">
        <is>
          <t>030469</t>
        </is>
      </c>
      <c r="H17" s="13" t="n">
        <v>41274</v>
      </c>
      <c r="I17" s="650" t="n">
        <v>39.29</v>
      </c>
      <c r="J17" s="76" t="inlineStr">
        <is>
          <t>បានបង់</t>
        </is>
      </c>
    </row>
    <row r="18" ht="18" customHeight="1" s="397">
      <c r="A18" s="472" t="inlineStr">
        <is>
          <t>Total 12/2012</t>
        </is>
      </c>
      <c r="B18" s="574" t="n"/>
      <c r="C18" s="563" t="n"/>
      <c r="D18" s="651">
        <f>SUM(D8:D17)</f>
        <v/>
      </c>
      <c r="E18" s="53" t="n"/>
      <c r="F18" s="54" t="n"/>
      <c r="G18" s="54" t="n"/>
      <c r="H18" s="652" t="inlineStr">
        <is>
          <t>USD</t>
        </is>
      </c>
      <c r="I18" s="651">
        <f>SUM(I8:I17)</f>
        <v/>
      </c>
      <c r="J18" s="7" t="n"/>
    </row>
    <row r="19" ht="21.9" customHeight="1" s="397">
      <c r="A19" s="472" t="inlineStr">
        <is>
          <t>Total 12/2012</t>
        </is>
      </c>
      <c r="B19" s="574" t="n"/>
      <c r="C19" s="563" t="n"/>
      <c r="D19" s="651" t="n"/>
      <c r="E19" s="53" t="n"/>
      <c r="F19" s="54" t="n"/>
      <c r="G19" s="653" t="n">
        <v>3995</v>
      </c>
      <c r="H19" s="652" t="inlineStr">
        <is>
          <t>RIEL</t>
        </is>
      </c>
      <c r="I19" s="654">
        <f>I18*G19</f>
        <v/>
      </c>
      <c r="J19" s="7" t="n"/>
    </row>
    <row r="20" ht="18" customHeight="1" s="397">
      <c r="A20" s="33" t="n">
        <v>1</v>
      </c>
      <c r="B20" s="12" t="inlineStr">
        <is>
          <t>029920</t>
        </is>
      </c>
      <c r="C20" s="13" t="n">
        <v>41218</v>
      </c>
      <c r="D20" s="650" t="n">
        <v>77</v>
      </c>
      <c r="E20" s="11" t="inlineStr">
        <is>
          <t>A P L Logistics</t>
        </is>
      </c>
      <c r="F20" s="10" t="inlineStr">
        <is>
          <t>100046460</t>
        </is>
      </c>
      <c r="G20" s="12" t="inlineStr">
        <is>
          <t>029920</t>
        </is>
      </c>
      <c r="H20" s="13" t="n">
        <v>41218</v>
      </c>
      <c r="I20" s="650" t="n">
        <v>77</v>
      </c>
      <c r="J20" s="76" t="inlineStr">
        <is>
          <t>បានបង់</t>
        </is>
      </c>
    </row>
    <row r="21" ht="18" customHeight="1" s="397">
      <c r="A21" s="33" t="n">
        <v>2</v>
      </c>
      <c r="B21" s="12" t="inlineStr">
        <is>
          <t>029981</t>
        </is>
      </c>
      <c r="C21" s="13" t="n">
        <v>41225</v>
      </c>
      <c r="D21" s="650" t="n">
        <v>115.89</v>
      </c>
      <c r="E21" s="11" t="inlineStr">
        <is>
          <t>A P L Logistics</t>
        </is>
      </c>
      <c r="F21" s="10" t="inlineStr">
        <is>
          <t>100046460</t>
        </is>
      </c>
      <c r="G21" s="12" t="inlineStr">
        <is>
          <t>029981</t>
        </is>
      </c>
      <c r="H21" s="13" t="n">
        <v>41225</v>
      </c>
      <c r="I21" s="650" t="n">
        <v>115.89</v>
      </c>
      <c r="J21" s="76" t="inlineStr">
        <is>
          <t>បានបង់</t>
        </is>
      </c>
    </row>
    <row r="22" ht="18" customHeight="1" s="397">
      <c r="A22" s="33" t="n">
        <v>3</v>
      </c>
      <c r="B22" s="12" t="inlineStr">
        <is>
          <t>030003</t>
        </is>
      </c>
      <c r="C22" s="13" t="n">
        <v>41225</v>
      </c>
      <c r="D22" s="650" t="n">
        <v>82.91</v>
      </c>
      <c r="E22" s="11" t="inlineStr">
        <is>
          <t>A P L Logistics</t>
        </is>
      </c>
      <c r="F22" s="10" t="inlineStr">
        <is>
          <t>100046460</t>
        </is>
      </c>
      <c r="G22" s="12" t="inlineStr">
        <is>
          <t>030003</t>
        </is>
      </c>
      <c r="H22" s="13" t="n">
        <v>41225</v>
      </c>
      <c r="I22" s="650" t="n">
        <v>82.91</v>
      </c>
      <c r="J22" s="76" t="inlineStr">
        <is>
          <t>បានបង់</t>
        </is>
      </c>
    </row>
    <row r="23" ht="18" customHeight="1" s="397">
      <c r="A23" s="33" t="n">
        <v>4</v>
      </c>
      <c r="B23" s="12" t="inlineStr">
        <is>
          <t>030044</t>
        </is>
      </c>
      <c r="C23" s="13" t="n">
        <v>41232</v>
      </c>
      <c r="D23" s="650" t="n">
        <v>55.32</v>
      </c>
      <c r="E23" s="11" t="inlineStr">
        <is>
          <t>A P L Logistics</t>
        </is>
      </c>
      <c r="F23" s="10" t="inlineStr">
        <is>
          <t>100046460</t>
        </is>
      </c>
      <c r="G23" s="12" t="inlineStr">
        <is>
          <t>030044</t>
        </is>
      </c>
      <c r="H23" s="13" t="n">
        <v>41232</v>
      </c>
      <c r="I23" s="650" t="n">
        <v>55.32</v>
      </c>
      <c r="J23" s="76" t="inlineStr">
        <is>
          <t>បានបង់</t>
        </is>
      </c>
    </row>
    <row r="24" ht="18" customHeight="1" s="397">
      <c r="A24" s="33" t="n">
        <v>5</v>
      </c>
      <c r="B24" s="12" t="inlineStr">
        <is>
          <t>030062</t>
        </is>
      </c>
      <c r="C24" s="13" t="n">
        <v>41232</v>
      </c>
      <c r="D24" s="650" t="n">
        <v>32.03</v>
      </c>
      <c r="E24" s="11" t="inlineStr">
        <is>
          <t>A P L Logistics</t>
        </is>
      </c>
      <c r="F24" s="10" t="inlineStr">
        <is>
          <t>100046460</t>
        </is>
      </c>
      <c r="G24" s="12" t="inlineStr">
        <is>
          <t>030062</t>
        </is>
      </c>
      <c r="H24" s="13" t="n">
        <v>41232</v>
      </c>
      <c r="I24" s="650" t="n">
        <v>32.03</v>
      </c>
      <c r="J24" s="76" t="inlineStr">
        <is>
          <t>បានបង់</t>
        </is>
      </c>
    </row>
    <row r="25" ht="18" customHeight="1" s="397">
      <c r="A25" s="472" t="inlineStr">
        <is>
          <t>Total 11/2012</t>
        </is>
      </c>
      <c r="B25" s="574" t="n"/>
      <c r="C25" s="563" t="n"/>
      <c r="D25" s="651">
        <f>SUM(D20:D24)</f>
        <v/>
      </c>
      <c r="E25" s="53" t="n"/>
      <c r="F25" s="54" t="n"/>
      <c r="G25" s="54" t="n"/>
      <c r="H25" s="652" t="inlineStr">
        <is>
          <t>USD</t>
        </is>
      </c>
      <c r="I25" s="651">
        <f>SUM(I20:I24)</f>
        <v/>
      </c>
      <c r="J25" s="7" t="n"/>
    </row>
    <row r="26" ht="21.9" customHeight="1" s="397">
      <c r="A26" s="472" t="inlineStr">
        <is>
          <t>Total 11/2012</t>
        </is>
      </c>
      <c r="B26" s="574" t="n"/>
      <c r="C26" s="563" t="n"/>
      <c r="D26" s="651" t="n"/>
      <c r="E26" s="53" t="n"/>
      <c r="F26" s="54" t="n"/>
      <c r="G26" s="653" t="n">
        <v>3999</v>
      </c>
      <c r="H26" s="652" t="inlineStr">
        <is>
          <t>RIEL</t>
        </is>
      </c>
      <c r="I26" s="654">
        <f>I25*G26</f>
        <v/>
      </c>
      <c r="J26" s="7" t="n"/>
    </row>
    <row r="27" ht="18" customHeight="1" s="397">
      <c r="A27" s="33" t="n">
        <v>1</v>
      </c>
      <c r="B27" s="12" t="inlineStr">
        <is>
          <t>029638</t>
        </is>
      </c>
      <c r="C27" s="13" t="n">
        <v>41183</v>
      </c>
      <c r="D27" s="650" t="n">
        <v>89.93000000000001</v>
      </c>
      <c r="E27" s="11" t="inlineStr">
        <is>
          <t>A P L Logistics</t>
        </is>
      </c>
      <c r="F27" s="10" t="inlineStr">
        <is>
          <t>100046460</t>
        </is>
      </c>
      <c r="G27" s="12" t="inlineStr">
        <is>
          <t>029638</t>
        </is>
      </c>
      <c r="H27" s="13" t="n">
        <v>41183</v>
      </c>
      <c r="I27" s="650" t="n">
        <v>89.93000000000001</v>
      </c>
      <c r="J27" s="76" t="inlineStr">
        <is>
          <t>បានបង់</t>
        </is>
      </c>
    </row>
    <row r="28" ht="18" customHeight="1" s="397">
      <c r="A28" s="33" t="n">
        <v>2</v>
      </c>
      <c r="B28" s="12" t="inlineStr">
        <is>
          <t>029716</t>
        </is>
      </c>
      <c r="C28" s="13" t="n">
        <v>41190</v>
      </c>
      <c r="D28" s="650" t="n">
        <v>49.63</v>
      </c>
      <c r="E28" s="11" t="inlineStr">
        <is>
          <t>A P L Logistics</t>
        </is>
      </c>
      <c r="F28" s="10" t="inlineStr">
        <is>
          <t>100046460</t>
        </is>
      </c>
      <c r="G28" s="12" t="inlineStr">
        <is>
          <t>029716</t>
        </is>
      </c>
      <c r="H28" s="13" t="n">
        <v>41190</v>
      </c>
      <c r="I28" s="650" t="n">
        <v>49.63</v>
      </c>
      <c r="J28" s="76" t="inlineStr">
        <is>
          <t>បានបង់</t>
        </is>
      </c>
    </row>
    <row r="29" ht="18" customHeight="1" s="397">
      <c r="A29" s="33" t="n">
        <v>3</v>
      </c>
      <c r="B29" s="12" t="inlineStr">
        <is>
          <t>029766</t>
        </is>
      </c>
      <c r="C29" s="13" t="n">
        <v>41197</v>
      </c>
      <c r="D29" s="650" t="n">
        <v>115.81</v>
      </c>
      <c r="E29" s="11" t="inlineStr">
        <is>
          <t>A P L Logistics</t>
        </is>
      </c>
      <c r="F29" s="10" t="inlineStr">
        <is>
          <t>100046460</t>
        </is>
      </c>
      <c r="G29" s="12" t="inlineStr">
        <is>
          <t>029766</t>
        </is>
      </c>
      <c r="H29" s="13" t="n">
        <v>41197</v>
      </c>
      <c r="I29" s="650" t="n">
        <v>115.81</v>
      </c>
      <c r="J29" s="76" t="inlineStr">
        <is>
          <t>បានបង់</t>
        </is>
      </c>
    </row>
    <row r="30" ht="18" customHeight="1" s="397">
      <c r="A30" s="33" t="n">
        <v>4</v>
      </c>
      <c r="B30" s="12" t="inlineStr">
        <is>
          <t>029816</t>
        </is>
      </c>
      <c r="C30" s="13" t="n">
        <v>41204</v>
      </c>
      <c r="D30" s="650" t="n">
        <v>101.98</v>
      </c>
      <c r="E30" s="11" t="inlineStr">
        <is>
          <t>A P L Logistics</t>
        </is>
      </c>
      <c r="F30" s="10" t="inlineStr">
        <is>
          <t>100046460</t>
        </is>
      </c>
      <c r="G30" s="12" t="inlineStr">
        <is>
          <t>029816</t>
        </is>
      </c>
      <c r="H30" s="13" t="n">
        <v>41204</v>
      </c>
      <c r="I30" s="650" t="n">
        <v>101.98</v>
      </c>
      <c r="J30" s="76" t="inlineStr">
        <is>
          <t>បានបង់</t>
        </is>
      </c>
    </row>
    <row r="31" ht="18" customHeight="1" s="397">
      <c r="A31" s="33" t="n">
        <v>5</v>
      </c>
      <c r="B31" s="12" t="inlineStr">
        <is>
          <t>029869</t>
        </is>
      </c>
      <c r="C31" s="46" t="n">
        <v>41211</v>
      </c>
      <c r="D31" s="650" t="n">
        <v>67.28</v>
      </c>
      <c r="E31" s="11" t="inlineStr">
        <is>
          <t>A P L Logistics</t>
        </is>
      </c>
      <c r="F31" s="10" t="inlineStr">
        <is>
          <t>100046460</t>
        </is>
      </c>
      <c r="G31" s="12" t="inlineStr">
        <is>
          <t>029869</t>
        </is>
      </c>
      <c r="H31" s="46" t="n">
        <v>41211</v>
      </c>
      <c r="I31" s="650" t="n">
        <v>67.28</v>
      </c>
      <c r="J31" s="76" t="inlineStr">
        <is>
          <t>បានបង់</t>
        </is>
      </c>
    </row>
    <row r="32" ht="18" customHeight="1" s="397">
      <c r="A32" s="472" t="inlineStr">
        <is>
          <t>Total 10/2012</t>
        </is>
      </c>
      <c r="B32" s="574" t="n"/>
      <c r="C32" s="563" t="n"/>
      <c r="D32" s="651">
        <f>SUM(D27:D31)</f>
        <v/>
      </c>
      <c r="E32" s="53" t="n"/>
      <c r="F32" s="54" t="n"/>
      <c r="G32" s="54" t="n"/>
      <c r="H32" s="652" t="inlineStr">
        <is>
          <t>USD</t>
        </is>
      </c>
      <c r="I32" s="651">
        <f>SUM(I27:I31)</f>
        <v/>
      </c>
      <c r="J32" s="7" t="n"/>
    </row>
    <row r="33" ht="21.9" customHeight="1" s="397">
      <c r="A33" s="472" t="inlineStr">
        <is>
          <t>Total 10/2012</t>
        </is>
      </c>
      <c r="B33" s="574" t="n"/>
      <c r="C33" s="563" t="n"/>
      <c r="D33" s="651" t="n"/>
      <c r="E33" s="53" t="n"/>
      <c r="F33" s="54" t="n"/>
      <c r="G33" s="653" t="n">
        <v>4028</v>
      </c>
      <c r="H33" s="652" t="inlineStr">
        <is>
          <t>RIEL</t>
        </is>
      </c>
      <c r="I33" s="654">
        <f>I32*G33</f>
        <v/>
      </c>
      <c r="J33" s="7" t="n"/>
    </row>
    <row r="34" ht="18" customHeight="1" s="397">
      <c r="A34" s="33" t="n">
        <v>1</v>
      </c>
      <c r="B34" s="12" t="inlineStr">
        <is>
          <t>029426</t>
        </is>
      </c>
      <c r="C34" s="13" t="n">
        <v>41162</v>
      </c>
      <c r="D34" s="650" t="n">
        <v>206.96</v>
      </c>
      <c r="E34" s="11" t="inlineStr">
        <is>
          <t>A P L Logistics</t>
        </is>
      </c>
      <c r="F34" s="10" t="inlineStr">
        <is>
          <t>100046460</t>
        </is>
      </c>
      <c r="G34" s="12" t="inlineStr">
        <is>
          <t>029426</t>
        </is>
      </c>
      <c r="H34" s="13" t="n">
        <v>41162</v>
      </c>
      <c r="I34" s="650" t="n">
        <v>206.96</v>
      </c>
      <c r="J34" s="76" t="inlineStr">
        <is>
          <t>បានបង់</t>
        </is>
      </c>
    </row>
    <row r="35" ht="18" customHeight="1" s="397">
      <c r="A35" s="33" t="n">
        <v>2</v>
      </c>
      <c r="B35" s="12" t="inlineStr">
        <is>
          <t>029501</t>
        </is>
      </c>
      <c r="C35" s="13" t="n">
        <v>41169</v>
      </c>
      <c r="D35" s="650" t="n">
        <v>69.7</v>
      </c>
      <c r="E35" s="11" t="inlineStr">
        <is>
          <t>A P L Logistics</t>
        </is>
      </c>
      <c r="F35" s="10" t="inlineStr">
        <is>
          <t>100046460</t>
        </is>
      </c>
      <c r="G35" s="12" t="inlineStr">
        <is>
          <t>029501</t>
        </is>
      </c>
      <c r="H35" s="13" t="n">
        <v>41169</v>
      </c>
      <c r="I35" s="650" t="n">
        <v>69.7</v>
      </c>
      <c r="J35" s="76" t="inlineStr">
        <is>
          <t>បានបង់</t>
        </is>
      </c>
    </row>
    <row r="36" ht="18" customHeight="1" s="397">
      <c r="A36" s="33" t="n">
        <v>3</v>
      </c>
      <c r="B36" s="12" t="inlineStr">
        <is>
          <t>029565</t>
        </is>
      </c>
      <c r="C36" s="13" t="n">
        <v>41176</v>
      </c>
      <c r="D36" s="650" t="n">
        <v>46.66</v>
      </c>
      <c r="E36" s="11" t="inlineStr">
        <is>
          <t>A P L Logistics</t>
        </is>
      </c>
      <c r="F36" s="10" t="inlineStr">
        <is>
          <t>100046460</t>
        </is>
      </c>
      <c r="G36" s="12" t="inlineStr">
        <is>
          <t>029565</t>
        </is>
      </c>
      <c r="H36" s="13" t="n">
        <v>41176</v>
      </c>
      <c r="I36" s="650" t="n">
        <v>46.66</v>
      </c>
      <c r="J36" s="76" t="inlineStr">
        <is>
          <t>បានបង់</t>
        </is>
      </c>
    </row>
    <row r="37" ht="18" customHeight="1" s="397">
      <c r="A37" s="472" t="inlineStr">
        <is>
          <t>Total 09/2012</t>
        </is>
      </c>
      <c r="B37" s="574" t="n"/>
      <c r="C37" s="563" t="n"/>
      <c r="D37" s="651">
        <f>SUM(D34:D36)</f>
        <v/>
      </c>
      <c r="E37" s="53" t="n"/>
      <c r="F37" s="54" t="n"/>
      <c r="G37" s="54" t="n"/>
      <c r="H37" s="652" t="inlineStr">
        <is>
          <t>USD</t>
        </is>
      </c>
      <c r="I37" s="651">
        <f>SUM(I34:I36)</f>
        <v/>
      </c>
      <c r="J37" s="7" t="n"/>
    </row>
    <row r="38" ht="21.9" customHeight="1" s="397">
      <c r="A38" s="472" t="inlineStr">
        <is>
          <t>Total 09/2012</t>
        </is>
      </c>
      <c r="B38" s="574" t="n"/>
      <c r="C38" s="563" t="n"/>
      <c r="D38" s="651" t="n"/>
      <c r="E38" s="53" t="n"/>
      <c r="F38" s="54" t="n"/>
      <c r="G38" s="653" t="n">
        <v>4044</v>
      </c>
      <c r="H38" s="652" t="inlineStr">
        <is>
          <t>RIEL</t>
        </is>
      </c>
      <c r="I38" s="654">
        <f>I37*G38</f>
        <v/>
      </c>
      <c r="J38" s="7" t="n"/>
    </row>
    <row r="39" ht="18" customHeight="1" s="397">
      <c r="A39" s="60" t="n">
        <v>1</v>
      </c>
      <c r="B39" s="12" t="inlineStr">
        <is>
          <t>029026</t>
        </is>
      </c>
      <c r="C39" s="46" t="n">
        <v>41127</v>
      </c>
      <c r="D39" s="650" t="n">
        <v>37.84</v>
      </c>
      <c r="E39" s="11" t="inlineStr">
        <is>
          <t>A P L Logistics</t>
        </is>
      </c>
      <c r="F39" s="10" t="inlineStr">
        <is>
          <t>100046460</t>
        </is>
      </c>
      <c r="G39" s="12" t="inlineStr">
        <is>
          <t>029026</t>
        </is>
      </c>
      <c r="H39" s="46" t="n">
        <v>41127</v>
      </c>
      <c r="I39" s="650" t="n">
        <v>37.84</v>
      </c>
      <c r="J39" s="76" t="inlineStr">
        <is>
          <t>បានបង់</t>
        </is>
      </c>
    </row>
    <row r="40" ht="18" customHeight="1" s="397">
      <c r="A40" s="33" t="n">
        <v>2</v>
      </c>
      <c r="B40" s="12" t="inlineStr">
        <is>
          <t>029107</t>
        </is>
      </c>
      <c r="C40" s="13" t="n">
        <v>41134</v>
      </c>
      <c r="D40" s="650" t="n">
        <v>95.45999999999999</v>
      </c>
      <c r="E40" s="11" t="inlineStr">
        <is>
          <t>A P L Logistics</t>
        </is>
      </c>
      <c r="F40" s="10" t="inlineStr">
        <is>
          <t>100046460</t>
        </is>
      </c>
      <c r="G40" s="12" t="inlineStr">
        <is>
          <t>029107</t>
        </is>
      </c>
      <c r="H40" s="13" t="n">
        <v>41134</v>
      </c>
      <c r="I40" s="650" t="n">
        <v>95.45999999999999</v>
      </c>
      <c r="J40" s="76" t="inlineStr">
        <is>
          <t>បានបង់</t>
        </is>
      </c>
    </row>
    <row r="41" ht="18" customHeight="1" s="397">
      <c r="A41" s="33" t="n">
        <v>3</v>
      </c>
      <c r="B41" s="12" t="inlineStr">
        <is>
          <t>029223</t>
        </is>
      </c>
      <c r="C41" s="13" t="n">
        <v>41141</v>
      </c>
      <c r="D41" s="650" t="n">
        <v>106.66</v>
      </c>
      <c r="E41" s="11" t="inlineStr">
        <is>
          <t>A P L Logistics</t>
        </is>
      </c>
      <c r="F41" s="10" t="inlineStr">
        <is>
          <t>100046460</t>
        </is>
      </c>
      <c r="G41" s="12" t="inlineStr">
        <is>
          <t>029223</t>
        </is>
      </c>
      <c r="H41" s="13" t="n">
        <v>41141</v>
      </c>
      <c r="I41" s="650" t="n">
        <v>106.66</v>
      </c>
      <c r="J41" s="76" t="inlineStr">
        <is>
          <t>បានបង់</t>
        </is>
      </c>
    </row>
    <row r="42" ht="18" customHeight="1" s="397">
      <c r="A42" s="33" t="n">
        <v>4</v>
      </c>
      <c r="B42" s="12" t="inlineStr">
        <is>
          <t>029278</t>
        </is>
      </c>
      <c r="C42" s="13" t="n">
        <v>41148</v>
      </c>
      <c r="D42" s="650" t="n">
        <v>32.8</v>
      </c>
      <c r="E42" s="11" t="inlineStr">
        <is>
          <t>A P L Logistics</t>
        </is>
      </c>
      <c r="F42" s="10" t="inlineStr">
        <is>
          <t>100046460</t>
        </is>
      </c>
      <c r="G42" s="12" t="inlineStr">
        <is>
          <t>029278</t>
        </is>
      </c>
      <c r="H42" s="13" t="n">
        <v>41148</v>
      </c>
      <c r="I42" s="650" t="n">
        <v>32.8</v>
      </c>
      <c r="J42" s="76" t="inlineStr">
        <is>
          <t>បានបង់</t>
        </is>
      </c>
    </row>
    <row r="43" ht="18" customHeight="1" s="397">
      <c r="A43" s="472" t="inlineStr">
        <is>
          <t>Total 08/2012</t>
        </is>
      </c>
      <c r="B43" s="574" t="n"/>
      <c r="C43" s="563" t="n"/>
      <c r="D43" s="651">
        <f>SUM(D39:D42)</f>
        <v/>
      </c>
      <c r="E43" s="53" t="n"/>
      <c r="F43" s="54" t="n"/>
      <c r="G43" s="54" t="n"/>
      <c r="H43" s="652" t="inlineStr">
        <is>
          <t>USD</t>
        </is>
      </c>
      <c r="I43" s="651">
        <f>SUM(I39:I42)</f>
        <v/>
      </c>
      <c r="J43" s="7" t="n"/>
    </row>
    <row r="44" ht="21.9" customHeight="1" s="397">
      <c r="A44" s="472" t="inlineStr">
        <is>
          <t>Total 08/2012</t>
        </is>
      </c>
      <c r="B44" s="574" t="n"/>
      <c r="C44" s="563" t="n"/>
      <c r="D44" s="651" t="n"/>
      <c r="E44" s="53" t="n"/>
      <c r="F44" s="54" t="n"/>
      <c r="G44" s="653" t="n">
        <v>4053</v>
      </c>
      <c r="H44" s="652" t="inlineStr">
        <is>
          <t>RIEL</t>
        </is>
      </c>
      <c r="I44" s="654">
        <f>I43*G44</f>
        <v/>
      </c>
      <c r="J44" s="7" t="n"/>
    </row>
    <row r="45" ht="18" customHeight="1" s="397">
      <c r="A45" s="60" t="n">
        <v>1</v>
      </c>
      <c r="B45" s="12" t="inlineStr">
        <is>
          <t>028640</t>
        </is>
      </c>
      <c r="C45" s="13" t="n">
        <v>41092</v>
      </c>
      <c r="D45" s="650" t="n">
        <v>29.26</v>
      </c>
      <c r="E45" s="11" t="inlineStr">
        <is>
          <t>A P L Logistics</t>
        </is>
      </c>
      <c r="F45" s="10" t="inlineStr">
        <is>
          <t>100046460</t>
        </is>
      </c>
      <c r="G45" s="12" t="inlineStr">
        <is>
          <t>028640</t>
        </is>
      </c>
      <c r="H45" s="13" t="n">
        <v>41092</v>
      </c>
      <c r="I45" s="650" t="n">
        <v>29.26</v>
      </c>
      <c r="J45" s="76" t="inlineStr">
        <is>
          <t>បានបង់</t>
        </is>
      </c>
    </row>
    <row r="46" ht="18" customHeight="1" s="397">
      <c r="A46" s="60" t="n">
        <v>2</v>
      </c>
      <c r="B46" s="12" t="inlineStr">
        <is>
          <t>028709</t>
        </is>
      </c>
      <c r="C46" s="13" t="n">
        <v>41099</v>
      </c>
      <c r="D46" s="650" t="n">
        <v>24.66</v>
      </c>
      <c r="E46" s="11" t="inlineStr">
        <is>
          <t>A P L Logistics</t>
        </is>
      </c>
      <c r="F46" s="10" t="inlineStr">
        <is>
          <t>100046460</t>
        </is>
      </c>
      <c r="G46" s="12" t="inlineStr">
        <is>
          <t>028709</t>
        </is>
      </c>
      <c r="H46" s="13" t="n">
        <v>41099</v>
      </c>
      <c r="I46" s="650" t="n">
        <v>24.66</v>
      </c>
      <c r="J46" s="76" t="inlineStr">
        <is>
          <t>បានបង់</t>
        </is>
      </c>
    </row>
    <row r="47" ht="18" customHeight="1" s="397">
      <c r="A47" s="60" t="n">
        <v>3</v>
      </c>
      <c r="B47" s="12" t="inlineStr">
        <is>
          <t>028809</t>
        </is>
      </c>
      <c r="C47" s="13" t="n">
        <v>41106</v>
      </c>
      <c r="D47" s="650" t="n">
        <v>31.02</v>
      </c>
      <c r="E47" s="11" t="inlineStr">
        <is>
          <t>A P L Logistics</t>
        </is>
      </c>
      <c r="F47" s="10" t="inlineStr">
        <is>
          <t>100046460</t>
        </is>
      </c>
      <c r="G47" s="12" t="inlineStr">
        <is>
          <t>028809</t>
        </is>
      </c>
      <c r="H47" s="13" t="n">
        <v>41106</v>
      </c>
      <c r="I47" s="650" t="n">
        <v>31.02</v>
      </c>
      <c r="J47" s="76" t="inlineStr">
        <is>
          <t>បានបង់</t>
        </is>
      </c>
    </row>
    <row r="48" ht="18" customHeight="1" s="397">
      <c r="A48" s="60" t="n">
        <v>4</v>
      </c>
      <c r="B48" s="12" t="inlineStr">
        <is>
          <t>028874</t>
        </is>
      </c>
      <c r="C48" s="13" t="n">
        <v>41113</v>
      </c>
      <c r="D48" s="650" t="n">
        <v>209.58</v>
      </c>
      <c r="E48" s="11" t="inlineStr">
        <is>
          <t>A P L Logistics</t>
        </is>
      </c>
      <c r="F48" s="10" t="inlineStr">
        <is>
          <t>100046460</t>
        </is>
      </c>
      <c r="G48" s="12" t="inlineStr">
        <is>
          <t>028874</t>
        </is>
      </c>
      <c r="H48" s="13" t="n">
        <v>41113</v>
      </c>
      <c r="I48" s="650" t="n">
        <v>209.58</v>
      </c>
      <c r="J48" s="76" t="inlineStr">
        <is>
          <t>បានបង់</t>
        </is>
      </c>
    </row>
    <row r="49" ht="18" customHeight="1" s="397">
      <c r="A49" s="60" t="n">
        <v>5</v>
      </c>
      <c r="B49" s="12" t="inlineStr">
        <is>
          <t>028550</t>
        </is>
      </c>
      <c r="C49" s="13" t="n">
        <v>41115</v>
      </c>
      <c r="D49" s="650" t="n">
        <v>66.92</v>
      </c>
      <c r="E49" s="11" t="inlineStr">
        <is>
          <t>A P L Logistics</t>
        </is>
      </c>
      <c r="F49" s="10" t="inlineStr">
        <is>
          <t>100046460</t>
        </is>
      </c>
      <c r="G49" s="12" t="inlineStr">
        <is>
          <t>028550</t>
        </is>
      </c>
      <c r="H49" s="13" t="n">
        <v>41115</v>
      </c>
      <c r="I49" s="650" t="n">
        <v>66.92</v>
      </c>
      <c r="J49" s="76" t="inlineStr">
        <is>
          <t>បានបង់</t>
        </is>
      </c>
    </row>
    <row r="50" ht="18" customHeight="1" s="397">
      <c r="A50" s="60" t="n">
        <v>6</v>
      </c>
      <c r="B50" s="12" t="inlineStr">
        <is>
          <t>028948</t>
        </is>
      </c>
      <c r="C50" s="13" t="n">
        <v>41120</v>
      </c>
      <c r="D50" s="650" t="n">
        <v>73.23</v>
      </c>
      <c r="E50" s="11" t="inlineStr">
        <is>
          <t>A P L Logistics</t>
        </is>
      </c>
      <c r="F50" s="10" t="inlineStr">
        <is>
          <t>100046460</t>
        </is>
      </c>
      <c r="G50" s="12" t="inlineStr">
        <is>
          <t>028948</t>
        </is>
      </c>
      <c r="H50" s="13" t="n">
        <v>41120</v>
      </c>
      <c r="I50" s="650" t="n">
        <v>73.23</v>
      </c>
      <c r="J50" s="76" t="inlineStr">
        <is>
          <t>បានបង់</t>
        </is>
      </c>
    </row>
    <row r="51" ht="18" customHeight="1" s="397">
      <c r="A51" s="60" t="n">
        <v>7</v>
      </c>
      <c r="B51" s="12" t="inlineStr">
        <is>
          <t>028961</t>
        </is>
      </c>
      <c r="C51" s="13" t="n">
        <v>41120</v>
      </c>
      <c r="D51" s="650" t="n">
        <v>27.84</v>
      </c>
      <c r="E51" s="11" t="inlineStr">
        <is>
          <t>A P L Logistics</t>
        </is>
      </c>
      <c r="F51" s="10" t="inlineStr">
        <is>
          <t>100046460</t>
        </is>
      </c>
      <c r="G51" s="12" t="inlineStr">
        <is>
          <t>028961</t>
        </is>
      </c>
      <c r="H51" s="13" t="n">
        <v>41120</v>
      </c>
      <c r="I51" s="650" t="n">
        <v>27.84</v>
      </c>
      <c r="J51" s="76" t="inlineStr">
        <is>
          <t>បានបង់</t>
        </is>
      </c>
    </row>
    <row r="52" ht="18" customHeight="1" s="397">
      <c r="A52" s="472" t="inlineStr">
        <is>
          <t>Total 07/2012</t>
        </is>
      </c>
      <c r="B52" s="574" t="n"/>
      <c r="C52" s="563" t="n"/>
      <c r="D52" s="651">
        <f>SUM(D45:D51)</f>
        <v/>
      </c>
      <c r="E52" s="53" t="n"/>
      <c r="F52" s="54" t="n"/>
      <c r="G52" s="54" t="n"/>
      <c r="H52" s="652" t="inlineStr">
        <is>
          <t>USD</t>
        </is>
      </c>
      <c r="I52" s="651">
        <f>SUM(I45:I51)</f>
        <v/>
      </c>
      <c r="J52" s="7" t="n"/>
    </row>
    <row r="53" ht="21.9" customHeight="1" s="397">
      <c r="A53" s="472" t="inlineStr">
        <is>
          <t>Total 07/2012</t>
        </is>
      </c>
      <c r="B53" s="574" t="n"/>
      <c r="C53" s="563" t="n"/>
      <c r="D53" s="651" t="n"/>
      <c r="E53" s="53" t="n"/>
      <c r="F53" s="54" t="n"/>
      <c r="G53" s="653" t="n">
        <v>4073</v>
      </c>
      <c r="H53" s="652" t="inlineStr">
        <is>
          <t>RIEL</t>
        </is>
      </c>
      <c r="I53" s="654">
        <f>I52*G53</f>
        <v/>
      </c>
      <c r="J53" s="7" t="n"/>
    </row>
    <row r="54" ht="18" customHeight="1" s="397">
      <c r="A54" s="60" t="n">
        <v>1</v>
      </c>
      <c r="B54" s="39" t="inlineStr">
        <is>
          <t>030377</t>
        </is>
      </c>
      <c r="C54" s="18" t="n">
        <v>41267</v>
      </c>
      <c r="D54" s="655" t="n">
        <v>53.34</v>
      </c>
      <c r="E54" s="11" t="inlineStr">
        <is>
          <t>A P L Logistics</t>
        </is>
      </c>
      <c r="F54" s="16" t="inlineStr">
        <is>
          <t>100046460</t>
        </is>
      </c>
      <c r="G54" s="39" t="inlineStr">
        <is>
          <t>030377</t>
        </is>
      </c>
      <c r="H54" s="48" t="n">
        <v>41267</v>
      </c>
      <c r="I54" s="655" t="n">
        <v>53.34</v>
      </c>
      <c r="J54" s="74" t="inlineStr">
        <is>
          <t>បានបង់</t>
        </is>
      </c>
    </row>
    <row r="55" ht="18" customHeight="1" s="397">
      <c r="A55" s="60" t="n">
        <v>2</v>
      </c>
      <c r="B55" s="39" t="inlineStr">
        <is>
          <t>030407</t>
        </is>
      </c>
      <c r="C55" s="18" t="n">
        <v>41267</v>
      </c>
      <c r="D55" s="655" t="n">
        <v>63.05</v>
      </c>
      <c r="E55" s="11" t="inlineStr">
        <is>
          <t>A P L Logistics</t>
        </is>
      </c>
      <c r="F55" s="16" t="inlineStr">
        <is>
          <t>100046460</t>
        </is>
      </c>
      <c r="G55" s="39" t="inlineStr">
        <is>
          <t>030407</t>
        </is>
      </c>
      <c r="H55" s="48" t="n">
        <v>41267</v>
      </c>
      <c r="I55" s="655" t="n">
        <v>63.05</v>
      </c>
      <c r="J55" s="74" t="inlineStr">
        <is>
          <t>បានបង់</t>
        </is>
      </c>
    </row>
    <row r="56" ht="18" customHeight="1" s="397">
      <c r="A56" s="60" t="n">
        <v>3</v>
      </c>
      <c r="B56" s="39" t="inlineStr">
        <is>
          <t>030516</t>
        </is>
      </c>
      <c r="C56" s="18" t="n">
        <v>41281</v>
      </c>
      <c r="D56" s="655" t="n">
        <v>81</v>
      </c>
      <c r="E56" s="11" t="inlineStr">
        <is>
          <t>A P L Logistics</t>
        </is>
      </c>
      <c r="F56" s="16" t="inlineStr">
        <is>
          <t>100046460</t>
        </is>
      </c>
      <c r="G56" s="39" t="inlineStr">
        <is>
          <t>030516</t>
        </is>
      </c>
      <c r="H56" s="48" t="n">
        <v>41281</v>
      </c>
      <c r="I56" s="655" t="n">
        <v>81</v>
      </c>
      <c r="J56" s="74" t="inlineStr">
        <is>
          <t>បានបង់</t>
        </is>
      </c>
    </row>
    <row r="57" ht="18" customHeight="1" s="397">
      <c r="A57" s="60" t="n">
        <v>4</v>
      </c>
      <c r="B57" s="39" t="inlineStr">
        <is>
          <t>030532</t>
        </is>
      </c>
      <c r="C57" s="18" t="n">
        <v>41281</v>
      </c>
      <c r="D57" s="655" t="n">
        <v>335.98</v>
      </c>
      <c r="E57" s="11" t="inlineStr">
        <is>
          <t>A P L Logistics</t>
        </is>
      </c>
      <c r="F57" s="10" t="inlineStr">
        <is>
          <t>100046460</t>
        </is>
      </c>
      <c r="G57" s="39" t="inlineStr">
        <is>
          <t>030532</t>
        </is>
      </c>
      <c r="H57" s="48" t="n">
        <v>41281</v>
      </c>
      <c r="I57" s="655" t="n">
        <v>335.98</v>
      </c>
      <c r="J57" s="74" t="inlineStr">
        <is>
          <t>បានបង់</t>
        </is>
      </c>
    </row>
    <row r="58" ht="18" customHeight="1" s="397">
      <c r="A58" s="60" t="n">
        <v>5</v>
      </c>
      <c r="B58" s="39" t="inlineStr">
        <is>
          <t>030562</t>
        </is>
      </c>
      <c r="C58" s="48" t="n">
        <v>41282</v>
      </c>
      <c r="D58" s="655" t="n">
        <v>10</v>
      </c>
      <c r="E58" s="11" t="inlineStr">
        <is>
          <t>A P L Logistics</t>
        </is>
      </c>
      <c r="F58" s="16" t="inlineStr">
        <is>
          <t>100046460</t>
        </is>
      </c>
      <c r="G58" s="39" t="inlineStr">
        <is>
          <t>030562</t>
        </is>
      </c>
      <c r="H58" s="48" t="n">
        <v>41282</v>
      </c>
      <c r="I58" s="655" t="n">
        <v>10</v>
      </c>
      <c r="J58" s="74" t="inlineStr">
        <is>
          <t>បានបង់</t>
        </is>
      </c>
    </row>
    <row r="59" ht="18" customHeight="1" s="397">
      <c r="A59" s="60" t="n">
        <v>6</v>
      </c>
      <c r="B59" s="39" t="inlineStr">
        <is>
          <t>030586</t>
        </is>
      </c>
      <c r="C59" s="48" t="n">
        <v>41285</v>
      </c>
      <c r="D59" s="655" t="n">
        <v>7.2</v>
      </c>
      <c r="E59" s="11" t="inlineStr">
        <is>
          <t>A P L Logistics</t>
        </is>
      </c>
      <c r="F59" s="16" t="inlineStr">
        <is>
          <t>100046460</t>
        </is>
      </c>
      <c r="G59" s="39" t="inlineStr">
        <is>
          <t>030586</t>
        </is>
      </c>
      <c r="H59" s="48" t="n">
        <v>41285</v>
      </c>
      <c r="I59" s="655" t="n">
        <v>7.2</v>
      </c>
      <c r="J59" s="74" t="inlineStr">
        <is>
          <t>បានបង់</t>
        </is>
      </c>
    </row>
    <row r="60" ht="18" customHeight="1" s="397">
      <c r="A60" s="60" t="n">
        <v>7</v>
      </c>
      <c r="B60" s="39" t="inlineStr">
        <is>
          <t>030614</t>
        </is>
      </c>
      <c r="C60" s="48" t="n">
        <v>41286</v>
      </c>
      <c r="D60" s="655" t="n">
        <v>217.03</v>
      </c>
      <c r="E60" s="11" t="inlineStr">
        <is>
          <t>A P L Logistics</t>
        </is>
      </c>
      <c r="F60" s="10" t="inlineStr">
        <is>
          <t>100046460</t>
        </is>
      </c>
      <c r="G60" s="39" t="inlineStr">
        <is>
          <t>030614</t>
        </is>
      </c>
      <c r="H60" s="48" t="n">
        <v>41288</v>
      </c>
      <c r="I60" s="655" t="n">
        <v>217.03</v>
      </c>
      <c r="J60" s="74" t="inlineStr">
        <is>
          <t>បានបង់</t>
        </is>
      </c>
    </row>
    <row r="61" ht="18" customHeight="1" s="397">
      <c r="A61" s="60" t="n">
        <v>8</v>
      </c>
      <c r="B61" s="39" t="inlineStr">
        <is>
          <t>030638</t>
        </is>
      </c>
      <c r="C61" s="48" t="n">
        <v>41289</v>
      </c>
      <c r="D61" s="655" t="n">
        <v>10</v>
      </c>
      <c r="E61" s="11" t="inlineStr">
        <is>
          <t>A P L Logistics</t>
        </is>
      </c>
      <c r="F61" s="16" t="inlineStr">
        <is>
          <t>100046460</t>
        </is>
      </c>
      <c r="G61" s="39" t="inlineStr">
        <is>
          <t>030638</t>
        </is>
      </c>
      <c r="H61" s="48" t="n">
        <v>41289</v>
      </c>
      <c r="I61" s="655" t="n">
        <v>10</v>
      </c>
      <c r="J61" s="74" t="inlineStr">
        <is>
          <t>បានបង់</t>
        </is>
      </c>
    </row>
    <row r="62" ht="18" customHeight="1" s="397">
      <c r="A62" s="60" t="n">
        <v>9</v>
      </c>
      <c r="B62" s="39" t="inlineStr">
        <is>
          <t>030758</t>
        </is>
      </c>
      <c r="C62" s="48" t="n">
        <v>41296</v>
      </c>
      <c r="D62" s="655" t="n">
        <v>25.25</v>
      </c>
      <c r="E62" s="11" t="inlineStr">
        <is>
          <t>A P L Logistics</t>
        </is>
      </c>
      <c r="F62" s="16" t="inlineStr">
        <is>
          <t>100046460</t>
        </is>
      </c>
      <c r="G62" s="39" t="inlineStr">
        <is>
          <t>030758</t>
        </is>
      </c>
      <c r="H62" s="48" t="n">
        <v>41296</v>
      </c>
      <c r="I62" s="655" t="n">
        <v>25.25</v>
      </c>
      <c r="J62" s="74" t="inlineStr">
        <is>
          <t>បានបង់</t>
        </is>
      </c>
    </row>
    <row r="63" ht="18" customHeight="1" s="397">
      <c r="A63" s="60" t="n">
        <v>10</v>
      </c>
      <c r="B63" s="39" t="inlineStr">
        <is>
          <t>030848</t>
        </is>
      </c>
      <c r="C63" s="48" t="n">
        <v>41302</v>
      </c>
      <c r="D63" s="655" t="n">
        <v>357.23</v>
      </c>
      <c r="E63" s="11" t="inlineStr">
        <is>
          <t>A P L Logistics</t>
        </is>
      </c>
      <c r="F63" s="10" t="inlineStr">
        <is>
          <t>100046460</t>
        </is>
      </c>
      <c r="G63" s="39" t="inlineStr">
        <is>
          <t>030848</t>
        </is>
      </c>
      <c r="H63" s="48" t="n">
        <v>41302</v>
      </c>
      <c r="I63" s="655" t="n">
        <v>357.23</v>
      </c>
      <c r="J63" s="74" t="inlineStr">
        <is>
          <t>បានបង់</t>
        </is>
      </c>
    </row>
    <row r="64" ht="18" customHeight="1" s="397">
      <c r="A64" s="472" t="inlineStr">
        <is>
          <t>Total 01/2013</t>
        </is>
      </c>
      <c r="B64" s="574" t="n"/>
      <c r="C64" s="563" t="n"/>
      <c r="D64" s="656">
        <f>SUM(D54:D63)</f>
        <v/>
      </c>
      <c r="E64" s="53" t="n"/>
      <c r="F64" s="54" t="n"/>
      <c r="G64" s="59" t="n"/>
      <c r="H64" s="652" t="inlineStr">
        <is>
          <t>USD</t>
        </is>
      </c>
      <c r="I64" s="656">
        <f>SUM(I54:I63)</f>
        <v/>
      </c>
      <c r="J64" s="7" t="n"/>
    </row>
    <row r="65" ht="21.9" customHeight="1" s="397">
      <c r="A65" s="472" t="inlineStr">
        <is>
          <t>Total 01/2013</t>
        </is>
      </c>
      <c r="B65" s="574" t="n"/>
      <c r="C65" s="563" t="n"/>
      <c r="D65" s="656" t="n"/>
      <c r="E65" s="53" t="n"/>
      <c r="F65" s="54" t="n"/>
      <c r="G65" s="653" t="n">
        <v>3995</v>
      </c>
      <c r="H65" s="652" t="inlineStr">
        <is>
          <t>RIEL</t>
        </is>
      </c>
      <c r="I65" s="654">
        <f>I64*G65</f>
        <v/>
      </c>
      <c r="J65" s="7" t="n"/>
    </row>
    <row r="66" ht="18" customHeight="1" s="397">
      <c r="A66" s="60" t="n">
        <v>1</v>
      </c>
      <c r="B66" s="39" t="inlineStr">
        <is>
          <t>030891</t>
        </is>
      </c>
      <c r="C66" s="48" t="n">
        <v>41310</v>
      </c>
      <c r="D66" s="655" t="n">
        <v>28.52</v>
      </c>
      <c r="E66" s="11" t="inlineStr">
        <is>
          <t>A P L Logistics</t>
        </is>
      </c>
      <c r="F66" s="16" t="inlineStr">
        <is>
          <t>100046460</t>
        </is>
      </c>
      <c r="G66" s="39" t="inlineStr">
        <is>
          <t>030891</t>
        </is>
      </c>
      <c r="H66" s="48" t="n">
        <v>41310</v>
      </c>
      <c r="I66" s="655" t="n">
        <v>28.52</v>
      </c>
      <c r="J66" s="74" t="inlineStr">
        <is>
          <t>បានបង់</t>
        </is>
      </c>
    </row>
    <row r="67" ht="18" customHeight="1" s="397">
      <c r="A67" s="33" t="n">
        <v>2</v>
      </c>
      <c r="B67" s="39" t="inlineStr">
        <is>
          <t>030911</t>
        </is>
      </c>
      <c r="C67" s="48" t="n">
        <v>41310</v>
      </c>
      <c r="D67" s="655" t="n">
        <v>374.87</v>
      </c>
      <c r="E67" s="11" t="inlineStr">
        <is>
          <t>A P L Logistics</t>
        </is>
      </c>
      <c r="F67" s="10" t="inlineStr">
        <is>
          <t>100046460</t>
        </is>
      </c>
      <c r="G67" s="39" t="inlineStr">
        <is>
          <t>030911</t>
        </is>
      </c>
      <c r="H67" s="48" t="n">
        <v>41310</v>
      </c>
      <c r="I67" s="655" t="n">
        <v>374.87</v>
      </c>
      <c r="J67" s="74" t="inlineStr">
        <is>
          <t>បានបង់</t>
        </is>
      </c>
    </row>
    <row r="68" ht="18" customHeight="1" s="397">
      <c r="A68" s="60" t="n">
        <v>3</v>
      </c>
      <c r="B68" s="39" t="inlineStr">
        <is>
          <t>030965</t>
        </is>
      </c>
      <c r="C68" s="48" t="n">
        <v>41312</v>
      </c>
      <c r="D68" s="655" t="n">
        <v>10</v>
      </c>
      <c r="E68" s="11" t="inlineStr">
        <is>
          <t>A P L Logistics</t>
        </is>
      </c>
      <c r="F68" s="16" t="inlineStr">
        <is>
          <t>100046460</t>
        </is>
      </c>
      <c r="G68" s="39" t="inlineStr">
        <is>
          <t>030965</t>
        </is>
      </c>
      <c r="H68" s="48" t="n">
        <v>41312</v>
      </c>
      <c r="I68" s="655" t="n">
        <v>10</v>
      </c>
      <c r="J68" s="74" t="inlineStr">
        <is>
          <t>បានបង់</t>
        </is>
      </c>
    </row>
    <row r="69" ht="18" customHeight="1" s="397">
      <c r="A69" s="33" t="n">
        <v>4</v>
      </c>
      <c r="B69" s="39" t="inlineStr">
        <is>
          <t>030999</t>
        </is>
      </c>
      <c r="C69" s="48" t="n">
        <v>41316</v>
      </c>
      <c r="D69" s="655" t="n">
        <v>115</v>
      </c>
      <c r="E69" s="11" t="inlineStr">
        <is>
          <t>A P L Logistics</t>
        </is>
      </c>
      <c r="F69" s="10" t="inlineStr">
        <is>
          <t>100046460</t>
        </is>
      </c>
      <c r="G69" s="39" t="inlineStr">
        <is>
          <t>030999</t>
        </is>
      </c>
      <c r="H69" s="48" t="n">
        <v>41316</v>
      </c>
      <c r="I69" s="655" t="n">
        <v>115</v>
      </c>
      <c r="J69" s="74" t="inlineStr">
        <is>
          <t>បានបង់</t>
        </is>
      </c>
    </row>
    <row r="70" ht="18" customHeight="1" s="397">
      <c r="A70" s="60" t="n">
        <v>5</v>
      </c>
      <c r="B70" s="39" t="inlineStr">
        <is>
          <t>031026</t>
        </is>
      </c>
      <c r="C70" s="48" t="n">
        <v>41317</v>
      </c>
      <c r="D70" s="655" t="n">
        <v>4</v>
      </c>
      <c r="E70" s="11" t="inlineStr">
        <is>
          <t>A P L Logistics</t>
        </is>
      </c>
      <c r="F70" s="16" t="inlineStr">
        <is>
          <t>100046460</t>
        </is>
      </c>
      <c r="G70" s="39" t="inlineStr">
        <is>
          <t>031026</t>
        </is>
      </c>
      <c r="H70" s="48" t="n">
        <v>41317</v>
      </c>
      <c r="I70" s="655" t="n">
        <v>4</v>
      </c>
      <c r="J70" s="74" t="inlineStr">
        <is>
          <t>បានបង់</t>
        </is>
      </c>
    </row>
    <row r="71" ht="18" customHeight="1" s="397">
      <c r="A71" s="33" t="n">
        <v>6</v>
      </c>
      <c r="B71" s="39" t="inlineStr">
        <is>
          <t>031069</t>
        </is>
      </c>
      <c r="C71" s="48" t="n">
        <v>41323</v>
      </c>
      <c r="D71" s="655" t="n">
        <v>266.83</v>
      </c>
      <c r="E71" s="11" t="inlineStr">
        <is>
          <t>A P L Logistics</t>
        </is>
      </c>
      <c r="F71" s="10" t="inlineStr">
        <is>
          <t>100046460</t>
        </is>
      </c>
      <c r="G71" s="39" t="inlineStr">
        <is>
          <t>031069</t>
        </is>
      </c>
      <c r="H71" s="48" t="n">
        <v>41323</v>
      </c>
      <c r="I71" s="655" t="n">
        <v>266.83</v>
      </c>
      <c r="J71" s="74" t="inlineStr">
        <is>
          <t>បានបង់</t>
        </is>
      </c>
    </row>
    <row r="72" ht="18" customHeight="1" s="397">
      <c r="A72" s="60" t="n">
        <v>7</v>
      </c>
      <c r="B72" s="39" t="inlineStr">
        <is>
          <t>031108</t>
        </is>
      </c>
      <c r="C72" s="48" t="n">
        <v>41326</v>
      </c>
      <c r="D72" s="655" t="n">
        <v>20</v>
      </c>
      <c r="E72" s="11" t="inlineStr">
        <is>
          <t>A P L Logistics</t>
        </is>
      </c>
      <c r="F72" s="16" t="inlineStr">
        <is>
          <t>100046460</t>
        </is>
      </c>
      <c r="G72" s="39" t="inlineStr">
        <is>
          <t>031108</t>
        </is>
      </c>
      <c r="H72" s="48" t="n">
        <v>41326</v>
      </c>
      <c r="I72" s="655" t="n">
        <v>20</v>
      </c>
      <c r="J72" s="74" t="inlineStr">
        <is>
          <t>បានបង់</t>
        </is>
      </c>
    </row>
    <row r="73" ht="18" customHeight="1" s="397">
      <c r="A73" s="33" t="n">
        <v>8</v>
      </c>
      <c r="B73" s="39" t="inlineStr">
        <is>
          <t>031138</t>
        </is>
      </c>
      <c r="C73" s="48" t="n">
        <v>41331</v>
      </c>
      <c r="D73" s="655" t="n">
        <v>142.19</v>
      </c>
      <c r="E73" s="11" t="inlineStr">
        <is>
          <t>A P L Logistics</t>
        </is>
      </c>
      <c r="F73" s="10" t="inlineStr">
        <is>
          <t>100046460</t>
        </is>
      </c>
      <c r="G73" s="39" t="inlineStr">
        <is>
          <t>031138</t>
        </is>
      </c>
      <c r="H73" s="48" t="n">
        <v>41331</v>
      </c>
      <c r="I73" s="655" t="n">
        <v>142.19</v>
      </c>
      <c r="J73" s="74" t="inlineStr">
        <is>
          <t>បានបង់</t>
        </is>
      </c>
    </row>
    <row r="74" ht="18" customHeight="1" s="397">
      <c r="A74" s="472" t="inlineStr">
        <is>
          <t>Total 02/2013</t>
        </is>
      </c>
      <c r="B74" s="574" t="n"/>
      <c r="C74" s="563" t="n"/>
      <c r="D74" s="656">
        <f>SUM(D66:D73)</f>
        <v/>
      </c>
      <c r="E74" s="53" t="n"/>
      <c r="F74" s="54" t="n"/>
      <c r="G74" s="59" t="n"/>
      <c r="H74" s="652" t="inlineStr">
        <is>
          <t>USD</t>
        </is>
      </c>
      <c r="I74" s="656">
        <f>SUM(I66:I73)</f>
        <v/>
      </c>
      <c r="J74" s="7" t="n"/>
    </row>
    <row r="75" ht="21.9" customHeight="1" s="397">
      <c r="A75" s="472" t="inlineStr">
        <is>
          <t>Total 02/2013</t>
        </is>
      </c>
      <c r="B75" s="574" t="n"/>
      <c r="C75" s="563" t="n"/>
      <c r="D75" s="656" t="n"/>
      <c r="E75" s="53" t="n"/>
      <c r="F75" s="54" t="n"/>
      <c r="G75" s="657" t="n">
        <v>3995</v>
      </c>
      <c r="H75" s="652" t="inlineStr">
        <is>
          <t>RIEL</t>
        </is>
      </c>
      <c r="I75" s="654">
        <f>I74*G75</f>
        <v/>
      </c>
      <c r="J75" s="7" t="n"/>
    </row>
    <row r="76" ht="18" customHeight="1" s="397">
      <c r="A76" s="33" t="n">
        <v>1</v>
      </c>
      <c r="B76" s="39" t="inlineStr">
        <is>
          <t>031210</t>
        </is>
      </c>
      <c r="C76" s="48" t="n">
        <v>41337</v>
      </c>
      <c r="D76" s="655" t="n">
        <v>115.18</v>
      </c>
      <c r="E76" s="11" t="inlineStr">
        <is>
          <t>A P L Logistics</t>
        </is>
      </c>
      <c r="F76" s="10" t="inlineStr">
        <is>
          <t>100046460</t>
        </is>
      </c>
      <c r="G76" s="39" t="inlineStr">
        <is>
          <t>031210</t>
        </is>
      </c>
      <c r="H76" s="48" t="n">
        <v>41337</v>
      </c>
      <c r="I76" s="655" t="n">
        <v>115.18</v>
      </c>
      <c r="J76" s="74" t="inlineStr">
        <is>
          <t>បានបង់</t>
        </is>
      </c>
    </row>
    <row r="77" ht="18" customHeight="1" s="397">
      <c r="A77" s="33" t="n">
        <v>2</v>
      </c>
      <c r="B77" s="39" t="inlineStr">
        <is>
          <t>031195</t>
        </is>
      </c>
      <c r="C77" s="48" t="n">
        <v>41337</v>
      </c>
      <c r="D77" s="655" t="n">
        <v>107.71</v>
      </c>
      <c r="E77" s="11" t="inlineStr">
        <is>
          <t>A P L Logistics</t>
        </is>
      </c>
      <c r="F77" s="10" t="inlineStr">
        <is>
          <t>100046460</t>
        </is>
      </c>
      <c r="G77" s="39" t="inlineStr">
        <is>
          <t>031195</t>
        </is>
      </c>
      <c r="H77" s="48" t="n">
        <v>41337</v>
      </c>
      <c r="I77" s="655" t="n">
        <v>107.71</v>
      </c>
      <c r="J77" s="74" t="inlineStr">
        <is>
          <t>បានបង់</t>
        </is>
      </c>
    </row>
    <row r="78" ht="18" customHeight="1" s="397">
      <c r="A78" s="33" t="n">
        <v>3</v>
      </c>
      <c r="B78" s="39" t="inlineStr">
        <is>
          <t>031383</t>
        </is>
      </c>
      <c r="C78" s="48" t="n">
        <v>41344</v>
      </c>
      <c r="D78" s="655" t="n">
        <v>109.81</v>
      </c>
      <c r="E78" s="11" t="inlineStr">
        <is>
          <t>A P L Logistics</t>
        </is>
      </c>
      <c r="F78" s="10" t="inlineStr">
        <is>
          <t>100046460</t>
        </is>
      </c>
      <c r="G78" s="39" t="inlineStr">
        <is>
          <t>031383</t>
        </is>
      </c>
      <c r="H78" s="48" t="n">
        <v>41344</v>
      </c>
      <c r="I78" s="655" t="n">
        <v>109.81</v>
      </c>
      <c r="J78" s="74" t="inlineStr">
        <is>
          <t>បានបង់</t>
        </is>
      </c>
    </row>
    <row r="79" ht="18" customHeight="1" s="397">
      <c r="A79" s="33" t="n">
        <v>4</v>
      </c>
      <c r="B79" s="39" t="inlineStr">
        <is>
          <t>031454</t>
        </is>
      </c>
      <c r="C79" s="48" t="n">
        <v>41351</v>
      </c>
      <c r="D79" s="655" t="n">
        <v>307.84</v>
      </c>
      <c r="E79" s="11" t="inlineStr">
        <is>
          <t>A P L Logistics</t>
        </is>
      </c>
      <c r="F79" s="10" t="inlineStr">
        <is>
          <t>100046460</t>
        </is>
      </c>
      <c r="G79" s="39" t="inlineStr">
        <is>
          <t>031454</t>
        </is>
      </c>
      <c r="H79" s="48" t="n">
        <v>41351</v>
      </c>
      <c r="I79" s="655" t="n">
        <v>307.84</v>
      </c>
      <c r="J79" s="74" t="inlineStr">
        <is>
          <t>បានបង់</t>
        </is>
      </c>
    </row>
    <row r="80" ht="18" customHeight="1" s="397">
      <c r="A80" s="33" t="n">
        <v>5</v>
      </c>
      <c r="B80" s="39" t="inlineStr">
        <is>
          <t>031507</t>
        </is>
      </c>
      <c r="C80" s="48" t="n">
        <v>41354</v>
      </c>
      <c r="D80" s="655" t="n">
        <v>8</v>
      </c>
      <c r="E80" s="11" t="inlineStr">
        <is>
          <t>APL Logistics</t>
        </is>
      </c>
      <c r="F80" s="16" t="inlineStr">
        <is>
          <t>100046460</t>
        </is>
      </c>
      <c r="G80" s="39" t="inlineStr">
        <is>
          <t>031507</t>
        </is>
      </c>
      <c r="H80" s="48" t="n">
        <v>41354</v>
      </c>
      <c r="I80" s="655" t="n">
        <v>8</v>
      </c>
      <c r="J80" s="74" t="inlineStr">
        <is>
          <t>បានបង់</t>
        </is>
      </c>
    </row>
    <row r="81" ht="18" customHeight="1" s="397">
      <c r="A81" s="33" t="n">
        <v>6</v>
      </c>
      <c r="B81" s="39" t="inlineStr">
        <is>
          <t>031511</t>
        </is>
      </c>
      <c r="C81" s="48" t="n">
        <v>41354</v>
      </c>
      <c r="D81" s="655" t="n">
        <v>10</v>
      </c>
      <c r="E81" s="11" t="inlineStr">
        <is>
          <t>APL Logistics</t>
        </is>
      </c>
      <c r="F81" s="16" t="inlineStr">
        <is>
          <t>100046460</t>
        </is>
      </c>
      <c r="G81" s="39" t="inlineStr">
        <is>
          <t>031511</t>
        </is>
      </c>
      <c r="H81" s="48" t="n">
        <v>41354</v>
      </c>
      <c r="I81" s="655" t="n">
        <v>10</v>
      </c>
      <c r="J81" s="74" t="inlineStr">
        <is>
          <t>បានបង់</t>
        </is>
      </c>
    </row>
    <row r="82" ht="18" customHeight="1" s="397">
      <c r="A82" s="33" t="n">
        <v>7</v>
      </c>
      <c r="B82" s="39" t="inlineStr">
        <is>
          <t>031543</t>
        </is>
      </c>
      <c r="C82" s="48" t="n">
        <v>41358</v>
      </c>
      <c r="D82" s="655" t="n">
        <v>190.8</v>
      </c>
      <c r="E82" s="11" t="inlineStr">
        <is>
          <t>A P L Logistics</t>
        </is>
      </c>
      <c r="F82" s="10" t="inlineStr">
        <is>
          <t>100046460</t>
        </is>
      </c>
      <c r="G82" s="39" t="inlineStr">
        <is>
          <t>031543</t>
        </is>
      </c>
      <c r="H82" s="48" t="n">
        <v>41358</v>
      </c>
      <c r="I82" s="655" t="n">
        <v>190.8</v>
      </c>
      <c r="J82" s="74" t="inlineStr">
        <is>
          <t>បានបង់</t>
        </is>
      </c>
    </row>
    <row r="83" ht="18" customHeight="1" s="397">
      <c r="A83" s="33" t="n">
        <v>8</v>
      </c>
      <c r="B83" s="39" t="inlineStr">
        <is>
          <t>031588</t>
        </is>
      </c>
      <c r="C83" s="48" t="n">
        <v>41360</v>
      </c>
      <c r="D83" s="655" t="n">
        <v>8</v>
      </c>
      <c r="E83" s="11" t="inlineStr">
        <is>
          <t>APL Logistics</t>
        </is>
      </c>
      <c r="F83" s="16" t="inlineStr">
        <is>
          <t>100046460</t>
        </is>
      </c>
      <c r="G83" s="39" t="inlineStr">
        <is>
          <t>031588</t>
        </is>
      </c>
      <c r="H83" s="48" t="n">
        <v>41360</v>
      </c>
      <c r="I83" s="655" t="n">
        <v>8</v>
      </c>
      <c r="J83" s="74" t="inlineStr">
        <is>
          <t>បានបង់</t>
        </is>
      </c>
    </row>
    <row r="84" ht="18" customHeight="1" s="397">
      <c r="A84" s="33" t="n">
        <v>9</v>
      </c>
      <c r="B84" s="39" t="inlineStr">
        <is>
          <t>031592</t>
        </is>
      </c>
      <c r="C84" s="48" t="n">
        <v>41360</v>
      </c>
      <c r="D84" s="655" t="n">
        <v>10</v>
      </c>
      <c r="E84" s="11" t="inlineStr">
        <is>
          <t>APL Logistics</t>
        </is>
      </c>
      <c r="F84" s="16" t="inlineStr">
        <is>
          <t>100046460</t>
        </is>
      </c>
      <c r="G84" s="39" t="inlineStr">
        <is>
          <t>031592</t>
        </is>
      </c>
      <c r="H84" s="48" t="n">
        <v>41360</v>
      </c>
      <c r="I84" s="655" t="n">
        <v>10</v>
      </c>
      <c r="J84" s="74" t="inlineStr">
        <is>
          <t>បានបង់</t>
        </is>
      </c>
    </row>
    <row r="85" ht="18" customHeight="1" s="397">
      <c r="A85" s="472" t="inlineStr">
        <is>
          <t>Total 03/2013</t>
        </is>
      </c>
      <c r="B85" s="574" t="n"/>
      <c r="C85" s="563" t="n"/>
      <c r="D85" s="656">
        <f>SUM(D76:D84)</f>
        <v/>
      </c>
      <c r="E85" s="53" t="n"/>
      <c r="F85" s="54" t="n"/>
      <c r="G85" s="59" t="n"/>
      <c r="H85" s="652" t="inlineStr">
        <is>
          <t>USD</t>
        </is>
      </c>
      <c r="I85" s="656">
        <f>SUM(I76:I84)</f>
        <v/>
      </c>
      <c r="J85" s="7" t="n"/>
    </row>
    <row r="86" ht="21.9" customHeight="1" s="397">
      <c r="A86" s="472" t="inlineStr">
        <is>
          <t>Total 03/2013</t>
        </is>
      </c>
      <c r="B86" s="574" t="n"/>
      <c r="C86" s="563" t="n"/>
      <c r="D86" s="656" t="n"/>
      <c r="E86" s="53" t="n"/>
      <c r="F86" s="54" t="n"/>
      <c r="G86" s="653" t="n">
        <v>3995</v>
      </c>
      <c r="H86" s="652" t="inlineStr">
        <is>
          <t>RIEL</t>
        </is>
      </c>
      <c r="I86" s="654">
        <f>I85*G86</f>
        <v/>
      </c>
      <c r="J86" s="7" t="n"/>
    </row>
    <row r="87" ht="18" customHeight="1" s="397">
      <c r="A87" s="60" t="n">
        <v>1</v>
      </c>
      <c r="B87" s="39" t="inlineStr">
        <is>
          <t>031616</t>
        </is>
      </c>
      <c r="C87" s="48" t="n">
        <v>41365</v>
      </c>
      <c r="D87" s="655" t="n">
        <v>40.32</v>
      </c>
      <c r="E87" s="11" t="inlineStr">
        <is>
          <t>APL Logistics</t>
        </is>
      </c>
      <c r="F87" s="16" t="inlineStr">
        <is>
          <t>100046460</t>
        </is>
      </c>
      <c r="G87" s="39" t="inlineStr">
        <is>
          <t>031616</t>
        </is>
      </c>
      <c r="H87" s="48" t="n">
        <v>41365</v>
      </c>
      <c r="I87" s="655" t="n">
        <v>40.32</v>
      </c>
      <c r="J87" s="74" t="inlineStr">
        <is>
          <t>បានបង់</t>
        </is>
      </c>
    </row>
    <row r="88" ht="18" customHeight="1" s="397">
      <c r="A88" s="33" t="n">
        <v>2</v>
      </c>
      <c r="B88" s="39" t="inlineStr">
        <is>
          <t>031641</t>
        </is>
      </c>
      <c r="C88" s="48" t="n">
        <v>41366</v>
      </c>
      <c r="D88" s="655" t="n">
        <v>168.98</v>
      </c>
      <c r="E88" s="11" t="inlineStr">
        <is>
          <t>A P L Logistics</t>
        </is>
      </c>
      <c r="F88" s="10" t="inlineStr">
        <is>
          <t>100046460</t>
        </is>
      </c>
      <c r="G88" s="39" t="inlineStr">
        <is>
          <t>031641</t>
        </is>
      </c>
      <c r="H88" s="48" t="n">
        <v>41366</v>
      </c>
      <c r="I88" s="655" t="n">
        <v>168.98</v>
      </c>
      <c r="J88" s="74" t="inlineStr">
        <is>
          <t>បានបង់</t>
        </is>
      </c>
    </row>
    <row r="89" ht="18" customHeight="1" s="397">
      <c r="A89" s="60" t="n">
        <v>3</v>
      </c>
      <c r="B89" s="39" t="inlineStr">
        <is>
          <t>031704</t>
        </is>
      </c>
      <c r="C89" s="48" t="n">
        <v>41372</v>
      </c>
      <c r="D89" s="655" t="n">
        <v>104.23</v>
      </c>
      <c r="E89" s="11" t="inlineStr">
        <is>
          <t>A P L Logistics</t>
        </is>
      </c>
      <c r="F89" s="10" t="inlineStr">
        <is>
          <t>100046460</t>
        </is>
      </c>
      <c r="G89" s="39" t="inlineStr">
        <is>
          <t>031704</t>
        </is>
      </c>
      <c r="H89" s="48" t="n">
        <v>41372</v>
      </c>
      <c r="I89" s="655" t="n">
        <v>104.23</v>
      </c>
      <c r="J89" s="74" t="inlineStr">
        <is>
          <t>បានបង់</t>
        </is>
      </c>
    </row>
    <row r="90" ht="18" customHeight="1" s="397">
      <c r="A90" s="33" t="n">
        <v>4</v>
      </c>
      <c r="B90" s="39" t="inlineStr">
        <is>
          <t>031730</t>
        </is>
      </c>
      <c r="C90" s="48" t="n">
        <v>41372</v>
      </c>
      <c r="D90" s="655" t="n">
        <v>222.39</v>
      </c>
      <c r="E90" s="11" t="inlineStr">
        <is>
          <t>A P L Logistics</t>
        </is>
      </c>
      <c r="F90" s="10" t="inlineStr">
        <is>
          <t>100046460</t>
        </is>
      </c>
      <c r="G90" s="39" t="inlineStr">
        <is>
          <t>031730</t>
        </is>
      </c>
      <c r="H90" s="48" t="n">
        <v>41372</v>
      </c>
      <c r="I90" s="655" t="n">
        <v>222.39</v>
      </c>
      <c r="J90" s="74" t="inlineStr">
        <is>
          <t>បានបង់</t>
        </is>
      </c>
    </row>
    <row r="91" ht="18" customHeight="1" s="397">
      <c r="A91" s="60" t="n">
        <v>5</v>
      </c>
      <c r="B91" s="39" t="inlineStr">
        <is>
          <t>031771</t>
        </is>
      </c>
      <c r="C91" s="48" t="n">
        <v>41374</v>
      </c>
      <c r="D91" s="655" t="n">
        <v>10</v>
      </c>
      <c r="E91" s="11" t="inlineStr">
        <is>
          <t>APL Logistics</t>
        </is>
      </c>
      <c r="F91" s="16" t="inlineStr">
        <is>
          <t>100046460</t>
        </is>
      </c>
      <c r="G91" s="39" t="inlineStr">
        <is>
          <t>031771</t>
        </is>
      </c>
      <c r="H91" s="48" t="n">
        <v>41374</v>
      </c>
      <c r="I91" s="655" t="n">
        <v>10</v>
      </c>
      <c r="J91" s="74" t="inlineStr">
        <is>
          <t>បានបង់</t>
        </is>
      </c>
    </row>
    <row r="92" ht="18" customHeight="1" s="397">
      <c r="A92" s="33" t="n">
        <v>6</v>
      </c>
      <c r="B92" s="39" t="inlineStr">
        <is>
          <t>31799</t>
        </is>
      </c>
      <c r="C92" s="48" t="n">
        <v>41382</v>
      </c>
      <c r="D92" s="655" t="n">
        <v>149.76</v>
      </c>
      <c r="E92" s="11" t="inlineStr">
        <is>
          <t>A P L Logistics</t>
        </is>
      </c>
      <c r="F92" s="10" t="inlineStr">
        <is>
          <t>100046460</t>
        </is>
      </c>
      <c r="G92" s="39" t="inlineStr">
        <is>
          <t>31799</t>
        </is>
      </c>
      <c r="H92" s="48" t="n">
        <v>41382</v>
      </c>
      <c r="I92" s="655" t="n">
        <v>149.76</v>
      </c>
      <c r="J92" s="74" t="inlineStr">
        <is>
          <t>បានបង់</t>
        </is>
      </c>
    </row>
    <row r="93" ht="18" customHeight="1" s="397">
      <c r="A93" s="60" t="n">
        <v>7</v>
      </c>
      <c r="B93" s="39" t="inlineStr">
        <is>
          <t>31883</t>
        </is>
      </c>
      <c r="C93" s="48" t="n">
        <v>41386</v>
      </c>
      <c r="D93" s="655" t="n">
        <v>144.43</v>
      </c>
      <c r="E93" s="11" t="inlineStr">
        <is>
          <t>A P L Logistics</t>
        </is>
      </c>
      <c r="F93" s="10" t="inlineStr">
        <is>
          <t>100046460</t>
        </is>
      </c>
      <c r="G93" s="39" t="inlineStr">
        <is>
          <t>31883</t>
        </is>
      </c>
      <c r="H93" s="48" t="n">
        <v>41386</v>
      </c>
      <c r="I93" s="655" t="n">
        <v>144.43</v>
      </c>
      <c r="J93" s="74" t="inlineStr">
        <is>
          <t>បានបង់</t>
        </is>
      </c>
    </row>
    <row r="94" ht="18" customHeight="1" s="397">
      <c r="A94" s="33" t="n">
        <v>8</v>
      </c>
      <c r="B94" s="39" t="inlineStr">
        <is>
          <t>31901</t>
        </is>
      </c>
      <c r="C94" s="48" t="n">
        <v>41387</v>
      </c>
      <c r="D94" s="655" t="n">
        <v>8</v>
      </c>
      <c r="E94" s="11" t="inlineStr">
        <is>
          <t>APL Logistics</t>
        </is>
      </c>
      <c r="F94" s="16" t="inlineStr">
        <is>
          <t>100046460</t>
        </is>
      </c>
      <c r="G94" s="39" t="inlineStr">
        <is>
          <t>31901</t>
        </is>
      </c>
      <c r="H94" s="48" t="n">
        <v>41387</v>
      </c>
      <c r="I94" s="655" t="n">
        <v>8</v>
      </c>
      <c r="J94" s="74" t="inlineStr">
        <is>
          <t>បានបង់</t>
        </is>
      </c>
    </row>
    <row r="95" ht="18" customHeight="1" s="397">
      <c r="A95" s="60" t="n">
        <v>9</v>
      </c>
      <c r="B95" s="39" t="inlineStr">
        <is>
          <t>031922</t>
        </is>
      </c>
      <c r="C95" s="48" t="n">
        <v>41394</v>
      </c>
      <c r="D95" s="655" t="n">
        <v>134.76</v>
      </c>
      <c r="E95" s="11" t="inlineStr">
        <is>
          <t>A P L Logistics</t>
        </is>
      </c>
      <c r="F95" s="10" t="inlineStr">
        <is>
          <t>100046460</t>
        </is>
      </c>
      <c r="G95" s="39" t="inlineStr">
        <is>
          <t>031922</t>
        </is>
      </c>
      <c r="H95" s="48" t="n">
        <v>41394</v>
      </c>
      <c r="I95" s="655" t="n">
        <v>134.76</v>
      </c>
      <c r="J95" s="74" t="inlineStr">
        <is>
          <t>បានបង់</t>
        </is>
      </c>
    </row>
    <row r="96" ht="18" customHeight="1" s="397">
      <c r="A96" s="33" t="n">
        <v>10</v>
      </c>
      <c r="B96" s="39" t="inlineStr">
        <is>
          <t>31940</t>
        </is>
      </c>
      <c r="C96" s="48" t="n">
        <v>41394</v>
      </c>
      <c r="D96" s="655" t="n">
        <v>155.38</v>
      </c>
      <c r="E96" s="11" t="inlineStr">
        <is>
          <t>A P L Logistics</t>
        </is>
      </c>
      <c r="F96" s="10" t="inlineStr">
        <is>
          <t>100046460</t>
        </is>
      </c>
      <c r="G96" s="39" t="inlineStr">
        <is>
          <t>31940</t>
        </is>
      </c>
      <c r="H96" s="48" t="n">
        <v>41394</v>
      </c>
      <c r="I96" s="655" t="n">
        <v>155.38</v>
      </c>
      <c r="J96" s="74" t="inlineStr">
        <is>
          <t>បានបង់</t>
        </is>
      </c>
    </row>
    <row r="97" ht="18" customHeight="1" s="397">
      <c r="A97" s="472" t="inlineStr">
        <is>
          <t>Total 04/2013</t>
        </is>
      </c>
      <c r="B97" s="574" t="n"/>
      <c r="C97" s="563" t="n"/>
      <c r="D97" s="656">
        <f>SUM(D87:D96)</f>
        <v/>
      </c>
      <c r="E97" s="53" t="n"/>
      <c r="F97" s="54" t="n"/>
      <c r="G97" s="59" t="n"/>
      <c r="H97" s="652" t="inlineStr">
        <is>
          <t>USD</t>
        </is>
      </c>
      <c r="I97" s="656">
        <f>SUM(I87:I96)</f>
        <v/>
      </c>
      <c r="J97" s="7" t="n"/>
    </row>
    <row r="98" ht="21.9" customHeight="1" s="397">
      <c r="A98" s="472" t="inlineStr">
        <is>
          <t>Total 04/2013</t>
        </is>
      </c>
      <c r="B98" s="574" t="n"/>
      <c r="C98" s="563" t="n"/>
      <c r="D98" s="656" t="n"/>
      <c r="E98" s="53" t="n"/>
      <c r="F98" s="54" t="n"/>
      <c r="G98" s="653" t="n">
        <v>4000</v>
      </c>
      <c r="H98" s="652" t="inlineStr">
        <is>
          <t>RIEL</t>
        </is>
      </c>
      <c r="I98" s="654">
        <f>I97*G98</f>
        <v/>
      </c>
      <c r="J98" s="7" t="n"/>
    </row>
    <row r="99" ht="18" customHeight="1" s="397">
      <c r="A99" s="60" t="n">
        <v>1</v>
      </c>
      <c r="B99" s="39" t="inlineStr">
        <is>
          <t>031981</t>
        </is>
      </c>
      <c r="C99" s="48" t="n">
        <v>41397</v>
      </c>
      <c r="D99" s="655" t="n">
        <v>20</v>
      </c>
      <c r="E99" s="11" t="inlineStr">
        <is>
          <t>APL Logistics</t>
        </is>
      </c>
      <c r="F99" s="16" t="inlineStr">
        <is>
          <t>100046460</t>
        </is>
      </c>
      <c r="G99" s="39" t="inlineStr">
        <is>
          <t>031981</t>
        </is>
      </c>
      <c r="H99" s="48" t="n">
        <v>41397</v>
      </c>
      <c r="I99" s="655" t="n">
        <v>20</v>
      </c>
      <c r="J99" s="74" t="inlineStr">
        <is>
          <t>បានបង់</t>
        </is>
      </c>
    </row>
    <row r="100" ht="18" customHeight="1" s="397">
      <c r="A100" s="60" t="n">
        <v>2</v>
      </c>
      <c r="B100" s="39" t="inlineStr">
        <is>
          <t>031984</t>
        </is>
      </c>
      <c r="C100" s="48" t="n">
        <v>41400</v>
      </c>
      <c r="D100" s="655" t="n">
        <v>25</v>
      </c>
      <c r="E100" s="11" t="inlineStr">
        <is>
          <t>APL Logistics</t>
        </is>
      </c>
      <c r="F100" s="16" t="inlineStr">
        <is>
          <t>100046460</t>
        </is>
      </c>
      <c r="G100" s="39" t="inlineStr">
        <is>
          <t>031984</t>
        </is>
      </c>
      <c r="H100" s="48" t="n">
        <v>41400</v>
      </c>
      <c r="I100" s="655" t="n">
        <v>25</v>
      </c>
      <c r="J100" s="74" t="inlineStr">
        <is>
          <t>បានបង់</t>
        </is>
      </c>
    </row>
    <row r="101" ht="18" customHeight="1" s="397">
      <c r="A101" s="60" t="n">
        <v>3</v>
      </c>
      <c r="B101" s="39" t="inlineStr">
        <is>
          <t>032002</t>
        </is>
      </c>
      <c r="C101" s="48" t="n">
        <v>41400</v>
      </c>
      <c r="D101" s="655" t="n">
        <v>157.3</v>
      </c>
      <c r="E101" s="11" t="inlineStr">
        <is>
          <t>A P L Logistics</t>
        </is>
      </c>
      <c r="F101" s="10" t="inlineStr">
        <is>
          <t>100046460</t>
        </is>
      </c>
      <c r="G101" s="39" t="inlineStr">
        <is>
          <t>032002</t>
        </is>
      </c>
      <c r="H101" s="48" t="n">
        <v>41400</v>
      </c>
      <c r="I101" s="655" t="n">
        <v>157.3</v>
      </c>
      <c r="J101" s="74" t="inlineStr">
        <is>
          <t>បានបង់</t>
        </is>
      </c>
    </row>
    <row r="102" ht="18" customHeight="1" s="397">
      <c r="A102" s="60" t="n">
        <v>4</v>
      </c>
      <c r="B102" s="39" t="inlineStr">
        <is>
          <t>032076</t>
        </is>
      </c>
      <c r="C102" s="48" t="n">
        <v>41410</v>
      </c>
      <c r="D102" s="655" t="n">
        <v>140.63</v>
      </c>
      <c r="E102" s="11" t="inlineStr">
        <is>
          <t>A P L Logistics</t>
        </is>
      </c>
      <c r="F102" s="10" t="inlineStr">
        <is>
          <t>100046460</t>
        </is>
      </c>
      <c r="G102" s="39" t="inlineStr">
        <is>
          <t>032076</t>
        </is>
      </c>
      <c r="H102" s="48" t="n">
        <v>41410</v>
      </c>
      <c r="I102" s="655" t="n">
        <v>140.63</v>
      </c>
      <c r="J102" s="74" t="inlineStr">
        <is>
          <t>បានបង់</t>
        </is>
      </c>
    </row>
    <row r="103" ht="18" customHeight="1" s="397">
      <c r="A103" s="60" t="n">
        <v>5</v>
      </c>
      <c r="B103" s="39" t="inlineStr">
        <is>
          <t>032132</t>
        </is>
      </c>
      <c r="C103" s="48" t="n">
        <v>41414</v>
      </c>
      <c r="D103" s="655" t="n">
        <v>82.47</v>
      </c>
      <c r="E103" s="11" t="inlineStr">
        <is>
          <t>A P L Logistics</t>
        </is>
      </c>
      <c r="F103" s="10" t="inlineStr">
        <is>
          <t>100046460</t>
        </is>
      </c>
      <c r="G103" s="39" t="inlineStr">
        <is>
          <t>032132</t>
        </is>
      </c>
      <c r="H103" s="48" t="n">
        <v>41414</v>
      </c>
      <c r="I103" s="655" t="n">
        <v>82.47</v>
      </c>
      <c r="J103" s="74" t="inlineStr">
        <is>
          <t>បានបង់</t>
        </is>
      </c>
    </row>
    <row r="104" ht="18" customHeight="1" s="397">
      <c r="A104" s="60" t="n">
        <v>6</v>
      </c>
      <c r="B104" s="39" t="inlineStr">
        <is>
          <t>032152</t>
        </is>
      </c>
      <c r="C104" s="48" t="n">
        <v>41415</v>
      </c>
      <c r="D104" s="655" t="n">
        <v>92.5</v>
      </c>
      <c r="E104" s="11" t="inlineStr">
        <is>
          <t>A P L Logistics</t>
        </is>
      </c>
      <c r="F104" s="10" t="inlineStr">
        <is>
          <t>100046460</t>
        </is>
      </c>
      <c r="G104" s="39" t="inlineStr">
        <is>
          <t>032152</t>
        </is>
      </c>
      <c r="H104" s="48" t="n">
        <v>41415</v>
      </c>
      <c r="I104" s="655" t="n">
        <v>92.5</v>
      </c>
      <c r="J104" s="74" t="inlineStr">
        <is>
          <t>បានបង់</t>
        </is>
      </c>
    </row>
    <row r="105" ht="18" customHeight="1" s="397">
      <c r="A105" s="60" t="n">
        <v>7</v>
      </c>
      <c r="B105" s="39" t="inlineStr">
        <is>
          <t>032159</t>
        </is>
      </c>
      <c r="C105" s="48" t="n">
        <v>41415</v>
      </c>
      <c r="D105" s="655" t="n">
        <v>4</v>
      </c>
      <c r="E105" s="11" t="inlineStr">
        <is>
          <t>APL Logistics</t>
        </is>
      </c>
      <c r="F105" s="16" t="inlineStr">
        <is>
          <t>100046460</t>
        </is>
      </c>
      <c r="G105" s="39" t="inlineStr">
        <is>
          <t>032159</t>
        </is>
      </c>
      <c r="H105" s="48" t="n">
        <v>41415</v>
      </c>
      <c r="I105" s="655" t="n">
        <v>4</v>
      </c>
      <c r="J105" s="74" t="inlineStr">
        <is>
          <t>បានបង់</t>
        </is>
      </c>
    </row>
    <row r="106" ht="18" customHeight="1" s="397">
      <c r="A106" s="60" t="n">
        <v>8</v>
      </c>
      <c r="B106" s="39" t="inlineStr">
        <is>
          <t>032216</t>
        </is>
      </c>
      <c r="C106" s="48" t="n">
        <v>41421</v>
      </c>
      <c r="D106" s="655" t="n">
        <v>63.52</v>
      </c>
      <c r="E106" s="11" t="inlineStr">
        <is>
          <t>APL Logistics</t>
        </is>
      </c>
      <c r="F106" s="16" t="inlineStr">
        <is>
          <t>100046460</t>
        </is>
      </c>
      <c r="G106" s="39" t="inlineStr">
        <is>
          <t>032216</t>
        </is>
      </c>
      <c r="H106" s="48" t="n">
        <v>41421</v>
      </c>
      <c r="I106" s="655" t="n">
        <v>63.52</v>
      </c>
      <c r="J106" s="74" t="inlineStr">
        <is>
          <t>បានបង់</t>
        </is>
      </c>
    </row>
    <row r="107" ht="18" customHeight="1" s="397">
      <c r="A107" s="472" t="inlineStr">
        <is>
          <t>Total 05/2013</t>
        </is>
      </c>
      <c r="B107" s="574" t="n"/>
      <c r="C107" s="563" t="n"/>
      <c r="D107" s="656">
        <f>SUM(D99:D106)</f>
        <v/>
      </c>
      <c r="E107" s="53" t="n"/>
      <c r="F107" s="54" t="n"/>
      <c r="G107" s="62" t="n"/>
      <c r="H107" s="652" t="inlineStr">
        <is>
          <t>USD</t>
        </is>
      </c>
      <c r="I107" s="656">
        <f>SUM(I99:I106)</f>
        <v/>
      </c>
      <c r="J107" s="50" t="n"/>
    </row>
    <row r="108" ht="21.9" customHeight="1" s="397">
      <c r="A108" s="472" t="inlineStr">
        <is>
          <t>Total 05/2013</t>
        </is>
      </c>
      <c r="B108" s="574" t="n"/>
      <c r="C108" s="563" t="n"/>
      <c r="D108" s="656" t="n"/>
      <c r="E108" s="53" t="n"/>
      <c r="F108" s="54" t="n"/>
      <c r="G108" s="653" t="n">
        <v>4034</v>
      </c>
      <c r="H108" s="652" t="inlineStr">
        <is>
          <t>RIEL</t>
        </is>
      </c>
      <c r="I108" s="654">
        <f>I107*G108</f>
        <v/>
      </c>
      <c r="J108" s="50" t="n"/>
    </row>
    <row r="109" ht="18" customHeight="1" s="397">
      <c r="A109" s="33" t="n">
        <v>1</v>
      </c>
      <c r="B109" s="39" t="inlineStr">
        <is>
          <t>032272</t>
        </is>
      </c>
      <c r="C109" s="48" t="n">
        <v>41428</v>
      </c>
      <c r="D109" s="655" t="n">
        <v>148.71</v>
      </c>
      <c r="E109" s="11" t="inlineStr">
        <is>
          <t>A P L Logistics</t>
        </is>
      </c>
      <c r="F109" s="10" t="inlineStr">
        <is>
          <t>100046460</t>
        </is>
      </c>
      <c r="G109" s="39" t="inlineStr">
        <is>
          <t>032272</t>
        </is>
      </c>
      <c r="H109" s="48" t="n">
        <v>41428</v>
      </c>
      <c r="I109" s="655" t="n">
        <v>148.71</v>
      </c>
      <c r="J109" s="74" t="inlineStr">
        <is>
          <t>បានបង់</t>
        </is>
      </c>
    </row>
    <row r="110" ht="18" customHeight="1" s="397">
      <c r="A110" s="33" t="n">
        <v>2</v>
      </c>
      <c r="B110" s="39" t="inlineStr">
        <is>
          <t>032326</t>
        </is>
      </c>
      <c r="C110" s="48" t="n">
        <v>41435</v>
      </c>
      <c r="D110" s="655" t="n">
        <v>52.58</v>
      </c>
      <c r="E110" s="11" t="inlineStr">
        <is>
          <t>A P L Logistics</t>
        </is>
      </c>
      <c r="F110" s="16" t="inlineStr">
        <is>
          <t>100046460</t>
        </is>
      </c>
      <c r="G110" s="39" t="inlineStr">
        <is>
          <t>032326</t>
        </is>
      </c>
      <c r="H110" s="48" t="n">
        <v>41435</v>
      </c>
      <c r="I110" s="655" t="n">
        <v>52.58</v>
      </c>
      <c r="J110" s="74" t="inlineStr">
        <is>
          <t>បានបង់</t>
        </is>
      </c>
    </row>
    <row r="111" ht="18" customHeight="1" s="397">
      <c r="A111" s="33" t="n">
        <v>3</v>
      </c>
      <c r="B111" s="39" t="inlineStr">
        <is>
          <t>032351</t>
        </is>
      </c>
      <c r="C111" s="48" t="n">
        <v>41435</v>
      </c>
      <c r="D111" s="655" t="n">
        <v>70.70999999999999</v>
      </c>
      <c r="E111" s="11" t="inlineStr">
        <is>
          <t>A P L Logistics</t>
        </is>
      </c>
      <c r="F111" s="16" t="inlineStr">
        <is>
          <t>100046460</t>
        </is>
      </c>
      <c r="G111" s="39" t="inlineStr">
        <is>
          <t>032351</t>
        </is>
      </c>
      <c r="H111" s="48" t="n">
        <v>41435</v>
      </c>
      <c r="I111" s="655" t="n">
        <v>70.70999999999999</v>
      </c>
      <c r="J111" s="74" t="inlineStr">
        <is>
          <t>បានបង់</t>
        </is>
      </c>
    </row>
    <row r="112" ht="18" customHeight="1" s="397">
      <c r="A112" s="33" t="n">
        <v>4</v>
      </c>
      <c r="B112" s="39" t="inlineStr">
        <is>
          <t>032452</t>
        </is>
      </c>
      <c r="C112" s="48" t="n">
        <v>41442</v>
      </c>
      <c r="D112" s="655" t="n">
        <v>207.09</v>
      </c>
      <c r="E112" s="11" t="inlineStr">
        <is>
          <t>A P L Logistics</t>
        </is>
      </c>
      <c r="F112" s="10" t="inlineStr">
        <is>
          <t>100046460</t>
        </is>
      </c>
      <c r="G112" s="39" t="inlineStr">
        <is>
          <t>032452</t>
        </is>
      </c>
      <c r="H112" s="48" t="n">
        <v>41442</v>
      </c>
      <c r="I112" s="655" t="n">
        <v>207.09</v>
      </c>
      <c r="J112" s="74" t="inlineStr">
        <is>
          <t>បានបង់</t>
        </is>
      </c>
    </row>
    <row r="113" ht="18" customHeight="1" s="397">
      <c r="A113" s="33" t="n">
        <v>5</v>
      </c>
      <c r="B113" s="39" t="inlineStr">
        <is>
          <t>032516</t>
        </is>
      </c>
      <c r="C113" s="48" t="n">
        <v>41449</v>
      </c>
      <c r="D113" s="655" t="n">
        <v>79.11</v>
      </c>
      <c r="E113" s="11" t="inlineStr">
        <is>
          <t>A P L Logistics</t>
        </is>
      </c>
      <c r="F113" s="10" t="inlineStr">
        <is>
          <t>100046460</t>
        </is>
      </c>
      <c r="G113" s="39" t="inlineStr">
        <is>
          <t>032516</t>
        </is>
      </c>
      <c r="H113" s="48" t="n">
        <v>41449</v>
      </c>
      <c r="I113" s="655" t="n">
        <v>79.11</v>
      </c>
      <c r="J113" s="74" t="inlineStr">
        <is>
          <t>បានបង់</t>
        </is>
      </c>
    </row>
    <row r="114" ht="18" customHeight="1" s="397">
      <c r="A114" s="33" t="n">
        <v>6</v>
      </c>
      <c r="B114" s="39" t="inlineStr">
        <is>
          <t>032535</t>
        </is>
      </c>
      <c r="C114" s="48" t="n">
        <v>41449</v>
      </c>
      <c r="D114" s="655" t="n">
        <v>182.92</v>
      </c>
      <c r="E114" s="11" t="inlineStr">
        <is>
          <t>A P L Logistics</t>
        </is>
      </c>
      <c r="F114" s="10" t="inlineStr">
        <is>
          <t>100046460</t>
        </is>
      </c>
      <c r="G114" s="39" t="inlineStr">
        <is>
          <t>032535</t>
        </is>
      </c>
      <c r="H114" s="48" t="n">
        <v>41449</v>
      </c>
      <c r="I114" s="655" t="n">
        <v>182.92</v>
      </c>
      <c r="J114" s="74" t="inlineStr">
        <is>
          <t>បានបង់</t>
        </is>
      </c>
    </row>
    <row r="115" ht="18" customHeight="1" s="397">
      <c r="A115" s="33" t="n">
        <v>7</v>
      </c>
      <c r="B115" s="39" t="inlineStr">
        <is>
          <t>032586</t>
        </is>
      </c>
      <c r="C115" s="48" t="n">
        <v>41453</v>
      </c>
      <c r="D115" s="655" t="n">
        <v>3.6</v>
      </c>
      <c r="E115" s="11" t="inlineStr">
        <is>
          <t>A P L Logistics</t>
        </is>
      </c>
      <c r="F115" s="16" t="inlineStr">
        <is>
          <t>100046460</t>
        </is>
      </c>
      <c r="G115" s="39" t="inlineStr">
        <is>
          <t>032586</t>
        </is>
      </c>
      <c r="H115" s="48" t="n">
        <v>41453</v>
      </c>
      <c r="I115" s="655" t="n">
        <v>3.6</v>
      </c>
      <c r="J115" s="74" t="inlineStr">
        <is>
          <t>បានបង់</t>
        </is>
      </c>
    </row>
    <row r="116" ht="18" customHeight="1" s="397">
      <c r="A116" s="472" t="inlineStr">
        <is>
          <t>Total 06/2013</t>
        </is>
      </c>
      <c r="B116" s="574" t="n"/>
      <c r="C116" s="563" t="n"/>
      <c r="D116" s="656">
        <f>SUM(D109:D115)</f>
        <v/>
      </c>
      <c r="E116" s="53" t="n"/>
      <c r="F116" s="54" t="n"/>
      <c r="G116" s="62" t="n"/>
      <c r="H116" s="652" t="inlineStr">
        <is>
          <t>USD</t>
        </is>
      </c>
      <c r="I116" s="656">
        <f>SUM(I109:I115)</f>
        <v/>
      </c>
      <c r="J116" s="7" t="n"/>
    </row>
    <row r="117" ht="21.9" customHeight="1" s="397">
      <c r="A117" s="472" t="inlineStr">
        <is>
          <t>Total 06/2013</t>
        </is>
      </c>
      <c r="B117" s="574" t="n"/>
      <c r="C117" s="563" t="n"/>
      <c r="D117" s="656" t="n"/>
      <c r="E117" s="53" t="n"/>
      <c r="F117" s="54" t="n"/>
      <c r="G117" s="653" t="n">
        <v>4063</v>
      </c>
      <c r="H117" s="652" t="inlineStr">
        <is>
          <t>RIEL</t>
        </is>
      </c>
      <c r="I117" s="654">
        <f>I116*G117</f>
        <v/>
      </c>
      <c r="J117" s="7" t="n"/>
    </row>
    <row r="118" ht="18" customHeight="1" s="397">
      <c r="A118" s="60" t="n">
        <v>1</v>
      </c>
      <c r="B118" s="39" t="inlineStr">
        <is>
          <t>032583</t>
        </is>
      </c>
      <c r="C118" s="48" t="n">
        <v>41452</v>
      </c>
      <c r="D118" s="655" t="n">
        <v>76.8</v>
      </c>
      <c r="E118" s="11" t="inlineStr">
        <is>
          <t>A P L Logistics</t>
        </is>
      </c>
      <c r="F118" s="16" t="inlineStr">
        <is>
          <t>100046460</t>
        </is>
      </c>
      <c r="G118" s="39" t="inlineStr">
        <is>
          <t>032583</t>
        </is>
      </c>
      <c r="H118" s="48" t="n">
        <v>41452</v>
      </c>
      <c r="I118" s="655" t="n">
        <v>76.8</v>
      </c>
      <c r="J118" s="74" t="inlineStr">
        <is>
          <t>បានបង់</t>
        </is>
      </c>
    </row>
    <row r="119" ht="18" customHeight="1" s="397">
      <c r="A119" s="33" t="n">
        <v>2</v>
      </c>
      <c r="B119" s="39" t="inlineStr">
        <is>
          <t>032640</t>
        </is>
      </c>
      <c r="C119" s="48" t="n">
        <v>41456</v>
      </c>
      <c r="D119" s="655" t="n">
        <v>305.89</v>
      </c>
      <c r="E119" s="11" t="inlineStr">
        <is>
          <t>A P L Logistics</t>
        </is>
      </c>
      <c r="F119" s="10" t="inlineStr">
        <is>
          <t>100046460</t>
        </is>
      </c>
      <c r="G119" s="39" t="inlineStr">
        <is>
          <t>032640</t>
        </is>
      </c>
      <c r="H119" s="48" t="n">
        <v>41456</v>
      </c>
      <c r="I119" s="655" t="n">
        <v>305.89</v>
      </c>
      <c r="J119" s="74" t="inlineStr">
        <is>
          <t>បានបង់</t>
        </is>
      </c>
    </row>
    <row r="120" ht="18" customHeight="1" s="397">
      <c r="A120" s="60" t="n">
        <v>3</v>
      </c>
      <c r="B120" s="39" t="inlineStr">
        <is>
          <t>032680</t>
        </is>
      </c>
      <c r="C120" s="48" t="n">
        <v>41463</v>
      </c>
      <c r="D120" s="655" t="n">
        <v>34.86</v>
      </c>
      <c r="E120" s="11" t="inlineStr">
        <is>
          <t>A P L Logistics</t>
        </is>
      </c>
      <c r="F120" s="16" t="inlineStr">
        <is>
          <t>100046460</t>
        </is>
      </c>
      <c r="G120" s="39" t="inlineStr">
        <is>
          <t>032680</t>
        </is>
      </c>
      <c r="H120" s="48" t="n">
        <v>41463</v>
      </c>
      <c r="I120" s="655" t="n">
        <v>34.86</v>
      </c>
      <c r="J120" s="74" t="inlineStr">
        <is>
          <t>បានបង់</t>
        </is>
      </c>
    </row>
    <row r="121" ht="18" customHeight="1" s="397">
      <c r="A121" s="33" t="n">
        <v>4</v>
      </c>
      <c r="B121" s="39" t="inlineStr">
        <is>
          <t>032710</t>
        </is>
      </c>
      <c r="C121" s="48" t="n">
        <v>41463</v>
      </c>
      <c r="D121" s="655" t="n">
        <v>450.81</v>
      </c>
      <c r="E121" s="11" t="inlineStr">
        <is>
          <t>A P L Logistics</t>
        </is>
      </c>
      <c r="F121" s="10" t="inlineStr">
        <is>
          <t>100046460</t>
        </is>
      </c>
      <c r="G121" s="39" t="inlineStr">
        <is>
          <t>032710</t>
        </is>
      </c>
      <c r="H121" s="48" t="n">
        <v>41463</v>
      </c>
      <c r="I121" s="655" t="n">
        <v>450.81</v>
      </c>
      <c r="J121" s="74" t="inlineStr">
        <is>
          <t>បានបង់</t>
        </is>
      </c>
    </row>
    <row r="122" ht="18" customHeight="1" s="397">
      <c r="A122" s="60" t="n">
        <v>5</v>
      </c>
      <c r="B122" s="39" t="inlineStr">
        <is>
          <t>032763</t>
        </is>
      </c>
      <c r="C122" s="48" t="n">
        <v>41470</v>
      </c>
      <c r="D122" s="655" t="n">
        <v>54.3</v>
      </c>
      <c r="E122" s="11" t="inlineStr">
        <is>
          <t>A P L Logistics</t>
        </is>
      </c>
      <c r="F122" s="16" t="inlineStr">
        <is>
          <t>100046460</t>
        </is>
      </c>
      <c r="G122" s="39" t="inlineStr">
        <is>
          <t>032763</t>
        </is>
      </c>
      <c r="H122" s="48" t="n">
        <v>41470</v>
      </c>
      <c r="I122" s="655" t="n">
        <v>54.3</v>
      </c>
      <c r="J122" s="74" t="inlineStr">
        <is>
          <t>បានបង់</t>
        </is>
      </c>
    </row>
    <row r="123" ht="18" customHeight="1" s="397">
      <c r="A123" s="33" t="n">
        <v>6</v>
      </c>
      <c r="B123" s="39" t="inlineStr">
        <is>
          <t>032794</t>
        </is>
      </c>
      <c r="C123" s="48" t="n">
        <v>41470</v>
      </c>
      <c r="D123" s="655" t="n">
        <v>379.69</v>
      </c>
      <c r="E123" s="11" t="inlineStr">
        <is>
          <t>A P L Logistics</t>
        </is>
      </c>
      <c r="F123" s="10" t="inlineStr">
        <is>
          <t>100046460</t>
        </is>
      </c>
      <c r="G123" s="39" t="inlineStr">
        <is>
          <t>032794</t>
        </is>
      </c>
      <c r="H123" s="48" t="n">
        <v>41470</v>
      </c>
      <c r="I123" s="655" t="n">
        <v>379.69</v>
      </c>
      <c r="J123" s="74" t="inlineStr">
        <is>
          <t>បានបង់</t>
        </is>
      </c>
    </row>
    <row r="124" ht="18" customHeight="1" s="397">
      <c r="A124" s="60" t="n">
        <v>7</v>
      </c>
      <c r="B124" s="39" t="inlineStr">
        <is>
          <t>032848</t>
        </is>
      </c>
      <c r="C124" s="48" t="n">
        <v>41477</v>
      </c>
      <c r="D124" s="655" t="n">
        <v>48.72</v>
      </c>
      <c r="E124" s="11" t="inlineStr">
        <is>
          <t>A P L Logistics</t>
        </is>
      </c>
      <c r="F124" s="16" t="inlineStr">
        <is>
          <t>100046460</t>
        </is>
      </c>
      <c r="G124" s="39" t="inlineStr">
        <is>
          <t>032848</t>
        </is>
      </c>
      <c r="H124" s="48" t="n">
        <v>41477</v>
      </c>
      <c r="I124" s="655" t="n">
        <v>48.72</v>
      </c>
      <c r="J124" s="74" t="inlineStr">
        <is>
          <t>បានបង់</t>
        </is>
      </c>
    </row>
    <row r="125" ht="18" customHeight="1" s="397">
      <c r="A125" s="33" t="n">
        <v>8</v>
      </c>
      <c r="B125" s="39" t="inlineStr">
        <is>
          <t>032889</t>
        </is>
      </c>
      <c r="C125" s="48" t="n">
        <v>41478</v>
      </c>
      <c r="D125" s="655" t="n">
        <v>175.1</v>
      </c>
      <c r="E125" s="11" t="inlineStr">
        <is>
          <t>A P L Logistics</t>
        </is>
      </c>
      <c r="F125" s="10" t="inlineStr">
        <is>
          <t>100046460</t>
        </is>
      </c>
      <c r="G125" s="39" t="inlineStr">
        <is>
          <t>032889</t>
        </is>
      </c>
      <c r="H125" s="48" t="n">
        <v>41478</v>
      </c>
      <c r="I125" s="655" t="n">
        <v>175.1</v>
      </c>
      <c r="J125" s="74" t="inlineStr">
        <is>
          <t>បានបង់</t>
        </is>
      </c>
    </row>
    <row r="126" ht="18" customHeight="1" s="397">
      <c r="A126" s="60" t="n">
        <v>9</v>
      </c>
      <c r="B126" s="39" t="inlineStr">
        <is>
          <t>032936</t>
        </is>
      </c>
      <c r="C126" s="48" t="n">
        <v>41484</v>
      </c>
      <c r="D126" s="655" t="n">
        <v>64.26000000000001</v>
      </c>
      <c r="E126" s="11" t="inlineStr">
        <is>
          <t>A P L Logistics</t>
        </is>
      </c>
      <c r="F126" s="16" t="inlineStr">
        <is>
          <t>100046460</t>
        </is>
      </c>
      <c r="G126" s="39" t="inlineStr">
        <is>
          <t>032936</t>
        </is>
      </c>
      <c r="H126" s="48" t="n">
        <v>41484</v>
      </c>
      <c r="I126" s="655" t="n">
        <v>64.26000000000001</v>
      </c>
      <c r="J126" s="74" t="inlineStr">
        <is>
          <t>បានបង់</t>
        </is>
      </c>
    </row>
    <row r="127" ht="18" customHeight="1" s="397">
      <c r="A127" s="33" t="n">
        <v>10</v>
      </c>
      <c r="B127" s="39" t="inlineStr">
        <is>
          <t>032958</t>
        </is>
      </c>
      <c r="C127" s="48" t="n">
        <v>41484</v>
      </c>
      <c r="D127" s="655" t="n">
        <v>134.24</v>
      </c>
      <c r="E127" s="11" t="inlineStr">
        <is>
          <t>A P L Logistics</t>
        </is>
      </c>
      <c r="F127" s="10" t="inlineStr">
        <is>
          <t>100046460</t>
        </is>
      </c>
      <c r="G127" s="39" t="inlineStr">
        <is>
          <t>032958</t>
        </is>
      </c>
      <c r="H127" s="48" t="n">
        <v>41484</v>
      </c>
      <c r="I127" s="655" t="n">
        <v>134.24</v>
      </c>
      <c r="J127" s="74" t="inlineStr">
        <is>
          <t>បានបង់</t>
        </is>
      </c>
    </row>
    <row r="128" ht="18" customHeight="1" s="397">
      <c r="A128" s="472" t="inlineStr">
        <is>
          <t>Total 07/2013</t>
        </is>
      </c>
      <c r="B128" s="574" t="n"/>
      <c r="C128" s="563" t="n"/>
      <c r="D128" s="656">
        <f>SUM(D118:D127)</f>
        <v/>
      </c>
      <c r="E128" s="53" t="n"/>
      <c r="F128" s="54" t="n"/>
      <c r="G128" s="62" t="n"/>
      <c r="H128" s="652" t="inlineStr">
        <is>
          <t>USD</t>
        </is>
      </c>
      <c r="I128" s="656">
        <f>SUM(I118:I127)</f>
        <v/>
      </c>
      <c r="J128" s="7" t="n"/>
    </row>
    <row r="129" ht="21.9" customHeight="1" s="397">
      <c r="A129" s="472" t="inlineStr">
        <is>
          <t>Total 07/2013</t>
        </is>
      </c>
      <c r="B129" s="574" t="n"/>
      <c r="C129" s="563" t="n"/>
      <c r="D129" s="656" t="n"/>
      <c r="E129" s="53" t="n"/>
      <c r="F129" s="54" t="n"/>
      <c r="G129" s="653" t="n">
        <v>4062</v>
      </c>
      <c r="H129" s="652" t="inlineStr">
        <is>
          <t>RIEL</t>
        </is>
      </c>
      <c r="I129" s="654">
        <f>I128*G129</f>
        <v/>
      </c>
      <c r="J129" s="7" t="n"/>
    </row>
    <row r="130" ht="18" customHeight="1" s="397">
      <c r="A130" s="33" t="n">
        <v>1</v>
      </c>
      <c r="B130" s="39" t="inlineStr">
        <is>
          <t>033068</t>
        </is>
      </c>
      <c r="C130" s="48" t="n">
        <v>41491</v>
      </c>
      <c r="D130" s="655" t="n">
        <v>152.8</v>
      </c>
      <c r="E130" s="11" t="inlineStr">
        <is>
          <t>A P L Logistics</t>
        </is>
      </c>
      <c r="F130" s="10" t="inlineStr">
        <is>
          <t>100046460</t>
        </is>
      </c>
      <c r="G130" s="39" t="inlineStr">
        <is>
          <t>033068</t>
        </is>
      </c>
      <c r="H130" s="48" t="n">
        <v>41491</v>
      </c>
      <c r="I130" s="655" t="n">
        <v>152.8</v>
      </c>
      <c r="J130" s="74" t="inlineStr">
        <is>
          <t>បានបង់</t>
        </is>
      </c>
    </row>
    <row r="131" ht="18" customHeight="1" s="397">
      <c r="A131" s="33" t="n">
        <v>2</v>
      </c>
      <c r="B131" s="39" t="inlineStr">
        <is>
          <t>033152</t>
        </is>
      </c>
      <c r="C131" s="48" t="n">
        <v>41498</v>
      </c>
      <c r="D131" s="655" t="n">
        <v>219.25</v>
      </c>
      <c r="E131" s="11" t="inlineStr">
        <is>
          <t>A P L Logistics</t>
        </is>
      </c>
      <c r="F131" s="10" t="inlineStr">
        <is>
          <t>100046460</t>
        </is>
      </c>
      <c r="G131" s="39" t="inlineStr">
        <is>
          <t>033152</t>
        </is>
      </c>
      <c r="H131" s="48" t="n">
        <v>41498</v>
      </c>
      <c r="I131" s="655" t="n">
        <v>219.25</v>
      </c>
      <c r="J131" s="74" t="inlineStr">
        <is>
          <t>បានបង់</t>
        </is>
      </c>
    </row>
    <row r="132" ht="18" customHeight="1" s="397">
      <c r="A132" s="33" t="n">
        <v>3</v>
      </c>
      <c r="B132" s="39" t="inlineStr">
        <is>
          <t>033217</t>
        </is>
      </c>
      <c r="C132" s="48" t="n">
        <v>41505</v>
      </c>
      <c r="D132" s="655" t="n">
        <v>43.04</v>
      </c>
      <c r="E132" s="11" t="inlineStr">
        <is>
          <t>A P L Logistics</t>
        </is>
      </c>
      <c r="F132" s="16" t="inlineStr">
        <is>
          <t>100046460</t>
        </is>
      </c>
      <c r="G132" s="39" t="inlineStr">
        <is>
          <t>033217</t>
        </is>
      </c>
      <c r="H132" s="48" t="n">
        <v>41505</v>
      </c>
      <c r="I132" s="655" t="n">
        <v>43.04</v>
      </c>
      <c r="J132" s="74" t="inlineStr">
        <is>
          <t>បានបង់</t>
        </is>
      </c>
    </row>
    <row r="133" ht="18" customHeight="1" s="397">
      <c r="A133" s="33" t="n">
        <v>4</v>
      </c>
      <c r="B133" s="39" t="inlineStr">
        <is>
          <t>033255</t>
        </is>
      </c>
      <c r="C133" s="48" t="n">
        <v>41505</v>
      </c>
      <c r="D133" s="655" t="n">
        <v>129.59</v>
      </c>
      <c r="E133" s="11" t="inlineStr">
        <is>
          <t>A P L Logistics</t>
        </is>
      </c>
      <c r="F133" s="10" t="inlineStr">
        <is>
          <t>100046460</t>
        </is>
      </c>
      <c r="G133" s="39" t="inlineStr">
        <is>
          <t>033255</t>
        </is>
      </c>
      <c r="H133" s="48" t="n">
        <v>41505</v>
      </c>
      <c r="I133" s="655" t="n">
        <v>129.59</v>
      </c>
      <c r="J133" s="74" t="inlineStr">
        <is>
          <t>បានបង់</t>
        </is>
      </c>
    </row>
    <row r="134" ht="18" customHeight="1" s="397">
      <c r="A134" s="33" t="n">
        <v>5</v>
      </c>
      <c r="B134" s="39" t="inlineStr">
        <is>
          <t>033347</t>
        </is>
      </c>
      <c r="C134" s="48" t="n">
        <v>41512</v>
      </c>
      <c r="D134" s="655" t="n">
        <v>67.12</v>
      </c>
      <c r="E134" s="11" t="inlineStr">
        <is>
          <t>A P L Logistics</t>
        </is>
      </c>
      <c r="F134" s="16" t="inlineStr">
        <is>
          <t>100046460</t>
        </is>
      </c>
      <c r="G134" s="39" t="inlineStr">
        <is>
          <t>033347</t>
        </is>
      </c>
      <c r="H134" s="48" t="n">
        <v>41512</v>
      </c>
      <c r="I134" s="655" t="n">
        <v>67.12</v>
      </c>
      <c r="J134" s="74" t="inlineStr">
        <is>
          <t>បានបង់</t>
        </is>
      </c>
    </row>
    <row r="135" ht="18" customHeight="1" s="397">
      <c r="A135" s="472" t="inlineStr">
        <is>
          <t>Total 08/2013</t>
        </is>
      </c>
      <c r="B135" s="574" t="n"/>
      <c r="C135" s="563" t="n"/>
      <c r="D135" s="656">
        <f>SUM(D130:D134)</f>
        <v/>
      </c>
      <c r="E135" s="53" t="n"/>
      <c r="F135" s="54" t="n"/>
      <c r="G135" s="62" t="n"/>
      <c r="H135" s="652" t="inlineStr">
        <is>
          <t>USD</t>
        </is>
      </c>
      <c r="I135" s="656">
        <f>SUM(I130:I134)</f>
        <v/>
      </c>
      <c r="J135" s="7" t="n"/>
    </row>
    <row r="136" ht="21.9" customHeight="1" s="397">
      <c r="A136" s="472" t="inlineStr">
        <is>
          <t>Total 08/2013</t>
        </is>
      </c>
      <c r="B136" s="574" t="n"/>
      <c r="C136" s="563" t="n"/>
      <c r="D136" s="656" t="n"/>
      <c r="E136" s="53" t="n"/>
      <c r="F136" s="54" t="n"/>
      <c r="G136" s="653" t="n">
        <v>4062</v>
      </c>
      <c r="H136" s="652" t="inlineStr">
        <is>
          <t>RIEL</t>
        </is>
      </c>
      <c r="I136" s="654">
        <f>I135*G136</f>
        <v/>
      </c>
      <c r="J136" s="7" t="n"/>
    </row>
    <row r="137" ht="18" customHeight="1" s="397">
      <c r="A137" s="33" t="n">
        <v>1</v>
      </c>
      <c r="B137" s="39" t="inlineStr">
        <is>
          <t>033394</t>
        </is>
      </c>
      <c r="C137" s="48" t="n">
        <v>41519</v>
      </c>
      <c r="D137" s="655" t="n">
        <v>145.02</v>
      </c>
      <c r="E137" s="11" t="inlineStr">
        <is>
          <t>A P L Logistics</t>
        </is>
      </c>
      <c r="F137" s="10" t="inlineStr">
        <is>
          <t>100046460</t>
        </is>
      </c>
      <c r="G137" s="39" t="inlineStr">
        <is>
          <t>033394</t>
        </is>
      </c>
      <c r="H137" s="48" t="n">
        <v>41519</v>
      </c>
      <c r="I137" s="655" t="n">
        <v>145.02</v>
      </c>
      <c r="J137" s="74" t="inlineStr">
        <is>
          <t>បានបង់</t>
        </is>
      </c>
    </row>
    <row r="138" ht="18" customHeight="1" s="397">
      <c r="A138" s="33" t="n">
        <v>2</v>
      </c>
      <c r="B138" s="39" t="inlineStr">
        <is>
          <t>033429</t>
        </is>
      </c>
      <c r="C138" s="48" t="n">
        <v>41519</v>
      </c>
      <c r="D138" s="655" t="n">
        <v>3.6</v>
      </c>
      <c r="E138" s="11" t="inlineStr">
        <is>
          <t>A P L Logistics</t>
        </is>
      </c>
      <c r="F138" s="16" t="inlineStr">
        <is>
          <t>100046460</t>
        </is>
      </c>
      <c r="G138" s="39" t="inlineStr">
        <is>
          <t>033429</t>
        </is>
      </c>
      <c r="H138" s="48" t="n">
        <v>41519</v>
      </c>
      <c r="I138" s="655" t="n">
        <v>3.6</v>
      </c>
      <c r="J138" s="74" t="inlineStr">
        <is>
          <t>បានបង់</t>
        </is>
      </c>
    </row>
    <row r="139" ht="18" customHeight="1" s="397">
      <c r="A139" s="33" t="n">
        <v>3</v>
      </c>
      <c r="B139" s="39" t="inlineStr">
        <is>
          <t>033436</t>
        </is>
      </c>
      <c r="C139" s="48" t="n">
        <v>41519</v>
      </c>
      <c r="D139" s="655" t="n">
        <v>352.48</v>
      </c>
      <c r="E139" s="11" t="inlineStr">
        <is>
          <t>A P L Logistics</t>
        </is>
      </c>
      <c r="F139" s="10" t="inlineStr">
        <is>
          <t>100046460</t>
        </is>
      </c>
      <c r="G139" s="39" t="inlineStr">
        <is>
          <t>033436</t>
        </is>
      </c>
      <c r="H139" s="48" t="n">
        <v>41519</v>
      </c>
      <c r="I139" s="655" t="n">
        <v>352.48</v>
      </c>
      <c r="J139" s="74" t="inlineStr">
        <is>
          <t>បានបង់</t>
        </is>
      </c>
    </row>
    <row r="140" ht="18" customHeight="1" s="397">
      <c r="A140" s="33" t="n">
        <v>4</v>
      </c>
      <c r="B140" s="39" t="inlineStr">
        <is>
          <t>033513</t>
        </is>
      </c>
      <c r="C140" s="49" t="n">
        <v>41526</v>
      </c>
      <c r="D140" s="655" t="n">
        <v>37.97</v>
      </c>
      <c r="E140" s="11" t="inlineStr">
        <is>
          <t>A P L Logistics</t>
        </is>
      </c>
      <c r="F140" s="16" t="inlineStr">
        <is>
          <t>100046460</t>
        </is>
      </c>
      <c r="G140" s="39" t="inlineStr">
        <is>
          <t>033513</t>
        </is>
      </c>
      <c r="H140" s="49" t="n">
        <v>41526</v>
      </c>
      <c r="I140" s="655" t="n">
        <v>37.97</v>
      </c>
      <c r="J140" s="74" t="inlineStr">
        <is>
          <t>បានបង់</t>
        </is>
      </c>
    </row>
    <row r="141" ht="18" customHeight="1" s="397">
      <c r="A141" s="33" t="n">
        <v>5</v>
      </c>
      <c r="B141" s="39" t="inlineStr">
        <is>
          <t>033565</t>
        </is>
      </c>
      <c r="C141" s="48" t="n">
        <v>41526</v>
      </c>
      <c r="D141" s="655" t="n">
        <v>319.7</v>
      </c>
      <c r="E141" s="11" t="inlineStr">
        <is>
          <t>A P L Logistics</t>
        </is>
      </c>
      <c r="F141" s="10" t="inlineStr">
        <is>
          <t>100046460</t>
        </is>
      </c>
      <c r="G141" s="39" t="inlineStr">
        <is>
          <t>033565</t>
        </is>
      </c>
      <c r="H141" s="48" t="n">
        <v>41526</v>
      </c>
      <c r="I141" s="655" t="n">
        <v>319.7</v>
      </c>
      <c r="J141" s="74" t="inlineStr">
        <is>
          <t>បានបង់</t>
        </is>
      </c>
    </row>
    <row r="142" ht="18" customHeight="1" s="397">
      <c r="A142" s="33" t="n">
        <v>6</v>
      </c>
      <c r="B142" s="39" t="inlineStr">
        <is>
          <t>033648</t>
        </is>
      </c>
      <c r="C142" s="48" t="n">
        <v>41533</v>
      </c>
      <c r="D142" s="655" t="n">
        <v>35.73</v>
      </c>
      <c r="E142" s="11" t="inlineStr">
        <is>
          <t>A P L Logistics</t>
        </is>
      </c>
      <c r="F142" s="16" t="inlineStr">
        <is>
          <t>100046460</t>
        </is>
      </c>
      <c r="G142" s="39" t="inlineStr">
        <is>
          <t>033648</t>
        </is>
      </c>
      <c r="H142" s="48" t="n">
        <v>41533</v>
      </c>
      <c r="I142" s="655" t="n">
        <v>35.73</v>
      </c>
      <c r="J142" s="74" t="inlineStr">
        <is>
          <t>បានបង់</t>
        </is>
      </c>
    </row>
    <row r="143" ht="18" customHeight="1" s="397">
      <c r="A143" s="33" t="n">
        <v>7</v>
      </c>
      <c r="B143" s="39" t="inlineStr">
        <is>
          <t>033633</t>
        </is>
      </c>
      <c r="C143" s="48" t="n">
        <v>41533</v>
      </c>
      <c r="D143" s="655" t="n">
        <v>104.03</v>
      </c>
      <c r="E143" s="11" t="inlineStr">
        <is>
          <t>A P L Logistics</t>
        </is>
      </c>
      <c r="F143" s="10" t="inlineStr">
        <is>
          <t>100046460</t>
        </is>
      </c>
      <c r="G143" s="39" t="inlineStr">
        <is>
          <t>033633</t>
        </is>
      </c>
      <c r="H143" s="48" t="n">
        <v>41533</v>
      </c>
      <c r="I143" s="655" t="n">
        <v>104.03</v>
      </c>
      <c r="J143" s="74" t="inlineStr">
        <is>
          <t>បានបង់</t>
        </is>
      </c>
    </row>
    <row r="144" ht="18" customHeight="1" s="397">
      <c r="A144" s="33" t="n">
        <v>8</v>
      </c>
      <c r="B144" s="39" t="inlineStr">
        <is>
          <t>033709</t>
        </is>
      </c>
      <c r="C144" s="48" t="n">
        <v>41540</v>
      </c>
      <c r="D144" s="655" t="n">
        <v>61.27</v>
      </c>
      <c r="E144" s="11" t="inlineStr">
        <is>
          <t>A P L Logistics</t>
        </is>
      </c>
      <c r="F144" s="16" t="inlineStr">
        <is>
          <t>100046460</t>
        </is>
      </c>
      <c r="G144" s="39" t="inlineStr">
        <is>
          <t>033709</t>
        </is>
      </c>
      <c r="H144" s="48" t="n">
        <v>41540</v>
      </c>
      <c r="I144" s="655" t="n">
        <v>61.27</v>
      </c>
      <c r="J144" s="74" t="inlineStr">
        <is>
          <t>បានបង់</t>
        </is>
      </c>
    </row>
    <row r="145" ht="18" customHeight="1" s="397">
      <c r="A145" s="33" t="n">
        <v>9</v>
      </c>
      <c r="B145" s="39" t="inlineStr">
        <is>
          <t>033755</t>
        </is>
      </c>
      <c r="C145" s="48" t="n">
        <v>41541</v>
      </c>
      <c r="D145" s="655" t="n">
        <v>61.8</v>
      </c>
      <c r="E145" s="11" t="inlineStr">
        <is>
          <t>A P L Logistics</t>
        </is>
      </c>
      <c r="F145" s="16" t="inlineStr">
        <is>
          <t>100046460</t>
        </is>
      </c>
      <c r="G145" s="39" t="inlineStr">
        <is>
          <t>033755</t>
        </is>
      </c>
      <c r="H145" s="48" t="n">
        <v>41541</v>
      </c>
      <c r="I145" s="655" t="n">
        <v>61.8</v>
      </c>
      <c r="J145" s="74" t="inlineStr">
        <is>
          <t>បានបង់</t>
        </is>
      </c>
    </row>
    <row r="146" ht="18" customHeight="1" s="397">
      <c r="A146" s="33" t="n">
        <v>10</v>
      </c>
      <c r="B146" s="39" t="inlineStr">
        <is>
          <t>033795</t>
        </is>
      </c>
      <c r="C146" s="48" t="n">
        <v>41547</v>
      </c>
      <c r="D146" s="655" t="n">
        <v>215.54</v>
      </c>
      <c r="E146" s="11" t="inlineStr">
        <is>
          <t>A P L Logistics</t>
        </is>
      </c>
      <c r="F146" s="10" t="inlineStr">
        <is>
          <t>100046460</t>
        </is>
      </c>
      <c r="G146" s="39" t="inlineStr">
        <is>
          <t>033795</t>
        </is>
      </c>
      <c r="H146" s="48" t="n">
        <v>41547</v>
      </c>
      <c r="I146" s="655" t="n">
        <v>215.54</v>
      </c>
      <c r="J146" s="74" t="inlineStr">
        <is>
          <t>បានបង់</t>
        </is>
      </c>
    </row>
    <row r="147" ht="18" customHeight="1" s="397">
      <c r="A147" s="472" t="inlineStr">
        <is>
          <t>Total 09/2013</t>
        </is>
      </c>
      <c r="B147" s="574" t="n"/>
      <c r="C147" s="563" t="n"/>
      <c r="D147" s="656">
        <f>SUM(D137:D146)</f>
        <v/>
      </c>
      <c r="E147" s="53" t="n"/>
      <c r="F147" s="54" t="n"/>
      <c r="G147" s="62" t="n"/>
      <c r="H147" s="652" t="inlineStr">
        <is>
          <t>USD</t>
        </is>
      </c>
      <c r="I147" s="656">
        <f>SUM(I137:I146)</f>
        <v/>
      </c>
      <c r="J147" s="7" t="n"/>
    </row>
    <row r="148" ht="21.9" customHeight="1" s="397">
      <c r="A148" s="472" t="inlineStr">
        <is>
          <t>Total 09/2013</t>
        </is>
      </c>
      <c r="B148" s="574" t="n"/>
      <c r="C148" s="563" t="n"/>
      <c r="D148" s="656" t="n"/>
      <c r="E148" s="53" t="n"/>
      <c r="F148" s="54" t="n"/>
      <c r="G148" s="653" t="n">
        <v>4062</v>
      </c>
      <c r="H148" s="652" t="inlineStr">
        <is>
          <t>RIEL</t>
        </is>
      </c>
      <c r="I148" s="654">
        <f>I147*G148</f>
        <v/>
      </c>
      <c r="J148" s="7" t="n"/>
    </row>
    <row r="149" ht="18" customHeight="1" s="397">
      <c r="A149" s="33" t="n">
        <v>1</v>
      </c>
      <c r="B149" s="39" t="inlineStr">
        <is>
          <t>033906</t>
        </is>
      </c>
      <c r="C149" s="48" t="n">
        <v>41554</v>
      </c>
      <c r="D149" s="655" t="n">
        <v>214.95</v>
      </c>
      <c r="E149" s="11" t="inlineStr">
        <is>
          <t>A P L Logistics</t>
        </is>
      </c>
      <c r="F149" s="10" t="inlineStr">
        <is>
          <t>100046460</t>
        </is>
      </c>
      <c r="G149" s="39" t="inlineStr">
        <is>
          <t>033906</t>
        </is>
      </c>
      <c r="H149" s="48" t="n">
        <v>41554</v>
      </c>
      <c r="I149" s="655" t="n">
        <v>214.95</v>
      </c>
      <c r="J149" s="74" t="inlineStr">
        <is>
          <t>បានបង់</t>
        </is>
      </c>
    </row>
    <row r="150" ht="18" customHeight="1" s="397">
      <c r="A150" s="33" t="n">
        <v>2</v>
      </c>
      <c r="B150" s="39" t="inlineStr">
        <is>
          <t>034006</t>
        </is>
      </c>
      <c r="C150" s="48" t="n">
        <v>41561</v>
      </c>
      <c r="D150" s="655" t="n">
        <v>127.3</v>
      </c>
      <c r="E150" s="11" t="inlineStr">
        <is>
          <t>A P L Logistics</t>
        </is>
      </c>
      <c r="F150" s="10" t="inlineStr">
        <is>
          <t>100046460</t>
        </is>
      </c>
      <c r="G150" s="39" t="inlineStr">
        <is>
          <t>034006</t>
        </is>
      </c>
      <c r="H150" s="48" t="n">
        <v>41561</v>
      </c>
      <c r="I150" s="655" t="n">
        <v>127.3</v>
      </c>
      <c r="J150" s="74" t="inlineStr">
        <is>
          <t>បានបង់</t>
        </is>
      </c>
    </row>
    <row r="151" ht="18" customHeight="1" s="397">
      <c r="A151" s="33" t="n">
        <v>3</v>
      </c>
      <c r="B151" s="39" t="inlineStr">
        <is>
          <t>034039</t>
        </is>
      </c>
      <c r="C151" s="49" t="n">
        <v>41561</v>
      </c>
      <c r="D151" s="655" t="n">
        <v>51.4</v>
      </c>
      <c r="E151" s="11" t="inlineStr">
        <is>
          <t>A P L Logistics</t>
        </is>
      </c>
      <c r="F151" s="16" t="inlineStr">
        <is>
          <t>100046460</t>
        </is>
      </c>
      <c r="G151" s="39" t="inlineStr">
        <is>
          <t>034039</t>
        </is>
      </c>
      <c r="H151" s="49" t="n">
        <v>41561</v>
      </c>
      <c r="I151" s="655" t="n">
        <v>51.4</v>
      </c>
      <c r="J151" s="74" t="inlineStr">
        <is>
          <t>បានបង់</t>
        </is>
      </c>
    </row>
    <row r="152" ht="18" customHeight="1" s="397">
      <c r="A152" s="33" t="n">
        <v>4</v>
      </c>
      <c r="B152" s="39" t="inlineStr">
        <is>
          <t>034079</t>
        </is>
      </c>
      <c r="C152" s="48" t="n">
        <v>41568</v>
      </c>
      <c r="D152" s="655" t="n">
        <v>30</v>
      </c>
      <c r="E152" s="11" t="inlineStr">
        <is>
          <t>A P L Logistics</t>
        </is>
      </c>
      <c r="F152" s="16" t="inlineStr">
        <is>
          <t>100046460</t>
        </is>
      </c>
      <c r="G152" s="39" t="inlineStr">
        <is>
          <t>034079</t>
        </is>
      </c>
      <c r="H152" s="48" t="n">
        <v>41568</v>
      </c>
      <c r="I152" s="655" t="n">
        <v>30</v>
      </c>
      <c r="J152" s="74" t="inlineStr">
        <is>
          <t>បានបង់</t>
        </is>
      </c>
    </row>
    <row r="153" ht="18" customHeight="1" s="397">
      <c r="A153" s="33" t="n">
        <v>5</v>
      </c>
      <c r="B153" s="39" t="inlineStr">
        <is>
          <t>034089</t>
        </is>
      </c>
      <c r="C153" s="48" t="n">
        <v>41568</v>
      </c>
      <c r="D153" s="655" t="n">
        <v>121.12</v>
      </c>
      <c r="E153" s="11" t="inlineStr">
        <is>
          <t>A P L Logistics</t>
        </is>
      </c>
      <c r="F153" s="10" t="inlineStr">
        <is>
          <t>100046460</t>
        </is>
      </c>
      <c r="G153" s="39" t="inlineStr">
        <is>
          <t>034089</t>
        </is>
      </c>
      <c r="H153" s="48" t="n">
        <v>41568</v>
      </c>
      <c r="I153" s="655" t="n">
        <v>121.12</v>
      </c>
      <c r="J153" s="74" t="inlineStr">
        <is>
          <t>បានបង់</t>
        </is>
      </c>
    </row>
    <row r="154" ht="18" customHeight="1" s="397">
      <c r="A154" s="33" t="n">
        <v>6</v>
      </c>
      <c r="B154" s="39" t="inlineStr">
        <is>
          <t>034154</t>
        </is>
      </c>
      <c r="C154" s="48" t="n">
        <v>41575</v>
      </c>
      <c r="D154" s="655" t="n">
        <v>239.21</v>
      </c>
      <c r="E154" s="11" t="inlineStr">
        <is>
          <t>A P L Logistics</t>
        </is>
      </c>
      <c r="F154" s="10" t="inlineStr">
        <is>
          <t>100046460</t>
        </is>
      </c>
      <c r="G154" s="39" t="inlineStr">
        <is>
          <t>034154</t>
        </is>
      </c>
      <c r="H154" s="48" t="n">
        <v>41575</v>
      </c>
      <c r="I154" s="655" t="n">
        <v>239.21</v>
      </c>
      <c r="J154" s="74" t="inlineStr">
        <is>
          <t>បានបង់</t>
        </is>
      </c>
    </row>
    <row r="155" ht="18" customHeight="1" s="397">
      <c r="A155" s="33" t="n">
        <v>7</v>
      </c>
      <c r="B155" s="39" t="inlineStr">
        <is>
          <t>034191</t>
        </is>
      </c>
      <c r="C155" s="48" t="n">
        <v>41575</v>
      </c>
      <c r="D155" s="655" t="n">
        <v>84.98</v>
      </c>
      <c r="E155" s="11" t="inlineStr">
        <is>
          <t>A P L Logistics</t>
        </is>
      </c>
      <c r="F155" s="10" t="inlineStr">
        <is>
          <t>100046460</t>
        </is>
      </c>
      <c r="G155" s="39" t="inlineStr">
        <is>
          <t>034191</t>
        </is>
      </c>
      <c r="H155" s="48" t="n">
        <v>41575</v>
      </c>
      <c r="I155" s="655" t="n">
        <v>84.98</v>
      </c>
      <c r="J155" s="74" t="inlineStr">
        <is>
          <t>បានបង់</t>
        </is>
      </c>
    </row>
    <row r="156" ht="18" customHeight="1" s="397">
      <c r="A156" s="472" t="inlineStr">
        <is>
          <t>Total 10/2013</t>
        </is>
      </c>
      <c r="B156" s="574" t="n"/>
      <c r="C156" s="563" t="n"/>
      <c r="D156" s="656">
        <f>SUM(D149:D155)</f>
        <v/>
      </c>
      <c r="E156" s="53" t="n"/>
      <c r="F156" s="54" t="n"/>
      <c r="G156" s="62" t="n"/>
      <c r="H156" s="652" t="inlineStr">
        <is>
          <t>USD</t>
        </is>
      </c>
      <c r="I156" s="656">
        <f>SUM(I149:I155)</f>
        <v/>
      </c>
      <c r="J156" s="7" t="n"/>
    </row>
    <row r="157" ht="21.9" customHeight="1" s="397">
      <c r="A157" s="472" t="inlineStr">
        <is>
          <t>Total 10/2013</t>
        </is>
      </c>
      <c r="B157" s="574" t="n"/>
      <c r="C157" s="563" t="n"/>
      <c r="D157" s="656" t="n"/>
      <c r="E157" s="53" t="n"/>
      <c r="F157" s="54" t="n"/>
      <c r="G157" s="657" t="n">
        <v>4058</v>
      </c>
      <c r="H157" s="652" t="inlineStr">
        <is>
          <t>RIEL</t>
        </is>
      </c>
      <c r="I157" s="654">
        <f>I156*G157</f>
        <v/>
      </c>
      <c r="J157" s="7" t="n"/>
    </row>
    <row r="158" ht="18" customHeight="1" s="397">
      <c r="A158" s="33" t="n">
        <v>1</v>
      </c>
      <c r="B158" s="39" t="inlineStr">
        <is>
          <t>034245</t>
        </is>
      </c>
      <c r="C158" s="48" t="n">
        <v>41582</v>
      </c>
      <c r="D158" s="655" t="n">
        <v>214.67</v>
      </c>
      <c r="E158" s="11" t="inlineStr">
        <is>
          <t>A P L Logistics</t>
        </is>
      </c>
      <c r="F158" s="10" t="inlineStr">
        <is>
          <t>100046460</t>
        </is>
      </c>
      <c r="G158" s="39" t="inlineStr">
        <is>
          <t>034245</t>
        </is>
      </c>
      <c r="H158" s="48" t="n">
        <v>41582</v>
      </c>
      <c r="I158" s="655" t="n">
        <v>214.67</v>
      </c>
      <c r="J158" s="74" t="inlineStr">
        <is>
          <t>បានបង់</t>
        </is>
      </c>
    </row>
    <row r="159" ht="18" customHeight="1" s="397">
      <c r="A159" s="33" t="n">
        <v>2</v>
      </c>
      <c r="B159" s="47" t="inlineStr">
        <is>
          <t>034384</t>
        </is>
      </c>
      <c r="C159" s="63" t="n">
        <v>41589</v>
      </c>
      <c r="D159" s="655" t="n">
        <v>52.7</v>
      </c>
      <c r="E159" s="11" t="inlineStr">
        <is>
          <t>A P L Logistics</t>
        </is>
      </c>
      <c r="F159" s="16" t="inlineStr">
        <is>
          <t>100046460</t>
        </is>
      </c>
      <c r="G159" s="47" t="inlineStr">
        <is>
          <t>034384</t>
        </is>
      </c>
      <c r="H159" s="63" t="n">
        <v>41589</v>
      </c>
      <c r="I159" s="655" t="n">
        <v>52.7</v>
      </c>
      <c r="J159" s="74" t="inlineStr">
        <is>
          <t>បានបង់</t>
        </is>
      </c>
    </row>
    <row r="160" ht="18" customHeight="1" s="397">
      <c r="A160" s="33" t="n">
        <v>3</v>
      </c>
      <c r="B160" s="39" t="inlineStr">
        <is>
          <t>034522</t>
        </is>
      </c>
      <c r="C160" s="48" t="n">
        <v>41603</v>
      </c>
      <c r="D160" s="655" t="n">
        <v>41.07</v>
      </c>
      <c r="E160" s="11" t="inlineStr">
        <is>
          <t>A P L Logistics</t>
        </is>
      </c>
      <c r="F160" s="16" t="inlineStr">
        <is>
          <t>100046460</t>
        </is>
      </c>
      <c r="G160" s="39" t="inlineStr">
        <is>
          <t>034522</t>
        </is>
      </c>
      <c r="H160" s="48" t="n">
        <v>41603</v>
      </c>
      <c r="I160" s="655" t="n">
        <v>41.07</v>
      </c>
      <c r="J160" s="74" t="inlineStr">
        <is>
          <t>បានបង់</t>
        </is>
      </c>
    </row>
    <row r="161" ht="18" customHeight="1" s="397">
      <c r="A161" s="472" t="inlineStr">
        <is>
          <t>Total 11/2013</t>
        </is>
      </c>
      <c r="B161" s="574" t="n"/>
      <c r="C161" s="563" t="n"/>
      <c r="D161" s="656">
        <f>SUM(D158:D160)</f>
        <v/>
      </c>
      <c r="E161" s="53" t="n"/>
      <c r="F161" s="62" t="n"/>
      <c r="G161" s="62" t="n"/>
      <c r="H161" s="652" t="inlineStr">
        <is>
          <t>USD</t>
        </is>
      </c>
      <c r="I161" s="656">
        <f>SUM(I158:I160)</f>
        <v/>
      </c>
      <c r="J161" s="7" t="n"/>
    </row>
    <row r="162" ht="21.9" customHeight="1" s="397">
      <c r="A162" s="472" t="inlineStr">
        <is>
          <t>Total 11/2013</t>
        </is>
      </c>
      <c r="B162" s="574" t="n"/>
      <c r="C162" s="563" t="n"/>
      <c r="D162" s="656" t="n"/>
      <c r="E162" s="53" t="n"/>
      <c r="F162" s="62" t="n"/>
      <c r="G162" s="653" t="n">
        <v>4006</v>
      </c>
      <c r="H162" s="652" t="inlineStr">
        <is>
          <t>RIEL</t>
        </is>
      </c>
      <c r="I162" s="654">
        <f>I161*G162</f>
        <v/>
      </c>
      <c r="J162" s="7" t="n"/>
    </row>
    <row r="163" ht="18" customHeight="1" s="397">
      <c r="A163" s="60" t="n">
        <v>1</v>
      </c>
      <c r="B163" s="39" t="inlineStr">
        <is>
          <t>034594</t>
        </is>
      </c>
      <c r="C163" s="48" t="n">
        <v>41610</v>
      </c>
      <c r="D163" s="655" t="n">
        <v>32.29</v>
      </c>
      <c r="E163" s="11" t="inlineStr">
        <is>
          <t>A P L Logistics</t>
        </is>
      </c>
      <c r="F163" s="16" t="inlineStr">
        <is>
          <t>100046460</t>
        </is>
      </c>
      <c r="G163" s="39" t="inlineStr">
        <is>
          <t>034594</t>
        </is>
      </c>
      <c r="H163" s="48" t="n">
        <v>41610</v>
      </c>
      <c r="I163" s="655" t="n">
        <v>32.29</v>
      </c>
      <c r="J163" s="74" t="inlineStr">
        <is>
          <t>បានបង់</t>
        </is>
      </c>
    </row>
    <row r="164" ht="18" customHeight="1" s="397">
      <c r="A164" s="33" t="n">
        <v>2</v>
      </c>
      <c r="B164" s="39" t="inlineStr">
        <is>
          <t>034673</t>
        </is>
      </c>
      <c r="C164" s="48" t="n">
        <v>41617</v>
      </c>
      <c r="D164" s="655" t="n">
        <v>330.27</v>
      </c>
      <c r="E164" s="11" t="inlineStr">
        <is>
          <t>A P L Logistics</t>
        </is>
      </c>
      <c r="F164" s="10" t="inlineStr">
        <is>
          <t>100046460</t>
        </is>
      </c>
      <c r="G164" s="39" t="inlineStr">
        <is>
          <t>034673</t>
        </is>
      </c>
      <c r="H164" s="48" t="n">
        <v>41617</v>
      </c>
      <c r="I164" s="655" t="n">
        <v>330.27</v>
      </c>
      <c r="J164" s="74" t="inlineStr">
        <is>
          <t>បានបង់</t>
        </is>
      </c>
    </row>
    <row r="165" ht="18" customHeight="1" s="397">
      <c r="A165" s="60" t="n">
        <v>3</v>
      </c>
      <c r="B165" s="39" t="inlineStr">
        <is>
          <t>034694</t>
        </is>
      </c>
      <c r="C165" s="48" t="n">
        <v>41617</v>
      </c>
      <c r="D165" s="655" t="n">
        <v>122.13</v>
      </c>
      <c r="E165" s="11" t="inlineStr">
        <is>
          <t>A P L Logistics</t>
        </is>
      </c>
      <c r="F165" s="10" t="inlineStr">
        <is>
          <t>100046460</t>
        </is>
      </c>
      <c r="G165" s="39" t="inlineStr">
        <is>
          <t>034694</t>
        </is>
      </c>
      <c r="H165" s="48" t="n">
        <v>41617</v>
      </c>
      <c r="I165" s="655" t="n">
        <v>122.13</v>
      </c>
      <c r="J165" s="74" t="inlineStr">
        <is>
          <t>បានបង់</t>
        </is>
      </c>
    </row>
    <row r="166" ht="18" customHeight="1" s="397">
      <c r="A166" s="33" t="n">
        <v>4</v>
      </c>
      <c r="B166" s="39" t="inlineStr">
        <is>
          <t>034759</t>
        </is>
      </c>
      <c r="C166" s="48" t="n">
        <v>41624</v>
      </c>
      <c r="D166" s="655" t="n">
        <v>180.09</v>
      </c>
      <c r="E166" s="11" t="inlineStr">
        <is>
          <t>A P L Logistics</t>
        </is>
      </c>
      <c r="F166" s="10" t="inlineStr">
        <is>
          <t>100046460</t>
        </is>
      </c>
      <c r="G166" s="39" t="inlineStr">
        <is>
          <t>034759</t>
        </is>
      </c>
      <c r="H166" s="48" t="n">
        <v>41624</v>
      </c>
      <c r="I166" s="655" t="n">
        <v>180.09</v>
      </c>
      <c r="J166" s="74" t="inlineStr">
        <is>
          <t>បានបង់</t>
        </is>
      </c>
    </row>
    <row r="167" ht="18" customHeight="1" s="397">
      <c r="A167" s="60" t="n">
        <v>5</v>
      </c>
      <c r="B167" s="39" t="inlineStr">
        <is>
          <t>034869</t>
        </is>
      </c>
      <c r="C167" s="48" t="n">
        <v>41631</v>
      </c>
      <c r="D167" s="655" t="n">
        <v>60.45</v>
      </c>
      <c r="E167" s="11" t="inlineStr">
        <is>
          <t>A P L Logistics</t>
        </is>
      </c>
      <c r="F167" s="16" t="inlineStr">
        <is>
          <t>100046460</t>
        </is>
      </c>
      <c r="G167" s="39" t="inlineStr">
        <is>
          <t>034869</t>
        </is>
      </c>
      <c r="H167" s="48" t="n">
        <v>41631</v>
      </c>
      <c r="I167" s="655" t="n">
        <v>60.45</v>
      </c>
      <c r="J167" s="74" t="inlineStr">
        <is>
          <t>បានបង់</t>
        </is>
      </c>
    </row>
    <row r="168" ht="18" customHeight="1" s="397">
      <c r="A168" s="33" t="n">
        <v>6</v>
      </c>
      <c r="B168" s="39" t="inlineStr">
        <is>
          <t>034977</t>
        </is>
      </c>
      <c r="C168" s="48" t="n">
        <v>41639</v>
      </c>
      <c r="D168" s="655" t="n">
        <v>120.68</v>
      </c>
      <c r="E168" s="11" t="inlineStr">
        <is>
          <t>A P L Logistics</t>
        </is>
      </c>
      <c r="F168" s="10" t="inlineStr">
        <is>
          <t>100046460</t>
        </is>
      </c>
      <c r="G168" s="39" t="inlineStr">
        <is>
          <t>034977</t>
        </is>
      </c>
      <c r="H168" s="48" t="n">
        <v>41639</v>
      </c>
      <c r="I168" s="655" t="n">
        <v>120.68</v>
      </c>
      <c r="J168" s="74" t="inlineStr">
        <is>
          <t>បានបង់</t>
        </is>
      </c>
    </row>
    <row r="169" ht="18" customHeight="1" s="397">
      <c r="A169" s="472" t="inlineStr">
        <is>
          <t>Total 12/2013</t>
        </is>
      </c>
      <c r="B169" s="574" t="n"/>
      <c r="C169" s="563" t="n"/>
      <c r="D169" s="656">
        <f>SUM(D163:D168)</f>
        <v/>
      </c>
      <c r="E169" s="53" t="n"/>
      <c r="F169" s="54" t="n"/>
      <c r="G169" s="62" t="n"/>
      <c r="H169" s="652" t="inlineStr">
        <is>
          <t>USD</t>
        </is>
      </c>
      <c r="I169" s="656">
        <f>SUM(I163:I168)</f>
        <v/>
      </c>
      <c r="J169" s="7" t="n"/>
    </row>
    <row r="170" ht="21.9" customHeight="1" s="397">
      <c r="A170" s="472" t="inlineStr">
        <is>
          <t>Total 12/2013</t>
        </is>
      </c>
      <c r="B170" s="574" t="n"/>
      <c r="C170" s="563" t="n"/>
      <c r="D170" s="656" t="n"/>
      <c r="E170" s="53" t="n"/>
      <c r="F170" s="54" t="n"/>
      <c r="G170" s="653" t="n">
        <v>3995</v>
      </c>
      <c r="H170" s="652" t="inlineStr">
        <is>
          <t>RIEL</t>
        </is>
      </c>
      <c r="I170" s="654">
        <f>I169*G170</f>
        <v/>
      </c>
      <c r="J170" s="7" t="n"/>
    </row>
    <row r="171" ht="18" customHeight="1" s="397">
      <c r="A171" s="60" t="n">
        <v>1</v>
      </c>
      <c r="B171" s="20" t="inlineStr">
        <is>
          <t>035047</t>
        </is>
      </c>
      <c r="C171" s="658" t="n">
        <v>41645</v>
      </c>
      <c r="D171" s="650" t="n">
        <v>36.2</v>
      </c>
      <c r="E171" s="19" t="inlineStr">
        <is>
          <t>A P L Logistics</t>
        </is>
      </c>
      <c r="F171" s="20" t="inlineStr">
        <is>
          <t>100046460</t>
        </is>
      </c>
      <c r="G171" s="20" t="inlineStr">
        <is>
          <t>035047</t>
        </is>
      </c>
      <c r="H171" s="658" t="n">
        <v>41645</v>
      </c>
      <c r="I171" s="650" t="n">
        <v>36.2</v>
      </c>
      <c r="J171" s="74" t="inlineStr">
        <is>
          <t>បានបង់</t>
        </is>
      </c>
    </row>
    <row r="172" ht="18" customHeight="1" s="397">
      <c r="A172" s="33" t="n">
        <v>2</v>
      </c>
      <c r="B172" s="20" t="inlineStr">
        <is>
          <t>035051</t>
        </is>
      </c>
      <c r="C172" s="658" t="n">
        <v>41645</v>
      </c>
      <c r="D172" s="650" t="n">
        <v>212.17</v>
      </c>
      <c r="E172" s="11" t="inlineStr">
        <is>
          <t>A P L Logistics</t>
        </is>
      </c>
      <c r="F172" s="10" t="inlineStr">
        <is>
          <t>100046460</t>
        </is>
      </c>
      <c r="G172" s="20" t="inlineStr">
        <is>
          <t>035051</t>
        </is>
      </c>
      <c r="H172" s="658" t="n">
        <v>41645</v>
      </c>
      <c r="I172" s="650" t="n">
        <v>212.17</v>
      </c>
      <c r="J172" s="74" t="inlineStr">
        <is>
          <t>បានបង់</t>
        </is>
      </c>
    </row>
    <row r="173" ht="18" customHeight="1" s="397">
      <c r="A173" s="60" t="n">
        <v>3</v>
      </c>
      <c r="B173" s="20" t="inlineStr">
        <is>
          <t>035072</t>
        </is>
      </c>
      <c r="C173" s="658" t="n">
        <v>41646</v>
      </c>
      <c r="D173" s="650" t="n">
        <v>4</v>
      </c>
      <c r="E173" s="19" t="inlineStr">
        <is>
          <t>A P L Logistics</t>
        </is>
      </c>
      <c r="F173" s="20" t="inlineStr">
        <is>
          <t>100046460</t>
        </is>
      </c>
      <c r="G173" s="20" t="inlineStr">
        <is>
          <t>035072</t>
        </is>
      </c>
      <c r="H173" s="658" t="n">
        <v>41646</v>
      </c>
      <c r="I173" s="650" t="n">
        <v>4</v>
      </c>
      <c r="J173" s="74" t="inlineStr">
        <is>
          <t>បានបង់</t>
        </is>
      </c>
    </row>
    <row r="174" ht="18" customHeight="1" s="397">
      <c r="A174" s="33" t="n">
        <v>4</v>
      </c>
      <c r="B174" s="20" t="inlineStr">
        <is>
          <t>035123</t>
        </is>
      </c>
      <c r="C174" s="658" t="n">
        <v>41652</v>
      </c>
      <c r="D174" s="650" t="n">
        <v>239.84</v>
      </c>
      <c r="E174" s="11" t="inlineStr">
        <is>
          <t>A P L Logistics</t>
        </is>
      </c>
      <c r="F174" s="10" t="inlineStr">
        <is>
          <t>100046460</t>
        </is>
      </c>
      <c r="G174" s="20" t="inlineStr">
        <is>
          <t>035123</t>
        </is>
      </c>
      <c r="H174" s="658" t="n">
        <v>41652</v>
      </c>
      <c r="I174" s="650" t="n">
        <v>239.84</v>
      </c>
      <c r="J174" s="74" t="inlineStr">
        <is>
          <t>បានបង់</t>
        </is>
      </c>
    </row>
    <row r="175" ht="18" customHeight="1" s="397">
      <c r="A175" s="60" t="n">
        <v>5</v>
      </c>
      <c r="B175" s="20" t="inlineStr">
        <is>
          <t>035142</t>
        </is>
      </c>
      <c r="C175" s="658" t="n">
        <v>41653</v>
      </c>
      <c r="D175" s="650" t="n">
        <v>65.94</v>
      </c>
      <c r="E175" s="19" t="inlineStr">
        <is>
          <t>A P L Logistics</t>
        </is>
      </c>
      <c r="F175" s="20" t="inlineStr">
        <is>
          <t>100046460</t>
        </is>
      </c>
      <c r="G175" s="20" t="inlineStr">
        <is>
          <t>035142</t>
        </is>
      </c>
      <c r="H175" s="658" t="n">
        <v>41653</v>
      </c>
      <c r="I175" s="650" t="n">
        <v>65.94</v>
      </c>
      <c r="J175" s="74" t="inlineStr">
        <is>
          <t>បានបង់</t>
        </is>
      </c>
    </row>
    <row r="176" ht="18" customHeight="1" s="397">
      <c r="A176" s="33" t="n">
        <v>6</v>
      </c>
      <c r="B176" s="20" t="inlineStr">
        <is>
          <t>035202</t>
        </is>
      </c>
      <c r="C176" s="658" t="n">
        <v>41659</v>
      </c>
      <c r="D176" s="650" t="n">
        <v>125.78</v>
      </c>
      <c r="E176" s="19" t="inlineStr">
        <is>
          <t>A P L Logistics</t>
        </is>
      </c>
      <c r="F176" s="20" t="inlineStr">
        <is>
          <t>100046460</t>
        </is>
      </c>
      <c r="G176" s="20" t="inlineStr">
        <is>
          <t>035202</t>
        </is>
      </c>
      <c r="H176" s="658" t="n">
        <v>41659</v>
      </c>
      <c r="I176" s="650" t="n">
        <v>125.78</v>
      </c>
      <c r="J176" s="74" t="inlineStr">
        <is>
          <t>បានបង់</t>
        </is>
      </c>
    </row>
    <row r="177" ht="18" customHeight="1" s="397">
      <c r="A177" s="60" t="n">
        <v>7</v>
      </c>
      <c r="B177" s="20" t="inlineStr">
        <is>
          <t>035288</t>
        </is>
      </c>
      <c r="C177" s="658" t="n">
        <v>41666</v>
      </c>
      <c r="D177" s="650" t="n">
        <v>73.14</v>
      </c>
      <c r="E177" s="19" t="inlineStr">
        <is>
          <t>A P L Logistics</t>
        </is>
      </c>
      <c r="F177" s="20" t="inlineStr">
        <is>
          <t>100046460</t>
        </is>
      </c>
      <c r="G177" s="20" t="inlineStr">
        <is>
          <t>035288</t>
        </is>
      </c>
      <c r="H177" s="658" t="n">
        <v>41666</v>
      </c>
      <c r="I177" s="650" t="n">
        <v>73.14</v>
      </c>
      <c r="J177" s="74" t="inlineStr">
        <is>
          <t>បានបង់</t>
        </is>
      </c>
    </row>
    <row r="178" ht="18" customHeight="1" s="397">
      <c r="A178" s="472" t="inlineStr">
        <is>
          <t>Total 01/2014</t>
        </is>
      </c>
      <c r="B178" s="574" t="n"/>
      <c r="C178" s="563" t="n"/>
      <c r="D178" s="651">
        <f>SUM(D171:D177)</f>
        <v/>
      </c>
      <c r="E178" s="53" t="n"/>
      <c r="F178" s="54" t="n"/>
      <c r="G178" s="64" t="n"/>
      <c r="H178" s="652" t="inlineStr">
        <is>
          <t>USD</t>
        </is>
      </c>
      <c r="I178" s="651">
        <f>SUM(I171:I177)</f>
        <v/>
      </c>
      <c r="J178" s="7" t="n"/>
    </row>
    <row r="179" ht="21.9" customHeight="1" s="397">
      <c r="A179" s="472" t="inlineStr">
        <is>
          <t>Total 01/2014</t>
        </is>
      </c>
      <c r="B179" s="574" t="n"/>
      <c r="C179" s="563" t="n"/>
      <c r="D179" s="651" t="n"/>
      <c r="E179" s="53" t="n"/>
      <c r="F179" s="54" t="n"/>
      <c r="G179" s="653" t="n">
        <v>3995</v>
      </c>
      <c r="H179" s="652" t="inlineStr">
        <is>
          <t>RIEL</t>
        </is>
      </c>
      <c r="I179" s="654">
        <f>I178*G179</f>
        <v/>
      </c>
      <c r="J179" s="7" t="n"/>
    </row>
    <row r="180" ht="18" customHeight="1" s="397">
      <c r="A180" s="33" t="n">
        <v>1</v>
      </c>
      <c r="B180" s="20" t="inlineStr">
        <is>
          <t>035414</t>
        </is>
      </c>
      <c r="C180" s="658" t="n">
        <v>41674</v>
      </c>
      <c r="D180" s="650" t="n">
        <v>174.58</v>
      </c>
      <c r="E180" s="11" t="inlineStr">
        <is>
          <t>A P L Logistics</t>
        </is>
      </c>
      <c r="F180" s="10" t="inlineStr">
        <is>
          <t>100046460</t>
        </is>
      </c>
      <c r="G180" s="20" t="inlineStr">
        <is>
          <t>035414</t>
        </is>
      </c>
      <c r="H180" s="658" t="n">
        <v>41674</v>
      </c>
      <c r="I180" s="650" t="n">
        <v>174.58</v>
      </c>
      <c r="J180" s="74" t="inlineStr">
        <is>
          <t>បានបង់</t>
        </is>
      </c>
    </row>
    <row r="181" ht="18" customHeight="1" s="397">
      <c r="A181" s="33" t="n">
        <v>2</v>
      </c>
      <c r="B181" s="20" t="inlineStr">
        <is>
          <t>035500</t>
        </is>
      </c>
      <c r="C181" s="658" t="n">
        <v>41680</v>
      </c>
      <c r="D181" s="650" t="n">
        <v>415.68</v>
      </c>
      <c r="E181" s="11" t="inlineStr">
        <is>
          <t>A P L Logistics</t>
        </is>
      </c>
      <c r="F181" s="10" t="inlineStr">
        <is>
          <t>100046460</t>
        </is>
      </c>
      <c r="G181" s="20" t="inlineStr">
        <is>
          <t>035500</t>
        </is>
      </c>
      <c r="H181" s="658" t="n">
        <v>41680</v>
      </c>
      <c r="I181" s="650" t="n">
        <v>415.68</v>
      </c>
      <c r="J181" s="74" t="inlineStr">
        <is>
          <t>បានបង់</t>
        </is>
      </c>
    </row>
    <row r="182" ht="18" customHeight="1" s="397">
      <c r="A182" s="33" t="n">
        <v>3</v>
      </c>
      <c r="B182" s="20" t="inlineStr">
        <is>
          <t>022361</t>
        </is>
      </c>
      <c r="C182" s="658" t="n">
        <v>41687</v>
      </c>
      <c r="D182" s="650" t="n">
        <v>40.6</v>
      </c>
      <c r="E182" s="19" t="inlineStr">
        <is>
          <t>A P L Logistics</t>
        </is>
      </c>
      <c r="F182" s="20" t="inlineStr">
        <is>
          <t>100046460</t>
        </is>
      </c>
      <c r="G182" s="20" t="inlineStr">
        <is>
          <t>022361</t>
        </is>
      </c>
      <c r="H182" s="658" t="n">
        <v>41687</v>
      </c>
      <c r="I182" s="650" t="n">
        <v>40.6</v>
      </c>
      <c r="J182" s="74" t="inlineStr">
        <is>
          <t>បានបង់</t>
        </is>
      </c>
    </row>
    <row r="183" ht="18" customHeight="1" s="397">
      <c r="A183" s="33" t="n">
        <v>4</v>
      </c>
      <c r="B183" s="20" t="inlineStr">
        <is>
          <t>035593</t>
        </is>
      </c>
      <c r="C183" s="658" t="n">
        <v>41687</v>
      </c>
      <c r="D183" s="650" t="n">
        <v>304.44</v>
      </c>
      <c r="E183" s="11" t="inlineStr">
        <is>
          <t>A P L Logistics</t>
        </is>
      </c>
      <c r="F183" s="10" t="inlineStr">
        <is>
          <t>100046460</t>
        </is>
      </c>
      <c r="G183" s="20" t="inlineStr">
        <is>
          <t>035593</t>
        </is>
      </c>
      <c r="H183" s="658" t="n">
        <v>41687</v>
      </c>
      <c r="I183" s="650" t="n">
        <v>304.44</v>
      </c>
      <c r="J183" s="74" t="inlineStr">
        <is>
          <t>បានបង់</t>
        </is>
      </c>
    </row>
    <row r="184" ht="18" customHeight="1" s="397">
      <c r="A184" s="33" t="n">
        <v>5</v>
      </c>
      <c r="B184" s="20" t="inlineStr">
        <is>
          <t>022391</t>
        </is>
      </c>
      <c r="C184" s="658" t="n">
        <v>41688</v>
      </c>
      <c r="D184" s="650" t="n">
        <v>104.76</v>
      </c>
      <c r="E184" s="11" t="inlineStr">
        <is>
          <t>A P L Logistics</t>
        </is>
      </c>
      <c r="F184" s="10" t="inlineStr">
        <is>
          <t>100046460</t>
        </is>
      </c>
      <c r="G184" s="20" t="inlineStr">
        <is>
          <t>022391</t>
        </is>
      </c>
      <c r="H184" s="658" t="n">
        <v>41688</v>
      </c>
      <c r="I184" s="650" t="n">
        <v>104.76</v>
      </c>
      <c r="J184" s="74" t="inlineStr">
        <is>
          <t>បានបង់</t>
        </is>
      </c>
    </row>
    <row r="185" ht="18" customHeight="1" s="397">
      <c r="A185" s="33" t="n">
        <v>6</v>
      </c>
      <c r="B185" s="20" t="inlineStr">
        <is>
          <t>035652</t>
        </is>
      </c>
      <c r="C185" s="658" t="n">
        <v>41689</v>
      </c>
      <c r="D185" s="650" t="n">
        <v>4</v>
      </c>
      <c r="E185" s="19" t="inlineStr">
        <is>
          <t>A P L Logistics</t>
        </is>
      </c>
      <c r="F185" s="20" t="inlineStr">
        <is>
          <t>100046460</t>
        </is>
      </c>
      <c r="G185" s="20" t="inlineStr">
        <is>
          <t>035652</t>
        </is>
      </c>
      <c r="H185" s="658" t="n">
        <v>41689</v>
      </c>
      <c r="I185" s="650" t="n">
        <v>4</v>
      </c>
      <c r="J185" s="74" t="inlineStr">
        <is>
          <t>បានបង់</t>
        </is>
      </c>
    </row>
    <row r="186" ht="18" customHeight="1" s="397">
      <c r="A186" s="33" t="n">
        <v>7</v>
      </c>
      <c r="B186" s="20" t="inlineStr">
        <is>
          <t>022434</t>
        </is>
      </c>
      <c r="C186" s="658" t="n">
        <v>41694</v>
      </c>
      <c r="D186" s="650" t="n">
        <v>85.78</v>
      </c>
      <c r="E186" s="11" t="inlineStr">
        <is>
          <t>A P L Logistics</t>
        </is>
      </c>
      <c r="F186" s="10" t="inlineStr">
        <is>
          <t>100046460</t>
        </is>
      </c>
      <c r="G186" s="20" t="inlineStr">
        <is>
          <t>022434</t>
        </is>
      </c>
      <c r="H186" s="658" t="n">
        <v>41694</v>
      </c>
      <c r="I186" s="650" t="n">
        <v>85.78</v>
      </c>
      <c r="J186" s="74" t="inlineStr">
        <is>
          <t>បានបង់</t>
        </is>
      </c>
    </row>
    <row r="187" ht="18" customHeight="1" s="397">
      <c r="A187" s="33" t="n">
        <v>8</v>
      </c>
      <c r="B187" s="20" t="inlineStr">
        <is>
          <t>035707</t>
        </is>
      </c>
      <c r="C187" s="658" t="n">
        <v>41694</v>
      </c>
      <c r="D187" s="650" t="n">
        <v>270.21</v>
      </c>
      <c r="E187" s="11" t="inlineStr">
        <is>
          <t>A P L Logistics</t>
        </is>
      </c>
      <c r="F187" s="10" t="inlineStr">
        <is>
          <t>100046460</t>
        </is>
      </c>
      <c r="G187" s="20" t="inlineStr">
        <is>
          <t>035707</t>
        </is>
      </c>
      <c r="H187" s="658" t="n">
        <v>41694</v>
      </c>
      <c r="I187" s="650" t="n">
        <v>270.21</v>
      </c>
      <c r="J187" s="74" t="inlineStr">
        <is>
          <t>បានបង់</t>
        </is>
      </c>
    </row>
    <row r="188" ht="18" customHeight="1" s="397">
      <c r="A188" s="472" t="inlineStr">
        <is>
          <t>Total 02/2014</t>
        </is>
      </c>
      <c r="B188" s="574" t="n"/>
      <c r="C188" s="563" t="n"/>
      <c r="D188" s="651">
        <f>SUM(D180:D187)</f>
        <v/>
      </c>
      <c r="E188" s="53" t="n"/>
      <c r="F188" s="54" t="n"/>
      <c r="G188" s="64" t="n"/>
      <c r="H188" s="652" t="inlineStr">
        <is>
          <t>USD</t>
        </is>
      </c>
      <c r="I188" s="651">
        <f>SUM(I180:I187)</f>
        <v/>
      </c>
      <c r="J188" s="7" t="n"/>
    </row>
    <row r="189" ht="21.9" customHeight="1" s="397">
      <c r="A189" s="472" t="inlineStr">
        <is>
          <t>Total 02/2014</t>
        </is>
      </c>
      <c r="B189" s="574" t="n"/>
      <c r="C189" s="563" t="n"/>
      <c r="D189" s="651" t="n"/>
      <c r="E189" s="53" t="n"/>
      <c r="F189" s="54" t="n"/>
      <c r="G189" s="653" t="n">
        <v>3984</v>
      </c>
      <c r="H189" s="652" t="inlineStr">
        <is>
          <t>RIEL</t>
        </is>
      </c>
      <c r="I189" s="654">
        <f>I188*G189</f>
        <v/>
      </c>
      <c r="J189" s="7" t="n"/>
    </row>
    <row r="190" ht="18" customHeight="1" s="397">
      <c r="A190" s="33" t="n">
        <v>1</v>
      </c>
      <c r="B190" s="20" t="inlineStr">
        <is>
          <t>035782</t>
        </is>
      </c>
      <c r="C190" s="658" t="n">
        <v>41701</v>
      </c>
      <c r="D190" s="650" t="n">
        <v>83.61</v>
      </c>
      <c r="E190" s="11" t="inlineStr">
        <is>
          <t>A P L Logistics</t>
        </is>
      </c>
      <c r="F190" s="10" t="inlineStr">
        <is>
          <t>100046460</t>
        </is>
      </c>
      <c r="G190" s="20" t="inlineStr">
        <is>
          <t>035782</t>
        </is>
      </c>
      <c r="H190" s="658" t="n">
        <v>41701</v>
      </c>
      <c r="I190" s="650" t="n">
        <v>83.61</v>
      </c>
      <c r="J190" s="74" t="inlineStr">
        <is>
          <t>បានបង់</t>
        </is>
      </c>
    </row>
    <row r="191" ht="18" customHeight="1" s="397">
      <c r="A191" s="33" t="n">
        <v>2</v>
      </c>
      <c r="B191" s="20" t="inlineStr">
        <is>
          <t>022600</t>
        </is>
      </c>
      <c r="C191" s="658" t="n">
        <v>41708</v>
      </c>
      <c r="D191" s="650" t="n">
        <v>103.64</v>
      </c>
      <c r="E191" s="11" t="inlineStr">
        <is>
          <t>A P L Logistics</t>
        </is>
      </c>
      <c r="F191" s="10" t="inlineStr">
        <is>
          <t>100046460</t>
        </is>
      </c>
      <c r="G191" s="20" t="inlineStr">
        <is>
          <t>022600</t>
        </is>
      </c>
      <c r="H191" s="658" t="n">
        <v>41708</v>
      </c>
      <c r="I191" s="650" t="n">
        <v>103.64</v>
      </c>
      <c r="J191" s="74" t="inlineStr">
        <is>
          <t>បានបង់</t>
        </is>
      </c>
    </row>
    <row r="192" ht="18" customHeight="1" s="397">
      <c r="A192" s="33" t="n">
        <v>3</v>
      </c>
      <c r="B192" s="20" t="inlineStr">
        <is>
          <t>035899</t>
        </is>
      </c>
      <c r="C192" s="658" t="n">
        <v>41709</v>
      </c>
      <c r="D192" s="650" t="n">
        <v>440.98</v>
      </c>
      <c r="E192" s="11" t="inlineStr">
        <is>
          <t>A P L Logistics</t>
        </is>
      </c>
      <c r="F192" s="10" t="inlineStr">
        <is>
          <t>100046460</t>
        </is>
      </c>
      <c r="G192" s="20" t="inlineStr">
        <is>
          <t>035899</t>
        </is>
      </c>
      <c r="H192" s="658" t="n">
        <v>41709</v>
      </c>
      <c r="I192" s="650" t="n">
        <v>440.98</v>
      </c>
      <c r="J192" s="74" t="inlineStr">
        <is>
          <t>បានបង់</t>
        </is>
      </c>
    </row>
    <row r="193" ht="18" customHeight="1" s="397">
      <c r="A193" s="33" t="n">
        <v>4</v>
      </c>
      <c r="B193" s="20" t="inlineStr">
        <is>
          <t>035977</t>
        </is>
      </c>
      <c r="C193" s="658" t="n">
        <v>41715</v>
      </c>
      <c r="D193" s="650" t="n">
        <v>381.77</v>
      </c>
      <c r="E193" s="11" t="inlineStr">
        <is>
          <t>A P L Logistics</t>
        </is>
      </c>
      <c r="F193" s="10" t="inlineStr">
        <is>
          <t>100046460</t>
        </is>
      </c>
      <c r="G193" s="20" t="inlineStr">
        <is>
          <t>035977</t>
        </is>
      </c>
      <c r="H193" s="658" t="n">
        <v>41715</v>
      </c>
      <c r="I193" s="650" t="n">
        <v>381.77</v>
      </c>
      <c r="J193" s="74" t="inlineStr">
        <is>
          <t>បានបង់</t>
        </is>
      </c>
    </row>
    <row r="194" ht="18" customHeight="1" s="397">
      <c r="A194" s="33" t="n">
        <v>5</v>
      </c>
      <c r="B194" s="20" t="inlineStr">
        <is>
          <t>036016</t>
        </is>
      </c>
      <c r="C194" s="658" t="n">
        <v>41717</v>
      </c>
      <c r="D194" s="650" t="n">
        <v>16</v>
      </c>
      <c r="E194" s="19" t="inlineStr">
        <is>
          <t>A P L Logistics</t>
        </is>
      </c>
      <c r="F194" s="20" t="inlineStr">
        <is>
          <t>100046460</t>
        </is>
      </c>
      <c r="G194" s="20" t="inlineStr">
        <is>
          <t>036016</t>
        </is>
      </c>
      <c r="H194" s="658" t="n">
        <v>41717</v>
      </c>
      <c r="I194" s="650" t="n">
        <v>16</v>
      </c>
      <c r="J194" s="74" t="inlineStr">
        <is>
          <t>បានបង់</t>
        </is>
      </c>
    </row>
    <row r="195" ht="18" customHeight="1" s="397">
      <c r="A195" s="33" t="n">
        <v>6</v>
      </c>
      <c r="B195" s="20" t="inlineStr">
        <is>
          <t>036053</t>
        </is>
      </c>
      <c r="C195" s="658" t="n">
        <v>41722</v>
      </c>
      <c r="D195" s="650" t="n">
        <v>107.59</v>
      </c>
      <c r="E195" s="11" t="inlineStr">
        <is>
          <t>A P L Logistics</t>
        </is>
      </c>
      <c r="F195" s="10" t="inlineStr">
        <is>
          <t>100046460</t>
        </is>
      </c>
      <c r="G195" s="20" t="inlineStr">
        <is>
          <t>036053</t>
        </is>
      </c>
      <c r="H195" s="658" t="n">
        <v>41722</v>
      </c>
      <c r="I195" s="650" t="n">
        <v>107.59</v>
      </c>
      <c r="J195" s="74" t="inlineStr">
        <is>
          <t>បានបង់</t>
        </is>
      </c>
    </row>
    <row r="196" ht="18" customHeight="1" s="397">
      <c r="A196" s="33" t="n">
        <v>7</v>
      </c>
      <c r="B196" s="20" t="inlineStr">
        <is>
          <t>036145</t>
        </is>
      </c>
      <c r="C196" s="658" t="n">
        <v>41729</v>
      </c>
      <c r="D196" s="650" t="n">
        <v>139.14</v>
      </c>
      <c r="E196" s="19" t="inlineStr">
        <is>
          <t>A P L Logistics</t>
        </is>
      </c>
      <c r="F196" s="20" t="inlineStr">
        <is>
          <t>100046460</t>
        </is>
      </c>
      <c r="G196" s="20" t="inlineStr">
        <is>
          <t>036145</t>
        </is>
      </c>
      <c r="H196" s="658" t="n">
        <v>41729</v>
      </c>
      <c r="I196" s="650" t="n">
        <v>139.14</v>
      </c>
      <c r="J196" s="74" t="inlineStr">
        <is>
          <t>បានបង់</t>
        </is>
      </c>
    </row>
    <row r="197" ht="18" customHeight="1" s="397">
      <c r="A197" s="472" t="inlineStr">
        <is>
          <t>Total 03/2014</t>
        </is>
      </c>
      <c r="B197" s="574" t="n"/>
      <c r="C197" s="563" t="n"/>
      <c r="D197" s="651">
        <f>SUM(D190:D196)</f>
        <v/>
      </c>
      <c r="E197" s="53" t="n"/>
      <c r="F197" s="54" t="n"/>
      <c r="G197" s="64" t="n"/>
      <c r="H197" s="652" t="inlineStr">
        <is>
          <t>USD</t>
        </is>
      </c>
      <c r="I197" s="651">
        <f>SUM(I190:I196)</f>
        <v/>
      </c>
      <c r="J197" s="7" t="n"/>
    </row>
    <row r="198" ht="21.9" customHeight="1" s="397">
      <c r="A198" s="472" t="inlineStr">
        <is>
          <t>Total 03/2014</t>
        </is>
      </c>
      <c r="B198" s="574" t="n"/>
      <c r="C198" s="563" t="n"/>
      <c r="D198" s="651" t="n"/>
      <c r="E198" s="53" t="n"/>
      <c r="F198" s="54" t="n"/>
      <c r="G198" s="653" t="n">
        <v>4002</v>
      </c>
      <c r="H198" s="652" t="inlineStr">
        <is>
          <t>RIEL</t>
        </is>
      </c>
      <c r="I198" s="654">
        <f>I197*G198</f>
        <v/>
      </c>
      <c r="J198" s="7" t="n"/>
    </row>
    <row r="199" ht="18" customHeight="1" s="397">
      <c r="A199" s="33" t="n">
        <v>1</v>
      </c>
      <c r="B199" s="20" t="inlineStr">
        <is>
          <t>036240</t>
        </is>
      </c>
      <c r="C199" s="658" t="n">
        <v>41736</v>
      </c>
      <c r="D199" s="650" t="n">
        <v>295.52</v>
      </c>
      <c r="E199" s="11" t="inlineStr">
        <is>
          <t>A P L Logistics</t>
        </is>
      </c>
      <c r="F199" s="10" t="inlineStr">
        <is>
          <t>100046460</t>
        </is>
      </c>
      <c r="G199" s="20" t="inlineStr">
        <is>
          <t>036240</t>
        </is>
      </c>
      <c r="H199" s="658" t="n">
        <v>41736</v>
      </c>
      <c r="I199" s="650" t="n">
        <v>295.52</v>
      </c>
      <c r="J199" s="74" t="inlineStr">
        <is>
          <t>បានបង់</t>
        </is>
      </c>
    </row>
    <row r="200" ht="18" customHeight="1" s="397">
      <c r="A200" s="33" t="n">
        <v>2</v>
      </c>
      <c r="B200" s="20" t="inlineStr">
        <is>
          <t>036212</t>
        </is>
      </c>
      <c r="C200" s="658" t="n">
        <v>41731</v>
      </c>
      <c r="D200" s="650" t="n">
        <v>4</v>
      </c>
      <c r="E200" s="19" t="inlineStr">
        <is>
          <t>A P L Logistics</t>
        </is>
      </c>
      <c r="F200" s="20" t="inlineStr">
        <is>
          <t>100046460</t>
        </is>
      </c>
      <c r="G200" s="20" t="inlineStr">
        <is>
          <t>036212</t>
        </is>
      </c>
      <c r="H200" s="658" t="n">
        <v>41731</v>
      </c>
      <c r="I200" s="650" t="n">
        <v>4</v>
      </c>
      <c r="J200" s="74" t="inlineStr">
        <is>
          <t>បានបង់</t>
        </is>
      </c>
    </row>
    <row r="201" ht="18" customHeight="1" s="397">
      <c r="A201" s="33" t="n">
        <v>3</v>
      </c>
      <c r="B201" s="20" t="inlineStr">
        <is>
          <t>036337</t>
        </is>
      </c>
      <c r="C201" s="658" t="n">
        <v>41744</v>
      </c>
      <c r="D201" s="650" t="n">
        <v>242.83</v>
      </c>
      <c r="E201" s="11" t="inlineStr">
        <is>
          <t>A P L Logistics</t>
        </is>
      </c>
      <c r="F201" s="10" t="inlineStr">
        <is>
          <t>100046460</t>
        </is>
      </c>
      <c r="G201" s="20" t="inlineStr">
        <is>
          <t>036337</t>
        </is>
      </c>
      <c r="H201" s="658" t="n">
        <v>41744</v>
      </c>
      <c r="I201" s="650" t="n">
        <v>242.83</v>
      </c>
      <c r="J201" s="74" t="inlineStr">
        <is>
          <t>បានបង់</t>
        </is>
      </c>
    </row>
    <row r="202" ht="18" customHeight="1" s="397">
      <c r="A202" s="33" t="n">
        <v>4</v>
      </c>
      <c r="B202" s="20" t="inlineStr">
        <is>
          <t>036410</t>
        </is>
      </c>
      <c r="C202" s="658" t="n">
        <v>41750</v>
      </c>
      <c r="D202" s="650" t="n">
        <v>130.46</v>
      </c>
      <c r="E202" s="11" t="inlineStr">
        <is>
          <t>A P L Logistics</t>
        </is>
      </c>
      <c r="F202" s="10" t="inlineStr">
        <is>
          <t>100046460</t>
        </is>
      </c>
      <c r="G202" s="20" t="inlineStr">
        <is>
          <t>036410</t>
        </is>
      </c>
      <c r="H202" s="658" t="n">
        <v>41750</v>
      </c>
      <c r="I202" s="650" t="n">
        <v>130.46</v>
      </c>
      <c r="J202" s="74" t="inlineStr">
        <is>
          <t>បានបង់</t>
        </is>
      </c>
    </row>
    <row r="203" ht="18" customHeight="1" s="397">
      <c r="A203" s="33" t="n">
        <v>5</v>
      </c>
      <c r="B203" s="20" t="inlineStr">
        <is>
          <t>036463</t>
        </is>
      </c>
      <c r="C203" s="658" t="n">
        <v>41757</v>
      </c>
      <c r="D203" s="650" t="n">
        <v>113.27</v>
      </c>
      <c r="E203" s="11" t="inlineStr">
        <is>
          <t>A P L Logistics</t>
        </is>
      </c>
      <c r="F203" s="10" t="inlineStr">
        <is>
          <t>100046460</t>
        </is>
      </c>
      <c r="G203" s="20" t="inlineStr">
        <is>
          <t>036463</t>
        </is>
      </c>
      <c r="H203" s="658" t="n">
        <v>41757</v>
      </c>
      <c r="I203" s="650" t="n">
        <v>113.27</v>
      </c>
      <c r="J203" s="74" t="inlineStr">
        <is>
          <t>បានបង់</t>
        </is>
      </c>
    </row>
    <row r="204" ht="18" customHeight="1" s="397">
      <c r="A204" s="472" t="inlineStr">
        <is>
          <t>Total 04/2014</t>
        </is>
      </c>
      <c r="B204" s="574" t="n"/>
      <c r="C204" s="563" t="n"/>
      <c r="D204" s="651">
        <f>SUM(D199:D203)</f>
        <v/>
      </c>
      <c r="E204" s="53" t="n"/>
      <c r="F204" s="54" t="n"/>
      <c r="G204" s="64" t="n"/>
      <c r="H204" s="652" t="inlineStr">
        <is>
          <t>USD</t>
        </is>
      </c>
      <c r="I204" s="651">
        <f>SUM(I199:I203)</f>
        <v/>
      </c>
      <c r="J204" s="7" t="n"/>
    </row>
    <row r="205" ht="21.9" customHeight="1" s="397">
      <c r="A205" s="472" t="inlineStr">
        <is>
          <t>Total 04/2014</t>
        </is>
      </c>
      <c r="B205" s="574" t="n"/>
      <c r="C205" s="563" t="n"/>
      <c r="D205" s="651" t="n"/>
      <c r="E205" s="53" t="n"/>
      <c r="F205" s="54" t="n"/>
      <c r="G205" s="653" t="n">
        <v>4015</v>
      </c>
      <c r="H205" s="652" t="inlineStr">
        <is>
          <t>RIEL</t>
        </is>
      </c>
      <c r="I205" s="654">
        <f>I204*G205</f>
        <v/>
      </c>
      <c r="J205" s="7" t="n"/>
    </row>
    <row r="206" ht="18" customHeight="1" s="397">
      <c r="A206" s="33" t="n">
        <v>1</v>
      </c>
      <c r="B206" s="24" t="inlineStr">
        <is>
          <t>036541</t>
        </is>
      </c>
      <c r="C206" s="658" t="n">
        <v>41764</v>
      </c>
      <c r="D206" s="650" t="n">
        <v>237.93</v>
      </c>
      <c r="E206" s="11" t="inlineStr">
        <is>
          <t>A P L Logistics</t>
        </is>
      </c>
      <c r="F206" s="10" t="inlineStr">
        <is>
          <t>100046460</t>
        </is>
      </c>
      <c r="G206" s="24" t="inlineStr">
        <is>
          <t>036541</t>
        </is>
      </c>
      <c r="H206" s="658" t="n">
        <v>41764</v>
      </c>
      <c r="I206" s="650" t="n">
        <v>237.93</v>
      </c>
      <c r="J206" s="74" t="inlineStr">
        <is>
          <t>បានបង់</t>
        </is>
      </c>
    </row>
    <row r="207" ht="18" customHeight="1" s="397">
      <c r="A207" s="33" t="n">
        <v>2</v>
      </c>
      <c r="B207" s="24" t="inlineStr">
        <is>
          <t>036630</t>
        </is>
      </c>
      <c r="C207" s="658" t="n">
        <v>41772</v>
      </c>
      <c r="D207" s="650" t="n">
        <v>188.08</v>
      </c>
      <c r="E207" s="11" t="inlineStr">
        <is>
          <t>A P L Logistics</t>
        </is>
      </c>
      <c r="F207" s="10" t="inlineStr">
        <is>
          <t>100046460</t>
        </is>
      </c>
      <c r="G207" s="24" t="inlineStr">
        <is>
          <t>036630</t>
        </is>
      </c>
      <c r="H207" s="658" t="n">
        <v>41772</v>
      </c>
      <c r="I207" s="650" t="n">
        <v>188.08</v>
      </c>
      <c r="J207" s="74" t="inlineStr">
        <is>
          <t>បានបង់</t>
        </is>
      </c>
    </row>
    <row r="208" ht="18" customHeight="1" s="397">
      <c r="A208" s="33" t="n">
        <v>3</v>
      </c>
      <c r="B208" s="24" t="inlineStr">
        <is>
          <t>036696</t>
        </is>
      </c>
      <c r="C208" s="658" t="n">
        <v>41778</v>
      </c>
      <c r="D208" s="650" t="n">
        <v>119.01</v>
      </c>
      <c r="E208" s="11" t="inlineStr">
        <is>
          <t>A P L Logistics</t>
        </is>
      </c>
      <c r="F208" s="10" t="inlineStr">
        <is>
          <t>100046460</t>
        </is>
      </c>
      <c r="G208" s="24" t="inlineStr">
        <is>
          <t>036696</t>
        </is>
      </c>
      <c r="H208" s="658" t="n">
        <v>41778</v>
      </c>
      <c r="I208" s="650" t="n">
        <v>119.01</v>
      </c>
      <c r="J208" s="74" t="inlineStr">
        <is>
          <t>បានបង់</t>
        </is>
      </c>
    </row>
    <row r="209" ht="18" customHeight="1" s="397">
      <c r="A209" s="33" t="n">
        <v>4</v>
      </c>
      <c r="B209" s="24" t="inlineStr">
        <is>
          <t>023316</t>
        </is>
      </c>
      <c r="C209" s="658" t="n">
        <v>41782</v>
      </c>
      <c r="D209" s="650" t="n">
        <v>30</v>
      </c>
      <c r="E209" s="10" t="inlineStr">
        <is>
          <t>A P L Logistics</t>
        </is>
      </c>
      <c r="F209" s="24" t="inlineStr">
        <is>
          <t>100046460</t>
        </is>
      </c>
      <c r="G209" s="24" t="inlineStr">
        <is>
          <t>023316</t>
        </is>
      </c>
      <c r="H209" s="658" t="n">
        <v>41782</v>
      </c>
      <c r="I209" s="650" t="n">
        <v>30</v>
      </c>
      <c r="J209" s="74" t="inlineStr">
        <is>
          <t>បានបង់</t>
        </is>
      </c>
    </row>
    <row r="210" ht="18" customHeight="1" s="397">
      <c r="A210" s="33" t="n">
        <v>5</v>
      </c>
      <c r="B210" s="24" t="inlineStr">
        <is>
          <t>036771</t>
        </is>
      </c>
      <c r="C210" s="658" t="n">
        <v>41785</v>
      </c>
      <c r="D210" s="650" t="n">
        <v>100.65</v>
      </c>
      <c r="E210" s="10" t="inlineStr">
        <is>
          <t>A P L Logistics</t>
        </is>
      </c>
      <c r="F210" s="24" t="inlineStr">
        <is>
          <t>100046460</t>
        </is>
      </c>
      <c r="G210" s="24" t="inlineStr">
        <is>
          <t>036771</t>
        </is>
      </c>
      <c r="H210" s="658" t="n">
        <v>41785</v>
      </c>
      <c r="I210" s="650" t="n">
        <v>100.65</v>
      </c>
      <c r="J210" s="74" t="inlineStr">
        <is>
          <t>បានបង់</t>
        </is>
      </c>
    </row>
    <row r="211" ht="18" customHeight="1" s="397">
      <c r="A211" s="472" t="inlineStr">
        <is>
          <t>Total 05/2014</t>
        </is>
      </c>
      <c r="B211" s="574" t="n"/>
      <c r="C211" s="563" t="n"/>
      <c r="D211" s="651">
        <f>SUM(D206:D210)</f>
        <v/>
      </c>
      <c r="E211" s="53" t="n"/>
      <c r="F211" s="54" t="n"/>
      <c r="G211" s="65" t="n"/>
      <c r="H211" s="652" t="inlineStr">
        <is>
          <t>USD</t>
        </is>
      </c>
      <c r="I211" s="651">
        <f>SUM(I206:I210)</f>
        <v/>
      </c>
      <c r="J211" s="7" t="n"/>
    </row>
    <row r="212" ht="21.9" customHeight="1" s="397">
      <c r="A212" s="472" t="inlineStr">
        <is>
          <t>Total 05/2014</t>
        </is>
      </c>
      <c r="B212" s="574" t="n"/>
      <c r="C212" s="563" t="n"/>
      <c r="D212" s="651" t="n"/>
      <c r="E212" s="53" t="n"/>
      <c r="F212" s="54" t="n"/>
      <c r="G212" s="653" t="n">
        <v>4025</v>
      </c>
      <c r="H212" s="652" t="inlineStr">
        <is>
          <t>RIEL</t>
        </is>
      </c>
      <c r="I212" s="654">
        <f>I211*G212</f>
        <v/>
      </c>
      <c r="J212" s="7" t="n"/>
    </row>
    <row r="213" ht="18" customHeight="1" s="397">
      <c r="A213" s="33" t="n">
        <v>1</v>
      </c>
      <c r="B213" s="24" t="inlineStr">
        <is>
          <t>036857</t>
        </is>
      </c>
      <c r="C213" s="658" t="n">
        <v>41792</v>
      </c>
      <c r="D213" s="650" t="n">
        <v>209.57</v>
      </c>
      <c r="E213" s="11" t="inlineStr">
        <is>
          <t>A P L Logistics</t>
        </is>
      </c>
      <c r="F213" s="10" t="inlineStr">
        <is>
          <t>100046460</t>
        </is>
      </c>
      <c r="G213" s="24" t="inlineStr">
        <is>
          <t>036857</t>
        </is>
      </c>
      <c r="H213" s="658" t="n">
        <v>41792</v>
      </c>
      <c r="I213" s="650" t="n">
        <v>209.57</v>
      </c>
      <c r="J213" s="76" t="inlineStr">
        <is>
          <t>បានបង់</t>
        </is>
      </c>
    </row>
    <row r="214" ht="18" customHeight="1" s="397">
      <c r="A214" s="33" t="n">
        <v>2</v>
      </c>
      <c r="B214" s="24" t="inlineStr">
        <is>
          <t>036925</t>
        </is>
      </c>
      <c r="C214" s="658" t="n">
        <v>41799</v>
      </c>
      <c r="D214" s="650" t="n">
        <v>188.93</v>
      </c>
      <c r="E214" s="11" t="inlineStr">
        <is>
          <t>A P L Logistics</t>
        </is>
      </c>
      <c r="F214" s="10" t="inlineStr">
        <is>
          <t>100046460</t>
        </is>
      </c>
      <c r="G214" s="24" t="inlineStr">
        <is>
          <t>036925</t>
        </is>
      </c>
      <c r="H214" s="658" t="n">
        <v>41799</v>
      </c>
      <c r="I214" s="650" t="n">
        <v>188.93</v>
      </c>
      <c r="J214" s="76" t="inlineStr">
        <is>
          <t>បានបង់</t>
        </is>
      </c>
    </row>
    <row r="215" ht="18" customHeight="1" s="397">
      <c r="A215" s="33" t="n">
        <v>3</v>
      </c>
      <c r="B215" s="24" t="inlineStr">
        <is>
          <t>037006</t>
        </is>
      </c>
      <c r="C215" s="658" t="n">
        <v>41806</v>
      </c>
      <c r="D215" s="650" t="n">
        <v>26.87</v>
      </c>
      <c r="E215" s="11" t="inlineStr">
        <is>
          <t>A P L Logistics</t>
        </is>
      </c>
      <c r="F215" s="24" t="inlineStr">
        <is>
          <t>100046460</t>
        </is>
      </c>
      <c r="G215" s="24" t="inlineStr">
        <is>
          <t>037006</t>
        </is>
      </c>
      <c r="H215" s="658" t="n">
        <v>41806</v>
      </c>
      <c r="I215" s="650" t="n">
        <v>26.87</v>
      </c>
      <c r="J215" s="76" t="inlineStr">
        <is>
          <t>បានបង់</t>
        </is>
      </c>
    </row>
    <row r="216" ht="18" customHeight="1" s="397">
      <c r="A216" s="33" t="n">
        <v>4</v>
      </c>
      <c r="B216" s="24" t="inlineStr">
        <is>
          <t>037083</t>
        </is>
      </c>
      <c r="C216" s="658" t="n">
        <v>41813</v>
      </c>
      <c r="D216" s="650" t="n">
        <v>173.82</v>
      </c>
      <c r="E216" s="10" t="inlineStr">
        <is>
          <t>A P L Logistics</t>
        </is>
      </c>
      <c r="F216" s="24" t="inlineStr">
        <is>
          <t>100046460</t>
        </is>
      </c>
      <c r="G216" s="24" t="inlineStr">
        <is>
          <t>037083</t>
        </is>
      </c>
      <c r="H216" s="658" t="n">
        <v>41813</v>
      </c>
      <c r="I216" s="650" t="n">
        <v>173.82</v>
      </c>
      <c r="J216" s="76" t="inlineStr">
        <is>
          <t>បានបង់</t>
        </is>
      </c>
    </row>
    <row r="217" ht="18" customHeight="1" s="397">
      <c r="A217" s="33" t="n">
        <v>5</v>
      </c>
      <c r="B217" s="24" t="inlineStr">
        <is>
          <t>037179</t>
        </is>
      </c>
      <c r="C217" s="658" t="n">
        <v>41820</v>
      </c>
      <c r="D217" s="650" t="n">
        <v>139.37</v>
      </c>
      <c r="E217" s="11" t="inlineStr">
        <is>
          <t>A P L Logistics</t>
        </is>
      </c>
      <c r="F217" s="10" t="inlineStr">
        <is>
          <t>100046460</t>
        </is>
      </c>
      <c r="G217" s="24" t="inlineStr">
        <is>
          <t>037179</t>
        </is>
      </c>
      <c r="H217" s="658" t="n">
        <v>41820</v>
      </c>
      <c r="I217" s="650" t="n">
        <v>139.37</v>
      </c>
      <c r="J217" s="76" t="inlineStr">
        <is>
          <t>បានបង់</t>
        </is>
      </c>
    </row>
    <row r="218" ht="18" customHeight="1" s="397">
      <c r="A218" s="472" t="inlineStr">
        <is>
          <t>Total 06/2014</t>
        </is>
      </c>
      <c r="B218" s="574" t="n"/>
      <c r="C218" s="563" t="n"/>
      <c r="D218" s="651">
        <f>SUM(D213:D217)</f>
        <v/>
      </c>
      <c r="E218" s="53" t="n"/>
      <c r="F218" s="54" t="n"/>
      <c r="G218" s="65" t="n"/>
      <c r="H218" s="652" t="inlineStr">
        <is>
          <t>USD</t>
        </is>
      </c>
      <c r="I218" s="651">
        <f>SUM(I213:I217)</f>
        <v/>
      </c>
      <c r="J218" s="7" t="n"/>
    </row>
    <row r="219" ht="21.9" customHeight="1" s="397">
      <c r="A219" s="472" t="inlineStr">
        <is>
          <t>Total 06/2014</t>
        </is>
      </c>
      <c r="B219" s="574" t="n"/>
      <c r="C219" s="563" t="n"/>
      <c r="D219" s="651" t="n"/>
      <c r="E219" s="53" t="n"/>
      <c r="F219" s="54" t="n"/>
      <c r="G219" s="653" t="n">
        <v>4039</v>
      </c>
      <c r="H219" s="652" t="inlineStr">
        <is>
          <t>RIEL</t>
        </is>
      </c>
      <c r="I219" s="654">
        <f>I218*G219</f>
        <v/>
      </c>
      <c r="J219" s="7" t="n"/>
    </row>
    <row r="220" ht="18" customHeight="1" s="397">
      <c r="A220" s="33" t="n">
        <v>1</v>
      </c>
      <c r="B220" s="24" t="inlineStr">
        <is>
          <t>037253</t>
        </is>
      </c>
      <c r="C220" s="658" t="n">
        <v>41827</v>
      </c>
      <c r="D220" s="650" t="n">
        <v>84.54000000000001</v>
      </c>
      <c r="E220" s="11" t="inlineStr">
        <is>
          <t>A P L Logistics</t>
        </is>
      </c>
      <c r="F220" s="10" t="inlineStr">
        <is>
          <t>100046460</t>
        </is>
      </c>
      <c r="G220" s="24" t="inlineStr">
        <is>
          <t>037253</t>
        </is>
      </c>
      <c r="H220" s="658" t="n">
        <v>41827</v>
      </c>
      <c r="I220" s="650" t="n">
        <v>84.54000000000001</v>
      </c>
      <c r="J220" s="76" t="inlineStr">
        <is>
          <t>បានបង់</t>
        </is>
      </c>
    </row>
    <row r="221" ht="18" customHeight="1" s="397">
      <c r="A221" s="33" t="n">
        <v>2</v>
      </c>
      <c r="B221" s="24" t="inlineStr">
        <is>
          <t>037358</t>
        </is>
      </c>
      <c r="C221" s="658" t="n">
        <v>41834</v>
      </c>
      <c r="D221" s="650" t="n">
        <v>55.59</v>
      </c>
      <c r="E221" s="10" t="inlineStr">
        <is>
          <t>A P L Logistics</t>
        </is>
      </c>
      <c r="F221" s="24" t="inlineStr">
        <is>
          <t>100046460</t>
        </is>
      </c>
      <c r="G221" s="24" t="inlineStr">
        <is>
          <t>037358</t>
        </is>
      </c>
      <c r="H221" s="658" t="n">
        <v>41834</v>
      </c>
      <c r="I221" s="650" t="n">
        <v>55.59</v>
      </c>
      <c r="J221" s="76" t="inlineStr">
        <is>
          <t>បានបង់</t>
        </is>
      </c>
    </row>
    <row r="222" ht="18" customHeight="1" s="397">
      <c r="A222" s="33" t="n">
        <v>3</v>
      </c>
      <c r="B222" s="24" t="inlineStr">
        <is>
          <t>037520</t>
        </is>
      </c>
      <c r="C222" s="658" t="n">
        <v>41848</v>
      </c>
      <c r="D222" s="650" t="n">
        <v>24.98</v>
      </c>
      <c r="E222" s="10" t="inlineStr">
        <is>
          <t>A P L Logistics</t>
        </is>
      </c>
      <c r="F222" s="24" t="inlineStr">
        <is>
          <t>100046460</t>
        </is>
      </c>
      <c r="G222" s="24" t="inlineStr">
        <is>
          <t>037520</t>
        </is>
      </c>
      <c r="H222" s="658" t="n">
        <v>41848</v>
      </c>
      <c r="I222" s="650" t="n">
        <v>24.98</v>
      </c>
      <c r="J222" s="76" t="inlineStr">
        <is>
          <t>បានបង់</t>
        </is>
      </c>
    </row>
    <row r="223" ht="18" customHeight="1" s="397">
      <c r="A223" s="472" t="inlineStr">
        <is>
          <t>Total 07/2014</t>
        </is>
      </c>
      <c r="B223" s="574" t="n"/>
      <c r="C223" s="563" t="n"/>
      <c r="D223" s="651">
        <f>SUM(D220:D222)</f>
        <v/>
      </c>
      <c r="E223" s="54" t="n"/>
      <c r="F223" s="65" t="n"/>
      <c r="G223" s="65" t="n"/>
      <c r="H223" s="652" t="inlineStr">
        <is>
          <t>USD</t>
        </is>
      </c>
      <c r="I223" s="651">
        <f>SUM(I220:I222)</f>
        <v/>
      </c>
      <c r="J223" s="7" t="n"/>
    </row>
    <row r="224" ht="21.9" customHeight="1" s="397">
      <c r="A224" s="472" t="inlineStr">
        <is>
          <t>Total 07/2014</t>
        </is>
      </c>
      <c r="B224" s="574" t="n"/>
      <c r="C224" s="563" t="n"/>
      <c r="D224" s="651" t="n"/>
      <c r="E224" s="53" t="n"/>
      <c r="F224" s="54" t="n"/>
      <c r="G224" s="653" t="n">
        <v>4045</v>
      </c>
      <c r="H224" s="652" t="inlineStr">
        <is>
          <t>RIEL</t>
        </is>
      </c>
      <c r="I224" s="654">
        <f>I223*G224</f>
        <v/>
      </c>
      <c r="J224" s="7" t="n"/>
    </row>
    <row r="225" ht="18" customHeight="1" s="397">
      <c r="A225" s="33" t="n">
        <v>1</v>
      </c>
      <c r="B225" s="24" t="inlineStr">
        <is>
          <t>037611</t>
        </is>
      </c>
      <c r="C225" s="658" t="n">
        <v>41855</v>
      </c>
      <c r="D225" s="650" t="n">
        <v>105</v>
      </c>
      <c r="E225" s="11" t="inlineStr">
        <is>
          <t>A P L Logistics</t>
        </is>
      </c>
      <c r="F225" s="10" t="inlineStr">
        <is>
          <t>100046460</t>
        </is>
      </c>
      <c r="G225" s="24" t="inlineStr">
        <is>
          <t>037611</t>
        </is>
      </c>
      <c r="H225" s="658" t="n">
        <v>41855</v>
      </c>
      <c r="I225" s="650" t="n">
        <v>105</v>
      </c>
      <c r="J225" s="76" t="inlineStr">
        <is>
          <t>បានបង់</t>
        </is>
      </c>
    </row>
    <row r="226" ht="18" customHeight="1" s="397">
      <c r="A226" s="33" t="n">
        <v>2</v>
      </c>
      <c r="B226" s="24" t="inlineStr">
        <is>
          <t>037694</t>
        </is>
      </c>
      <c r="C226" s="658" t="n">
        <v>41862</v>
      </c>
      <c r="D226" s="650" t="n">
        <v>132.69</v>
      </c>
      <c r="E226" s="11" t="inlineStr">
        <is>
          <t>A P L Logistics</t>
        </is>
      </c>
      <c r="F226" s="10" t="inlineStr">
        <is>
          <t>100046460</t>
        </is>
      </c>
      <c r="G226" s="24" t="inlineStr">
        <is>
          <t>037694</t>
        </is>
      </c>
      <c r="H226" s="658" t="n">
        <v>41862</v>
      </c>
      <c r="I226" s="650" t="n">
        <v>132.69</v>
      </c>
      <c r="J226" s="76" t="inlineStr">
        <is>
          <t>បានបង់</t>
        </is>
      </c>
    </row>
    <row r="227" ht="18" customHeight="1" s="397">
      <c r="A227" s="33" t="n">
        <v>3</v>
      </c>
      <c r="B227" s="24" t="inlineStr">
        <is>
          <t>037777</t>
        </is>
      </c>
      <c r="C227" s="658" t="n">
        <v>41869</v>
      </c>
      <c r="D227" s="650" t="n">
        <v>91.69</v>
      </c>
      <c r="E227" s="11" t="inlineStr">
        <is>
          <t>A P L Logistics</t>
        </is>
      </c>
      <c r="F227" s="10" t="inlineStr">
        <is>
          <t>100046460</t>
        </is>
      </c>
      <c r="G227" s="24" t="inlineStr">
        <is>
          <t>037777</t>
        </is>
      </c>
      <c r="H227" s="658" t="n">
        <v>41869</v>
      </c>
      <c r="I227" s="650" t="n">
        <v>91.69</v>
      </c>
      <c r="J227" s="76" t="inlineStr">
        <is>
          <t>បានបង់</t>
        </is>
      </c>
    </row>
    <row r="228" ht="18" customHeight="1" s="397">
      <c r="A228" s="33" t="n">
        <v>4</v>
      </c>
      <c r="B228" s="24" t="inlineStr">
        <is>
          <t>037841</t>
        </is>
      </c>
      <c r="C228" s="658" t="n">
        <v>41876</v>
      </c>
      <c r="D228" s="650" t="n">
        <v>65.31999999999999</v>
      </c>
      <c r="E228" s="10" t="inlineStr">
        <is>
          <t>A P L Logistics</t>
        </is>
      </c>
      <c r="F228" s="24" t="inlineStr">
        <is>
          <t>100046460</t>
        </is>
      </c>
      <c r="G228" s="24" t="inlineStr">
        <is>
          <t>037841</t>
        </is>
      </c>
      <c r="H228" s="658" t="n">
        <v>41876</v>
      </c>
      <c r="I228" s="650" t="n">
        <v>65.31999999999999</v>
      </c>
      <c r="J228" s="76" t="inlineStr">
        <is>
          <t>បានបង់</t>
        </is>
      </c>
    </row>
    <row r="229" ht="18" customHeight="1" s="397">
      <c r="A229" s="472" t="inlineStr">
        <is>
          <t>Total 08/2014</t>
        </is>
      </c>
      <c r="B229" s="574" t="n"/>
      <c r="C229" s="563" t="n"/>
      <c r="D229" s="651">
        <f>SUM(D225:D228)</f>
        <v/>
      </c>
      <c r="E229" s="53" t="n"/>
      <c r="F229" s="54" t="n"/>
      <c r="G229" s="65" t="n"/>
      <c r="H229" s="652" t="inlineStr">
        <is>
          <t>USD</t>
        </is>
      </c>
      <c r="I229" s="651">
        <f>SUM(I225:I228)</f>
        <v/>
      </c>
      <c r="J229" s="7" t="n"/>
    </row>
    <row r="230" ht="21.9" customHeight="1" s="397">
      <c r="A230" s="472" t="inlineStr">
        <is>
          <t>Total 08/2014</t>
        </is>
      </c>
      <c r="B230" s="574" t="n"/>
      <c r="C230" s="563" t="n"/>
      <c r="D230" s="651" t="n"/>
      <c r="E230" s="53" t="n"/>
      <c r="F230" s="54" t="n"/>
      <c r="G230" s="653" t="n">
        <v>4058</v>
      </c>
      <c r="H230" s="652" t="inlineStr">
        <is>
          <t>RIEL</t>
        </is>
      </c>
      <c r="I230" s="654">
        <f>I229*G230</f>
        <v/>
      </c>
      <c r="J230" s="7" t="n"/>
    </row>
    <row r="231" ht="18" customHeight="1" s="397">
      <c r="A231" s="33" t="n">
        <v>1</v>
      </c>
      <c r="B231" s="24" t="inlineStr">
        <is>
          <t>037918</t>
        </is>
      </c>
      <c r="C231" s="658" t="n">
        <v>41884</v>
      </c>
      <c r="D231" s="650" t="n">
        <v>144.47</v>
      </c>
      <c r="E231" s="11" t="inlineStr">
        <is>
          <t>A P L Logistics</t>
        </is>
      </c>
      <c r="F231" s="10" t="inlineStr">
        <is>
          <t>100046460</t>
        </is>
      </c>
      <c r="G231" s="24" t="inlineStr">
        <is>
          <t>037918</t>
        </is>
      </c>
      <c r="H231" s="658" t="n">
        <v>41884</v>
      </c>
      <c r="I231" s="650" t="n">
        <v>144.47</v>
      </c>
      <c r="J231" s="76" t="inlineStr">
        <is>
          <t>បានបង់</t>
        </is>
      </c>
    </row>
    <row r="232" ht="18" customHeight="1" s="397">
      <c r="A232" s="33" t="n">
        <v>2</v>
      </c>
      <c r="B232" s="24" t="inlineStr">
        <is>
          <t>037990</t>
        </is>
      </c>
      <c r="C232" s="658" t="n">
        <v>41890</v>
      </c>
      <c r="D232" s="650" t="n">
        <v>230.41</v>
      </c>
      <c r="E232" s="11" t="inlineStr">
        <is>
          <t>A P L Logistics</t>
        </is>
      </c>
      <c r="F232" s="10" t="inlineStr">
        <is>
          <t>100046460</t>
        </is>
      </c>
      <c r="G232" s="24" t="inlineStr">
        <is>
          <t>037990</t>
        </is>
      </c>
      <c r="H232" s="658" t="n">
        <v>41890</v>
      </c>
      <c r="I232" s="650" t="n">
        <v>230.41</v>
      </c>
      <c r="J232" s="76" t="inlineStr">
        <is>
          <t>បានបង់</t>
        </is>
      </c>
    </row>
    <row r="233" ht="18" customHeight="1" s="397">
      <c r="A233" s="33" t="n">
        <v>3</v>
      </c>
      <c r="B233" s="24" t="inlineStr">
        <is>
          <t>038062</t>
        </is>
      </c>
      <c r="C233" s="658" t="n">
        <v>41897</v>
      </c>
      <c r="D233" s="650" t="n">
        <v>81.2</v>
      </c>
      <c r="E233" s="11" t="inlineStr">
        <is>
          <t>A P L Logistics</t>
        </is>
      </c>
      <c r="F233" s="10" t="inlineStr">
        <is>
          <t>100046460</t>
        </is>
      </c>
      <c r="G233" s="24" t="inlineStr">
        <is>
          <t>038062</t>
        </is>
      </c>
      <c r="H233" s="658" t="n">
        <v>41897</v>
      </c>
      <c r="I233" s="650" t="n">
        <v>81.2</v>
      </c>
      <c r="J233" s="76" t="inlineStr">
        <is>
          <t>បានបង់</t>
        </is>
      </c>
    </row>
    <row r="234" ht="18" customHeight="1" s="397">
      <c r="A234" s="33" t="n">
        <v>4</v>
      </c>
      <c r="B234" s="24" t="inlineStr">
        <is>
          <t>038135</t>
        </is>
      </c>
      <c r="C234" s="658" t="n">
        <v>41903</v>
      </c>
      <c r="D234" s="650" t="n">
        <v>49.75</v>
      </c>
      <c r="E234" s="10" t="inlineStr">
        <is>
          <t>A P L Logistics</t>
        </is>
      </c>
      <c r="F234" s="24" t="inlineStr">
        <is>
          <t>100046460</t>
        </is>
      </c>
      <c r="G234" s="24" t="inlineStr">
        <is>
          <t>038135</t>
        </is>
      </c>
      <c r="H234" s="658" t="n">
        <v>41903</v>
      </c>
      <c r="I234" s="650" t="n">
        <v>49.75</v>
      </c>
      <c r="J234" s="76" t="inlineStr">
        <is>
          <t>បានបង់</t>
        </is>
      </c>
    </row>
    <row r="235" ht="18" customHeight="1" s="397">
      <c r="A235" s="33" t="n">
        <v>5</v>
      </c>
      <c r="B235" s="24" t="inlineStr">
        <is>
          <t>038196</t>
        </is>
      </c>
      <c r="C235" s="658" t="n">
        <v>41911</v>
      </c>
      <c r="D235" s="650" t="n">
        <v>136.72</v>
      </c>
      <c r="E235" s="11" t="inlineStr">
        <is>
          <t>A P L Logistics</t>
        </is>
      </c>
      <c r="F235" s="10" t="inlineStr">
        <is>
          <t>100046460</t>
        </is>
      </c>
      <c r="G235" s="24" t="inlineStr">
        <is>
          <t>038196</t>
        </is>
      </c>
      <c r="H235" s="658" t="n">
        <v>41911</v>
      </c>
      <c r="I235" s="650" t="n">
        <v>136.72</v>
      </c>
      <c r="J235" s="76" t="inlineStr">
        <is>
          <t>បានបង់</t>
        </is>
      </c>
    </row>
    <row r="236" ht="18" customHeight="1" s="397">
      <c r="A236" s="472" t="inlineStr">
        <is>
          <t>Total 09/2014</t>
        </is>
      </c>
      <c r="B236" s="574" t="n"/>
      <c r="C236" s="563" t="n"/>
      <c r="D236" s="651">
        <f>SUM(D231:D235)</f>
        <v/>
      </c>
      <c r="E236" s="53" t="n"/>
      <c r="F236" s="54" t="n"/>
      <c r="G236" s="65" t="n"/>
      <c r="H236" s="652" t="inlineStr">
        <is>
          <t>USD</t>
        </is>
      </c>
      <c r="I236" s="651">
        <f>SUM(I231:I235)</f>
        <v/>
      </c>
      <c r="J236" s="7" t="n"/>
    </row>
    <row r="237" ht="21.9" customHeight="1" s="397">
      <c r="A237" s="472" t="inlineStr">
        <is>
          <t>Total 09/2014</t>
        </is>
      </c>
      <c r="B237" s="574" t="n"/>
      <c r="C237" s="563" t="n"/>
      <c r="D237" s="651" t="n"/>
      <c r="E237" s="53" t="n"/>
      <c r="F237" s="54" t="n"/>
      <c r="G237" s="653" t="n">
        <v>4076</v>
      </c>
      <c r="H237" s="652" t="inlineStr">
        <is>
          <t>RIEL</t>
        </is>
      </c>
      <c r="I237" s="654">
        <f>I236*G237</f>
        <v/>
      </c>
      <c r="J237" s="7" t="n"/>
    </row>
    <row r="238" ht="18" customHeight="1" s="397">
      <c r="A238" s="33" t="n">
        <v>1</v>
      </c>
      <c r="B238" s="24" t="inlineStr">
        <is>
          <t>038257</t>
        </is>
      </c>
      <c r="C238" s="658" t="n">
        <v>41918</v>
      </c>
      <c r="D238" s="650" t="n">
        <v>188.11</v>
      </c>
      <c r="E238" s="11" t="inlineStr">
        <is>
          <t>A P L Logistics</t>
        </is>
      </c>
      <c r="F238" s="10" t="inlineStr">
        <is>
          <t>100046460</t>
        </is>
      </c>
      <c r="G238" s="24" t="inlineStr">
        <is>
          <t>038257</t>
        </is>
      </c>
      <c r="H238" s="658" t="n">
        <v>41918</v>
      </c>
      <c r="I238" s="650" t="n">
        <v>188.11</v>
      </c>
      <c r="J238" s="76" t="inlineStr">
        <is>
          <t>បានបង់</t>
        </is>
      </c>
    </row>
    <row r="239" ht="18" customHeight="1" s="397">
      <c r="A239" s="33" t="n">
        <v>2</v>
      </c>
      <c r="B239" s="24" t="inlineStr">
        <is>
          <t>038326</t>
        </is>
      </c>
      <c r="C239" s="658" t="n">
        <v>41925</v>
      </c>
      <c r="D239" s="650" t="n">
        <v>139.83</v>
      </c>
      <c r="E239" s="11" t="inlineStr">
        <is>
          <t>A P L Logistics</t>
        </is>
      </c>
      <c r="F239" s="10" t="inlineStr">
        <is>
          <t>100046460</t>
        </is>
      </c>
      <c r="G239" s="24" t="inlineStr">
        <is>
          <t>038326</t>
        </is>
      </c>
      <c r="H239" s="658" t="n">
        <v>41925</v>
      </c>
      <c r="I239" s="650" t="n">
        <v>139.83</v>
      </c>
      <c r="J239" s="76" t="inlineStr">
        <is>
          <t>បានបង់</t>
        </is>
      </c>
    </row>
    <row r="240" ht="18" customHeight="1" s="397">
      <c r="A240" s="33" t="n">
        <v>3</v>
      </c>
      <c r="B240" s="24" t="inlineStr">
        <is>
          <t>038462</t>
        </is>
      </c>
      <c r="C240" s="658" t="n">
        <v>41932</v>
      </c>
      <c r="D240" s="650" t="n">
        <v>129.9</v>
      </c>
      <c r="E240" s="11" t="inlineStr">
        <is>
          <t>A P L Logistics</t>
        </is>
      </c>
      <c r="F240" s="10" t="inlineStr">
        <is>
          <t>100046460</t>
        </is>
      </c>
      <c r="G240" s="24" t="inlineStr">
        <is>
          <t>038462</t>
        </is>
      </c>
      <c r="H240" s="658" t="n">
        <v>41932</v>
      </c>
      <c r="I240" s="650" t="n">
        <v>129.9</v>
      </c>
      <c r="J240" s="76" t="inlineStr">
        <is>
          <t>បានបង់</t>
        </is>
      </c>
    </row>
    <row r="241" ht="18" customHeight="1" s="397">
      <c r="A241" s="33" t="n">
        <v>4</v>
      </c>
      <c r="B241" s="24" t="inlineStr">
        <is>
          <t>038518</t>
        </is>
      </c>
      <c r="C241" s="658" t="n">
        <v>41939</v>
      </c>
      <c r="D241" s="650" t="n">
        <v>145.83</v>
      </c>
      <c r="E241" s="11" t="inlineStr">
        <is>
          <t>A P L Logistics</t>
        </is>
      </c>
      <c r="F241" s="10" t="inlineStr">
        <is>
          <t>100046460</t>
        </is>
      </c>
      <c r="G241" s="24" t="inlineStr">
        <is>
          <t>038518</t>
        </is>
      </c>
      <c r="H241" s="658" t="n">
        <v>41939</v>
      </c>
      <c r="I241" s="650" t="n">
        <v>145.83</v>
      </c>
      <c r="J241" s="76" t="inlineStr">
        <is>
          <t>បានបង់</t>
        </is>
      </c>
    </row>
    <row r="242" ht="18" customHeight="1" s="397">
      <c r="A242" s="472" t="inlineStr">
        <is>
          <t>Total 10/2014</t>
        </is>
      </c>
      <c r="B242" s="574" t="n"/>
      <c r="C242" s="563" t="n"/>
      <c r="D242" s="651">
        <f>SUM(D238:D241)</f>
        <v/>
      </c>
      <c r="E242" s="53" t="n"/>
      <c r="F242" s="54" t="n"/>
      <c r="G242" s="65" t="n"/>
      <c r="H242" s="652" t="inlineStr">
        <is>
          <t>USD</t>
        </is>
      </c>
      <c r="I242" s="651">
        <f>SUM(I238:I241)</f>
        <v/>
      </c>
      <c r="J242" s="7" t="n"/>
    </row>
    <row r="243" ht="21.9" customHeight="1" s="397">
      <c r="A243" s="472" t="inlineStr">
        <is>
          <t>Total 10/2014</t>
        </is>
      </c>
      <c r="B243" s="574" t="n"/>
      <c r="C243" s="563" t="n"/>
      <c r="D243" s="651" t="n"/>
      <c r="E243" s="53" t="n"/>
      <c r="F243" s="54" t="n"/>
      <c r="G243" s="653" t="n">
        <v>4081</v>
      </c>
      <c r="H243" s="652" t="inlineStr">
        <is>
          <t>RIEL</t>
        </is>
      </c>
      <c r="I243" s="654">
        <f>I242*G243</f>
        <v/>
      </c>
      <c r="J243" s="7" t="n"/>
    </row>
    <row r="244" ht="18" customHeight="1" s="397">
      <c r="A244" s="33" t="n">
        <v>1</v>
      </c>
      <c r="B244" s="24" t="inlineStr">
        <is>
          <t>038602</t>
        </is>
      </c>
      <c r="C244" s="658" t="n">
        <v>41946</v>
      </c>
      <c r="D244" s="650" t="n">
        <v>173.73</v>
      </c>
      <c r="E244" s="11" t="inlineStr">
        <is>
          <t>A P L Logistics</t>
        </is>
      </c>
      <c r="F244" s="10" t="inlineStr">
        <is>
          <t>100046460</t>
        </is>
      </c>
      <c r="G244" s="24" t="inlineStr">
        <is>
          <t>038602</t>
        </is>
      </c>
      <c r="H244" s="658" t="n">
        <v>41946</v>
      </c>
      <c r="I244" s="650" t="n">
        <v>173.73</v>
      </c>
      <c r="J244" s="76" t="inlineStr">
        <is>
          <t>បានបង់</t>
        </is>
      </c>
    </row>
    <row r="245" ht="18" customHeight="1" s="397">
      <c r="A245" s="33" t="n">
        <v>2</v>
      </c>
      <c r="B245" s="24" t="inlineStr">
        <is>
          <t>038580</t>
        </is>
      </c>
      <c r="C245" s="658" t="n">
        <v>41946</v>
      </c>
      <c r="D245" s="650" t="n">
        <v>1.5</v>
      </c>
      <c r="E245" s="10" t="inlineStr">
        <is>
          <t>APL Logistics</t>
        </is>
      </c>
      <c r="F245" s="24" t="inlineStr">
        <is>
          <t>100046460</t>
        </is>
      </c>
      <c r="G245" s="24" t="inlineStr">
        <is>
          <t>038580</t>
        </is>
      </c>
      <c r="H245" s="658" t="n">
        <v>41946</v>
      </c>
      <c r="I245" s="650" t="n">
        <v>1.5</v>
      </c>
      <c r="J245" s="76" t="inlineStr">
        <is>
          <t>បានបង់</t>
        </is>
      </c>
    </row>
    <row r="246" ht="18" customHeight="1" s="397">
      <c r="A246" s="33" t="n">
        <v>3</v>
      </c>
      <c r="B246" s="24" t="inlineStr">
        <is>
          <t>038665</t>
        </is>
      </c>
      <c r="C246" s="658" t="n">
        <v>41953</v>
      </c>
      <c r="D246" s="650" t="n">
        <v>35.45</v>
      </c>
      <c r="E246" s="10" t="inlineStr">
        <is>
          <t>A P L Logistics</t>
        </is>
      </c>
      <c r="F246" s="24" t="inlineStr">
        <is>
          <t>100046460</t>
        </is>
      </c>
      <c r="G246" s="24" t="inlineStr">
        <is>
          <t>038665</t>
        </is>
      </c>
      <c r="H246" s="658" t="n">
        <v>41953</v>
      </c>
      <c r="I246" s="650" t="n">
        <v>35.45</v>
      </c>
      <c r="J246" s="76" t="inlineStr">
        <is>
          <t>បានបង់</t>
        </is>
      </c>
    </row>
    <row r="247" ht="18" customHeight="1" s="397">
      <c r="A247" s="33" t="n">
        <v>4</v>
      </c>
      <c r="B247" s="24" t="inlineStr">
        <is>
          <t>038718</t>
        </is>
      </c>
      <c r="C247" s="658" t="n">
        <v>41960</v>
      </c>
      <c r="D247" s="650" t="n">
        <v>24.26</v>
      </c>
      <c r="E247" s="10" t="inlineStr">
        <is>
          <t>A P L Logistics</t>
        </is>
      </c>
      <c r="F247" s="24" t="inlineStr">
        <is>
          <t>100046460</t>
        </is>
      </c>
      <c r="G247" s="24" t="inlineStr">
        <is>
          <t>038718</t>
        </is>
      </c>
      <c r="H247" s="658" t="n">
        <v>41960</v>
      </c>
      <c r="I247" s="650" t="n">
        <v>24.26</v>
      </c>
      <c r="J247" s="76" t="inlineStr">
        <is>
          <t>បានបង់</t>
        </is>
      </c>
    </row>
    <row r="248" ht="18" customHeight="1" s="397">
      <c r="A248" s="33" t="n">
        <v>5</v>
      </c>
      <c r="B248" s="24" t="inlineStr">
        <is>
          <t>038802</t>
        </is>
      </c>
      <c r="C248" s="658" t="n">
        <v>41967</v>
      </c>
      <c r="D248" s="650" t="n">
        <v>24.9</v>
      </c>
      <c r="E248" s="10" t="inlineStr">
        <is>
          <t>A P L Logistics</t>
        </is>
      </c>
      <c r="F248" s="24" t="inlineStr">
        <is>
          <t>100046460</t>
        </is>
      </c>
      <c r="G248" s="24" t="inlineStr">
        <is>
          <t>038802</t>
        </is>
      </c>
      <c r="H248" s="658" t="n">
        <v>41967</v>
      </c>
      <c r="I248" s="650" t="n">
        <v>24.9</v>
      </c>
      <c r="J248" s="76" t="inlineStr">
        <is>
          <t>បានបង់</t>
        </is>
      </c>
    </row>
    <row r="249" ht="18" customHeight="1" s="397">
      <c r="A249" s="472" t="inlineStr">
        <is>
          <t>Total 11/2014</t>
        </is>
      </c>
      <c r="B249" s="574" t="n"/>
      <c r="C249" s="563" t="n"/>
      <c r="D249" s="651">
        <f>SUM(D244:D248)</f>
        <v/>
      </c>
      <c r="E249" s="54" t="n"/>
      <c r="F249" s="65" t="n"/>
      <c r="G249" s="65" t="n"/>
      <c r="H249" s="652" t="inlineStr">
        <is>
          <t>USD</t>
        </is>
      </c>
      <c r="I249" s="651">
        <f>SUM(I244:I248)</f>
        <v/>
      </c>
      <c r="J249" s="7" t="n"/>
    </row>
    <row r="250" ht="21.9" customHeight="1" s="397">
      <c r="A250" s="472" t="inlineStr">
        <is>
          <t>Total 11/2014</t>
        </is>
      </c>
      <c r="B250" s="574" t="n"/>
      <c r="C250" s="563" t="n"/>
      <c r="D250" s="651" t="n"/>
      <c r="E250" s="54" t="n"/>
      <c r="F250" s="65" t="n"/>
      <c r="G250" s="653" t="n">
        <v>4068</v>
      </c>
      <c r="H250" s="652" t="inlineStr">
        <is>
          <t>RIEL</t>
        </is>
      </c>
      <c r="I250" s="654">
        <f>I249*G250</f>
        <v/>
      </c>
      <c r="J250" s="7" t="n"/>
    </row>
    <row r="251" ht="18" customHeight="1" s="397">
      <c r="A251" s="33" t="n">
        <v>1</v>
      </c>
      <c r="B251" s="24" t="inlineStr">
        <is>
          <t>038865</t>
        </is>
      </c>
      <c r="C251" s="658" t="n">
        <v>41974</v>
      </c>
      <c r="D251" s="650" t="n">
        <v>163.69</v>
      </c>
      <c r="E251" s="11" t="inlineStr">
        <is>
          <t>A P L Logistics</t>
        </is>
      </c>
      <c r="F251" s="10" t="inlineStr">
        <is>
          <t>100046460</t>
        </is>
      </c>
      <c r="G251" s="24" t="inlineStr">
        <is>
          <t>038865</t>
        </is>
      </c>
      <c r="H251" s="658" t="n">
        <v>41974</v>
      </c>
      <c r="I251" s="650" t="n">
        <v>163.69</v>
      </c>
      <c r="J251" s="76" t="inlineStr">
        <is>
          <t>បានបង់</t>
        </is>
      </c>
    </row>
    <row r="252" ht="18" customHeight="1" s="397">
      <c r="A252" s="33" t="n">
        <v>2</v>
      </c>
      <c r="B252" s="24" t="inlineStr">
        <is>
          <t>038930</t>
        </is>
      </c>
      <c r="C252" s="658" t="n">
        <v>41979</v>
      </c>
      <c r="D252" s="650" t="n">
        <v>340.66</v>
      </c>
      <c r="E252" s="11" t="inlineStr">
        <is>
          <t>A P L Logistics</t>
        </is>
      </c>
      <c r="F252" s="10" t="inlineStr">
        <is>
          <t>100046460</t>
        </is>
      </c>
      <c r="G252" s="24" t="inlineStr">
        <is>
          <t>038930</t>
        </is>
      </c>
      <c r="H252" s="658" t="n">
        <v>41979</v>
      </c>
      <c r="I252" s="650" t="n">
        <v>340.66</v>
      </c>
      <c r="J252" s="76" t="inlineStr">
        <is>
          <t>បានបង់</t>
        </is>
      </c>
    </row>
    <row r="253" ht="18" customHeight="1" s="397">
      <c r="A253" s="33" t="n">
        <v>3</v>
      </c>
      <c r="B253" s="24" t="inlineStr">
        <is>
          <t>038997</t>
        </is>
      </c>
      <c r="C253" s="658" t="n">
        <v>41988</v>
      </c>
      <c r="D253" s="650" t="n">
        <v>232.83</v>
      </c>
      <c r="E253" s="11" t="inlineStr">
        <is>
          <t>A P L Logistics</t>
        </is>
      </c>
      <c r="F253" s="10" t="inlineStr">
        <is>
          <t>100046460</t>
        </is>
      </c>
      <c r="G253" s="24" t="inlineStr">
        <is>
          <t>038997</t>
        </is>
      </c>
      <c r="H253" s="658" t="n">
        <v>41988</v>
      </c>
      <c r="I253" s="650" t="n">
        <v>232.83</v>
      </c>
      <c r="J253" s="76" t="inlineStr">
        <is>
          <t>បានបង់</t>
        </is>
      </c>
    </row>
    <row r="254" ht="18" customHeight="1" s="397">
      <c r="A254" s="33" t="n">
        <v>4</v>
      </c>
      <c r="B254" s="24" t="inlineStr">
        <is>
          <t>039070</t>
        </is>
      </c>
      <c r="C254" s="658" t="n">
        <v>41995</v>
      </c>
      <c r="D254" s="650" t="n">
        <v>78.95</v>
      </c>
      <c r="E254" s="10" t="inlineStr">
        <is>
          <t>A P L Logistics</t>
        </is>
      </c>
      <c r="F254" s="24" t="inlineStr">
        <is>
          <t>100046460</t>
        </is>
      </c>
      <c r="G254" s="24" t="inlineStr">
        <is>
          <t>039070</t>
        </is>
      </c>
      <c r="H254" s="658" t="n">
        <v>41995</v>
      </c>
      <c r="I254" s="650" t="n">
        <v>78.95</v>
      </c>
      <c r="J254" s="76" t="inlineStr">
        <is>
          <t>បានបង់</t>
        </is>
      </c>
    </row>
    <row r="255" ht="18" customHeight="1" s="397">
      <c r="A255" s="33" t="n">
        <v>5</v>
      </c>
      <c r="B255" s="24" t="inlineStr">
        <is>
          <t>039124</t>
        </is>
      </c>
      <c r="C255" s="658" t="n">
        <v>42002</v>
      </c>
      <c r="D255" s="650" t="n">
        <v>304.68</v>
      </c>
      <c r="E255" s="11" t="inlineStr">
        <is>
          <t>A P L Logistics</t>
        </is>
      </c>
      <c r="F255" s="10" t="inlineStr">
        <is>
          <t>100046460</t>
        </is>
      </c>
      <c r="G255" s="24" t="inlineStr">
        <is>
          <t>039124</t>
        </is>
      </c>
      <c r="H255" s="658" t="n">
        <v>42002</v>
      </c>
      <c r="I255" s="650" t="n">
        <v>304.68</v>
      </c>
      <c r="J255" s="76" t="inlineStr">
        <is>
          <t>បានបង់</t>
        </is>
      </c>
    </row>
    <row r="256" ht="18" customHeight="1" s="397">
      <c r="A256" s="472" t="inlineStr">
        <is>
          <t>Total 12/2014</t>
        </is>
      </c>
      <c r="B256" s="574" t="n"/>
      <c r="C256" s="563" t="n"/>
      <c r="D256" s="651">
        <f>SUM(D251:D255)</f>
        <v/>
      </c>
      <c r="E256" s="53" t="n"/>
      <c r="F256" s="54" t="n"/>
      <c r="G256" s="65" t="n"/>
      <c r="H256" s="652" t="inlineStr">
        <is>
          <t>USD</t>
        </is>
      </c>
      <c r="I256" s="651">
        <f>SUM(I251:I255)</f>
        <v/>
      </c>
      <c r="J256" s="7" t="n"/>
    </row>
    <row r="257" ht="21.9" customHeight="1" s="397">
      <c r="A257" s="472" t="inlineStr">
        <is>
          <t>Total 12/2014</t>
        </is>
      </c>
      <c r="B257" s="574" t="n"/>
      <c r="C257" s="563" t="n"/>
      <c r="D257" s="651" t="n"/>
      <c r="E257" s="53" t="n"/>
      <c r="F257" s="54" t="n"/>
      <c r="G257" s="653" t="n">
        <v>4062</v>
      </c>
      <c r="H257" s="652" t="inlineStr">
        <is>
          <t>RIEL</t>
        </is>
      </c>
      <c r="I257" s="654">
        <f>I256*G257</f>
        <v/>
      </c>
      <c r="J257" s="7" t="n"/>
    </row>
    <row r="258" ht="18" customHeight="1" s="397">
      <c r="A258" s="33" t="n">
        <v>1</v>
      </c>
      <c r="B258" s="24" t="inlineStr">
        <is>
          <t>039195</t>
        </is>
      </c>
      <c r="C258" s="658" t="n">
        <v>42009</v>
      </c>
      <c r="D258" s="650" t="n">
        <v>339.54</v>
      </c>
      <c r="E258" s="11" t="inlineStr">
        <is>
          <t>A P L Logistics</t>
        </is>
      </c>
      <c r="F258" s="10" t="inlineStr">
        <is>
          <t>100046460</t>
        </is>
      </c>
      <c r="G258" s="24" t="inlineStr">
        <is>
          <t>039195</t>
        </is>
      </c>
      <c r="H258" s="658" t="n">
        <v>42009</v>
      </c>
      <c r="I258" s="650" t="n">
        <v>339.54</v>
      </c>
      <c r="J258" s="76" t="inlineStr">
        <is>
          <t>បានបង់</t>
        </is>
      </c>
    </row>
    <row r="259" ht="18" customHeight="1" s="397">
      <c r="A259" s="33" t="n">
        <v>2</v>
      </c>
      <c r="B259" s="24" t="inlineStr">
        <is>
          <t>039258</t>
        </is>
      </c>
      <c r="C259" s="658" t="n">
        <v>42016</v>
      </c>
      <c r="D259" s="650" t="n">
        <v>301.45</v>
      </c>
      <c r="E259" s="11" t="inlineStr">
        <is>
          <t>A P L Logistics</t>
        </is>
      </c>
      <c r="F259" s="10" t="inlineStr">
        <is>
          <t>100046460</t>
        </is>
      </c>
      <c r="G259" s="24" t="inlineStr">
        <is>
          <t>039258</t>
        </is>
      </c>
      <c r="H259" s="658" t="n">
        <v>42016</v>
      </c>
      <c r="I259" s="650" t="n">
        <v>301.45</v>
      </c>
      <c r="J259" s="76" t="inlineStr">
        <is>
          <t>បានបង់</t>
        </is>
      </c>
    </row>
    <row r="260" ht="18" customHeight="1" s="397">
      <c r="A260" s="33" t="n">
        <v>3</v>
      </c>
      <c r="B260" s="24" t="inlineStr">
        <is>
          <t>039323</t>
        </is>
      </c>
      <c r="C260" s="658" t="n">
        <v>42024</v>
      </c>
      <c r="D260" s="650" t="n">
        <v>446.06</v>
      </c>
      <c r="E260" s="11" t="inlineStr">
        <is>
          <t>A P L Logistics</t>
        </is>
      </c>
      <c r="F260" s="10" t="inlineStr">
        <is>
          <t>100046460</t>
        </is>
      </c>
      <c r="G260" s="24" t="inlineStr">
        <is>
          <t>039323</t>
        </is>
      </c>
      <c r="H260" s="658" t="n">
        <v>42024</v>
      </c>
      <c r="I260" s="650" t="n">
        <v>446.06</v>
      </c>
      <c r="J260" s="76" t="inlineStr">
        <is>
          <t>បានបង់</t>
        </is>
      </c>
    </row>
    <row r="261" ht="18" customHeight="1" s="397">
      <c r="A261" s="33" t="n">
        <v>4</v>
      </c>
      <c r="B261" s="24" t="inlineStr">
        <is>
          <t>039386</t>
        </is>
      </c>
      <c r="C261" s="658" t="n">
        <v>42030</v>
      </c>
      <c r="D261" s="650" t="n">
        <v>614.58</v>
      </c>
      <c r="E261" s="11" t="inlineStr">
        <is>
          <t>A P L Logistics</t>
        </is>
      </c>
      <c r="F261" s="10" t="inlineStr">
        <is>
          <t>100046460</t>
        </is>
      </c>
      <c r="G261" s="24" t="inlineStr">
        <is>
          <t>039386</t>
        </is>
      </c>
      <c r="H261" s="658" t="n">
        <v>42030</v>
      </c>
      <c r="I261" s="650" t="n">
        <v>614.58</v>
      </c>
      <c r="J261" s="76" t="inlineStr">
        <is>
          <t>បានបង់</t>
        </is>
      </c>
    </row>
    <row r="262" ht="18" customHeight="1" s="397">
      <c r="A262" s="472" t="inlineStr">
        <is>
          <t>Total 01/2015</t>
        </is>
      </c>
      <c r="B262" s="574" t="n"/>
      <c r="C262" s="563" t="n"/>
      <c r="D262" s="651">
        <f>SUM(D258:D261)</f>
        <v/>
      </c>
      <c r="E262" s="53" t="n"/>
      <c r="F262" s="54" t="n"/>
      <c r="G262" s="65" t="n"/>
      <c r="H262" s="652" t="inlineStr">
        <is>
          <t>USD</t>
        </is>
      </c>
      <c r="I262" s="651">
        <f>SUM(I258:I261)</f>
        <v/>
      </c>
      <c r="J262" s="7" t="n"/>
    </row>
    <row r="263" ht="21.9" customHeight="1" s="397">
      <c r="A263" s="472" t="inlineStr">
        <is>
          <t>Total 01/2015</t>
        </is>
      </c>
      <c r="B263" s="574" t="n"/>
      <c r="C263" s="563" t="n"/>
      <c r="D263" s="651" t="n"/>
      <c r="E263" s="53" t="n"/>
      <c r="F263" s="54" t="n"/>
      <c r="G263" s="653" t="n">
        <v>4066</v>
      </c>
      <c r="H263" s="652" t="inlineStr">
        <is>
          <t>RIEL</t>
        </is>
      </c>
      <c r="I263" s="654">
        <f>I262*G263</f>
        <v/>
      </c>
      <c r="J263" s="7" t="n"/>
    </row>
    <row r="264" ht="18" customHeight="1" s="397">
      <c r="A264" s="33" t="n">
        <v>1</v>
      </c>
      <c r="B264" s="24" t="inlineStr">
        <is>
          <t>039449</t>
        </is>
      </c>
      <c r="C264" s="658" t="n">
        <v>42037</v>
      </c>
      <c r="D264" s="650" t="n">
        <v>314.24</v>
      </c>
      <c r="E264" s="11" t="inlineStr">
        <is>
          <t>A P L Logistics</t>
        </is>
      </c>
      <c r="F264" s="10" t="inlineStr">
        <is>
          <t>100046460</t>
        </is>
      </c>
      <c r="G264" s="24" t="inlineStr">
        <is>
          <t>039449</t>
        </is>
      </c>
      <c r="H264" s="658" t="n">
        <v>42037</v>
      </c>
      <c r="I264" s="650" t="n">
        <v>314.24</v>
      </c>
      <c r="J264" s="76" t="inlineStr">
        <is>
          <t>បានបង់</t>
        </is>
      </c>
    </row>
    <row r="265" ht="18" customHeight="1" s="397">
      <c r="A265" s="33" t="n">
        <v>2</v>
      </c>
      <c r="B265" s="24" t="inlineStr">
        <is>
          <t>039520</t>
        </is>
      </c>
      <c r="C265" s="658" t="n">
        <v>42044</v>
      </c>
      <c r="D265" s="650" t="n">
        <v>61.89</v>
      </c>
      <c r="E265" s="10" t="inlineStr">
        <is>
          <t>A P L Logistics</t>
        </is>
      </c>
      <c r="F265" s="24" t="inlineStr">
        <is>
          <t>100046460</t>
        </is>
      </c>
      <c r="G265" s="24" t="inlineStr">
        <is>
          <t>039520</t>
        </is>
      </c>
      <c r="H265" s="658" t="n">
        <v>42044</v>
      </c>
      <c r="I265" s="650" t="n">
        <v>61.89</v>
      </c>
      <c r="J265" s="76" t="inlineStr">
        <is>
          <t>បានបង់</t>
        </is>
      </c>
    </row>
    <row r="266" ht="18" customHeight="1" s="397">
      <c r="A266" s="33" t="n">
        <v>3</v>
      </c>
      <c r="B266" s="24" t="inlineStr">
        <is>
          <t>039615</t>
        </is>
      </c>
      <c r="C266" s="658" t="n">
        <v>42051</v>
      </c>
      <c r="D266" s="650" t="n">
        <v>228.53</v>
      </c>
      <c r="E266" s="11" t="inlineStr">
        <is>
          <t>A P L Logistics</t>
        </is>
      </c>
      <c r="F266" s="10" t="inlineStr">
        <is>
          <t>100046460</t>
        </is>
      </c>
      <c r="G266" s="24" t="inlineStr">
        <is>
          <t>039615</t>
        </is>
      </c>
      <c r="H266" s="658" t="n">
        <v>42051</v>
      </c>
      <c r="I266" s="650" t="n">
        <v>228.53</v>
      </c>
      <c r="J266" s="76" t="inlineStr">
        <is>
          <t>បានបង់</t>
        </is>
      </c>
    </row>
    <row r="267" ht="18" customHeight="1" s="397">
      <c r="A267" s="33" t="n">
        <v>4</v>
      </c>
      <c r="B267" s="28" t="inlineStr">
        <is>
          <t>039696</t>
        </is>
      </c>
      <c r="C267" s="659" t="n">
        <v>42059</v>
      </c>
      <c r="D267" s="660" t="n">
        <v>177.34</v>
      </c>
      <c r="E267" s="11" t="inlineStr">
        <is>
          <t>A P L Logistics</t>
        </is>
      </c>
      <c r="F267" s="10" t="inlineStr">
        <is>
          <t>100046460</t>
        </is>
      </c>
      <c r="G267" s="28" t="inlineStr">
        <is>
          <t>039696</t>
        </is>
      </c>
      <c r="H267" s="659" t="n">
        <v>42059</v>
      </c>
      <c r="I267" s="660" t="n">
        <v>177.34</v>
      </c>
      <c r="J267" s="76" t="inlineStr">
        <is>
          <t>បានបង់</t>
        </is>
      </c>
    </row>
    <row r="268" ht="18" customHeight="1" s="397">
      <c r="A268" s="472" t="inlineStr">
        <is>
          <t>Total 02/2015</t>
        </is>
      </c>
      <c r="B268" s="574" t="n"/>
      <c r="C268" s="563" t="n"/>
      <c r="D268" s="661">
        <f>SUM(D264:D267)</f>
        <v/>
      </c>
      <c r="E268" s="53" t="n"/>
      <c r="F268" s="54" t="n"/>
      <c r="G268" s="67" t="n"/>
      <c r="H268" s="652" t="inlineStr">
        <is>
          <t>USD</t>
        </is>
      </c>
      <c r="I268" s="661">
        <f>SUM(I264:I267)</f>
        <v/>
      </c>
      <c r="J268" s="662" t="n"/>
    </row>
    <row r="269" ht="21.9" customHeight="1" s="397">
      <c r="A269" s="472" t="inlineStr">
        <is>
          <t>Total 02/2015</t>
        </is>
      </c>
      <c r="B269" s="574" t="n"/>
      <c r="C269" s="563" t="n"/>
      <c r="D269" s="661" t="n"/>
      <c r="E269" s="53" t="n"/>
      <c r="F269" s="54" t="n"/>
      <c r="G269" s="653" t="n">
        <v>4046</v>
      </c>
      <c r="H269" s="652" t="inlineStr">
        <is>
          <t>RIEL</t>
        </is>
      </c>
      <c r="I269" s="654">
        <f>I268*G269</f>
        <v/>
      </c>
      <c r="J269" s="31" t="n"/>
    </row>
    <row r="270" ht="23.4" customHeight="1" s="397">
      <c r="A270" s="472" t="inlineStr">
        <is>
          <t>TOTAL 7/2012-02/2015</t>
        </is>
      </c>
      <c r="B270" s="574" t="n"/>
      <c r="C270" s="563" t="n"/>
      <c r="D270" s="663" t="n"/>
      <c r="E270" s="664" t="n"/>
      <c r="F270" s="664" t="n"/>
      <c r="G270" s="665" t="n"/>
      <c r="H270" s="652" t="inlineStr">
        <is>
          <t>USD</t>
        </is>
      </c>
      <c r="I270" s="666">
        <f>I18+I25+I32+I37+I43+I52+I64+I74+I85+I97+I107+I116+I128+I135+I147+I156+I161+I169+I178+I188+I197+I204+I211+I218+I223+I229+I236+I242+I249+I256+I262+I268</f>
        <v/>
      </c>
      <c r="J270" s="74" t="inlineStr">
        <is>
          <t>បានបង់</t>
        </is>
      </c>
    </row>
    <row r="271" ht="24" customHeight="1" s="397">
      <c r="A271" s="472" t="inlineStr">
        <is>
          <t>TOTAL 7/2012-02/2015</t>
        </is>
      </c>
      <c r="B271" s="574" t="n"/>
      <c r="C271" s="563" t="n"/>
      <c r="D271" s="663" t="n"/>
      <c r="E271" s="664" t="n"/>
      <c r="F271" s="664" t="n"/>
      <c r="G271" s="665" t="n"/>
      <c r="H271" s="652" t="inlineStr">
        <is>
          <t>RIEL</t>
        </is>
      </c>
      <c r="I271" s="667">
        <f>I19+I26+I33+I38+I44+I53+I65+I75+I86+I98+I108+I117+I129+I136+I148+I157+I162+I170+I179+I189+I198+I205+I212+I219+I224+I230+I237+I243+I250+I257+I263+I269</f>
        <v/>
      </c>
      <c r="J271" s="77" t="inlineStr">
        <is>
          <t>បានបង់</t>
        </is>
      </c>
    </row>
    <row r="272" ht="25.2" customHeight="1" s="397">
      <c r="A272" s="497" t="inlineStr">
        <is>
          <t>ចំនួនវិក្កយបត្រៈ ១៩៨</t>
        </is>
      </c>
      <c r="B272" s="574" t="n"/>
      <c r="C272" s="563" t="n"/>
      <c r="D272" s="497" t="inlineStr">
        <is>
          <t>បានផ្ទៀងផ្ទាត់ហើយក្រុមហ៊ុនបានប្រកាសបង់</t>
        </is>
      </c>
      <c r="E272" s="574" t="n"/>
      <c r="F272" s="574" t="n"/>
      <c r="G272" s="574" t="n"/>
      <c r="H272" s="563" t="n"/>
      <c r="I272" s="78" t="n">
        <v>100871023</v>
      </c>
      <c r="J272" s="79" t="inlineStr">
        <is>
          <t>រៀល</t>
        </is>
      </c>
    </row>
    <row r="273" ht="46.5" customHeight="1" s="397">
      <c r="A273" s="497" t="inlineStr">
        <is>
          <t>ចំនួនវិក្កយបត្រៈ ៤.១៣៧</t>
        </is>
      </c>
      <c r="B273" s="574" t="n"/>
      <c r="C273" s="563" t="n"/>
      <c r="D273" s="668" t="inlineStr">
        <is>
          <t>វិក្កយបត្រតូចៗមិនបានផ្ទៀងផ្ទាត់ ដោយជ្រើសរើសវិក្កយបត្រចំនួន ១៩៨​ ជាគំរូ ហើយអ្នកផ្គត់ផ្គង់បានប្រកាសហើយ</t>
        </is>
      </c>
      <c r="E273" s="574" t="n"/>
      <c r="F273" s="574" t="n"/>
      <c r="G273" s="574" t="n"/>
      <c r="H273" s="563" t="n"/>
      <c r="I273" s="669" t="n">
        <v>194826746</v>
      </c>
      <c r="J273" s="79" t="inlineStr">
        <is>
          <t>រៀល</t>
        </is>
      </c>
    </row>
    <row r="274" ht="25.2" customHeight="1" s="397">
      <c r="A274" s="79" t="inlineStr">
        <is>
          <t>ចំនួនវិក្កយបត្រសរុបៈ ៤.៣៣៥</t>
        </is>
      </c>
      <c r="B274" s="594" t="n"/>
      <c r="C274" s="595" t="n"/>
      <c r="D274" s="79" t="inlineStr">
        <is>
          <t>សរុបទឹកប្រាក់នៅសល់ត្រូវបង្វិលសង</t>
        </is>
      </c>
      <c r="E274" s="574" t="n"/>
      <c r="F274" s="574" t="n"/>
      <c r="G274" s="574" t="n"/>
      <c r="H274" s="563" t="n"/>
      <c r="I274" s="669" t="n">
        <v>295697769</v>
      </c>
      <c r="J274" s="79" t="inlineStr">
        <is>
          <t>រៀល</t>
        </is>
      </c>
    </row>
    <row r="275" ht="25.2" customHeight="1" s="397">
      <c r="A275" s="670" t="n"/>
      <c r="C275" s="671" t="n"/>
      <c r="D275" s="82" t="inlineStr">
        <is>
          <t>សរុបទឹកប្រាក់ស្នើសុំបង្វិលសងតាមទម្រង់ អតប ២០០</t>
        </is>
      </c>
      <c r="E275" s="574" t="n"/>
      <c r="F275" s="574" t="n"/>
      <c r="G275" s="574" t="n"/>
      <c r="H275" s="563" t="n"/>
      <c r="I275" s="672" t="n">
        <v>297231546</v>
      </c>
      <c r="J275" s="82" t="inlineStr">
        <is>
          <t>រៀល</t>
        </is>
      </c>
    </row>
    <row r="276" ht="25.2" customHeight="1" s="397">
      <c r="A276" s="670" t="n"/>
      <c r="C276" s="671" t="n"/>
      <c r="D276" s="82" t="inlineStr">
        <is>
          <t>សរុបទឹកប្រាក់កាត់ចេញ (ការគណនាខុស វិក្កយបត្រមិនត្រឹមត្រូវនិងកត់ត្រាស្ទួន )</t>
        </is>
      </c>
      <c r="E276" s="574" t="n"/>
      <c r="F276" s="574" t="n"/>
      <c r="G276" s="574" t="n"/>
      <c r="H276" s="563" t="n"/>
      <c r="I276" s="672" t="n">
        <v>1533777</v>
      </c>
      <c r="J276" s="82" t="inlineStr">
        <is>
          <t>រៀល</t>
        </is>
      </c>
    </row>
    <row r="277" ht="25.2" customHeight="1" s="397">
      <c r="A277" s="600" t="n"/>
      <c r="B277" s="580" t="n"/>
      <c r="C277" s="601" t="n"/>
      <c r="D277" s="82" t="inlineStr">
        <is>
          <t>សរុបទឹកប្រាក់នៅសល់ត្រូវបង្វិលសង</t>
        </is>
      </c>
      <c r="E277" s="574" t="n"/>
      <c r="F277" s="574" t="n"/>
      <c r="G277" s="574" t="n"/>
      <c r="H277" s="563" t="n"/>
      <c r="I277" s="672" t="n">
        <v>295697769</v>
      </c>
      <c r="J277" s="82" t="inlineStr">
        <is>
          <t>រៀល</t>
        </is>
      </c>
    </row>
    <row r="278" ht="25.2" customHeight="1" s="397">
      <c r="H278" s="495" t="inlineStr">
        <is>
          <t>ធ្វើនៅរាជធានីភ្នំពេញ.ថ្ងៃទី១១ ខែធ្នូ ឆ្នាំ២០១៥</t>
        </is>
      </c>
      <c r="I278" s="594" t="n"/>
      <c r="J278" s="594" t="n"/>
    </row>
    <row r="279" ht="25.2" customHeight="1" s="397">
      <c r="H279" s="496" t="inlineStr">
        <is>
          <t>មន្ត្រីសវនកម្ម</t>
        </is>
      </c>
    </row>
    <row r="286" ht="25.2" customHeight="1" s="397">
      <c r="H286" s="496" t="inlineStr">
        <is>
          <t>ហុង ចំរើន                          កៅ សុលាភ</t>
        </is>
      </c>
    </row>
  </sheetData>
  <mergeCells count="90">
    <mergeCell ref="A128:C128"/>
    <mergeCell ref="A37:C37"/>
    <mergeCell ref="A273:C273"/>
    <mergeCell ref="A136:C136"/>
    <mergeCell ref="E5:I5"/>
    <mergeCell ref="A26:C26"/>
    <mergeCell ref="D276:H276"/>
    <mergeCell ref="A272:C272"/>
    <mergeCell ref="H278:J278"/>
    <mergeCell ref="A179:C179"/>
    <mergeCell ref="J5:J7"/>
    <mergeCell ref="B6:D6"/>
    <mergeCell ref="A43:C43"/>
    <mergeCell ref="A156:C156"/>
    <mergeCell ref="A52:C52"/>
    <mergeCell ref="A229:C229"/>
    <mergeCell ref="D273:H273"/>
    <mergeCell ref="A148:C148"/>
    <mergeCell ref="A270:C270"/>
    <mergeCell ref="A157:C157"/>
    <mergeCell ref="A256:C256"/>
    <mergeCell ref="A205:C205"/>
    <mergeCell ref="G6:I6"/>
    <mergeCell ref="A75:C75"/>
    <mergeCell ref="A198:C198"/>
    <mergeCell ref="A5:A7"/>
    <mergeCell ref="D275:H275"/>
    <mergeCell ref="A263:C263"/>
    <mergeCell ref="A32:C32"/>
    <mergeCell ref="A219:C219"/>
    <mergeCell ref="A97:C97"/>
    <mergeCell ref="A224:C224"/>
    <mergeCell ref="D277:H277"/>
    <mergeCell ref="A38:C38"/>
    <mergeCell ref="A147:C147"/>
    <mergeCell ref="A3:E3"/>
    <mergeCell ref="A161:C161"/>
    <mergeCell ref="B5:D5"/>
    <mergeCell ref="A170:C170"/>
    <mergeCell ref="A44:C44"/>
    <mergeCell ref="A249:C249"/>
    <mergeCell ref="A211:C211"/>
    <mergeCell ref="A257:C257"/>
    <mergeCell ref="A250:C250"/>
    <mergeCell ref="A197:C197"/>
    <mergeCell ref="A237:C237"/>
    <mergeCell ref="A2:J2"/>
    <mergeCell ref="A212:C212"/>
    <mergeCell ref="A243:C243"/>
    <mergeCell ref="A25:C25"/>
    <mergeCell ref="A108:C108"/>
    <mergeCell ref="A236:C236"/>
    <mergeCell ref="A189:C189"/>
    <mergeCell ref="A18:C18"/>
    <mergeCell ref="A223:C223"/>
    <mergeCell ref="A204:C204"/>
    <mergeCell ref="A86:C86"/>
    <mergeCell ref="A188:C188"/>
    <mergeCell ref="A135:C135"/>
    <mergeCell ref="A262:C262"/>
    <mergeCell ref="D272:H272"/>
    <mergeCell ref="D274:H274"/>
    <mergeCell ref="A64:C64"/>
    <mergeCell ref="A98:C98"/>
    <mergeCell ref="A169:C169"/>
    <mergeCell ref="A107:C107"/>
    <mergeCell ref="A178:C178"/>
    <mergeCell ref="H286:J286"/>
    <mergeCell ref="A162:C162"/>
    <mergeCell ref="F6:F7"/>
    <mergeCell ref="H279:J279"/>
    <mergeCell ref="A268:C268"/>
    <mergeCell ref="A274:C277"/>
    <mergeCell ref="A4:D4"/>
    <mergeCell ref="A74:C74"/>
    <mergeCell ref="A242:C242"/>
    <mergeCell ref="A129:C129"/>
    <mergeCell ref="A33:C33"/>
    <mergeCell ref="A85:C85"/>
    <mergeCell ref="A116:C116"/>
    <mergeCell ref="A269:C269"/>
    <mergeCell ref="E6:E7"/>
    <mergeCell ref="A53:C53"/>
    <mergeCell ref="A1:J1"/>
    <mergeCell ref="A19:C19"/>
    <mergeCell ref="A230:C230"/>
    <mergeCell ref="A117:C117"/>
    <mergeCell ref="A271:C271"/>
    <mergeCell ref="A65:C65"/>
    <mergeCell ref="A218:C218"/>
  </mergeCells>
  <printOptions horizontalCentered="1"/>
  <pageMargins left="0.2" right="0.2" top="0.35" bottom="0.5" header="0.5" footer="0.3"/>
  <pageSetup orientation="portrait" paperSize="9" scale="7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C8" sqref="C8"/>
    </sheetView>
  </sheetViews>
  <sheetFormatPr baseColWidth="8" defaultRowHeight="13.2"/>
  <cols>
    <col width="7" customWidth="1" style="397" min="1" max="1"/>
    <col width="14.33203125" customWidth="1" style="397" min="2" max="2"/>
    <col width="10.6640625" customWidth="1" style="397" min="3" max="3"/>
    <col width="11.109375" customWidth="1" style="397" min="4" max="4"/>
    <col width="20.33203125" customWidth="1" style="397" min="5" max="5"/>
    <col width="13.109375" customWidth="1" style="397" min="6" max="6"/>
    <col width="10.6640625" customWidth="1" style="397" min="7" max="7"/>
    <col width="11.5546875" customWidth="1" style="397" min="8" max="8"/>
    <col width="12.6640625" customWidth="1" style="397" min="9" max="9"/>
    <col width="10.88671875" customWidth="1" style="397" min="10" max="10"/>
  </cols>
  <sheetData>
    <row r="1" ht="33.6" customHeight="1" s="397">
      <c r="A1" s="475" t="inlineStr">
        <is>
          <t>តារាងឧបសម្ព័ន្ឋ</t>
        </is>
      </c>
    </row>
    <row r="2" ht="33.6" customHeight="1" s="397">
      <c r="A2" s="475" t="inlineStr">
        <is>
          <t>តារាងប្រៀធៀបវិក្ក័យប័ត្រស្នើសុំបង្វិលសងអាករលើតំលៃបន្ថែម  ( Cross checking )</t>
        </is>
      </c>
    </row>
    <row r="3" ht="27" customHeight="1" s="397">
      <c r="A3" s="518" t="inlineStr">
        <is>
          <t>នាមករណ៏សហគ្រាស  :  Maurea Garments Corp</t>
        </is>
      </c>
      <c r="F3" s="4" t="n"/>
      <c r="G3" s="4" t="n"/>
      <c r="H3" s="4" t="n"/>
      <c r="I3" s="4" t="n"/>
      <c r="J3" s="4" t="n"/>
    </row>
    <row r="4" ht="27" customHeight="1" s="397">
      <c r="A4" s="477" t="inlineStr">
        <is>
          <t>VAT TIN  : 1 0 0 0 5 2 9 6 7</t>
        </is>
      </c>
      <c r="B4" s="580" t="n"/>
      <c r="C4" s="580" t="n"/>
      <c r="D4" s="580" t="n"/>
      <c r="E4" s="5" t="n"/>
      <c r="F4" s="4" t="n"/>
      <c r="G4" s="4" t="n"/>
      <c r="H4" s="4" t="n"/>
      <c r="I4" s="4" t="n"/>
      <c r="J4" s="4" t="n"/>
    </row>
    <row r="5" ht="25.2" customHeight="1" s="397">
      <c r="A5" s="673" t="inlineStr">
        <is>
          <t>ល.រ</t>
        </is>
      </c>
      <c r="B5" s="527" t="inlineStr">
        <is>
          <t>ក្រុមហ៊ុនស្នើសុំបង្វិលសង</t>
        </is>
      </c>
      <c r="C5" s="594" t="n"/>
      <c r="D5" s="595" t="n"/>
      <c r="E5" s="525" t="inlineStr">
        <is>
          <t>អ្នកផ្គត់ផ្គង់</t>
        </is>
      </c>
      <c r="F5" s="574" t="n"/>
      <c r="G5" s="574" t="n"/>
      <c r="H5" s="574" t="n"/>
      <c r="I5" s="563" t="n"/>
      <c r="J5" s="534" t="inlineStr">
        <is>
          <t>ផ្សេងៗ</t>
        </is>
      </c>
    </row>
    <row r="6" ht="25.2" customHeight="1" s="397">
      <c r="A6" s="608" t="n"/>
      <c r="B6" s="529" t="inlineStr">
        <is>
          <t>វិក័យបត្រ័</t>
        </is>
      </c>
      <c r="C6" s="580" t="n"/>
      <c r="D6" s="601" t="n"/>
      <c r="E6" s="533" t="inlineStr">
        <is>
          <t>សហគ្រាស</t>
        </is>
      </c>
      <c r="F6" s="534" t="inlineStr">
        <is>
          <t>លេខអតប</t>
        </is>
      </c>
      <c r="G6" s="529" t="inlineStr">
        <is>
          <t>វិក័យបត្រ័</t>
        </is>
      </c>
      <c r="H6" s="580" t="n"/>
      <c r="I6" s="601" t="n"/>
      <c r="J6" s="608" t="n"/>
    </row>
    <row r="7" ht="25.2" customHeight="1" s="397">
      <c r="A7" s="564" t="n"/>
      <c r="B7" s="529" t="inlineStr">
        <is>
          <t>លេខ</t>
        </is>
      </c>
      <c r="C7" s="529" t="inlineStr">
        <is>
          <t>ថ្ងៃទី ខែ ឆ្នាំ</t>
        </is>
      </c>
      <c r="D7" s="529" t="inlineStr">
        <is>
          <t>ប្រាក់អាករ</t>
        </is>
      </c>
      <c r="E7" s="601" t="n"/>
      <c r="F7" s="564" t="n"/>
      <c r="G7" s="529" t="inlineStr">
        <is>
          <t>លេខ</t>
        </is>
      </c>
      <c r="H7" s="529" t="inlineStr">
        <is>
          <t>ថ្ងៃទី ខែ ឆ្នាំ</t>
        </is>
      </c>
      <c r="I7" s="529" t="inlineStr">
        <is>
          <t>ប្រាក់អាករ</t>
        </is>
      </c>
      <c r="J7" s="564" t="n"/>
    </row>
    <row r="8" ht="18" customHeight="1" s="397">
      <c r="A8" s="33" t="n">
        <v>1</v>
      </c>
      <c r="B8" s="24" t="inlineStr">
        <is>
          <t>07-0360</t>
        </is>
      </c>
      <c r="C8" s="658" t="n">
        <v>41842</v>
      </c>
      <c r="D8" s="650" t="n">
        <v>41.5</v>
      </c>
      <c r="E8" s="10" t="inlineStr">
        <is>
          <t>YUSEN LOGISTICS</t>
        </is>
      </c>
      <c r="F8" s="24" t="inlineStr">
        <is>
          <t>104015799</t>
        </is>
      </c>
      <c r="G8" s="24" t="inlineStr">
        <is>
          <t>07-0360</t>
        </is>
      </c>
      <c r="H8" s="658" t="n">
        <v>41842</v>
      </c>
      <c r="I8" s="650" t="n">
        <v>41.5</v>
      </c>
      <c r="J8" s="9" t="n"/>
    </row>
    <row r="9" ht="18" customHeight="1" s="397">
      <c r="A9" s="33" t="n">
        <v>2</v>
      </c>
      <c r="B9" s="24" t="inlineStr">
        <is>
          <t>07-0367</t>
        </is>
      </c>
      <c r="C9" s="658" t="n">
        <v>41842</v>
      </c>
      <c r="D9" s="650" t="n">
        <v>64.56999999999999</v>
      </c>
      <c r="E9" s="10" t="inlineStr">
        <is>
          <t>YUSEN LOGISTICS</t>
        </is>
      </c>
      <c r="F9" s="24" t="inlineStr">
        <is>
          <t>104015799</t>
        </is>
      </c>
      <c r="G9" s="24" t="inlineStr">
        <is>
          <t>07-0367</t>
        </is>
      </c>
      <c r="H9" s="658" t="n">
        <v>41842</v>
      </c>
      <c r="I9" s="650" t="n">
        <v>64.56999999999999</v>
      </c>
      <c r="J9" s="9" t="n"/>
    </row>
    <row r="10" ht="18" customHeight="1" s="397">
      <c r="A10" s="33" t="n">
        <v>3</v>
      </c>
      <c r="B10" s="24" t="inlineStr">
        <is>
          <t>07-0368</t>
        </is>
      </c>
      <c r="C10" s="658" t="n">
        <v>41842</v>
      </c>
      <c r="D10" s="650" t="n">
        <v>59.11</v>
      </c>
      <c r="E10" s="10" t="inlineStr">
        <is>
          <t>YUSEN LOGISTICS</t>
        </is>
      </c>
      <c r="F10" s="24" t="inlineStr">
        <is>
          <t>104015799</t>
        </is>
      </c>
      <c r="G10" s="24" t="inlineStr">
        <is>
          <t>07-0368</t>
        </is>
      </c>
      <c r="H10" s="658" t="n">
        <v>41842</v>
      </c>
      <c r="I10" s="650" t="n">
        <v>59.11</v>
      </c>
      <c r="J10" s="9" t="n"/>
    </row>
    <row r="11" ht="18" customHeight="1" s="397">
      <c r="A11" s="33" t="n">
        <v>4</v>
      </c>
      <c r="B11" s="24" t="inlineStr">
        <is>
          <t>07-0517</t>
        </is>
      </c>
      <c r="C11" s="658" t="n">
        <v>41849</v>
      </c>
      <c r="D11" s="650" t="n">
        <v>75.93000000000001</v>
      </c>
      <c r="E11" s="10" t="inlineStr">
        <is>
          <t>YUSEN LOGISTICS</t>
        </is>
      </c>
      <c r="F11" s="24" t="inlineStr">
        <is>
          <t>104015799</t>
        </is>
      </c>
      <c r="G11" s="24" t="inlineStr">
        <is>
          <t>07-0517</t>
        </is>
      </c>
      <c r="H11" s="658" t="n">
        <v>41849</v>
      </c>
      <c r="I11" s="650" t="n">
        <v>75.93000000000001</v>
      </c>
      <c r="J11" s="9" t="n"/>
    </row>
    <row r="12" ht="18" customHeight="1" s="397">
      <c r="A12" s="33" t="n">
        <v>5</v>
      </c>
      <c r="B12" s="24" t="inlineStr">
        <is>
          <t>08-0039</t>
        </is>
      </c>
      <c r="C12" s="658" t="n">
        <v>41856</v>
      </c>
      <c r="D12" s="650" t="n">
        <v>46.05</v>
      </c>
      <c r="E12" s="10" t="inlineStr">
        <is>
          <t>YUSEN LOGISTICS</t>
        </is>
      </c>
      <c r="F12" s="24" t="inlineStr">
        <is>
          <t>104015799</t>
        </is>
      </c>
      <c r="G12" s="24" t="inlineStr">
        <is>
          <t>08-0039</t>
        </is>
      </c>
      <c r="H12" s="658" t="n">
        <v>41856</v>
      </c>
      <c r="I12" s="650" t="n">
        <v>46.05</v>
      </c>
      <c r="J12" s="9" t="n"/>
    </row>
    <row r="13" ht="18" customHeight="1" s="397">
      <c r="A13" s="33" t="n">
        <v>6</v>
      </c>
      <c r="B13" s="24" t="inlineStr">
        <is>
          <t>08-0044</t>
        </is>
      </c>
      <c r="C13" s="658" t="n">
        <v>41856</v>
      </c>
      <c r="D13" s="650" t="n">
        <v>41.5</v>
      </c>
      <c r="E13" s="10" t="inlineStr">
        <is>
          <t>YUSEN LOGISTICS</t>
        </is>
      </c>
      <c r="F13" s="24" t="inlineStr">
        <is>
          <t>104015799</t>
        </is>
      </c>
      <c r="G13" s="24" t="inlineStr">
        <is>
          <t>08-0044</t>
        </is>
      </c>
      <c r="H13" s="658" t="n">
        <v>41856</v>
      </c>
      <c r="I13" s="650" t="n">
        <v>41.5</v>
      </c>
      <c r="J13" s="9" t="n"/>
    </row>
    <row r="14" ht="18" customHeight="1" s="397">
      <c r="A14" s="33" t="n">
        <v>7</v>
      </c>
      <c r="B14" s="24" t="inlineStr">
        <is>
          <t>08-0185</t>
        </is>
      </c>
      <c r="C14" s="658" t="n">
        <v>41864</v>
      </c>
      <c r="D14" s="650" t="n">
        <v>27.9</v>
      </c>
      <c r="E14" s="10" t="inlineStr">
        <is>
          <t>YUSEN LOGISTICS</t>
        </is>
      </c>
      <c r="F14" s="24" t="inlineStr">
        <is>
          <t>104015799</t>
        </is>
      </c>
      <c r="G14" s="24" t="inlineStr">
        <is>
          <t>08-0185</t>
        </is>
      </c>
      <c r="H14" s="658" t="n">
        <v>41864</v>
      </c>
      <c r="I14" s="650" t="n">
        <v>27.9</v>
      </c>
      <c r="J14" s="9" t="n"/>
    </row>
    <row r="15" ht="18" customHeight="1" s="397">
      <c r="A15" s="33" t="n">
        <v>8</v>
      </c>
      <c r="B15" s="24" t="inlineStr">
        <is>
          <t>08-0677</t>
        </is>
      </c>
      <c r="C15" s="658" t="n">
        <v>41882</v>
      </c>
      <c r="D15" s="650" t="n">
        <v>143</v>
      </c>
      <c r="E15" s="10" t="inlineStr">
        <is>
          <t>YUSEN LOGISTICS</t>
        </is>
      </c>
      <c r="F15" s="24" t="inlineStr">
        <is>
          <t>104015799</t>
        </is>
      </c>
      <c r="G15" s="24" t="inlineStr">
        <is>
          <t>08-0677</t>
        </is>
      </c>
      <c r="H15" s="658" t="n">
        <v>41882</v>
      </c>
      <c r="I15" s="650" t="n">
        <v>143</v>
      </c>
      <c r="J15" s="9" t="n"/>
    </row>
    <row r="16" ht="18" customHeight="1" s="397">
      <c r="A16" s="33" t="n">
        <v>9</v>
      </c>
      <c r="B16" s="24" t="inlineStr">
        <is>
          <t>08-0685</t>
        </is>
      </c>
      <c r="C16" s="658" t="n">
        <v>41882</v>
      </c>
      <c r="D16" s="650" t="n">
        <v>60.33</v>
      </c>
      <c r="E16" s="10" t="inlineStr">
        <is>
          <t>YUSEN LOGISTICS</t>
        </is>
      </c>
      <c r="F16" s="24" t="inlineStr">
        <is>
          <t>104015799</t>
        </is>
      </c>
      <c r="G16" s="24" t="inlineStr">
        <is>
          <t>08-0685</t>
        </is>
      </c>
      <c r="H16" s="658" t="n">
        <v>41882</v>
      </c>
      <c r="I16" s="650" t="n">
        <v>60.33</v>
      </c>
      <c r="J16" s="9" t="n"/>
    </row>
    <row r="17" ht="18" customHeight="1" s="397">
      <c r="A17" s="33" t="n">
        <v>10</v>
      </c>
      <c r="B17" s="24" t="inlineStr">
        <is>
          <t>09-0111</t>
        </is>
      </c>
      <c r="C17" s="658" t="n">
        <v>41892</v>
      </c>
      <c r="D17" s="650" t="n">
        <v>27.53</v>
      </c>
      <c r="E17" s="10" t="inlineStr">
        <is>
          <t>YUSEN LOGISTICS</t>
        </is>
      </c>
      <c r="F17" s="24" t="inlineStr">
        <is>
          <t>104015799</t>
        </is>
      </c>
      <c r="G17" s="24" t="inlineStr">
        <is>
          <t>09-0111</t>
        </is>
      </c>
      <c r="H17" s="658" t="n">
        <v>41892</v>
      </c>
      <c r="I17" s="650" t="n">
        <v>27.53</v>
      </c>
      <c r="J17" s="9" t="n"/>
    </row>
    <row r="18" ht="18" customHeight="1" s="397">
      <c r="A18" s="33" t="n">
        <v>11</v>
      </c>
      <c r="B18" s="24" t="inlineStr">
        <is>
          <t>09-0117</t>
        </is>
      </c>
      <c r="C18" s="658" t="n">
        <v>41892</v>
      </c>
      <c r="D18" s="650" t="n">
        <v>53.64</v>
      </c>
      <c r="E18" s="10" t="inlineStr">
        <is>
          <t>YUSEN LOGISTICS</t>
        </is>
      </c>
      <c r="F18" s="24" t="inlineStr">
        <is>
          <t>104015799</t>
        </is>
      </c>
      <c r="G18" s="24" t="inlineStr">
        <is>
          <t>09-0117</t>
        </is>
      </c>
      <c r="H18" s="658" t="n">
        <v>41892</v>
      </c>
      <c r="I18" s="650" t="n">
        <v>53.64</v>
      </c>
      <c r="J18" s="9" t="n"/>
    </row>
    <row r="19" ht="18" customHeight="1" s="397">
      <c r="A19" s="33" t="n">
        <v>12</v>
      </c>
      <c r="B19" s="24" t="inlineStr">
        <is>
          <t>09-0199</t>
        </is>
      </c>
      <c r="C19" s="658" t="n">
        <v>41898</v>
      </c>
      <c r="D19" s="650" t="n">
        <v>34.77</v>
      </c>
      <c r="E19" s="10" t="inlineStr">
        <is>
          <t>YUSEN LOGISTICS</t>
        </is>
      </c>
      <c r="F19" s="24" t="inlineStr">
        <is>
          <t>104015799</t>
        </is>
      </c>
      <c r="G19" s="24" t="inlineStr">
        <is>
          <t>09-0199</t>
        </is>
      </c>
      <c r="H19" s="658" t="n">
        <v>41898</v>
      </c>
      <c r="I19" s="650" t="n">
        <v>34.77</v>
      </c>
      <c r="J19" s="9" t="n"/>
    </row>
    <row r="20" ht="18" customHeight="1" s="397">
      <c r="A20" s="33" t="n">
        <v>13</v>
      </c>
      <c r="B20" s="24" t="inlineStr">
        <is>
          <t>09-0332</t>
        </is>
      </c>
      <c r="C20" s="658" t="n">
        <v>41908</v>
      </c>
      <c r="D20" s="650" t="n">
        <v>68.5</v>
      </c>
      <c r="E20" s="10" t="inlineStr">
        <is>
          <t>YUSEN LOGISTICS</t>
        </is>
      </c>
      <c r="F20" s="24" t="inlineStr">
        <is>
          <t>104015799</t>
        </is>
      </c>
      <c r="G20" s="24" t="inlineStr">
        <is>
          <t>09-0332</t>
        </is>
      </c>
      <c r="H20" s="658" t="n">
        <v>41908</v>
      </c>
      <c r="I20" s="650" t="n">
        <v>68.5</v>
      </c>
      <c r="J20" s="9" t="n"/>
    </row>
    <row r="21" ht="18" customHeight="1" s="397">
      <c r="A21" s="33" t="n">
        <v>14</v>
      </c>
      <c r="B21" s="24" t="inlineStr">
        <is>
          <t>09-0439</t>
        </is>
      </c>
      <c r="C21" s="658" t="n">
        <v>41912</v>
      </c>
      <c r="D21" s="650" t="n">
        <v>32</v>
      </c>
      <c r="E21" s="10" t="inlineStr">
        <is>
          <t>YUSEN LOGISTICS</t>
        </is>
      </c>
      <c r="F21" s="24" t="inlineStr">
        <is>
          <t>104015799</t>
        </is>
      </c>
      <c r="G21" s="24" t="inlineStr">
        <is>
          <t>09-0439</t>
        </is>
      </c>
      <c r="H21" s="658" t="n">
        <v>41912</v>
      </c>
      <c r="I21" s="650" t="n">
        <v>32</v>
      </c>
      <c r="J21" s="9" t="n"/>
    </row>
    <row r="22" ht="18" customHeight="1" s="397">
      <c r="A22" s="33" t="n">
        <v>15</v>
      </c>
      <c r="B22" s="24" t="inlineStr">
        <is>
          <t>09-0445</t>
        </is>
      </c>
      <c r="C22" s="658" t="n">
        <v>41912</v>
      </c>
      <c r="D22" s="650" t="n">
        <v>26.65</v>
      </c>
      <c r="E22" s="10" t="inlineStr">
        <is>
          <t>YUSEN LOGISTICS</t>
        </is>
      </c>
      <c r="F22" s="24" t="inlineStr">
        <is>
          <t>104015799</t>
        </is>
      </c>
      <c r="G22" s="24" t="inlineStr">
        <is>
          <t>09-0445</t>
        </is>
      </c>
      <c r="H22" s="658" t="n">
        <v>41912</v>
      </c>
      <c r="I22" s="650" t="n">
        <v>26.65</v>
      </c>
      <c r="J22" s="9" t="n"/>
    </row>
    <row r="23" ht="18" customHeight="1" s="397">
      <c r="A23" s="33" t="n">
        <v>16</v>
      </c>
      <c r="B23" s="24" t="inlineStr">
        <is>
          <t>09-0454</t>
        </is>
      </c>
      <c r="C23" s="658" t="n">
        <v>41912</v>
      </c>
      <c r="D23" s="650" t="n">
        <v>34.86</v>
      </c>
      <c r="E23" s="10" t="inlineStr">
        <is>
          <t>YUSEN LOGISTICS</t>
        </is>
      </c>
      <c r="F23" s="24" t="inlineStr">
        <is>
          <t>104015799</t>
        </is>
      </c>
      <c r="G23" s="24" t="inlineStr">
        <is>
          <t>09-0454</t>
        </is>
      </c>
      <c r="H23" s="658" t="n">
        <v>41912</v>
      </c>
      <c r="I23" s="650" t="n">
        <v>34.86</v>
      </c>
      <c r="J23" s="9" t="n"/>
    </row>
    <row r="24" ht="18" customHeight="1" s="397">
      <c r="A24" s="33" t="n">
        <v>17</v>
      </c>
      <c r="B24" s="24" t="inlineStr">
        <is>
          <t>10-0058</t>
        </is>
      </c>
      <c r="C24" s="658" t="n">
        <v>41919</v>
      </c>
      <c r="D24" s="650" t="n">
        <v>26.44</v>
      </c>
      <c r="E24" s="10" t="inlineStr">
        <is>
          <t>YUSEN LOGISTICS</t>
        </is>
      </c>
      <c r="F24" s="24" t="inlineStr">
        <is>
          <t>104015799</t>
        </is>
      </c>
      <c r="G24" s="24" t="inlineStr">
        <is>
          <t>10-0058</t>
        </is>
      </c>
      <c r="H24" s="658" t="n">
        <v>41919</v>
      </c>
      <c r="I24" s="650" t="n">
        <v>26.44</v>
      </c>
      <c r="J24" s="9" t="n"/>
    </row>
    <row r="25" ht="18" customHeight="1" s="397">
      <c r="A25" s="33" t="n">
        <v>18</v>
      </c>
      <c r="B25" s="24" t="inlineStr">
        <is>
          <t>10-0180</t>
        </is>
      </c>
      <c r="C25" s="658" t="n">
        <v>41928</v>
      </c>
      <c r="D25" s="650" t="n">
        <v>44.22</v>
      </c>
      <c r="E25" s="10" t="inlineStr">
        <is>
          <t>YUSEN LOGISTICS</t>
        </is>
      </c>
      <c r="F25" s="24" t="inlineStr">
        <is>
          <t>104015799</t>
        </is>
      </c>
      <c r="G25" s="24" t="inlineStr">
        <is>
          <t>10-0180</t>
        </is>
      </c>
      <c r="H25" s="658" t="n">
        <v>41928</v>
      </c>
      <c r="I25" s="650" t="n">
        <v>44.22</v>
      </c>
      <c r="J25" s="9" t="n"/>
    </row>
    <row r="26" ht="18" customHeight="1" s="397">
      <c r="A26" s="33" t="n">
        <v>19</v>
      </c>
      <c r="B26" s="24" t="inlineStr">
        <is>
          <t>10-0336</t>
        </is>
      </c>
      <c r="C26" s="658" t="n">
        <v>41939</v>
      </c>
      <c r="D26" s="650" t="n">
        <v>27.75</v>
      </c>
      <c r="E26" s="10" t="inlineStr">
        <is>
          <t>YUSEN LOGISTICS</t>
        </is>
      </c>
      <c r="F26" s="24" t="inlineStr">
        <is>
          <t>104015799</t>
        </is>
      </c>
      <c r="G26" s="24" t="inlineStr">
        <is>
          <t>10-0336</t>
        </is>
      </c>
      <c r="H26" s="658" t="n">
        <v>41939</v>
      </c>
      <c r="I26" s="650" t="n">
        <v>27.75</v>
      </c>
      <c r="J26" s="9" t="n"/>
    </row>
    <row r="27" ht="18" customHeight="1" s="397">
      <c r="A27" s="33" t="n">
        <v>20</v>
      </c>
      <c r="B27" s="24" t="inlineStr">
        <is>
          <t>11-0038</t>
        </is>
      </c>
      <c r="C27" s="658" t="n">
        <v>41946</v>
      </c>
      <c r="D27" s="650" t="n">
        <v>90.92</v>
      </c>
      <c r="E27" s="10" t="inlineStr">
        <is>
          <t>YUSEN LOGISTICS</t>
        </is>
      </c>
      <c r="F27" s="24" t="inlineStr">
        <is>
          <t>104015799</t>
        </is>
      </c>
      <c r="G27" s="24" t="inlineStr">
        <is>
          <t>11-0038</t>
        </is>
      </c>
      <c r="H27" s="658" t="n">
        <v>41946</v>
      </c>
      <c r="I27" s="650" t="n">
        <v>90.92</v>
      </c>
      <c r="J27" s="9" t="n"/>
    </row>
    <row r="28" ht="18" customHeight="1" s="397">
      <c r="A28" s="33" t="n">
        <v>21</v>
      </c>
      <c r="B28" s="24" t="inlineStr">
        <is>
          <t>11-0130</t>
        </is>
      </c>
      <c r="C28" s="658" t="n">
        <v>41956</v>
      </c>
      <c r="D28" s="650" t="n">
        <v>110.34</v>
      </c>
      <c r="E28" s="10" t="inlineStr">
        <is>
          <t>YUSEN LOGISTICS</t>
        </is>
      </c>
      <c r="F28" s="24" t="inlineStr">
        <is>
          <t>104015799</t>
        </is>
      </c>
      <c r="G28" s="24" t="inlineStr">
        <is>
          <t>11-0130</t>
        </is>
      </c>
      <c r="H28" s="658" t="n">
        <v>41956</v>
      </c>
      <c r="I28" s="650" t="n">
        <v>110.34</v>
      </c>
      <c r="J28" s="9" t="n"/>
    </row>
    <row r="29" ht="18" customHeight="1" s="397">
      <c r="A29" s="33" t="n">
        <v>22</v>
      </c>
      <c r="B29" s="24" t="inlineStr">
        <is>
          <t>11-0278</t>
        </is>
      </c>
      <c r="C29" s="658" t="n">
        <v>41967</v>
      </c>
      <c r="D29" s="650" t="n">
        <v>26.98</v>
      </c>
      <c r="E29" s="10" t="inlineStr">
        <is>
          <t>YUSEN LOGISTICS</t>
        </is>
      </c>
      <c r="F29" s="24" t="inlineStr">
        <is>
          <t>104015799</t>
        </is>
      </c>
      <c r="G29" s="24" t="inlineStr">
        <is>
          <t>11-0278</t>
        </is>
      </c>
      <c r="H29" s="658" t="n">
        <v>41967</v>
      </c>
      <c r="I29" s="650" t="n">
        <v>26.98</v>
      </c>
      <c r="J29" s="9" t="n"/>
    </row>
    <row r="30" ht="18" customHeight="1" s="397">
      <c r="A30" s="33" t="n">
        <v>23</v>
      </c>
      <c r="B30" s="24" t="inlineStr">
        <is>
          <t>11-0513</t>
        </is>
      </c>
      <c r="C30" s="658" t="n">
        <v>41973</v>
      </c>
      <c r="D30" s="650" t="n">
        <v>36.35</v>
      </c>
      <c r="E30" s="10" t="inlineStr">
        <is>
          <t>YUSEN LOGISTICS</t>
        </is>
      </c>
      <c r="F30" s="24" t="inlineStr">
        <is>
          <t>104015799</t>
        </is>
      </c>
      <c r="G30" s="24" t="inlineStr">
        <is>
          <t>11-0513</t>
        </is>
      </c>
      <c r="H30" s="658" t="n">
        <v>41973</v>
      </c>
      <c r="I30" s="650" t="n">
        <v>36.35</v>
      </c>
      <c r="J30" s="658" t="n"/>
      <c r="K30" s="674" t="n"/>
    </row>
    <row r="31" ht="18" customHeight="1" s="397">
      <c r="A31" s="33" t="n">
        <v>24</v>
      </c>
      <c r="B31" s="24" t="inlineStr">
        <is>
          <t>12-0222</t>
        </is>
      </c>
      <c r="C31" s="658" t="n">
        <v>41988</v>
      </c>
      <c r="D31" s="650" t="n">
        <v>61.63</v>
      </c>
      <c r="E31" s="10" t="inlineStr">
        <is>
          <t>YUSEN LOGISTICS</t>
        </is>
      </c>
      <c r="F31" s="24" t="inlineStr">
        <is>
          <t>104015799</t>
        </is>
      </c>
      <c r="G31" s="24" t="inlineStr">
        <is>
          <t>12-0222</t>
        </is>
      </c>
      <c r="H31" s="658" t="n">
        <v>41988</v>
      </c>
      <c r="I31" s="650" t="n">
        <v>61.63</v>
      </c>
      <c r="J31" s="9" t="n"/>
    </row>
    <row r="32" ht="18" customHeight="1" s="397">
      <c r="A32" s="33" t="n">
        <v>25</v>
      </c>
      <c r="B32" s="24" t="inlineStr">
        <is>
          <t>12-0327</t>
        </is>
      </c>
      <c r="C32" s="658" t="n">
        <v>41995</v>
      </c>
      <c r="D32" s="650" t="n">
        <v>47.71</v>
      </c>
      <c r="E32" s="10" t="inlineStr">
        <is>
          <t>YUSEN LOGISTICS</t>
        </is>
      </c>
      <c r="F32" s="24" t="inlineStr">
        <is>
          <t>104015799</t>
        </is>
      </c>
      <c r="G32" s="24" t="inlineStr">
        <is>
          <t>12-0327</t>
        </is>
      </c>
      <c r="H32" s="658" t="n">
        <v>41995</v>
      </c>
      <c r="I32" s="650" t="n">
        <v>47.71</v>
      </c>
      <c r="J32" s="9" t="n"/>
    </row>
    <row r="33" ht="18" customHeight="1" s="397">
      <c r="A33" s="33" t="n">
        <v>26</v>
      </c>
      <c r="B33" s="24" t="inlineStr">
        <is>
          <t>12-0554</t>
        </is>
      </c>
      <c r="C33" s="658" t="n">
        <v>42003</v>
      </c>
      <c r="D33" s="650" t="n">
        <v>54.5</v>
      </c>
      <c r="E33" s="10" t="inlineStr">
        <is>
          <t>YUSEN LOGISTICS</t>
        </is>
      </c>
      <c r="F33" s="24" t="inlineStr">
        <is>
          <t>104015799</t>
        </is>
      </c>
      <c r="G33" s="24" t="inlineStr">
        <is>
          <t>12-0554</t>
        </is>
      </c>
      <c r="H33" s="658" t="n">
        <v>42003</v>
      </c>
      <c r="I33" s="650" t="n">
        <v>54.5</v>
      </c>
      <c r="J33" s="9" t="n"/>
    </row>
    <row r="34" ht="18" customHeight="1" s="397">
      <c r="A34" s="33" t="n">
        <v>27</v>
      </c>
      <c r="B34" s="24" t="inlineStr">
        <is>
          <t>01-0018</t>
        </is>
      </c>
      <c r="C34" s="658" t="n">
        <v>42009</v>
      </c>
      <c r="D34" s="650" t="n">
        <v>73.5</v>
      </c>
      <c r="E34" s="10" t="inlineStr">
        <is>
          <t>YUSEN LOGISTICS</t>
        </is>
      </c>
      <c r="F34" s="24" t="inlineStr">
        <is>
          <t>104015799</t>
        </is>
      </c>
      <c r="G34" s="24" t="inlineStr">
        <is>
          <t>01-0018</t>
        </is>
      </c>
      <c r="H34" s="658" t="n">
        <v>42009</v>
      </c>
      <c r="I34" s="650" t="n">
        <v>73.5</v>
      </c>
      <c r="J34" s="9" t="n"/>
    </row>
    <row r="35" ht="18" customHeight="1" s="397">
      <c r="A35" s="33" t="n">
        <v>28</v>
      </c>
      <c r="B35" s="24" t="inlineStr">
        <is>
          <t>01-0137</t>
        </is>
      </c>
      <c r="C35" s="658" t="n">
        <v>42016</v>
      </c>
      <c r="D35" s="650" t="n">
        <v>102.28</v>
      </c>
      <c r="E35" s="10" t="inlineStr">
        <is>
          <t>YUSEN LOGISTICS</t>
        </is>
      </c>
      <c r="F35" s="24" t="inlineStr">
        <is>
          <t>104015799</t>
        </is>
      </c>
      <c r="G35" s="24" t="inlineStr">
        <is>
          <t>01-0137</t>
        </is>
      </c>
      <c r="H35" s="658" t="n">
        <v>42016</v>
      </c>
      <c r="I35" s="650" t="n">
        <v>102.28</v>
      </c>
      <c r="J35" s="9" t="n"/>
    </row>
    <row r="36" ht="18" customHeight="1" s="397">
      <c r="A36" s="33" t="n">
        <v>29</v>
      </c>
      <c r="B36" s="24" t="inlineStr">
        <is>
          <t>01-0286</t>
        </is>
      </c>
      <c r="C36" s="658" t="n">
        <v>42024</v>
      </c>
      <c r="D36" s="650" t="n">
        <v>39.92</v>
      </c>
      <c r="E36" s="10" t="inlineStr">
        <is>
          <t>YUSEN LOGISTICS</t>
        </is>
      </c>
      <c r="F36" s="24" t="inlineStr">
        <is>
          <t>104015799</t>
        </is>
      </c>
      <c r="G36" s="24" t="inlineStr">
        <is>
          <t>01-0286</t>
        </is>
      </c>
      <c r="H36" s="658" t="n">
        <v>42024</v>
      </c>
      <c r="I36" s="650" t="n">
        <v>39.92</v>
      </c>
      <c r="J36" s="9" t="n"/>
    </row>
    <row r="37" ht="18" customHeight="1" s="397">
      <c r="A37" s="33" t="n">
        <v>30</v>
      </c>
      <c r="B37" s="24" t="inlineStr">
        <is>
          <t>01-0420</t>
        </is>
      </c>
      <c r="C37" s="658" t="n">
        <v>42031</v>
      </c>
      <c r="D37" s="650" t="n">
        <v>62.39</v>
      </c>
      <c r="E37" s="10" t="inlineStr">
        <is>
          <t>YUSEN LOGISTICS</t>
        </is>
      </c>
      <c r="F37" s="24" t="inlineStr">
        <is>
          <t>104015799</t>
        </is>
      </c>
      <c r="G37" s="24" t="inlineStr">
        <is>
          <t>01-0420</t>
        </is>
      </c>
      <c r="H37" s="658" t="n">
        <v>42031</v>
      </c>
      <c r="I37" s="650" t="n">
        <v>62.39</v>
      </c>
      <c r="J37" s="9" t="n"/>
    </row>
    <row r="38" ht="18" customHeight="1" s="397">
      <c r="A38" s="33" t="n">
        <v>31</v>
      </c>
      <c r="B38" s="24" t="inlineStr">
        <is>
          <t>02-0095</t>
        </is>
      </c>
      <c r="C38" s="658" t="n">
        <v>42040</v>
      </c>
      <c r="D38" s="650" t="n">
        <v>56.55</v>
      </c>
      <c r="E38" s="10" t="inlineStr">
        <is>
          <t>YUSEN LOGISTICS</t>
        </is>
      </c>
      <c r="F38" s="24" t="inlineStr">
        <is>
          <t>104015799</t>
        </is>
      </c>
      <c r="G38" s="24" t="inlineStr">
        <is>
          <t>02-0095</t>
        </is>
      </c>
      <c r="H38" s="658" t="n">
        <v>42040</v>
      </c>
      <c r="I38" s="650" t="n">
        <v>56.55</v>
      </c>
      <c r="J38" s="9" t="n"/>
    </row>
    <row r="39" ht="18" customHeight="1" s="397">
      <c r="A39" s="33" t="n">
        <v>32</v>
      </c>
      <c r="B39" s="24" t="inlineStr">
        <is>
          <t>02-0175</t>
        </is>
      </c>
      <c r="C39" s="658" t="n">
        <v>42045</v>
      </c>
      <c r="D39" s="650" t="n">
        <v>29.21</v>
      </c>
      <c r="E39" s="10" t="inlineStr">
        <is>
          <t>YUSEN LOGISTICS</t>
        </is>
      </c>
      <c r="F39" s="24" t="inlineStr">
        <is>
          <t>104015799</t>
        </is>
      </c>
      <c r="G39" s="24" t="inlineStr">
        <is>
          <t>02-0175</t>
        </is>
      </c>
      <c r="H39" s="658" t="n">
        <v>42045</v>
      </c>
      <c r="I39" s="650" t="n">
        <v>29.21</v>
      </c>
      <c r="J39" s="9" t="n"/>
    </row>
    <row r="40" ht="18" customHeight="1" s="397">
      <c r="A40" s="33" t="n">
        <v>33</v>
      </c>
      <c r="B40" s="24" t="inlineStr">
        <is>
          <t>502-0531</t>
        </is>
      </c>
      <c r="C40" s="658" t="n">
        <v>42059</v>
      </c>
      <c r="D40" s="650" t="n">
        <v>102.92</v>
      </c>
      <c r="E40" s="10" t="inlineStr">
        <is>
          <t>YUSEN LOGISTICS</t>
        </is>
      </c>
      <c r="F40" s="24" t="inlineStr">
        <is>
          <t>104015799</t>
        </is>
      </c>
      <c r="G40" s="24" t="inlineStr">
        <is>
          <t>502-0531</t>
        </is>
      </c>
      <c r="H40" s="658" t="n">
        <v>42059</v>
      </c>
      <c r="I40" s="650" t="n">
        <v>102.92</v>
      </c>
      <c r="J40" s="9" t="n"/>
    </row>
    <row r="41" ht="24" customHeight="1" s="397">
      <c r="A41" s="675" t="inlineStr">
        <is>
          <t>TOTAL 7/2012-02/2015</t>
        </is>
      </c>
      <c r="B41" s="563" t="n"/>
      <c r="C41" s="676" t="n"/>
      <c r="D41" s="677">
        <f>SUM(D8:D40)</f>
        <v/>
      </c>
      <c r="E41" s="678" t="n"/>
      <c r="F41" s="678" t="n"/>
      <c r="G41" s="679" t="n"/>
      <c r="H41" s="676" t="n"/>
      <c r="I41" s="677">
        <f>SUM(I8:I40)</f>
        <v/>
      </c>
      <c r="J41" s="32" t="n"/>
    </row>
    <row r="44" ht="21" customHeight="1" s="397">
      <c r="E44" s="11" t="inlineStr">
        <is>
          <t>YUSEN LOGISTICS</t>
        </is>
      </c>
      <c r="F44" s="16" t="inlineStr">
        <is>
          <t>104015799</t>
        </is>
      </c>
      <c r="G44" s="17" t="inlineStr">
        <is>
          <t>2-00309</t>
        </is>
      </c>
      <c r="H44" s="18" t="n">
        <v>41619</v>
      </c>
      <c r="I44" s="680" t="n">
        <v>5</v>
      </c>
    </row>
  </sheetData>
  <mergeCells count="13">
    <mergeCell ref="A1:J1"/>
    <mergeCell ref="B5:D5"/>
    <mergeCell ref="G6:I6"/>
    <mergeCell ref="A41:B41"/>
    <mergeCell ref="A4:D4"/>
    <mergeCell ref="A5:A7"/>
    <mergeCell ref="E5:I5"/>
    <mergeCell ref="E6:E7"/>
    <mergeCell ref="A2:J2"/>
    <mergeCell ref="J5:J7"/>
    <mergeCell ref="B6:D6"/>
    <mergeCell ref="F6:F7"/>
    <mergeCell ref="A3:E3"/>
  </mergeCells>
  <pageMargins left="0.7" right="0.7" top="0.75" bottom="0.75" header="0.3" footer="0.3"/>
  <pageSetup orientation="portrait" paperSize="9" verticalDpi="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459"/>
  <sheetViews>
    <sheetView workbookViewId="0">
      <selection activeCell="A11" sqref="A11"/>
    </sheetView>
  </sheetViews>
  <sheetFormatPr baseColWidth="8" defaultRowHeight="13.2"/>
  <cols>
    <col width="6.6640625" customWidth="1" style="397" min="1" max="1"/>
    <col width="12.33203125" customWidth="1" style="397" min="2" max="2"/>
    <col width="12.44140625" customWidth="1" style="397" min="3" max="3"/>
    <col width="13.33203125" customWidth="1" style="397" min="4" max="4"/>
    <col width="16.88671875" customWidth="1" style="397" min="5" max="5"/>
    <col width="14" customWidth="1" style="397" min="6" max="6"/>
    <col width="11" customWidth="1" style="397" min="7" max="7"/>
    <col width="12.88671875" customWidth="1" style="397" min="9" max="9"/>
  </cols>
  <sheetData>
    <row r="1" ht="33.6" customHeight="1" s="397">
      <c r="A1" s="475" t="inlineStr">
        <is>
          <t>តារាងឧបសម្ព័ន្ឋ</t>
        </is>
      </c>
    </row>
    <row r="2" ht="33.6" customHeight="1" s="397">
      <c r="A2" s="475" t="inlineStr">
        <is>
          <t>តារាងប្រៀធៀបវិក្ក័យប័ត្រស្នើសុំបង្វិលសងអាករលើតំលៃបន្ថែម  ( Cross checking )</t>
        </is>
      </c>
    </row>
    <row r="3" ht="27" customHeight="1" s="397">
      <c r="A3" s="518" t="inlineStr">
        <is>
          <t>នាមករណ៏សហគ្រាស  :  Maurea Garments Corp</t>
        </is>
      </c>
      <c r="F3" s="4" t="n"/>
      <c r="G3" s="4" t="n"/>
      <c r="H3" s="4" t="n"/>
      <c r="I3" s="4" t="n"/>
      <c r="J3" s="4" t="n"/>
    </row>
    <row r="4" ht="27" customHeight="1" s="397">
      <c r="A4" s="477" t="inlineStr">
        <is>
          <t>VAT TIN  : 1 0 0 0 5 2 9 6 7</t>
        </is>
      </c>
      <c r="B4" s="580" t="n"/>
      <c r="C4" s="580" t="n"/>
      <c r="D4" s="580" t="n"/>
      <c r="E4" s="5" t="n"/>
      <c r="F4" s="4" t="n"/>
      <c r="G4" s="4" t="n"/>
      <c r="H4" s="4" t="n"/>
      <c r="I4" s="4" t="n"/>
      <c r="J4" s="4" t="n"/>
    </row>
    <row r="5" ht="25.2" customHeight="1" s="397">
      <c r="A5" s="673" t="inlineStr">
        <is>
          <t>ល.រ</t>
        </is>
      </c>
      <c r="B5" s="527" t="inlineStr">
        <is>
          <t>ក្រុមហ៊ុនស្នើសុំបង្វិលសង</t>
        </is>
      </c>
      <c r="C5" s="594" t="n"/>
      <c r="D5" s="595" t="n"/>
      <c r="E5" s="525" t="inlineStr">
        <is>
          <t>អ្នកផ្គត់ផ្គង់</t>
        </is>
      </c>
      <c r="F5" s="574" t="n"/>
      <c r="G5" s="574" t="n"/>
      <c r="H5" s="574" t="n"/>
      <c r="I5" s="563" t="n"/>
      <c r="J5" s="534" t="inlineStr">
        <is>
          <t>ផ្សេងៗ</t>
        </is>
      </c>
    </row>
    <row r="6" ht="25.2" customHeight="1" s="397">
      <c r="A6" s="608" t="n"/>
      <c r="B6" s="529" t="inlineStr">
        <is>
          <t>វិក័យបត្រ័</t>
        </is>
      </c>
      <c r="C6" s="580" t="n"/>
      <c r="D6" s="601" t="n"/>
      <c r="E6" s="533" t="inlineStr">
        <is>
          <t>សហគ្រាស</t>
        </is>
      </c>
      <c r="F6" s="534" t="inlineStr">
        <is>
          <t>លេខអតប</t>
        </is>
      </c>
      <c r="G6" s="529" t="inlineStr">
        <is>
          <t>វិក័យបត្រ័</t>
        </is>
      </c>
      <c r="H6" s="580" t="n"/>
      <c r="I6" s="601" t="n"/>
      <c r="J6" s="608" t="n"/>
    </row>
    <row r="7" ht="25.2" customHeight="1" s="397">
      <c r="A7" s="564" t="n"/>
      <c r="B7" s="529" t="inlineStr">
        <is>
          <t>លេខ</t>
        </is>
      </c>
      <c r="C7" s="529" t="inlineStr">
        <is>
          <t>ថ្ងៃទី ខែ ឆ្នាំ</t>
        </is>
      </c>
      <c r="D7" s="529" t="inlineStr">
        <is>
          <t>ប្រាក់អាករ</t>
        </is>
      </c>
      <c r="E7" s="601" t="n"/>
      <c r="F7" s="564" t="n"/>
      <c r="G7" s="529" t="inlineStr">
        <is>
          <t>លេខ</t>
        </is>
      </c>
      <c r="H7" s="529" t="inlineStr">
        <is>
          <t>ថ្ងៃទី ខែ ឆ្នាំ</t>
        </is>
      </c>
      <c r="I7" s="529" t="inlineStr">
        <is>
          <t>ប្រាក់អាករ</t>
        </is>
      </c>
      <c r="J7" s="564" t="n"/>
    </row>
    <row r="8" ht="18" customHeight="1" s="397">
      <c r="A8" s="33" t="n">
        <v>1</v>
      </c>
      <c r="B8" s="12" t="inlineStr">
        <is>
          <t>227231</t>
        </is>
      </c>
      <c r="C8" s="13" t="n">
        <v>41246</v>
      </c>
      <c r="D8" s="681" t="n">
        <v>8.5</v>
      </c>
      <c r="E8" s="11" t="inlineStr">
        <is>
          <t>S G L CAMBODIA</t>
        </is>
      </c>
      <c r="F8" s="10" t="inlineStr">
        <is>
          <t>100119816</t>
        </is>
      </c>
      <c r="G8" s="12" t="inlineStr">
        <is>
          <t>227231</t>
        </is>
      </c>
      <c r="H8" s="13" t="n">
        <v>41246</v>
      </c>
      <c r="I8" s="681" t="n">
        <v>8.5</v>
      </c>
      <c r="J8" s="9" t="n"/>
    </row>
    <row r="9" ht="18" customHeight="1" s="397">
      <c r="A9" s="33" t="n">
        <v>2</v>
      </c>
      <c r="B9" s="12" t="inlineStr">
        <is>
          <t>227288</t>
        </is>
      </c>
      <c r="C9" s="13" t="n">
        <v>41246</v>
      </c>
      <c r="D9" s="681" t="n">
        <v>52.36</v>
      </c>
      <c r="E9" s="11" t="inlineStr">
        <is>
          <t>S G L CAMBODIA</t>
        </is>
      </c>
      <c r="F9" s="10" t="inlineStr">
        <is>
          <t>100119816</t>
        </is>
      </c>
      <c r="G9" s="12" t="inlineStr">
        <is>
          <t>227288</t>
        </is>
      </c>
      <c r="H9" s="13" t="n">
        <v>41246</v>
      </c>
      <c r="I9" s="681" t="n">
        <v>52.36</v>
      </c>
      <c r="J9" s="9" t="n"/>
    </row>
    <row r="10" ht="18" customHeight="1" s="397">
      <c r="A10" s="33" t="n">
        <v>3</v>
      </c>
      <c r="B10" s="12" t="inlineStr">
        <is>
          <t>227430</t>
        </is>
      </c>
      <c r="C10" s="13" t="n">
        <v>41255</v>
      </c>
      <c r="D10" s="681" t="n">
        <v>21.2</v>
      </c>
      <c r="E10" s="11" t="inlineStr">
        <is>
          <t>S G L CAMBODIA</t>
        </is>
      </c>
      <c r="F10" s="10" t="inlineStr">
        <is>
          <t>100119816</t>
        </is>
      </c>
      <c r="G10" s="12" t="inlineStr">
        <is>
          <t>227430</t>
        </is>
      </c>
      <c r="H10" s="13" t="n">
        <v>41255</v>
      </c>
      <c r="I10" s="681" t="n">
        <v>21.2</v>
      </c>
      <c r="J10" s="9" t="n"/>
    </row>
    <row r="11" ht="18" customHeight="1" s="397">
      <c r="A11" s="33" t="n">
        <v>4</v>
      </c>
      <c r="B11" s="12" t="inlineStr">
        <is>
          <t>227461</t>
        </is>
      </c>
      <c r="C11" s="13" t="n">
        <v>41255</v>
      </c>
      <c r="D11" s="681" t="n">
        <v>29.57</v>
      </c>
      <c r="E11" s="11" t="inlineStr">
        <is>
          <t>S G L CAMBODIA</t>
        </is>
      </c>
      <c r="F11" s="10" t="inlineStr">
        <is>
          <t>100119816</t>
        </is>
      </c>
      <c r="G11" s="12" t="inlineStr">
        <is>
          <t>227461</t>
        </is>
      </c>
      <c r="H11" s="13" t="n">
        <v>41255</v>
      </c>
      <c r="I11" s="681" t="n">
        <v>29.57</v>
      </c>
      <c r="J11" s="9" t="n"/>
    </row>
    <row r="12" ht="18" customHeight="1" s="397">
      <c r="A12" s="33" t="n">
        <v>5</v>
      </c>
      <c r="B12" s="12" t="inlineStr">
        <is>
          <t>227539</t>
        </is>
      </c>
      <c r="C12" s="13" t="n">
        <v>41260</v>
      </c>
      <c r="D12" s="681" t="n">
        <v>34.24</v>
      </c>
      <c r="E12" s="11" t="inlineStr">
        <is>
          <t>S G L CAMBODIA</t>
        </is>
      </c>
      <c r="F12" s="10" t="inlineStr">
        <is>
          <t>100119816</t>
        </is>
      </c>
      <c r="G12" s="12" t="inlineStr">
        <is>
          <t>227539</t>
        </is>
      </c>
      <c r="H12" s="13" t="n">
        <v>41260</v>
      </c>
      <c r="I12" s="681" t="n">
        <v>34.24</v>
      </c>
      <c r="J12" s="9" t="n"/>
    </row>
    <row r="13" ht="18" customHeight="1" s="397">
      <c r="A13" s="33" t="n">
        <v>6</v>
      </c>
      <c r="B13" s="12" t="inlineStr">
        <is>
          <t>227543</t>
        </is>
      </c>
      <c r="C13" s="13" t="n">
        <v>41260</v>
      </c>
      <c r="D13" s="681" t="n">
        <v>8.93</v>
      </c>
      <c r="E13" s="11" t="inlineStr">
        <is>
          <t>S G L CAMBODIA</t>
        </is>
      </c>
      <c r="F13" s="10" t="inlineStr">
        <is>
          <t>100119816</t>
        </is>
      </c>
      <c r="G13" s="12" t="inlineStr">
        <is>
          <t>227543</t>
        </is>
      </c>
      <c r="H13" s="13" t="n">
        <v>41260</v>
      </c>
      <c r="I13" s="681" t="n">
        <v>8.93</v>
      </c>
      <c r="J13" s="9" t="n"/>
    </row>
    <row r="14" ht="18" customHeight="1" s="397">
      <c r="A14" s="33" t="n">
        <v>7</v>
      </c>
      <c r="B14" s="12" t="inlineStr">
        <is>
          <t>227552</t>
        </is>
      </c>
      <c r="C14" s="13" t="n">
        <v>41260</v>
      </c>
      <c r="D14" s="681" t="n">
        <v>27.62</v>
      </c>
      <c r="E14" s="11" t="inlineStr">
        <is>
          <t>S G L CAMBODIA</t>
        </is>
      </c>
      <c r="F14" s="10" t="inlineStr">
        <is>
          <t>100119816</t>
        </is>
      </c>
      <c r="G14" s="12" t="inlineStr">
        <is>
          <t>227552</t>
        </is>
      </c>
      <c r="H14" s="13" t="n">
        <v>41260</v>
      </c>
      <c r="I14" s="681" t="n">
        <v>27.62</v>
      </c>
      <c r="J14" s="9" t="n"/>
    </row>
    <row r="15" ht="18" customHeight="1" s="397">
      <c r="A15" s="33" t="n">
        <v>8</v>
      </c>
      <c r="B15" s="12" t="inlineStr">
        <is>
          <t>227583</t>
        </is>
      </c>
      <c r="C15" s="13" t="n">
        <v>41261</v>
      </c>
      <c r="D15" s="681" t="n">
        <v>57.77</v>
      </c>
      <c r="E15" s="11" t="inlineStr">
        <is>
          <t>S G L CAMBODIA</t>
        </is>
      </c>
      <c r="F15" s="10" t="inlineStr">
        <is>
          <t>100119816</t>
        </is>
      </c>
      <c r="G15" s="12" t="inlineStr">
        <is>
          <t>227583</t>
        </is>
      </c>
      <c r="H15" s="13" t="n">
        <v>41261</v>
      </c>
      <c r="I15" s="681" t="n">
        <v>57.77</v>
      </c>
      <c r="J15" s="9" t="n"/>
    </row>
    <row r="16" ht="18" customHeight="1" s="397">
      <c r="A16" s="33" t="n">
        <v>9</v>
      </c>
      <c r="B16" s="12" t="inlineStr">
        <is>
          <t>227586</t>
        </is>
      </c>
      <c r="C16" s="13" t="n">
        <v>41261</v>
      </c>
      <c r="D16" s="681" t="n">
        <v>24</v>
      </c>
      <c r="E16" s="11" t="inlineStr">
        <is>
          <t>S G L CAMBODIA</t>
        </is>
      </c>
      <c r="F16" s="10" t="inlineStr">
        <is>
          <t>100119816</t>
        </is>
      </c>
      <c r="G16" s="12" t="inlineStr">
        <is>
          <t>227586</t>
        </is>
      </c>
      <c r="H16" s="13" t="n">
        <v>41261</v>
      </c>
      <c r="I16" s="681" t="n">
        <v>24</v>
      </c>
      <c r="J16" s="9" t="n"/>
    </row>
    <row r="17" ht="18" customHeight="1" s="397">
      <c r="A17" s="33" t="n">
        <v>10</v>
      </c>
      <c r="B17" s="12" t="inlineStr">
        <is>
          <t>227605</t>
        </is>
      </c>
      <c r="C17" s="13" t="n">
        <v>41261</v>
      </c>
      <c r="D17" s="681" t="n">
        <v>28.88</v>
      </c>
      <c r="E17" s="11" t="inlineStr">
        <is>
          <t>S G L CAMBODIA</t>
        </is>
      </c>
      <c r="F17" s="10" t="inlineStr">
        <is>
          <t>100119816</t>
        </is>
      </c>
      <c r="G17" s="12" t="inlineStr">
        <is>
          <t>227605</t>
        </is>
      </c>
      <c r="H17" s="13" t="n">
        <v>41261</v>
      </c>
      <c r="I17" s="681" t="n">
        <v>28.88</v>
      </c>
      <c r="J17" s="9" t="n"/>
    </row>
    <row r="18" ht="18" customHeight="1" s="397">
      <c r="A18" s="33" t="n">
        <v>11</v>
      </c>
      <c r="B18" s="12" t="inlineStr">
        <is>
          <t>227826</t>
        </is>
      </c>
      <c r="C18" s="13" t="n">
        <v>41274</v>
      </c>
      <c r="D18" s="681" t="n">
        <v>24</v>
      </c>
      <c r="E18" s="11" t="inlineStr">
        <is>
          <t>S G L CAMBODIA</t>
        </is>
      </c>
      <c r="F18" s="10" t="inlineStr">
        <is>
          <t>100119816</t>
        </is>
      </c>
      <c r="G18" s="12" t="inlineStr">
        <is>
          <t>227826</t>
        </is>
      </c>
      <c r="H18" s="13" t="n">
        <v>41274</v>
      </c>
      <c r="I18" s="681" t="n">
        <v>24</v>
      </c>
      <c r="J18" s="9" t="n"/>
    </row>
    <row r="19" ht="18" customHeight="1" s="397">
      <c r="A19" s="33" t="n">
        <v>12</v>
      </c>
      <c r="B19" s="12" t="inlineStr">
        <is>
          <t>227862</t>
        </is>
      </c>
      <c r="C19" s="13" t="n">
        <v>41274</v>
      </c>
      <c r="D19" s="681" t="n">
        <v>36.26</v>
      </c>
      <c r="E19" s="11" t="inlineStr">
        <is>
          <t>S G L CAMBODIA</t>
        </is>
      </c>
      <c r="F19" s="10" t="inlineStr">
        <is>
          <t>100119816</t>
        </is>
      </c>
      <c r="G19" s="12" t="inlineStr">
        <is>
          <t>227862</t>
        </is>
      </c>
      <c r="H19" s="13" t="n">
        <v>41274</v>
      </c>
      <c r="I19" s="681" t="n">
        <v>36.26</v>
      </c>
      <c r="J19" s="9" t="n"/>
    </row>
    <row r="20" ht="18" customHeight="1" s="397">
      <c r="A20" s="33" t="n">
        <v>13</v>
      </c>
      <c r="B20" s="12" t="inlineStr">
        <is>
          <t>226904</t>
        </is>
      </c>
      <c r="C20" s="13" t="n">
        <v>41225</v>
      </c>
      <c r="D20" s="681" t="n">
        <v>24.64</v>
      </c>
      <c r="E20" s="11" t="inlineStr">
        <is>
          <t>S G L CAMBODIA</t>
        </is>
      </c>
      <c r="F20" s="10" t="inlineStr">
        <is>
          <t>100119816</t>
        </is>
      </c>
      <c r="G20" s="12" t="inlineStr">
        <is>
          <t>226904</t>
        </is>
      </c>
      <c r="H20" s="13" t="n">
        <v>41225</v>
      </c>
      <c r="I20" s="681" t="n">
        <v>24.64</v>
      </c>
      <c r="J20" s="9" t="n"/>
    </row>
    <row r="21" ht="18" customHeight="1" s="397">
      <c r="A21" s="33" t="n">
        <v>14</v>
      </c>
      <c r="B21" s="12" t="inlineStr">
        <is>
          <t>227107</t>
        </is>
      </c>
      <c r="C21" s="13" t="n">
        <v>41237</v>
      </c>
      <c r="D21" s="681" t="n">
        <v>49.82</v>
      </c>
      <c r="E21" s="11" t="inlineStr">
        <is>
          <t>S G L CAMBODIA</t>
        </is>
      </c>
      <c r="F21" s="10" t="inlineStr">
        <is>
          <t>100119816</t>
        </is>
      </c>
      <c r="G21" s="12" t="inlineStr">
        <is>
          <t>227107</t>
        </is>
      </c>
      <c r="H21" s="13" t="n">
        <v>41237</v>
      </c>
      <c r="I21" s="681" t="n">
        <v>49.82</v>
      </c>
      <c r="J21" s="9" t="n"/>
    </row>
    <row r="22" ht="18" customHeight="1" s="397">
      <c r="A22" s="33" t="n">
        <v>15</v>
      </c>
      <c r="B22" s="12" t="inlineStr">
        <is>
          <t>226301</t>
        </is>
      </c>
      <c r="C22" s="13" t="n">
        <v>41190</v>
      </c>
      <c r="D22" s="681" t="n">
        <v>26.3</v>
      </c>
      <c r="E22" s="11" t="inlineStr">
        <is>
          <t>S G L CAMBODIA</t>
        </is>
      </c>
      <c r="F22" s="10" t="inlineStr">
        <is>
          <t>100119816</t>
        </is>
      </c>
      <c r="G22" s="12" t="inlineStr">
        <is>
          <t>226301</t>
        </is>
      </c>
      <c r="H22" s="13" t="n">
        <v>41190</v>
      </c>
      <c r="I22" s="681" t="n">
        <v>26.3</v>
      </c>
      <c r="J22" s="9" t="n"/>
    </row>
    <row r="23" ht="18" customHeight="1" s="397">
      <c r="A23" s="33" t="n">
        <v>16</v>
      </c>
      <c r="B23" s="12" t="inlineStr">
        <is>
          <t>226324</t>
        </is>
      </c>
      <c r="C23" s="13" t="n">
        <v>41190</v>
      </c>
      <c r="D23" s="681" t="n">
        <v>26.01</v>
      </c>
      <c r="E23" s="11" t="inlineStr">
        <is>
          <t>S G L CAMBODIA</t>
        </is>
      </c>
      <c r="F23" s="10" t="inlineStr">
        <is>
          <t>100119816</t>
        </is>
      </c>
      <c r="G23" s="12" t="inlineStr">
        <is>
          <t>226324</t>
        </is>
      </c>
      <c r="H23" s="13" t="n">
        <v>41190</v>
      </c>
      <c r="I23" s="681" t="n">
        <v>26.01</v>
      </c>
      <c r="J23" s="9" t="n"/>
    </row>
    <row r="24" ht="18" customHeight="1" s="397">
      <c r="A24" s="33" t="n">
        <v>18</v>
      </c>
      <c r="B24" s="12" t="inlineStr">
        <is>
          <t>226428</t>
        </is>
      </c>
      <c r="C24" s="13" t="n">
        <v>41194</v>
      </c>
      <c r="D24" s="681" t="n">
        <v>31.78</v>
      </c>
      <c r="E24" s="11" t="inlineStr">
        <is>
          <t>S G L CAMBODIA</t>
        </is>
      </c>
      <c r="F24" s="10" t="inlineStr">
        <is>
          <t>100119816</t>
        </is>
      </c>
      <c r="G24" s="12" t="inlineStr">
        <is>
          <t>226428</t>
        </is>
      </c>
      <c r="H24" s="13" t="n">
        <v>41194</v>
      </c>
      <c r="I24" s="681" t="n">
        <v>31.78</v>
      </c>
      <c r="J24" s="9" t="n"/>
    </row>
    <row r="25" ht="18" customHeight="1" s="397">
      <c r="A25" s="33" t="n">
        <v>19</v>
      </c>
      <c r="B25" s="12" t="inlineStr">
        <is>
          <t>226446</t>
        </is>
      </c>
      <c r="C25" s="13" t="n">
        <v>41194</v>
      </c>
      <c r="D25" s="681" t="n">
        <v>5</v>
      </c>
      <c r="E25" s="11" t="inlineStr">
        <is>
          <t>S G L CAMBODIA</t>
        </is>
      </c>
      <c r="F25" s="10" t="inlineStr">
        <is>
          <t>100119816</t>
        </is>
      </c>
      <c r="G25" s="12" t="inlineStr">
        <is>
          <t>226446</t>
        </is>
      </c>
      <c r="H25" s="13" t="n">
        <v>41194</v>
      </c>
      <c r="I25" s="681" t="n">
        <v>5</v>
      </c>
      <c r="J25" s="9" t="n"/>
    </row>
    <row r="26" ht="18" customHeight="1" s="397">
      <c r="A26" s="33" t="n">
        <v>20</v>
      </c>
      <c r="B26" s="12" t="inlineStr">
        <is>
          <t>226552</t>
        </is>
      </c>
      <c r="C26" s="13" t="n">
        <v>41204</v>
      </c>
      <c r="D26" s="681" t="n">
        <v>22.41</v>
      </c>
      <c r="E26" s="11" t="inlineStr">
        <is>
          <t>S G L CAMBODIA</t>
        </is>
      </c>
      <c r="F26" s="10" t="inlineStr">
        <is>
          <t>100119816</t>
        </is>
      </c>
      <c r="G26" s="12" t="inlineStr">
        <is>
          <t>226552</t>
        </is>
      </c>
      <c r="H26" s="13" t="n">
        <v>41204</v>
      </c>
      <c r="I26" s="681" t="n">
        <v>22.41</v>
      </c>
      <c r="J26" s="9" t="n"/>
    </row>
    <row r="27" ht="18" customHeight="1" s="397">
      <c r="A27" s="33" t="n">
        <v>21</v>
      </c>
      <c r="B27" s="12" t="inlineStr">
        <is>
          <t>226571</t>
        </is>
      </c>
      <c r="C27" s="13" t="n">
        <v>41204</v>
      </c>
      <c r="D27" s="681" t="n">
        <v>21.7</v>
      </c>
      <c r="E27" s="11" t="inlineStr">
        <is>
          <t>S G L CAMBODIA</t>
        </is>
      </c>
      <c r="F27" s="10" t="inlineStr">
        <is>
          <t>100119816</t>
        </is>
      </c>
      <c r="G27" s="12" t="inlineStr">
        <is>
          <t>226571</t>
        </is>
      </c>
      <c r="H27" s="13" t="n">
        <v>41204</v>
      </c>
      <c r="I27" s="681" t="n">
        <v>21.7</v>
      </c>
      <c r="J27" s="9" t="n"/>
    </row>
    <row r="28" ht="18" customHeight="1" s="397">
      <c r="A28" s="33" t="n">
        <v>22</v>
      </c>
      <c r="B28" s="12" t="inlineStr">
        <is>
          <t>226648</t>
        </is>
      </c>
      <c r="C28" s="13" t="n">
        <v>41212</v>
      </c>
      <c r="D28" s="681" t="n">
        <v>25.12</v>
      </c>
      <c r="E28" s="11" t="inlineStr">
        <is>
          <t>S G L CAMBODIA</t>
        </is>
      </c>
      <c r="F28" s="10" t="inlineStr">
        <is>
          <t>100119816</t>
        </is>
      </c>
      <c r="G28" s="12" t="inlineStr">
        <is>
          <t>226648</t>
        </is>
      </c>
      <c r="H28" s="13" t="n">
        <v>41212</v>
      </c>
      <c r="I28" s="681" t="n">
        <v>25.12</v>
      </c>
      <c r="J28" s="9" t="n"/>
    </row>
    <row r="29" ht="18" customHeight="1" s="397">
      <c r="A29" s="33" t="n">
        <v>23</v>
      </c>
      <c r="B29" s="12" t="inlineStr">
        <is>
          <t>226720</t>
        </is>
      </c>
      <c r="C29" s="13" t="n">
        <v>41212</v>
      </c>
      <c r="D29" s="681" t="n">
        <v>33.19</v>
      </c>
      <c r="E29" s="11" t="inlineStr">
        <is>
          <t>S G L CAMBODIA</t>
        </is>
      </c>
      <c r="F29" s="10" t="inlineStr">
        <is>
          <t>100119816</t>
        </is>
      </c>
      <c r="G29" s="12" t="inlineStr">
        <is>
          <t>226720</t>
        </is>
      </c>
      <c r="H29" s="13" t="n">
        <v>41212</v>
      </c>
      <c r="I29" s="681" t="n">
        <v>33.19</v>
      </c>
      <c r="J29" s="9" t="n"/>
    </row>
    <row r="30" ht="18" customHeight="1" s="397">
      <c r="A30" s="33" t="n">
        <v>24</v>
      </c>
      <c r="B30" s="12" t="inlineStr">
        <is>
          <t>225606</t>
        </is>
      </c>
      <c r="C30" s="13" t="n">
        <v>41156</v>
      </c>
      <c r="D30" s="681" t="n">
        <v>15.08</v>
      </c>
      <c r="E30" s="11" t="inlineStr">
        <is>
          <t>S G L CAMBODIA</t>
        </is>
      </c>
      <c r="F30" s="10" t="inlineStr">
        <is>
          <t>100119816</t>
        </is>
      </c>
      <c r="G30" s="12" t="inlineStr">
        <is>
          <t>225606</t>
        </is>
      </c>
      <c r="H30" s="13" t="n">
        <v>41156</v>
      </c>
      <c r="I30" s="681" t="n">
        <v>15.08</v>
      </c>
      <c r="J30" s="9" t="n"/>
    </row>
    <row r="31" ht="18" customHeight="1" s="397">
      <c r="A31" s="33" t="n">
        <v>25</v>
      </c>
      <c r="B31" s="12" t="inlineStr">
        <is>
          <t>225707</t>
        </is>
      </c>
      <c r="C31" s="13" t="n">
        <v>41163</v>
      </c>
      <c r="D31" s="681" t="n">
        <v>9.619999999999999</v>
      </c>
      <c r="E31" s="11" t="inlineStr">
        <is>
          <t>S G L CAMBODIA</t>
        </is>
      </c>
      <c r="F31" s="10" t="inlineStr">
        <is>
          <t>100119816</t>
        </is>
      </c>
      <c r="G31" s="12" t="inlineStr">
        <is>
          <t>225707</t>
        </is>
      </c>
      <c r="H31" s="13" t="n">
        <v>41163</v>
      </c>
      <c r="I31" s="681" t="n">
        <v>9.619999999999999</v>
      </c>
      <c r="J31" s="9" t="n"/>
    </row>
    <row r="32" ht="18" customHeight="1" s="397">
      <c r="A32" s="33" t="n">
        <v>26</v>
      </c>
      <c r="B32" s="12" t="inlineStr">
        <is>
          <t>225805</t>
        </is>
      </c>
      <c r="C32" s="13" t="n">
        <v>41164</v>
      </c>
      <c r="D32" s="681" t="n">
        <v>9.24</v>
      </c>
      <c r="E32" s="11" t="inlineStr">
        <is>
          <t>S G L CAMBODIA</t>
        </is>
      </c>
      <c r="F32" s="10" t="inlineStr">
        <is>
          <t>100119816</t>
        </is>
      </c>
      <c r="G32" s="12" t="inlineStr">
        <is>
          <t>225805</t>
        </is>
      </c>
      <c r="H32" s="13" t="n">
        <v>41164</v>
      </c>
      <c r="I32" s="681" t="n">
        <v>9.24</v>
      </c>
      <c r="J32" s="9" t="n"/>
    </row>
    <row r="33" ht="18" customHeight="1" s="397">
      <c r="A33" s="33" t="n">
        <v>27</v>
      </c>
      <c r="B33" s="12" t="inlineStr">
        <is>
          <t>225895</t>
        </is>
      </c>
      <c r="C33" s="13" t="n">
        <v>41170</v>
      </c>
      <c r="D33" s="681" t="n">
        <v>26.71</v>
      </c>
      <c r="E33" s="11" t="inlineStr">
        <is>
          <t>S G L CAMBODIA</t>
        </is>
      </c>
      <c r="F33" s="10" t="inlineStr">
        <is>
          <t>100119816</t>
        </is>
      </c>
      <c r="G33" s="12" t="inlineStr">
        <is>
          <t>225895</t>
        </is>
      </c>
      <c r="H33" s="13" t="n">
        <v>41170</v>
      </c>
      <c r="I33" s="681" t="n">
        <v>26.71</v>
      </c>
      <c r="J33" s="9" t="n"/>
    </row>
    <row r="34" ht="18" customHeight="1" s="397">
      <c r="A34" s="33" t="n">
        <v>28</v>
      </c>
      <c r="B34" s="12" t="inlineStr">
        <is>
          <t>225929</t>
        </is>
      </c>
      <c r="C34" s="13" t="n">
        <v>41170</v>
      </c>
      <c r="D34" s="681" t="n">
        <v>34.48</v>
      </c>
      <c r="E34" s="11" t="inlineStr">
        <is>
          <t>S G L CAMBODIA</t>
        </is>
      </c>
      <c r="F34" s="10" t="inlineStr">
        <is>
          <t>100119816</t>
        </is>
      </c>
      <c r="G34" s="12" t="inlineStr">
        <is>
          <t>225929</t>
        </is>
      </c>
      <c r="H34" s="13" t="n">
        <v>41170</v>
      </c>
      <c r="I34" s="681" t="n">
        <v>34.48</v>
      </c>
      <c r="J34" s="9" t="n"/>
    </row>
    <row r="35" ht="18" customHeight="1" s="397">
      <c r="A35" s="33" t="n">
        <v>29</v>
      </c>
      <c r="B35" s="12" t="inlineStr">
        <is>
          <t>226064</t>
        </is>
      </c>
      <c r="C35" s="13" t="n">
        <v>41177</v>
      </c>
      <c r="D35" s="681" t="n">
        <v>48.74</v>
      </c>
      <c r="E35" s="11" t="inlineStr">
        <is>
          <t>S G L CAMBODIA</t>
        </is>
      </c>
      <c r="F35" s="10" t="inlineStr">
        <is>
          <t>100119816</t>
        </is>
      </c>
      <c r="G35" s="12" t="inlineStr">
        <is>
          <t>226064</t>
        </is>
      </c>
      <c r="H35" s="13" t="n">
        <v>41177</v>
      </c>
      <c r="I35" s="681" t="n">
        <v>48.74</v>
      </c>
      <c r="J35" s="9" t="n"/>
    </row>
    <row r="36" ht="18" customHeight="1" s="397">
      <c r="A36" s="33" t="n">
        <v>30</v>
      </c>
      <c r="B36" s="12" t="inlineStr">
        <is>
          <t>226090</t>
        </is>
      </c>
      <c r="C36" s="13" t="n">
        <v>41178</v>
      </c>
      <c r="D36" s="681" t="n">
        <v>23.06</v>
      </c>
      <c r="E36" s="11" t="inlineStr">
        <is>
          <t>S G L CAMBODIA</t>
        </is>
      </c>
      <c r="F36" s="10" t="inlineStr">
        <is>
          <t>100119816</t>
        </is>
      </c>
      <c r="G36" s="12" t="inlineStr">
        <is>
          <t>226090</t>
        </is>
      </c>
      <c r="H36" s="13" t="n">
        <v>41178</v>
      </c>
      <c r="I36" s="681" t="n">
        <v>23.06</v>
      </c>
      <c r="J36" s="9" t="n"/>
    </row>
    <row r="37" ht="18" customHeight="1" s="397">
      <c r="A37" s="33" t="n">
        <v>31</v>
      </c>
      <c r="B37" s="12" t="inlineStr">
        <is>
          <t>226161</t>
        </is>
      </c>
      <c r="C37" s="13" t="n">
        <v>41182</v>
      </c>
      <c r="D37" s="681" t="n">
        <v>22.2</v>
      </c>
      <c r="E37" s="11" t="inlineStr">
        <is>
          <t>S G L CAMBODIA</t>
        </is>
      </c>
      <c r="F37" s="10" t="inlineStr">
        <is>
          <t>100119816</t>
        </is>
      </c>
      <c r="G37" s="12" t="inlineStr">
        <is>
          <t>226161</t>
        </is>
      </c>
      <c r="H37" s="13" t="n">
        <v>41182</v>
      </c>
      <c r="I37" s="681" t="n">
        <v>22.2</v>
      </c>
      <c r="J37" s="9" t="n"/>
    </row>
    <row r="38" ht="18" customHeight="1" s="397">
      <c r="A38" s="33" t="n">
        <v>32</v>
      </c>
      <c r="B38" s="12" t="inlineStr">
        <is>
          <t>226168</t>
        </is>
      </c>
      <c r="C38" s="13" t="n">
        <v>41182</v>
      </c>
      <c r="D38" s="681" t="n">
        <v>2.5</v>
      </c>
      <c r="E38" s="11" t="inlineStr">
        <is>
          <t>S G L CAMBODIA</t>
        </is>
      </c>
      <c r="F38" s="10" t="inlineStr">
        <is>
          <t>100119816</t>
        </is>
      </c>
      <c r="G38" s="12" t="inlineStr">
        <is>
          <t>226168</t>
        </is>
      </c>
      <c r="H38" s="13" t="n">
        <v>41182</v>
      </c>
      <c r="I38" s="681" t="n">
        <v>2.5</v>
      </c>
      <c r="J38" s="9" t="n"/>
    </row>
    <row r="39" ht="18" customHeight="1" s="397">
      <c r="A39" s="33" t="n">
        <v>33</v>
      </c>
      <c r="B39" s="12" t="inlineStr">
        <is>
          <t>226176</t>
        </is>
      </c>
      <c r="C39" s="13" t="n">
        <v>41182</v>
      </c>
      <c r="D39" s="681" t="n">
        <v>18.09</v>
      </c>
      <c r="E39" s="11" t="inlineStr">
        <is>
          <t>S G L CAMBODIA</t>
        </is>
      </c>
      <c r="F39" s="10" t="inlineStr">
        <is>
          <t>100119816</t>
        </is>
      </c>
      <c r="G39" s="12" t="inlineStr">
        <is>
          <t>226176</t>
        </is>
      </c>
      <c r="H39" s="13" t="n">
        <v>41182</v>
      </c>
      <c r="I39" s="681" t="n">
        <v>18.09</v>
      </c>
      <c r="J39" s="9" t="n"/>
    </row>
    <row r="40" ht="18" customHeight="1" s="397">
      <c r="A40" s="33" t="n">
        <v>34</v>
      </c>
      <c r="B40" s="12" t="inlineStr">
        <is>
          <t>224986</t>
        </is>
      </c>
      <c r="C40" s="13" t="n">
        <v>41128</v>
      </c>
      <c r="D40" s="681" t="n">
        <v>2.7</v>
      </c>
      <c r="E40" s="11" t="inlineStr">
        <is>
          <t>S G L CAMBODIA</t>
        </is>
      </c>
      <c r="F40" s="10" t="inlineStr">
        <is>
          <t>100119816</t>
        </is>
      </c>
      <c r="G40" s="12" t="inlineStr">
        <is>
          <t>224986</t>
        </is>
      </c>
      <c r="H40" s="13" t="n">
        <v>41128</v>
      </c>
      <c r="I40" s="681" t="n">
        <v>2.7</v>
      </c>
      <c r="J40" s="9" t="n"/>
    </row>
    <row r="41" ht="18" customHeight="1" s="397">
      <c r="A41" s="33" t="n">
        <v>35</v>
      </c>
      <c r="B41" s="12" t="inlineStr">
        <is>
          <t>225135</t>
        </is>
      </c>
      <c r="C41" s="13" t="n">
        <v>41135</v>
      </c>
      <c r="D41" s="681" t="n">
        <v>3.87</v>
      </c>
      <c r="E41" s="11" t="inlineStr">
        <is>
          <t>S G L CAMBODIA</t>
        </is>
      </c>
      <c r="F41" s="10" t="inlineStr">
        <is>
          <t>100119816</t>
        </is>
      </c>
      <c r="G41" s="12" t="inlineStr">
        <is>
          <t>225135</t>
        </is>
      </c>
      <c r="H41" s="13" t="n">
        <v>41135</v>
      </c>
      <c r="I41" s="681" t="n">
        <v>3.87</v>
      </c>
      <c r="J41" s="9" t="n"/>
    </row>
    <row r="42" ht="18" customHeight="1" s="397">
      <c r="A42" s="33" t="n">
        <v>36</v>
      </c>
      <c r="B42" s="12" t="inlineStr">
        <is>
          <t>225313</t>
        </is>
      </c>
      <c r="C42" s="13" t="n">
        <v>41142</v>
      </c>
      <c r="D42" s="681" t="n">
        <v>11.58</v>
      </c>
      <c r="E42" s="11" t="inlineStr">
        <is>
          <t>S G L CAMBODIA</t>
        </is>
      </c>
      <c r="F42" s="10" t="inlineStr">
        <is>
          <t>100119816</t>
        </is>
      </c>
      <c r="G42" s="12" t="inlineStr">
        <is>
          <t>225313</t>
        </is>
      </c>
      <c r="H42" s="13" t="n">
        <v>41142</v>
      </c>
      <c r="I42" s="681" t="n">
        <v>11.58</v>
      </c>
      <c r="J42" s="9" t="n"/>
    </row>
    <row r="43" ht="18" customHeight="1" s="397">
      <c r="A43" s="33" t="n">
        <v>37</v>
      </c>
      <c r="B43" s="12" t="inlineStr">
        <is>
          <t>224307</t>
        </is>
      </c>
      <c r="C43" s="13" t="n">
        <v>41100</v>
      </c>
      <c r="D43" s="681" t="n">
        <v>5.09</v>
      </c>
      <c r="E43" s="11" t="inlineStr">
        <is>
          <t>S G L CAMBODIA</t>
        </is>
      </c>
      <c r="F43" s="10" t="inlineStr">
        <is>
          <t>100119816</t>
        </is>
      </c>
      <c r="G43" s="12" t="inlineStr">
        <is>
          <t>224307</t>
        </is>
      </c>
      <c r="H43" s="13" t="n">
        <v>41100</v>
      </c>
      <c r="I43" s="681" t="n">
        <v>5.09</v>
      </c>
      <c r="J43" s="9" t="n"/>
    </row>
    <row r="44" ht="18" customHeight="1" s="397">
      <c r="A44" s="33" t="n">
        <v>38</v>
      </c>
      <c r="B44" s="12" t="inlineStr">
        <is>
          <t>224464</t>
        </is>
      </c>
      <c r="C44" s="13" t="n">
        <v>41106</v>
      </c>
      <c r="D44" s="681" t="n">
        <v>8.140000000000001</v>
      </c>
      <c r="E44" s="11" t="inlineStr">
        <is>
          <t>S G L CAMBODIA</t>
        </is>
      </c>
      <c r="F44" s="10" t="inlineStr">
        <is>
          <t>100119816</t>
        </is>
      </c>
      <c r="G44" s="12" t="inlineStr">
        <is>
          <t>224464</t>
        </is>
      </c>
      <c r="H44" s="13" t="n">
        <v>41106</v>
      </c>
      <c r="I44" s="681" t="n">
        <v>8.140000000000001</v>
      </c>
      <c r="J44" s="9" t="n"/>
    </row>
    <row r="45" ht="18" customHeight="1" s="397">
      <c r="A45" s="33" t="n">
        <v>39</v>
      </c>
      <c r="B45" s="12" t="inlineStr">
        <is>
          <t>224506</t>
        </is>
      </c>
      <c r="C45" s="13" t="n">
        <v>41107</v>
      </c>
      <c r="D45" s="681" t="n">
        <v>21.57</v>
      </c>
      <c r="E45" s="11" t="inlineStr">
        <is>
          <t>S G L CAMBODIA</t>
        </is>
      </c>
      <c r="F45" s="10" t="inlineStr">
        <is>
          <t>100119816</t>
        </is>
      </c>
      <c r="G45" s="12" t="inlineStr">
        <is>
          <t>224506</t>
        </is>
      </c>
      <c r="H45" s="13" t="n">
        <v>41107</v>
      </c>
      <c r="I45" s="681" t="n">
        <v>21.57</v>
      </c>
      <c r="J45" s="9" t="n"/>
    </row>
    <row r="46" ht="18" customHeight="1" s="397">
      <c r="A46" s="33" t="n">
        <v>40</v>
      </c>
      <c r="B46" s="12" t="inlineStr">
        <is>
          <t>224593</t>
        </is>
      </c>
      <c r="C46" s="13" t="n">
        <v>41113</v>
      </c>
      <c r="D46" s="681" t="n">
        <v>8.869999999999999</v>
      </c>
      <c r="E46" s="11" t="inlineStr">
        <is>
          <t>S G L CAMBODIA</t>
        </is>
      </c>
      <c r="F46" s="10" t="inlineStr">
        <is>
          <t>100119816</t>
        </is>
      </c>
      <c r="G46" s="12" t="inlineStr">
        <is>
          <t>224593</t>
        </is>
      </c>
      <c r="H46" s="13" t="n">
        <v>41113</v>
      </c>
      <c r="I46" s="681" t="n">
        <v>8.869999999999999</v>
      </c>
      <c r="J46" s="9" t="n"/>
    </row>
    <row r="47" ht="18" customHeight="1" s="397">
      <c r="A47" s="33" t="n">
        <v>41</v>
      </c>
      <c r="B47" s="12" t="inlineStr">
        <is>
          <t>224600</t>
        </is>
      </c>
      <c r="C47" s="13" t="n">
        <v>41113</v>
      </c>
      <c r="D47" s="681" t="n">
        <v>3.88</v>
      </c>
      <c r="E47" s="11" t="inlineStr">
        <is>
          <t>S G L CAMBODIA</t>
        </is>
      </c>
      <c r="F47" s="10" t="inlineStr">
        <is>
          <t>100119816</t>
        </is>
      </c>
      <c r="G47" s="12" t="inlineStr">
        <is>
          <t>224600</t>
        </is>
      </c>
      <c r="H47" s="13" t="n">
        <v>41113</v>
      </c>
      <c r="I47" s="681" t="n">
        <v>3.88</v>
      </c>
      <c r="J47" s="9" t="n"/>
    </row>
    <row r="48" ht="18" customHeight="1" s="397">
      <c r="A48" s="33" t="n">
        <v>42</v>
      </c>
      <c r="B48" s="12" t="inlineStr">
        <is>
          <t>224808</t>
        </is>
      </c>
      <c r="C48" s="13" t="n">
        <v>41121</v>
      </c>
      <c r="D48" s="681" t="n">
        <v>23.99</v>
      </c>
      <c r="E48" s="11" t="inlineStr">
        <is>
          <t>S G L CAMBODIA</t>
        </is>
      </c>
      <c r="F48" s="10" t="inlineStr">
        <is>
          <t>100119816</t>
        </is>
      </c>
      <c r="G48" s="12" t="inlineStr">
        <is>
          <t>224808</t>
        </is>
      </c>
      <c r="H48" s="13" t="n">
        <v>41121</v>
      </c>
      <c r="I48" s="681" t="n">
        <v>23.99</v>
      </c>
      <c r="J48" s="9" t="n"/>
    </row>
    <row r="49" ht="18" customHeight="1" s="397">
      <c r="A49" s="33" t="n">
        <v>43</v>
      </c>
      <c r="B49" s="17" t="inlineStr">
        <is>
          <t>227722</t>
        </is>
      </c>
      <c r="C49" s="18" t="n">
        <v>41267</v>
      </c>
      <c r="D49" s="682" t="n">
        <v>86.04000000000001</v>
      </c>
      <c r="E49" s="11" t="inlineStr">
        <is>
          <t>S G L CAMBODIA</t>
        </is>
      </c>
      <c r="F49" s="10" t="inlineStr">
        <is>
          <t>100119816</t>
        </is>
      </c>
      <c r="G49" s="17" t="inlineStr">
        <is>
          <t>227722</t>
        </is>
      </c>
      <c r="H49" s="18" t="n">
        <v>41267</v>
      </c>
      <c r="I49" s="682" t="n">
        <v>86.04000000000001</v>
      </c>
      <c r="J49" s="9" t="n"/>
    </row>
    <row r="50" ht="18" customHeight="1" s="397">
      <c r="A50" s="33" t="n">
        <v>44</v>
      </c>
      <c r="B50" s="17" t="inlineStr">
        <is>
          <t>227769</t>
        </is>
      </c>
      <c r="C50" s="18" t="n">
        <v>41268</v>
      </c>
      <c r="D50" s="682" t="n">
        <v>21.2</v>
      </c>
      <c r="E50" s="11" t="inlineStr">
        <is>
          <t>S G L CAMBODIA</t>
        </is>
      </c>
      <c r="F50" s="10" t="inlineStr">
        <is>
          <t>100119816</t>
        </is>
      </c>
      <c r="G50" s="17" t="inlineStr">
        <is>
          <t>227769</t>
        </is>
      </c>
      <c r="H50" s="18" t="n">
        <v>41268</v>
      </c>
      <c r="I50" s="682" t="n">
        <v>21.2</v>
      </c>
      <c r="J50" s="9" t="n"/>
    </row>
    <row r="51" ht="18" customHeight="1" s="397">
      <c r="A51" s="33" t="n">
        <v>45</v>
      </c>
      <c r="B51" s="17" t="inlineStr">
        <is>
          <t>328007</t>
        </is>
      </c>
      <c r="C51" s="18" t="n">
        <v>41281</v>
      </c>
      <c r="D51" s="682" t="n">
        <v>23.7</v>
      </c>
      <c r="E51" s="11" t="inlineStr">
        <is>
          <t>S G L CAMBODIA</t>
        </is>
      </c>
      <c r="F51" s="10" t="inlineStr">
        <is>
          <t>100119816</t>
        </is>
      </c>
      <c r="G51" s="17" t="inlineStr">
        <is>
          <t>328007</t>
        </is>
      </c>
      <c r="H51" s="18" t="n">
        <v>41281</v>
      </c>
      <c r="I51" s="682" t="n">
        <v>23.7</v>
      </c>
      <c r="J51" s="9" t="n"/>
    </row>
    <row r="52" ht="18" customHeight="1" s="397">
      <c r="A52" s="33" t="n">
        <v>46</v>
      </c>
      <c r="B52" s="17" t="inlineStr">
        <is>
          <t>327989</t>
        </is>
      </c>
      <c r="C52" s="18" t="n">
        <v>41281</v>
      </c>
      <c r="D52" s="682" t="n">
        <v>28.45</v>
      </c>
      <c r="E52" s="11" t="inlineStr">
        <is>
          <t>S G L CAMBODIA</t>
        </is>
      </c>
      <c r="F52" s="10" t="inlineStr">
        <is>
          <t>100119816</t>
        </is>
      </c>
      <c r="G52" s="17" t="inlineStr">
        <is>
          <t>327989</t>
        </is>
      </c>
      <c r="H52" s="18" t="n">
        <v>41281</v>
      </c>
      <c r="I52" s="682" t="n">
        <v>28.45</v>
      </c>
      <c r="J52" s="9" t="n"/>
    </row>
    <row r="53" ht="18" customHeight="1" s="397">
      <c r="A53" s="33" t="n">
        <v>47</v>
      </c>
      <c r="B53" s="17" t="inlineStr">
        <is>
          <t>328007</t>
        </is>
      </c>
      <c r="C53" s="18" t="n">
        <v>41281</v>
      </c>
      <c r="D53" s="682" t="n">
        <v>23.7</v>
      </c>
      <c r="E53" s="11" t="inlineStr">
        <is>
          <t>S G L CAMBODIA</t>
        </is>
      </c>
      <c r="F53" s="10" t="inlineStr">
        <is>
          <t>100119816</t>
        </is>
      </c>
      <c r="G53" s="17" t="inlineStr">
        <is>
          <t>328007</t>
        </is>
      </c>
      <c r="H53" s="18" t="n">
        <v>41281</v>
      </c>
      <c r="I53" s="682" t="n">
        <v>23.7</v>
      </c>
      <c r="J53" s="9" t="n"/>
    </row>
    <row r="54" ht="18" customHeight="1" s="397">
      <c r="A54" s="33" t="n">
        <v>48</v>
      </c>
      <c r="B54" s="17" t="inlineStr">
        <is>
          <t>328028</t>
        </is>
      </c>
      <c r="C54" s="18" t="n">
        <v>41282</v>
      </c>
      <c r="D54" s="682" t="n">
        <v>28.76</v>
      </c>
      <c r="E54" s="11" t="inlineStr">
        <is>
          <t>S G L CAMBODIA</t>
        </is>
      </c>
      <c r="F54" s="10" t="inlineStr">
        <is>
          <t>100119816</t>
        </is>
      </c>
      <c r="G54" s="17" t="inlineStr">
        <is>
          <t>328028</t>
        </is>
      </c>
      <c r="H54" s="18" t="n">
        <v>41282</v>
      </c>
      <c r="I54" s="682" t="n">
        <v>28.76</v>
      </c>
      <c r="J54" s="9" t="n"/>
    </row>
    <row r="55" ht="18" customHeight="1" s="397">
      <c r="A55" s="33" t="n">
        <v>49</v>
      </c>
      <c r="B55" s="17" t="inlineStr">
        <is>
          <t>328148</t>
        </is>
      </c>
      <c r="C55" s="18" t="n">
        <v>41289</v>
      </c>
      <c r="D55" s="682" t="n">
        <v>27.42</v>
      </c>
      <c r="E55" s="11" t="inlineStr">
        <is>
          <t>S G L CAMBODIA</t>
        </is>
      </c>
      <c r="F55" s="10" t="inlineStr">
        <is>
          <t>100119816</t>
        </is>
      </c>
      <c r="G55" s="17" t="inlineStr">
        <is>
          <t>328148</t>
        </is>
      </c>
      <c r="H55" s="18" t="n">
        <v>41289</v>
      </c>
      <c r="I55" s="682" t="n">
        <v>27.42</v>
      </c>
      <c r="J55" s="9" t="n"/>
    </row>
    <row r="56" ht="18" customHeight="1" s="397">
      <c r="A56" s="33" t="n">
        <v>50</v>
      </c>
      <c r="B56" s="17" t="inlineStr">
        <is>
          <t>328162</t>
        </is>
      </c>
      <c r="C56" s="18" t="n">
        <v>41289</v>
      </c>
      <c r="D56" s="682" t="n">
        <v>21.46</v>
      </c>
      <c r="E56" s="11" t="inlineStr">
        <is>
          <t>S G L CAMBODIA</t>
        </is>
      </c>
      <c r="F56" s="10" t="inlineStr">
        <is>
          <t>100119816</t>
        </is>
      </c>
      <c r="G56" s="17" t="inlineStr">
        <is>
          <t>328162</t>
        </is>
      </c>
      <c r="H56" s="18" t="n">
        <v>41289</v>
      </c>
      <c r="I56" s="682" t="n">
        <v>21.46</v>
      </c>
      <c r="J56" s="9" t="n"/>
    </row>
    <row r="57" ht="18" customHeight="1" s="397">
      <c r="A57" s="33" t="n">
        <v>51</v>
      </c>
      <c r="B57" s="17" t="inlineStr">
        <is>
          <t>328177</t>
        </is>
      </c>
      <c r="C57" s="18" t="n">
        <v>41289</v>
      </c>
      <c r="D57" s="682" t="n">
        <v>35.64</v>
      </c>
      <c r="E57" s="11" t="inlineStr">
        <is>
          <t>S G L CAMBODIA</t>
        </is>
      </c>
      <c r="F57" s="10" t="inlineStr">
        <is>
          <t>100119816</t>
        </is>
      </c>
      <c r="G57" s="17" t="inlineStr">
        <is>
          <t>328177</t>
        </is>
      </c>
      <c r="H57" s="18" t="n">
        <v>41289</v>
      </c>
      <c r="I57" s="682" t="n">
        <v>35.64</v>
      </c>
      <c r="J57" s="9" t="n"/>
    </row>
    <row r="58" ht="18" customHeight="1" s="397">
      <c r="A58" s="33" t="n">
        <v>52</v>
      </c>
      <c r="B58" s="17" t="inlineStr">
        <is>
          <t>328264</t>
        </is>
      </c>
      <c r="C58" s="18" t="n">
        <v>41295</v>
      </c>
      <c r="D58" s="682" t="n">
        <v>21</v>
      </c>
      <c r="E58" s="11" t="inlineStr">
        <is>
          <t>S G L CAMBODIA</t>
        </is>
      </c>
      <c r="F58" s="10" t="inlineStr">
        <is>
          <t>100119816</t>
        </is>
      </c>
      <c r="G58" s="17" t="inlineStr">
        <is>
          <t>328264</t>
        </is>
      </c>
      <c r="H58" s="18" t="n">
        <v>41295</v>
      </c>
      <c r="I58" s="682" t="n">
        <v>21</v>
      </c>
      <c r="J58" s="9" t="n"/>
    </row>
    <row r="59" ht="18" customHeight="1" s="397">
      <c r="A59" s="33" t="n">
        <v>53</v>
      </c>
      <c r="B59" s="17" t="inlineStr">
        <is>
          <t>328305</t>
        </is>
      </c>
      <c r="C59" s="18" t="n">
        <v>41296</v>
      </c>
      <c r="D59" s="682" t="n">
        <v>36.19</v>
      </c>
      <c r="E59" s="11" t="inlineStr">
        <is>
          <t>S G L CAMBODIA</t>
        </is>
      </c>
      <c r="F59" s="10" t="inlineStr">
        <is>
          <t>100119816</t>
        </is>
      </c>
      <c r="G59" s="17" t="inlineStr">
        <is>
          <t>328305</t>
        </is>
      </c>
      <c r="H59" s="18" t="n">
        <v>41296</v>
      </c>
      <c r="I59" s="682" t="n">
        <v>36.19</v>
      </c>
      <c r="J59" s="9" t="n"/>
    </row>
    <row r="60" ht="18" customHeight="1" s="397">
      <c r="A60" s="33" t="n">
        <v>54</v>
      </c>
      <c r="B60" s="17" t="inlineStr">
        <is>
          <t>328387</t>
        </is>
      </c>
      <c r="C60" s="18" t="n">
        <v>41302</v>
      </c>
      <c r="D60" s="682" t="n">
        <v>2.7</v>
      </c>
      <c r="E60" s="11" t="inlineStr">
        <is>
          <t>S G L CAMBODIA</t>
        </is>
      </c>
      <c r="F60" s="10" t="inlineStr">
        <is>
          <t>100119816</t>
        </is>
      </c>
      <c r="G60" s="17" t="inlineStr">
        <is>
          <t>328387</t>
        </is>
      </c>
      <c r="H60" s="18" t="n">
        <v>41302</v>
      </c>
      <c r="I60" s="682" t="n">
        <v>2.7</v>
      </c>
      <c r="J60" s="9" t="n"/>
    </row>
    <row r="61" ht="18" customHeight="1" s="397">
      <c r="A61" s="33" t="n">
        <v>55</v>
      </c>
      <c r="B61" s="17" t="inlineStr">
        <is>
          <t>328423</t>
        </is>
      </c>
      <c r="C61" s="18" t="n">
        <v>41302</v>
      </c>
      <c r="D61" s="682" t="n">
        <v>24.92</v>
      </c>
      <c r="E61" s="11" t="inlineStr">
        <is>
          <t>S G L CAMBODIA</t>
        </is>
      </c>
      <c r="F61" s="10" t="inlineStr">
        <is>
          <t>100119816</t>
        </is>
      </c>
      <c r="G61" s="17" t="inlineStr">
        <is>
          <t>328423</t>
        </is>
      </c>
      <c r="H61" s="18" t="n">
        <v>41302</v>
      </c>
      <c r="I61" s="682" t="n">
        <v>24.92</v>
      </c>
      <c r="J61" s="9" t="n"/>
    </row>
    <row r="62" ht="18" customHeight="1" s="397">
      <c r="A62" s="33" t="n">
        <v>56</v>
      </c>
      <c r="B62" s="17" t="inlineStr">
        <is>
          <t>328441</t>
        </is>
      </c>
      <c r="C62" s="18" t="n">
        <v>41302</v>
      </c>
      <c r="D62" s="682" t="n">
        <v>40.06</v>
      </c>
      <c r="E62" s="11" t="inlineStr">
        <is>
          <t>S G L CAMBODIA</t>
        </is>
      </c>
      <c r="F62" s="10" t="inlineStr">
        <is>
          <t>100119816</t>
        </is>
      </c>
      <c r="G62" s="17" t="inlineStr">
        <is>
          <t>328441</t>
        </is>
      </c>
      <c r="H62" s="18" t="n">
        <v>41302</v>
      </c>
      <c r="I62" s="682" t="n">
        <v>40.06</v>
      </c>
      <c r="J62" s="9" t="n"/>
    </row>
    <row r="63" ht="18" customHeight="1" s="397">
      <c r="A63" s="33" t="n">
        <v>57</v>
      </c>
      <c r="B63" s="17" t="inlineStr">
        <is>
          <t>328460</t>
        </is>
      </c>
      <c r="C63" s="18" t="n">
        <v>41303</v>
      </c>
      <c r="D63" s="682" t="n">
        <v>25.36</v>
      </c>
      <c r="E63" s="11" t="inlineStr">
        <is>
          <t>S G L CAMBODIA</t>
        </is>
      </c>
      <c r="F63" s="10" t="inlineStr">
        <is>
          <t>100119816</t>
        </is>
      </c>
      <c r="G63" s="17" t="inlineStr">
        <is>
          <t>328460</t>
        </is>
      </c>
      <c r="H63" s="18" t="n">
        <v>41303</v>
      </c>
      <c r="I63" s="682" t="n">
        <v>25.36</v>
      </c>
      <c r="J63" s="9" t="n"/>
    </row>
    <row r="64" ht="18" customHeight="1" s="397">
      <c r="A64" s="33" t="n">
        <v>58</v>
      </c>
      <c r="B64" s="17" t="inlineStr">
        <is>
          <t>328477</t>
        </is>
      </c>
      <c r="C64" s="18" t="n">
        <v>41303</v>
      </c>
      <c r="D64" s="682" t="n">
        <v>5.8</v>
      </c>
      <c r="E64" s="11" t="inlineStr">
        <is>
          <t>S G L CAMBODIA</t>
        </is>
      </c>
      <c r="F64" s="10" t="inlineStr">
        <is>
          <t>100119816</t>
        </is>
      </c>
      <c r="G64" s="17" t="inlineStr">
        <is>
          <t>328477</t>
        </is>
      </c>
      <c r="H64" s="18" t="n">
        <v>41303</v>
      </c>
      <c r="I64" s="682" t="n">
        <v>5.8</v>
      </c>
      <c r="J64" s="9" t="n"/>
    </row>
    <row r="65" ht="18" customHeight="1" s="397">
      <c r="A65" s="33" t="n">
        <v>59</v>
      </c>
      <c r="B65" s="17" t="inlineStr">
        <is>
          <t>328529</t>
        </is>
      </c>
      <c r="C65" s="18" t="n">
        <v>41310</v>
      </c>
      <c r="D65" s="682" t="n">
        <v>41.05</v>
      </c>
      <c r="E65" s="11" t="inlineStr">
        <is>
          <t>S G L CAMBODIA</t>
        </is>
      </c>
      <c r="F65" s="10" t="inlineStr">
        <is>
          <t>100119816</t>
        </is>
      </c>
      <c r="G65" s="17" t="inlineStr">
        <is>
          <t>328529</t>
        </is>
      </c>
      <c r="H65" s="18" t="n">
        <v>41310</v>
      </c>
      <c r="I65" s="682" t="n">
        <v>41.05</v>
      </c>
      <c r="J65" s="9" t="n"/>
    </row>
    <row r="66" ht="18" customHeight="1" s="397">
      <c r="A66" s="33" t="n">
        <v>60</v>
      </c>
      <c r="B66" s="17" t="inlineStr">
        <is>
          <t>328576</t>
        </is>
      </c>
      <c r="C66" s="18" t="n">
        <v>41310</v>
      </c>
      <c r="D66" s="682" t="n">
        <v>29.35</v>
      </c>
      <c r="E66" s="11" t="inlineStr">
        <is>
          <t>S G L CAMBODIA</t>
        </is>
      </c>
      <c r="F66" s="10" t="inlineStr">
        <is>
          <t>100119816</t>
        </is>
      </c>
      <c r="G66" s="17" t="inlineStr">
        <is>
          <t>328576</t>
        </is>
      </c>
      <c r="H66" s="18" t="n">
        <v>41310</v>
      </c>
      <c r="I66" s="682" t="n">
        <v>29.35</v>
      </c>
      <c r="J66" s="9" t="n"/>
    </row>
    <row r="67" ht="18" customHeight="1" s="397">
      <c r="A67" s="33" t="n">
        <v>61</v>
      </c>
      <c r="B67" s="17" t="inlineStr">
        <is>
          <t>328574</t>
        </is>
      </c>
      <c r="C67" s="18" t="n">
        <v>41310</v>
      </c>
      <c r="D67" s="682" t="n">
        <v>5</v>
      </c>
      <c r="E67" s="11" t="inlineStr">
        <is>
          <t>S G L CAMBODIA</t>
        </is>
      </c>
      <c r="F67" s="10" t="inlineStr">
        <is>
          <t>100119816</t>
        </is>
      </c>
      <c r="G67" s="17" t="inlineStr">
        <is>
          <t>328574</t>
        </is>
      </c>
      <c r="H67" s="18" t="n">
        <v>41310</v>
      </c>
      <c r="I67" s="682" t="n">
        <v>5</v>
      </c>
      <c r="J67" s="9" t="n"/>
    </row>
    <row r="68" ht="18" customHeight="1" s="397">
      <c r="A68" s="33" t="n">
        <v>62</v>
      </c>
      <c r="B68" s="17" t="inlineStr">
        <is>
          <t>328588</t>
        </is>
      </c>
      <c r="C68" s="18" t="n">
        <v>41311</v>
      </c>
      <c r="D68" s="682" t="n">
        <v>38.02</v>
      </c>
      <c r="E68" s="11" t="inlineStr">
        <is>
          <t>S G L CAMBODIA</t>
        </is>
      </c>
      <c r="F68" s="10" t="inlineStr">
        <is>
          <t>100119816</t>
        </is>
      </c>
      <c r="G68" s="17" t="inlineStr">
        <is>
          <t>328588</t>
        </is>
      </c>
      <c r="H68" s="18" t="n">
        <v>41311</v>
      </c>
      <c r="I68" s="682" t="n">
        <v>38.02</v>
      </c>
      <c r="J68" s="9" t="n"/>
    </row>
    <row r="69" ht="18" customHeight="1" s="397">
      <c r="A69" s="33" t="n">
        <v>63</v>
      </c>
      <c r="B69" s="17" t="inlineStr">
        <is>
          <t>328598</t>
        </is>
      </c>
      <c r="C69" s="18" t="n">
        <v>41311</v>
      </c>
      <c r="D69" s="682" t="n">
        <v>27.42</v>
      </c>
      <c r="E69" s="11" t="inlineStr">
        <is>
          <t>S G L CAMBODIA</t>
        </is>
      </c>
      <c r="F69" s="10" t="inlineStr">
        <is>
          <t>100119816</t>
        </is>
      </c>
      <c r="G69" s="17" t="inlineStr">
        <is>
          <t>328598</t>
        </is>
      </c>
      <c r="H69" s="18" t="n">
        <v>41311</v>
      </c>
      <c r="I69" s="682" t="n">
        <v>27.42</v>
      </c>
      <c r="J69" s="9" t="n"/>
    </row>
    <row r="70" ht="18" customHeight="1" s="397">
      <c r="A70" s="33" t="n">
        <v>64</v>
      </c>
      <c r="B70" s="17" t="inlineStr">
        <is>
          <t>328600</t>
        </is>
      </c>
      <c r="C70" s="18" t="n">
        <v>41311</v>
      </c>
      <c r="D70" s="682" t="n">
        <v>65.59999999999999</v>
      </c>
      <c r="E70" s="11" t="inlineStr">
        <is>
          <t>S G L CAMBODIA</t>
        </is>
      </c>
      <c r="F70" s="10" t="inlineStr">
        <is>
          <t>100119816</t>
        </is>
      </c>
      <c r="G70" s="17" t="inlineStr">
        <is>
          <t>328600</t>
        </is>
      </c>
      <c r="H70" s="18" t="n">
        <v>41311</v>
      </c>
      <c r="I70" s="682" t="n">
        <v>65.59999999999999</v>
      </c>
      <c r="J70" s="9" t="n"/>
    </row>
    <row r="71" ht="18" customHeight="1" s="397">
      <c r="A71" s="33" t="n">
        <v>65</v>
      </c>
      <c r="B71" s="17" t="inlineStr">
        <is>
          <t>328657</t>
        </is>
      </c>
      <c r="C71" s="18" t="n">
        <v>41317</v>
      </c>
      <c r="D71" s="682" t="n">
        <v>21.5</v>
      </c>
      <c r="E71" s="11" t="inlineStr">
        <is>
          <t>S G L CAMBODIA</t>
        </is>
      </c>
      <c r="F71" s="10" t="inlineStr">
        <is>
          <t>100119816</t>
        </is>
      </c>
      <c r="G71" s="17" t="inlineStr">
        <is>
          <t>328657</t>
        </is>
      </c>
      <c r="H71" s="18" t="n">
        <v>41317</v>
      </c>
      <c r="I71" s="682" t="n">
        <v>21.5</v>
      </c>
      <c r="J71" s="9" t="n"/>
    </row>
    <row r="72" ht="18" customHeight="1" s="397">
      <c r="A72" s="33" t="n">
        <v>66</v>
      </c>
      <c r="B72" s="17" t="inlineStr">
        <is>
          <t>328732</t>
        </is>
      </c>
      <c r="C72" s="18" t="n">
        <v>41323</v>
      </c>
      <c r="D72" s="682" t="n">
        <v>72.52</v>
      </c>
      <c r="E72" s="11" t="inlineStr">
        <is>
          <t>S G L CAMBODIA</t>
        </is>
      </c>
      <c r="F72" s="10" t="inlineStr">
        <is>
          <t>100119816</t>
        </is>
      </c>
      <c r="G72" s="17" t="inlineStr">
        <is>
          <t>328732</t>
        </is>
      </c>
      <c r="H72" s="18" t="n">
        <v>41323</v>
      </c>
      <c r="I72" s="682" t="n">
        <v>72.52</v>
      </c>
      <c r="J72" s="9" t="n"/>
    </row>
    <row r="73" ht="18" customHeight="1" s="397">
      <c r="A73" s="33" t="n">
        <v>67</v>
      </c>
      <c r="B73" s="17" t="inlineStr">
        <is>
          <t>328734</t>
        </is>
      </c>
      <c r="C73" s="18" t="n">
        <v>41323</v>
      </c>
      <c r="D73" s="682" t="n">
        <v>35.5</v>
      </c>
      <c r="E73" s="11" t="inlineStr">
        <is>
          <t>S G L CAMBODIA</t>
        </is>
      </c>
      <c r="F73" s="10" t="inlineStr">
        <is>
          <t>100119816</t>
        </is>
      </c>
      <c r="G73" s="17" t="inlineStr">
        <is>
          <t>328734</t>
        </is>
      </c>
      <c r="H73" s="18" t="n">
        <v>41323</v>
      </c>
      <c r="I73" s="682" t="n">
        <v>35.5</v>
      </c>
      <c r="J73" s="9" t="n"/>
    </row>
    <row r="74" ht="18" customHeight="1" s="397">
      <c r="A74" s="33" t="n">
        <v>68</v>
      </c>
      <c r="B74" s="17" t="inlineStr">
        <is>
          <t>328784</t>
        </is>
      </c>
      <c r="C74" s="18" t="n">
        <v>41324</v>
      </c>
      <c r="D74" s="682" t="n">
        <v>33.53</v>
      </c>
      <c r="E74" s="11" t="inlineStr">
        <is>
          <t>S G L CAMBODIA</t>
        </is>
      </c>
      <c r="F74" s="10" t="inlineStr">
        <is>
          <t>100119816</t>
        </is>
      </c>
      <c r="G74" s="17" t="inlineStr">
        <is>
          <t>328784</t>
        </is>
      </c>
      <c r="H74" s="18" t="n">
        <v>41324</v>
      </c>
      <c r="I74" s="682" t="n">
        <v>33.53</v>
      </c>
      <c r="J74" s="9" t="n"/>
    </row>
    <row r="75" ht="18" customHeight="1" s="397">
      <c r="A75" s="33" t="n">
        <v>69</v>
      </c>
      <c r="B75" s="17" t="inlineStr">
        <is>
          <t>328788</t>
        </is>
      </c>
      <c r="C75" s="18" t="n">
        <v>41324</v>
      </c>
      <c r="D75" s="682" t="n">
        <v>5.8</v>
      </c>
      <c r="E75" s="11" t="inlineStr">
        <is>
          <t>S G L CAMBODIA</t>
        </is>
      </c>
      <c r="F75" s="10" t="inlineStr">
        <is>
          <t>100119816</t>
        </is>
      </c>
      <c r="G75" s="17" t="inlineStr">
        <is>
          <t>328788</t>
        </is>
      </c>
      <c r="H75" s="18" t="n">
        <v>41324</v>
      </c>
      <c r="I75" s="682" t="n">
        <v>5.8</v>
      </c>
      <c r="J75" s="9" t="n"/>
    </row>
    <row r="76" ht="18" customHeight="1" s="397">
      <c r="A76" s="33" t="n">
        <v>70</v>
      </c>
      <c r="B76" s="17" t="inlineStr">
        <is>
          <t>328859</t>
        </is>
      </c>
      <c r="C76" s="18" t="n">
        <v>41330</v>
      </c>
      <c r="D76" s="682" t="n">
        <v>24.95</v>
      </c>
      <c r="E76" s="11" t="inlineStr">
        <is>
          <t>S G L CAMBODIA</t>
        </is>
      </c>
      <c r="F76" s="10" t="inlineStr">
        <is>
          <t>100119816</t>
        </is>
      </c>
      <c r="G76" s="17" t="inlineStr">
        <is>
          <t>328859</t>
        </is>
      </c>
      <c r="H76" s="18" t="n">
        <v>41330</v>
      </c>
      <c r="I76" s="682" t="n">
        <v>24.95</v>
      </c>
      <c r="J76" s="9" t="n"/>
    </row>
    <row r="77" ht="18" customHeight="1" s="397">
      <c r="A77" s="33" t="n">
        <v>71</v>
      </c>
      <c r="B77" s="17" t="inlineStr">
        <is>
          <t>328868</t>
        </is>
      </c>
      <c r="C77" s="18" t="n">
        <v>41330</v>
      </c>
      <c r="D77" s="682" t="n">
        <v>24.2</v>
      </c>
      <c r="E77" s="11" t="inlineStr">
        <is>
          <t>S G L CAMBODIA</t>
        </is>
      </c>
      <c r="F77" s="10" t="inlineStr">
        <is>
          <t>100119816</t>
        </is>
      </c>
      <c r="G77" s="17" t="inlineStr">
        <is>
          <t>328868</t>
        </is>
      </c>
      <c r="H77" s="18" t="n">
        <v>41330</v>
      </c>
      <c r="I77" s="682" t="n">
        <v>24.2</v>
      </c>
      <c r="J77" s="9" t="n"/>
    </row>
    <row r="78" ht="18" customHeight="1" s="397">
      <c r="A78" s="33" t="n">
        <v>72</v>
      </c>
      <c r="B78" s="17" t="inlineStr">
        <is>
          <t>328869</t>
        </is>
      </c>
      <c r="C78" s="18" t="n">
        <v>41330</v>
      </c>
      <c r="D78" s="682" t="n">
        <v>76.52</v>
      </c>
      <c r="E78" s="11" t="inlineStr">
        <is>
          <t>S G L CAMBODIA</t>
        </is>
      </c>
      <c r="F78" s="10" t="inlineStr">
        <is>
          <t>100119816</t>
        </is>
      </c>
      <c r="G78" s="17" t="inlineStr">
        <is>
          <t>328869</t>
        </is>
      </c>
      <c r="H78" s="18" t="n">
        <v>41330</v>
      </c>
      <c r="I78" s="682" t="n">
        <v>76.52</v>
      </c>
      <c r="J78" s="9" t="n"/>
    </row>
    <row r="79" ht="18" customHeight="1" s="397">
      <c r="A79" s="33" t="n">
        <v>73</v>
      </c>
      <c r="B79" s="17" t="inlineStr">
        <is>
          <t>328936</t>
        </is>
      </c>
      <c r="C79" s="18" t="n">
        <v>41337</v>
      </c>
      <c r="D79" s="682" t="n">
        <v>55.26</v>
      </c>
      <c r="E79" s="11" t="inlineStr">
        <is>
          <t>S G L CAMBODIA</t>
        </is>
      </c>
      <c r="F79" s="10" t="inlineStr">
        <is>
          <t>100119816</t>
        </is>
      </c>
      <c r="G79" s="17" t="inlineStr">
        <is>
          <t>328936</t>
        </is>
      </c>
      <c r="H79" s="18" t="n">
        <v>41337</v>
      </c>
      <c r="I79" s="682" t="n">
        <v>55.26</v>
      </c>
      <c r="J79" s="9" t="n"/>
    </row>
    <row r="80" ht="18" customHeight="1" s="397">
      <c r="A80" s="33" t="n">
        <v>74</v>
      </c>
      <c r="B80" s="17" t="inlineStr">
        <is>
          <t>329060</t>
        </is>
      </c>
      <c r="C80" s="18" t="n">
        <v>41345</v>
      </c>
      <c r="D80" s="682" t="n">
        <v>24.57</v>
      </c>
      <c r="E80" s="11" t="inlineStr">
        <is>
          <t>S G L CAMBODIA</t>
        </is>
      </c>
      <c r="F80" s="10" t="inlineStr">
        <is>
          <t>100119816</t>
        </is>
      </c>
      <c r="G80" s="17" t="inlineStr">
        <is>
          <t>329060</t>
        </is>
      </c>
      <c r="H80" s="18" t="n">
        <v>41345</v>
      </c>
      <c r="I80" s="682" t="n">
        <v>24.57</v>
      </c>
      <c r="J80" s="9" t="n"/>
    </row>
    <row r="81" ht="18" customHeight="1" s="397">
      <c r="A81" s="33" t="n">
        <v>75</v>
      </c>
      <c r="B81" s="17" t="inlineStr">
        <is>
          <t>329063</t>
        </is>
      </c>
      <c r="C81" s="18" t="n">
        <v>41345</v>
      </c>
      <c r="D81" s="682" t="n">
        <v>32.3</v>
      </c>
      <c r="E81" s="11" t="inlineStr">
        <is>
          <t>S G L CAMBODIA</t>
        </is>
      </c>
      <c r="F81" s="10" t="inlineStr">
        <is>
          <t>100119816</t>
        </is>
      </c>
      <c r="G81" s="17" t="inlineStr">
        <is>
          <t>329063</t>
        </is>
      </c>
      <c r="H81" s="18" t="n">
        <v>41345</v>
      </c>
      <c r="I81" s="682" t="n">
        <v>32.3</v>
      </c>
      <c r="J81" s="9" t="n"/>
    </row>
    <row r="82" ht="18" customHeight="1" s="397">
      <c r="A82" s="33" t="n">
        <v>76</v>
      </c>
      <c r="B82" s="17" t="inlineStr">
        <is>
          <t>329096</t>
        </is>
      </c>
      <c r="C82" s="18" t="n">
        <v>41345</v>
      </c>
      <c r="D82" s="682" t="n">
        <v>21.2</v>
      </c>
      <c r="E82" s="11" t="inlineStr">
        <is>
          <t>S G L CAMBODIA</t>
        </is>
      </c>
      <c r="F82" s="10" t="inlineStr">
        <is>
          <t>100119816</t>
        </is>
      </c>
      <c r="G82" s="17" t="inlineStr">
        <is>
          <t>329096</t>
        </is>
      </c>
      <c r="H82" s="18" t="n">
        <v>41345</v>
      </c>
      <c r="I82" s="682" t="n">
        <v>21.2</v>
      </c>
      <c r="J82" s="9" t="n"/>
    </row>
    <row r="83" ht="18" customHeight="1" s="397">
      <c r="A83" s="33" t="n">
        <v>77</v>
      </c>
      <c r="B83" s="17" t="inlineStr">
        <is>
          <t>329125</t>
        </is>
      </c>
      <c r="C83" s="18" t="n">
        <v>41345</v>
      </c>
      <c r="D83" s="682" t="n">
        <v>28.04</v>
      </c>
      <c r="E83" s="11" t="inlineStr">
        <is>
          <t>S G L CAMBODIA</t>
        </is>
      </c>
      <c r="F83" s="10" t="inlineStr">
        <is>
          <t>100119816</t>
        </is>
      </c>
      <c r="G83" s="17" t="inlineStr">
        <is>
          <t>329125</t>
        </is>
      </c>
      <c r="H83" s="18" t="n">
        <v>41345</v>
      </c>
      <c r="I83" s="682" t="n">
        <v>28.04</v>
      </c>
      <c r="J83" s="9" t="n"/>
    </row>
    <row r="84" ht="18" customHeight="1" s="397">
      <c r="A84" s="33" t="n">
        <v>78</v>
      </c>
      <c r="B84" s="17" t="inlineStr">
        <is>
          <t>329189</t>
        </is>
      </c>
      <c r="C84" s="18" t="n">
        <v>41352</v>
      </c>
      <c r="D84" s="682" t="n">
        <v>65.72</v>
      </c>
      <c r="E84" s="11" t="inlineStr">
        <is>
          <t>S G L CAMBODIA</t>
        </is>
      </c>
      <c r="F84" s="10" t="inlineStr">
        <is>
          <t>100119816</t>
        </is>
      </c>
      <c r="G84" s="17" t="inlineStr">
        <is>
          <t>329189</t>
        </is>
      </c>
      <c r="H84" s="18" t="n">
        <v>41352</v>
      </c>
      <c r="I84" s="682" t="n">
        <v>65.72</v>
      </c>
      <c r="J84" s="9" t="n"/>
    </row>
    <row r="85" ht="18" customHeight="1" s="397">
      <c r="A85" s="33" t="n">
        <v>79</v>
      </c>
      <c r="B85" s="17" t="inlineStr">
        <is>
          <t>329198</t>
        </is>
      </c>
      <c r="C85" s="18" t="n">
        <v>41352</v>
      </c>
      <c r="D85" s="682" t="n">
        <v>25.46</v>
      </c>
      <c r="E85" s="11" t="inlineStr">
        <is>
          <t>S G L CAMBODIA</t>
        </is>
      </c>
      <c r="F85" s="10" t="inlineStr">
        <is>
          <t>100119816</t>
        </is>
      </c>
      <c r="G85" s="17" t="inlineStr">
        <is>
          <t>329198</t>
        </is>
      </c>
      <c r="H85" s="18" t="n">
        <v>41352</v>
      </c>
      <c r="I85" s="682" t="n">
        <v>25.46</v>
      </c>
      <c r="J85" s="9" t="n"/>
    </row>
    <row r="86" ht="18" customHeight="1" s="397">
      <c r="A86" s="33" t="n">
        <v>80</v>
      </c>
      <c r="B86" s="17" t="inlineStr">
        <is>
          <t>329219</t>
        </is>
      </c>
      <c r="C86" s="18" t="n">
        <v>41352</v>
      </c>
      <c r="D86" s="682" t="n">
        <v>26.96</v>
      </c>
      <c r="E86" s="11" t="inlineStr">
        <is>
          <t>S G L CAMBODIA</t>
        </is>
      </c>
      <c r="F86" s="10" t="inlineStr">
        <is>
          <t>100119816</t>
        </is>
      </c>
      <c r="G86" s="17" t="inlineStr">
        <is>
          <t>329219</t>
        </is>
      </c>
      <c r="H86" s="18" t="n">
        <v>41352</v>
      </c>
      <c r="I86" s="682" t="n">
        <v>26.96</v>
      </c>
      <c r="J86" s="9" t="n"/>
    </row>
    <row r="87" ht="18" customHeight="1" s="397">
      <c r="A87" s="33" t="n">
        <v>81</v>
      </c>
      <c r="B87" s="17" t="inlineStr">
        <is>
          <t>329291</t>
        </is>
      </c>
      <c r="C87" s="18" t="n">
        <v>41358</v>
      </c>
      <c r="D87" s="682" t="n">
        <v>21.2</v>
      </c>
      <c r="E87" s="11" t="inlineStr">
        <is>
          <t>S G L CAMBODIA</t>
        </is>
      </c>
      <c r="F87" s="10" t="inlineStr">
        <is>
          <t>100119816</t>
        </is>
      </c>
      <c r="G87" s="17" t="inlineStr">
        <is>
          <t>329291</t>
        </is>
      </c>
      <c r="H87" s="18" t="n">
        <v>41358</v>
      </c>
      <c r="I87" s="682" t="n">
        <v>21.2</v>
      </c>
      <c r="J87" s="9" t="n"/>
    </row>
    <row r="88" ht="18" customHeight="1" s="397">
      <c r="A88" s="33" t="n">
        <v>82</v>
      </c>
      <c r="B88" s="17" t="inlineStr">
        <is>
          <t>329298</t>
        </is>
      </c>
      <c r="C88" s="18" t="n">
        <v>41358</v>
      </c>
      <c r="D88" s="682" t="n">
        <v>29.84</v>
      </c>
      <c r="E88" s="11" t="inlineStr">
        <is>
          <t>S G L CAMBODIA</t>
        </is>
      </c>
      <c r="F88" s="10" t="inlineStr">
        <is>
          <t>100119816</t>
        </is>
      </c>
      <c r="G88" s="17" t="inlineStr">
        <is>
          <t>329298</t>
        </is>
      </c>
      <c r="H88" s="18" t="n">
        <v>41358</v>
      </c>
      <c r="I88" s="682" t="n">
        <v>29.84</v>
      </c>
      <c r="J88" s="9" t="n"/>
    </row>
    <row r="89" ht="18" customHeight="1" s="397">
      <c r="A89" s="33" t="n">
        <v>83</v>
      </c>
      <c r="B89" s="17" t="inlineStr">
        <is>
          <t>329324</t>
        </is>
      </c>
      <c r="C89" s="18" t="n">
        <v>41358</v>
      </c>
      <c r="D89" s="682" t="n">
        <v>3</v>
      </c>
      <c r="E89" s="11" t="inlineStr">
        <is>
          <t>S G L CAMBODIA</t>
        </is>
      </c>
      <c r="F89" s="10" t="inlineStr">
        <is>
          <t>100119816</t>
        </is>
      </c>
      <c r="G89" s="17" t="inlineStr">
        <is>
          <t>329324</t>
        </is>
      </c>
      <c r="H89" s="18" t="n">
        <v>41358</v>
      </c>
      <c r="I89" s="682" t="n">
        <v>3</v>
      </c>
      <c r="J89" s="9" t="n"/>
    </row>
    <row r="90" ht="18" customHeight="1" s="397">
      <c r="A90" s="33" t="n">
        <v>84</v>
      </c>
      <c r="B90" s="17" t="inlineStr">
        <is>
          <t>329343</t>
        </is>
      </c>
      <c r="C90" s="18" t="n">
        <v>41359</v>
      </c>
      <c r="D90" s="682" t="n">
        <v>36.25</v>
      </c>
      <c r="E90" s="11" t="inlineStr">
        <is>
          <t>S G L CAMBODIA</t>
        </is>
      </c>
      <c r="F90" s="10" t="inlineStr">
        <is>
          <t>100119816</t>
        </is>
      </c>
      <c r="G90" s="17" t="inlineStr">
        <is>
          <t>329343</t>
        </is>
      </c>
      <c r="H90" s="18" t="n">
        <v>41359</v>
      </c>
      <c r="I90" s="682" t="n">
        <v>36.25</v>
      </c>
      <c r="J90" s="9" t="n"/>
    </row>
    <row r="91" ht="18" customHeight="1" s="397">
      <c r="A91" s="33" t="n">
        <v>85</v>
      </c>
      <c r="B91" s="17" t="inlineStr">
        <is>
          <t>329402</t>
        </is>
      </c>
      <c r="C91" s="18" t="n">
        <v>41363</v>
      </c>
      <c r="D91" s="682" t="n">
        <v>41.6</v>
      </c>
      <c r="E91" s="11" t="inlineStr">
        <is>
          <t>S G L CAMBODIA</t>
        </is>
      </c>
      <c r="F91" s="10" t="inlineStr">
        <is>
          <t>100119816</t>
        </is>
      </c>
      <c r="G91" s="17" t="inlineStr">
        <is>
          <t>329402</t>
        </is>
      </c>
      <c r="H91" s="18" t="n">
        <v>41363</v>
      </c>
      <c r="I91" s="682" t="n">
        <v>41.6</v>
      </c>
      <c r="J91" s="9" t="n"/>
    </row>
    <row r="92" ht="18" customHeight="1" s="397">
      <c r="A92" s="33" t="n">
        <v>86</v>
      </c>
      <c r="B92" s="17" t="inlineStr">
        <is>
          <t>329412</t>
        </is>
      </c>
      <c r="C92" s="18" t="n">
        <v>41363</v>
      </c>
      <c r="D92" s="682" t="n">
        <v>26.76</v>
      </c>
      <c r="E92" s="11" t="inlineStr">
        <is>
          <t>S G L CAMBODIA</t>
        </is>
      </c>
      <c r="F92" s="10" t="inlineStr">
        <is>
          <t>100119816</t>
        </is>
      </c>
      <c r="G92" s="17" t="inlineStr">
        <is>
          <t>329412</t>
        </is>
      </c>
      <c r="H92" s="18" t="n">
        <v>41363</v>
      </c>
      <c r="I92" s="682" t="n">
        <v>26.76</v>
      </c>
      <c r="J92" s="9" t="n"/>
    </row>
    <row r="93" ht="18" customHeight="1" s="397">
      <c r="A93" s="33" t="n">
        <v>87</v>
      </c>
      <c r="B93" s="17" t="inlineStr">
        <is>
          <t>329475</t>
        </is>
      </c>
      <c r="C93" s="18" t="n">
        <v>41364</v>
      </c>
      <c r="D93" s="682" t="n">
        <v>21.2</v>
      </c>
      <c r="E93" s="11" t="inlineStr">
        <is>
          <t>S G L CAMBODIA</t>
        </is>
      </c>
      <c r="F93" s="10" t="inlineStr">
        <is>
          <t>100119816</t>
        </is>
      </c>
      <c r="G93" s="17" t="inlineStr">
        <is>
          <t>329475</t>
        </is>
      </c>
      <c r="H93" s="18" t="n">
        <v>41364</v>
      </c>
      <c r="I93" s="682" t="n">
        <v>21.2</v>
      </c>
      <c r="J93" s="9" t="n"/>
    </row>
    <row r="94" ht="18" customHeight="1" s="397">
      <c r="A94" s="33" t="n">
        <v>88</v>
      </c>
      <c r="B94" s="17" t="inlineStr">
        <is>
          <t>329496</t>
        </is>
      </c>
      <c r="C94" s="18" t="n">
        <v>41364</v>
      </c>
      <c r="D94" s="682" t="n">
        <v>25.14</v>
      </c>
      <c r="E94" s="11" t="inlineStr">
        <is>
          <t>S G L CAMBODIA</t>
        </is>
      </c>
      <c r="F94" s="10" t="inlineStr">
        <is>
          <t>100119816</t>
        </is>
      </c>
      <c r="G94" s="17" t="inlineStr">
        <is>
          <t>329496</t>
        </is>
      </c>
      <c r="H94" s="18" t="n">
        <v>41364</v>
      </c>
      <c r="I94" s="682" t="n">
        <v>25.14</v>
      </c>
      <c r="J94" s="9" t="n"/>
    </row>
    <row r="95" ht="18" customHeight="1" s="397">
      <c r="A95" s="33" t="n">
        <v>89</v>
      </c>
      <c r="B95" s="17" t="inlineStr">
        <is>
          <t>329566</t>
        </is>
      </c>
      <c r="C95" s="18" t="n">
        <v>41372</v>
      </c>
      <c r="D95" s="682" t="n">
        <v>58.4</v>
      </c>
      <c r="E95" s="11" t="inlineStr">
        <is>
          <t>S G L CAMBODIA</t>
        </is>
      </c>
      <c r="F95" s="10" t="inlineStr">
        <is>
          <t>100119816</t>
        </is>
      </c>
      <c r="G95" s="17" t="inlineStr">
        <is>
          <t>329566</t>
        </is>
      </c>
      <c r="H95" s="18" t="n">
        <v>41372</v>
      </c>
      <c r="I95" s="682" t="n">
        <v>58.4</v>
      </c>
      <c r="J95" s="9" t="n"/>
    </row>
    <row r="96" ht="18" customHeight="1" s="397">
      <c r="A96" s="33" t="n">
        <v>90</v>
      </c>
      <c r="B96" s="17" t="inlineStr">
        <is>
          <t>329619</t>
        </is>
      </c>
      <c r="C96" s="18" t="n">
        <v>41373</v>
      </c>
      <c r="D96" s="682" t="n">
        <v>58.49</v>
      </c>
      <c r="E96" s="11" t="inlineStr">
        <is>
          <t>S G L CAMBODIA</t>
        </is>
      </c>
      <c r="F96" s="10" t="inlineStr">
        <is>
          <t>100119816</t>
        </is>
      </c>
      <c r="G96" s="17" t="inlineStr">
        <is>
          <t>329619</t>
        </is>
      </c>
      <c r="H96" s="18" t="n">
        <v>41373</v>
      </c>
      <c r="I96" s="682" t="n">
        <v>58.49</v>
      </c>
      <c r="J96" s="9" t="n"/>
    </row>
    <row r="97" ht="18" customHeight="1" s="397">
      <c r="A97" s="33" t="n">
        <v>91</v>
      </c>
      <c r="B97" s="17" t="inlineStr">
        <is>
          <t>329636</t>
        </is>
      </c>
      <c r="C97" s="18" t="n">
        <v>41373</v>
      </c>
      <c r="D97" s="682" t="n">
        <v>21.27</v>
      </c>
      <c r="E97" s="11" t="inlineStr">
        <is>
          <t>S G L CAMBODIA</t>
        </is>
      </c>
      <c r="F97" s="10" t="inlineStr">
        <is>
          <t>100119816</t>
        </is>
      </c>
      <c r="G97" s="17" t="inlineStr">
        <is>
          <t>329636</t>
        </is>
      </c>
      <c r="H97" s="18" t="n">
        <v>41373</v>
      </c>
      <c r="I97" s="682" t="n">
        <v>21.27</v>
      </c>
      <c r="J97" s="9" t="n"/>
    </row>
    <row r="98" ht="18" customHeight="1" s="397">
      <c r="A98" s="33" t="n">
        <v>92</v>
      </c>
      <c r="B98" s="17" t="inlineStr">
        <is>
          <t>329651</t>
        </is>
      </c>
      <c r="C98" s="18" t="n">
        <v>41373</v>
      </c>
      <c r="D98" s="682" t="n">
        <v>29.03</v>
      </c>
      <c r="E98" s="11" t="inlineStr">
        <is>
          <t>S G L CAMBODIA</t>
        </is>
      </c>
      <c r="F98" s="10" t="inlineStr">
        <is>
          <t>100119816</t>
        </is>
      </c>
      <c r="G98" s="17" t="inlineStr">
        <is>
          <t>329651</t>
        </is>
      </c>
      <c r="H98" s="18" t="n">
        <v>41373</v>
      </c>
      <c r="I98" s="682" t="n">
        <v>29.03</v>
      </c>
      <c r="J98" s="9" t="n"/>
    </row>
    <row r="99" ht="18" customHeight="1" s="397">
      <c r="A99" s="33" t="n">
        <v>93</v>
      </c>
      <c r="B99" s="17" t="inlineStr">
        <is>
          <t>329721</t>
        </is>
      </c>
      <c r="C99" s="18" t="n">
        <v>41382</v>
      </c>
      <c r="D99" s="682" t="n">
        <v>42.92</v>
      </c>
      <c r="E99" s="11" t="inlineStr">
        <is>
          <t>S G L CAMBODIA</t>
        </is>
      </c>
      <c r="F99" s="10" t="inlineStr">
        <is>
          <t>100119816</t>
        </is>
      </c>
      <c r="G99" s="17" t="inlineStr">
        <is>
          <t>329721</t>
        </is>
      </c>
      <c r="H99" s="18" t="n">
        <v>41382</v>
      </c>
      <c r="I99" s="682" t="n">
        <v>42.92</v>
      </c>
      <c r="J99" s="9" t="n"/>
    </row>
    <row r="100" ht="18" customHeight="1" s="397">
      <c r="A100" s="33" t="n">
        <v>94</v>
      </c>
      <c r="B100" s="17" t="inlineStr">
        <is>
          <t>329736</t>
        </is>
      </c>
      <c r="C100" s="18" t="n">
        <v>41382</v>
      </c>
      <c r="D100" s="682" t="n">
        <v>28.46</v>
      </c>
      <c r="E100" s="11" t="inlineStr">
        <is>
          <t>S G L CAMBODIA</t>
        </is>
      </c>
      <c r="F100" s="10" t="inlineStr">
        <is>
          <t>100119816</t>
        </is>
      </c>
      <c r="G100" s="17" t="inlineStr">
        <is>
          <t>329736</t>
        </is>
      </c>
      <c r="H100" s="18" t="n">
        <v>41382</v>
      </c>
      <c r="I100" s="682" t="n">
        <v>28.46</v>
      </c>
      <c r="J100" s="9" t="n"/>
    </row>
    <row r="101" ht="18" customHeight="1" s="397">
      <c r="A101" s="33" t="n">
        <v>95</v>
      </c>
      <c r="B101" s="17" t="inlineStr">
        <is>
          <t>329771</t>
        </is>
      </c>
      <c r="C101" s="18" t="n">
        <v>41382</v>
      </c>
      <c r="D101" s="682" t="n">
        <v>51.42</v>
      </c>
      <c r="E101" s="11" t="inlineStr">
        <is>
          <t>S G L CAMBODIA</t>
        </is>
      </c>
      <c r="F101" s="10" t="inlineStr">
        <is>
          <t>100119816</t>
        </is>
      </c>
      <c r="G101" s="17" t="inlineStr">
        <is>
          <t>329771</t>
        </is>
      </c>
      <c r="H101" s="18" t="n">
        <v>41382</v>
      </c>
      <c r="I101" s="682" t="n">
        <v>51.42</v>
      </c>
      <c r="J101" s="9" t="n"/>
    </row>
    <row r="102" ht="18" customHeight="1" s="397">
      <c r="A102" s="33" t="n">
        <v>96</v>
      </c>
      <c r="B102" s="17" t="inlineStr">
        <is>
          <t>329776</t>
        </is>
      </c>
      <c r="C102" s="18" t="n">
        <v>41382</v>
      </c>
      <c r="D102" s="682" t="n">
        <v>31.56</v>
      </c>
      <c r="E102" s="11" t="inlineStr">
        <is>
          <t>S G L CAMBODIA</t>
        </is>
      </c>
      <c r="F102" s="10" t="inlineStr">
        <is>
          <t>100119816</t>
        </is>
      </c>
      <c r="G102" s="17" t="inlineStr">
        <is>
          <t>329776</t>
        </is>
      </c>
      <c r="H102" s="18" t="n">
        <v>41382</v>
      </c>
      <c r="I102" s="682" t="n">
        <v>31.56</v>
      </c>
      <c r="J102" s="9" t="n"/>
    </row>
    <row r="103" ht="18" customHeight="1" s="397">
      <c r="A103" s="33" t="n">
        <v>97</v>
      </c>
      <c r="B103" s="17" t="inlineStr">
        <is>
          <t>329862</t>
        </is>
      </c>
      <c r="C103" s="18" t="n">
        <v>41387</v>
      </c>
      <c r="D103" s="682" t="n">
        <v>21.2</v>
      </c>
      <c r="E103" s="11" t="inlineStr">
        <is>
          <t>S G L CAMBODIA</t>
        </is>
      </c>
      <c r="F103" s="10" t="inlineStr">
        <is>
          <t>100119816</t>
        </is>
      </c>
      <c r="G103" s="17" t="inlineStr">
        <is>
          <t>329862</t>
        </is>
      </c>
      <c r="H103" s="18" t="n">
        <v>41387</v>
      </c>
      <c r="I103" s="682" t="n">
        <v>21.2</v>
      </c>
      <c r="J103" s="9" t="n"/>
    </row>
    <row r="104" ht="18" customHeight="1" s="397">
      <c r="A104" s="33" t="n">
        <v>98</v>
      </c>
      <c r="B104" s="17" t="inlineStr">
        <is>
          <t>329920</t>
        </is>
      </c>
      <c r="C104" s="18" t="n">
        <v>41387</v>
      </c>
      <c r="D104" s="682" t="n">
        <v>44.78</v>
      </c>
      <c r="E104" s="11" t="inlineStr">
        <is>
          <t>S G L CAMBODIA</t>
        </is>
      </c>
      <c r="F104" s="10" t="inlineStr">
        <is>
          <t>100119816</t>
        </is>
      </c>
      <c r="G104" s="17" t="inlineStr">
        <is>
          <t>329920</t>
        </is>
      </c>
      <c r="H104" s="18" t="n">
        <v>41387</v>
      </c>
      <c r="I104" s="682" t="n">
        <v>44.78</v>
      </c>
      <c r="J104" s="9" t="n"/>
    </row>
    <row r="105" ht="18" customHeight="1" s="397">
      <c r="A105" s="33" t="n">
        <v>99</v>
      </c>
      <c r="B105" s="17" t="inlineStr">
        <is>
          <t>329971</t>
        </is>
      </c>
      <c r="C105" s="18" t="n">
        <v>41393</v>
      </c>
      <c r="D105" s="682" t="n">
        <v>21.5</v>
      </c>
      <c r="E105" s="11" t="inlineStr">
        <is>
          <t>S G L CAMBODIA</t>
        </is>
      </c>
      <c r="F105" s="10" t="inlineStr">
        <is>
          <t>100119816</t>
        </is>
      </c>
      <c r="G105" s="17" t="inlineStr">
        <is>
          <t>329971</t>
        </is>
      </c>
      <c r="H105" s="18" t="n">
        <v>41393</v>
      </c>
      <c r="I105" s="682" t="n">
        <v>21.5</v>
      </c>
      <c r="J105" s="9" t="n"/>
    </row>
    <row r="106" ht="18" customHeight="1" s="397">
      <c r="A106" s="33" t="n">
        <v>100</v>
      </c>
      <c r="B106" s="17" t="inlineStr">
        <is>
          <t>329990</t>
        </is>
      </c>
      <c r="C106" s="18" t="n">
        <v>41393</v>
      </c>
      <c r="D106" s="682" t="n">
        <v>33.09</v>
      </c>
      <c r="E106" s="11" t="inlineStr">
        <is>
          <t>S G L CAMBODIA</t>
        </is>
      </c>
      <c r="F106" s="10" t="inlineStr">
        <is>
          <t>100119816</t>
        </is>
      </c>
      <c r="G106" s="17" t="inlineStr">
        <is>
          <t>329990</t>
        </is>
      </c>
      <c r="H106" s="18" t="n">
        <v>41393</v>
      </c>
      <c r="I106" s="682" t="n">
        <v>33.09</v>
      </c>
      <c r="J106" s="9" t="n"/>
    </row>
    <row r="107" ht="18" customHeight="1" s="397">
      <c r="A107" s="33" t="n">
        <v>101</v>
      </c>
      <c r="B107" s="17" t="inlineStr">
        <is>
          <t>330012</t>
        </is>
      </c>
      <c r="C107" s="18" t="n">
        <v>41394</v>
      </c>
      <c r="D107" s="682" t="n">
        <v>26.31</v>
      </c>
      <c r="E107" s="11" t="inlineStr">
        <is>
          <t>S G L CAMBODIA</t>
        </is>
      </c>
      <c r="F107" s="10" t="inlineStr">
        <is>
          <t>100119816</t>
        </is>
      </c>
      <c r="G107" s="17" t="inlineStr">
        <is>
          <t>330012</t>
        </is>
      </c>
      <c r="H107" s="18" t="n">
        <v>41394</v>
      </c>
      <c r="I107" s="682" t="n">
        <v>26.31</v>
      </c>
      <c r="J107" s="9" t="n"/>
    </row>
    <row r="108" ht="18" customHeight="1" s="397">
      <c r="A108" s="33" t="n">
        <v>102</v>
      </c>
      <c r="B108" s="17" t="inlineStr">
        <is>
          <t>330060</t>
        </is>
      </c>
      <c r="C108" s="18" t="n">
        <v>41394</v>
      </c>
      <c r="D108" s="682" t="n">
        <v>5</v>
      </c>
      <c r="E108" s="11" t="inlineStr">
        <is>
          <t>S G L CAMBODIA</t>
        </is>
      </c>
      <c r="F108" s="10" t="inlineStr">
        <is>
          <t>100119816</t>
        </is>
      </c>
      <c r="G108" s="17" t="inlineStr">
        <is>
          <t>330060</t>
        </is>
      </c>
      <c r="H108" s="18" t="n">
        <v>41394</v>
      </c>
      <c r="I108" s="682" t="n">
        <v>5</v>
      </c>
      <c r="J108" s="9" t="n"/>
    </row>
    <row r="109" ht="18" customHeight="1" s="397">
      <c r="A109" s="33" t="n">
        <v>103</v>
      </c>
      <c r="B109" s="17" t="inlineStr">
        <is>
          <t>330114</t>
        </is>
      </c>
      <c r="C109" s="18" t="n">
        <v>41400</v>
      </c>
      <c r="D109" s="682" t="n">
        <v>107.97</v>
      </c>
      <c r="E109" s="11" t="inlineStr">
        <is>
          <t>S G L CAMBODIA</t>
        </is>
      </c>
      <c r="F109" s="10" t="inlineStr">
        <is>
          <t>100119816</t>
        </is>
      </c>
      <c r="G109" s="17" t="inlineStr">
        <is>
          <t>330114</t>
        </is>
      </c>
      <c r="H109" s="18" t="n">
        <v>41400</v>
      </c>
      <c r="I109" s="682" t="n">
        <v>107.97</v>
      </c>
      <c r="J109" s="9" t="n"/>
    </row>
    <row r="110" ht="18" customHeight="1" s="397">
      <c r="A110" s="33" t="n">
        <v>104</v>
      </c>
      <c r="B110" s="17" t="inlineStr">
        <is>
          <t>330144</t>
        </is>
      </c>
      <c r="C110" s="18" t="n">
        <v>41400</v>
      </c>
      <c r="D110" s="682" t="n">
        <v>27.28</v>
      </c>
      <c r="E110" s="11" t="inlineStr">
        <is>
          <t>S G L CAMBODIA</t>
        </is>
      </c>
      <c r="F110" s="10" t="inlineStr">
        <is>
          <t>100119816</t>
        </is>
      </c>
      <c r="G110" s="17" t="inlineStr">
        <is>
          <t>330144</t>
        </is>
      </c>
      <c r="H110" s="18" t="n">
        <v>41400</v>
      </c>
      <c r="I110" s="682" t="n">
        <v>27.28</v>
      </c>
      <c r="J110" s="9" t="n"/>
    </row>
    <row r="111" ht="18" customHeight="1" s="397">
      <c r="A111" s="33" t="n">
        <v>105</v>
      </c>
      <c r="B111" s="17" t="inlineStr">
        <is>
          <t>330173</t>
        </is>
      </c>
      <c r="C111" s="18" t="n">
        <v>41401</v>
      </c>
      <c r="D111" s="682" t="n">
        <v>26.6</v>
      </c>
      <c r="E111" s="11" t="inlineStr">
        <is>
          <t>S G L CAMBODIA</t>
        </is>
      </c>
      <c r="F111" s="10" t="inlineStr">
        <is>
          <t>100119816</t>
        </is>
      </c>
      <c r="G111" s="17" t="inlineStr">
        <is>
          <t>330173</t>
        </is>
      </c>
      <c r="H111" s="18" t="n">
        <v>41401</v>
      </c>
      <c r="I111" s="682" t="n">
        <v>26.6</v>
      </c>
      <c r="J111" s="9" t="n"/>
    </row>
    <row r="112" ht="18" customHeight="1" s="397">
      <c r="A112" s="33" t="n">
        <v>106</v>
      </c>
      <c r="B112" s="17" t="inlineStr">
        <is>
          <t>330233</t>
        </is>
      </c>
      <c r="C112" s="18" t="n">
        <v>41401</v>
      </c>
      <c r="D112" s="682" t="n">
        <v>100.61</v>
      </c>
      <c r="E112" s="11" t="inlineStr">
        <is>
          <t>S G L CAMBODIA</t>
        </is>
      </c>
      <c r="F112" s="10" t="inlineStr">
        <is>
          <t>100119816</t>
        </is>
      </c>
      <c r="G112" s="17" t="inlineStr">
        <is>
          <t>330233</t>
        </is>
      </c>
      <c r="H112" s="18" t="n">
        <v>41401</v>
      </c>
      <c r="I112" s="682" t="n">
        <v>100.61</v>
      </c>
      <c r="J112" s="9" t="n"/>
    </row>
    <row r="113" ht="18" customHeight="1" s="397">
      <c r="A113" s="33" t="n">
        <v>107</v>
      </c>
      <c r="B113" s="17" t="inlineStr">
        <is>
          <t>330280</t>
        </is>
      </c>
      <c r="C113" s="18" t="n">
        <v>41405</v>
      </c>
      <c r="D113" s="682" t="n">
        <v>36.59</v>
      </c>
      <c r="E113" s="11" t="inlineStr">
        <is>
          <t>S G L CAMBODIA</t>
        </is>
      </c>
      <c r="F113" s="10" t="inlineStr">
        <is>
          <t>100119816</t>
        </is>
      </c>
      <c r="G113" s="17" t="inlineStr">
        <is>
          <t>330280</t>
        </is>
      </c>
      <c r="H113" s="18" t="n">
        <v>41405</v>
      </c>
      <c r="I113" s="682" t="n">
        <v>36.59</v>
      </c>
      <c r="J113" s="9" t="n"/>
    </row>
    <row r="114" ht="18" customHeight="1" s="397">
      <c r="A114" s="33" t="n">
        <v>108</v>
      </c>
      <c r="B114" s="17" t="inlineStr">
        <is>
          <t>330312</t>
        </is>
      </c>
      <c r="C114" s="18" t="n">
        <v>41409</v>
      </c>
      <c r="D114" s="682" t="n">
        <v>53.83</v>
      </c>
      <c r="E114" s="11" t="inlineStr">
        <is>
          <t>S G L CAMBODIA</t>
        </is>
      </c>
      <c r="F114" s="10" t="inlineStr">
        <is>
          <t>100119816</t>
        </is>
      </c>
      <c r="G114" s="17" t="inlineStr">
        <is>
          <t>330312</t>
        </is>
      </c>
      <c r="H114" s="18" t="n">
        <v>41409</v>
      </c>
      <c r="I114" s="682" t="n">
        <v>53.83</v>
      </c>
      <c r="J114" s="9" t="n"/>
    </row>
    <row r="115" ht="18" customHeight="1" s="397">
      <c r="A115" s="33" t="n">
        <v>109</v>
      </c>
      <c r="B115" s="17" t="inlineStr">
        <is>
          <t>330339</t>
        </is>
      </c>
      <c r="C115" s="18" t="n">
        <v>41409</v>
      </c>
      <c r="D115" s="682" t="n">
        <v>25.46</v>
      </c>
      <c r="E115" s="11" t="inlineStr">
        <is>
          <t>S G L CAMBODIA</t>
        </is>
      </c>
      <c r="F115" s="10" t="inlineStr">
        <is>
          <t>100119816</t>
        </is>
      </c>
      <c r="G115" s="17" t="inlineStr">
        <is>
          <t>330339</t>
        </is>
      </c>
      <c r="H115" s="18" t="n">
        <v>41409</v>
      </c>
      <c r="I115" s="682" t="n">
        <v>25.46</v>
      </c>
      <c r="J115" s="9" t="n"/>
    </row>
    <row r="116" ht="18" customHeight="1" s="397">
      <c r="A116" s="33" t="n">
        <v>110</v>
      </c>
      <c r="B116" s="17" t="inlineStr">
        <is>
          <t>330340</t>
        </is>
      </c>
      <c r="C116" s="18" t="n">
        <v>41410</v>
      </c>
      <c r="D116" s="682" t="n">
        <v>5</v>
      </c>
      <c r="E116" s="11" t="inlineStr">
        <is>
          <t>S G L CAMBODIA</t>
        </is>
      </c>
      <c r="F116" s="10" t="inlineStr">
        <is>
          <t>100119816</t>
        </is>
      </c>
      <c r="G116" s="17" t="inlineStr">
        <is>
          <t>330340</t>
        </is>
      </c>
      <c r="H116" s="18" t="n">
        <v>41410</v>
      </c>
      <c r="I116" s="682" t="n">
        <v>5</v>
      </c>
      <c r="J116" s="9" t="n"/>
    </row>
    <row r="117" ht="18" customHeight="1" s="397">
      <c r="A117" s="33" t="n">
        <v>111</v>
      </c>
      <c r="B117" s="17" t="inlineStr">
        <is>
          <t>330341</t>
        </is>
      </c>
      <c r="C117" s="18" t="n">
        <v>41410</v>
      </c>
      <c r="D117" s="682" t="n">
        <v>5</v>
      </c>
      <c r="E117" s="11" t="inlineStr">
        <is>
          <t>S G L CAMBODIA</t>
        </is>
      </c>
      <c r="F117" s="10" t="inlineStr">
        <is>
          <t>100119816</t>
        </is>
      </c>
      <c r="G117" s="17" t="inlineStr">
        <is>
          <t>330341</t>
        </is>
      </c>
      <c r="H117" s="18" t="n">
        <v>41410</v>
      </c>
      <c r="I117" s="682" t="n">
        <v>5</v>
      </c>
      <c r="J117" s="9" t="n"/>
    </row>
    <row r="118" ht="18" customHeight="1" s="397">
      <c r="A118" s="33" t="n">
        <v>112</v>
      </c>
      <c r="B118" s="17" t="inlineStr">
        <is>
          <t>330342</t>
        </is>
      </c>
      <c r="C118" s="18" t="n">
        <v>41410</v>
      </c>
      <c r="D118" s="682" t="n">
        <v>5</v>
      </c>
      <c r="E118" s="11" t="inlineStr">
        <is>
          <t>S G L CAMBODIA</t>
        </is>
      </c>
      <c r="F118" s="10" t="inlineStr">
        <is>
          <t>100119816</t>
        </is>
      </c>
      <c r="G118" s="17" t="inlineStr">
        <is>
          <t>330342</t>
        </is>
      </c>
      <c r="H118" s="18" t="n">
        <v>41410</v>
      </c>
      <c r="I118" s="682" t="n">
        <v>5</v>
      </c>
      <c r="J118" s="9" t="n"/>
    </row>
    <row r="119" ht="18" customHeight="1" s="397">
      <c r="A119" s="33" t="n">
        <v>113</v>
      </c>
      <c r="B119" s="17" t="inlineStr">
        <is>
          <t>330343</t>
        </is>
      </c>
      <c r="C119" s="18" t="n">
        <v>41410</v>
      </c>
      <c r="D119" s="682" t="n">
        <v>5</v>
      </c>
      <c r="E119" s="11" t="inlineStr">
        <is>
          <t>S G L CAMBODIA</t>
        </is>
      </c>
      <c r="F119" s="10" t="inlineStr">
        <is>
          <t>100119816</t>
        </is>
      </c>
      <c r="G119" s="17" t="inlineStr">
        <is>
          <t>330343</t>
        </is>
      </c>
      <c r="H119" s="18" t="n">
        <v>41410</v>
      </c>
      <c r="I119" s="682" t="n">
        <v>5</v>
      </c>
      <c r="J119" s="9" t="n"/>
    </row>
    <row r="120" ht="18" customHeight="1" s="397">
      <c r="A120" s="33" t="n">
        <v>114</v>
      </c>
      <c r="B120" s="17" t="inlineStr">
        <is>
          <t>133028</t>
        </is>
      </c>
      <c r="C120" s="18" t="n">
        <v>41414</v>
      </c>
      <c r="D120" s="682" t="n">
        <v>26.62</v>
      </c>
      <c r="E120" s="11" t="inlineStr">
        <is>
          <t>S G L CAMBODIA</t>
        </is>
      </c>
      <c r="F120" s="10" t="inlineStr">
        <is>
          <t>100119816</t>
        </is>
      </c>
      <c r="G120" s="17" t="inlineStr">
        <is>
          <t>133028</t>
        </is>
      </c>
      <c r="H120" s="18" t="n">
        <v>41414</v>
      </c>
      <c r="I120" s="682" t="n">
        <v>26.62</v>
      </c>
      <c r="J120" s="9" t="n"/>
    </row>
    <row r="121" ht="18" customHeight="1" s="397">
      <c r="A121" s="33" t="n">
        <v>115</v>
      </c>
      <c r="B121" s="17" t="inlineStr">
        <is>
          <t>330476</t>
        </is>
      </c>
      <c r="C121" s="18" t="n">
        <v>41415</v>
      </c>
      <c r="D121" s="682" t="n">
        <v>60.4</v>
      </c>
      <c r="E121" s="11" t="inlineStr">
        <is>
          <t>S G L CAMBODIA</t>
        </is>
      </c>
      <c r="F121" s="10" t="inlineStr">
        <is>
          <t>100119816</t>
        </is>
      </c>
      <c r="G121" s="17" t="inlineStr">
        <is>
          <t>330476</t>
        </is>
      </c>
      <c r="H121" s="18" t="n">
        <v>41415</v>
      </c>
      <c r="I121" s="682" t="n">
        <v>60.4</v>
      </c>
      <c r="J121" s="9" t="n"/>
    </row>
    <row r="122" ht="18" customHeight="1" s="397">
      <c r="A122" s="33" t="n">
        <v>116</v>
      </c>
      <c r="B122" s="17" t="inlineStr">
        <is>
          <t>330493</t>
        </is>
      </c>
      <c r="C122" s="18" t="n">
        <v>41419</v>
      </c>
      <c r="D122" s="682" t="n">
        <v>5.8</v>
      </c>
      <c r="E122" s="11" t="inlineStr">
        <is>
          <t>S G L CAMBODIA</t>
        </is>
      </c>
      <c r="F122" s="10" t="inlineStr">
        <is>
          <t>100119816</t>
        </is>
      </c>
      <c r="G122" s="17" t="inlineStr">
        <is>
          <t>330493</t>
        </is>
      </c>
      <c r="H122" s="18" t="n">
        <v>41419</v>
      </c>
      <c r="I122" s="682" t="n">
        <v>5.8</v>
      </c>
      <c r="J122" s="9" t="n"/>
    </row>
    <row r="123" ht="18" customHeight="1" s="397">
      <c r="A123" s="33" t="n">
        <v>117</v>
      </c>
      <c r="B123" s="17" t="inlineStr">
        <is>
          <t>330508</t>
        </is>
      </c>
      <c r="C123" s="18" t="n">
        <v>41421</v>
      </c>
      <c r="D123" s="682" t="n">
        <v>22.59</v>
      </c>
      <c r="E123" s="11" t="inlineStr">
        <is>
          <t>S G L CAMBODIA</t>
        </is>
      </c>
      <c r="F123" s="10" t="inlineStr">
        <is>
          <t>100119816</t>
        </is>
      </c>
      <c r="G123" s="17" t="inlineStr">
        <is>
          <t>330508</t>
        </is>
      </c>
      <c r="H123" s="18" t="n">
        <v>41421</v>
      </c>
      <c r="I123" s="682" t="n">
        <v>22.59</v>
      </c>
      <c r="J123" s="9" t="n"/>
    </row>
    <row r="124" ht="18" customHeight="1" s="397">
      <c r="A124" s="33" t="n">
        <v>118</v>
      </c>
      <c r="B124" s="17" t="inlineStr">
        <is>
          <t>330588</t>
        </is>
      </c>
      <c r="C124" s="18" t="n">
        <v>41422</v>
      </c>
      <c r="D124" s="682" t="n">
        <v>35.24</v>
      </c>
      <c r="E124" s="11" t="inlineStr">
        <is>
          <t>S G L CAMBODIA</t>
        </is>
      </c>
      <c r="F124" s="10" t="inlineStr">
        <is>
          <t>100119816</t>
        </is>
      </c>
      <c r="G124" s="17" t="inlineStr">
        <is>
          <t>330588</t>
        </is>
      </c>
      <c r="H124" s="18" t="n">
        <v>41422</v>
      </c>
      <c r="I124" s="682" t="n">
        <v>35.24</v>
      </c>
      <c r="J124" s="9" t="n"/>
    </row>
    <row r="125" ht="18" customHeight="1" s="397">
      <c r="A125" s="33" t="n">
        <v>120</v>
      </c>
      <c r="B125" s="17" t="inlineStr">
        <is>
          <t>330674</t>
        </is>
      </c>
      <c r="C125" s="18" t="n">
        <v>41429</v>
      </c>
      <c r="D125" s="682" t="n">
        <v>48.59</v>
      </c>
      <c r="E125" s="11" t="inlineStr">
        <is>
          <t>S G L CAMBODIA</t>
        </is>
      </c>
      <c r="F125" s="10" t="inlineStr">
        <is>
          <t>100119816</t>
        </is>
      </c>
      <c r="G125" s="17" t="inlineStr">
        <is>
          <t>330674</t>
        </is>
      </c>
      <c r="H125" s="18" t="n">
        <v>41429</v>
      </c>
      <c r="I125" s="682" t="n">
        <v>48.59</v>
      </c>
      <c r="J125" s="9" t="n"/>
    </row>
    <row r="126" ht="18" customHeight="1" s="397">
      <c r="A126" s="33" t="n">
        <v>121</v>
      </c>
      <c r="B126" s="17" t="inlineStr">
        <is>
          <t>330735</t>
        </is>
      </c>
      <c r="C126" s="18" t="n">
        <v>41430</v>
      </c>
      <c r="D126" s="682" t="n">
        <v>22.73</v>
      </c>
      <c r="E126" s="11" t="inlineStr">
        <is>
          <t>S G L CAMBODIA</t>
        </is>
      </c>
      <c r="F126" s="10" t="inlineStr">
        <is>
          <t>100119816</t>
        </is>
      </c>
      <c r="G126" s="17" t="inlineStr">
        <is>
          <t>330735</t>
        </is>
      </c>
      <c r="H126" s="18" t="n">
        <v>41430</v>
      </c>
      <c r="I126" s="682" t="n">
        <v>22.73</v>
      </c>
      <c r="J126" s="9" t="n"/>
    </row>
    <row r="127" ht="18" customHeight="1" s="397">
      <c r="A127" s="33" t="n">
        <v>122</v>
      </c>
      <c r="B127" s="17" t="inlineStr">
        <is>
          <t>330887</t>
        </is>
      </c>
      <c r="C127" s="18" t="n">
        <v>41436</v>
      </c>
      <c r="D127" s="682" t="n">
        <v>64.43000000000001</v>
      </c>
      <c r="E127" s="11" t="inlineStr">
        <is>
          <t>S G L CAMBODIA</t>
        </is>
      </c>
      <c r="F127" s="10" t="inlineStr">
        <is>
          <t>100119816</t>
        </is>
      </c>
      <c r="G127" s="17" t="inlineStr">
        <is>
          <t>330887</t>
        </is>
      </c>
      <c r="H127" s="18" t="n">
        <v>41436</v>
      </c>
      <c r="I127" s="682" t="n">
        <v>64.43000000000001</v>
      </c>
      <c r="J127" s="9" t="n"/>
    </row>
    <row r="128" ht="18" customHeight="1" s="397">
      <c r="A128" s="33" t="n">
        <v>123</v>
      </c>
      <c r="B128" s="17" t="inlineStr">
        <is>
          <t>330995</t>
        </is>
      </c>
      <c r="C128" s="18" t="n">
        <v>41444</v>
      </c>
      <c r="D128" s="682" t="n">
        <v>80.61</v>
      </c>
      <c r="E128" s="11" t="inlineStr">
        <is>
          <t>S G L CAMBODIA</t>
        </is>
      </c>
      <c r="F128" s="10" t="inlineStr">
        <is>
          <t>100119816</t>
        </is>
      </c>
      <c r="G128" s="17" t="inlineStr">
        <is>
          <t>330995</t>
        </is>
      </c>
      <c r="H128" s="18" t="n">
        <v>41444</v>
      </c>
      <c r="I128" s="682" t="n">
        <v>80.61</v>
      </c>
      <c r="J128" s="9" t="n"/>
    </row>
    <row r="129" ht="18" customHeight="1" s="397">
      <c r="A129" s="33" t="n">
        <v>124</v>
      </c>
      <c r="B129" s="17" t="inlineStr">
        <is>
          <t>331072</t>
        </is>
      </c>
      <c r="C129" s="18" t="n">
        <v>41444</v>
      </c>
      <c r="D129" s="682" t="n">
        <v>22.1</v>
      </c>
      <c r="E129" s="11" t="inlineStr">
        <is>
          <t>S G L CAMBODIA</t>
        </is>
      </c>
      <c r="F129" s="10" t="inlineStr">
        <is>
          <t>100119816</t>
        </is>
      </c>
      <c r="G129" s="17" t="inlineStr">
        <is>
          <t>331072</t>
        </is>
      </c>
      <c r="H129" s="18" t="n">
        <v>41444</v>
      </c>
      <c r="I129" s="682" t="n">
        <v>22.1</v>
      </c>
      <c r="J129" s="9" t="n"/>
    </row>
    <row r="130" ht="18" customHeight="1" s="397">
      <c r="A130" s="33" t="n">
        <v>125</v>
      </c>
      <c r="B130" s="17" t="inlineStr">
        <is>
          <t>331092</t>
        </is>
      </c>
      <c r="C130" s="18" t="n">
        <v>41444</v>
      </c>
      <c r="D130" s="682" t="n">
        <v>52.61</v>
      </c>
      <c r="E130" s="11" t="inlineStr">
        <is>
          <t>S G L CAMBODIA</t>
        </is>
      </c>
      <c r="F130" s="10" t="inlineStr">
        <is>
          <t>100119816</t>
        </is>
      </c>
      <c r="G130" s="17" t="inlineStr">
        <is>
          <t>331092</t>
        </is>
      </c>
      <c r="H130" s="18" t="n">
        <v>41444</v>
      </c>
      <c r="I130" s="682" t="n">
        <v>52.61</v>
      </c>
      <c r="J130" s="9" t="n"/>
    </row>
    <row r="131" ht="18" customHeight="1" s="397">
      <c r="A131" s="33" t="n">
        <v>126</v>
      </c>
      <c r="B131" s="17" t="inlineStr">
        <is>
          <t>331262</t>
        </is>
      </c>
      <c r="C131" s="18" t="n">
        <v>41454</v>
      </c>
      <c r="D131" s="682" t="n">
        <v>69.87</v>
      </c>
      <c r="E131" s="11" t="inlineStr">
        <is>
          <t>S G L CAMBODIA</t>
        </is>
      </c>
      <c r="F131" s="10" t="inlineStr">
        <is>
          <t>100119816</t>
        </is>
      </c>
      <c r="G131" s="17" t="inlineStr">
        <is>
          <t>331262</t>
        </is>
      </c>
      <c r="H131" s="18" t="n">
        <v>41454</v>
      </c>
      <c r="I131" s="682" t="n">
        <v>69.87</v>
      </c>
      <c r="J131" s="9" t="n"/>
    </row>
    <row r="132" ht="18" customHeight="1" s="397">
      <c r="A132" s="33" t="n">
        <v>127</v>
      </c>
      <c r="B132" s="17" t="inlineStr">
        <is>
          <t>331300</t>
        </is>
      </c>
      <c r="C132" s="18" t="n">
        <v>41454</v>
      </c>
      <c r="D132" s="682" t="n">
        <v>82.29000000000001</v>
      </c>
      <c r="E132" s="11" t="inlineStr">
        <is>
          <t>S G L CAMBODIA</t>
        </is>
      </c>
      <c r="F132" s="10" t="inlineStr">
        <is>
          <t>100119816</t>
        </is>
      </c>
      <c r="G132" s="17" t="inlineStr">
        <is>
          <t>331300</t>
        </is>
      </c>
      <c r="H132" s="18" t="n">
        <v>41454</v>
      </c>
      <c r="I132" s="682" t="n">
        <v>82.29000000000001</v>
      </c>
      <c r="J132" s="9" t="n"/>
    </row>
    <row r="133" ht="18" customHeight="1" s="397">
      <c r="A133" s="33" t="n">
        <v>128</v>
      </c>
      <c r="B133" s="17" t="inlineStr">
        <is>
          <t>331366</t>
        </is>
      </c>
      <c r="C133" s="18" t="n">
        <v>41455</v>
      </c>
      <c r="D133" s="682" t="n">
        <v>33.95</v>
      </c>
      <c r="E133" s="11" t="inlineStr">
        <is>
          <t>S G L CAMBODIA</t>
        </is>
      </c>
      <c r="F133" s="10" t="inlineStr">
        <is>
          <t>100119816</t>
        </is>
      </c>
      <c r="G133" s="17" t="inlineStr">
        <is>
          <t>331366</t>
        </is>
      </c>
      <c r="H133" s="18" t="n">
        <v>41455</v>
      </c>
      <c r="I133" s="682" t="n">
        <v>33.95</v>
      </c>
      <c r="J133" s="9" t="n"/>
    </row>
    <row r="134" ht="18" customHeight="1" s="397">
      <c r="A134" s="33" t="n">
        <v>129</v>
      </c>
      <c r="B134" s="17" t="inlineStr">
        <is>
          <t>331152</t>
        </is>
      </c>
      <c r="C134" s="18" t="n">
        <v>41449</v>
      </c>
      <c r="D134" s="682" t="n">
        <v>72.59</v>
      </c>
      <c r="E134" s="11" t="inlineStr">
        <is>
          <t>S G L CAMBODIA</t>
        </is>
      </c>
      <c r="F134" s="10" t="inlineStr">
        <is>
          <t>100119816</t>
        </is>
      </c>
      <c r="G134" s="17" t="inlineStr">
        <is>
          <t>331152</t>
        </is>
      </c>
      <c r="H134" s="18" t="n">
        <v>41449</v>
      </c>
      <c r="I134" s="682" t="n">
        <v>72.59</v>
      </c>
      <c r="J134" s="9" t="n"/>
    </row>
    <row r="135" ht="18" customHeight="1" s="397">
      <c r="A135" s="33" t="n">
        <v>130</v>
      </c>
      <c r="B135" s="17" t="inlineStr">
        <is>
          <t>331161</t>
        </is>
      </c>
      <c r="C135" s="18" t="n">
        <v>41449</v>
      </c>
      <c r="D135" s="682" t="n">
        <v>22.1</v>
      </c>
      <c r="E135" s="11" t="inlineStr">
        <is>
          <t>S G L CAMBODIA</t>
        </is>
      </c>
      <c r="F135" s="10" t="inlineStr">
        <is>
          <t>100119816</t>
        </is>
      </c>
      <c r="G135" s="17" t="inlineStr">
        <is>
          <t>331161</t>
        </is>
      </c>
      <c r="H135" s="18" t="n">
        <v>41449</v>
      </c>
      <c r="I135" s="682" t="n">
        <v>22.1</v>
      </c>
      <c r="J135" s="9" t="n"/>
    </row>
    <row r="136" ht="18" customHeight="1" s="397">
      <c r="A136" s="33" t="n">
        <v>131</v>
      </c>
      <c r="B136" s="17" t="inlineStr">
        <is>
          <t>331205</t>
        </is>
      </c>
      <c r="C136" s="18" t="n">
        <v>41450</v>
      </c>
      <c r="D136" s="682" t="n">
        <v>32.51</v>
      </c>
      <c r="E136" s="11" t="inlineStr">
        <is>
          <t>S G L CAMBODIA</t>
        </is>
      </c>
      <c r="F136" s="10" t="inlineStr">
        <is>
          <t>100119816</t>
        </is>
      </c>
      <c r="G136" s="17" t="inlineStr">
        <is>
          <t>331205</t>
        </is>
      </c>
      <c r="H136" s="18" t="n">
        <v>41450</v>
      </c>
      <c r="I136" s="682" t="n">
        <v>32.51</v>
      </c>
      <c r="J136" s="9" t="n"/>
    </row>
    <row r="137" ht="18" customHeight="1" s="397">
      <c r="A137" s="33" t="n">
        <v>132</v>
      </c>
      <c r="B137" s="17" t="inlineStr">
        <is>
          <t>331457</t>
        </is>
      </c>
      <c r="C137" s="18" t="n">
        <v>41464</v>
      </c>
      <c r="D137" s="682" t="n">
        <v>34.42</v>
      </c>
      <c r="E137" s="11" t="inlineStr">
        <is>
          <t>S G L CAMBODIA</t>
        </is>
      </c>
      <c r="F137" s="10" t="inlineStr">
        <is>
          <t>100119816</t>
        </is>
      </c>
      <c r="G137" s="17" t="inlineStr">
        <is>
          <t>331457</t>
        </is>
      </c>
      <c r="H137" s="18" t="n">
        <v>41464</v>
      </c>
      <c r="I137" s="682" t="n">
        <v>34.42</v>
      </c>
      <c r="J137" s="9" t="n"/>
    </row>
    <row r="138" ht="18" customHeight="1" s="397">
      <c r="A138" s="33" t="n">
        <v>133</v>
      </c>
      <c r="B138" s="17" t="inlineStr">
        <is>
          <t>331512</t>
        </is>
      </c>
      <c r="C138" s="18" t="n">
        <v>41464</v>
      </c>
      <c r="D138" s="682" t="n">
        <v>47.83</v>
      </c>
      <c r="E138" s="11" t="inlineStr">
        <is>
          <t>S G L CAMBODIA</t>
        </is>
      </c>
      <c r="F138" s="10" t="inlineStr">
        <is>
          <t>100119816</t>
        </is>
      </c>
      <c r="G138" s="17" t="inlineStr">
        <is>
          <t>331512</t>
        </is>
      </c>
      <c r="H138" s="18" t="n">
        <v>41464</v>
      </c>
      <c r="I138" s="682" t="n">
        <v>47.83</v>
      </c>
      <c r="J138" s="9" t="n"/>
    </row>
    <row r="139" ht="18" customHeight="1" s="397">
      <c r="A139" s="33" t="n">
        <v>134</v>
      </c>
      <c r="B139" s="17" t="inlineStr">
        <is>
          <t>331515</t>
        </is>
      </c>
      <c r="C139" s="18" t="n">
        <v>41464</v>
      </c>
      <c r="D139" s="682" t="n">
        <v>26.89</v>
      </c>
      <c r="E139" s="11" t="inlineStr">
        <is>
          <t>S G L CAMBODIA</t>
        </is>
      </c>
      <c r="F139" s="10" t="inlineStr">
        <is>
          <t>100119816</t>
        </is>
      </c>
      <c r="G139" s="17" t="inlineStr">
        <is>
          <t>331515</t>
        </is>
      </c>
      <c r="H139" s="18" t="n">
        <v>41464</v>
      </c>
      <c r="I139" s="682" t="n">
        <v>26.89</v>
      </c>
      <c r="J139" s="9" t="n"/>
    </row>
    <row r="140" ht="18" customHeight="1" s="397">
      <c r="A140" s="33" t="n">
        <v>135</v>
      </c>
      <c r="B140" s="17" t="inlineStr">
        <is>
          <t>331530</t>
        </is>
      </c>
      <c r="C140" s="18" t="n">
        <v>41464</v>
      </c>
      <c r="D140" s="682" t="n">
        <v>44.67</v>
      </c>
      <c r="E140" s="11" t="inlineStr">
        <is>
          <t>S G L CAMBODIA</t>
        </is>
      </c>
      <c r="F140" s="10" t="inlineStr">
        <is>
          <t>100119816</t>
        </is>
      </c>
      <c r="G140" s="17" t="inlineStr">
        <is>
          <t>331530</t>
        </is>
      </c>
      <c r="H140" s="18" t="n">
        <v>41464</v>
      </c>
      <c r="I140" s="682" t="n">
        <v>44.67</v>
      </c>
      <c r="J140" s="9" t="n"/>
    </row>
    <row r="141" ht="18" customHeight="1" s="397">
      <c r="A141" s="33" t="n">
        <v>136</v>
      </c>
      <c r="B141" s="17" t="inlineStr">
        <is>
          <t>331554</t>
        </is>
      </c>
      <c r="C141" s="18" t="n">
        <v>41464</v>
      </c>
      <c r="D141" s="682" t="n">
        <v>39.33</v>
      </c>
      <c r="E141" s="11" t="inlineStr">
        <is>
          <t>S G L CAMBODIA</t>
        </is>
      </c>
      <c r="F141" s="10" t="inlineStr">
        <is>
          <t>100119816</t>
        </is>
      </c>
      <c r="G141" s="17" t="inlineStr">
        <is>
          <t>331554</t>
        </is>
      </c>
      <c r="H141" s="18" t="n">
        <v>41464</v>
      </c>
      <c r="I141" s="682" t="n">
        <v>39.33</v>
      </c>
      <c r="J141" s="9" t="n"/>
    </row>
    <row r="142" ht="18" customHeight="1" s="397">
      <c r="A142" s="33" t="n">
        <v>137</v>
      </c>
      <c r="B142" s="17" t="inlineStr">
        <is>
          <t>331577</t>
        </is>
      </c>
      <c r="C142" s="18" t="n">
        <v>41465</v>
      </c>
      <c r="D142" s="682" t="n">
        <v>62.7</v>
      </c>
      <c r="E142" s="11" t="inlineStr">
        <is>
          <t>S G L CAMBODIA</t>
        </is>
      </c>
      <c r="F142" s="10" t="inlineStr">
        <is>
          <t>100119816</t>
        </is>
      </c>
      <c r="G142" s="17" t="inlineStr">
        <is>
          <t>331577</t>
        </is>
      </c>
      <c r="H142" s="18" t="n">
        <v>41465</v>
      </c>
      <c r="I142" s="682" t="n">
        <v>62.7</v>
      </c>
      <c r="J142" s="9" t="n"/>
    </row>
    <row r="143" ht="18" customHeight="1" s="397">
      <c r="A143" s="33" t="n">
        <v>138</v>
      </c>
      <c r="B143" s="17" t="inlineStr">
        <is>
          <t>331592</t>
        </is>
      </c>
      <c r="C143" s="18" t="n">
        <v>41465</v>
      </c>
      <c r="D143" s="682" t="n">
        <v>101.07</v>
      </c>
      <c r="E143" s="11" t="inlineStr">
        <is>
          <t>S G L CAMBODIA</t>
        </is>
      </c>
      <c r="F143" s="10" t="inlineStr">
        <is>
          <t>100119816</t>
        </is>
      </c>
      <c r="G143" s="17" t="inlineStr">
        <is>
          <t>331592</t>
        </is>
      </c>
      <c r="H143" s="18" t="n">
        <v>41465</v>
      </c>
      <c r="I143" s="682" t="n">
        <v>101.07</v>
      </c>
      <c r="J143" s="9" t="n"/>
    </row>
    <row r="144" ht="18" customHeight="1" s="397">
      <c r="A144" s="33" t="n">
        <v>139</v>
      </c>
      <c r="B144" s="17" t="inlineStr">
        <is>
          <t>331607</t>
        </is>
      </c>
      <c r="C144" s="18" t="n">
        <v>41465</v>
      </c>
      <c r="D144" s="682" t="n">
        <v>129.26</v>
      </c>
      <c r="E144" s="11" t="inlineStr">
        <is>
          <t>S G L CAMBODIA</t>
        </is>
      </c>
      <c r="F144" s="10" t="inlineStr">
        <is>
          <t>100119816</t>
        </is>
      </c>
      <c r="G144" s="17" t="inlineStr">
        <is>
          <t>331607</t>
        </is>
      </c>
      <c r="H144" s="18" t="n">
        <v>41465</v>
      </c>
      <c r="I144" s="682" t="n">
        <v>129.26</v>
      </c>
      <c r="J144" s="9" t="n"/>
    </row>
    <row r="145" ht="18" customHeight="1" s="397">
      <c r="A145" s="33" t="n">
        <v>140</v>
      </c>
      <c r="B145" s="17" t="inlineStr">
        <is>
          <t>331711</t>
        </is>
      </c>
      <c r="C145" s="18" t="n">
        <v>41471</v>
      </c>
      <c r="D145" s="682" t="n">
        <v>22.3</v>
      </c>
      <c r="E145" s="11" t="inlineStr">
        <is>
          <t>S G L CAMBODIA</t>
        </is>
      </c>
      <c r="F145" s="10" t="inlineStr">
        <is>
          <t>100119816</t>
        </is>
      </c>
      <c r="G145" s="17" t="inlineStr">
        <is>
          <t>331711</t>
        </is>
      </c>
      <c r="H145" s="18" t="n">
        <v>41471</v>
      </c>
      <c r="I145" s="682" t="n">
        <v>22.3</v>
      </c>
      <c r="J145" s="9" t="n"/>
    </row>
    <row r="146" ht="18" customHeight="1" s="397">
      <c r="A146" s="33" t="n">
        <v>141</v>
      </c>
      <c r="B146" s="17" t="inlineStr">
        <is>
          <t>331720</t>
        </is>
      </c>
      <c r="C146" s="18" t="n">
        <v>41471</v>
      </c>
      <c r="D146" s="682" t="n">
        <v>26.2</v>
      </c>
      <c r="E146" s="11" t="inlineStr">
        <is>
          <t>S G L CAMBODIA</t>
        </is>
      </c>
      <c r="F146" s="10" t="inlineStr">
        <is>
          <t>100119816</t>
        </is>
      </c>
      <c r="G146" s="17" t="inlineStr">
        <is>
          <t>331720</t>
        </is>
      </c>
      <c r="H146" s="18" t="n">
        <v>41471</v>
      </c>
      <c r="I146" s="682" t="n">
        <v>26.2</v>
      </c>
      <c r="J146" s="9" t="n"/>
    </row>
    <row r="147" ht="18" customHeight="1" s="397">
      <c r="A147" s="33" t="n">
        <v>142</v>
      </c>
      <c r="B147" s="17" t="inlineStr">
        <is>
          <t>331722</t>
        </is>
      </c>
      <c r="C147" s="18" t="n">
        <v>41471</v>
      </c>
      <c r="D147" s="682" t="n">
        <v>113.51</v>
      </c>
      <c r="E147" s="11" t="inlineStr">
        <is>
          <t>S G L CAMBODIA</t>
        </is>
      </c>
      <c r="F147" s="10" t="inlineStr">
        <is>
          <t>100119816</t>
        </is>
      </c>
      <c r="G147" s="17" t="inlineStr">
        <is>
          <t>331722</t>
        </is>
      </c>
      <c r="H147" s="18" t="n">
        <v>41471</v>
      </c>
      <c r="I147" s="682" t="n">
        <v>113.51</v>
      </c>
      <c r="J147" s="9" t="n"/>
    </row>
    <row r="148" ht="18" customHeight="1" s="397">
      <c r="A148" s="33" t="n">
        <v>143</v>
      </c>
      <c r="B148" s="17" t="inlineStr">
        <is>
          <t>331728</t>
        </is>
      </c>
      <c r="C148" s="18" t="n">
        <v>41471</v>
      </c>
      <c r="D148" s="682" t="n">
        <v>35.22</v>
      </c>
      <c r="E148" s="11" t="inlineStr">
        <is>
          <t>S G L CAMBODIA</t>
        </is>
      </c>
      <c r="F148" s="10" t="inlineStr">
        <is>
          <t>100119816</t>
        </is>
      </c>
      <c r="G148" s="17" t="inlineStr">
        <is>
          <t>331728</t>
        </is>
      </c>
      <c r="H148" s="18" t="n">
        <v>41471</v>
      </c>
      <c r="I148" s="682" t="n">
        <v>35.22</v>
      </c>
      <c r="J148" s="9" t="n"/>
    </row>
    <row r="149" ht="18" customHeight="1" s="397">
      <c r="A149" s="33" t="n">
        <v>144</v>
      </c>
      <c r="B149" s="17" t="inlineStr">
        <is>
          <t>331731</t>
        </is>
      </c>
      <c r="C149" s="18" t="n">
        <v>41471</v>
      </c>
      <c r="D149" s="682" t="n">
        <v>72.79000000000001</v>
      </c>
      <c r="E149" s="11" t="inlineStr">
        <is>
          <t>S G L CAMBODIA</t>
        </is>
      </c>
      <c r="F149" s="10" t="inlineStr">
        <is>
          <t>100119816</t>
        </is>
      </c>
      <c r="G149" s="17" t="inlineStr">
        <is>
          <t>331731</t>
        </is>
      </c>
      <c r="H149" s="18" t="n">
        <v>41471</v>
      </c>
      <c r="I149" s="682" t="n">
        <v>72.79000000000001</v>
      </c>
      <c r="J149" s="9" t="n"/>
    </row>
    <row r="150" ht="18" customHeight="1" s="397">
      <c r="A150" s="33" t="n">
        <v>145</v>
      </c>
      <c r="B150" s="17" t="inlineStr">
        <is>
          <t>331738</t>
        </is>
      </c>
      <c r="C150" s="18" t="n">
        <v>41471</v>
      </c>
      <c r="D150" s="682" t="n">
        <v>26.6</v>
      </c>
      <c r="E150" s="11" t="inlineStr">
        <is>
          <t>S G L CAMBODIA</t>
        </is>
      </c>
      <c r="F150" s="10" t="inlineStr">
        <is>
          <t>100119816</t>
        </is>
      </c>
      <c r="G150" s="17" t="inlineStr">
        <is>
          <t>331738</t>
        </is>
      </c>
      <c r="H150" s="18" t="n">
        <v>41471</v>
      </c>
      <c r="I150" s="682" t="n">
        <v>26.6</v>
      </c>
      <c r="J150" s="9" t="n"/>
    </row>
    <row r="151" ht="18" customHeight="1" s="397">
      <c r="A151" s="33" t="n">
        <v>146</v>
      </c>
      <c r="B151" s="17" t="inlineStr">
        <is>
          <t>331750</t>
        </is>
      </c>
      <c r="C151" s="18" t="n">
        <v>41471</v>
      </c>
      <c r="D151" s="682" t="n">
        <v>26.55</v>
      </c>
      <c r="E151" s="11" t="inlineStr">
        <is>
          <t>S G L CAMBODIA</t>
        </is>
      </c>
      <c r="F151" s="10" t="inlineStr">
        <is>
          <t>100119816</t>
        </is>
      </c>
      <c r="G151" s="17" t="inlineStr">
        <is>
          <t>331750</t>
        </is>
      </c>
      <c r="H151" s="18" t="n">
        <v>41471</v>
      </c>
      <c r="I151" s="682" t="n">
        <v>26.55</v>
      </c>
      <c r="J151" s="9" t="n"/>
    </row>
    <row r="152" ht="18" customHeight="1" s="397">
      <c r="A152" s="33" t="n">
        <v>147</v>
      </c>
      <c r="B152" s="17" t="inlineStr">
        <is>
          <t>331843</t>
        </is>
      </c>
      <c r="C152" s="18" t="n">
        <v>41477</v>
      </c>
      <c r="D152" s="682" t="n">
        <v>51.32</v>
      </c>
      <c r="E152" s="11" t="inlineStr">
        <is>
          <t>S G L CAMBODIA</t>
        </is>
      </c>
      <c r="F152" s="10" t="inlineStr">
        <is>
          <t>100119816</t>
        </is>
      </c>
      <c r="G152" s="17" t="inlineStr">
        <is>
          <t>331843</t>
        </is>
      </c>
      <c r="H152" s="18" t="n">
        <v>41477</v>
      </c>
      <c r="I152" s="682" t="n">
        <v>51.32</v>
      </c>
      <c r="J152" s="9" t="n"/>
    </row>
    <row r="153" ht="18" customHeight="1" s="397">
      <c r="A153" s="33" t="n">
        <v>148</v>
      </c>
      <c r="B153" s="17" t="inlineStr">
        <is>
          <t>331877</t>
        </is>
      </c>
      <c r="C153" s="18" t="n">
        <v>41478</v>
      </c>
      <c r="D153" s="682" t="n">
        <v>26.96</v>
      </c>
      <c r="E153" s="11" t="inlineStr">
        <is>
          <t>S G L CAMBODIA</t>
        </is>
      </c>
      <c r="F153" s="10" t="inlineStr">
        <is>
          <t>100119816</t>
        </is>
      </c>
      <c r="G153" s="17" t="inlineStr">
        <is>
          <t>331877</t>
        </is>
      </c>
      <c r="H153" s="18" t="n">
        <v>41478</v>
      </c>
      <c r="I153" s="682" t="n">
        <v>26.96</v>
      </c>
      <c r="J153" s="9" t="n"/>
    </row>
    <row r="154" ht="18" customHeight="1" s="397">
      <c r="A154" s="33" t="n">
        <v>149</v>
      </c>
      <c r="B154" s="17" t="inlineStr">
        <is>
          <t>331884</t>
        </is>
      </c>
      <c r="C154" s="18" t="n">
        <v>41478</v>
      </c>
      <c r="D154" s="682" t="n">
        <v>52.06</v>
      </c>
      <c r="E154" s="11" t="inlineStr">
        <is>
          <t>S G L CAMBODIA</t>
        </is>
      </c>
      <c r="F154" s="10" t="inlineStr">
        <is>
          <t>100119816</t>
        </is>
      </c>
      <c r="G154" s="17" t="inlineStr">
        <is>
          <t>331884</t>
        </is>
      </c>
      <c r="H154" s="18" t="n">
        <v>41478</v>
      </c>
      <c r="I154" s="682" t="n">
        <v>52.06</v>
      </c>
      <c r="J154" s="9" t="n"/>
    </row>
    <row r="155" ht="18" customHeight="1" s="397">
      <c r="A155" s="33" t="n">
        <v>150</v>
      </c>
      <c r="B155" s="17" t="inlineStr">
        <is>
          <t>331986</t>
        </is>
      </c>
      <c r="C155" s="18" t="n">
        <v>41484</v>
      </c>
      <c r="D155" s="682" t="n">
        <v>26.2</v>
      </c>
      <c r="E155" s="11" t="inlineStr">
        <is>
          <t>S G L CAMBODIA</t>
        </is>
      </c>
      <c r="F155" s="10" t="inlineStr">
        <is>
          <t>100119816</t>
        </is>
      </c>
      <c r="G155" s="17" t="inlineStr">
        <is>
          <t>331986</t>
        </is>
      </c>
      <c r="H155" s="18" t="n">
        <v>41484</v>
      </c>
      <c r="I155" s="682" t="n">
        <v>26.2</v>
      </c>
      <c r="J155" s="9" t="n"/>
    </row>
    <row r="156" ht="18" customHeight="1" s="397">
      <c r="A156" s="33" t="n">
        <v>151</v>
      </c>
      <c r="B156" s="17" t="inlineStr">
        <is>
          <t>331993</t>
        </is>
      </c>
      <c r="C156" s="18" t="n">
        <v>41484</v>
      </c>
      <c r="D156" s="682" t="n">
        <v>5</v>
      </c>
      <c r="E156" s="11" t="inlineStr">
        <is>
          <t>S G L CAMBODIA</t>
        </is>
      </c>
      <c r="F156" s="10" t="inlineStr">
        <is>
          <t>100119816</t>
        </is>
      </c>
      <c r="G156" s="17" t="inlineStr">
        <is>
          <t>331993</t>
        </is>
      </c>
      <c r="H156" s="18" t="n">
        <v>41484</v>
      </c>
      <c r="I156" s="682" t="n">
        <v>5</v>
      </c>
      <c r="J156" s="9" t="n"/>
    </row>
    <row r="157" ht="18" customHeight="1" s="397">
      <c r="A157" s="33" t="n">
        <v>152</v>
      </c>
      <c r="B157" s="17" t="inlineStr">
        <is>
          <t>332045</t>
        </is>
      </c>
      <c r="C157" s="18" t="n">
        <v>41485</v>
      </c>
      <c r="D157" s="682" t="n">
        <v>29.73</v>
      </c>
      <c r="E157" s="11" t="inlineStr">
        <is>
          <t>S G L CAMBODIA</t>
        </is>
      </c>
      <c r="F157" s="10" t="inlineStr">
        <is>
          <t>100119816</t>
        </is>
      </c>
      <c r="G157" s="17" t="inlineStr">
        <is>
          <t>332045</t>
        </is>
      </c>
      <c r="H157" s="18" t="n">
        <v>41485</v>
      </c>
      <c r="I157" s="682" t="n">
        <v>29.73</v>
      </c>
      <c r="J157" s="9" t="n"/>
    </row>
    <row r="158" ht="18" customHeight="1" s="397">
      <c r="A158" s="33" t="n">
        <v>153</v>
      </c>
      <c r="B158" s="17" t="inlineStr">
        <is>
          <t>332112</t>
        </is>
      </c>
      <c r="C158" s="18" t="n">
        <v>41491</v>
      </c>
      <c r="D158" s="682" t="n">
        <v>26.32</v>
      </c>
      <c r="E158" s="11" t="inlineStr">
        <is>
          <t>S G L CAMBODIA</t>
        </is>
      </c>
      <c r="F158" s="10" t="inlineStr">
        <is>
          <t>100119816</t>
        </is>
      </c>
      <c r="G158" s="17" t="inlineStr">
        <is>
          <t>332112</t>
        </is>
      </c>
      <c r="H158" s="18" t="n">
        <v>41491</v>
      </c>
      <c r="I158" s="682" t="n">
        <v>26.32</v>
      </c>
      <c r="J158" s="9" t="n"/>
    </row>
    <row r="159" ht="18" customHeight="1" s="397">
      <c r="A159" s="33" t="n">
        <v>154</v>
      </c>
      <c r="B159" s="17" t="inlineStr">
        <is>
          <t>332140</t>
        </is>
      </c>
      <c r="C159" s="18" t="n">
        <v>41491</v>
      </c>
      <c r="D159" s="682" t="n">
        <v>30.9</v>
      </c>
      <c r="E159" s="11" t="inlineStr">
        <is>
          <t>S G L CAMBODIA</t>
        </is>
      </c>
      <c r="F159" s="10" t="inlineStr">
        <is>
          <t>100119816</t>
        </is>
      </c>
      <c r="G159" s="17" t="inlineStr">
        <is>
          <t>332140</t>
        </is>
      </c>
      <c r="H159" s="18" t="n">
        <v>41491</v>
      </c>
      <c r="I159" s="682" t="n">
        <v>30.9</v>
      </c>
      <c r="J159" s="9" t="n"/>
    </row>
    <row r="160" ht="18" customHeight="1" s="397">
      <c r="A160" s="33" t="n">
        <v>155</v>
      </c>
      <c r="B160" s="17" t="inlineStr">
        <is>
          <t>332188</t>
        </is>
      </c>
      <c r="C160" s="18" t="n">
        <v>41492</v>
      </c>
      <c r="D160" s="682" t="n">
        <v>48.13</v>
      </c>
      <c r="E160" s="11" t="inlineStr">
        <is>
          <t>S G L CAMBODIA</t>
        </is>
      </c>
      <c r="F160" s="10" t="inlineStr">
        <is>
          <t>100119816</t>
        </is>
      </c>
      <c r="G160" s="17" t="inlineStr">
        <is>
          <t>332188</t>
        </is>
      </c>
      <c r="H160" s="18" t="n">
        <v>41492</v>
      </c>
      <c r="I160" s="682" t="n">
        <v>48.13</v>
      </c>
      <c r="J160" s="9" t="n"/>
    </row>
    <row r="161" ht="18" customHeight="1" s="397">
      <c r="A161" s="33" t="n">
        <v>156</v>
      </c>
      <c r="B161" s="17" t="inlineStr">
        <is>
          <t>332194</t>
        </is>
      </c>
      <c r="C161" s="18" t="n">
        <v>41492</v>
      </c>
      <c r="D161" s="682" t="n">
        <v>25.81</v>
      </c>
      <c r="E161" s="11" t="inlineStr">
        <is>
          <t>S G L CAMBODIA</t>
        </is>
      </c>
      <c r="F161" s="10" t="inlineStr">
        <is>
          <t>100119816</t>
        </is>
      </c>
      <c r="G161" s="17" t="inlineStr">
        <is>
          <t>332194</t>
        </is>
      </c>
      <c r="H161" s="18" t="n">
        <v>41492</v>
      </c>
      <c r="I161" s="682" t="n">
        <v>25.81</v>
      </c>
      <c r="J161" s="9" t="n"/>
    </row>
    <row r="162" ht="18" customHeight="1" s="397">
      <c r="A162" s="33" t="n">
        <v>157</v>
      </c>
      <c r="B162" s="17" t="inlineStr">
        <is>
          <t>332202</t>
        </is>
      </c>
      <c r="C162" s="18" t="n">
        <v>41492</v>
      </c>
      <c r="D162" s="682" t="n">
        <v>39.69</v>
      </c>
      <c r="E162" s="11" t="inlineStr">
        <is>
          <t>S G L CAMBODIA</t>
        </is>
      </c>
      <c r="F162" s="10" t="inlineStr">
        <is>
          <t>100119816</t>
        </is>
      </c>
      <c r="G162" s="17" t="inlineStr">
        <is>
          <t>332202</t>
        </is>
      </c>
      <c r="H162" s="18" t="n">
        <v>41492</v>
      </c>
      <c r="I162" s="682" t="n">
        <v>39.69</v>
      </c>
      <c r="J162" s="9" t="n"/>
    </row>
    <row r="163" ht="18" customHeight="1" s="397">
      <c r="A163" s="33" t="n">
        <v>158</v>
      </c>
      <c r="B163" s="17" t="inlineStr">
        <is>
          <t>332221</t>
        </is>
      </c>
      <c r="C163" s="18" t="n">
        <v>41492</v>
      </c>
      <c r="D163" s="682" t="n">
        <v>75.8</v>
      </c>
      <c r="E163" s="11" t="inlineStr">
        <is>
          <t>S G L CAMBODIA</t>
        </is>
      </c>
      <c r="F163" s="10" t="inlineStr">
        <is>
          <t>100119816</t>
        </is>
      </c>
      <c r="G163" s="17" t="inlineStr">
        <is>
          <t>332221</t>
        </is>
      </c>
      <c r="H163" s="18" t="n">
        <v>41492</v>
      </c>
      <c r="I163" s="682" t="n">
        <v>75.8</v>
      </c>
      <c r="J163" s="9" t="n"/>
    </row>
    <row r="164" ht="18" customHeight="1" s="397">
      <c r="A164" s="33" t="n">
        <v>159</v>
      </c>
      <c r="B164" s="17" t="inlineStr">
        <is>
          <t>332347</t>
        </is>
      </c>
      <c r="C164" s="18" t="n">
        <v>41499</v>
      </c>
      <c r="D164" s="682" t="n">
        <v>61.05</v>
      </c>
      <c r="E164" s="11" t="inlineStr">
        <is>
          <t>S G L CAMBODIA</t>
        </is>
      </c>
      <c r="F164" s="10" t="inlineStr">
        <is>
          <t>100119816</t>
        </is>
      </c>
      <c r="G164" s="17" t="inlineStr">
        <is>
          <t>332347</t>
        </is>
      </c>
      <c r="H164" s="18" t="n">
        <v>41499</v>
      </c>
      <c r="I164" s="682" t="n">
        <v>61.05</v>
      </c>
      <c r="J164" s="9" t="n"/>
    </row>
    <row r="165" ht="18" customHeight="1" s="397">
      <c r="A165" s="33" t="n">
        <v>160</v>
      </c>
      <c r="B165" s="17" t="inlineStr">
        <is>
          <t>332372</t>
        </is>
      </c>
      <c r="C165" s="18" t="n">
        <v>41499</v>
      </c>
      <c r="D165" s="682" t="n">
        <v>35.53</v>
      </c>
      <c r="E165" s="11" t="inlineStr">
        <is>
          <t>S G L CAMBODIA</t>
        </is>
      </c>
      <c r="F165" s="10" t="inlineStr">
        <is>
          <t>100119816</t>
        </is>
      </c>
      <c r="G165" s="17" t="inlineStr">
        <is>
          <t>332372</t>
        </is>
      </c>
      <c r="H165" s="18" t="n">
        <v>41499</v>
      </c>
      <c r="I165" s="682" t="n">
        <v>35.53</v>
      </c>
      <c r="J165" s="9" t="n"/>
    </row>
    <row r="166" ht="18" customHeight="1" s="397">
      <c r="A166" s="33" t="n">
        <v>161</v>
      </c>
      <c r="B166" s="17" t="inlineStr">
        <is>
          <t>332400</t>
        </is>
      </c>
      <c r="C166" s="18" t="n">
        <v>41499</v>
      </c>
      <c r="D166" s="682" t="n">
        <v>63.41</v>
      </c>
      <c r="E166" s="11" t="inlineStr">
        <is>
          <t>S G L CAMBODIA</t>
        </is>
      </c>
      <c r="F166" s="10" t="inlineStr">
        <is>
          <t>100119816</t>
        </is>
      </c>
      <c r="G166" s="17" t="inlineStr">
        <is>
          <t>332400</t>
        </is>
      </c>
      <c r="H166" s="18" t="n">
        <v>41499</v>
      </c>
      <c r="I166" s="682" t="n">
        <v>63.41</v>
      </c>
      <c r="J166" s="9" t="n"/>
    </row>
    <row r="167" ht="18" customHeight="1" s="397">
      <c r="A167" s="33" t="n">
        <v>162</v>
      </c>
      <c r="B167" s="17" t="inlineStr">
        <is>
          <t>332409</t>
        </is>
      </c>
      <c r="C167" s="18" t="n">
        <v>41499</v>
      </c>
      <c r="D167" s="682" t="n">
        <v>35.31</v>
      </c>
      <c r="E167" s="11" t="inlineStr">
        <is>
          <t>S G L CAMBODIA</t>
        </is>
      </c>
      <c r="F167" s="10" t="inlineStr">
        <is>
          <t>100119816</t>
        </is>
      </c>
      <c r="G167" s="17" t="inlineStr">
        <is>
          <t>332409</t>
        </is>
      </c>
      <c r="H167" s="18" t="n">
        <v>41499</v>
      </c>
      <c r="I167" s="682" t="n">
        <v>35.31</v>
      </c>
      <c r="J167" s="9" t="n"/>
    </row>
    <row r="168" ht="18" customHeight="1" s="397">
      <c r="A168" s="33" t="n">
        <v>163</v>
      </c>
      <c r="B168" s="17" t="inlineStr">
        <is>
          <t>332503</t>
        </is>
      </c>
      <c r="C168" s="18" t="n">
        <v>41506</v>
      </c>
      <c r="D168" s="682" t="n">
        <v>22.3</v>
      </c>
      <c r="E168" s="11" t="inlineStr">
        <is>
          <t>S G L CAMBODIA</t>
        </is>
      </c>
      <c r="F168" s="10" t="inlineStr">
        <is>
          <t>100119816</t>
        </is>
      </c>
      <c r="G168" s="17" t="inlineStr">
        <is>
          <t>332503</t>
        </is>
      </c>
      <c r="H168" s="18" t="n">
        <v>41506</v>
      </c>
      <c r="I168" s="682" t="n">
        <v>22.3</v>
      </c>
      <c r="J168" s="9" t="n"/>
    </row>
    <row r="169" ht="18" customHeight="1" s="397">
      <c r="A169" s="33" t="n">
        <v>164</v>
      </c>
      <c r="B169" s="17" t="inlineStr">
        <is>
          <t>332504</t>
        </is>
      </c>
      <c r="C169" s="18" t="n">
        <v>41506</v>
      </c>
      <c r="D169" s="682" t="n">
        <v>22.74</v>
      </c>
      <c r="E169" s="11" t="inlineStr">
        <is>
          <t>S G L CAMBODIA</t>
        </is>
      </c>
      <c r="F169" s="10" t="inlineStr">
        <is>
          <t>100119816</t>
        </is>
      </c>
      <c r="G169" s="17" t="inlineStr">
        <is>
          <t>332504</t>
        </is>
      </c>
      <c r="H169" s="18" t="n">
        <v>41506</v>
      </c>
      <c r="I169" s="682" t="n">
        <v>22.74</v>
      </c>
      <c r="J169" s="9" t="n"/>
    </row>
    <row r="170" ht="18" customHeight="1" s="397">
      <c r="A170" s="33" t="n">
        <v>165</v>
      </c>
      <c r="B170" s="17" t="inlineStr">
        <is>
          <t>332506</t>
        </is>
      </c>
      <c r="C170" s="18" t="n">
        <v>41506</v>
      </c>
      <c r="D170" s="682" t="n">
        <v>38.68</v>
      </c>
      <c r="E170" s="11" t="inlineStr">
        <is>
          <t>S G L CAMBODIA</t>
        </is>
      </c>
      <c r="F170" s="10" t="inlineStr">
        <is>
          <t>100119816</t>
        </is>
      </c>
      <c r="G170" s="17" t="inlineStr">
        <is>
          <t>332506</t>
        </is>
      </c>
      <c r="H170" s="18" t="n">
        <v>41506</v>
      </c>
      <c r="I170" s="682" t="n">
        <v>38.68</v>
      </c>
      <c r="J170" s="9" t="n"/>
    </row>
    <row r="171" ht="18" customHeight="1" s="397">
      <c r="A171" s="33" t="n">
        <v>166</v>
      </c>
      <c r="B171" s="17" t="inlineStr">
        <is>
          <t>332527</t>
        </is>
      </c>
      <c r="C171" s="18" t="n">
        <v>41506</v>
      </c>
      <c r="D171" s="682" t="n">
        <v>95.64</v>
      </c>
      <c r="E171" s="11" t="inlineStr">
        <is>
          <t>S G L CAMBODIA</t>
        </is>
      </c>
      <c r="F171" s="10" t="inlineStr">
        <is>
          <t>100119816</t>
        </is>
      </c>
      <c r="G171" s="17" t="inlineStr">
        <is>
          <t>332527</t>
        </is>
      </c>
      <c r="H171" s="18" t="n">
        <v>41506</v>
      </c>
      <c r="I171" s="682" t="n">
        <v>95.64</v>
      </c>
      <c r="J171" s="9" t="n"/>
    </row>
    <row r="172" ht="18" customHeight="1" s="397">
      <c r="A172" s="33" t="n">
        <v>167</v>
      </c>
      <c r="B172" s="17" t="inlineStr">
        <is>
          <t>332539</t>
        </is>
      </c>
      <c r="C172" s="18" t="n">
        <v>41506</v>
      </c>
      <c r="D172" s="682" t="n">
        <v>22.34</v>
      </c>
      <c r="E172" s="11" t="inlineStr">
        <is>
          <t>S G L CAMBODIA</t>
        </is>
      </c>
      <c r="F172" s="10" t="inlineStr">
        <is>
          <t>100119816</t>
        </is>
      </c>
      <c r="G172" s="17" t="inlineStr">
        <is>
          <t>332539</t>
        </is>
      </c>
      <c r="H172" s="18" t="n">
        <v>41506</v>
      </c>
      <c r="I172" s="682" t="n">
        <v>22.34</v>
      </c>
      <c r="J172" s="9" t="n"/>
    </row>
    <row r="173" ht="18" customHeight="1" s="397">
      <c r="A173" s="33" t="n">
        <v>168</v>
      </c>
      <c r="B173" s="17" t="inlineStr">
        <is>
          <t>332635</t>
        </is>
      </c>
      <c r="C173" s="18" t="n">
        <v>41512</v>
      </c>
      <c r="D173" s="682" t="n">
        <v>27.28</v>
      </c>
      <c r="E173" s="11" t="inlineStr">
        <is>
          <t>S G L CAMBODIA</t>
        </is>
      </c>
      <c r="F173" s="10" t="inlineStr">
        <is>
          <t>100119816</t>
        </is>
      </c>
      <c r="G173" s="17" t="inlineStr">
        <is>
          <t>332635</t>
        </is>
      </c>
      <c r="H173" s="18" t="n">
        <v>41512</v>
      </c>
      <c r="I173" s="682" t="n">
        <v>27.28</v>
      </c>
      <c r="J173" s="9" t="n"/>
    </row>
    <row r="174" ht="18" customHeight="1" s="397">
      <c r="A174" s="33" t="n">
        <v>169</v>
      </c>
      <c r="B174" s="17" t="inlineStr">
        <is>
          <t>332640</t>
        </is>
      </c>
      <c r="C174" s="18" t="n">
        <v>41512</v>
      </c>
      <c r="D174" s="682" t="n">
        <v>86.19</v>
      </c>
      <c r="E174" s="11" t="inlineStr">
        <is>
          <t>S G L CAMBODIA</t>
        </is>
      </c>
      <c r="F174" s="10" t="inlineStr">
        <is>
          <t>100119816</t>
        </is>
      </c>
      <c r="G174" s="17" t="inlineStr">
        <is>
          <t>332640</t>
        </is>
      </c>
      <c r="H174" s="18" t="n">
        <v>41512</v>
      </c>
      <c r="I174" s="682" t="n">
        <v>86.19</v>
      </c>
      <c r="J174" s="9" t="n"/>
    </row>
    <row r="175" ht="18" customHeight="1" s="397">
      <c r="A175" s="33" t="n">
        <v>170</v>
      </c>
      <c r="B175" s="17" t="inlineStr">
        <is>
          <t>332688</t>
        </is>
      </c>
      <c r="C175" s="18" t="n">
        <v>41513</v>
      </c>
      <c r="D175" s="682" t="n">
        <v>33.75</v>
      </c>
      <c r="E175" s="11" t="inlineStr">
        <is>
          <t>S G L CAMBODIA</t>
        </is>
      </c>
      <c r="F175" s="10" t="inlineStr">
        <is>
          <t>100119816</t>
        </is>
      </c>
      <c r="G175" s="17" t="inlineStr">
        <is>
          <t>332688</t>
        </is>
      </c>
      <c r="H175" s="18" t="n">
        <v>41513</v>
      </c>
      <c r="I175" s="682" t="n">
        <v>33.75</v>
      </c>
      <c r="J175" s="9" t="n"/>
    </row>
    <row r="176" ht="18" customHeight="1" s="397">
      <c r="A176" s="33" t="n">
        <v>171</v>
      </c>
      <c r="B176" s="17" t="inlineStr">
        <is>
          <t>332748</t>
        </is>
      </c>
      <c r="C176" s="18" t="n">
        <v>41519</v>
      </c>
      <c r="D176" s="682" t="n">
        <v>24.84</v>
      </c>
      <c r="E176" s="11" t="inlineStr">
        <is>
          <t>S G L CAMBODIA</t>
        </is>
      </c>
      <c r="F176" s="10" t="inlineStr">
        <is>
          <t>100119816</t>
        </is>
      </c>
      <c r="G176" s="17" t="inlineStr">
        <is>
          <t>332748</t>
        </is>
      </c>
      <c r="H176" s="18" t="n">
        <v>41519</v>
      </c>
      <c r="I176" s="682" t="n">
        <v>24.84</v>
      </c>
      <c r="J176" s="9" t="n"/>
    </row>
    <row r="177" ht="18" customHeight="1" s="397">
      <c r="A177" s="33" t="n">
        <v>172</v>
      </c>
      <c r="B177" s="17" t="inlineStr">
        <is>
          <t>332794</t>
        </is>
      </c>
      <c r="C177" s="18" t="n">
        <v>41520</v>
      </c>
      <c r="D177" s="682" t="n">
        <v>26.6</v>
      </c>
      <c r="E177" s="11" t="inlineStr">
        <is>
          <t>S G L CAMBODIA</t>
        </is>
      </c>
      <c r="F177" s="10" t="inlineStr">
        <is>
          <t>100119816</t>
        </is>
      </c>
      <c r="G177" s="17" t="inlineStr">
        <is>
          <t>332794</t>
        </is>
      </c>
      <c r="H177" s="18" t="n">
        <v>41520</v>
      </c>
      <c r="I177" s="682" t="n">
        <v>26.6</v>
      </c>
      <c r="J177" s="9" t="n"/>
    </row>
    <row r="178" ht="18" customHeight="1" s="397">
      <c r="A178" s="33" t="n">
        <v>173</v>
      </c>
      <c r="B178" s="17" t="inlineStr">
        <is>
          <t>332803</t>
        </is>
      </c>
      <c r="C178" s="18" t="n">
        <v>41520</v>
      </c>
      <c r="D178" s="682" t="n">
        <v>51.81</v>
      </c>
      <c r="E178" s="11" t="inlineStr">
        <is>
          <t>S G L CAMBODIA</t>
        </is>
      </c>
      <c r="F178" s="10" t="inlineStr">
        <is>
          <t>100119816</t>
        </is>
      </c>
      <c r="G178" s="17" t="inlineStr">
        <is>
          <t>332803</t>
        </is>
      </c>
      <c r="H178" s="18" t="n">
        <v>41520</v>
      </c>
      <c r="I178" s="682" t="n">
        <v>51.81</v>
      </c>
      <c r="J178" s="9" t="n"/>
    </row>
    <row r="179" ht="18" customHeight="1" s="397">
      <c r="A179" s="33" t="n">
        <v>174</v>
      </c>
      <c r="B179" s="17" t="inlineStr">
        <is>
          <t>332805</t>
        </is>
      </c>
      <c r="C179" s="18" t="n">
        <v>41520</v>
      </c>
      <c r="D179" s="682" t="n">
        <v>36.48</v>
      </c>
      <c r="E179" s="11" t="inlineStr">
        <is>
          <t>S G L CAMBODIA</t>
        </is>
      </c>
      <c r="F179" s="10" t="inlineStr">
        <is>
          <t>100119816</t>
        </is>
      </c>
      <c r="G179" s="17" t="inlineStr">
        <is>
          <t>332805</t>
        </is>
      </c>
      <c r="H179" s="18" t="n">
        <v>41520</v>
      </c>
      <c r="I179" s="682" t="n">
        <v>36.48</v>
      </c>
      <c r="J179" s="9" t="n"/>
    </row>
    <row r="180" ht="18" customHeight="1" s="397">
      <c r="A180" s="33" t="n">
        <v>175</v>
      </c>
      <c r="B180" s="17" t="inlineStr">
        <is>
          <t>332880</t>
        </is>
      </c>
      <c r="C180" s="18" t="n">
        <v>41526</v>
      </c>
      <c r="D180" s="682" t="n">
        <v>5</v>
      </c>
      <c r="E180" s="11" t="inlineStr">
        <is>
          <t>S G L CAMBODIA</t>
        </is>
      </c>
      <c r="F180" s="10" t="inlineStr">
        <is>
          <t>100119816</t>
        </is>
      </c>
      <c r="G180" s="17" t="inlineStr">
        <is>
          <t>332880</t>
        </is>
      </c>
      <c r="H180" s="18" t="n">
        <v>41526</v>
      </c>
      <c r="I180" s="682" t="n">
        <v>5</v>
      </c>
      <c r="J180" s="9" t="n"/>
    </row>
    <row r="181" ht="18" customHeight="1" s="397">
      <c r="A181" s="33" t="n">
        <v>176</v>
      </c>
      <c r="B181" s="17" t="inlineStr">
        <is>
          <t>332907</t>
        </is>
      </c>
      <c r="C181" s="18" t="n">
        <v>41527</v>
      </c>
      <c r="D181" s="682" t="n">
        <v>44.95</v>
      </c>
      <c r="E181" s="11" t="inlineStr">
        <is>
          <t>S G L CAMBODIA</t>
        </is>
      </c>
      <c r="F181" s="10" t="inlineStr">
        <is>
          <t>100119816</t>
        </is>
      </c>
      <c r="G181" s="17" t="inlineStr">
        <is>
          <t>332907</t>
        </is>
      </c>
      <c r="H181" s="18" t="n">
        <v>41527</v>
      </c>
      <c r="I181" s="682" t="n">
        <v>44.95</v>
      </c>
      <c r="J181" s="9" t="n"/>
    </row>
    <row r="182" ht="18" customHeight="1" s="397">
      <c r="A182" s="33" t="n">
        <v>177</v>
      </c>
      <c r="B182" s="17" t="inlineStr">
        <is>
          <t>332919</t>
        </is>
      </c>
      <c r="C182" s="18" t="n">
        <v>41527</v>
      </c>
      <c r="D182" s="682" t="n">
        <v>33.31</v>
      </c>
      <c r="E182" s="11" t="inlineStr">
        <is>
          <t>S G L CAMBODIA</t>
        </is>
      </c>
      <c r="F182" s="10" t="inlineStr">
        <is>
          <t>100119816</t>
        </is>
      </c>
      <c r="G182" s="17" t="inlineStr">
        <is>
          <t>332919</t>
        </is>
      </c>
      <c r="H182" s="18" t="n">
        <v>41527</v>
      </c>
      <c r="I182" s="682" t="n">
        <v>33.31</v>
      </c>
      <c r="J182" s="9" t="n"/>
    </row>
    <row r="183" ht="18" customHeight="1" s="397">
      <c r="A183" s="33" t="n">
        <v>178</v>
      </c>
      <c r="B183" s="17" t="inlineStr">
        <is>
          <t>332967</t>
        </is>
      </c>
      <c r="C183" s="18" t="n">
        <v>41527</v>
      </c>
      <c r="D183" s="682" t="n">
        <v>22.51</v>
      </c>
      <c r="E183" s="11" t="inlineStr">
        <is>
          <t>S G L CAMBODIA</t>
        </is>
      </c>
      <c r="F183" s="10" t="inlineStr">
        <is>
          <t>100119816</t>
        </is>
      </c>
      <c r="G183" s="17" t="inlineStr">
        <is>
          <t>332967</t>
        </is>
      </c>
      <c r="H183" s="18" t="n">
        <v>41527</v>
      </c>
      <c r="I183" s="682" t="n">
        <v>22.51</v>
      </c>
      <c r="J183" s="9" t="n"/>
    </row>
    <row r="184" ht="18" customHeight="1" s="397">
      <c r="A184" s="33" t="n">
        <v>179</v>
      </c>
      <c r="B184" s="17" t="inlineStr">
        <is>
          <t>332988</t>
        </is>
      </c>
      <c r="C184" s="18" t="n">
        <v>41528</v>
      </c>
      <c r="D184" s="682" t="n">
        <v>28.01</v>
      </c>
      <c r="E184" s="11" t="inlineStr">
        <is>
          <t>S G L CAMBODIA</t>
        </is>
      </c>
      <c r="F184" s="10" t="inlineStr">
        <is>
          <t>100119816</t>
        </is>
      </c>
      <c r="G184" s="17" t="inlineStr">
        <is>
          <t>332988</t>
        </is>
      </c>
      <c r="H184" s="18" t="n">
        <v>41528</v>
      </c>
      <c r="I184" s="682" t="n">
        <v>28.01</v>
      </c>
      <c r="J184" s="9" t="n"/>
    </row>
    <row r="185" ht="18" customHeight="1" s="397">
      <c r="A185" s="33" t="n">
        <v>180</v>
      </c>
      <c r="B185" s="17" t="inlineStr">
        <is>
          <t>333011</t>
        </is>
      </c>
      <c r="C185" s="18" t="n">
        <v>41528</v>
      </c>
      <c r="D185" s="682" t="n">
        <v>86.56999999999999</v>
      </c>
      <c r="E185" s="11" t="inlineStr">
        <is>
          <t>S G L CAMBODIA</t>
        </is>
      </c>
      <c r="F185" s="10" t="inlineStr">
        <is>
          <t>100119816</t>
        </is>
      </c>
      <c r="G185" s="17" t="inlineStr">
        <is>
          <t>333011</t>
        </is>
      </c>
      <c r="H185" s="18" t="n">
        <v>41528</v>
      </c>
      <c r="I185" s="682" t="n">
        <v>86.56999999999999</v>
      </c>
      <c r="J185" s="9" t="n"/>
    </row>
    <row r="186" ht="18" customHeight="1" s="397">
      <c r="A186" s="33" t="n">
        <v>181</v>
      </c>
      <c r="B186" s="17" t="inlineStr">
        <is>
          <t>333013</t>
        </is>
      </c>
      <c r="C186" s="18" t="n">
        <v>41528</v>
      </c>
      <c r="D186" s="682" t="n">
        <v>36.7</v>
      </c>
      <c r="E186" s="11" t="inlineStr">
        <is>
          <t>S G L CAMBODIA</t>
        </is>
      </c>
      <c r="F186" s="10" t="inlineStr">
        <is>
          <t>100119816</t>
        </is>
      </c>
      <c r="G186" s="17" t="inlineStr">
        <is>
          <t>333013</t>
        </is>
      </c>
      <c r="H186" s="18" t="n">
        <v>41528</v>
      </c>
      <c r="I186" s="682" t="n">
        <v>36.7</v>
      </c>
      <c r="J186" s="9" t="n"/>
    </row>
    <row r="187" ht="18" customHeight="1" s="397">
      <c r="A187" s="33" t="n">
        <v>182</v>
      </c>
      <c r="B187" s="17" t="inlineStr">
        <is>
          <t>333040</t>
        </is>
      </c>
      <c r="C187" s="18" t="n">
        <v>41528</v>
      </c>
      <c r="D187" s="682" t="n">
        <v>59.52</v>
      </c>
      <c r="E187" s="11" t="inlineStr">
        <is>
          <t>S G L CAMBODIA</t>
        </is>
      </c>
      <c r="F187" s="10" t="inlineStr">
        <is>
          <t>100119816</t>
        </is>
      </c>
      <c r="G187" s="17" t="inlineStr">
        <is>
          <t>333040</t>
        </is>
      </c>
      <c r="H187" s="18" t="n">
        <v>41528</v>
      </c>
      <c r="I187" s="682" t="n">
        <v>59.52</v>
      </c>
      <c r="J187" s="9" t="n"/>
    </row>
    <row r="188" ht="18" customHeight="1" s="397">
      <c r="A188" s="33" t="n">
        <v>183</v>
      </c>
      <c r="B188" s="17" t="inlineStr">
        <is>
          <t>333059</t>
        </is>
      </c>
      <c r="C188" s="18" t="n">
        <v>41528</v>
      </c>
      <c r="D188" s="682" t="n">
        <v>195.16</v>
      </c>
      <c r="E188" s="11" t="inlineStr">
        <is>
          <t>S G L CAMBODIA</t>
        </is>
      </c>
      <c r="F188" s="10" t="inlineStr">
        <is>
          <t>100119816</t>
        </is>
      </c>
      <c r="G188" s="17" t="inlineStr">
        <is>
          <t>333059</t>
        </is>
      </c>
      <c r="H188" s="18" t="n">
        <v>41528</v>
      </c>
      <c r="I188" s="682" t="n">
        <v>195.16</v>
      </c>
      <c r="J188" s="9" t="n"/>
    </row>
    <row r="189" ht="18" customHeight="1" s="397">
      <c r="A189" s="33" t="n">
        <v>184</v>
      </c>
      <c r="B189" s="17" t="inlineStr">
        <is>
          <t>333103</t>
        </is>
      </c>
      <c r="C189" s="18" t="n">
        <v>41533</v>
      </c>
      <c r="D189" s="682" t="n">
        <v>28.82</v>
      </c>
      <c r="E189" s="11" t="inlineStr">
        <is>
          <t>S G L CAMBODIA</t>
        </is>
      </c>
      <c r="F189" s="10" t="inlineStr">
        <is>
          <t>100119816</t>
        </is>
      </c>
      <c r="G189" s="17" t="inlineStr">
        <is>
          <t>333103</t>
        </is>
      </c>
      <c r="H189" s="18" t="n">
        <v>41533</v>
      </c>
      <c r="I189" s="682" t="n">
        <v>28.82</v>
      </c>
      <c r="J189" s="9" t="n"/>
    </row>
    <row r="190" ht="18" customHeight="1" s="397">
      <c r="A190" s="33" t="n">
        <v>185</v>
      </c>
      <c r="B190" s="17" t="inlineStr">
        <is>
          <t>333134</t>
        </is>
      </c>
      <c r="C190" s="18" t="n">
        <v>41534</v>
      </c>
      <c r="D190" s="682" t="n">
        <v>22.3</v>
      </c>
      <c r="E190" s="11" t="inlineStr">
        <is>
          <t>S G L CAMBODIA</t>
        </is>
      </c>
      <c r="F190" s="10" t="inlineStr">
        <is>
          <t>100119816</t>
        </is>
      </c>
      <c r="G190" s="17" t="inlineStr">
        <is>
          <t>333134</t>
        </is>
      </c>
      <c r="H190" s="18" t="n">
        <v>41534</v>
      </c>
      <c r="I190" s="682" t="n">
        <v>22.3</v>
      </c>
      <c r="J190" s="9" t="n"/>
    </row>
    <row r="191" ht="18" customHeight="1" s="397">
      <c r="A191" s="33" t="n">
        <v>186</v>
      </c>
      <c r="B191" s="17" t="inlineStr">
        <is>
          <t>333167</t>
        </is>
      </c>
      <c r="C191" s="18" t="n">
        <v>41534</v>
      </c>
      <c r="D191" s="682" t="n">
        <v>39.63</v>
      </c>
      <c r="E191" s="11" t="inlineStr">
        <is>
          <t>S G L CAMBODIA</t>
        </is>
      </c>
      <c r="F191" s="10" t="inlineStr">
        <is>
          <t>100119816</t>
        </is>
      </c>
      <c r="G191" s="17" t="inlineStr">
        <is>
          <t>333167</t>
        </is>
      </c>
      <c r="H191" s="18" t="n">
        <v>41534</v>
      </c>
      <c r="I191" s="682" t="n">
        <v>39.63</v>
      </c>
      <c r="J191" s="9" t="n"/>
    </row>
    <row r="192" ht="18" customHeight="1" s="397">
      <c r="A192" s="33" t="n">
        <v>187</v>
      </c>
      <c r="B192" s="17" t="inlineStr">
        <is>
          <t>333184</t>
        </is>
      </c>
      <c r="C192" s="18" t="n">
        <v>41534</v>
      </c>
      <c r="D192" s="682" t="n">
        <v>37.34</v>
      </c>
      <c r="E192" s="11" t="inlineStr">
        <is>
          <t>S G L CAMBODIA</t>
        </is>
      </c>
      <c r="F192" s="10" t="inlineStr">
        <is>
          <t>100119816</t>
        </is>
      </c>
      <c r="G192" s="17" t="inlineStr">
        <is>
          <t>333184</t>
        </is>
      </c>
      <c r="H192" s="18" t="n">
        <v>41534</v>
      </c>
      <c r="I192" s="682" t="n">
        <v>37.34</v>
      </c>
      <c r="J192" s="9" t="n"/>
    </row>
    <row r="193" ht="18" customHeight="1" s="397">
      <c r="A193" s="33" t="n">
        <v>188</v>
      </c>
      <c r="B193" s="17" t="inlineStr">
        <is>
          <t>333196</t>
        </is>
      </c>
      <c r="C193" s="18" t="n">
        <v>41534</v>
      </c>
      <c r="D193" s="682" t="n">
        <v>22.1</v>
      </c>
      <c r="E193" s="11" t="inlineStr">
        <is>
          <t>S G L CAMBODIA</t>
        </is>
      </c>
      <c r="F193" s="10" t="inlineStr">
        <is>
          <t>100119816</t>
        </is>
      </c>
      <c r="G193" s="17" t="inlineStr">
        <is>
          <t>333196</t>
        </is>
      </c>
      <c r="H193" s="18" t="n">
        <v>41534</v>
      </c>
      <c r="I193" s="682" t="n">
        <v>22.1</v>
      </c>
      <c r="J193" s="9" t="n"/>
    </row>
    <row r="194" ht="18" customHeight="1" s="397">
      <c r="A194" s="33" t="n">
        <v>189</v>
      </c>
      <c r="B194" s="17" t="inlineStr">
        <is>
          <t>333287</t>
        </is>
      </c>
      <c r="C194" s="18" t="n">
        <v>41542</v>
      </c>
      <c r="D194" s="682" t="n">
        <v>37</v>
      </c>
      <c r="E194" s="11" t="inlineStr">
        <is>
          <t>S G L CAMBODIA</t>
        </is>
      </c>
      <c r="F194" s="10" t="inlineStr">
        <is>
          <t>100119816</t>
        </is>
      </c>
      <c r="G194" s="17" t="inlineStr">
        <is>
          <t>333287</t>
        </is>
      </c>
      <c r="H194" s="18" t="n">
        <v>41542</v>
      </c>
      <c r="I194" s="682" t="n">
        <v>37</v>
      </c>
      <c r="J194" s="9" t="n"/>
    </row>
    <row r="195" ht="18" customHeight="1" s="397">
      <c r="A195" s="33" t="n">
        <v>190</v>
      </c>
      <c r="B195" s="17" t="inlineStr">
        <is>
          <t>333299</t>
        </is>
      </c>
      <c r="C195" s="18" t="n">
        <v>41542</v>
      </c>
      <c r="D195" s="682" t="n">
        <v>22.3</v>
      </c>
      <c r="E195" s="11" t="inlineStr">
        <is>
          <t>S G L CAMBODIA</t>
        </is>
      </c>
      <c r="F195" s="10" t="inlineStr">
        <is>
          <t>100119816</t>
        </is>
      </c>
      <c r="G195" s="17" t="inlineStr">
        <is>
          <t>333299</t>
        </is>
      </c>
      <c r="H195" s="18" t="n">
        <v>41542</v>
      </c>
      <c r="I195" s="682" t="n">
        <v>22.3</v>
      </c>
      <c r="J195" s="9" t="n"/>
    </row>
    <row r="196" ht="18" customHeight="1" s="397">
      <c r="A196" s="33" t="n">
        <v>191</v>
      </c>
      <c r="B196" s="17" t="inlineStr">
        <is>
          <t>333317</t>
        </is>
      </c>
      <c r="C196" s="18" t="n">
        <v>41542</v>
      </c>
      <c r="D196" s="682" t="n">
        <v>66.61</v>
      </c>
      <c r="E196" s="11" t="inlineStr">
        <is>
          <t>S G L CAMBODIA</t>
        </is>
      </c>
      <c r="F196" s="10" t="inlineStr">
        <is>
          <t>100119816</t>
        </is>
      </c>
      <c r="G196" s="17" t="inlineStr">
        <is>
          <t>333317</t>
        </is>
      </c>
      <c r="H196" s="18" t="n">
        <v>41542</v>
      </c>
      <c r="I196" s="682" t="n">
        <v>66.61</v>
      </c>
      <c r="J196" s="9" t="n"/>
    </row>
    <row r="197" ht="18" customHeight="1" s="397">
      <c r="A197" s="33" t="n">
        <v>192</v>
      </c>
      <c r="B197" s="17" t="inlineStr">
        <is>
          <t>333408</t>
        </is>
      </c>
      <c r="C197" s="18" t="n">
        <v>41547</v>
      </c>
      <c r="D197" s="682" t="n">
        <v>22.3</v>
      </c>
      <c r="E197" s="11" t="inlineStr">
        <is>
          <t>S G L CAMBODIA</t>
        </is>
      </c>
      <c r="F197" s="10" t="inlineStr">
        <is>
          <t>100119816</t>
        </is>
      </c>
      <c r="G197" s="17" t="inlineStr">
        <is>
          <t>333408</t>
        </is>
      </c>
      <c r="H197" s="18" t="n">
        <v>41547</v>
      </c>
      <c r="I197" s="682" t="n">
        <v>22.3</v>
      </c>
      <c r="J197" s="9" t="n"/>
    </row>
    <row r="198" ht="18" customHeight="1" s="397">
      <c r="A198" s="33" t="n">
        <v>193</v>
      </c>
      <c r="B198" s="17" t="inlineStr">
        <is>
          <t>333448</t>
        </is>
      </c>
      <c r="C198" s="18" t="n">
        <v>41547</v>
      </c>
      <c r="D198" s="682" t="n">
        <v>34.02</v>
      </c>
      <c r="E198" s="11" t="inlineStr">
        <is>
          <t>S G L CAMBODIA</t>
        </is>
      </c>
      <c r="F198" s="10" t="inlineStr">
        <is>
          <t>100119816</t>
        </is>
      </c>
      <c r="G198" s="17" t="inlineStr">
        <is>
          <t>333448</t>
        </is>
      </c>
      <c r="H198" s="18" t="n">
        <v>41547</v>
      </c>
      <c r="I198" s="682" t="n">
        <v>34.02</v>
      </c>
      <c r="J198" s="9" t="n"/>
    </row>
    <row r="199" ht="18" customHeight="1" s="397">
      <c r="A199" s="33" t="n">
        <v>194</v>
      </c>
      <c r="B199" s="17" t="inlineStr">
        <is>
          <t>333469</t>
        </is>
      </c>
      <c r="C199" s="18" t="n">
        <v>41547</v>
      </c>
      <c r="D199" s="682" t="n">
        <v>23.38</v>
      </c>
      <c r="E199" s="11" t="inlineStr">
        <is>
          <t>S G L CAMBODIA</t>
        </is>
      </c>
      <c r="F199" s="10" t="inlineStr">
        <is>
          <t>100119816</t>
        </is>
      </c>
      <c r="G199" s="17" t="inlineStr">
        <is>
          <t>333469</t>
        </is>
      </c>
      <c r="H199" s="18" t="n">
        <v>41547</v>
      </c>
      <c r="I199" s="682" t="n">
        <v>23.38</v>
      </c>
      <c r="J199" s="9" t="n"/>
    </row>
    <row r="200" ht="18" customHeight="1" s="397">
      <c r="A200" s="33" t="n">
        <v>195</v>
      </c>
      <c r="B200" s="17" t="inlineStr">
        <is>
          <t>333478</t>
        </is>
      </c>
      <c r="C200" s="18" t="n">
        <v>41547</v>
      </c>
      <c r="D200" s="682" t="n">
        <v>23.87</v>
      </c>
      <c r="E200" s="11" t="inlineStr">
        <is>
          <t>S G L CAMBODIA</t>
        </is>
      </c>
      <c r="F200" s="10" t="inlineStr">
        <is>
          <t>100119816</t>
        </is>
      </c>
      <c r="G200" s="17" t="inlineStr">
        <is>
          <t>333478</t>
        </is>
      </c>
      <c r="H200" s="18" t="n">
        <v>41547</v>
      </c>
      <c r="I200" s="682" t="n">
        <v>23.87</v>
      </c>
      <c r="J200" s="9" t="n"/>
    </row>
    <row r="201" ht="18" customHeight="1" s="397">
      <c r="A201" s="33" t="n">
        <v>196</v>
      </c>
      <c r="B201" s="17" t="inlineStr">
        <is>
          <t>333537</t>
        </is>
      </c>
      <c r="C201" s="18" t="n">
        <v>41555</v>
      </c>
      <c r="D201" s="682" t="n">
        <v>26.6</v>
      </c>
      <c r="E201" s="11" t="inlineStr">
        <is>
          <t>S G L CAMBODIA</t>
        </is>
      </c>
      <c r="F201" s="10" t="inlineStr">
        <is>
          <t>100119816</t>
        </is>
      </c>
      <c r="G201" s="17" t="inlineStr">
        <is>
          <t>333537</t>
        </is>
      </c>
      <c r="H201" s="18" t="n">
        <v>41555</v>
      </c>
      <c r="I201" s="682" t="n">
        <v>26.6</v>
      </c>
      <c r="J201" s="9" t="n"/>
    </row>
    <row r="202" ht="18" customHeight="1" s="397">
      <c r="A202" s="33" t="n">
        <v>197</v>
      </c>
      <c r="B202" s="17" t="inlineStr">
        <is>
          <t>333554</t>
        </is>
      </c>
      <c r="C202" s="18" t="n">
        <v>41555</v>
      </c>
      <c r="D202" s="682" t="n">
        <v>22.1</v>
      </c>
      <c r="E202" s="11" t="inlineStr">
        <is>
          <t>S G L CAMBODIA</t>
        </is>
      </c>
      <c r="F202" s="10" t="inlineStr">
        <is>
          <t>100119816</t>
        </is>
      </c>
      <c r="G202" s="17" t="inlineStr">
        <is>
          <t>333554</t>
        </is>
      </c>
      <c r="H202" s="18" t="n">
        <v>41555</v>
      </c>
      <c r="I202" s="682" t="n">
        <v>22.1</v>
      </c>
      <c r="J202" s="9" t="n"/>
    </row>
    <row r="203" ht="18" customHeight="1" s="397">
      <c r="A203" s="33" t="n">
        <v>198</v>
      </c>
      <c r="B203" s="17" t="inlineStr">
        <is>
          <t>333581</t>
        </is>
      </c>
      <c r="C203" s="18" t="n">
        <v>41555</v>
      </c>
      <c r="D203" s="682" t="n">
        <v>23.74</v>
      </c>
      <c r="E203" s="11" t="inlineStr">
        <is>
          <t>S G L CAMBODIA</t>
        </is>
      </c>
      <c r="F203" s="10" t="inlineStr">
        <is>
          <t>100119816</t>
        </is>
      </c>
      <c r="G203" s="17" t="inlineStr">
        <is>
          <t>333581</t>
        </is>
      </c>
      <c r="H203" s="18" t="n">
        <v>41555</v>
      </c>
      <c r="I203" s="682" t="n">
        <v>23.74</v>
      </c>
      <c r="J203" s="9" t="n"/>
    </row>
    <row r="204" ht="18" customHeight="1" s="397">
      <c r="A204" s="33" t="n">
        <v>199</v>
      </c>
      <c r="B204" s="17" t="inlineStr">
        <is>
          <t>333605</t>
        </is>
      </c>
      <c r="C204" s="18" t="n">
        <v>41555</v>
      </c>
      <c r="D204" s="682" t="n">
        <v>27.52</v>
      </c>
      <c r="E204" s="11" t="inlineStr">
        <is>
          <t>S G L CAMBODIA</t>
        </is>
      </c>
      <c r="F204" s="10" t="inlineStr">
        <is>
          <t>100119816</t>
        </is>
      </c>
      <c r="G204" s="17" t="inlineStr">
        <is>
          <t>333605</t>
        </is>
      </c>
      <c r="H204" s="18" t="n">
        <v>41555</v>
      </c>
      <c r="I204" s="682" t="n">
        <v>27.52</v>
      </c>
      <c r="J204" s="9" t="n"/>
    </row>
    <row r="205" ht="18" customHeight="1" s="397">
      <c r="A205" s="33" t="n">
        <v>200</v>
      </c>
      <c r="B205" s="17" t="inlineStr">
        <is>
          <t>333646</t>
        </is>
      </c>
      <c r="C205" s="18" t="n">
        <v>41555</v>
      </c>
      <c r="D205" s="682" t="n">
        <v>43.05</v>
      </c>
      <c r="E205" s="11" t="inlineStr">
        <is>
          <t>S G L CAMBODIA</t>
        </is>
      </c>
      <c r="F205" s="10" t="inlineStr">
        <is>
          <t>100119816</t>
        </is>
      </c>
      <c r="G205" s="17" t="inlineStr">
        <is>
          <t>333646</t>
        </is>
      </c>
      <c r="H205" s="18" t="n">
        <v>41555</v>
      </c>
      <c r="I205" s="682" t="n">
        <v>43.05</v>
      </c>
      <c r="J205" s="9" t="n"/>
    </row>
    <row r="206" ht="18" customHeight="1" s="397">
      <c r="A206" s="33" t="n">
        <v>201</v>
      </c>
      <c r="B206" s="17" t="inlineStr">
        <is>
          <t>333653</t>
        </is>
      </c>
      <c r="C206" s="18" t="n">
        <v>41555</v>
      </c>
      <c r="D206" s="682" t="n">
        <v>57.65</v>
      </c>
      <c r="E206" s="11" t="inlineStr">
        <is>
          <t>S G L CAMBODIA</t>
        </is>
      </c>
      <c r="F206" s="10" t="inlineStr">
        <is>
          <t>100119816</t>
        </is>
      </c>
      <c r="G206" s="17" t="inlineStr">
        <is>
          <t>333653</t>
        </is>
      </c>
      <c r="H206" s="18" t="n">
        <v>41555</v>
      </c>
      <c r="I206" s="682" t="n">
        <v>57.65</v>
      </c>
      <c r="J206" s="9" t="n"/>
    </row>
    <row r="207" ht="18" customHeight="1" s="397">
      <c r="A207" s="33" t="n">
        <v>202</v>
      </c>
      <c r="B207" s="17" t="inlineStr">
        <is>
          <t>333664</t>
        </is>
      </c>
      <c r="C207" s="18" t="n">
        <v>41556</v>
      </c>
      <c r="D207" s="682" t="n">
        <v>35.94</v>
      </c>
      <c r="E207" s="11" t="inlineStr">
        <is>
          <t>S G L CAMBODIA</t>
        </is>
      </c>
      <c r="F207" s="10" t="inlineStr">
        <is>
          <t>100119816</t>
        </is>
      </c>
      <c r="G207" s="17" t="inlineStr">
        <is>
          <t>333664</t>
        </is>
      </c>
      <c r="H207" s="18" t="n">
        <v>41556</v>
      </c>
      <c r="I207" s="682" t="n">
        <v>35.94</v>
      </c>
      <c r="J207" s="9" t="n"/>
    </row>
    <row r="208" ht="18" customHeight="1" s="397">
      <c r="A208" s="33" t="n">
        <v>203</v>
      </c>
      <c r="B208" s="17" t="inlineStr">
        <is>
          <t>333724</t>
        </is>
      </c>
      <c r="C208" s="18" t="n">
        <v>41558</v>
      </c>
      <c r="D208" s="682" t="n">
        <v>69.25</v>
      </c>
      <c r="E208" s="11" t="inlineStr">
        <is>
          <t>S G L CAMBODIA</t>
        </is>
      </c>
      <c r="F208" s="10" t="inlineStr">
        <is>
          <t>100119816</t>
        </is>
      </c>
      <c r="G208" s="17" t="inlineStr">
        <is>
          <t>333724</t>
        </is>
      </c>
      <c r="H208" s="18" t="n">
        <v>41558</v>
      </c>
      <c r="I208" s="682" t="n">
        <v>69.25</v>
      </c>
      <c r="J208" s="9" t="n"/>
    </row>
    <row r="209" ht="18" customHeight="1" s="397">
      <c r="A209" s="33" t="n">
        <v>204</v>
      </c>
      <c r="B209" s="17" t="inlineStr">
        <is>
          <t>333761</t>
        </is>
      </c>
      <c r="C209" s="18" t="n">
        <v>41558</v>
      </c>
      <c r="D209" s="682" t="n">
        <v>26.81</v>
      </c>
      <c r="E209" s="11" t="inlineStr">
        <is>
          <t>S G L CAMBODIA</t>
        </is>
      </c>
      <c r="F209" s="10" t="inlineStr">
        <is>
          <t>100119816</t>
        </is>
      </c>
      <c r="G209" s="17" t="inlineStr">
        <is>
          <t>333761</t>
        </is>
      </c>
      <c r="H209" s="18" t="n">
        <v>41558</v>
      </c>
      <c r="I209" s="682" t="n">
        <v>26.81</v>
      </c>
      <c r="J209" s="9" t="n"/>
    </row>
    <row r="210" ht="18" customHeight="1" s="397">
      <c r="A210" s="33" t="n">
        <v>205</v>
      </c>
      <c r="B210" s="17" t="inlineStr">
        <is>
          <t>333765</t>
        </is>
      </c>
      <c r="C210" s="18" t="n">
        <v>41558</v>
      </c>
      <c r="D210" s="682" t="n">
        <v>55.79</v>
      </c>
      <c r="E210" s="11" t="inlineStr">
        <is>
          <t>S G L CAMBODIA</t>
        </is>
      </c>
      <c r="F210" s="10" t="inlineStr">
        <is>
          <t>100119816</t>
        </is>
      </c>
      <c r="G210" s="17" t="inlineStr">
        <is>
          <t>333765</t>
        </is>
      </c>
      <c r="H210" s="18" t="n">
        <v>41558</v>
      </c>
      <c r="I210" s="682" t="n">
        <v>55.79</v>
      </c>
      <c r="J210" s="9" t="n"/>
    </row>
    <row r="211" ht="18" customHeight="1" s="397">
      <c r="A211" s="33" t="n">
        <v>206</v>
      </c>
      <c r="B211" s="17" t="inlineStr">
        <is>
          <t>333785</t>
        </is>
      </c>
      <c r="C211" s="18" t="n">
        <v>41563</v>
      </c>
      <c r="D211" s="682" t="n">
        <v>30.39</v>
      </c>
      <c r="E211" s="11" t="inlineStr">
        <is>
          <t>S G L CAMBODIA</t>
        </is>
      </c>
      <c r="F211" s="10" t="inlineStr">
        <is>
          <t>100119816</t>
        </is>
      </c>
      <c r="G211" s="17" t="inlineStr">
        <is>
          <t>333785</t>
        </is>
      </c>
      <c r="H211" s="18" t="n">
        <v>41563</v>
      </c>
      <c r="I211" s="682" t="n">
        <v>30.39</v>
      </c>
      <c r="J211" s="9" t="n"/>
    </row>
    <row r="212" ht="18" customHeight="1" s="397">
      <c r="A212" s="33" t="n">
        <v>207</v>
      </c>
      <c r="B212" s="17" t="inlineStr">
        <is>
          <t>333864</t>
        </is>
      </c>
      <c r="C212" s="18" t="n">
        <v>41568</v>
      </c>
      <c r="D212" s="682" t="n">
        <v>25.7</v>
      </c>
      <c r="E212" s="11" t="inlineStr">
        <is>
          <t>S G L CAMBODIA</t>
        </is>
      </c>
      <c r="F212" s="10" t="inlineStr">
        <is>
          <t>100119816</t>
        </is>
      </c>
      <c r="G212" s="17" t="inlineStr">
        <is>
          <t>333864</t>
        </is>
      </c>
      <c r="H212" s="18" t="n">
        <v>41568</v>
      </c>
      <c r="I212" s="682" t="n">
        <v>25.7</v>
      </c>
      <c r="J212" s="9" t="n"/>
    </row>
    <row r="213" ht="18" customHeight="1" s="397">
      <c r="A213" s="33" t="n">
        <v>208</v>
      </c>
      <c r="B213" s="17" t="inlineStr">
        <is>
          <t>333876</t>
        </is>
      </c>
      <c r="C213" s="18" t="n">
        <v>41568</v>
      </c>
      <c r="D213" s="682" t="n">
        <v>25.14</v>
      </c>
      <c r="E213" s="11" t="inlineStr">
        <is>
          <t>S G L CAMBODIA</t>
        </is>
      </c>
      <c r="F213" s="10" t="inlineStr">
        <is>
          <t>100119816</t>
        </is>
      </c>
      <c r="G213" s="17" t="inlineStr">
        <is>
          <t>333876</t>
        </is>
      </c>
      <c r="H213" s="18" t="n">
        <v>41568</v>
      </c>
      <c r="I213" s="682" t="n">
        <v>25.14</v>
      </c>
      <c r="J213" s="9" t="n"/>
    </row>
    <row r="214" ht="18" customHeight="1" s="397">
      <c r="A214" s="33" t="n">
        <v>209</v>
      </c>
      <c r="B214" s="17" t="inlineStr">
        <is>
          <t>333840</t>
        </is>
      </c>
      <c r="C214" s="18" t="n">
        <v>41568</v>
      </c>
      <c r="D214" s="682" t="n">
        <v>39.39</v>
      </c>
      <c r="E214" s="11" t="inlineStr">
        <is>
          <t>S G L CAMBODIA</t>
        </is>
      </c>
      <c r="F214" s="10" t="inlineStr">
        <is>
          <t>100119816</t>
        </is>
      </c>
      <c r="G214" s="17" t="inlineStr">
        <is>
          <t>333840</t>
        </is>
      </c>
      <c r="H214" s="18" t="n">
        <v>41568</v>
      </c>
      <c r="I214" s="682" t="n">
        <v>39.39</v>
      </c>
      <c r="J214" s="9" t="n"/>
    </row>
    <row r="215" ht="18" customHeight="1" s="397">
      <c r="A215" s="33" t="n">
        <v>210</v>
      </c>
      <c r="B215" s="17" t="inlineStr">
        <is>
          <t>333913</t>
        </is>
      </c>
      <c r="C215" s="18" t="n">
        <v>41569</v>
      </c>
      <c r="D215" s="682" t="n">
        <v>30.9</v>
      </c>
      <c r="E215" s="11" t="inlineStr">
        <is>
          <t>S G L CAMBODIA</t>
        </is>
      </c>
      <c r="F215" s="10" t="inlineStr">
        <is>
          <t>100119816</t>
        </is>
      </c>
      <c r="G215" s="17" t="inlineStr">
        <is>
          <t>333913</t>
        </is>
      </c>
      <c r="H215" s="18" t="n">
        <v>41569</v>
      </c>
      <c r="I215" s="682" t="n">
        <v>30.9</v>
      </c>
      <c r="J215" s="9" t="n"/>
    </row>
    <row r="216" ht="18" customHeight="1" s="397">
      <c r="A216" s="33" t="n">
        <v>211</v>
      </c>
      <c r="B216" s="17" t="inlineStr">
        <is>
          <t>333966</t>
        </is>
      </c>
      <c r="C216" s="18" t="n">
        <v>41575</v>
      </c>
      <c r="D216" s="682" t="n">
        <v>26.81</v>
      </c>
      <c r="E216" s="11" t="inlineStr">
        <is>
          <t>S G L CAMBODIA</t>
        </is>
      </c>
      <c r="F216" s="10" t="inlineStr">
        <is>
          <t>100119816</t>
        </is>
      </c>
      <c r="G216" s="17" t="inlineStr">
        <is>
          <t>333966</t>
        </is>
      </c>
      <c r="H216" s="18" t="n">
        <v>41575</v>
      </c>
      <c r="I216" s="682" t="n">
        <v>26.81</v>
      </c>
      <c r="J216" s="9" t="n"/>
    </row>
    <row r="217" ht="18" customHeight="1" s="397">
      <c r="A217" s="33" t="n">
        <v>212</v>
      </c>
      <c r="B217" s="17" t="inlineStr">
        <is>
          <t>333977</t>
        </is>
      </c>
      <c r="C217" s="18" t="n">
        <v>41575</v>
      </c>
      <c r="D217" s="682" t="n">
        <v>26.76</v>
      </c>
      <c r="E217" s="11" t="inlineStr">
        <is>
          <t>S G L CAMBODIA</t>
        </is>
      </c>
      <c r="F217" s="10" t="inlineStr">
        <is>
          <t>100119816</t>
        </is>
      </c>
      <c r="G217" s="17" t="inlineStr">
        <is>
          <t>333977</t>
        </is>
      </c>
      <c r="H217" s="18" t="n">
        <v>41575</v>
      </c>
      <c r="I217" s="682" t="n">
        <v>26.76</v>
      </c>
      <c r="J217" s="9" t="n"/>
    </row>
    <row r="218" ht="18" customHeight="1" s="397">
      <c r="A218" s="33" t="n">
        <v>213</v>
      </c>
      <c r="B218" s="17" t="inlineStr">
        <is>
          <t>334000</t>
        </is>
      </c>
      <c r="C218" s="18" t="n">
        <v>41575</v>
      </c>
      <c r="D218" s="682" t="n">
        <v>36.05</v>
      </c>
      <c r="E218" s="11" t="inlineStr">
        <is>
          <t>S G L CAMBODIA</t>
        </is>
      </c>
      <c r="F218" s="10" t="inlineStr">
        <is>
          <t>100119816</t>
        </is>
      </c>
      <c r="G218" s="17" t="inlineStr">
        <is>
          <t>334000</t>
        </is>
      </c>
      <c r="H218" s="18" t="n">
        <v>41575</v>
      </c>
      <c r="I218" s="682" t="n">
        <v>36.05</v>
      </c>
      <c r="J218" s="9" t="n"/>
    </row>
    <row r="219" ht="18" customHeight="1" s="397">
      <c r="A219" s="33" t="n">
        <v>214</v>
      </c>
      <c r="B219" s="17" t="inlineStr">
        <is>
          <t>334011</t>
        </is>
      </c>
      <c r="C219" s="18" t="n">
        <v>41575</v>
      </c>
      <c r="D219" s="682" t="n">
        <v>31.7</v>
      </c>
      <c r="E219" s="11" t="inlineStr">
        <is>
          <t>S G L CAMBODIA</t>
        </is>
      </c>
      <c r="F219" s="10" t="inlineStr">
        <is>
          <t>100119816</t>
        </is>
      </c>
      <c r="G219" s="17" t="inlineStr">
        <is>
          <t>334011</t>
        </is>
      </c>
      <c r="H219" s="18" t="n">
        <v>41575</v>
      </c>
      <c r="I219" s="682" t="n">
        <v>31.7</v>
      </c>
      <c r="J219" s="9" t="n"/>
    </row>
    <row r="220" ht="18" customHeight="1" s="397">
      <c r="A220" s="33" t="n">
        <v>215</v>
      </c>
      <c r="B220" s="17" t="inlineStr">
        <is>
          <t>334024</t>
        </is>
      </c>
      <c r="C220" s="18" t="n">
        <v>41575</v>
      </c>
      <c r="D220" s="682" t="n">
        <v>52.45</v>
      </c>
      <c r="E220" s="11" t="inlineStr">
        <is>
          <t>S G L CAMBODIA</t>
        </is>
      </c>
      <c r="F220" s="10" t="inlineStr">
        <is>
          <t>100119816</t>
        </is>
      </c>
      <c r="G220" s="17" t="inlineStr">
        <is>
          <t>334024</t>
        </is>
      </c>
      <c r="H220" s="18" t="n">
        <v>41575</v>
      </c>
      <c r="I220" s="682" t="n">
        <v>52.45</v>
      </c>
      <c r="J220" s="9" t="n"/>
    </row>
    <row r="221" ht="18" customHeight="1" s="397">
      <c r="A221" s="33" t="n">
        <v>216</v>
      </c>
      <c r="B221" s="17" t="inlineStr">
        <is>
          <t>334122</t>
        </is>
      </c>
      <c r="C221" s="18" t="n">
        <v>41582</v>
      </c>
      <c r="D221" s="682" t="n">
        <v>22.1</v>
      </c>
      <c r="E221" s="11" t="inlineStr">
        <is>
          <t>S G L CAMBODIA</t>
        </is>
      </c>
      <c r="F221" s="10" t="inlineStr">
        <is>
          <t>100119816</t>
        </is>
      </c>
      <c r="G221" s="17" t="inlineStr">
        <is>
          <t>334122</t>
        </is>
      </c>
      <c r="H221" s="18" t="n">
        <v>41582</v>
      </c>
      <c r="I221" s="682" t="n">
        <v>22.1</v>
      </c>
      <c r="J221" s="9" t="n"/>
    </row>
    <row r="222" ht="18" customHeight="1" s="397">
      <c r="A222" s="33" t="n">
        <v>217</v>
      </c>
      <c r="B222" s="17" t="inlineStr">
        <is>
          <t>334156</t>
        </is>
      </c>
      <c r="C222" s="18" t="n">
        <v>41583</v>
      </c>
      <c r="D222" s="682" t="n">
        <v>29.5</v>
      </c>
      <c r="E222" s="11" t="inlineStr">
        <is>
          <t>S G L CAMBODIA</t>
        </is>
      </c>
      <c r="F222" s="10" t="inlineStr">
        <is>
          <t>100119816</t>
        </is>
      </c>
      <c r="G222" s="17" t="inlineStr">
        <is>
          <t>334156</t>
        </is>
      </c>
      <c r="H222" s="18" t="n">
        <v>41583</v>
      </c>
      <c r="I222" s="682" t="n">
        <v>29.5</v>
      </c>
      <c r="J222" s="9" t="n"/>
    </row>
    <row r="223" ht="18" customHeight="1" s="397">
      <c r="A223" s="33" t="n">
        <v>218</v>
      </c>
      <c r="B223" s="17" t="inlineStr">
        <is>
          <t>334172</t>
        </is>
      </c>
      <c r="C223" s="18" t="n">
        <v>41583</v>
      </c>
      <c r="D223" s="682" t="n">
        <v>5</v>
      </c>
      <c r="E223" s="11" t="inlineStr">
        <is>
          <t>S G L CAMBODIA</t>
        </is>
      </c>
      <c r="F223" s="10" t="inlineStr">
        <is>
          <t>100119816</t>
        </is>
      </c>
      <c r="G223" s="17" t="inlineStr">
        <is>
          <t>334172</t>
        </is>
      </c>
      <c r="H223" s="18" t="n">
        <v>41583</v>
      </c>
      <c r="I223" s="682" t="n">
        <v>5</v>
      </c>
      <c r="J223" s="9" t="n"/>
    </row>
    <row r="224" ht="18" customHeight="1" s="397">
      <c r="A224" s="33" t="n">
        <v>219</v>
      </c>
      <c r="B224" s="17" t="inlineStr">
        <is>
          <t>334188</t>
        </is>
      </c>
      <c r="C224" s="18" t="n">
        <v>41583</v>
      </c>
      <c r="D224" s="682" t="n">
        <v>117.01</v>
      </c>
      <c r="E224" s="11" t="inlineStr">
        <is>
          <t>S G L CAMBODIA</t>
        </is>
      </c>
      <c r="F224" s="10" t="inlineStr">
        <is>
          <t>100119816</t>
        </is>
      </c>
      <c r="G224" s="17" t="inlineStr">
        <is>
          <t>334188</t>
        </is>
      </c>
      <c r="H224" s="18" t="n">
        <v>41583</v>
      </c>
      <c r="I224" s="682" t="n">
        <v>117.01</v>
      </c>
      <c r="J224" s="9" t="n"/>
    </row>
    <row r="225" ht="18" customHeight="1" s="397">
      <c r="A225" s="33" t="n">
        <v>220</v>
      </c>
      <c r="B225" s="17" t="inlineStr">
        <is>
          <t>334259</t>
        </is>
      </c>
      <c r="C225" s="18" t="n">
        <v>41589</v>
      </c>
      <c r="D225" s="682" t="n">
        <v>28.02</v>
      </c>
      <c r="E225" s="11" t="inlineStr">
        <is>
          <t>S G L CAMBODIA</t>
        </is>
      </c>
      <c r="F225" s="10" t="inlineStr">
        <is>
          <t>100119816</t>
        </is>
      </c>
      <c r="G225" s="17" t="inlineStr">
        <is>
          <t>334259</t>
        </is>
      </c>
      <c r="H225" s="18" t="n">
        <v>41589</v>
      </c>
      <c r="I225" s="682" t="n">
        <v>28.02</v>
      </c>
      <c r="J225" s="9" t="n"/>
    </row>
    <row r="226" ht="18" customHeight="1" s="397">
      <c r="A226" s="33" t="n">
        <v>221</v>
      </c>
      <c r="B226" s="17" t="inlineStr">
        <is>
          <t>334307</t>
        </is>
      </c>
      <c r="C226" s="18" t="n">
        <v>41589</v>
      </c>
      <c r="D226" s="682" t="n">
        <v>24.8</v>
      </c>
      <c r="E226" s="11" t="inlineStr">
        <is>
          <t>S G L CAMBODIA</t>
        </is>
      </c>
      <c r="F226" s="10" t="inlineStr">
        <is>
          <t>100119816</t>
        </is>
      </c>
      <c r="G226" s="17" t="inlineStr">
        <is>
          <t>334307</t>
        </is>
      </c>
      <c r="H226" s="18" t="n">
        <v>41589</v>
      </c>
      <c r="I226" s="682" t="n">
        <v>24.8</v>
      </c>
      <c r="J226" s="9" t="n"/>
    </row>
    <row r="227" ht="18" customHeight="1" s="397">
      <c r="A227" s="33" t="n">
        <v>222</v>
      </c>
      <c r="B227" s="17" t="inlineStr">
        <is>
          <t>334407</t>
        </is>
      </c>
      <c r="C227" s="18" t="n">
        <v>41593</v>
      </c>
      <c r="D227" s="682" t="n">
        <v>27.56</v>
      </c>
      <c r="E227" s="11" t="inlineStr">
        <is>
          <t>S G L CAMBODIA</t>
        </is>
      </c>
      <c r="F227" s="10" t="inlineStr">
        <is>
          <t>100119816</t>
        </is>
      </c>
      <c r="G227" s="17" t="inlineStr">
        <is>
          <t>334407</t>
        </is>
      </c>
      <c r="H227" s="18" t="n">
        <v>41593</v>
      </c>
      <c r="I227" s="682" t="n">
        <v>27.56</v>
      </c>
      <c r="J227" s="9" t="n"/>
    </row>
    <row r="228" ht="18" customHeight="1" s="397">
      <c r="A228" s="33" t="n">
        <v>223</v>
      </c>
      <c r="B228" s="17" t="inlineStr">
        <is>
          <t>334626</t>
        </is>
      </c>
      <c r="C228" s="18" t="n">
        <v>41610</v>
      </c>
      <c r="D228" s="682" t="n">
        <v>30.96</v>
      </c>
      <c r="E228" s="11" t="inlineStr">
        <is>
          <t>S G L CAMBODIA</t>
        </is>
      </c>
      <c r="F228" s="10" t="inlineStr">
        <is>
          <t>100119816</t>
        </is>
      </c>
      <c r="G228" s="17" t="inlineStr">
        <is>
          <t>334626</t>
        </is>
      </c>
      <c r="H228" s="18" t="n">
        <v>41610</v>
      </c>
      <c r="I228" s="682" t="n">
        <v>30.96</v>
      </c>
      <c r="J228" s="9" t="n"/>
    </row>
    <row r="229" ht="18" customHeight="1" s="397">
      <c r="A229" s="33" t="n">
        <v>224</v>
      </c>
      <c r="B229" s="17" t="inlineStr">
        <is>
          <t>334645</t>
        </is>
      </c>
      <c r="C229" s="18" t="n">
        <v>41611</v>
      </c>
      <c r="D229" s="682" t="n">
        <v>59.29</v>
      </c>
      <c r="E229" s="11" t="inlineStr">
        <is>
          <t>S G L CAMBODIA</t>
        </is>
      </c>
      <c r="F229" s="10" t="inlineStr">
        <is>
          <t>100119816</t>
        </is>
      </c>
      <c r="G229" s="17" t="inlineStr">
        <is>
          <t>334645</t>
        </is>
      </c>
      <c r="H229" s="18" t="n">
        <v>41611</v>
      </c>
      <c r="I229" s="682" t="n">
        <v>59.29</v>
      </c>
      <c r="J229" s="9" t="n"/>
    </row>
    <row r="230" ht="18" customHeight="1" s="397">
      <c r="A230" s="33" t="n">
        <v>225</v>
      </c>
      <c r="B230" s="17" t="inlineStr">
        <is>
          <t>334754</t>
        </is>
      </c>
      <c r="C230" s="18" t="n">
        <v>41618</v>
      </c>
      <c r="D230" s="682" t="n">
        <v>22.52</v>
      </c>
      <c r="E230" s="11" t="inlineStr">
        <is>
          <t>S G L CAMBODIA</t>
        </is>
      </c>
      <c r="F230" s="10" t="inlineStr">
        <is>
          <t>100119816</t>
        </is>
      </c>
      <c r="G230" s="17" t="inlineStr">
        <is>
          <t>334754</t>
        </is>
      </c>
      <c r="H230" s="18" t="n">
        <v>41618</v>
      </c>
      <c r="I230" s="682" t="n">
        <v>22.52</v>
      </c>
      <c r="J230" s="9" t="n"/>
    </row>
    <row r="231" ht="18" customHeight="1" s="397">
      <c r="A231" s="33" t="n">
        <v>226</v>
      </c>
      <c r="B231" s="17" t="inlineStr">
        <is>
          <t>334781</t>
        </is>
      </c>
      <c r="C231" s="18" t="n">
        <v>41619</v>
      </c>
      <c r="D231" s="682" t="n">
        <v>149.28</v>
      </c>
      <c r="E231" s="11" t="inlineStr">
        <is>
          <t>S G L CAMBODIA</t>
        </is>
      </c>
      <c r="F231" s="10" t="inlineStr">
        <is>
          <t>100119816</t>
        </is>
      </c>
      <c r="G231" s="17" t="inlineStr">
        <is>
          <t>334781</t>
        </is>
      </c>
      <c r="H231" s="18" t="n">
        <v>41619</v>
      </c>
      <c r="I231" s="682" t="n">
        <v>149.28</v>
      </c>
      <c r="J231" s="9" t="n"/>
    </row>
    <row r="232" ht="18" customHeight="1" s="397">
      <c r="A232" s="33" t="n">
        <v>227</v>
      </c>
      <c r="B232" s="17" t="inlineStr">
        <is>
          <t>334788</t>
        </is>
      </c>
      <c r="C232" s="18" t="n">
        <v>41619</v>
      </c>
      <c r="D232" s="682" t="n">
        <v>75.19</v>
      </c>
      <c r="E232" s="11" t="inlineStr">
        <is>
          <t>S G L CAMBODIA</t>
        </is>
      </c>
      <c r="F232" s="10" t="inlineStr">
        <is>
          <t>100119816</t>
        </is>
      </c>
      <c r="G232" s="17" t="inlineStr">
        <is>
          <t>334788</t>
        </is>
      </c>
      <c r="H232" s="18" t="n">
        <v>41619</v>
      </c>
      <c r="I232" s="682" t="n">
        <v>75.19</v>
      </c>
      <c r="J232" s="9" t="n"/>
    </row>
    <row r="233" ht="18" customHeight="1" s="397">
      <c r="A233" s="33" t="n">
        <v>228</v>
      </c>
      <c r="B233" s="17" t="inlineStr">
        <is>
          <t>334825</t>
        </is>
      </c>
      <c r="C233" s="18" t="n">
        <v>41619</v>
      </c>
      <c r="D233" s="682" t="n">
        <v>23.89</v>
      </c>
      <c r="E233" s="11" t="inlineStr">
        <is>
          <t>S G L CAMBODIA</t>
        </is>
      </c>
      <c r="F233" s="10" t="inlineStr">
        <is>
          <t>100119816</t>
        </is>
      </c>
      <c r="G233" s="17" t="inlineStr">
        <is>
          <t>334825</t>
        </is>
      </c>
      <c r="H233" s="18" t="n">
        <v>41619</v>
      </c>
      <c r="I233" s="682" t="n">
        <v>23.89</v>
      </c>
      <c r="J233" s="9" t="n"/>
    </row>
    <row r="234" ht="18" customHeight="1" s="397">
      <c r="A234" s="33" t="n">
        <v>229</v>
      </c>
      <c r="B234" s="17" t="inlineStr">
        <is>
          <t>334848</t>
        </is>
      </c>
      <c r="C234" s="18" t="n">
        <v>41619</v>
      </c>
      <c r="D234" s="682" t="n">
        <v>60.08</v>
      </c>
      <c r="E234" s="11" t="inlineStr">
        <is>
          <t>S G L CAMBODIA</t>
        </is>
      </c>
      <c r="F234" s="10" t="inlineStr">
        <is>
          <t>100119816</t>
        </is>
      </c>
      <c r="G234" s="17" t="inlineStr">
        <is>
          <t>334848</t>
        </is>
      </c>
      <c r="H234" s="18" t="n">
        <v>41619</v>
      </c>
      <c r="I234" s="682" t="n">
        <v>60.08</v>
      </c>
      <c r="J234" s="9" t="n"/>
    </row>
    <row r="235" ht="18" customHeight="1" s="397">
      <c r="A235" s="33" t="n">
        <v>230</v>
      </c>
      <c r="B235" s="17" t="inlineStr">
        <is>
          <t>334863</t>
        </is>
      </c>
      <c r="C235" s="18" t="n">
        <v>41619</v>
      </c>
      <c r="D235" s="682" t="n">
        <v>31.16</v>
      </c>
      <c r="E235" s="11" t="inlineStr">
        <is>
          <t>S G L CAMBODIA</t>
        </is>
      </c>
      <c r="F235" s="10" t="inlineStr">
        <is>
          <t>100119816</t>
        </is>
      </c>
      <c r="G235" s="17" t="inlineStr">
        <is>
          <t>334863</t>
        </is>
      </c>
      <c r="H235" s="18" t="n">
        <v>41619</v>
      </c>
      <c r="I235" s="682" t="n">
        <v>31.16</v>
      </c>
      <c r="J235" s="9" t="n"/>
    </row>
    <row r="236" ht="18" customHeight="1" s="397">
      <c r="A236" s="33" t="n">
        <v>231</v>
      </c>
      <c r="B236" s="17" t="inlineStr">
        <is>
          <t>334964</t>
        </is>
      </c>
      <c r="C236" s="18" t="n">
        <v>41624</v>
      </c>
      <c r="D236" s="682" t="n">
        <v>45.38</v>
      </c>
      <c r="E236" s="11" t="inlineStr">
        <is>
          <t>S G L CAMBODIA</t>
        </is>
      </c>
      <c r="F236" s="10" t="inlineStr">
        <is>
          <t>100119816</t>
        </is>
      </c>
      <c r="G236" s="17" t="inlineStr">
        <is>
          <t>334964</t>
        </is>
      </c>
      <c r="H236" s="18" t="n">
        <v>41624</v>
      </c>
      <c r="I236" s="682" t="n">
        <v>45.38</v>
      </c>
      <c r="J236" s="9" t="n"/>
    </row>
    <row r="237" ht="18" customHeight="1" s="397">
      <c r="A237" s="33" t="n">
        <v>232</v>
      </c>
      <c r="B237" s="17" t="inlineStr">
        <is>
          <t>335005</t>
        </is>
      </c>
      <c r="C237" s="18" t="n">
        <v>41625</v>
      </c>
      <c r="D237" s="682" t="n">
        <v>22.3</v>
      </c>
      <c r="E237" s="11" t="inlineStr">
        <is>
          <t>S G L CAMBODIA</t>
        </is>
      </c>
      <c r="F237" s="10" t="inlineStr">
        <is>
          <t>100119816</t>
        </is>
      </c>
      <c r="G237" s="17" t="inlineStr">
        <is>
          <t>335005</t>
        </is>
      </c>
      <c r="H237" s="18" t="n">
        <v>41625</v>
      </c>
      <c r="I237" s="682" t="n">
        <v>22.3</v>
      </c>
      <c r="J237" s="9" t="n"/>
    </row>
    <row r="238" ht="18" customHeight="1" s="397">
      <c r="A238" s="33" t="n">
        <v>233</v>
      </c>
      <c r="B238" s="17" t="inlineStr">
        <is>
          <t>335038</t>
        </is>
      </c>
      <c r="C238" s="18" t="n">
        <v>41625</v>
      </c>
      <c r="D238" s="682" t="n">
        <v>22.3</v>
      </c>
      <c r="E238" s="11" t="inlineStr">
        <is>
          <t>S G L CAMBODIA</t>
        </is>
      </c>
      <c r="F238" s="10" t="inlineStr">
        <is>
          <t>100119816</t>
        </is>
      </c>
      <c r="G238" s="17" t="inlineStr">
        <is>
          <t>335038</t>
        </is>
      </c>
      <c r="H238" s="18" t="n">
        <v>41625</v>
      </c>
      <c r="I238" s="682" t="n">
        <v>22.3</v>
      </c>
      <c r="J238" s="9" t="n"/>
    </row>
    <row r="239" ht="18" customHeight="1" s="397">
      <c r="A239" s="33" t="n">
        <v>234</v>
      </c>
      <c r="B239" s="17" t="inlineStr">
        <is>
          <t>335047</t>
        </is>
      </c>
      <c r="C239" s="18" t="n">
        <v>41625</v>
      </c>
      <c r="D239" s="682" t="n">
        <v>26.79</v>
      </c>
      <c r="E239" s="11" t="inlineStr">
        <is>
          <t>S G L CAMBODIA</t>
        </is>
      </c>
      <c r="F239" s="10" t="inlineStr">
        <is>
          <t>100119816</t>
        </is>
      </c>
      <c r="G239" s="17" t="inlineStr">
        <is>
          <t>335047</t>
        </is>
      </c>
      <c r="H239" s="18" t="n">
        <v>41625</v>
      </c>
      <c r="I239" s="682" t="n">
        <v>26.79</v>
      </c>
      <c r="J239" s="9" t="n"/>
    </row>
    <row r="240" ht="18" customHeight="1" s="397">
      <c r="A240" s="33" t="n">
        <v>235</v>
      </c>
      <c r="B240" s="17" t="inlineStr">
        <is>
          <t>335140</t>
        </is>
      </c>
      <c r="C240" s="18" t="n">
        <v>41631</v>
      </c>
      <c r="D240" s="682" t="n">
        <v>39.28</v>
      </c>
      <c r="E240" s="11" t="inlineStr">
        <is>
          <t>S G L CAMBODIA</t>
        </is>
      </c>
      <c r="F240" s="10" t="inlineStr">
        <is>
          <t>100119816</t>
        </is>
      </c>
      <c r="G240" s="17" t="inlineStr">
        <is>
          <t>335140</t>
        </is>
      </c>
      <c r="H240" s="18" t="n">
        <v>41631</v>
      </c>
      <c r="I240" s="682" t="n">
        <v>39.28</v>
      </c>
      <c r="J240" s="9" t="n"/>
    </row>
    <row r="241" ht="18" customHeight="1" s="397">
      <c r="A241" s="33" t="n">
        <v>236</v>
      </c>
      <c r="B241" s="17" t="inlineStr">
        <is>
          <t>335150</t>
        </is>
      </c>
      <c r="C241" s="18" t="n">
        <v>41631</v>
      </c>
      <c r="D241" s="682" t="n">
        <v>25.73</v>
      </c>
      <c r="E241" s="11" t="inlineStr">
        <is>
          <t>S G L CAMBODIA</t>
        </is>
      </c>
      <c r="F241" s="10" t="inlineStr">
        <is>
          <t>100119816</t>
        </is>
      </c>
      <c r="G241" s="17" t="inlineStr">
        <is>
          <t>335150</t>
        </is>
      </c>
      <c r="H241" s="18" t="n">
        <v>41631</v>
      </c>
      <c r="I241" s="682" t="n">
        <v>25.73</v>
      </c>
      <c r="J241" s="9" t="n"/>
    </row>
    <row r="242" ht="18" customHeight="1" s="397">
      <c r="A242" s="33" t="n">
        <v>237</v>
      </c>
      <c r="B242" s="17" t="inlineStr">
        <is>
          <t>335240</t>
        </is>
      </c>
      <c r="C242" s="18" t="n">
        <v>41638</v>
      </c>
      <c r="D242" s="682" t="n">
        <v>28.56</v>
      </c>
      <c r="E242" s="11" t="inlineStr">
        <is>
          <t>S G L CAMBODIA</t>
        </is>
      </c>
      <c r="F242" s="10" t="inlineStr">
        <is>
          <t>100119816</t>
        </is>
      </c>
      <c r="G242" s="17" t="inlineStr">
        <is>
          <t>335240</t>
        </is>
      </c>
      <c r="H242" s="18" t="n">
        <v>41638</v>
      </c>
      <c r="I242" s="682" t="n">
        <v>28.56</v>
      </c>
      <c r="J242" s="9" t="n"/>
    </row>
    <row r="243" ht="18" customHeight="1" s="397">
      <c r="A243" s="33" t="n">
        <v>238</v>
      </c>
      <c r="B243" s="17" t="inlineStr">
        <is>
          <t>335240</t>
        </is>
      </c>
      <c r="C243" s="18" t="n">
        <v>41638</v>
      </c>
      <c r="D243" s="682" t="n">
        <v>28.56</v>
      </c>
      <c r="E243" s="11" t="inlineStr">
        <is>
          <t>S G L CAMBODIA</t>
        </is>
      </c>
      <c r="F243" s="10" t="inlineStr">
        <is>
          <t>100119816</t>
        </is>
      </c>
      <c r="G243" s="17" t="inlineStr">
        <is>
          <t>335240</t>
        </is>
      </c>
      <c r="H243" s="18" t="n">
        <v>41638</v>
      </c>
      <c r="I243" s="682" t="n">
        <v>28.56</v>
      </c>
      <c r="J243" s="9" t="n"/>
    </row>
    <row r="244" ht="18" customHeight="1" s="397">
      <c r="A244" s="33" t="n">
        <v>239</v>
      </c>
      <c r="B244" s="17" t="inlineStr">
        <is>
          <t>335266</t>
        </is>
      </c>
      <c r="C244" s="18" t="n">
        <v>41639</v>
      </c>
      <c r="D244" s="682" t="n">
        <v>22.3</v>
      </c>
      <c r="E244" s="11" t="inlineStr">
        <is>
          <t>S G L CAMBODIA</t>
        </is>
      </c>
      <c r="F244" s="10" t="inlineStr">
        <is>
          <t>100119816</t>
        </is>
      </c>
      <c r="G244" s="17" t="inlineStr">
        <is>
          <t>335266</t>
        </is>
      </c>
      <c r="H244" s="18" t="n">
        <v>41639</v>
      </c>
      <c r="I244" s="682" t="n">
        <v>22.3</v>
      </c>
      <c r="J244" s="9" t="n"/>
    </row>
    <row r="245" ht="18" customHeight="1" s="397">
      <c r="A245" s="33" t="n">
        <v>240</v>
      </c>
      <c r="B245" s="17" t="inlineStr">
        <is>
          <t>335277</t>
        </is>
      </c>
      <c r="C245" s="18" t="n">
        <v>41639</v>
      </c>
      <c r="D245" s="682" t="n">
        <v>50.47</v>
      </c>
      <c r="E245" s="11" t="inlineStr">
        <is>
          <t>S G L CAMBODIA</t>
        </is>
      </c>
      <c r="F245" s="10" t="inlineStr">
        <is>
          <t>100119816</t>
        </is>
      </c>
      <c r="G245" s="17" t="inlineStr">
        <is>
          <t>335277</t>
        </is>
      </c>
      <c r="H245" s="18" t="n">
        <v>41639</v>
      </c>
      <c r="I245" s="682" t="n">
        <v>50.47</v>
      </c>
      <c r="J245" s="9" t="n"/>
    </row>
    <row r="246" ht="18" customHeight="1" s="397">
      <c r="A246" s="33" t="n">
        <v>241</v>
      </c>
      <c r="B246" s="17" t="inlineStr">
        <is>
          <t>335286</t>
        </is>
      </c>
      <c r="C246" s="18" t="n">
        <v>41639</v>
      </c>
      <c r="D246" s="682" t="n">
        <v>5</v>
      </c>
      <c r="E246" s="11" t="inlineStr">
        <is>
          <t>S G L CAMBODIA</t>
        </is>
      </c>
      <c r="F246" s="10" t="inlineStr">
        <is>
          <t>100119816</t>
        </is>
      </c>
      <c r="G246" s="17" t="inlineStr">
        <is>
          <t>335286</t>
        </is>
      </c>
      <c r="H246" s="18" t="n">
        <v>41639</v>
      </c>
      <c r="I246" s="682" t="n">
        <v>5</v>
      </c>
      <c r="J246" s="9" t="n"/>
    </row>
    <row r="247" ht="18" customHeight="1" s="397">
      <c r="A247" s="33" t="n">
        <v>242</v>
      </c>
      <c r="B247" s="17" t="inlineStr">
        <is>
          <t>335266</t>
        </is>
      </c>
      <c r="C247" s="18" t="n">
        <v>41639</v>
      </c>
      <c r="D247" s="682" t="n">
        <v>22.3</v>
      </c>
      <c r="E247" s="11" t="inlineStr">
        <is>
          <t>S G L CAMBODIA</t>
        </is>
      </c>
      <c r="F247" s="10" t="inlineStr">
        <is>
          <t>100119816</t>
        </is>
      </c>
      <c r="G247" s="17" t="inlineStr">
        <is>
          <t>335266</t>
        </is>
      </c>
      <c r="H247" s="18" t="n">
        <v>41639</v>
      </c>
      <c r="I247" s="682" t="n">
        <v>22.3</v>
      </c>
      <c r="J247" s="9" t="n"/>
    </row>
    <row r="248" ht="18" customHeight="1" s="397">
      <c r="A248" s="33" t="n">
        <v>243</v>
      </c>
      <c r="B248" s="17" t="inlineStr">
        <is>
          <t>335277</t>
        </is>
      </c>
      <c r="C248" s="18" t="n">
        <v>41639</v>
      </c>
      <c r="D248" s="682" t="n">
        <v>50.47</v>
      </c>
      <c r="E248" s="11" t="inlineStr">
        <is>
          <t>S G L CAMBODIA</t>
        </is>
      </c>
      <c r="F248" s="10" t="inlineStr">
        <is>
          <t>100119816</t>
        </is>
      </c>
      <c r="G248" s="17" t="inlineStr">
        <is>
          <t>335277</t>
        </is>
      </c>
      <c r="H248" s="18" t="n">
        <v>41639</v>
      </c>
      <c r="I248" s="682" t="n">
        <v>50.47</v>
      </c>
      <c r="J248" s="9" t="n"/>
    </row>
    <row r="249" ht="18" customHeight="1" s="397">
      <c r="A249" s="33" t="n">
        <v>244</v>
      </c>
      <c r="B249" s="17" t="inlineStr">
        <is>
          <t>335286</t>
        </is>
      </c>
      <c r="C249" s="18" t="n">
        <v>41639</v>
      </c>
      <c r="D249" s="682" t="n">
        <v>5</v>
      </c>
      <c r="E249" s="11" t="inlineStr">
        <is>
          <t>S G L CAMBODIA</t>
        </is>
      </c>
      <c r="F249" s="10" t="inlineStr">
        <is>
          <t>100119816</t>
        </is>
      </c>
      <c r="G249" s="17" t="inlineStr">
        <is>
          <t>335286</t>
        </is>
      </c>
      <c r="H249" s="18" t="n">
        <v>41639</v>
      </c>
      <c r="I249" s="682" t="n">
        <v>5</v>
      </c>
      <c r="J249" s="9" t="n"/>
    </row>
    <row r="250" ht="18" customHeight="1" s="397">
      <c r="A250" s="33" t="n">
        <v>245</v>
      </c>
      <c r="B250" s="20" t="inlineStr">
        <is>
          <t>435384</t>
        </is>
      </c>
      <c r="C250" s="658" t="n">
        <v>41646</v>
      </c>
      <c r="D250" s="681" t="n">
        <v>36.07</v>
      </c>
      <c r="E250" s="11" t="inlineStr">
        <is>
          <t>S G L CAMBODIA</t>
        </is>
      </c>
      <c r="F250" s="10" t="inlineStr">
        <is>
          <t>100119816</t>
        </is>
      </c>
      <c r="G250" s="20" t="inlineStr">
        <is>
          <t>435384</t>
        </is>
      </c>
      <c r="H250" s="658" t="n">
        <v>41646</v>
      </c>
      <c r="I250" s="681" t="n">
        <v>36.07</v>
      </c>
      <c r="J250" s="9" t="n"/>
    </row>
    <row r="251" ht="18" customHeight="1" s="397">
      <c r="A251" s="33" t="n">
        <v>246</v>
      </c>
      <c r="B251" s="20" t="inlineStr">
        <is>
          <t>435413</t>
        </is>
      </c>
      <c r="C251" s="658" t="n">
        <v>41646</v>
      </c>
      <c r="D251" s="681" t="n">
        <v>100.41</v>
      </c>
      <c r="E251" s="11" t="inlineStr">
        <is>
          <t>S G L CAMBODIA</t>
        </is>
      </c>
      <c r="F251" s="10" t="inlineStr">
        <is>
          <t>100119816</t>
        </is>
      </c>
      <c r="G251" s="20" t="inlineStr">
        <is>
          <t>435413</t>
        </is>
      </c>
      <c r="H251" s="658" t="n">
        <v>41646</v>
      </c>
      <c r="I251" s="681" t="n">
        <v>100.41</v>
      </c>
      <c r="J251" s="9" t="n"/>
    </row>
    <row r="252" ht="18" customHeight="1" s="397">
      <c r="A252" s="33" t="n">
        <v>247</v>
      </c>
      <c r="B252" s="20" t="inlineStr">
        <is>
          <t>435499</t>
        </is>
      </c>
      <c r="C252" s="658" t="n">
        <v>41653</v>
      </c>
      <c r="D252" s="681" t="n">
        <v>43.29</v>
      </c>
      <c r="E252" s="11" t="inlineStr">
        <is>
          <t>S G L CAMBODIA</t>
        </is>
      </c>
      <c r="F252" s="10" t="inlineStr">
        <is>
          <t>100119816</t>
        </is>
      </c>
      <c r="G252" s="20" t="inlineStr">
        <is>
          <t>435499</t>
        </is>
      </c>
      <c r="H252" s="658" t="n">
        <v>41653</v>
      </c>
      <c r="I252" s="681" t="n">
        <v>43.29</v>
      </c>
      <c r="J252" s="9" t="n"/>
    </row>
    <row r="253" ht="18" customHeight="1" s="397">
      <c r="A253" s="33" t="n">
        <v>248</v>
      </c>
      <c r="B253" s="20" t="inlineStr">
        <is>
          <t>435525</t>
        </is>
      </c>
      <c r="C253" s="658" t="n">
        <v>41653</v>
      </c>
      <c r="D253" s="681" t="n">
        <v>34.05</v>
      </c>
      <c r="E253" s="11" t="inlineStr">
        <is>
          <t>S G L CAMBODIA</t>
        </is>
      </c>
      <c r="F253" s="10" t="inlineStr">
        <is>
          <t>100119816</t>
        </is>
      </c>
      <c r="G253" s="20" t="inlineStr">
        <is>
          <t>435525</t>
        </is>
      </c>
      <c r="H253" s="658" t="n">
        <v>41653</v>
      </c>
      <c r="I253" s="681" t="n">
        <v>34.05</v>
      </c>
      <c r="J253" s="9" t="n"/>
    </row>
    <row r="254" ht="18" customHeight="1" s="397">
      <c r="A254" s="33" t="n">
        <v>249</v>
      </c>
      <c r="B254" s="20" t="inlineStr">
        <is>
          <t>435556</t>
        </is>
      </c>
      <c r="C254" s="658" t="n">
        <v>41653</v>
      </c>
      <c r="D254" s="681" t="n">
        <v>109.52</v>
      </c>
      <c r="E254" s="11" t="inlineStr">
        <is>
          <t>S G L CAMBODIA</t>
        </is>
      </c>
      <c r="F254" s="10" t="inlineStr">
        <is>
          <t>100119816</t>
        </is>
      </c>
      <c r="G254" s="20" t="inlineStr">
        <is>
          <t>435556</t>
        </is>
      </c>
      <c r="H254" s="658" t="n">
        <v>41653</v>
      </c>
      <c r="I254" s="681" t="n">
        <v>109.52</v>
      </c>
      <c r="J254" s="9" t="n"/>
    </row>
    <row r="255" ht="18" customHeight="1" s="397">
      <c r="A255" s="33" t="n">
        <v>250</v>
      </c>
      <c r="B255" s="20" t="inlineStr">
        <is>
          <t>435566</t>
        </is>
      </c>
      <c r="C255" s="658" t="n">
        <v>41653</v>
      </c>
      <c r="D255" s="681" t="n">
        <v>56.94</v>
      </c>
      <c r="E255" s="11" t="inlineStr">
        <is>
          <t>S G L CAMBODIA</t>
        </is>
      </c>
      <c r="F255" s="10" t="inlineStr">
        <is>
          <t>100119816</t>
        </is>
      </c>
      <c r="G255" s="20" t="inlineStr">
        <is>
          <t>435566</t>
        </is>
      </c>
      <c r="H255" s="658" t="n">
        <v>41653</v>
      </c>
      <c r="I255" s="681" t="n">
        <v>56.94</v>
      </c>
      <c r="J255" s="9" t="n"/>
    </row>
    <row r="256" ht="18" customHeight="1" s="397">
      <c r="A256" s="33" t="n">
        <v>251</v>
      </c>
      <c r="B256" s="20" t="inlineStr">
        <is>
          <t>435575</t>
        </is>
      </c>
      <c r="C256" s="658" t="n">
        <v>41654</v>
      </c>
      <c r="D256" s="681" t="n">
        <v>48</v>
      </c>
      <c r="E256" s="11" t="inlineStr">
        <is>
          <t>S G L CAMBODIA</t>
        </is>
      </c>
      <c r="F256" s="10" t="inlineStr">
        <is>
          <t>100119816</t>
        </is>
      </c>
      <c r="G256" s="20" t="inlineStr">
        <is>
          <t>435575</t>
        </is>
      </c>
      <c r="H256" s="658" t="n">
        <v>41654</v>
      </c>
      <c r="I256" s="681" t="n">
        <v>48</v>
      </c>
      <c r="J256" s="9" t="n"/>
    </row>
    <row r="257" ht="18" customHeight="1" s="397">
      <c r="A257" s="33" t="n">
        <v>252</v>
      </c>
      <c r="B257" s="20" t="inlineStr">
        <is>
          <t>435587</t>
        </is>
      </c>
      <c r="C257" s="658" t="n">
        <v>41654</v>
      </c>
      <c r="D257" s="681" t="n">
        <v>22.51</v>
      </c>
      <c r="E257" s="11" t="inlineStr">
        <is>
          <t>S G L CAMBODIA</t>
        </is>
      </c>
      <c r="F257" s="10" t="inlineStr">
        <is>
          <t>100119816</t>
        </is>
      </c>
      <c r="G257" s="20" t="inlineStr">
        <is>
          <t>435587</t>
        </is>
      </c>
      <c r="H257" s="658" t="n">
        <v>41654</v>
      </c>
      <c r="I257" s="681" t="n">
        <v>22.51</v>
      </c>
      <c r="J257" s="9" t="n"/>
    </row>
    <row r="258" ht="18" customHeight="1" s="397">
      <c r="A258" s="33" t="n">
        <v>253</v>
      </c>
      <c r="B258" s="20" t="inlineStr">
        <is>
          <t>435667</t>
        </is>
      </c>
      <c r="C258" s="658" t="n">
        <v>41660</v>
      </c>
      <c r="D258" s="681" t="n">
        <v>23.18</v>
      </c>
      <c r="E258" s="11" t="inlineStr">
        <is>
          <t>S G L CAMBODIA</t>
        </is>
      </c>
      <c r="F258" s="10" t="inlineStr">
        <is>
          <t>100119816</t>
        </is>
      </c>
      <c r="G258" s="20" t="inlineStr">
        <is>
          <t>435667</t>
        </is>
      </c>
      <c r="H258" s="658" t="n">
        <v>41660</v>
      </c>
      <c r="I258" s="681" t="n">
        <v>23.18</v>
      </c>
      <c r="J258" s="9" t="n"/>
    </row>
    <row r="259" ht="18" customHeight="1" s="397">
      <c r="A259" s="33" t="n">
        <v>254</v>
      </c>
      <c r="B259" s="20" t="inlineStr">
        <is>
          <t>435675</t>
        </is>
      </c>
      <c r="C259" s="658" t="n">
        <v>41660</v>
      </c>
      <c r="D259" s="681" t="n">
        <v>55.08</v>
      </c>
      <c r="E259" s="11" t="inlineStr">
        <is>
          <t>S G L CAMBODIA</t>
        </is>
      </c>
      <c r="F259" s="10" t="inlineStr">
        <is>
          <t>100119816</t>
        </is>
      </c>
      <c r="G259" s="20" t="inlineStr">
        <is>
          <t>435675</t>
        </is>
      </c>
      <c r="H259" s="658" t="n">
        <v>41660</v>
      </c>
      <c r="I259" s="681" t="n">
        <v>55.08</v>
      </c>
      <c r="J259" s="9" t="n"/>
    </row>
    <row r="260" ht="18" customHeight="1" s="397">
      <c r="A260" s="33" t="n">
        <v>255</v>
      </c>
      <c r="B260" s="20" t="inlineStr">
        <is>
          <t>435689</t>
        </is>
      </c>
      <c r="C260" s="658" t="n">
        <v>41660</v>
      </c>
      <c r="D260" s="681" t="n">
        <v>23.63</v>
      </c>
      <c r="E260" s="11" t="inlineStr">
        <is>
          <t>S G L CAMBODIA</t>
        </is>
      </c>
      <c r="F260" s="10" t="inlineStr">
        <is>
          <t>100119816</t>
        </is>
      </c>
      <c r="G260" s="20" t="inlineStr">
        <is>
          <t>435689</t>
        </is>
      </c>
      <c r="H260" s="658" t="n">
        <v>41660</v>
      </c>
      <c r="I260" s="681" t="n">
        <v>23.63</v>
      </c>
      <c r="J260" s="9" t="n"/>
    </row>
    <row r="261" ht="18" customHeight="1" s="397">
      <c r="A261" s="33" t="n">
        <v>256</v>
      </c>
      <c r="B261" s="20" t="inlineStr">
        <is>
          <t>435705</t>
        </is>
      </c>
      <c r="C261" s="658" t="n">
        <v>41660</v>
      </c>
      <c r="D261" s="681" t="n">
        <v>46.83</v>
      </c>
      <c r="E261" s="11" t="inlineStr">
        <is>
          <t>S G L CAMBODIA</t>
        </is>
      </c>
      <c r="F261" s="10" t="inlineStr">
        <is>
          <t>100119816</t>
        </is>
      </c>
      <c r="G261" s="20" t="inlineStr">
        <is>
          <t>435705</t>
        </is>
      </c>
      <c r="H261" s="658" t="n">
        <v>41660</v>
      </c>
      <c r="I261" s="681" t="n">
        <v>46.83</v>
      </c>
      <c r="J261" s="9" t="n"/>
    </row>
    <row r="262" ht="18" customHeight="1" s="397">
      <c r="A262" s="33" t="n">
        <v>257</v>
      </c>
      <c r="B262" s="20" t="inlineStr">
        <is>
          <t>435744</t>
        </is>
      </c>
      <c r="C262" s="658" t="n">
        <v>41660</v>
      </c>
      <c r="D262" s="681" t="n">
        <v>79.76000000000001</v>
      </c>
      <c r="E262" s="11" t="inlineStr">
        <is>
          <t>S G L CAMBODIA</t>
        </is>
      </c>
      <c r="F262" s="10" t="inlineStr">
        <is>
          <t>100119816</t>
        </is>
      </c>
      <c r="G262" s="20" t="inlineStr">
        <is>
          <t>435744</t>
        </is>
      </c>
      <c r="H262" s="658" t="n">
        <v>41660</v>
      </c>
      <c r="I262" s="681" t="n">
        <v>79.76000000000001</v>
      </c>
      <c r="J262" s="9" t="n"/>
    </row>
    <row r="263" ht="18" customHeight="1" s="397">
      <c r="A263" s="33" t="n">
        <v>258</v>
      </c>
      <c r="B263" s="20" t="inlineStr">
        <is>
          <t>435755</t>
        </is>
      </c>
      <c r="C263" s="658" t="n">
        <v>41660</v>
      </c>
      <c r="D263" s="681" t="n">
        <v>42.45</v>
      </c>
      <c r="E263" s="11" t="inlineStr">
        <is>
          <t>S G L CAMBODIA</t>
        </is>
      </c>
      <c r="F263" s="10" t="inlineStr">
        <is>
          <t>100119816</t>
        </is>
      </c>
      <c r="G263" s="20" t="inlineStr">
        <is>
          <t>435755</t>
        </is>
      </c>
      <c r="H263" s="658" t="n">
        <v>41660</v>
      </c>
      <c r="I263" s="681" t="n">
        <v>42.45</v>
      </c>
      <c r="J263" s="9" t="n"/>
    </row>
    <row r="264" ht="18" customHeight="1" s="397">
      <c r="A264" s="33" t="n">
        <v>259</v>
      </c>
      <c r="B264" s="20" t="inlineStr">
        <is>
          <t>435775</t>
        </is>
      </c>
      <c r="C264" s="658" t="n">
        <v>21</v>
      </c>
      <c r="D264" s="681" t="n">
        <v>28.6</v>
      </c>
      <c r="E264" s="11" t="inlineStr">
        <is>
          <t>S G L CAMBODIA</t>
        </is>
      </c>
      <c r="F264" s="10" t="inlineStr">
        <is>
          <t>100119816</t>
        </is>
      </c>
      <c r="G264" s="20" t="inlineStr">
        <is>
          <t>435775</t>
        </is>
      </c>
      <c r="H264" s="658" t="n">
        <v>21</v>
      </c>
      <c r="I264" s="681" t="n">
        <v>28.6</v>
      </c>
      <c r="J264" s="9" t="n"/>
    </row>
    <row r="265" ht="18" customHeight="1" s="397">
      <c r="A265" s="33" t="n">
        <v>260</v>
      </c>
      <c r="B265" s="20" t="inlineStr">
        <is>
          <t>435858</t>
        </is>
      </c>
      <c r="C265" s="658" t="n">
        <v>41666</v>
      </c>
      <c r="D265" s="681" t="n">
        <v>27.97</v>
      </c>
      <c r="E265" s="11" t="inlineStr">
        <is>
          <t>S G L CAMBODIA</t>
        </is>
      </c>
      <c r="F265" s="10" t="inlineStr">
        <is>
          <t>100119816</t>
        </is>
      </c>
      <c r="G265" s="20" t="inlineStr">
        <is>
          <t>435858</t>
        </is>
      </c>
      <c r="H265" s="658" t="n">
        <v>41666</v>
      </c>
      <c r="I265" s="681" t="n">
        <v>27.97</v>
      </c>
      <c r="J265" s="9" t="n"/>
    </row>
    <row r="266" ht="18" customHeight="1" s="397">
      <c r="A266" s="33" t="n">
        <v>261</v>
      </c>
      <c r="B266" s="20" t="inlineStr">
        <is>
          <t>435932</t>
        </is>
      </c>
      <c r="C266" s="658" t="n">
        <v>41668</v>
      </c>
      <c r="D266" s="681" t="n">
        <v>22.3</v>
      </c>
      <c r="E266" s="11" t="inlineStr">
        <is>
          <t>S G L CAMBODIA</t>
        </is>
      </c>
      <c r="F266" s="10" t="inlineStr">
        <is>
          <t>100119816</t>
        </is>
      </c>
      <c r="G266" s="20" t="inlineStr">
        <is>
          <t>435932</t>
        </is>
      </c>
      <c r="H266" s="658" t="n">
        <v>41668</v>
      </c>
      <c r="I266" s="681" t="n">
        <v>22.3</v>
      </c>
      <c r="J266" s="9" t="n"/>
    </row>
    <row r="267" ht="18" customHeight="1" s="397">
      <c r="A267" s="33" t="n">
        <v>262</v>
      </c>
      <c r="B267" s="20" t="inlineStr">
        <is>
          <t>435981</t>
        </is>
      </c>
      <c r="C267" s="658" t="n">
        <v>41674</v>
      </c>
      <c r="D267" s="681" t="n">
        <v>71.04000000000001</v>
      </c>
      <c r="E267" s="11" t="inlineStr">
        <is>
          <t>S G L CAMBODIA</t>
        </is>
      </c>
      <c r="F267" s="10" t="inlineStr">
        <is>
          <t>100119816</t>
        </is>
      </c>
      <c r="G267" s="20" t="inlineStr">
        <is>
          <t>435981</t>
        </is>
      </c>
      <c r="H267" s="658" t="n">
        <v>41674</v>
      </c>
      <c r="I267" s="681" t="n">
        <v>71.04000000000001</v>
      </c>
      <c r="J267" s="9" t="n"/>
    </row>
    <row r="268" ht="18" customHeight="1" s="397">
      <c r="A268" s="33" t="n">
        <v>263</v>
      </c>
      <c r="B268" s="20" t="inlineStr">
        <is>
          <t>435993</t>
        </is>
      </c>
      <c r="C268" s="658" t="n">
        <v>41674</v>
      </c>
      <c r="D268" s="681" t="n">
        <v>35.49</v>
      </c>
      <c r="E268" s="11" t="inlineStr">
        <is>
          <t>S G L CAMBODIA</t>
        </is>
      </c>
      <c r="F268" s="10" t="inlineStr">
        <is>
          <t>100119816</t>
        </is>
      </c>
      <c r="G268" s="20" t="inlineStr">
        <is>
          <t>435993</t>
        </is>
      </c>
      <c r="H268" s="658" t="n">
        <v>41674</v>
      </c>
      <c r="I268" s="681" t="n">
        <v>35.49</v>
      </c>
      <c r="J268" s="9" t="n"/>
    </row>
    <row r="269" ht="18" customHeight="1" s="397">
      <c r="A269" s="33" t="n">
        <v>264</v>
      </c>
      <c r="B269" s="20" t="inlineStr">
        <is>
          <t>436004</t>
        </is>
      </c>
      <c r="C269" s="658" t="n">
        <v>41674</v>
      </c>
      <c r="D269" s="681" t="n">
        <v>22.1</v>
      </c>
      <c r="E269" s="11" t="inlineStr">
        <is>
          <t>S G L CAMBODIA</t>
        </is>
      </c>
      <c r="F269" s="10" t="inlineStr">
        <is>
          <t>100119816</t>
        </is>
      </c>
      <c r="G269" s="20" t="inlineStr">
        <is>
          <t>436004</t>
        </is>
      </c>
      <c r="H269" s="658" t="n">
        <v>41674</v>
      </c>
      <c r="I269" s="681" t="n">
        <v>22.1</v>
      </c>
      <c r="J269" s="9" t="n"/>
    </row>
    <row r="270" ht="18" customHeight="1" s="397">
      <c r="A270" s="33" t="n">
        <v>265</v>
      </c>
      <c r="B270" s="20" t="inlineStr">
        <is>
          <t>436039</t>
        </is>
      </c>
      <c r="C270" s="658" t="n">
        <v>41674</v>
      </c>
      <c r="D270" s="681" t="n">
        <v>27.57</v>
      </c>
      <c r="E270" s="11" t="inlineStr">
        <is>
          <t>S G L CAMBODIA</t>
        </is>
      </c>
      <c r="F270" s="10" t="inlineStr">
        <is>
          <t>100119816</t>
        </is>
      </c>
      <c r="G270" s="20" t="inlineStr">
        <is>
          <t>436039</t>
        </is>
      </c>
      <c r="H270" s="658" t="n">
        <v>41674</v>
      </c>
      <c r="I270" s="681" t="n">
        <v>27.57</v>
      </c>
      <c r="J270" s="9" t="n"/>
    </row>
    <row r="271" ht="18" customHeight="1" s="397">
      <c r="A271" s="33" t="n">
        <v>266</v>
      </c>
      <c r="B271" s="20" t="inlineStr">
        <is>
          <t>436080</t>
        </is>
      </c>
      <c r="C271" s="658" t="n">
        <v>41674</v>
      </c>
      <c r="D271" s="681" t="n">
        <v>32.04</v>
      </c>
      <c r="E271" s="11" t="inlineStr">
        <is>
          <t>S G L CAMBODIA</t>
        </is>
      </c>
      <c r="F271" s="10" t="inlineStr">
        <is>
          <t>100119816</t>
        </is>
      </c>
      <c r="G271" s="20" t="inlineStr">
        <is>
          <t>436080</t>
        </is>
      </c>
      <c r="H271" s="658" t="n">
        <v>41674</v>
      </c>
      <c r="I271" s="681" t="n">
        <v>32.04</v>
      </c>
      <c r="J271" s="9" t="n"/>
    </row>
    <row r="272" ht="18" customHeight="1" s="397">
      <c r="A272" s="33" t="n">
        <v>267</v>
      </c>
      <c r="B272" s="20" t="inlineStr">
        <is>
          <t>436196</t>
        </is>
      </c>
      <c r="C272" s="658" t="n">
        <v>41681</v>
      </c>
      <c r="D272" s="681" t="n">
        <v>53.23</v>
      </c>
      <c r="E272" s="11" t="inlineStr">
        <is>
          <t>S G L CAMBODIA</t>
        </is>
      </c>
      <c r="F272" s="10" t="inlineStr">
        <is>
          <t>100119816</t>
        </is>
      </c>
      <c r="G272" s="20" t="inlineStr">
        <is>
          <t>436196</t>
        </is>
      </c>
      <c r="H272" s="658" t="n">
        <v>41681</v>
      </c>
      <c r="I272" s="681" t="n">
        <v>53.23</v>
      </c>
      <c r="J272" s="9" t="n"/>
    </row>
    <row r="273" ht="18" customHeight="1" s="397">
      <c r="A273" s="33" t="n">
        <v>268</v>
      </c>
      <c r="B273" s="20" t="inlineStr">
        <is>
          <t>436200</t>
        </is>
      </c>
      <c r="C273" s="658" t="n">
        <v>41681</v>
      </c>
      <c r="D273" s="681" t="n">
        <v>39.89</v>
      </c>
      <c r="E273" s="11" t="inlineStr">
        <is>
          <t>S G L CAMBODIA</t>
        </is>
      </c>
      <c r="F273" s="10" t="inlineStr">
        <is>
          <t>100119816</t>
        </is>
      </c>
      <c r="G273" s="20" t="inlineStr">
        <is>
          <t>436200</t>
        </is>
      </c>
      <c r="H273" s="658" t="n">
        <v>41681</v>
      </c>
      <c r="I273" s="681" t="n">
        <v>39.89</v>
      </c>
      <c r="J273" s="9" t="n"/>
    </row>
    <row r="274" ht="18" customHeight="1" s="397">
      <c r="A274" s="33" t="n">
        <v>269</v>
      </c>
      <c r="B274" s="20" t="inlineStr">
        <is>
          <t>436256</t>
        </is>
      </c>
      <c r="C274" s="658" t="n">
        <v>41681</v>
      </c>
      <c r="D274" s="681" t="n">
        <v>71.63</v>
      </c>
      <c r="E274" s="11" t="inlineStr">
        <is>
          <t>S G L CAMBODIA</t>
        </is>
      </c>
      <c r="F274" s="10" t="inlineStr">
        <is>
          <t>100119816</t>
        </is>
      </c>
      <c r="G274" s="20" t="inlineStr">
        <is>
          <t>436256</t>
        </is>
      </c>
      <c r="H274" s="658" t="n">
        <v>41681</v>
      </c>
      <c r="I274" s="681" t="n">
        <v>71.63</v>
      </c>
      <c r="J274" s="9" t="n"/>
    </row>
    <row r="275" ht="18" customHeight="1" s="397">
      <c r="A275" s="33" t="n">
        <v>270</v>
      </c>
      <c r="B275" s="20" t="inlineStr">
        <is>
          <t>436318</t>
        </is>
      </c>
      <c r="C275" s="658" t="n">
        <v>41687</v>
      </c>
      <c r="D275" s="681" t="n">
        <v>81.22</v>
      </c>
      <c r="E275" s="11" t="inlineStr">
        <is>
          <t>S G L CAMBODIA</t>
        </is>
      </c>
      <c r="F275" s="10" t="inlineStr">
        <is>
          <t>100119816</t>
        </is>
      </c>
      <c r="G275" s="20" t="inlineStr">
        <is>
          <t>436318</t>
        </is>
      </c>
      <c r="H275" s="658" t="n">
        <v>41687</v>
      </c>
      <c r="I275" s="681" t="n">
        <v>81.22</v>
      </c>
      <c r="J275" s="9" t="n"/>
    </row>
    <row r="276" ht="18" customHeight="1" s="397">
      <c r="A276" s="33" t="n">
        <v>271</v>
      </c>
      <c r="B276" s="20" t="inlineStr">
        <is>
          <t>436335</t>
        </is>
      </c>
      <c r="C276" s="658" t="n">
        <v>41687</v>
      </c>
      <c r="D276" s="681" t="n">
        <v>71.16</v>
      </c>
      <c r="E276" s="11" t="inlineStr">
        <is>
          <t>S G L CAMBODIA</t>
        </is>
      </c>
      <c r="F276" s="10" t="inlineStr">
        <is>
          <t>100119816</t>
        </is>
      </c>
      <c r="G276" s="20" t="inlineStr">
        <is>
          <t>436335</t>
        </is>
      </c>
      <c r="H276" s="658" t="n">
        <v>41687</v>
      </c>
      <c r="I276" s="681" t="n">
        <v>71.16</v>
      </c>
      <c r="J276" s="9" t="n"/>
    </row>
    <row r="277" ht="18" customHeight="1" s="397">
      <c r="A277" s="33" t="n">
        <v>272</v>
      </c>
      <c r="B277" s="20" t="inlineStr">
        <is>
          <t>436360</t>
        </is>
      </c>
      <c r="C277" s="658" t="n">
        <v>41688</v>
      </c>
      <c r="D277" s="681" t="n">
        <v>22.3</v>
      </c>
      <c r="E277" s="11" t="inlineStr">
        <is>
          <t>S G L CAMBODIA</t>
        </is>
      </c>
      <c r="F277" s="10" t="inlineStr">
        <is>
          <t>100119816</t>
        </is>
      </c>
      <c r="G277" s="20" t="inlineStr">
        <is>
          <t>436360</t>
        </is>
      </c>
      <c r="H277" s="658" t="n">
        <v>41688</v>
      </c>
      <c r="I277" s="681" t="n">
        <v>22.3</v>
      </c>
      <c r="J277" s="9" t="n"/>
    </row>
    <row r="278" ht="18" customHeight="1" s="397">
      <c r="A278" s="33" t="n">
        <v>273</v>
      </c>
      <c r="B278" s="20" t="inlineStr">
        <is>
          <t>436368</t>
        </is>
      </c>
      <c r="C278" s="658" t="n">
        <v>41688</v>
      </c>
      <c r="D278" s="681" t="n">
        <v>60.23</v>
      </c>
      <c r="E278" s="11" t="inlineStr">
        <is>
          <t>S G L CAMBODIA</t>
        </is>
      </c>
      <c r="F278" s="10" t="inlineStr">
        <is>
          <t>100119816</t>
        </is>
      </c>
      <c r="G278" s="20" t="inlineStr">
        <is>
          <t>436368</t>
        </is>
      </c>
      <c r="H278" s="658" t="n">
        <v>41688</v>
      </c>
      <c r="I278" s="681" t="n">
        <v>60.23</v>
      </c>
      <c r="J278" s="9" t="n"/>
    </row>
    <row r="279" ht="18" customHeight="1" s="397">
      <c r="A279" s="33" t="n">
        <v>274</v>
      </c>
      <c r="B279" s="20" t="inlineStr">
        <is>
          <t>436384</t>
        </is>
      </c>
      <c r="C279" s="658" t="n">
        <v>41688</v>
      </c>
      <c r="D279" s="681" t="n">
        <v>24.8</v>
      </c>
      <c r="E279" s="11" t="inlineStr">
        <is>
          <t>S G L CAMBODIA</t>
        </is>
      </c>
      <c r="F279" s="10" t="inlineStr">
        <is>
          <t>100119816</t>
        </is>
      </c>
      <c r="G279" s="20" t="inlineStr">
        <is>
          <t>436384</t>
        </is>
      </c>
      <c r="H279" s="658" t="n">
        <v>41688</v>
      </c>
      <c r="I279" s="681" t="n">
        <v>24.8</v>
      </c>
      <c r="J279" s="9" t="n"/>
    </row>
    <row r="280" ht="18" customHeight="1" s="397">
      <c r="A280" s="33" t="n">
        <v>275</v>
      </c>
      <c r="B280" s="20" t="inlineStr">
        <is>
          <t>436469</t>
        </is>
      </c>
      <c r="C280" s="658" t="n">
        <v>41695</v>
      </c>
      <c r="D280" s="681" t="n">
        <v>124.82</v>
      </c>
      <c r="E280" s="11" t="inlineStr">
        <is>
          <t>S G L CAMBODIA</t>
        </is>
      </c>
      <c r="F280" s="10" t="inlineStr">
        <is>
          <t>100119816</t>
        </is>
      </c>
      <c r="G280" s="20" t="inlineStr">
        <is>
          <t>436469</t>
        </is>
      </c>
      <c r="H280" s="658" t="n">
        <v>41695</v>
      </c>
      <c r="I280" s="681" t="n">
        <v>124.82</v>
      </c>
      <c r="J280" s="9" t="n"/>
    </row>
    <row r="281" ht="18" customHeight="1" s="397">
      <c r="A281" s="33" t="n">
        <v>276</v>
      </c>
      <c r="B281" s="20" t="inlineStr">
        <is>
          <t>436480</t>
        </is>
      </c>
      <c r="C281" s="658" t="n">
        <v>41695</v>
      </c>
      <c r="D281" s="681" t="n">
        <v>58.99</v>
      </c>
      <c r="E281" s="11" t="inlineStr">
        <is>
          <t>S G L CAMBODIA</t>
        </is>
      </c>
      <c r="F281" s="10" t="inlineStr">
        <is>
          <t>100119816</t>
        </is>
      </c>
      <c r="G281" s="20" t="inlineStr">
        <is>
          <t>436480</t>
        </is>
      </c>
      <c r="H281" s="658" t="n">
        <v>41695</v>
      </c>
      <c r="I281" s="681" t="n">
        <v>58.99</v>
      </c>
      <c r="J281" s="9" t="n"/>
    </row>
    <row r="282" ht="18" customHeight="1" s="397">
      <c r="A282" s="33" t="n">
        <v>277</v>
      </c>
      <c r="B282" s="20" t="inlineStr">
        <is>
          <t>436485</t>
        </is>
      </c>
      <c r="C282" s="658" t="n">
        <v>41695</v>
      </c>
      <c r="D282" s="681" t="n">
        <v>29.35</v>
      </c>
      <c r="E282" s="11" t="inlineStr">
        <is>
          <t>S G L CAMBODIA</t>
        </is>
      </c>
      <c r="F282" s="10" t="inlineStr">
        <is>
          <t>100119816</t>
        </is>
      </c>
      <c r="G282" s="20" t="inlineStr">
        <is>
          <t>436485</t>
        </is>
      </c>
      <c r="H282" s="658" t="n">
        <v>41695</v>
      </c>
      <c r="I282" s="681" t="n">
        <v>29.35</v>
      </c>
      <c r="J282" s="9" t="n"/>
    </row>
    <row r="283" ht="18" customHeight="1" s="397">
      <c r="A283" s="33" t="n">
        <v>278</v>
      </c>
      <c r="B283" s="20" t="inlineStr">
        <is>
          <t>436616</t>
        </is>
      </c>
      <c r="C283" s="658" t="n">
        <v>41702</v>
      </c>
      <c r="D283" s="681" t="n">
        <v>22.3</v>
      </c>
      <c r="E283" s="11" t="inlineStr">
        <is>
          <t>S G L CAMBODIA</t>
        </is>
      </c>
      <c r="F283" s="10" t="inlineStr">
        <is>
          <t>100119816</t>
        </is>
      </c>
      <c r="G283" s="20" t="inlineStr">
        <is>
          <t>436616</t>
        </is>
      </c>
      <c r="H283" s="658" t="n">
        <v>41702</v>
      </c>
      <c r="I283" s="681" t="n">
        <v>22.3</v>
      </c>
      <c r="J283" s="9" t="n"/>
    </row>
    <row r="284" ht="18" customHeight="1" s="397">
      <c r="A284" s="33" t="n">
        <v>279</v>
      </c>
      <c r="B284" s="20" t="inlineStr">
        <is>
          <t>436710</t>
        </is>
      </c>
      <c r="C284" s="658" t="n">
        <v>41709</v>
      </c>
      <c r="D284" s="681" t="n">
        <v>32.52</v>
      </c>
      <c r="E284" s="11" t="inlineStr">
        <is>
          <t>S G L CAMBODIA</t>
        </is>
      </c>
      <c r="F284" s="10" t="inlineStr">
        <is>
          <t>100119816</t>
        </is>
      </c>
      <c r="G284" s="20" t="inlineStr">
        <is>
          <t>436710</t>
        </is>
      </c>
      <c r="H284" s="658" t="n">
        <v>41709</v>
      </c>
      <c r="I284" s="681" t="n">
        <v>32.52</v>
      </c>
      <c r="J284" s="9" t="n"/>
    </row>
    <row r="285" ht="18" customHeight="1" s="397">
      <c r="A285" s="33" t="n">
        <v>280</v>
      </c>
      <c r="B285" s="20" t="inlineStr">
        <is>
          <t>436771</t>
        </is>
      </c>
      <c r="C285" s="658" t="n">
        <v>41710</v>
      </c>
      <c r="D285" s="681" t="n">
        <v>38.63</v>
      </c>
      <c r="E285" s="11" t="inlineStr">
        <is>
          <t>S G L CAMBODIA</t>
        </is>
      </c>
      <c r="F285" s="10" t="inlineStr">
        <is>
          <t>100119816</t>
        </is>
      </c>
      <c r="G285" s="20" t="inlineStr">
        <is>
          <t>436771</t>
        </is>
      </c>
      <c r="H285" s="658" t="n">
        <v>41710</v>
      </c>
      <c r="I285" s="681" t="n">
        <v>38.63</v>
      </c>
      <c r="J285" s="9" t="n"/>
    </row>
    <row r="286" ht="18" customHeight="1" s="397">
      <c r="A286" s="33" t="n">
        <v>281</v>
      </c>
      <c r="B286" s="20" t="inlineStr">
        <is>
          <t>436775</t>
        </is>
      </c>
      <c r="C286" s="658" t="n">
        <v>41710</v>
      </c>
      <c r="D286" s="681" t="n">
        <v>42.61</v>
      </c>
      <c r="E286" s="11" t="inlineStr">
        <is>
          <t>S G L CAMBODIA</t>
        </is>
      </c>
      <c r="F286" s="10" t="inlineStr">
        <is>
          <t>100119816</t>
        </is>
      </c>
      <c r="G286" s="20" t="inlineStr">
        <is>
          <t>436775</t>
        </is>
      </c>
      <c r="H286" s="658" t="n">
        <v>41710</v>
      </c>
      <c r="I286" s="681" t="n">
        <v>42.61</v>
      </c>
      <c r="J286" s="9" t="n"/>
    </row>
    <row r="287" ht="18" customHeight="1" s="397">
      <c r="A287" s="33" t="n">
        <v>282</v>
      </c>
      <c r="B287" s="20" t="inlineStr">
        <is>
          <t>436789</t>
        </is>
      </c>
      <c r="C287" s="658" t="n">
        <v>41710</v>
      </c>
      <c r="D287" s="683" t="n">
        <v>56.46</v>
      </c>
      <c r="E287" s="11" t="inlineStr">
        <is>
          <t>S G L CAMBODIA</t>
        </is>
      </c>
      <c r="F287" s="10" t="inlineStr">
        <is>
          <t>100119816</t>
        </is>
      </c>
      <c r="G287" s="20" t="inlineStr">
        <is>
          <t>436789</t>
        </is>
      </c>
      <c r="H287" s="658" t="n">
        <v>41710</v>
      </c>
      <c r="I287" s="683" t="n">
        <v>56.46</v>
      </c>
      <c r="J287" s="9" t="n"/>
    </row>
    <row r="288" ht="18" customHeight="1" s="397">
      <c r="A288" s="33" t="n">
        <v>283</v>
      </c>
      <c r="B288" s="20" t="inlineStr">
        <is>
          <t>436793</t>
        </is>
      </c>
      <c r="C288" s="658" t="n">
        <v>41710</v>
      </c>
      <c r="D288" s="681" t="n">
        <v>50.1</v>
      </c>
      <c r="E288" s="11" t="inlineStr">
        <is>
          <t>S G L CAMBODIA</t>
        </is>
      </c>
      <c r="F288" s="10" t="inlineStr">
        <is>
          <t>100119816</t>
        </is>
      </c>
      <c r="G288" s="20" t="inlineStr">
        <is>
          <t>436793</t>
        </is>
      </c>
      <c r="H288" s="658" t="n">
        <v>41710</v>
      </c>
      <c r="I288" s="681" t="n">
        <v>50.1</v>
      </c>
      <c r="J288" s="9" t="n"/>
    </row>
    <row r="289" ht="18" customHeight="1" s="397">
      <c r="A289" s="33" t="n">
        <v>284</v>
      </c>
      <c r="B289" s="20" t="inlineStr">
        <is>
          <t>436816</t>
        </is>
      </c>
      <c r="C289" s="658" t="n">
        <v>41710</v>
      </c>
      <c r="D289" s="681" t="n">
        <v>27.97</v>
      </c>
      <c r="E289" s="11" t="inlineStr">
        <is>
          <t>S G L CAMBODIA</t>
        </is>
      </c>
      <c r="F289" s="10" t="inlineStr">
        <is>
          <t>100119816</t>
        </is>
      </c>
      <c r="G289" s="20" t="inlineStr">
        <is>
          <t>436816</t>
        </is>
      </c>
      <c r="H289" s="658" t="n">
        <v>41710</v>
      </c>
      <c r="I289" s="681" t="n">
        <v>27.97</v>
      </c>
      <c r="J289" s="9" t="n"/>
    </row>
    <row r="290" ht="18" customHeight="1" s="397">
      <c r="A290" s="33" t="n">
        <v>285</v>
      </c>
      <c r="B290" s="20" t="inlineStr">
        <is>
          <t>436818</t>
        </is>
      </c>
      <c r="C290" s="658" t="n">
        <v>41710</v>
      </c>
      <c r="D290" s="681" t="n">
        <v>37.9</v>
      </c>
      <c r="E290" s="11" t="inlineStr">
        <is>
          <t>S G L CAMBODIA</t>
        </is>
      </c>
      <c r="F290" s="10" t="inlineStr">
        <is>
          <t>100119816</t>
        </is>
      </c>
      <c r="G290" s="20" t="inlineStr">
        <is>
          <t>436818</t>
        </is>
      </c>
      <c r="H290" s="658" t="n">
        <v>41710</v>
      </c>
      <c r="I290" s="681" t="n">
        <v>37.9</v>
      </c>
      <c r="J290" s="9" t="n"/>
    </row>
    <row r="291" ht="18" customHeight="1" s="397">
      <c r="A291" s="33" t="n">
        <v>286</v>
      </c>
      <c r="B291" s="20" t="inlineStr">
        <is>
          <t>436834</t>
        </is>
      </c>
      <c r="C291" s="658" t="n">
        <v>41710</v>
      </c>
      <c r="D291" s="681" t="n">
        <v>26.66</v>
      </c>
      <c r="E291" s="11" t="inlineStr">
        <is>
          <t>S G L CAMBODIA</t>
        </is>
      </c>
      <c r="F291" s="10" t="inlineStr">
        <is>
          <t>100119816</t>
        </is>
      </c>
      <c r="G291" s="20" t="inlineStr">
        <is>
          <t>436834</t>
        </is>
      </c>
      <c r="H291" s="658" t="n">
        <v>41710</v>
      </c>
      <c r="I291" s="681" t="n">
        <v>26.66</v>
      </c>
      <c r="J291" s="9" t="n"/>
    </row>
    <row r="292" ht="18" customHeight="1" s="397">
      <c r="A292" s="33" t="n">
        <v>287</v>
      </c>
      <c r="B292" s="20" t="inlineStr">
        <is>
          <t>436905</t>
        </is>
      </c>
      <c r="C292" s="658" t="n">
        <v>41716</v>
      </c>
      <c r="D292" s="681" t="n">
        <v>45.05</v>
      </c>
      <c r="E292" s="11" t="inlineStr">
        <is>
          <t>S G L CAMBODIA</t>
        </is>
      </c>
      <c r="F292" s="10" t="inlineStr">
        <is>
          <t>100119816</t>
        </is>
      </c>
      <c r="G292" s="20" t="inlineStr">
        <is>
          <t>436905</t>
        </is>
      </c>
      <c r="H292" s="658" t="n">
        <v>41716</v>
      </c>
      <c r="I292" s="681" t="n">
        <v>45.05</v>
      </c>
      <c r="J292" s="9" t="n"/>
    </row>
    <row r="293" ht="18" customHeight="1" s="397">
      <c r="A293" s="33" t="n">
        <v>288</v>
      </c>
      <c r="B293" s="20" t="inlineStr">
        <is>
          <t>436930</t>
        </is>
      </c>
      <c r="C293" s="658" t="n">
        <v>41716</v>
      </c>
      <c r="D293" s="681" t="n">
        <v>101.57</v>
      </c>
      <c r="E293" s="11" t="inlineStr">
        <is>
          <t>S G L CAMBODIA</t>
        </is>
      </c>
      <c r="F293" s="10" t="inlineStr">
        <is>
          <t>100119816</t>
        </is>
      </c>
      <c r="G293" s="20" t="inlineStr">
        <is>
          <t>436930</t>
        </is>
      </c>
      <c r="H293" s="658" t="n">
        <v>41716</v>
      </c>
      <c r="I293" s="681" t="n">
        <v>101.57</v>
      </c>
      <c r="J293" s="9" t="n"/>
    </row>
    <row r="294" ht="18" customHeight="1" s="397">
      <c r="A294" s="33" t="n">
        <v>289</v>
      </c>
      <c r="B294" s="20" t="inlineStr">
        <is>
          <t>436943</t>
        </is>
      </c>
      <c r="C294" s="658" t="n">
        <v>41716</v>
      </c>
      <c r="D294" s="681" t="n">
        <v>69.01000000000001</v>
      </c>
      <c r="E294" s="11" t="inlineStr">
        <is>
          <t>S G L CAMBODIA</t>
        </is>
      </c>
      <c r="F294" s="10" t="inlineStr">
        <is>
          <t>100119816</t>
        </is>
      </c>
      <c r="G294" s="20" t="inlineStr">
        <is>
          <t>436943</t>
        </is>
      </c>
      <c r="H294" s="658" t="n">
        <v>41716</v>
      </c>
      <c r="I294" s="681" t="n">
        <v>69.01000000000001</v>
      </c>
      <c r="J294" s="9" t="n"/>
    </row>
    <row r="295" ht="18" customHeight="1" s="397">
      <c r="A295" s="33" t="n">
        <v>290</v>
      </c>
      <c r="B295" s="20" t="inlineStr">
        <is>
          <t>436954</t>
        </is>
      </c>
      <c r="C295" s="658" t="n">
        <v>41716</v>
      </c>
      <c r="D295" s="681" t="n">
        <v>29.48</v>
      </c>
      <c r="E295" s="11" t="inlineStr">
        <is>
          <t>S G L CAMBODIA</t>
        </is>
      </c>
      <c r="F295" s="10" t="inlineStr">
        <is>
          <t>100119816</t>
        </is>
      </c>
      <c r="G295" s="20" t="inlineStr">
        <is>
          <t>436954</t>
        </is>
      </c>
      <c r="H295" s="658" t="n">
        <v>41716</v>
      </c>
      <c r="I295" s="681" t="n">
        <v>29.48</v>
      </c>
      <c r="J295" s="9" t="n"/>
    </row>
    <row r="296" ht="18" customHeight="1" s="397">
      <c r="A296" s="33" t="n">
        <v>291</v>
      </c>
      <c r="B296" s="20" t="inlineStr">
        <is>
          <t>437034</t>
        </is>
      </c>
      <c r="C296" s="658" t="n">
        <v>41723</v>
      </c>
      <c r="D296" s="681" t="n">
        <v>28.65</v>
      </c>
      <c r="E296" s="11" t="inlineStr">
        <is>
          <t>S G L CAMBODIA</t>
        </is>
      </c>
      <c r="F296" s="10" t="inlineStr">
        <is>
          <t>100119816</t>
        </is>
      </c>
      <c r="G296" s="20" t="inlineStr">
        <is>
          <t>437034</t>
        </is>
      </c>
      <c r="H296" s="658" t="n">
        <v>41723</v>
      </c>
      <c r="I296" s="681" t="n">
        <v>28.65</v>
      </c>
      <c r="J296" s="9" t="n"/>
    </row>
    <row r="297" ht="18" customHeight="1" s="397">
      <c r="A297" s="33" t="n">
        <v>292</v>
      </c>
      <c r="B297" s="20" t="inlineStr">
        <is>
          <t>437150</t>
        </is>
      </c>
      <c r="C297" s="658" t="n">
        <v>41729</v>
      </c>
      <c r="D297" s="681" t="n">
        <v>23.85</v>
      </c>
      <c r="E297" s="11" t="inlineStr">
        <is>
          <t>S G L CAMBODIA</t>
        </is>
      </c>
      <c r="F297" s="10" t="inlineStr">
        <is>
          <t>100119816</t>
        </is>
      </c>
      <c r="G297" s="20" t="inlineStr">
        <is>
          <t>437150</t>
        </is>
      </c>
      <c r="H297" s="658" t="n">
        <v>41729</v>
      </c>
      <c r="I297" s="681" t="n">
        <v>23.85</v>
      </c>
      <c r="J297" s="9" t="n"/>
    </row>
    <row r="298" ht="18" customHeight="1" s="397">
      <c r="A298" s="33" t="n">
        <v>293</v>
      </c>
      <c r="B298" s="20" t="inlineStr">
        <is>
          <t>437185</t>
        </is>
      </c>
      <c r="C298" s="658" t="n">
        <v>41729</v>
      </c>
      <c r="D298" s="681" t="n">
        <v>27</v>
      </c>
      <c r="E298" s="11" t="inlineStr">
        <is>
          <t>S G L CAMBODIA</t>
        </is>
      </c>
      <c r="F298" s="10" t="inlineStr">
        <is>
          <t>100119816</t>
        </is>
      </c>
      <c r="G298" s="20" t="inlineStr">
        <is>
          <t>437185</t>
        </is>
      </c>
      <c r="H298" s="658" t="n">
        <v>41729</v>
      </c>
      <c r="I298" s="681" t="n">
        <v>27</v>
      </c>
      <c r="J298" s="9" t="n"/>
    </row>
    <row r="299" ht="18" customHeight="1" s="397">
      <c r="A299" s="33" t="n">
        <v>294</v>
      </c>
      <c r="B299" s="20" t="inlineStr">
        <is>
          <t>437208</t>
        </is>
      </c>
      <c r="C299" s="658" t="n">
        <v>41729</v>
      </c>
      <c r="D299" s="681" t="n">
        <v>40.09</v>
      </c>
      <c r="E299" s="11" t="inlineStr">
        <is>
          <t>S G L CAMBODIA</t>
        </is>
      </c>
      <c r="F299" s="10" t="inlineStr">
        <is>
          <t>100119816</t>
        </is>
      </c>
      <c r="G299" s="20" t="inlineStr">
        <is>
          <t>437208</t>
        </is>
      </c>
      <c r="H299" s="658" t="n">
        <v>41729</v>
      </c>
      <c r="I299" s="681" t="n">
        <v>40.09</v>
      </c>
      <c r="J299" s="9" t="n"/>
    </row>
    <row r="300" ht="18" customHeight="1" s="397">
      <c r="A300" s="33" t="n">
        <v>295</v>
      </c>
      <c r="B300" s="20" t="inlineStr">
        <is>
          <t>437311</t>
        </is>
      </c>
      <c r="C300" s="658" t="n">
        <v>41737</v>
      </c>
      <c r="D300" s="681" t="n">
        <v>85.06</v>
      </c>
      <c r="E300" s="11" t="inlineStr">
        <is>
          <t>S G L CAMBODIA</t>
        </is>
      </c>
      <c r="F300" s="10" t="inlineStr">
        <is>
          <t>100119816</t>
        </is>
      </c>
      <c r="G300" s="20" t="inlineStr">
        <is>
          <t>437311</t>
        </is>
      </c>
      <c r="H300" s="658" t="n">
        <v>41737</v>
      </c>
      <c r="I300" s="681" t="n">
        <v>85.06</v>
      </c>
      <c r="J300" s="9" t="n"/>
    </row>
    <row r="301" ht="18" customHeight="1" s="397">
      <c r="A301" s="33" t="n">
        <v>296</v>
      </c>
      <c r="B301" s="20" t="inlineStr">
        <is>
          <t>437321</t>
        </is>
      </c>
      <c r="C301" s="658" t="n">
        <v>41737</v>
      </c>
      <c r="D301" s="681" t="n">
        <v>51.16</v>
      </c>
      <c r="E301" s="11" t="inlineStr">
        <is>
          <t>S G L CAMBODIA</t>
        </is>
      </c>
      <c r="F301" s="10" t="inlineStr">
        <is>
          <t>100119816</t>
        </is>
      </c>
      <c r="G301" s="20" t="inlineStr">
        <is>
          <t>437321</t>
        </is>
      </c>
      <c r="H301" s="658" t="n">
        <v>41737</v>
      </c>
      <c r="I301" s="681" t="n">
        <v>51.16</v>
      </c>
      <c r="J301" s="9" t="n"/>
    </row>
    <row r="302" ht="18" customHeight="1" s="397">
      <c r="A302" s="33" t="n">
        <v>297</v>
      </c>
      <c r="B302" s="20" t="inlineStr">
        <is>
          <t>437376</t>
        </is>
      </c>
      <c r="C302" s="658" t="n">
        <v>41737</v>
      </c>
      <c r="D302" s="681" t="n">
        <v>77.34999999999999</v>
      </c>
      <c r="E302" s="11" t="inlineStr">
        <is>
          <t>S G L CAMBODIA</t>
        </is>
      </c>
      <c r="F302" s="10" t="inlineStr">
        <is>
          <t>100119816</t>
        </is>
      </c>
      <c r="G302" s="20" t="inlineStr">
        <is>
          <t>437376</t>
        </is>
      </c>
      <c r="H302" s="658" t="n">
        <v>41737</v>
      </c>
      <c r="I302" s="681" t="n">
        <v>77.34999999999999</v>
      </c>
      <c r="J302" s="9" t="n"/>
    </row>
    <row r="303" ht="18" customHeight="1" s="397">
      <c r="A303" s="33" t="n">
        <v>298</v>
      </c>
      <c r="B303" s="20" t="inlineStr">
        <is>
          <t>437390</t>
        </is>
      </c>
      <c r="C303" s="658" t="n">
        <v>41737</v>
      </c>
      <c r="D303" s="681" t="n">
        <v>30.9</v>
      </c>
      <c r="E303" s="11" t="inlineStr">
        <is>
          <t>S G L CAMBODIA</t>
        </is>
      </c>
      <c r="F303" s="10" t="inlineStr">
        <is>
          <t>100119816</t>
        </is>
      </c>
      <c r="G303" s="20" t="inlineStr">
        <is>
          <t>437390</t>
        </is>
      </c>
      <c r="H303" s="658" t="n">
        <v>41737</v>
      </c>
      <c r="I303" s="681" t="n">
        <v>30.9</v>
      </c>
      <c r="J303" s="9" t="n"/>
    </row>
    <row r="304" ht="18" customHeight="1" s="397">
      <c r="A304" s="33" t="n">
        <v>299</v>
      </c>
      <c r="B304" s="20" t="inlineStr">
        <is>
          <t>437401</t>
        </is>
      </c>
      <c r="C304" s="658" t="n">
        <v>41737</v>
      </c>
      <c r="D304" s="681" t="n">
        <v>22.3</v>
      </c>
      <c r="E304" s="11" t="inlineStr">
        <is>
          <t>S G L CAMBODIA</t>
        </is>
      </c>
      <c r="F304" s="10" t="inlineStr">
        <is>
          <t>100119816</t>
        </is>
      </c>
      <c r="G304" s="20" t="inlineStr">
        <is>
          <t>437401</t>
        </is>
      </c>
      <c r="H304" s="658" t="n">
        <v>41737</v>
      </c>
      <c r="I304" s="681" t="n">
        <v>22.3</v>
      </c>
      <c r="J304" s="9" t="n"/>
    </row>
    <row r="305" ht="18" customHeight="1" s="397">
      <c r="A305" s="33" t="n">
        <v>300</v>
      </c>
      <c r="B305" s="20" t="inlineStr">
        <is>
          <t>437450</t>
        </is>
      </c>
      <c r="C305" s="658" t="n">
        <v>41737</v>
      </c>
      <c r="D305" s="681" t="n">
        <v>29.07</v>
      </c>
      <c r="E305" s="11" t="inlineStr">
        <is>
          <t>S G L CAMBODIA</t>
        </is>
      </c>
      <c r="F305" s="10" t="inlineStr">
        <is>
          <t>100119816</t>
        </is>
      </c>
      <c r="G305" s="20" t="inlineStr">
        <is>
          <t>437450</t>
        </is>
      </c>
      <c r="H305" s="658" t="n">
        <v>41737</v>
      </c>
      <c r="I305" s="681" t="n">
        <v>29.07</v>
      </c>
      <c r="J305" s="9" t="n"/>
    </row>
    <row r="306" ht="18" customHeight="1" s="397">
      <c r="A306" s="33" t="n">
        <v>301</v>
      </c>
      <c r="B306" s="20" t="inlineStr">
        <is>
          <t>437471</t>
        </is>
      </c>
      <c r="C306" s="658" t="n">
        <v>41746</v>
      </c>
      <c r="D306" s="681" t="n">
        <v>24.8</v>
      </c>
      <c r="E306" s="11" t="inlineStr">
        <is>
          <t>S G L CAMBODIA</t>
        </is>
      </c>
      <c r="F306" s="10" t="inlineStr">
        <is>
          <t>100119816</t>
        </is>
      </c>
      <c r="G306" s="20" t="inlineStr">
        <is>
          <t>437471</t>
        </is>
      </c>
      <c r="H306" s="658" t="n">
        <v>41746</v>
      </c>
      <c r="I306" s="681" t="n">
        <v>24.8</v>
      </c>
      <c r="J306" s="9" t="n"/>
    </row>
    <row r="307" ht="18" customHeight="1" s="397">
      <c r="A307" s="33" t="n">
        <v>302</v>
      </c>
      <c r="B307" s="20" t="inlineStr">
        <is>
          <t>437511</t>
        </is>
      </c>
      <c r="C307" s="658" t="n">
        <v>41746</v>
      </c>
      <c r="D307" s="681" t="n">
        <v>39.87</v>
      </c>
      <c r="E307" s="11" t="inlineStr">
        <is>
          <t>S G L CAMBODIA</t>
        </is>
      </c>
      <c r="F307" s="10" t="inlineStr">
        <is>
          <t>100119816</t>
        </is>
      </c>
      <c r="G307" s="20" t="inlineStr">
        <is>
          <t>437511</t>
        </is>
      </c>
      <c r="H307" s="658" t="n">
        <v>41746</v>
      </c>
      <c r="I307" s="681" t="n">
        <v>39.87</v>
      </c>
      <c r="J307" s="9" t="n"/>
    </row>
    <row r="308" ht="18" customHeight="1" s="397">
      <c r="A308" s="33" t="n">
        <v>303</v>
      </c>
      <c r="B308" s="20" t="inlineStr">
        <is>
          <t>437519</t>
        </is>
      </c>
      <c r="C308" s="658" t="n">
        <v>41746</v>
      </c>
      <c r="D308" s="681" t="n">
        <v>68.84999999999999</v>
      </c>
      <c r="E308" s="11" t="inlineStr">
        <is>
          <t>S G L CAMBODIA</t>
        </is>
      </c>
      <c r="F308" s="10" t="inlineStr">
        <is>
          <t>100119816</t>
        </is>
      </c>
      <c r="G308" s="20" t="inlineStr">
        <is>
          <t>437519</t>
        </is>
      </c>
      <c r="H308" s="658" t="n">
        <v>41746</v>
      </c>
      <c r="I308" s="681" t="n">
        <v>68.84999999999999</v>
      </c>
      <c r="J308" s="9" t="n"/>
    </row>
    <row r="309" ht="18" customHeight="1" s="397">
      <c r="A309" s="33" t="n">
        <v>304</v>
      </c>
      <c r="B309" s="20" t="inlineStr">
        <is>
          <t>437530</t>
        </is>
      </c>
      <c r="C309" s="658" t="n">
        <v>41746</v>
      </c>
      <c r="D309" s="681" t="n">
        <v>58.6</v>
      </c>
      <c r="E309" s="11" t="inlineStr">
        <is>
          <t>S G L CAMBODIA</t>
        </is>
      </c>
      <c r="F309" s="10" t="inlineStr">
        <is>
          <t>100119816</t>
        </is>
      </c>
      <c r="G309" s="20" t="inlineStr">
        <is>
          <t>437530</t>
        </is>
      </c>
      <c r="H309" s="658" t="n">
        <v>41746</v>
      </c>
      <c r="I309" s="681" t="n">
        <v>58.6</v>
      </c>
      <c r="J309" s="9" t="n"/>
    </row>
    <row r="310" ht="18" customHeight="1" s="397">
      <c r="A310" s="33" t="n">
        <v>305</v>
      </c>
      <c r="B310" s="20" t="inlineStr">
        <is>
          <t>437552</t>
        </is>
      </c>
      <c r="C310" s="658" t="n">
        <v>41746</v>
      </c>
      <c r="D310" s="681" t="n">
        <v>31.67</v>
      </c>
      <c r="E310" s="11" t="inlineStr">
        <is>
          <t>S G L CAMBODIA</t>
        </is>
      </c>
      <c r="F310" s="10" t="inlineStr">
        <is>
          <t>100119816</t>
        </is>
      </c>
      <c r="G310" s="20" t="inlineStr">
        <is>
          <t>437552</t>
        </is>
      </c>
      <c r="H310" s="658" t="n">
        <v>41746</v>
      </c>
      <c r="I310" s="681" t="n">
        <v>31.67</v>
      </c>
      <c r="J310" s="9" t="n"/>
    </row>
    <row r="311" ht="18" customHeight="1" s="397">
      <c r="A311" s="33" t="n">
        <v>306</v>
      </c>
      <c r="B311" s="20" t="inlineStr">
        <is>
          <t>437588</t>
        </is>
      </c>
      <c r="C311" s="658" t="n">
        <v>41746</v>
      </c>
      <c r="D311" s="681" t="n">
        <v>63.52</v>
      </c>
      <c r="E311" s="11" t="inlineStr">
        <is>
          <t>S G L CAMBODIA</t>
        </is>
      </c>
      <c r="F311" s="10" t="inlineStr">
        <is>
          <t>100119816</t>
        </is>
      </c>
      <c r="G311" s="20" t="inlineStr">
        <is>
          <t>437588</t>
        </is>
      </c>
      <c r="H311" s="658" t="n">
        <v>41746</v>
      </c>
      <c r="I311" s="681" t="n">
        <v>63.52</v>
      </c>
      <c r="J311" s="9" t="n"/>
    </row>
    <row r="312" ht="18" customHeight="1" s="397">
      <c r="A312" s="33" t="n">
        <v>307</v>
      </c>
      <c r="B312" s="20" t="inlineStr">
        <is>
          <t>437613</t>
        </is>
      </c>
      <c r="C312" s="658" t="n">
        <v>41750</v>
      </c>
      <c r="D312" s="681" t="n">
        <v>5.8</v>
      </c>
      <c r="E312" s="11" t="inlineStr">
        <is>
          <t>S G L CAMBODIA</t>
        </is>
      </c>
      <c r="F312" s="10" t="inlineStr">
        <is>
          <t>100119816</t>
        </is>
      </c>
      <c r="G312" s="20" t="inlineStr">
        <is>
          <t>437613</t>
        </is>
      </c>
      <c r="H312" s="658" t="n">
        <v>41750</v>
      </c>
      <c r="I312" s="681" t="n">
        <v>5.8</v>
      </c>
      <c r="J312" s="9" t="n"/>
    </row>
    <row r="313" ht="18" customHeight="1" s="397">
      <c r="A313" s="33" t="n">
        <v>308</v>
      </c>
      <c r="B313" s="20" t="inlineStr">
        <is>
          <t>437619</t>
        </is>
      </c>
      <c r="C313" s="658" t="n">
        <v>41750</v>
      </c>
      <c r="D313" s="681" t="n">
        <v>24.38</v>
      </c>
      <c r="E313" s="11" t="inlineStr">
        <is>
          <t>S G L CAMBODIA</t>
        </is>
      </c>
      <c r="F313" s="10" t="inlineStr">
        <is>
          <t>100119816</t>
        </is>
      </c>
      <c r="G313" s="20" t="inlineStr">
        <is>
          <t>437619</t>
        </is>
      </c>
      <c r="H313" s="658" t="n">
        <v>41750</v>
      </c>
      <c r="I313" s="681" t="n">
        <v>24.38</v>
      </c>
      <c r="J313" s="9" t="n"/>
    </row>
    <row r="314" ht="18" customHeight="1" s="397">
      <c r="A314" s="33" t="n">
        <v>309</v>
      </c>
      <c r="B314" s="20" t="inlineStr">
        <is>
          <t>437625</t>
        </is>
      </c>
      <c r="C314" s="658" t="n">
        <v>41750</v>
      </c>
      <c r="D314" s="681" t="n">
        <v>33.02</v>
      </c>
      <c r="E314" s="11" t="inlineStr">
        <is>
          <t>S G L CAMBODIA</t>
        </is>
      </c>
      <c r="F314" s="10" t="inlineStr">
        <is>
          <t>100119816</t>
        </is>
      </c>
      <c r="G314" s="20" t="inlineStr">
        <is>
          <t>437625</t>
        </is>
      </c>
      <c r="H314" s="658" t="n">
        <v>41750</v>
      </c>
      <c r="I314" s="681" t="n">
        <v>33.02</v>
      </c>
      <c r="J314" s="9" t="n"/>
    </row>
    <row r="315" ht="18" customHeight="1" s="397">
      <c r="A315" s="33" t="n">
        <v>310</v>
      </c>
      <c r="B315" s="20" t="inlineStr">
        <is>
          <t>437640</t>
        </is>
      </c>
      <c r="C315" s="658" t="n">
        <v>41750</v>
      </c>
      <c r="D315" s="681" t="n">
        <v>35.47</v>
      </c>
      <c r="E315" s="11" t="inlineStr">
        <is>
          <t>S G L CAMBODIA</t>
        </is>
      </c>
      <c r="F315" s="10" t="inlineStr">
        <is>
          <t>100119816</t>
        </is>
      </c>
      <c r="G315" s="20" t="inlineStr">
        <is>
          <t>437640</t>
        </is>
      </c>
      <c r="H315" s="658" t="n">
        <v>41750</v>
      </c>
      <c r="I315" s="681" t="n">
        <v>35.47</v>
      </c>
      <c r="J315" s="9" t="n"/>
    </row>
    <row r="316" ht="18" customHeight="1" s="397">
      <c r="A316" s="33" t="n">
        <v>311</v>
      </c>
      <c r="B316" s="20" t="inlineStr">
        <is>
          <t>437731</t>
        </is>
      </c>
      <c r="C316" s="658" t="n">
        <v>41757</v>
      </c>
      <c r="D316" s="681" t="n">
        <v>24.67</v>
      </c>
      <c r="E316" s="11" t="inlineStr">
        <is>
          <t>S G L CAMBODIA</t>
        </is>
      </c>
      <c r="F316" s="10" t="inlineStr">
        <is>
          <t>100119816</t>
        </is>
      </c>
      <c r="G316" s="20" t="inlineStr">
        <is>
          <t>437731</t>
        </is>
      </c>
      <c r="H316" s="658" t="n">
        <v>41757</v>
      </c>
      <c r="I316" s="681" t="n">
        <v>24.67</v>
      </c>
      <c r="J316" s="9" t="n"/>
    </row>
    <row r="317" ht="18" customHeight="1" s="397">
      <c r="A317" s="33" t="n">
        <v>312</v>
      </c>
      <c r="B317" s="20" t="inlineStr">
        <is>
          <t>437734</t>
        </is>
      </c>
      <c r="C317" s="658" t="n">
        <v>41757</v>
      </c>
      <c r="D317" s="681" t="n">
        <v>36.38</v>
      </c>
      <c r="E317" s="11" t="inlineStr">
        <is>
          <t>S G L CAMBODIA</t>
        </is>
      </c>
      <c r="F317" s="10" t="inlineStr">
        <is>
          <t>100119816</t>
        </is>
      </c>
      <c r="G317" s="20" t="inlineStr">
        <is>
          <t>437734</t>
        </is>
      </c>
      <c r="H317" s="658" t="n">
        <v>41757</v>
      </c>
      <c r="I317" s="681" t="n">
        <v>36.38</v>
      </c>
      <c r="J317" s="9" t="n"/>
    </row>
    <row r="318" ht="18" customHeight="1" s="397">
      <c r="A318" s="33" t="n">
        <v>313</v>
      </c>
      <c r="B318" s="20" t="inlineStr">
        <is>
          <t>437766</t>
        </is>
      </c>
      <c r="C318" s="658" t="n">
        <v>41757</v>
      </c>
      <c r="D318" s="681" t="n">
        <v>26.29</v>
      </c>
      <c r="E318" s="11" t="inlineStr">
        <is>
          <t>S G L CAMBODIA</t>
        </is>
      </c>
      <c r="F318" s="10" t="inlineStr">
        <is>
          <t>100119816</t>
        </is>
      </c>
      <c r="G318" s="20" t="inlineStr">
        <is>
          <t>437766</t>
        </is>
      </c>
      <c r="H318" s="658" t="n">
        <v>41757</v>
      </c>
      <c r="I318" s="681" t="n">
        <v>26.29</v>
      </c>
      <c r="J318" s="9" t="n"/>
    </row>
    <row r="319" ht="18" customHeight="1" s="397">
      <c r="A319" s="33" t="n">
        <v>314</v>
      </c>
      <c r="B319" s="20" t="inlineStr">
        <is>
          <t>437790</t>
        </is>
      </c>
      <c r="C319" s="658" t="n">
        <v>41759</v>
      </c>
      <c r="D319" s="681" t="n">
        <v>5</v>
      </c>
      <c r="E319" s="11" t="inlineStr">
        <is>
          <t>S G L CAMBODIA</t>
        </is>
      </c>
      <c r="F319" s="10" t="inlineStr">
        <is>
          <t>100119816</t>
        </is>
      </c>
      <c r="G319" s="20" t="inlineStr">
        <is>
          <t>437790</t>
        </is>
      </c>
      <c r="H319" s="658" t="n">
        <v>41759</v>
      </c>
      <c r="I319" s="681" t="n">
        <v>5</v>
      </c>
      <c r="J319" s="9" t="n"/>
    </row>
    <row r="320" ht="18" customHeight="1" s="397">
      <c r="A320" s="33" t="n">
        <v>315</v>
      </c>
      <c r="B320" s="23" t="inlineStr">
        <is>
          <t>437859</t>
        </is>
      </c>
      <c r="C320" s="658" t="n">
        <v>41765</v>
      </c>
      <c r="D320" s="681" t="n">
        <v>22.99</v>
      </c>
      <c r="E320" s="11" t="inlineStr">
        <is>
          <t>S G L CAMBODIA</t>
        </is>
      </c>
      <c r="F320" s="10" t="inlineStr">
        <is>
          <t>100119816</t>
        </is>
      </c>
      <c r="G320" s="23" t="inlineStr">
        <is>
          <t>437859</t>
        </is>
      </c>
      <c r="H320" s="658" t="n">
        <v>41765</v>
      </c>
      <c r="I320" s="681" t="n">
        <v>22.99</v>
      </c>
      <c r="J320" s="9" t="n"/>
    </row>
    <row r="321" ht="18" customHeight="1" s="397">
      <c r="A321" s="33" t="n">
        <v>316</v>
      </c>
      <c r="B321" s="23" t="inlineStr">
        <is>
          <t>437911</t>
        </is>
      </c>
      <c r="C321" s="658" t="n">
        <v>41765</v>
      </c>
      <c r="D321" s="681" t="n">
        <v>41.9</v>
      </c>
      <c r="E321" s="11" t="inlineStr">
        <is>
          <t>S G L CAMBODIA</t>
        </is>
      </c>
      <c r="F321" s="10" t="inlineStr">
        <is>
          <t>100119816</t>
        </is>
      </c>
      <c r="G321" s="23" t="inlineStr">
        <is>
          <t>437911</t>
        </is>
      </c>
      <c r="H321" s="658" t="n">
        <v>41765</v>
      </c>
      <c r="I321" s="681" t="n">
        <v>41.9</v>
      </c>
      <c r="J321" s="9" t="n"/>
    </row>
    <row r="322" ht="18" customHeight="1" s="397">
      <c r="A322" s="33" t="n">
        <v>317</v>
      </c>
      <c r="B322" s="23" t="inlineStr">
        <is>
          <t>449556</t>
        </is>
      </c>
      <c r="C322" s="658" t="n">
        <v>41765</v>
      </c>
      <c r="D322" s="681" t="n">
        <v>27.55</v>
      </c>
      <c r="E322" s="11" t="inlineStr">
        <is>
          <t>S G L CAMBODIA</t>
        </is>
      </c>
      <c r="F322" s="10" t="inlineStr">
        <is>
          <t>100119816</t>
        </is>
      </c>
      <c r="G322" s="23" t="inlineStr">
        <is>
          <t>449556</t>
        </is>
      </c>
      <c r="H322" s="658" t="n">
        <v>41765</v>
      </c>
      <c r="I322" s="681" t="n">
        <v>27.55</v>
      </c>
      <c r="J322" s="9" t="n"/>
    </row>
    <row r="323" ht="18" customHeight="1" s="397">
      <c r="A323" s="33" t="n">
        <v>318</v>
      </c>
      <c r="B323" s="23" t="inlineStr">
        <is>
          <t>437956</t>
        </is>
      </c>
      <c r="C323" s="658" t="n">
        <v>41766</v>
      </c>
      <c r="D323" s="681" t="n">
        <v>82.68000000000001</v>
      </c>
      <c r="E323" s="11" t="inlineStr">
        <is>
          <t>S G L CAMBODIA</t>
        </is>
      </c>
      <c r="F323" s="10" t="inlineStr">
        <is>
          <t>100119816</t>
        </is>
      </c>
      <c r="G323" s="23" t="inlineStr">
        <is>
          <t>437956</t>
        </is>
      </c>
      <c r="H323" s="658" t="n">
        <v>41766</v>
      </c>
      <c r="I323" s="681" t="n">
        <v>82.68000000000001</v>
      </c>
      <c r="J323" s="9" t="n"/>
    </row>
    <row r="324" ht="18" customHeight="1" s="397">
      <c r="A324" s="33" t="n">
        <v>319</v>
      </c>
      <c r="B324" s="23" t="inlineStr">
        <is>
          <t>438072</t>
        </is>
      </c>
      <c r="C324" s="658" t="n">
        <v>41771</v>
      </c>
      <c r="D324" s="681" t="n">
        <v>50.65</v>
      </c>
      <c r="E324" s="11" t="inlineStr">
        <is>
          <t>S G L CAMBODIA</t>
        </is>
      </c>
      <c r="F324" s="10" t="inlineStr">
        <is>
          <t>100119816</t>
        </is>
      </c>
      <c r="G324" s="23" t="inlineStr">
        <is>
          <t>438072</t>
        </is>
      </c>
      <c r="H324" s="658" t="n">
        <v>41771</v>
      </c>
      <c r="I324" s="681" t="n">
        <v>50.65</v>
      </c>
      <c r="J324" s="9" t="n"/>
    </row>
    <row r="325" ht="18" customHeight="1" s="397">
      <c r="A325" s="33" t="n">
        <v>320</v>
      </c>
      <c r="B325" s="23" t="inlineStr">
        <is>
          <t>438047</t>
        </is>
      </c>
      <c r="C325" s="658" t="n">
        <v>41771</v>
      </c>
      <c r="D325" s="681" t="n">
        <v>22.3</v>
      </c>
      <c r="E325" s="11" t="inlineStr">
        <is>
          <t>S G L CAMBODIA</t>
        </is>
      </c>
      <c r="F325" s="10" t="inlineStr">
        <is>
          <t>100119816</t>
        </is>
      </c>
      <c r="G325" s="23" t="inlineStr">
        <is>
          <t>438047</t>
        </is>
      </c>
      <c r="H325" s="658" t="n">
        <v>41771</v>
      </c>
      <c r="I325" s="681" t="n">
        <v>22.3</v>
      </c>
      <c r="J325" s="9" t="n"/>
    </row>
    <row r="326" ht="18" customHeight="1" s="397">
      <c r="A326" s="33" t="n">
        <v>321</v>
      </c>
      <c r="B326" s="23" t="inlineStr">
        <is>
          <t>438111</t>
        </is>
      </c>
      <c r="C326" s="658" t="n">
        <v>41772</v>
      </c>
      <c r="D326" s="681" t="n">
        <v>22.3</v>
      </c>
      <c r="E326" s="11" t="inlineStr">
        <is>
          <t>S G L CAMBODIA</t>
        </is>
      </c>
      <c r="F326" s="10" t="inlineStr">
        <is>
          <t>100119816</t>
        </is>
      </c>
      <c r="G326" s="23" t="inlineStr">
        <is>
          <t>438111</t>
        </is>
      </c>
      <c r="H326" s="658" t="n">
        <v>41772</v>
      </c>
      <c r="I326" s="681" t="n">
        <v>22.3</v>
      </c>
      <c r="J326" s="9" t="n"/>
    </row>
    <row r="327" ht="18" customHeight="1" s="397">
      <c r="A327" s="33" t="n">
        <v>322</v>
      </c>
      <c r="B327" s="23" t="inlineStr">
        <is>
          <t>438105</t>
        </is>
      </c>
      <c r="C327" s="658" t="n">
        <v>41772</v>
      </c>
      <c r="D327" s="681" t="n">
        <v>22.32</v>
      </c>
      <c r="E327" s="11" t="inlineStr">
        <is>
          <t>S G L CAMBODIA</t>
        </is>
      </c>
      <c r="F327" s="10" t="inlineStr">
        <is>
          <t>100119816</t>
        </is>
      </c>
      <c r="G327" s="23" t="inlineStr">
        <is>
          <t>438105</t>
        </is>
      </c>
      <c r="H327" s="658" t="n">
        <v>41772</v>
      </c>
      <c r="I327" s="681" t="n">
        <v>22.32</v>
      </c>
      <c r="J327" s="9" t="n"/>
    </row>
    <row r="328" ht="18" customHeight="1" s="397">
      <c r="A328" s="33" t="n">
        <v>323</v>
      </c>
      <c r="B328" s="23" t="inlineStr">
        <is>
          <t>438175</t>
        </is>
      </c>
      <c r="C328" s="658" t="n">
        <v>41778</v>
      </c>
      <c r="D328" s="681" t="n">
        <v>22.3</v>
      </c>
      <c r="E328" s="11" t="inlineStr">
        <is>
          <t>S G L CAMBODIA</t>
        </is>
      </c>
      <c r="F328" s="10" t="inlineStr">
        <is>
          <t>100119816</t>
        </is>
      </c>
      <c r="G328" s="23" t="inlineStr">
        <is>
          <t>438175</t>
        </is>
      </c>
      <c r="H328" s="658" t="n">
        <v>41778</v>
      </c>
      <c r="I328" s="681" t="n">
        <v>22.3</v>
      </c>
      <c r="J328" s="9" t="n"/>
    </row>
    <row r="329" ht="18" customHeight="1" s="397">
      <c r="A329" s="33" t="n">
        <v>324</v>
      </c>
      <c r="B329" s="23" t="inlineStr">
        <is>
          <t>438204</t>
        </is>
      </c>
      <c r="C329" s="658" t="n">
        <v>41779</v>
      </c>
      <c r="D329" s="681" t="n">
        <v>27.35</v>
      </c>
      <c r="E329" s="11" t="inlineStr">
        <is>
          <t>S G L CAMBODIA</t>
        </is>
      </c>
      <c r="F329" s="10" t="inlineStr">
        <is>
          <t>100119816</t>
        </is>
      </c>
      <c r="G329" s="23" t="inlineStr">
        <is>
          <t>438204</t>
        </is>
      </c>
      <c r="H329" s="658" t="n">
        <v>41779</v>
      </c>
      <c r="I329" s="681" t="n">
        <v>27.35</v>
      </c>
      <c r="J329" s="9" t="n"/>
    </row>
    <row r="330" ht="18" customHeight="1" s="397">
      <c r="A330" s="33" t="n">
        <v>325</v>
      </c>
      <c r="B330" s="23" t="inlineStr">
        <is>
          <t>438229</t>
        </is>
      </c>
      <c r="C330" s="658" t="n">
        <v>41779</v>
      </c>
      <c r="D330" s="681" t="n">
        <v>29.44</v>
      </c>
      <c r="E330" s="11" t="inlineStr">
        <is>
          <t>S G L CAMBODIA</t>
        </is>
      </c>
      <c r="F330" s="10" t="inlineStr">
        <is>
          <t>100119816</t>
        </is>
      </c>
      <c r="G330" s="23" t="inlineStr">
        <is>
          <t>438229</t>
        </is>
      </c>
      <c r="H330" s="658" t="n">
        <v>41779</v>
      </c>
      <c r="I330" s="681" t="n">
        <v>29.44</v>
      </c>
      <c r="J330" s="9" t="n"/>
    </row>
    <row r="331" ht="18" customHeight="1" s="397">
      <c r="A331" s="33" t="n">
        <v>326</v>
      </c>
      <c r="B331" s="23" t="inlineStr">
        <is>
          <t>438300</t>
        </is>
      </c>
      <c r="C331" s="658" t="n">
        <v>41786</v>
      </c>
      <c r="D331" s="681" t="n">
        <v>28.01</v>
      </c>
      <c r="E331" s="11" t="inlineStr">
        <is>
          <t>S G L CAMBODIA</t>
        </is>
      </c>
      <c r="F331" s="10" t="inlineStr">
        <is>
          <t>100119816</t>
        </is>
      </c>
      <c r="G331" s="23" t="inlineStr">
        <is>
          <t>438300</t>
        </is>
      </c>
      <c r="H331" s="658" t="n">
        <v>41786</v>
      </c>
      <c r="I331" s="681" t="n">
        <v>28.01</v>
      </c>
      <c r="J331" s="9" t="n"/>
    </row>
    <row r="332" ht="18" customHeight="1" s="397">
      <c r="A332" s="33" t="n">
        <v>327</v>
      </c>
      <c r="B332" s="24" t="inlineStr">
        <is>
          <t>438410</t>
        </is>
      </c>
      <c r="C332" s="658" t="n">
        <v>41793</v>
      </c>
      <c r="D332" s="681" t="n">
        <v>22.1</v>
      </c>
      <c r="E332" s="11" t="inlineStr">
        <is>
          <t>S G L CAMBODIA</t>
        </is>
      </c>
      <c r="F332" s="10" t="inlineStr">
        <is>
          <t>100119816</t>
        </is>
      </c>
      <c r="G332" s="24" t="inlineStr">
        <is>
          <t>438410</t>
        </is>
      </c>
      <c r="H332" s="658" t="n">
        <v>41793</v>
      </c>
      <c r="I332" s="681" t="n">
        <v>22.1</v>
      </c>
      <c r="J332" s="9" t="n"/>
    </row>
    <row r="333" ht="18" customHeight="1" s="397">
      <c r="A333" s="33" t="n">
        <v>328</v>
      </c>
      <c r="B333" s="24" t="inlineStr">
        <is>
          <t>438441</t>
        </is>
      </c>
      <c r="C333" s="658" t="n">
        <v>41793</v>
      </c>
      <c r="D333" s="681" t="n">
        <v>30.9</v>
      </c>
      <c r="E333" s="11" t="inlineStr">
        <is>
          <t>S G L CAMBODIA</t>
        </is>
      </c>
      <c r="F333" s="10" t="inlineStr">
        <is>
          <t>100119816</t>
        </is>
      </c>
      <c r="G333" s="24" t="inlineStr">
        <is>
          <t>438441</t>
        </is>
      </c>
      <c r="H333" s="658" t="n">
        <v>41793</v>
      </c>
      <c r="I333" s="681" t="n">
        <v>30.9</v>
      </c>
      <c r="J333" s="9" t="n"/>
    </row>
    <row r="334" ht="18" customHeight="1" s="397">
      <c r="A334" s="33" t="n">
        <v>329</v>
      </c>
      <c r="B334" s="24" t="inlineStr">
        <is>
          <t>438454</t>
        </is>
      </c>
      <c r="C334" s="658" t="n">
        <v>41793</v>
      </c>
      <c r="D334" s="681" t="n">
        <v>45.25</v>
      </c>
      <c r="E334" s="11" t="inlineStr">
        <is>
          <t>S G L CAMBODIA</t>
        </is>
      </c>
      <c r="F334" s="10" t="inlineStr">
        <is>
          <t>100119816</t>
        </is>
      </c>
      <c r="G334" s="24" t="inlineStr">
        <is>
          <t>438454</t>
        </is>
      </c>
      <c r="H334" s="658" t="n">
        <v>41793</v>
      </c>
      <c r="I334" s="681" t="n">
        <v>45.25</v>
      </c>
      <c r="J334" s="9" t="n"/>
    </row>
    <row r="335" ht="18" customHeight="1" s="397">
      <c r="A335" s="33" t="n">
        <v>330</v>
      </c>
      <c r="B335" s="24" t="inlineStr">
        <is>
          <t>438563</t>
        </is>
      </c>
      <c r="C335" s="658" t="n">
        <v>41799</v>
      </c>
      <c r="D335" s="681" t="n">
        <v>31.74</v>
      </c>
      <c r="E335" s="11" t="inlineStr">
        <is>
          <t>S G L CAMBODIA</t>
        </is>
      </c>
      <c r="F335" s="10" t="inlineStr">
        <is>
          <t>100119816</t>
        </is>
      </c>
      <c r="G335" s="24" t="inlineStr">
        <is>
          <t>438563</t>
        </is>
      </c>
      <c r="H335" s="658" t="n">
        <v>41799</v>
      </c>
      <c r="I335" s="681" t="n">
        <v>31.74</v>
      </c>
      <c r="J335" s="9" t="n"/>
    </row>
    <row r="336" ht="18" customHeight="1" s="397">
      <c r="A336" s="33" t="n">
        <v>331</v>
      </c>
      <c r="B336" s="24" t="inlineStr">
        <is>
          <t>438588</t>
        </is>
      </c>
      <c r="C336" s="658" t="n">
        <v>41799</v>
      </c>
      <c r="D336" s="681" t="n">
        <v>104.78</v>
      </c>
      <c r="E336" s="11" t="inlineStr">
        <is>
          <t>S G L CAMBODIA</t>
        </is>
      </c>
      <c r="F336" s="10" t="inlineStr">
        <is>
          <t>100119816</t>
        </is>
      </c>
      <c r="G336" s="24" t="inlineStr">
        <is>
          <t>438588</t>
        </is>
      </c>
      <c r="H336" s="658" t="n">
        <v>41799</v>
      </c>
      <c r="I336" s="681" t="n">
        <v>104.78</v>
      </c>
      <c r="J336" s="9" t="n"/>
    </row>
    <row r="337" ht="18" customHeight="1" s="397">
      <c r="A337" s="33" t="n">
        <v>332</v>
      </c>
      <c r="B337" s="24" t="inlineStr">
        <is>
          <t>438599</t>
        </is>
      </c>
      <c r="C337" s="658" t="n">
        <v>41800</v>
      </c>
      <c r="D337" s="681" t="n">
        <v>32.6</v>
      </c>
      <c r="E337" s="11" t="inlineStr">
        <is>
          <t>S G L CAMBODIA</t>
        </is>
      </c>
      <c r="F337" s="10" t="inlineStr">
        <is>
          <t>100119816</t>
        </is>
      </c>
      <c r="G337" s="24" t="inlineStr">
        <is>
          <t>438599</t>
        </is>
      </c>
      <c r="H337" s="658" t="n">
        <v>41800</v>
      </c>
      <c r="I337" s="681" t="n">
        <v>32.6</v>
      </c>
      <c r="J337" s="9" t="n"/>
    </row>
    <row r="338" ht="18" customHeight="1" s="397">
      <c r="A338" s="33" t="n">
        <v>333</v>
      </c>
      <c r="B338" s="24" t="inlineStr">
        <is>
          <t>438628</t>
        </is>
      </c>
      <c r="C338" s="658" t="n">
        <v>41800</v>
      </c>
      <c r="D338" s="681" t="n">
        <v>42.96</v>
      </c>
      <c r="E338" s="11" t="inlineStr">
        <is>
          <t>S G L CAMBODIA</t>
        </is>
      </c>
      <c r="F338" s="10" t="inlineStr">
        <is>
          <t>100119816</t>
        </is>
      </c>
      <c r="G338" s="24" t="inlineStr">
        <is>
          <t>438628</t>
        </is>
      </c>
      <c r="H338" s="658" t="n">
        <v>41800</v>
      </c>
      <c r="I338" s="681" t="n">
        <v>42.96</v>
      </c>
      <c r="J338" s="9" t="n"/>
    </row>
    <row r="339" ht="18" customHeight="1" s="397">
      <c r="A339" s="33" t="n">
        <v>334</v>
      </c>
      <c r="B339" s="24" t="inlineStr">
        <is>
          <t>438639</t>
        </is>
      </c>
      <c r="C339" s="658" t="n">
        <v>41800</v>
      </c>
      <c r="D339" s="681" t="n">
        <v>112.27</v>
      </c>
      <c r="E339" s="11" t="inlineStr">
        <is>
          <t>S G L CAMBODIA</t>
        </is>
      </c>
      <c r="F339" s="10" t="inlineStr">
        <is>
          <t>100119816</t>
        </is>
      </c>
      <c r="G339" s="24" t="inlineStr">
        <is>
          <t>438639</t>
        </is>
      </c>
      <c r="H339" s="658" t="n">
        <v>41800</v>
      </c>
      <c r="I339" s="681" t="n">
        <v>112.27</v>
      </c>
      <c r="J339" s="9" t="n"/>
    </row>
    <row r="340" ht="18" customHeight="1" s="397">
      <c r="A340" s="33" t="n">
        <v>335</v>
      </c>
      <c r="B340" s="24" t="inlineStr">
        <is>
          <t>438661</t>
        </is>
      </c>
      <c r="C340" s="658" t="n">
        <v>41800</v>
      </c>
      <c r="D340" s="681" t="n">
        <v>31.53</v>
      </c>
      <c r="E340" s="11" t="inlineStr">
        <is>
          <t>S G L CAMBODIA</t>
        </is>
      </c>
      <c r="F340" s="10" t="inlineStr">
        <is>
          <t>100119816</t>
        </is>
      </c>
      <c r="G340" s="24" t="inlineStr">
        <is>
          <t>438661</t>
        </is>
      </c>
      <c r="H340" s="658" t="n">
        <v>41800</v>
      </c>
      <c r="I340" s="681" t="n">
        <v>31.53</v>
      </c>
      <c r="J340" s="9" t="n"/>
    </row>
    <row r="341" ht="18" customHeight="1" s="397">
      <c r="A341" s="33" t="n">
        <v>336</v>
      </c>
      <c r="B341" s="24" t="inlineStr">
        <is>
          <t>438681</t>
        </is>
      </c>
      <c r="C341" s="658" t="n">
        <v>41800</v>
      </c>
      <c r="D341" s="681" t="n">
        <v>35.45</v>
      </c>
      <c r="E341" s="11" t="inlineStr">
        <is>
          <t>S G L CAMBODIA</t>
        </is>
      </c>
      <c r="F341" s="10" t="inlineStr">
        <is>
          <t>100119816</t>
        </is>
      </c>
      <c r="G341" s="24" t="inlineStr">
        <is>
          <t>438681</t>
        </is>
      </c>
      <c r="H341" s="658" t="n">
        <v>41800</v>
      </c>
      <c r="I341" s="681" t="n">
        <v>35.45</v>
      </c>
      <c r="J341" s="9" t="n"/>
    </row>
    <row r="342" ht="18" customHeight="1" s="397">
      <c r="A342" s="33" t="n">
        <v>337</v>
      </c>
      <c r="B342" s="24" t="inlineStr">
        <is>
          <t>438820</t>
        </is>
      </c>
      <c r="C342" s="658" t="n">
        <v>41806</v>
      </c>
      <c r="D342" s="681" t="n">
        <v>29.64</v>
      </c>
      <c r="E342" s="11" t="inlineStr">
        <is>
          <t>S G L CAMBODIA</t>
        </is>
      </c>
      <c r="F342" s="10" t="inlineStr">
        <is>
          <t>100119816</t>
        </is>
      </c>
      <c r="G342" s="24" t="inlineStr">
        <is>
          <t>438820</t>
        </is>
      </c>
      <c r="H342" s="658" t="n">
        <v>41806</v>
      </c>
      <c r="I342" s="681" t="n">
        <v>29.64</v>
      </c>
      <c r="J342" s="9" t="n"/>
    </row>
    <row r="343" ht="18" customHeight="1" s="397">
      <c r="A343" s="33" t="n">
        <v>338</v>
      </c>
      <c r="B343" s="24" t="inlineStr">
        <is>
          <t>438839</t>
        </is>
      </c>
      <c r="C343" s="658" t="n">
        <v>41806</v>
      </c>
      <c r="D343" s="681" t="n">
        <v>63.68</v>
      </c>
      <c r="E343" s="11" t="inlineStr">
        <is>
          <t>S G L CAMBODIA</t>
        </is>
      </c>
      <c r="F343" s="10" t="inlineStr">
        <is>
          <t>100119816</t>
        </is>
      </c>
      <c r="G343" s="24" t="inlineStr">
        <is>
          <t>438839</t>
        </is>
      </c>
      <c r="H343" s="658" t="n">
        <v>41806</v>
      </c>
      <c r="I343" s="681" t="n">
        <v>63.68</v>
      </c>
      <c r="J343" s="9" t="n"/>
    </row>
    <row r="344" ht="18" customHeight="1" s="397">
      <c r="A344" s="33" t="n">
        <v>341</v>
      </c>
      <c r="B344" s="24" t="inlineStr">
        <is>
          <t>438852</t>
        </is>
      </c>
      <c r="C344" s="658" t="n">
        <v>41807</v>
      </c>
      <c r="D344" s="681" t="n">
        <v>77.8</v>
      </c>
      <c r="E344" s="11" t="inlineStr">
        <is>
          <t>S G L CAMBODIA</t>
        </is>
      </c>
      <c r="F344" s="10" t="inlineStr">
        <is>
          <t>100119816</t>
        </is>
      </c>
      <c r="G344" s="24" t="inlineStr">
        <is>
          <t>438852</t>
        </is>
      </c>
      <c r="H344" s="658" t="n">
        <v>41807</v>
      </c>
      <c r="I344" s="681" t="n">
        <v>77.8</v>
      </c>
      <c r="J344" s="9" t="n"/>
    </row>
    <row r="345" ht="18" customHeight="1" s="397">
      <c r="A345" s="33" t="n">
        <v>342</v>
      </c>
      <c r="B345" s="24" t="inlineStr">
        <is>
          <t>438870</t>
        </is>
      </c>
      <c r="C345" s="658" t="n">
        <v>41807</v>
      </c>
      <c r="D345" s="681" t="n">
        <v>36.52</v>
      </c>
      <c r="E345" s="11" t="inlineStr">
        <is>
          <t>S G L CAMBODIA</t>
        </is>
      </c>
      <c r="F345" s="10" t="inlineStr">
        <is>
          <t>100119816</t>
        </is>
      </c>
      <c r="G345" s="24" t="inlineStr">
        <is>
          <t>438870</t>
        </is>
      </c>
      <c r="H345" s="658" t="n">
        <v>41807</v>
      </c>
      <c r="I345" s="681" t="n">
        <v>36.52</v>
      </c>
      <c r="J345" s="9" t="n"/>
    </row>
    <row r="346" ht="18" customHeight="1" s="397">
      <c r="A346" s="33" t="n">
        <v>343</v>
      </c>
      <c r="B346" s="24" t="inlineStr">
        <is>
          <t>438882</t>
        </is>
      </c>
      <c r="C346" s="658" t="n">
        <v>41807</v>
      </c>
      <c r="D346" s="681" t="n">
        <v>6.5</v>
      </c>
      <c r="E346" s="11" t="inlineStr">
        <is>
          <t>S G L CAMBODIA</t>
        </is>
      </c>
      <c r="F346" s="10" t="inlineStr">
        <is>
          <t>100119816</t>
        </is>
      </c>
      <c r="G346" s="24" t="inlineStr">
        <is>
          <t>438882</t>
        </is>
      </c>
      <c r="H346" s="658" t="n">
        <v>41807</v>
      </c>
      <c r="I346" s="681" t="n">
        <v>6.5</v>
      </c>
      <c r="J346" s="9" t="n"/>
    </row>
    <row r="347" ht="18" customHeight="1" s="397">
      <c r="A347" s="33" t="n">
        <v>344</v>
      </c>
      <c r="B347" s="24" t="inlineStr">
        <is>
          <t>438890</t>
        </is>
      </c>
      <c r="C347" s="658" t="n">
        <v>41807</v>
      </c>
      <c r="D347" s="681" t="n">
        <v>27.35</v>
      </c>
      <c r="E347" s="11" t="inlineStr">
        <is>
          <t>S G L CAMBODIA</t>
        </is>
      </c>
      <c r="F347" s="10" t="inlineStr">
        <is>
          <t>100119816</t>
        </is>
      </c>
      <c r="G347" s="24" t="inlineStr">
        <is>
          <t>438890</t>
        </is>
      </c>
      <c r="H347" s="658" t="n">
        <v>41807</v>
      </c>
      <c r="I347" s="681" t="n">
        <v>27.35</v>
      </c>
      <c r="J347" s="9" t="n"/>
    </row>
    <row r="348" ht="18" customHeight="1" s="397">
      <c r="A348" s="33" t="n">
        <v>345</v>
      </c>
      <c r="B348" s="24" t="inlineStr">
        <is>
          <t>438944</t>
        </is>
      </c>
      <c r="C348" s="658" t="n">
        <v>41809</v>
      </c>
      <c r="D348" s="681" t="n">
        <v>6.5</v>
      </c>
      <c r="E348" s="11" t="inlineStr">
        <is>
          <t>S G L CAMBODIA</t>
        </is>
      </c>
      <c r="F348" s="10" t="inlineStr">
        <is>
          <t>100119816</t>
        </is>
      </c>
      <c r="G348" s="24" t="inlineStr">
        <is>
          <t>438944</t>
        </is>
      </c>
      <c r="H348" s="658" t="n">
        <v>41809</v>
      </c>
      <c r="I348" s="681" t="n">
        <v>6.5</v>
      </c>
      <c r="J348" s="9" t="n"/>
    </row>
    <row r="349" ht="18" customHeight="1" s="397">
      <c r="A349" s="33" t="n">
        <v>346</v>
      </c>
      <c r="B349" s="24" t="inlineStr">
        <is>
          <t>438952</t>
        </is>
      </c>
      <c r="C349" s="658" t="n">
        <v>41810</v>
      </c>
      <c r="D349" s="681" t="n">
        <v>6.5</v>
      </c>
      <c r="E349" s="11" t="inlineStr">
        <is>
          <t>S G L CAMBODIA</t>
        </is>
      </c>
      <c r="F349" s="10" t="inlineStr">
        <is>
          <t>100119816</t>
        </is>
      </c>
      <c r="G349" s="24" t="inlineStr">
        <is>
          <t>438952</t>
        </is>
      </c>
      <c r="H349" s="658" t="n">
        <v>41810</v>
      </c>
      <c r="I349" s="681" t="n">
        <v>6.5</v>
      </c>
      <c r="J349" s="9" t="n"/>
    </row>
    <row r="350" ht="18" customHeight="1" s="397">
      <c r="A350" s="33" t="n">
        <v>347</v>
      </c>
      <c r="B350" s="24" t="inlineStr">
        <is>
          <t>438982</t>
        </is>
      </c>
      <c r="C350" s="658" t="n">
        <v>41813</v>
      </c>
      <c r="D350" s="681" t="n">
        <v>31.41</v>
      </c>
      <c r="E350" s="11" t="inlineStr">
        <is>
          <t>S G L CAMBODIA</t>
        </is>
      </c>
      <c r="F350" s="10" t="inlineStr">
        <is>
          <t>100119816</t>
        </is>
      </c>
      <c r="G350" s="24" t="inlineStr">
        <is>
          <t>438982</t>
        </is>
      </c>
      <c r="H350" s="658" t="n">
        <v>41813</v>
      </c>
      <c r="I350" s="681" t="n">
        <v>31.41</v>
      </c>
      <c r="J350" s="9" t="n"/>
    </row>
    <row r="351" ht="18" customHeight="1" s="397">
      <c r="A351" s="33" t="n">
        <v>348</v>
      </c>
      <c r="B351" s="24" t="inlineStr">
        <is>
          <t>439055</t>
        </is>
      </c>
      <c r="C351" s="658" t="n">
        <v>41814</v>
      </c>
      <c r="D351" s="681" t="n">
        <v>62.52</v>
      </c>
      <c r="E351" s="11" t="inlineStr">
        <is>
          <t>S G L CAMBODIA</t>
        </is>
      </c>
      <c r="F351" s="10" t="inlineStr">
        <is>
          <t>100119816</t>
        </is>
      </c>
      <c r="G351" s="24" t="inlineStr">
        <is>
          <t>439055</t>
        </is>
      </c>
      <c r="H351" s="658" t="n">
        <v>41814</v>
      </c>
      <c r="I351" s="681" t="n">
        <v>62.52</v>
      </c>
      <c r="J351" s="9" t="n"/>
    </row>
    <row r="352" ht="18" customHeight="1" s="397">
      <c r="A352" s="33" t="n">
        <v>349</v>
      </c>
      <c r="B352" s="24" t="inlineStr">
        <is>
          <t>439139</t>
        </is>
      </c>
      <c r="C352" s="658" t="n">
        <v>41820</v>
      </c>
      <c r="D352" s="681" t="n">
        <v>30.38</v>
      </c>
      <c r="E352" s="11" t="inlineStr">
        <is>
          <t>S G L CAMBODIA</t>
        </is>
      </c>
      <c r="F352" s="10" t="inlineStr">
        <is>
          <t>100119816</t>
        </is>
      </c>
      <c r="G352" s="24" t="inlineStr">
        <is>
          <t>439139</t>
        </is>
      </c>
      <c r="H352" s="658" t="n">
        <v>41820</v>
      </c>
      <c r="I352" s="681" t="n">
        <v>30.38</v>
      </c>
      <c r="J352" s="9" t="n"/>
    </row>
    <row r="353" ht="18" customHeight="1" s="397">
      <c r="A353" s="33" t="n">
        <v>350</v>
      </c>
      <c r="B353" s="24" t="inlineStr">
        <is>
          <t>439185</t>
        </is>
      </c>
      <c r="C353" s="658" t="n">
        <v>41820</v>
      </c>
      <c r="D353" s="681" t="n">
        <v>23.41</v>
      </c>
      <c r="E353" s="11" t="inlineStr">
        <is>
          <t>S G L CAMBODIA</t>
        </is>
      </c>
      <c r="F353" s="10" t="inlineStr">
        <is>
          <t>100119816</t>
        </is>
      </c>
      <c r="G353" s="24" t="inlineStr">
        <is>
          <t>439185</t>
        </is>
      </c>
      <c r="H353" s="658" t="n">
        <v>41820</v>
      </c>
      <c r="I353" s="681" t="n">
        <v>23.41</v>
      </c>
      <c r="J353" s="9" t="n"/>
    </row>
    <row r="354" ht="18" customHeight="1" s="397">
      <c r="A354" s="33" t="n">
        <v>351</v>
      </c>
      <c r="B354" s="24" t="inlineStr">
        <is>
          <t>439416</t>
        </is>
      </c>
      <c r="C354" s="658" t="n">
        <v>41828</v>
      </c>
      <c r="D354" s="681" t="n">
        <v>37.2</v>
      </c>
      <c r="E354" s="11" t="inlineStr">
        <is>
          <t>S G L CAMBODIA</t>
        </is>
      </c>
      <c r="F354" s="10" t="inlineStr">
        <is>
          <t>100119816</t>
        </is>
      </c>
      <c r="G354" s="24" t="inlineStr">
        <is>
          <t>439416</t>
        </is>
      </c>
      <c r="H354" s="658" t="n">
        <v>41828</v>
      </c>
      <c r="I354" s="681" t="n">
        <v>37.2</v>
      </c>
      <c r="J354" s="9" t="n"/>
    </row>
    <row r="355" ht="18" customHeight="1" s="397">
      <c r="A355" s="33" t="n">
        <v>352</v>
      </c>
      <c r="B355" s="24" t="inlineStr">
        <is>
          <t>439444</t>
        </is>
      </c>
      <c r="C355" s="658" t="n">
        <v>41828</v>
      </c>
      <c r="D355" s="681" t="n">
        <v>22.3</v>
      </c>
      <c r="E355" s="11" t="inlineStr">
        <is>
          <t>S G L CAMBODIA</t>
        </is>
      </c>
      <c r="F355" s="10" t="inlineStr">
        <is>
          <t>100119816</t>
        </is>
      </c>
      <c r="G355" s="24" t="inlineStr">
        <is>
          <t>439444</t>
        </is>
      </c>
      <c r="H355" s="658" t="n">
        <v>41828</v>
      </c>
      <c r="I355" s="681" t="n">
        <v>22.3</v>
      </c>
      <c r="J355" s="9" t="n"/>
    </row>
    <row r="356" ht="18" customHeight="1" s="397">
      <c r="A356" s="33" t="n">
        <v>353</v>
      </c>
      <c r="B356" s="24" t="inlineStr">
        <is>
          <t>439445</t>
        </is>
      </c>
      <c r="C356" s="658" t="n">
        <v>41828</v>
      </c>
      <c r="D356" s="681" t="n">
        <v>38.53</v>
      </c>
      <c r="E356" s="11" t="inlineStr">
        <is>
          <t>S G L CAMBODIA</t>
        </is>
      </c>
      <c r="F356" s="10" t="inlineStr">
        <is>
          <t>100119816</t>
        </is>
      </c>
      <c r="G356" s="24" t="inlineStr">
        <is>
          <t>439445</t>
        </is>
      </c>
      <c r="H356" s="658" t="n">
        <v>41828</v>
      </c>
      <c r="I356" s="681" t="n">
        <v>38.53</v>
      </c>
      <c r="J356" s="9" t="n"/>
    </row>
    <row r="357" ht="18" customHeight="1" s="397">
      <c r="A357" s="33" t="n">
        <v>354</v>
      </c>
      <c r="B357" s="24" t="inlineStr">
        <is>
          <t>439613</t>
        </is>
      </c>
      <c r="C357" s="658" t="n">
        <v>41835</v>
      </c>
      <c r="D357" s="681" t="n">
        <v>88.75</v>
      </c>
      <c r="E357" s="11" t="inlineStr">
        <is>
          <t>S G L CAMBODIA</t>
        </is>
      </c>
      <c r="F357" s="10" t="inlineStr">
        <is>
          <t>100119816</t>
        </is>
      </c>
      <c r="G357" s="24" t="inlineStr">
        <is>
          <t>439613</t>
        </is>
      </c>
      <c r="H357" s="658" t="n">
        <v>41835</v>
      </c>
      <c r="I357" s="681" t="n">
        <v>88.75</v>
      </c>
      <c r="J357" s="9" t="n"/>
    </row>
    <row r="358" ht="18" customHeight="1" s="397">
      <c r="A358" s="33" t="n">
        <v>355</v>
      </c>
      <c r="B358" s="24" t="inlineStr">
        <is>
          <t>439621</t>
        </is>
      </c>
      <c r="C358" s="658" t="n">
        <v>41835</v>
      </c>
      <c r="D358" s="681" t="n">
        <v>142.73</v>
      </c>
      <c r="E358" s="11" t="inlineStr">
        <is>
          <t>S G L CAMBODIA</t>
        </is>
      </c>
      <c r="F358" s="10" t="inlineStr">
        <is>
          <t>100119816</t>
        </is>
      </c>
      <c r="G358" s="24" t="inlineStr">
        <is>
          <t>439621</t>
        </is>
      </c>
      <c r="H358" s="658" t="n">
        <v>41835</v>
      </c>
      <c r="I358" s="681" t="n">
        <v>142.73</v>
      </c>
      <c r="J358" s="9" t="n"/>
    </row>
    <row r="359" ht="18" customHeight="1" s="397">
      <c r="A359" s="33" t="n">
        <v>356</v>
      </c>
      <c r="B359" s="24" t="inlineStr">
        <is>
          <t>439627</t>
        </is>
      </c>
      <c r="C359" s="658" t="n">
        <v>41835</v>
      </c>
      <c r="D359" s="681" t="n">
        <v>22.3</v>
      </c>
      <c r="E359" s="11" t="inlineStr">
        <is>
          <t>S G L CAMBODIA</t>
        </is>
      </c>
      <c r="F359" s="10" t="inlineStr">
        <is>
          <t>100119816</t>
        </is>
      </c>
      <c r="G359" s="24" t="inlineStr">
        <is>
          <t>439627</t>
        </is>
      </c>
      <c r="H359" s="658" t="n">
        <v>41835</v>
      </c>
      <c r="I359" s="681" t="n">
        <v>22.3</v>
      </c>
      <c r="J359" s="9" t="n"/>
    </row>
    <row r="360" ht="18" customHeight="1" s="397">
      <c r="A360" s="33" t="n">
        <v>357</v>
      </c>
      <c r="B360" s="24" t="inlineStr">
        <is>
          <t>439695</t>
        </is>
      </c>
      <c r="C360" s="658" t="n">
        <v>41835</v>
      </c>
      <c r="D360" s="681" t="n">
        <v>5</v>
      </c>
      <c r="E360" s="11" t="inlineStr">
        <is>
          <t>S G L CAMBODIA</t>
        </is>
      </c>
      <c r="F360" s="10" t="inlineStr">
        <is>
          <t>100119816</t>
        </is>
      </c>
      <c r="G360" s="24" t="inlineStr">
        <is>
          <t>439695</t>
        </is>
      </c>
      <c r="H360" s="658" t="n">
        <v>41835</v>
      </c>
      <c r="I360" s="681" t="n">
        <v>5</v>
      </c>
      <c r="J360" s="9" t="n"/>
    </row>
    <row r="361" ht="18" customHeight="1" s="397">
      <c r="A361" s="33" t="n">
        <v>358</v>
      </c>
      <c r="B361" s="24" t="inlineStr">
        <is>
          <t>439710</t>
        </is>
      </c>
      <c r="C361" s="658" t="n">
        <v>41837</v>
      </c>
      <c r="D361" s="681" t="n">
        <v>5</v>
      </c>
      <c r="E361" s="11" t="inlineStr">
        <is>
          <t>S G L CAMBODIA</t>
        </is>
      </c>
      <c r="F361" s="10" t="inlineStr">
        <is>
          <t>100119816</t>
        </is>
      </c>
      <c r="G361" s="24" t="inlineStr">
        <is>
          <t>439710</t>
        </is>
      </c>
      <c r="H361" s="658" t="n">
        <v>41837</v>
      </c>
      <c r="I361" s="681" t="n">
        <v>5</v>
      </c>
      <c r="J361" s="9" t="n"/>
    </row>
    <row r="362" ht="18" customHeight="1" s="397">
      <c r="A362" s="33" t="n">
        <v>359</v>
      </c>
      <c r="B362" s="24" t="inlineStr">
        <is>
          <t>439711</t>
        </is>
      </c>
      <c r="C362" s="658" t="n">
        <v>41837</v>
      </c>
      <c r="D362" s="681" t="n">
        <v>5</v>
      </c>
      <c r="E362" s="11" t="inlineStr">
        <is>
          <t>S G L CAMBODIA</t>
        </is>
      </c>
      <c r="F362" s="10" t="inlineStr">
        <is>
          <t>100119816</t>
        </is>
      </c>
      <c r="G362" s="24" t="inlineStr">
        <is>
          <t>439711</t>
        </is>
      </c>
      <c r="H362" s="658" t="n">
        <v>41837</v>
      </c>
      <c r="I362" s="681" t="n">
        <v>5</v>
      </c>
      <c r="J362" s="9" t="n"/>
    </row>
    <row r="363" ht="18" customHeight="1" s="397">
      <c r="A363" s="33" t="n">
        <v>360</v>
      </c>
      <c r="B363" s="24" t="inlineStr">
        <is>
          <t>439791</t>
        </is>
      </c>
      <c r="C363" s="658" t="n">
        <v>41842</v>
      </c>
      <c r="D363" s="681" t="n">
        <v>59.41</v>
      </c>
      <c r="E363" s="11" t="inlineStr">
        <is>
          <t>S G L CAMBODIA</t>
        </is>
      </c>
      <c r="F363" s="10" t="inlineStr">
        <is>
          <t>100119816</t>
        </is>
      </c>
      <c r="G363" s="24" t="inlineStr">
        <is>
          <t>439791</t>
        </is>
      </c>
      <c r="H363" s="658" t="n">
        <v>41842</v>
      </c>
      <c r="I363" s="681" t="n">
        <v>59.41</v>
      </c>
      <c r="J363" s="9" t="n"/>
    </row>
    <row r="364" ht="18" customHeight="1" s="397">
      <c r="A364" s="33" t="n">
        <v>361</v>
      </c>
      <c r="B364" s="24" t="inlineStr">
        <is>
          <t>1439974</t>
        </is>
      </c>
      <c r="C364" s="658" t="n">
        <v>41848</v>
      </c>
      <c r="D364" s="681" t="n">
        <v>5</v>
      </c>
      <c r="E364" s="11" t="inlineStr">
        <is>
          <t>S G L CAMBODIA</t>
        </is>
      </c>
      <c r="F364" s="10" t="inlineStr">
        <is>
          <t>100119816</t>
        </is>
      </c>
      <c r="G364" s="24" t="inlineStr">
        <is>
          <t>1439974</t>
        </is>
      </c>
      <c r="H364" s="658" t="n">
        <v>41848</v>
      </c>
      <c r="I364" s="681" t="n">
        <v>5</v>
      </c>
      <c r="J364" s="9" t="n"/>
    </row>
    <row r="365" ht="18" customHeight="1" s="397">
      <c r="A365" s="33" t="n">
        <v>362</v>
      </c>
      <c r="B365" s="24" t="inlineStr">
        <is>
          <t>437859</t>
        </is>
      </c>
      <c r="C365" s="658" t="n">
        <v>41765</v>
      </c>
      <c r="D365" s="681" t="n">
        <v>22.99</v>
      </c>
      <c r="E365" s="11" t="inlineStr">
        <is>
          <t>S G L CAMBODIA</t>
        </is>
      </c>
      <c r="F365" s="10" t="inlineStr">
        <is>
          <t>100119816</t>
        </is>
      </c>
      <c r="G365" s="42" t="inlineStr">
        <is>
          <t>437859</t>
        </is>
      </c>
      <c r="H365" s="658" t="n">
        <v>41765</v>
      </c>
      <c r="I365" s="681" t="n">
        <v>22.99</v>
      </c>
      <c r="J365" s="9" t="n"/>
    </row>
    <row r="366" ht="18" customHeight="1" s="397">
      <c r="A366" s="33" t="n">
        <v>363</v>
      </c>
      <c r="B366" s="24" t="inlineStr">
        <is>
          <t>437911</t>
        </is>
      </c>
      <c r="C366" s="658" t="n">
        <v>41765</v>
      </c>
      <c r="D366" s="681" t="n">
        <v>41.9</v>
      </c>
      <c r="E366" s="11" t="inlineStr">
        <is>
          <t>S G L CAMBODIA</t>
        </is>
      </c>
      <c r="F366" s="10" t="inlineStr">
        <is>
          <t>100119816</t>
        </is>
      </c>
      <c r="G366" s="42" t="inlineStr">
        <is>
          <t>437911</t>
        </is>
      </c>
      <c r="H366" s="658" t="n">
        <v>41765</v>
      </c>
      <c r="I366" s="681" t="n">
        <v>41.9</v>
      </c>
      <c r="J366" s="9" t="n"/>
    </row>
    <row r="367" ht="18" customHeight="1" s="397">
      <c r="A367" s="33" t="n">
        <v>364</v>
      </c>
      <c r="B367" s="24" t="inlineStr">
        <is>
          <t>449556</t>
        </is>
      </c>
      <c r="C367" s="658" t="n">
        <v>41765</v>
      </c>
      <c r="D367" s="681" t="n">
        <v>27.55</v>
      </c>
      <c r="E367" s="11" t="inlineStr">
        <is>
          <t>S G L CAMBODIA</t>
        </is>
      </c>
      <c r="F367" s="10" t="inlineStr">
        <is>
          <t>100119816</t>
        </is>
      </c>
      <c r="G367" s="42" t="inlineStr">
        <is>
          <t>449556</t>
        </is>
      </c>
      <c r="H367" s="658" t="n">
        <v>41765</v>
      </c>
      <c r="I367" s="681" t="n">
        <v>27.55</v>
      </c>
      <c r="J367" s="9" t="n"/>
    </row>
    <row r="368" ht="18" customHeight="1" s="397">
      <c r="A368" s="33" t="n">
        <v>365</v>
      </c>
      <c r="B368" s="24" t="inlineStr">
        <is>
          <t>437956</t>
        </is>
      </c>
      <c r="C368" s="658" t="n">
        <v>41766</v>
      </c>
      <c r="D368" s="681" t="n">
        <v>82.68000000000001</v>
      </c>
      <c r="E368" s="11" t="inlineStr">
        <is>
          <t>S G L CAMBODIA</t>
        </is>
      </c>
      <c r="F368" s="10" t="inlineStr">
        <is>
          <t>100119816</t>
        </is>
      </c>
      <c r="G368" s="42" t="inlineStr">
        <is>
          <t>437956</t>
        </is>
      </c>
      <c r="H368" s="658" t="n">
        <v>41766</v>
      </c>
      <c r="I368" s="681" t="n">
        <v>82.68000000000001</v>
      </c>
      <c r="J368" s="9" t="n"/>
    </row>
    <row r="369" ht="18" customHeight="1" s="397">
      <c r="A369" s="33" t="n">
        <v>366</v>
      </c>
      <c r="B369" s="24" t="inlineStr">
        <is>
          <t>440141</t>
        </is>
      </c>
      <c r="C369" s="658" t="n">
        <v>41856</v>
      </c>
      <c r="D369" s="681" t="n">
        <v>54.09</v>
      </c>
      <c r="E369" s="11" t="inlineStr">
        <is>
          <t>S G L CAMBODIA</t>
        </is>
      </c>
      <c r="F369" s="10" t="inlineStr">
        <is>
          <t>100119816</t>
        </is>
      </c>
      <c r="G369" s="24" t="inlineStr">
        <is>
          <t>440141</t>
        </is>
      </c>
      <c r="H369" s="658" t="n">
        <v>41856</v>
      </c>
      <c r="I369" s="681" t="n">
        <v>54.09</v>
      </c>
      <c r="J369" s="9" t="n"/>
    </row>
    <row r="370" ht="18" customHeight="1" s="397">
      <c r="A370" s="33" t="n">
        <v>367</v>
      </c>
      <c r="B370" s="24" t="inlineStr">
        <is>
          <t>440142</t>
        </is>
      </c>
      <c r="C370" s="658" t="n">
        <v>41856</v>
      </c>
      <c r="D370" s="681" t="n">
        <v>30.93</v>
      </c>
      <c r="E370" s="11" t="inlineStr">
        <is>
          <t>S G L CAMBODIA</t>
        </is>
      </c>
      <c r="F370" s="10" t="inlineStr">
        <is>
          <t>100119816</t>
        </is>
      </c>
      <c r="G370" s="24" t="inlineStr">
        <is>
          <t>440142</t>
        </is>
      </c>
      <c r="H370" s="658" t="n">
        <v>41856</v>
      </c>
      <c r="I370" s="681" t="n">
        <v>30.93</v>
      </c>
      <c r="J370" s="9" t="n"/>
    </row>
    <row r="371" ht="18" customHeight="1" s="397">
      <c r="A371" s="33" t="n">
        <v>368</v>
      </c>
      <c r="B371" s="24" t="inlineStr">
        <is>
          <t>440161</t>
        </is>
      </c>
      <c r="C371" s="658" t="n">
        <v>41856</v>
      </c>
      <c r="D371" s="681" t="n">
        <v>31.94</v>
      </c>
      <c r="E371" s="11" t="inlineStr">
        <is>
          <t>S G L CAMBODIA</t>
        </is>
      </c>
      <c r="F371" s="10" t="inlineStr">
        <is>
          <t>100119816</t>
        </is>
      </c>
      <c r="G371" s="24" t="inlineStr">
        <is>
          <t>440161</t>
        </is>
      </c>
      <c r="H371" s="658" t="n">
        <v>41856</v>
      </c>
      <c r="I371" s="681" t="n">
        <v>31.94</v>
      </c>
      <c r="J371" s="9" t="n"/>
    </row>
    <row r="372" ht="18" customHeight="1" s="397">
      <c r="A372" s="33" t="n">
        <v>369</v>
      </c>
      <c r="B372" s="24" t="inlineStr">
        <is>
          <t>440185</t>
        </is>
      </c>
      <c r="C372" s="658" t="n">
        <v>41856</v>
      </c>
      <c r="D372" s="681" t="n">
        <v>22.3</v>
      </c>
      <c r="E372" s="11" t="inlineStr">
        <is>
          <t>S G L CAMBODIA</t>
        </is>
      </c>
      <c r="F372" s="10" t="inlineStr">
        <is>
          <t>100119816</t>
        </is>
      </c>
      <c r="G372" s="24" t="inlineStr">
        <is>
          <t>440185</t>
        </is>
      </c>
      <c r="H372" s="658" t="n">
        <v>41856</v>
      </c>
      <c r="I372" s="681" t="n">
        <v>22.3</v>
      </c>
      <c r="J372" s="9" t="n"/>
    </row>
    <row r="373" ht="18" customHeight="1" s="397">
      <c r="A373" s="33" t="n">
        <v>370</v>
      </c>
      <c r="B373" s="24" t="inlineStr">
        <is>
          <t>440222</t>
        </is>
      </c>
      <c r="C373" s="658" t="n">
        <v>41856</v>
      </c>
      <c r="D373" s="681" t="n">
        <v>30.36</v>
      </c>
      <c r="E373" s="11" t="inlineStr">
        <is>
          <t>S G L CAMBODIA</t>
        </is>
      </c>
      <c r="F373" s="10" t="inlineStr">
        <is>
          <t>100119816</t>
        </is>
      </c>
      <c r="G373" s="24" t="inlineStr">
        <is>
          <t>440222</t>
        </is>
      </c>
      <c r="H373" s="658" t="n">
        <v>41856</v>
      </c>
      <c r="I373" s="681" t="n">
        <v>30.36</v>
      </c>
      <c r="J373" s="9" t="n"/>
    </row>
    <row r="374" ht="18" customHeight="1" s="397">
      <c r="A374" s="33" t="n">
        <v>371</v>
      </c>
      <c r="B374" s="24" t="inlineStr">
        <is>
          <t>440290</t>
        </is>
      </c>
      <c r="C374" s="658" t="n">
        <v>41858</v>
      </c>
      <c r="D374" s="681" t="n">
        <v>5</v>
      </c>
      <c r="E374" s="11" t="inlineStr">
        <is>
          <t>S G L CAMBODIA</t>
        </is>
      </c>
      <c r="F374" s="10" t="inlineStr">
        <is>
          <t>100119816</t>
        </is>
      </c>
      <c r="G374" s="24" t="inlineStr">
        <is>
          <t>440290</t>
        </is>
      </c>
      <c r="H374" s="658" t="n">
        <v>41858</v>
      </c>
      <c r="I374" s="681" t="n">
        <v>5</v>
      </c>
      <c r="J374" s="9" t="n"/>
    </row>
    <row r="375" ht="18" customHeight="1" s="397">
      <c r="A375" s="33" t="n">
        <v>372</v>
      </c>
      <c r="B375" s="24" t="inlineStr">
        <is>
          <t>440321</t>
        </is>
      </c>
      <c r="C375" s="658" t="n">
        <v>41862</v>
      </c>
      <c r="D375" s="681" t="n">
        <v>5</v>
      </c>
      <c r="E375" s="11" t="inlineStr">
        <is>
          <t>S G L CAMBODIA</t>
        </is>
      </c>
      <c r="F375" s="10" t="inlineStr">
        <is>
          <t>100119816</t>
        </is>
      </c>
      <c r="G375" s="24" t="inlineStr">
        <is>
          <t>440321</t>
        </is>
      </c>
      <c r="H375" s="658" t="n">
        <v>41862</v>
      </c>
      <c r="I375" s="681" t="n">
        <v>5</v>
      </c>
      <c r="J375" s="9" t="n"/>
    </row>
    <row r="376" ht="18" customHeight="1" s="397">
      <c r="A376" s="33" t="n">
        <v>373</v>
      </c>
      <c r="B376" s="24" t="inlineStr">
        <is>
          <t>440400</t>
        </is>
      </c>
      <c r="C376" s="658" t="n">
        <v>41863</v>
      </c>
      <c r="D376" s="681" t="n">
        <v>26.6</v>
      </c>
      <c r="E376" s="11" t="inlineStr">
        <is>
          <t>S G L CAMBODIA</t>
        </is>
      </c>
      <c r="F376" s="10" t="inlineStr">
        <is>
          <t>100119816</t>
        </is>
      </c>
      <c r="G376" s="24" t="inlineStr">
        <is>
          <t>440400</t>
        </is>
      </c>
      <c r="H376" s="658" t="n">
        <v>41863</v>
      </c>
      <c r="I376" s="681" t="n">
        <v>26.6</v>
      </c>
      <c r="J376" s="9" t="n"/>
    </row>
    <row r="377" ht="18" customHeight="1" s="397">
      <c r="A377" s="33" t="n">
        <v>374</v>
      </c>
      <c r="B377" s="24" t="inlineStr">
        <is>
          <t>440465</t>
        </is>
      </c>
      <c r="C377" s="658" t="n">
        <v>41863</v>
      </c>
      <c r="D377" s="681" t="n">
        <v>25.27</v>
      </c>
      <c r="E377" s="11" t="inlineStr">
        <is>
          <t>S G L CAMBODIA</t>
        </is>
      </c>
      <c r="F377" s="10" t="inlineStr">
        <is>
          <t>100119816</t>
        </is>
      </c>
      <c r="G377" s="24" t="inlineStr">
        <is>
          <t>440465</t>
        </is>
      </c>
      <c r="H377" s="658" t="n">
        <v>41863</v>
      </c>
      <c r="I377" s="681" t="n">
        <v>25.27</v>
      </c>
      <c r="J377" s="9" t="n"/>
    </row>
    <row r="378" ht="18" customHeight="1" s="397">
      <c r="A378" s="33" t="n">
        <v>375</v>
      </c>
      <c r="B378" s="24" t="inlineStr">
        <is>
          <t>440471</t>
        </is>
      </c>
      <c r="C378" s="658" t="n">
        <v>41863</v>
      </c>
      <c r="D378" s="681" t="n">
        <v>64.75</v>
      </c>
      <c r="E378" s="11" t="inlineStr">
        <is>
          <t>S G L CAMBODIA</t>
        </is>
      </c>
      <c r="F378" s="10" t="inlineStr">
        <is>
          <t>100119816</t>
        </is>
      </c>
      <c r="G378" s="24" t="inlineStr">
        <is>
          <t>440471</t>
        </is>
      </c>
      <c r="H378" s="658" t="n">
        <v>41863</v>
      </c>
      <c r="I378" s="681" t="n">
        <v>64.75</v>
      </c>
      <c r="J378" s="9" t="n"/>
    </row>
    <row r="379" ht="18" customHeight="1" s="397">
      <c r="A379" s="33" t="n">
        <v>376</v>
      </c>
      <c r="B379" s="24" t="inlineStr">
        <is>
          <t>440477</t>
        </is>
      </c>
      <c r="C379" s="658" t="n">
        <v>41863</v>
      </c>
      <c r="D379" s="681" t="n">
        <v>84.08</v>
      </c>
      <c r="E379" s="11" t="inlineStr">
        <is>
          <t>S G L CAMBODIA</t>
        </is>
      </c>
      <c r="F379" s="10" t="inlineStr">
        <is>
          <t>100119816</t>
        </is>
      </c>
      <c r="G379" s="24" t="inlineStr">
        <is>
          <t>440477</t>
        </is>
      </c>
      <c r="H379" s="658" t="n">
        <v>41863</v>
      </c>
      <c r="I379" s="681" t="n">
        <v>84.08</v>
      </c>
      <c r="J379" s="9" t="n"/>
    </row>
    <row r="380" ht="18" customHeight="1" s="397">
      <c r="A380" s="33" t="n">
        <v>377</v>
      </c>
      <c r="B380" s="24" t="inlineStr">
        <is>
          <t>440491</t>
        </is>
      </c>
      <c r="C380" s="658" t="n">
        <v>41863</v>
      </c>
      <c r="D380" s="681" t="n">
        <v>28.4</v>
      </c>
      <c r="E380" s="11" t="inlineStr">
        <is>
          <t>S G L CAMBODIA</t>
        </is>
      </c>
      <c r="F380" s="10" t="inlineStr">
        <is>
          <t>100119816</t>
        </is>
      </c>
      <c r="G380" s="24" t="inlineStr">
        <is>
          <t>440491</t>
        </is>
      </c>
      <c r="H380" s="658" t="n">
        <v>41863</v>
      </c>
      <c r="I380" s="681" t="n">
        <v>28.4</v>
      </c>
      <c r="J380" s="9" t="n"/>
    </row>
    <row r="381" ht="18" customHeight="1" s="397">
      <c r="A381" s="33" t="n">
        <v>378</v>
      </c>
      <c r="B381" s="24" t="inlineStr">
        <is>
          <t>440499</t>
        </is>
      </c>
      <c r="C381" s="658" t="n">
        <v>41863</v>
      </c>
      <c r="D381" s="681" t="n">
        <v>23.09</v>
      </c>
      <c r="E381" s="11" t="inlineStr">
        <is>
          <t>S G L CAMBODIA</t>
        </is>
      </c>
      <c r="F381" s="10" t="inlineStr">
        <is>
          <t>100119816</t>
        </is>
      </c>
      <c r="G381" s="24" t="inlineStr">
        <is>
          <t>440499</t>
        </is>
      </c>
      <c r="H381" s="658" t="n">
        <v>41863</v>
      </c>
      <c r="I381" s="681" t="n">
        <v>23.09</v>
      </c>
      <c r="J381" s="9" t="n"/>
    </row>
    <row r="382" ht="18" customHeight="1" s="397">
      <c r="A382" s="33" t="n">
        <v>379</v>
      </c>
      <c r="B382" s="24" t="inlineStr">
        <is>
          <t>440574</t>
        </is>
      </c>
      <c r="C382" s="658" t="n">
        <v>41869</v>
      </c>
      <c r="D382" s="681" t="n">
        <v>33.19</v>
      </c>
      <c r="E382" s="11" t="inlineStr">
        <is>
          <t>S G L CAMBODIA</t>
        </is>
      </c>
      <c r="F382" s="10" t="inlineStr">
        <is>
          <t>100119816</t>
        </is>
      </c>
      <c r="G382" s="24" t="inlineStr">
        <is>
          <t>440574</t>
        </is>
      </c>
      <c r="H382" s="658" t="n">
        <v>41869</v>
      </c>
      <c r="I382" s="681" t="n">
        <v>33.19</v>
      </c>
      <c r="J382" s="9" t="n"/>
    </row>
    <row r="383" ht="18" customHeight="1" s="397">
      <c r="A383" s="33" t="n">
        <v>380</v>
      </c>
      <c r="B383" s="24" t="inlineStr">
        <is>
          <t>440583</t>
        </is>
      </c>
      <c r="C383" s="658" t="n">
        <v>41869</v>
      </c>
      <c r="D383" s="681" t="n">
        <v>35.99</v>
      </c>
      <c r="E383" s="11" t="inlineStr">
        <is>
          <t>S G L CAMBODIA</t>
        </is>
      </c>
      <c r="F383" s="10" t="inlineStr">
        <is>
          <t>100119816</t>
        </is>
      </c>
      <c r="G383" s="24" t="inlineStr">
        <is>
          <t>440583</t>
        </is>
      </c>
      <c r="H383" s="658" t="n">
        <v>41869</v>
      </c>
      <c r="I383" s="681" t="n">
        <v>35.99</v>
      </c>
      <c r="J383" s="9" t="n"/>
    </row>
    <row r="384" ht="18" customHeight="1" s="397">
      <c r="A384" s="33" t="n">
        <v>381</v>
      </c>
      <c r="B384" s="24" t="inlineStr">
        <is>
          <t>440684</t>
        </is>
      </c>
      <c r="C384" s="658" t="n">
        <v>41876</v>
      </c>
      <c r="D384" s="681" t="n">
        <v>33.26</v>
      </c>
      <c r="E384" s="11" t="inlineStr">
        <is>
          <t>S G L CAMBODIA</t>
        </is>
      </c>
      <c r="F384" s="10" t="inlineStr">
        <is>
          <t>100119816</t>
        </is>
      </c>
      <c r="G384" s="24" t="inlineStr">
        <is>
          <t>440684</t>
        </is>
      </c>
      <c r="H384" s="658" t="n">
        <v>41876</v>
      </c>
      <c r="I384" s="681" t="n">
        <v>33.26</v>
      </c>
      <c r="J384" s="9" t="n"/>
    </row>
    <row r="385" ht="18" customHeight="1" s="397">
      <c r="A385" s="33" t="n">
        <v>382</v>
      </c>
      <c r="B385" s="24" t="inlineStr">
        <is>
          <t>440697</t>
        </is>
      </c>
      <c r="C385" s="658" t="n">
        <v>41876</v>
      </c>
      <c r="D385" s="681" t="n">
        <v>22.3</v>
      </c>
      <c r="E385" s="11" t="inlineStr">
        <is>
          <t>S G L CAMBODIA</t>
        </is>
      </c>
      <c r="F385" s="10" t="inlineStr">
        <is>
          <t>100119816</t>
        </is>
      </c>
      <c r="G385" s="24" t="inlineStr">
        <is>
          <t>440697</t>
        </is>
      </c>
      <c r="H385" s="658" t="n">
        <v>41876</v>
      </c>
      <c r="I385" s="681" t="n">
        <v>22.3</v>
      </c>
      <c r="J385" s="9" t="n"/>
    </row>
    <row r="386" ht="18" customHeight="1" s="397">
      <c r="A386" s="33" t="n">
        <v>383</v>
      </c>
      <c r="B386" s="24" t="inlineStr">
        <is>
          <t>440731</t>
        </is>
      </c>
      <c r="C386" s="658" t="n">
        <v>41876</v>
      </c>
      <c r="D386" s="681" t="n">
        <v>5</v>
      </c>
      <c r="E386" s="11" t="inlineStr">
        <is>
          <t>S G L CAMBODIA</t>
        </is>
      </c>
      <c r="F386" s="10" t="inlineStr">
        <is>
          <t>100119816</t>
        </is>
      </c>
      <c r="G386" s="24" t="inlineStr">
        <is>
          <t>440731</t>
        </is>
      </c>
      <c r="H386" s="658" t="n">
        <v>41876</v>
      </c>
      <c r="I386" s="681" t="n">
        <v>5</v>
      </c>
      <c r="J386" s="9" t="n"/>
    </row>
    <row r="387" ht="18" customHeight="1" s="397">
      <c r="A387" s="33" t="n">
        <v>384</v>
      </c>
      <c r="B387" s="24" t="inlineStr">
        <is>
          <t>440732</t>
        </is>
      </c>
      <c r="C387" s="658" t="n">
        <v>41876</v>
      </c>
      <c r="D387" s="681" t="n">
        <v>5</v>
      </c>
      <c r="E387" s="11" t="inlineStr">
        <is>
          <t>S G L CAMBODIA</t>
        </is>
      </c>
      <c r="F387" s="10" t="inlineStr">
        <is>
          <t>100119816</t>
        </is>
      </c>
      <c r="G387" s="24" t="inlineStr">
        <is>
          <t>440732</t>
        </is>
      </c>
      <c r="H387" s="658" t="n">
        <v>41876</v>
      </c>
      <c r="I387" s="681" t="n">
        <v>5</v>
      </c>
      <c r="J387" s="9" t="n"/>
    </row>
    <row r="388" ht="18" customHeight="1" s="397">
      <c r="A388" s="33" t="n">
        <v>385</v>
      </c>
      <c r="B388" s="24" t="inlineStr">
        <is>
          <t>440769</t>
        </is>
      </c>
      <c r="C388" s="658" t="n">
        <v>41877</v>
      </c>
      <c r="D388" s="681" t="n">
        <v>38.77</v>
      </c>
      <c r="E388" s="11" t="inlineStr">
        <is>
          <t>S G L CAMBODIA</t>
        </is>
      </c>
      <c r="F388" s="10" t="inlineStr">
        <is>
          <t>100119816</t>
        </is>
      </c>
      <c r="G388" s="24" t="inlineStr">
        <is>
          <t>440769</t>
        </is>
      </c>
      <c r="H388" s="658" t="n">
        <v>41877</v>
      </c>
      <c r="I388" s="681" t="n">
        <v>38.77</v>
      </c>
      <c r="J388" s="9" t="n"/>
    </row>
    <row r="389" ht="18" customHeight="1" s="397">
      <c r="A389" s="33" t="n">
        <v>386</v>
      </c>
      <c r="B389" s="24" t="inlineStr">
        <is>
          <t>440797</t>
        </is>
      </c>
      <c r="C389" s="658" t="n">
        <v>41877</v>
      </c>
      <c r="D389" s="681" t="n">
        <v>5</v>
      </c>
      <c r="E389" s="11" t="inlineStr">
        <is>
          <t>S G L CAMBODIA</t>
        </is>
      </c>
      <c r="F389" s="10" t="inlineStr">
        <is>
          <t>100119816</t>
        </is>
      </c>
      <c r="G389" s="24" t="inlineStr">
        <is>
          <t>440797</t>
        </is>
      </c>
      <c r="H389" s="658" t="n">
        <v>41877</v>
      </c>
      <c r="I389" s="681" t="n">
        <v>5</v>
      </c>
      <c r="J389" s="9" t="n"/>
    </row>
    <row r="390" ht="18" customHeight="1" s="397">
      <c r="A390" s="33" t="n">
        <v>387</v>
      </c>
      <c r="B390" s="24" t="inlineStr">
        <is>
          <t>440865</t>
        </is>
      </c>
      <c r="C390" s="658" t="n">
        <v>41881</v>
      </c>
      <c r="D390" s="681" t="n">
        <v>42.84</v>
      </c>
      <c r="E390" s="11" t="inlineStr">
        <is>
          <t>S G L CAMBODIA</t>
        </is>
      </c>
      <c r="F390" s="10" t="inlineStr">
        <is>
          <t>100119816</t>
        </is>
      </c>
      <c r="G390" s="24" t="inlineStr">
        <is>
          <t>440865</t>
        </is>
      </c>
      <c r="H390" s="658" t="n">
        <v>41881</v>
      </c>
      <c r="I390" s="681" t="n">
        <v>42.84</v>
      </c>
      <c r="J390" s="9" t="n"/>
    </row>
    <row r="391" ht="18" customHeight="1" s="397">
      <c r="A391" s="33" t="n">
        <v>388</v>
      </c>
      <c r="B391" s="24" t="inlineStr">
        <is>
          <t>440867</t>
        </is>
      </c>
      <c r="C391" s="658" t="n">
        <v>41881</v>
      </c>
      <c r="D391" s="681" t="n">
        <v>5</v>
      </c>
      <c r="E391" s="11" t="inlineStr">
        <is>
          <t>S G L CAMBODIA</t>
        </is>
      </c>
      <c r="F391" s="10" t="inlineStr">
        <is>
          <t>100119816</t>
        </is>
      </c>
      <c r="G391" s="24" t="inlineStr">
        <is>
          <t>440867</t>
        </is>
      </c>
      <c r="H391" s="658" t="n">
        <v>41881</v>
      </c>
      <c r="I391" s="681" t="n">
        <v>5</v>
      </c>
      <c r="J391" s="9" t="n"/>
    </row>
    <row r="392" ht="18" customHeight="1" s="397">
      <c r="A392" s="33" t="n">
        <v>389</v>
      </c>
      <c r="B392" s="24" t="inlineStr">
        <is>
          <t>440869</t>
        </is>
      </c>
      <c r="C392" s="658" t="n">
        <v>41881</v>
      </c>
      <c r="D392" s="681" t="n">
        <v>5</v>
      </c>
      <c r="E392" s="11" t="inlineStr">
        <is>
          <t>S G L CAMBODIA</t>
        </is>
      </c>
      <c r="F392" s="10" t="inlineStr">
        <is>
          <t>100119816</t>
        </is>
      </c>
      <c r="G392" s="24" t="inlineStr">
        <is>
          <t>440869</t>
        </is>
      </c>
      <c r="H392" s="658" t="n">
        <v>41881</v>
      </c>
      <c r="I392" s="681" t="n">
        <v>5</v>
      </c>
      <c r="J392" s="9" t="n"/>
    </row>
    <row r="393" ht="18" customHeight="1" s="397">
      <c r="A393" s="33" t="n">
        <v>390</v>
      </c>
      <c r="B393" s="24" t="inlineStr">
        <is>
          <t>440881</t>
        </is>
      </c>
      <c r="C393" s="658" t="n">
        <v>41881</v>
      </c>
      <c r="D393" s="681" t="n">
        <v>5</v>
      </c>
      <c r="E393" s="11" t="inlineStr">
        <is>
          <t>S G L CAMBODIA</t>
        </is>
      </c>
      <c r="F393" s="10" t="inlineStr">
        <is>
          <t>100119816</t>
        </is>
      </c>
      <c r="G393" s="24" t="inlineStr">
        <is>
          <t>440881</t>
        </is>
      </c>
      <c r="H393" s="658" t="n">
        <v>41881</v>
      </c>
      <c r="I393" s="681" t="n">
        <v>5</v>
      </c>
      <c r="J393" s="9" t="n"/>
    </row>
    <row r="394" ht="18" customHeight="1" s="397">
      <c r="A394" s="33" t="n">
        <v>391</v>
      </c>
      <c r="B394" s="24" t="inlineStr">
        <is>
          <t>440885</t>
        </is>
      </c>
      <c r="C394" s="658" t="n">
        <v>41882</v>
      </c>
      <c r="D394" s="681" t="n">
        <v>23.84</v>
      </c>
      <c r="E394" s="11" t="inlineStr">
        <is>
          <t>S G L CAMBODIA</t>
        </is>
      </c>
      <c r="F394" s="10" t="inlineStr">
        <is>
          <t>100119816</t>
        </is>
      </c>
      <c r="G394" s="24" t="inlineStr">
        <is>
          <t>440885</t>
        </is>
      </c>
      <c r="H394" s="658" t="n">
        <v>41882</v>
      </c>
      <c r="I394" s="681" t="n">
        <v>23.84</v>
      </c>
      <c r="J394" s="9" t="n"/>
    </row>
    <row r="395" ht="18" customHeight="1" s="397">
      <c r="A395" s="33" t="n">
        <v>392</v>
      </c>
      <c r="B395" s="24" t="inlineStr">
        <is>
          <t>440893</t>
        </is>
      </c>
      <c r="C395" s="658" t="n">
        <v>41882</v>
      </c>
      <c r="D395" s="681" t="n">
        <v>40.29</v>
      </c>
      <c r="E395" s="11" t="inlineStr">
        <is>
          <t>S G L CAMBODIA</t>
        </is>
      </c>
      <c r="F395" s="10" t="inlineStr">
        <is>
          <t>100119816</t>
        </is>
      </c>
      <c r="G395" s="24" t="inlineStr">
        <is>
          <t>440893</t>
        </is>
      </c>
      <c r="H395" s="658" t="n">
        <v>41882</v>
      </c>
      <c r="I395" s="681" t="n">
        <v>40.29</v>
      </c>
      <c r="J395" s="9" t="n"/>
    </row>
    <row r="396" ht="18" customHeight="1" s="397">
      <c r="A396" s="33" t="n">
        <v>393</v>
      </c>
      <c r="B396" s="24" t="inlineStr">
        <is>
          <t>441008</t>
        </is>
      </c>
      <c r="C396" s="658" t="n">
        <v>41890</v>
      </c>
      <c r="D396" s="681" t="n">
        <v>29.84</v>
      </c>
      <c r="E396" s="11" t="inlineStr">
        <is>
          <t>S G L CAMBODIA</t>
        </is>
      </c>
      <c r="F396" s="10" t="inlineStr">
        <is>
          <t>100119816</t>
        </is>
      </c>
      <c r="G396" s="24" t="inlineStr">
        <is>
          <t>441008</t>
        </is>
      </c>
      <c r="H396" s="658" t="n">
        <v>41890</v>
      </c>
      <c r="I396" s="681" t="n">
        <v>29.84</v>
      </c>
      <c r="J396" s="9" t="n"/>
    </row>
    <row r="397" ht="18" customHeight="1" s="397">
      <c r="A397" s="33" t="n">
        <v>394</v>
      </c>
      <c r="B397" s="24" t="inlineStr">
        <is>
          <t>441055</t>
        </is>
      </c>
      <c r="C397" s="658" t="n">
        <v>41891</v>
      </c>
      <c r="D397" s="681" t="n">
        <v>25.19</v>
      </c>
      <c r="E397" s="11" t="inlineStr">
        <is>
          <t>S G L CAMBODIA</t>
        </is>
      </c>
      <c r="F397" s="10" t="inlineStr">
        <is>
          <t>100119816</t>
        </is>
      </c>
      <c r="G397" s="24" t="inlineStr">
        <is>
          <t>441055</t>
        </is>
      </c>
      <c r="H397" s="658" t="n">
        <v>41891</v>
      </c>
      <c r="I397" s="681" t="n">
        <v>25.19</v>
      </c>
      <c r="J397" s="9" t="n"/>
    </row>
    <row r="398" ht="18" customHeight="1" s="397">
      <c r="A398" s="33" t="n">
        <v>395</v>
      </c>
      <c r="B398" s="24" t="inlineStr">
        <is>
          <t>441141</t>
        </is>
      </c>
      <c r="C398" s="658" t="n">
        <v>41891</v>
      </c>
      <c r="D398" s="681" t="n">
        <v>22.58</v>
      </c>
      <c r="E398" s="11" t="inlineStr">
        <is>
          <t>S G L CAMBODIA</t>
        </is>
      </c>
      <c r="F398" s="10" t="inlineStr">
        <is>
          <t>100119816</t>
        </is>
      </c>
      <c r="G398" s="24" t="inlineStr">
        <is>
          <t>441141</t>
        </is>
      </c>
      <c r="H398" s="658" t="n">
        <v>41891</v>
      </c>
      <c r="I398" s="681" t="n">
        <v>22.58</v>
      </c>
      <c r="J398" s="9" t="n"/>
    </row>
    <row r="399" ht="18" customHeight="1" s="397">
      <c r="A399" s="33" t="n">
        <v>396</v>
      </c>
      <c r="B399" s="24" t="inlineStr">
        <is>
          <t>441166</t>
        </is>
      </c>
      <c r="C399" s="658" t="n">
        <v>41891</v>
      </c>
      <c r="D399" s="681" t="n">
        <v>55.57</v>
      </c>
      <c r="E399" s="11" t="inlineStr">
        <is>
          <t>S G L CAMBODIA</t>
        </is>
      </c>
      <c r="F399" s="10" t="inlineStr">
        <is>
          <t>100119816</t>
        </is>
      </c>
      <c r="G399" s="24" t="inlineStr">
        <is>
          <t>441166</t>
        </is>
      </c>
      <c r="H399" s="658" t="n">
        <v>41891</v>
      </c>
      <c r="I399" s="681" t="n">
        <v>55.57</v>
      </c>
      <c r="J399" s="9" t="n"/>
    </row>
    <row r="400" ht="18" customHeight="1" s="397">
      <c r="A400" s="33" t="n">
        <v>397</v>
      </c>
      <c r="B400" s="24" t="inlineStr">
        <is>
          <t>441174</t>
        </is>
      </c>
      <c r="C400" s="658" t="n">
        <v>41891</v>
      </c>
      <c r="D400" s="681" t="n">
        <v>41.18</v>
      </c>
      <c r="E400" s="11" t="inlineStr">
        <is>
          <t>S G L CAMBODIA</t>
        </is>
      </c>
      <c r="F400" s="10" t="inlineStr">
        <is>
          <t>100119816</t>
        </is>
      </c>
      <c r="G400" s="24" t="inlineStr">
        <is>
          <t>441174</t>
        </is>
      </c>
      <c r="H400" s="658" t="n">
        <v>41891</v>
      </c>
      <c r="I400" s="681" t="n">
        <v>41.18</v>
      </c>
      <c r="J400" s="9" t="n"/>
    </row>
    <row r="401" ht="18" customHeight="1" s="397">
      <c r="A401" s="33" t="n">
        <v>398</v>
      </c>
      <c r="B401" s="24" t="inlineStr">
        <is>
          <t>441180</t>
        </is>
      </c>
      <c r="C401" s="658" t="n">
        <v>41891</v>
      </c>
      <c r="D401" s="681" t="n">
        <v>28.4</v>
      </c>
      <c r="E401" s="11" t="inlineStr">
        <is>
          <t>S G L CAMBODIA</t>
        </is>
      </c>
      <c r="F401" s="10" t="inlineStr">
        <is>
          <t>100119816</t>
        </is>
      </c>
      <c r="G401" s="24" t="inlineStr">
        <is>
          <t>441180</t>
        </is>
      </c>
      <c r="H401" s="658" t="n">
        <v>41891</v>
      </c>
      <c r="I401" s="681" t="n">
        <v>28.4</v>
      </c>
      <c r="J401" s="9" t="n"/>
    </row>
    <row r="402" ht="18" customHeight="1" s="397">
      <c r="A402" s="33" t="n">
        <v>399</v>
      </c>
      <c r="B402" s="24" t="inlineStr">
        <is>
          <t>441248</t>
        </is>
      </c>
      <c r="C402" s="658" t="n">
        <v>41896</v>
      </c>
      <c r="D402" s="681" t="n">
        <v>24.08</v>
      </c>
      <c r="E402" s="11" t="inlineStr">
        <is>
          <t>S G L CAMBODIA</t>
        </is>
      </c>
      <c r="F402" s="10" t="inlineStr">
        <is>
          <t>100119816</t>
        </is>
      </c>
      <c r="G402" s="24" t="inlineStr">
        <is>
          <t>441248</t>
        </is>
      </c>
      <c r="H402" s="658" t="n">
        <v>41896</v>
      </c>
      <c r="I402" s="681" t="n">
        <v>24.08</v>
      </c>
      <c r="J402" s="9" t="n"/>
    </row>
    <row r="403" ht="18" customHeight="1" s="397">
      <c r="A403" s="33" t="n">
        <v>400</v>
      </c>
      <c r="B403" s="24" t="inlineStr">
        <is>
          <t>441292</t>
        </is>
      </c>
      <c r="C403" s="658" t="n">
        <v>41897</v>
      </c>
      <c r="D403" s="681" t="n">
        <v>26.6</v>
      </c>
      <c r="E403" s="11" t="inlineStr">
        <is>
          <t>S G L CAMBODIA</t>
        </is>
      </c>
      <c r="F403" s="10" t="inlineStr">
        <is>
          <t>100119816</t>
        </is>
      </c>
      <c r="G403" s="24" t="inlineStr">
        <is>
          <t>441292</t>
        </is>
      </c>
      <c r="H403" s="658" t="n">
        <v>41897</v>
      </c>
      <c r="I403" s="681" t="n">
        <v>26.6</v>
      </c>
      <c r="J403" s="9" t="n"/>
    </row>
    <row r="404" ht="18" customHeight="1" s="397">
      <c r="A404" s="33" t="n">
        <v>401</v>
      </c>
      <c r="B404" s="24" t="inlineStr">
        <is>
          <t>441333</t>
        </is>
      </c>
      <c r="C404" s="658" t="n">
        <v>41898</v>
      </c>
      <c r="D404" s="681" t="n">
        <v>5</v>
      </c>
      <c r="E404" s="11" t="inlineStr">
        <is>
          <t>S G L CAMBODIA</t>
        </is>
      </c>
      <c r="F404" s="10" t="inlineStr">
        <is>
          <t>100119816</t>
        </is>
      </c>
      <c r="G404" s="24" t="inlineStr">
        <is>
          <t>441333</t>
        </is>
      </c>
      <c r="H404" s="658" t="n">
        <v>41898</v>
      </c>
      <c r="I404" s="681" t="n">
        <v>5</v>
      </c>
      <c r="J404" s="9" t="n"/>
    </row>
    <row r="405" ht="18" customHeight="1" s="397">
      <c r="A405" s="33" t="n">
        <v>402</v>
      </c>
      <c r="B405" s="24" t="inlineStr">
        <is>
          <t>441336</t>
        </is>
      </c>
      <c r="C405" s="658" t="n">
        <v>41898</v>
      </c>
      <c r="D405" s="681" t="n">
        <v>5</v>
      </c>
      <c r="E405" s="11" t="inlineStr">
        <is>
          <t>S G L CAMBODIA</t>
        </is>
      </c>
      <c r="F405" s="10" t="inlineStr">
        <is>
          <t>100119816</t>
        </is>
      </c>
      <c r="G405" s="24" t="inlineStr">
        <is>
          <t>441336</t>
        </is>
      </c>
      <c r="H405" s="658" t="n">
        <v>41898</v>
      </c>
      <c r="I405" s="681" t="n">
        <v>5</v>
      </c>
      <c r="J405" s="9" t="n"/>
    </row>
    <row r="406" ht="18" customHeight="1" s="397">
      <c r="A406" s="33" t="n">
        <v>403</v>
      </c>
      <c r="B406" s="24" t="inlineStr">
        <is>
          <t>441377</t>
        </is>
      </c>
      <c r="C406" s="658" t="n">
        <v>41898</v>
      </c>
      <c r="D406" s="681" t="n">
        <v>37.96</v>
      </c>
      <c r="E406" s="11" t="inlineStr">
        <is>
          <t>S G L CAMBODIA</t>
        </is>
      </c>
      <c r="F406" s="10" t="inlineStr">
        <is>
          <t>100119816</t>
        </is>
      </c>
      <c r="G406" s="24" t="inlineStr">
        <is>
          <t>441377</t>
        </is>
      </c>
      <c r="H406" s="658" t="n">
        <v>41898</v>
      </c>
      <c r="I406" s="681" t="n">
        <v>37.96</v>
      </c>
      <c r="J406" s="9" t="n"/>
    </row>
    <row r="407" ht="18" customHeight="1" s="397">
      <c r="A407" s="33" t="n">
        <v>404</v>
      </c>
      <c r="B407" s="24" t="inlineStr">
        <is>
          <t>441389</t>
        </is>
      </c>
      <c r="C407" s="658" t="n">
        <v>41898</v>
      </c>
      <c r="D407" s="681" t="n">
        <v>34.93</v>
      </c>
      <c r="E407" s="11" t="inlineStr">
        <is>
          <t>S G L CAMBODIA</t>
        </is>
      </c>
      <c r="F407" s="10" t="inlineStr">
        <is>
          <t>100119816</t>
        </is>
      </c>
      <c r="G407" s="24" t="inlineStr">
        <is>
          <t>441389</t>
        </is>
      </c>
      <c r="H407" s="658" t="n">
        <v>41898</v>
      </c>
      <c r="I407" s="681" t="n">
        <v>34.93</v>
      </c>
      <c r="J407" s="9" t="n"/>
    </row>
    <row r="408" ht="18" customHeight="1" s="397">
      <c r="A408" s="33" t="n">
        <v>405</v>
      </c>
      <c r="B408" s="24" t="inlineStr">
        <is>
          <t>441409</t>
        </is>
      </c>
      <c r="C408" s="658" t="n">
        <v>41898</v>
      </c>
      <c r="D408" s="681" t="n">
        <v>22.3</v>
      </c>
      <c r="E408" s="11" t="inlineStr">
        <is>
          <t>S G L CAMBODIA</t>
        </is>
      </c>
      <c r="F408" s="10" t="inlineStr">
        <is>
          <t>100119816</t>
        </is>
      </c>
      <c r="G408" s="24" t="inlineStr">
        <is>
          <t>441409</t>
        </is>
      </c>
      <c r="H408" s="658" t="n">
        <v>41898</v>
      </c>
      <c r="I408" s="681" t="n">
        <v>22.3</v>
      </c>
      <c r="J408" s="9" t="n"/>
    </row>
    <row r="409" ht="18" customHeight="1" s="397">
      <c r="A409" s="33" t="n">
        <v>406</v>
      </c>
      <c r="B409" s="24" t="inlineStr">
        <is>
          <t>441411</t>
        </is>
      </c>
      <c r="C409" s="658" t="n">
        <v>41899</v>
      </c>
      <c r="D409" s="681" t="n">
        <v>5</v>
      </c>
      <c r="E409" s="11" t="inlineStr">
        <is>
          <t>S G L CAMBODIA</t>
        </is>
      </c>
      <c r="F409" s="10" t="inlineStr">
        <is>
          <t>100119816</t>
        </is>
      </c>
      <c r="G409" s="24" t="inlineStr">
        <is>
          <t>441411</t>
        </is>
      </c>
      <c r="H409" s="658" t="n">
        <v>41899</v>
      </c>
      <c r="I409" s="681" t="n">
        <v>5</v>
      </c>
      <c r="J409" s="9" t="n"/>
    </row>
    <row r="410" ht="18" customHeight="1" s="397">
      <c r="A410" s="33" t="n">
        <v>407</v>
      </c>
      <c r="B410" s="24" t="inlineStr">
        <is>
          <t>1441481</t>
        </is>
      </c>
      <c r="C410" s="658" t="n">
        <v>41907</v>
      </c>
      <c r="D410" s="681" t="n">
        <v>25.55</v>
      </c>
      <c r="E410" s="11" t="inlineStr">
        <is>
          <t>S G L CAMBODIA</t>
        </is>
      </c>
      <c r="F410" s="10" t="inlineStr">
        <is>
          <t>100119816</t>
        </is>
      </c>
      <c r="G410" s="24" t="inlineStr">
        <is>
          <t>1441481</t>
        </is>
      </c>
      <c r="H410" s="658" t="n">
        <v>41907</v>
      </c>
      <c r="I410" s="681" t="n">
        <v>25.55</v>
      </c>
      <c r="J410" s="9" t="n"/>
    </row>
    <row r="411" ht="18" customHeight="1" s="397">
      <c r="A411" s="33" t="n">
        <v>408</v>
      </c>
      <c r="B411" s="24" t="inlineStr">
        <is>
          <t>441617</t>
        </is>
      </c>
      <c r="C411" s="658" t="n">
        <v>41911</v>
      </c>
      <c r="D411" s="681" t="n">
        <v>5</v>
      </c>
      <c r="E411" s="11" t="inlineStr">
        <is>
          <t>S G L CAMBODIA</t>
        </is>
      </c>
      <c r="F411" s="10" t="inlineStr">
        <is>
          <t>100119816</t>
        </is>
      </c>
      <c r="G411" s="24" t="inlineStr">
        <is>
          <t>441617</t>
        </is>
      </c>
      <c r="H411" s="658" t="n">
        <v>41911</v>
      </c>
      <c r="I411" s="681" t="n">
        <v>5</v>
      </c>
      <c r="J411" s="9" t="n"/>
    </row>
    <row r="412" ht="18" customHeight="1" s="397">
      <c r="A412" s="33" t="n">
        <v>409</v>
      </c>
      <c r="B412" s="24" t="inlineStr">
        <is>
          <t>441699</t>
        </is>
      </c>
      <c r="C412" s="658" t="n">
        <v>41912</v>
      </c>
      <c r="D412" s="681" t="n">
        <v>22.3</v>
      </c>
      <c r="E412" s="11" t="inlineStr">
        <is>
          <t>S G L CAMBODIA</t>
        </is>
      </c>
      <c r="F412" s="10" t="inlineStr">
        <is>
          <t>100119816</t>
        </is>
      </c>
      <c r="G412" s="24" t="inlineStr">
        <is>
          <t>441699</t>
        </is>
      </c>
      <c r="H412" s="658" t="n">
        <v>41912</v>
      </c>
      <c r="I412" s="681" t="n">
        <v>22.3</v>
      </c>
      <c r="J412" s="9" t="n"/>
    </row>
    <row r="413" ht="18" customHeight="1" s="397">
      <c r="A413" s="33" t="n">
        <v>410</v>
      </c>
      <c r="B413" s="24" t="inlineStr">
        <is>
          <t>441709</t>
        </is>
      </c>
      <c r="C413" s="658" t="n">
        <v>41912</v>
      </c>
      <c r="D413" s="681" t="n">
        <v>22.3</v>
      </c>
      <c r="E413" s="11" t="inlineStr">
        <is>
          <t>S G L CAMBODIA</t>
        </is>
      </c>
      <c r="F413" s="10" t="inlineStr">
        <is>
          <t>100119816</t>
        </is>
      </c>
      <c r="G413" s="24" t="inlineStr">
        <is>
          <t>441709</t>
        </is>
      </c>
      <c r="H413" s="658" t="n">
        <v>41912</v>
      </c>
      <c r="I413" s="681" t="n">
        <v>22.3</v>
      </c>
      <c r="J413" s="9" t="n"/>
    </row>
    <row r="414" ht="18" customHeight="1" s="397">
      <c r="A414" s="33" t="n">
        <v>411</v>
      </c>
      <c r="B414" s="24" t="inlineStr">
        <is>
          <t>441792</t>
        </is>
      </c>
      <c r="C414" s="658" t="n">
        <v>41919</v>
      </c>
      <c r="D414" s="681" t="n">
        <v>5</v>
      </c>
      <c r="E414" s="11" t="inlineStr">
        <is>
          <t>S G L CAMBODIA</t>
        </is>
      </c>
      <c r="F414" s="10" t="inlineStr">
        <is>
          <t>100119816</t>
        </is>
      </c>
      <c r="G414" s="24" t="inlineStr">
        <is>
          <t>441792</t>
        </is>
      </c>
      <c r="H414" s="658" t="n">
        <v>41919</v>
      </c>
      <c r="I414" s="681" t="n">
        <v>5</v>
      </c>
      <c r="J414" s="9" t="n"/>
    </row>
    <row r="415" ht="18" customHeight="1" s="397">
      <c r="A415" s="33" t="n">
        <v>412</v>
      </c>
      <c r="B415" s="24" t="inlineStr">
        <is>
          <t>441814</t>
        </is>
      </c>
      <c r="C415" s="658" t="n">
        <v>41919</v>
      </c>
      <c r="D415" s="681" t="n">
        <v>63.66</v>
      </c>
      <c r="E415" s="11" t="inlineStr">
        <is>
          <t>S G L CAMBODIA</t>
        </is>
      </c>
      <c r="F415" s="10" t="inlineStr">
        <is>
          <t>100119816</t>
        </is>
      </c>
      <c r="G415" s="24" t="inlineStr">
        <is>
          <t>441814</t>
        </is>
      </c>
      <c r="H415" s="658" t="n">
        <v>41919</v>
      </c>
      <c r="I415" s="681" t="n">
        <v>63.66</v>
      </c>
      <c r="J415" s="9" t="n"/>
    </row>
    <row r="416" ht="18" customHeight="1" s="397">
      <c r="A416" s="33" t="n">
        <v>413</v>
      </c>
      <c r="B416" s="24" t="inlineStr">
        <is>
          <t>441903</t>
        </is>
      </c>
      <c r="C416" s="658" t="n">
        <v>41920</v>
      </c>
      <c r="D416" s="681" t="n">
        <v>34.37</v>
      </c>
      <c r="E416" s="11" t="inlineStr">
        <is>
          <t>S G L CAMBODIA</t>
        </is>
      </c>
      <c r="F416" s="10" t="inlineStr">
        <is>
          <t>100119816</t>
        </is>
      </c>
      <c r="G416" s="24" t="inlineStr">
        <is>
          <t>441903</t>
        </is>
      </c>
      <c r="H416" s="658" t="n">
        <v>41920</v>
      </c>
      <c r="I416" s="681" t="n">
        <v>34.37</v>
      </c>
      <c r="J416" s="9" t="n"/>
    </row>
    <row r="417" ht="18" customHeight="1" s="397">
      <c r="A417" s="33" t="n">
        <v>414</v>
      </c>
      <c r="B417" s="24" t="inlineStr">
        <is>
          <t>442029</t>
        </is>
      </c>
      <c r="C417" s="658" t="n">
        <v>41921</v>
      </c>
      <c r="D417" s="681" t="n">
        <v>26.6</v>
      </c>
      <c r="E417" s="11" t="inlineStr">
        <is>
          <t>S G L CAMBODIA</t>
        </is>
      </c>
      <c r="F417" s="10" t="inlineStr">
        <is>
          <t>100119816</t>
        </is>
      </c>
      <c r="G417" s="24" t="inlineStr">
        <is>
          <t>442029</t>
        </is>
      </c>
      <c r="H417" s="658" t="n">
        <v>41921</v>
      </c>
      <c r="I417" s="681" t="n">
        <v>26.6</v>
      </c>
      <c r="J417" s="9" t="n"/>
    </row>
    <row r="418" ht="18" customHeight="1" s="397">
      <c r="A418" s="33" t="n">
        <v>415</v>
      </c>
      <c r="B418" s="24" t="inlineStr">
        <is>
          <t>442034</t>
        </is>
      </c>
      <c r="C418" s="658" t="n">
        <v>41921</v>
      </c>
      <c r="D418" s="681" t="n">
        <v>52.59</v>
      </c>
      <c r="E418" s="11" t="inlineStr">
        <is>
          <t>S G L CAMBODIA</t>
        </is>
      </c>
      <c r="F418" s="10" t="inlineStr">
        <is>
          <t>100119816</t>
        </is>
      </c>
      <c r="G418" s="24" t="inlineStr">
        <is>
          <t>442034</t>
        </is>
      </c>
      <c r="H418" s="658" t="n">
        <v>41921</v>
      </c>
      <c r="I418" s="681" t="n">
        <v>52.59</v>
      </c>
      <c r="J418" s="9" t="n"/>
    </row>
    <row r="419" ht="18" customHeight="1" s="397">
      <c r="A419" s="33" t="n">
        <v>416</v>
      </c>
      <c r="B419" s="24" t="inlineStr">
        <is>
          <t>442120</t>
        </is>
      </c>
      <c r="C419" s="658" t="n">
        <v>41925</v>
      </c>
      <c r="D419" s="681" t="n">
        <v>27.43</v>
      </c>
      <c r="E419" s="11" t="inlineStr">
        <is>
          <t>S G L CAMBODIA</t>
        </is>
      </c>
      <c r="F419" s="10" t="inlineStr">
        <is>
          <t>100119816</t>
        </is>
      </c>
      <c r="G419" s="24" t="inlineStr">
        <is>
          <t>442120</t>
        </is>
      </c>
      <c r="H419" s="658" t="n">
        <v>41925</v>
      </c>
      <c r="I419" s="681" t="n">
        <v>27.43</v>
      </c>
      <c r="J419" s="9" t="n"/>
    </row>
    <row r="420" ht="18" customHeight="1" s="397">
      <c r="A420" s="33" t="n">
        <v>417</v>
      </c>
      <c r="B420" s="24" t="inlineStr">
        <is>
          <t>442106</t>
        </is>
      </c>
      <c r="C420" s="658" t="n">
        <v>41925</v>
      </c>
      <c r="D420" s="681" t="n">
        <v>32.57</v>
      </c>
      <c r="E420" s="11" t="inlineStr">
        <is>
          <t>S G L CAMBODIA</t>
        </is>
      </c>
      <c r="F420" s="10" t="inlineStr">
        <is>
          <t>100119816</t>
        </is>
      </c>
      <c r="G420" s="24" t="inlineStr">
        <is>
          <t>442106</t>
        </is>
      </c>
      <c r="H420" s="658" t="n">
        <v>41925</v>
      </c>
      <c r="I420" s="681" t="n">
        <v>32.57</v>
      </c>
      <c r="J420" s="9" t="n"/>
    </row>
    <row r="421" ht="18" customHeight="1" s="397">
      <c r="A421" s="33" t="n">
        <v>418</v>
      </c>
      <c r="B421" s="24" t="inlineStr">
        <is>
          <t>442136</t>
        </is>
      </c>
      <c r="C421" s="658" t="n">
        <v>41926</v>
      </c>
      <c r="D421" s="681" t="n">
        <v>29.73</v>
      </c>
      <c r="E421" s="11" t="inlineStr">
        <is>
          <t>S G L CAMBODIA</t>
        </is>
      </c>
      <c r="F421" s="10" t="inlineStr">
        <is>
          <t>100119816</t>
        </is>
      </c>
      <c r="G421" s="24" t="inlineStr">
        <is>
          <t>442136</t>
        </is>
      </c>
      <c r="H421" s="658" t="n">
        <v>41926</v>
      </c>
      <c r="I421" s="681" t="n">
        <v>29.73</v>
      </c>
      <c r="J421" s="9" t="n"/>
    </row>
    <row r="422" ht="18" customHeight="1" s="397">
      <c r="A422" s="33" t="n">
        <v>419</v>
      </c>
      <c r="B422" s="24" t="inlineStr">
        <is>
          <t>442142</t>
        </is>
      </c>
      <c r="C422" s="658" t="n">
        <v>41926</v>
      </c>
      <c r="D422" s="681" t="n">
        <v>24.2</v>
      </c>
      <c r="E422" s="11" t="inlineStr">
        <is>
          <t>S G L CAMBODIA</t>
        </is>
      </c>
      <c r="F422" s="10" t="inlineStr">
        <is>
          <t>100119816</t>
        </is>
      </c>
      <c r="G422" s="24" t="inlineStr">
        <is>
          <t>442142</t>
        </is>
      </c>
      <c r="H422" s="658" t="n">
        <v>41926</v>
      </c>
      <c r="I422" s="681" t="n">
        <v>24.2</v>
      </c>
      <c r="J422" s="9" t="n"/>
    </row>
    <row r="423" ht="18" customHeight="1" s="397">
      <c r="A423" s="33" t="n">
        <v>420</v>
      </c>
      <c r="B423" s="24" t="inlineStr">
        <is>
          <t>442176</t>
        </is>
      </c>
      <c r="C423" s="658" t="n">
        <v>41926</v>
      </c>
      <c r="D423" s="681" t="n">
        <v>52.82</v>
      </c>
      <c r="E423" s="11" t="inlineStr">
        <is>
          <t>S G L CAMBODIA</t>
        </is>
      </c>
      <c r="F423" s="10" t="inlineStr">
        <is>
          <t>100119816</t>
        </is>
      </c>
      <c r="G423" s="24" t="inlineStr">
        <is>
          <t>442176</t>
        </is>
      </c>
      <c r="H423" s="658" t="n">
        <v>41926</v>
      </c>
      <c r="I423" s="681" t="n">
        <v>52.82</v>
      </c>
      <c r="J423" s="9" t="n"/>
    </row>
    <row r="424" ht="18" customHeight="1" s="397">
      <c r="A424" s="33" t="n">
        <v>421</v>
      </c>
      <c r="B424" s="24" t="inlineStr">
        <is>
          <t>442270</t>
        </is>
      </c>
      <c r="C424" s="658" t="n">
        <v>41933</v>
      </c>
      <c r="D424" s="681" t="n">
        <v>29.71</v>
      </c>
      <c r="E424" s="11" t="inlineStr">
        <is>
          <t>S G L CAMBODIA</t>
        </is>
      </c>
      <c r="F424" s="10" t="inlineStr">
        <is>
          <t>100119816</t>
        </is>
      </c>
      <c r="G424" s="24" t="inlineStr">
        <is>
          <t>442270</t>
        </is>
      </c>
      <c r="H424" s="658" t="n">
        <v>41933</v>
      </c>
      <c r="I424" s="681" t="n">
        <v>29.71</v>
      </c>
      <c r="J424" s="9" t="n"/>
    </row>
    <row r="425" ht="18" customHeight="1" s="397">
      <c r="A425" s="33" t="n">
        <v>422</v>
      </c>
      <c r="B425" s="24" t="inlineStr">
        <is>
          <t>442297</t>
        </is>
      </c>
      <c r="C425" s="658" t="n">
        <v>41933</v>
      </c>
      <c r="D425" s="681" t="n">
        <v>39.18</v>
      </c>
      <c r="E425" s="11" t="inlineStr">
        <is>
          <t>S G L CAMBODIA</t>
        </is>
      </c>
      <c r="F425" s="10" t="inlineStr">
        <is>
          <t>100119816</t>
        </is>
      </c>
      <c r="G425" s="24" t="inlineStr">
        <is>
          <t>442297</t>
        </is>
      </c>
      <c r="H425" s="658" t="n">
        <v>41933</v>
      </c>
      <c r="I425" s="681" t="n">
        <v>39.18</v>
      </c>
      <c r="J425" s="9" t="n"/>
    </row>
    <row r="426" ht="18" customHeight="1" s="397">
      <c r="A426" s="33" t="n">
        <v>423</v>
      </c>
      <c r="B426" s="24" t="inlineStr">
        <is>
          <t>442490</t>
        </is>
      </c>
      <c r="C426" s="658" t="n">
        <v>41940</v>
      </c>
      <c r="D426" s="681" t="n">
        <v>23.89</v>
      </c>
      <c r="E426" s="11" t="inlineStr">
        <is>
          <t>S G L CAMBODIA</t>
        </is>
      </c>
      <c r="F426" s="10" t="inlineStr">
        <is>
          <t>100119816</t>
        </is>
      </c>
      <c r="G426" s="24" t="inlineStr">
        <is>
          <t>442490</t>
        </is>
      </c>
      <c r="H426" s="658" t="n">
        <v>41940</v>
      </c>
      <c r="I426" s="681" t="n">
        <v>23.89</v>
      </c>
      <c r="J426" s="9" t="n"/>
    </row>
    <row r="427" ht="18" customHeight="1" s="397">
      <c r="A427" s="33" t="n">
        <v>424</v>
      </c>
      <c r="B427" s="24" t="inlineStr">
        <is>
          <t>442594</t>
        </is>
      </c>
      <c r="C427" s="658" t="n">
        <v>41946</v>
      </c>
      <c r="D427" s="681" t="n">
        <v>22.3</v>
      </c>
      <c r="E427" s="11" t="inlineStr">
        <is>
          <t>S G L CAMBODIA</t>
        </is>
      </c>
      <c r="F427" s="10" t="inlineStr">
        <is>
          <t>100119816</t>
        </is>
      </c>
      <c r="G427" s="24" t="inlineStr">
        <is>
          <t>442594</t>
        </is>
      </c>
      <c r="H427" s="658" t="n">
        <v>41946</v>
      </c>
      <c r="I427" s="681" t="n">
        <v>22.3</v>
      </c>
      <c r="J427" s="9" t="n"/>
    </row>
    <row r="428" ht="18" customHeight="1" s="397">
      <c r="A428" s="33" t="n">
        <v>425</v>
      </c>
      <c r="B428" s="24" t="inlineStr">
        <is>
          <t>442640</t>
        </is>
      </c>
      <c r="C428" s="658" t="n">
        <v>41947</v>
      </c>
      <c r="D428" s="681" t="n">
        <v>27.35</v>
      </c>
      <c r="E428" s="11" t="inlineStr">
        <is>
          <t>S G L CAMBODIA</t>
        </is>
      </c>
      <c r="F428" s="10" t="inlineStr">
        <is>
          <t>100119816</t>
        </is>
      </c>
      <c r="G428" s="24" t="inlineStr">
        <is>
          <t>442640</t>
        </is>
      </c>
      <c r="H428" s="658" t="n">
        <v>41947</v>
      </c>
      <c r="I428" s="681" t="n">
        <v>27.35</v>
      </c>
      <c r="J428" s="9" t="n"/>
    </row>
    <row r="429" ht="18" customHeight="1" s="397">
      <c r="A429" s="33" t="n">
        <v>426</v>
      </c>
      <c r="B429" s="24" t="inlineStr">
        <is>
          <t>442668</t>
        </is>
      </c>
      <c r="C429" s="658" t="n">
        <v>41947</v>
      </c>
      <c r="D429" s="681" t="n">
        <v>52.29</v>
      </c>
      <c r="E429" s="11" t="inlineStr">
        <is>
          <t>S G L CAMBODIA</t>
        </is>
      </c>
      <c r="F429" s="10" t="inlineStr">
        <is>
          <t>100119816</t>
        </is>
      </c>
      <c r="G429" s="24" t="inlineStr">
        <is>
          <t>442668</t>
        </is>
      </c>
      <c r="H429" s="658" t="n">
        <v>41947</v>
      </c>
      <c r="I429" s="681" t="n">
        <v>52.29</v>
      </c>
      <c r="J429" s="9" t="n"/>
    </row>
    <row r="430" ht="18" customHeight="1" s="397">
      <c r="A430" s="33" t="n">
        <v>427</v>
      </c>
      <c r="B430" s="24" t="inlineStr">
        <is>
          <t>442688</t>
        </is>
      </c>
      <c r="C430" s="658" t="n">
        <v>41947</v>
      </c>
      <c r="D430" s="681" t="n">
        <v>35.23</v>
      </c>
      <c r="E430" s="11" t="inlineStr">
        <is>
          <t>S G L CAMBODIA</t>
        </is>
      </c>
      <c r="F430" s="10" t="inlineStr">
        <is>
          <t>100119816</t>
        </is>
      </c>
      <c r="G430" s="24" t="inlineStr">
        <is>
          <t>442688</t>
        </is>
      </c>
      <c r="H430" s="658" t="n">
        <v>41947</v>
      </c>
      <c r="I430" s="681" t="n">
        <v>35.23</v>
      </c>
      <c r="J430" s="9" t="n"/>
    </row>
    <row r="431" ht="18" customHeight="1" s="397">
      <c r="A431" s="33" t="n">
        <v>428</v>
      </c>
      <c r="B431" s="24" t="inlineStr">
        <is>
          <t>442834</t>
        </is>
      </c>
      <c r="C431" s="658" t="n">
        <v>41954</v>
      </c>
      <c r="D431" s="681" t="n">
        <v>26.96</v>
      </c>
      <c r="E431" s="11" t="inlineStr">
        <is>
          <t>S G L CAMBODIA</t>
        </is>
      </c>
      <c r="F431" s="10" t="inlineStr">
        <is>
          <t>100119816</t>
        </is>
      </c>
      <c r="G431" s="24" t="inlineStr">
        <is>
          <t>442834</t>
        </is>
      </c>
      <c r="H431" s="658" t="n">
        <v>41954</v>
      </c>
      <c r="I431" s="681" t="n">
        <v>26.96</v>
      </c>
      <c r="J431" s="9" t="n"/>
    </row>
    <row r="432" ht="18" customHeight="1" s="397">
      <c r="A432" s="33" t="n">
        <v>429</v>
      </c>
      <c r="B432" s="24" t="inlineStr">
        <is>
          <t>442898</t>
        </is>
      </c>
      <c r="C432" s="658" t="n">
        <v>41955</v>
      </c>
      <c r="D432" s="681" t="n">
        <v>27.26</v>
      </c>
      <c r="E432" s="11" t="inlineStr">
        <is>
          <t>S G L CAMBODIA</t>
        </is>
      </c>
      <c r="F432" s="10" t="inlineStr">
        <is>
          <t>100119816</t>
        </is>
      </c>
      <c r="G432" s="24" t="inlineStr">
        <is>
          <t>442898</t>
        </is>
      </c>
      <c r="H432" s="658" t="n">
        <v>41955</v>
      </c>
      <c r="I432" s="681" t="n">
        <v>27.26</v>
      </c>
      <c r="J432" s="9" t="n"/>
    </row>
    <row r="433" ht="18" customHeight="1" s="397">
      <c r="A433" s="33" t="n">
        <v>430</v>
      </c>
      <c r="B433" s="24" t="inlineStr">
        <is>
          <t>442979</t>
        </is>
      </c>
      <c r="C433" s="658" t="n">
        <v>41961</v>
      </c>
      <c r="D433" s="681" t="n">
        <v>26.23</v>
      </c>
      <c r="E433" s="11" t="inlineStr">
        <is>
          <t>S G L CAMBODIA</t>
        </is>
      </c>
      <c r="F433" s="10" t="inlineStr">
        <is>
          <t>100119816</t>
        </is>
      </c>
      <c r="G433" s="24" t="inlineStr">
        <is>
          <t>442979</t>
        </is>
      </c>
      <c r="H433" s="658" t="n">
        <v>41961</v>
      </c>
      <c r="I433" s="681" t="n">
        <v>26.23</v>
      </c>
      <c r="J433" s="9" t="n"/>
    </row>
    <row r="434" ht="18" customHeight="1" s="397">
      <c r="A434" s="33" t="n">
        <v>431</v>
      </c>
      <c r="B434" s="24" t="inlineStr">
        <is>
          <t>442980</t>
        </is>
      </c>
      <c r="C434" s="658" t="n">
        <v>41961</v>
      </c>
      <c r="D434" s="681" t="n">
        <v>22.3</v>
      </c>
      <c r="E434" s="11" t="inlineStr">
        <is>
          <t>S G L CAMBODIA</t>
        </is>
      </c>
      <c r="F434" s="10" t="inlineStr">
        <is>
          <t>100119816</t>
        </is>
      </c>
      <c r="G434" s="24" t="inlineStr">
        <is>
          <t>442980</t>
        </is>
      </c>
      <c r="H434" s="658" t="n">
        <v>41961</v>
      </c>
      <c r="I434" s="681" t="n">
        <v>22.3</v>
      </c>
      <c r="J434" s="9" t="n"/>
    </row>
    <row r="435" ht="18" customHeight="1" s="397">
      <c r="A435" s="33" t="n">
        <v>432</v>
      </c>
      <c r="B435" s="24" t="inlineStr">
        <is>
          <t>443126</t>
        </is>
      </c>
      <c r="C435" s="658" t="n">
        <v>41967</v>
      </c>
      <c r="D435" s="681" t="n">
        <v>5</v>
      </c>
      <c r="E435" s="11" t="inlineStr">
        <is>
          <t>S G L CAMBODIA</t>
        </is>
      </c>
      <c r="F435" s="10" t="inlineStr">
        <is>
          <t>100119816</t>
        </is>
      </c>
      <c r="G435" s="24" t="inlineStr">
        <is>
          <t>443126</t>
        </is>
      </c>
      <c r="H435" s="658" t="n">
        <v>41967</v>
      </c>
      <c r="I435" s="681" t="n">
        <v>5</v>
      </c>
      <c r="J435" s="9" t="n"/>
    </row>
    <row r="436" ht="18" customHeight="1" s="397">
      <c r="A436" s="33" t="n">
        <v>433</v>
      </c>
      <c r="B436" s="24" t="inlineStr">
        <is>
          <t>443161</t>
        </is>
      </c>
      <c r="C436" s="658" t="n">
        <v>41968</v>
      </c>
      <c r="D436" s="681" t="n">
        <v>26.71</v>
      </c>
      <c r="E436" s="11" t="inlineStr">
        <is>
          <t>S G L CAMBODIA</t>
        </is>
      </c>
      <c r="F436" s="10" t="inlineStr">
        <is>
          <t>100119816</t>
        </is>
      </c>
      <c r="G436" s="24" t="inlineStr">
        <is>
          <t>443161</t>
        </is>
      </c>
      <c r="H436" s="658" t="n">
        <v>41968</v>
      </c>
      <c r="I436" s="681" t="n">
        <v>26.71</v>
      </c>
      <c r="J436" s="9" t="n"/>
    </row>
    <row r="437" ht="18" customHeight="1" s="397">
      <c r="A437" s="33" t="n">
        <v>434</v>
      </c>
      <c r="B437" s="24" t="inlineStr">
        <is>
          <t>43295</t>
        </is>
      </c>
      <c r="C437" s="658" t="n">
        <v>41973</v>
      </c>
      <c r="D437" s="681" t="n">
        <v>29.64</v>
      </c>
      <c r="E437" s="11" t="inlineStr">
        <is>
          <t>S G L CAMBODIA</t>
        </is>
      </c>
      <c r="F437" s="10" t="inlineStr">
        <is>
          <t>100119816</t>
        </is>
      </c>
      <c r="G437" s="24" t="inlineStr">
        <is>
          <t>43295</t>
        </is>
      </c>
      <c r="H437" s="658" t="n">
        <v>41973</v>
      </c>
      <c r="I437" s="681" t="n">
        <v>29.64</v>
      </c>
      <c r="J437" s="9" t="n"/>
    </row>
    <row r="438" ht="18" customHeight="1" s="397">
      <c r="A438" s="33" t="n">
        <v>435</v>
      </c>
      <c r="B438" s="24" t="inlineStr">
        <is>
          <t>443338</t>
        </is>
      </c>
      <c r="C438" s="658" t="n">
        <v>41981</v>
      </c>
      <c r="D438" s="681" t="n">
        <v>5</v>
      </c>
      <c r="E438" s="11" t="inlineStr">
        <is>
          <t>S G L CAMBODIA</t>
        </is>
      </c>
      <c r="F438" s="10" t="inlineStr">
        <is>
          <t>100119816</t>
        </is>
      </c>
      <c r="G438" s="24" t="inlineStr">
        <is>
          <t>443338</t>
        </is>
      </c>
      <c r="H438" s="658" t="n">
        <v>41981</v>
      </c>
      <c r="I438" s="681" t="n">
        <v>5</v>
      </c>
      <c r="J438" s="9" t="n"/>
    </row>
    <row r="439" ht="18" customHeight="1" s="397">
      <c r="A439" s="33" t="n">
        <v>436</v>
      </c>
      <c r="B439" s="24" t="inlineStr">
        <is>
          <t>443425</t>
        </is>
      </c>
      <c r="C439" s="658" t="n">
        <v>41982</v>
      </c>
      <c r="D439" s="681" t="n">
        <v>37.35</v>
      </c>
      <c r="E439" s="11" t="inlineStr">
        <is>
          <t>S G L CAMBODIA</t>
        </is>
      </c>
      <c r="F439" s="10" t="inlineStr">
        <is>
          <t>100119816</t>
        </is>
      </c>
      <c r="G439" s="24" t="inlineStr">
        <is>
          <t>443425</t>
        </is>
      </c>
      <c r="H439" s="658" t="n">
        <v>41982</v>
      </c>
      <c r="I439" s="681" t="n">
        <v>37.35</v>
      </c>
      <c r="J439" s="9" t="n"/>
    </row>
    <row r="440" ht="18" customHeight="1" s="397">
      <c r="A440" s="33" t="n">
        <v>437</v>
      </c>
      <c r="B440" s="24" t="inlineStr">
        <is>
          <t>443430</t>
        </is>
      </c>
      <c r="C440" s="658" t="n">
        <v>41982</v>
      </c>
      <c r="D440" s="681" t="n">
        <v>61.37</v>
      </c>
      <c r="E440" s="11" t="inlineStr">
        <is>
          <t>S G L CAMBODIA</t>
        </is>
      </c>
      <c r="F440" s="10" t="inlineStr">
        <is>
          <t>100119816</t>
        </is>
      </c>
      <c r="G440" s="24" t="inlineStr">
        <is>
          <t>443430</t>
        </is>
      </c>
      <c r="H440" s="658" t="n">
        <v>41982</v>
      </c>
      <c r="I440" s="681" t="n">
        <v>61.37</v>
      </c>
      <c r="J440" s="9" t="n"/>
    </row>
    <row r="441" ht="18" customHeight="1" s="397">
      <c r="A441" s="33" t="n">
        <v>438</v>
      </c>
      <c r="B441" s="24" t="inlineStr">
        <is>
          <t>443464</t>
        </is>
      </c>
      <c r="C441" s="658" t="n">
        <v>41982</v>
      </c>
      <c r="D441" s="681" t="n">
        <v>66.34999999999999</v>
      </c>
      <c r="E441" s="11" t="inlineStr">
        <is>
          <t>S G L CAMBODIA</t>
        </is>
      </c>
      <c r="F441" s="10" t="inlineStr">
        <is>
          <t>100119816</t>
        </is>
      </c>
      <c r="G441" s="24" t="inlineStr">
        <is>
          <t>443464</t>
        </is>
      </c>
      <c r="H441" s="658" t="n">
        <v>41982</v>
      </c>
      <c r="I441" s="681" t="n">
        <v>66.34999999999999</v>
      </c>
      <c r="J441" s="9" t="n"/>
    </row>
    <row r="442" ht="18" customHeight="1" s="397">
      <c r="A442" s="33" t="n">
        <v>439</v>
      </c>
      <c r="B442" s="24" t="inlineStr">
        <is>
          <t>443484</t>
        </is>
      </c>
      <c r="C442" s="658" t="n">
        <v>41982</v>
      </c>
      <c r="D442" s="681" t="n">
        <v>6.8</v>
      </c>
      <c r="E442" s="11" t="inlineStr">
        <is>
          <t>S G L CAMBODIA</t>
        </is>
      </c>
      <c r="F442" s="10" t="inlineStr">
        <is>
          <t>100119816</t>
        </is>
      </c>
      <c r="G442" s="24" t="inlineStr">
        <is>
          <t>443484</t>
        </is>
      </c>
      <c r="H442" s="658" t="n">
        <v>41982</v>
      </c>
      <c r="I442" s="681" t="n">
        <v>6.8</v>
      </c>
      <c r="J442" s="9" t="n"/>
    </row>
    <row r="443" ht="18" customHeight="1" s="397">
      <c r="A443" s="33" t="n">
        <v>440</v>
      </c>
      <c r="B443" s="24" t="inlineStr">
        <is>
          <t>443503</t>
        </is>
      </c>
      <c r="C443" s="658" t="n">
        <v>41983</v>
      </c>
      <c r="D443" s="681" t="n">
        <v>27.22</v>
      </c>
      <c r="E443" s="11" t="inlineStr">
        <is>
          <t>S G L CAMBODIA</t>
        </is>
      </c>
      <c r="F443" s="10" t="inlineStr">
        <is>
          <t>100119816</t>
        </is>
      </c>
      <c r="G443" s="24" t="inlineStr">
        <is>
          <t>443503</t>
        </is>
      </c>
      <c r="H443" s="658" t="n">
        <v>41983</v>
      </c>
      <c r="I443" s="681" t="n">
        <v>27.22</v>
      </c>
      <c r="J443" s="9" t="n"/>
    </row>
    <row r="444" ht="18" customHeight="1" s="397">
      <c r="A444" s="33" t="n">
        <v>441</v>
      </c>
      <c r="B444" s="24" t="inlineStr">
        <is>
          <t>443504</t>
        </is>
      </c>
      <c r="C444" s="658" t="n">
        <v>41983</v>
      </c>
      <c r="D444" s="681" t="n">
        <v>26.55</v>
      </c>
      <c r="E444" s="11" t="inlineStr">
        <is>
          <t>S G L CAMBODIA</t>
        </is>
      </c>
      <c r="F444" s="10" t="inlineStr">
        <is>
          <t>100119816</t>
        </is>
      </c>
      <c r="G444" s="24" t="inlineStr">
        <is>
          <t>443504</t>
        </is>
      </c>
      <c r="H444" s="658" t="n">
        <v>41983</v>
      </c>
      <c r="I444" s="681" t="n">
        <v>26.55</v>
      </c>
      <c r="J444" s="9" t="n"/>
    </row>
    <row r="445" ht="18" customHeight="1" s="397">
      <c r="A445" s="33" t="n">
        <v>442</v>
      </c>
      <c r="B445" s="24" t="inlineStr">
        <is>
          <t>443526</t>
        </is>
      </c>
      <c r="C445" s="658" t="n">
        <v>41983</v>
      </c>
      <c r="D445" s="681" t="n">
        <v>84.88</v>
      </c>
      <c r="E445" s="11" t="inlineStr">
        <is>
          <t>S G L CAMBODIA</t>
        </is>
      </c>
      <c r="F445" s="10" t="inlineStr">
        <is>
          <t>100119816</t>
        </is>
      </c>
      <c r="G445" s="24" t="inlineStr">
        <is>
          <t>443526</t>
        </is>
      </c>
      <c r="H445" s="658" t="n">
        <v>41983</v>
      </c>
      <c r="I445" s="681" t="n">
        <v>84.88</v>
      </c>
      <c r="J445" s="9" t="n"/>
    </row>
    <row r="446" ht="18" customHeight="1" s="397">
      <c r="A446" s="33" t="n">
        <v>443</v>
      </c>
      <c r="B446" s="24" t="inlineStr">
        <is>
          <t>443637</t>
        </is>
      </c>
      <c r="C446" s="658" t="n">
        <v>41983</v>
      </c>
      <c r="D446" s="681" t="n">
        <v>31.72</v>
      </c>
      <c r="E446" s="11" t="inlineStr">
        <is>
          <t>S G L CAMBODIA</t>
        </is>
      </c>
      <c r="F446" s="10" t="inlineStr">
        <is>
          <t>100119816</t>
        </is>
      </c>
      <c r="G446" s="24" t="inlineStr">
        <is>
          <t>443637</t>
        </is>
      </c>
      <c r="H446" s="658" t="n">
        <v>41983</v>
      </c>
      <c r="I446" s="681" t="n">
        <v>31.72</v>
      </c>
      <c r="J446" s="9" t="n"/>
    </row>
    <row r="447" ht="18" customHeight="1" s="397">
      <c r="A447" s="33" t="n">
        <v>444</v>
      </c>
      <c r="B447" s="24" t="inlineStr">
        <is>
          <t>443541</t>
        </is>
      </c>
      <c r="C447" s="658" t="n">
        <v>41984</v>
      </c>
      <c r="D447" s="681" t="n">
        <v>5</v>
      </c>
      <c r="E447" s="11" t="inlineStr">
        <is>
          <t>S G L CAMBODIA</t>
        </is>
      </c>
      <c r="F447" s="10" t="inlineStr">
        <is>
          <t>100119816</t>
        </is>
      </c>
      <c r="G447" s="24" t="inlineStr">
        <is>
          <t>443541</t>
        </is>
      </c>
      <c r="H447" s="658" t="n">
        <v>41984</v>
      </c>
      <c r="I447" s="681" t="n">
        <v>5</v>
      </c>
      <c r="J447" s="9" t="n"/>
    </row>
    <row r="448" ht="18" customHeight="1" s="397">
      <c r="A448" s="33" t="n">
        <v>445</v>
      </c>
      <c r="B448" s="24" t="inlineStr">
        <is>
          <t>443606</t>
        </is>
      </c>
      <c r="C448" s="658" t="n">
        <v>41989</v>
      </c>
      <c r="D448" s="681" t="n">
        <v>47.94</v>
      </c>
      <c r="E448" s="11" t="inlineStr">
        <is>
          <t>S G L CAMBODIA</t>
        </is>
      </c>
      <c r="F448" s="10" t="inlineStr">
        <is>
          <t>100119816</t>
        </is>
      </c>
      <c r="G448" s="24" t="inlineStr">
        <is>
          <t>443606</t>
        </is>
      </c>
      <c r="H448" s="658" t="n">
        <v>41989</v>
      </c>
      <c r="I448" s="681" t="n">
        <v>47.94</v>
      </c>
      <c r="J448" s="9" t="n"/>
    </row>
    <row r="449" ht="18" customHeight="1" s="397">
      <c r="A449" s="33" t="n">
        <v>446</v>
      </c>
      <c r="B449" s="24" t="inlineStr">
        <is>
          <t>443627</t>
        </is>
      </c>
      <c r="C449" s="658" t="n">
        <v>41989</v>
      </c>
      <c r="D449" s="681" t="n">
        <v>40.67</v>
      </c>
      <c r="E449" s="11" t="inlineStr">
        <is>
          <t>S G L CAMBODIA</t>
        </is>
      </c>
      <c r="F449" s="10" t="inlineStr">
        <is>
          <t>100119816</t>
        </is>
      </c>
      <c r="G449" s="24" t="inlineStr">
        <is>
          <t>443627</t>
        </is>
      </c>
      <c r="H449" s="658" t="n">
        <v>41989</v>
      </c>
      <c r="I449" s="681" t="n">
        <v>40.67</v>
      </c>
      <c r="J449" s="9" t="n"/>
    </row>
    <row r="450" ht="18" customHeight="1" s="397">
      <c r="A450" s="33" t="n">
        <v>447</v>
      </c>
      <c r="B450" s="24" t="inlineStr">
        <is>
          <t>443685</t>
        </is>
      </c>
      <c r="C450" s="658" t="n">
        <v>41989</v>
      </c>
      <c r="D450" s="681" t="n">
        <v>52.57</v>
      </c>
      <c r="E450" s="11" t="inlineStr">
        <is>
          <t>S G L CAMBODIA</t>
        </is>
      </c>
      <c r="F450" s="10" t="inlineStr">
        <is>
          <t>100119816</t>
        </is>
      </c>
      <c r="G450" s="24" t="inlineStr">
        <is>
          <t>443685</t>
        </is>
      </c>
      <c r="H450" s="658" t="n">
        <v>41989</v>
      </c>
      <c r="I450" s="681" t="n">
        <v>52.57</v>
      </c>
      <c r="J450" s="9" t="n"/>
    </row>
    <row r="451" ht="18" customHeight="1" s="397">
      <c r="A451" s="33" t="n">
        <v>448</v>
      </c>
      <c r="B451" s="24" t="inlineStr">
        <is>
          <t>443782</t>
        </is>
      </c>
      <c r="C451" s="658" t="n">
        <v>41996</v>
      </c>
      <c r="D451" s="681" t="n">
        <v>26</v>
      </c>
      <c r="E451" s="11" t="inlineStr">
        <is>
          <t>S G L CAMBODIA</t>
        </is>
      </c>
      <c r="F451" s="10" t="inlineStr">
        <is>
          <t>100119816</t>
        </is>
      </c>
      <c r="G451" s="24" t="inlineStr">
        <is>
          <t>443782</t>
        </is>
      </c>
      <c r="H451" s="658" t="n">
        <v>41996</v>
      </c>
      <c r="I451" s="681" t="n">
        <v>26</v>
      </c>
      <c r="J451" s="9" t="n"/>
    </row>
    <row r="452" ht="18" customHeight="1" s="397">
      <c r="A452" s="33" t="n">
        <v>449</v>
      </c>
      <c r="B452" s="24" t="inlineStr">
        <is>
          <t>443809</t>
        </is>
      </c>
      <c r="C452" s="658" t="n">
        <v>41996</v>
      </c>
      <c r="D452" s="681" t="n">
        <v>43.05</v>
      </c>
      <c r="E452" s="11" t="inlineStr">
        <is>
          <t>S G L CAMBODIA</t>
        </is>
      </c>
      <c r="F452" s="10" t="inlineStr">
        <is>
          <t>100119816</t>
        </is>
      </c>
      <c r="G452" s="24" t="inlineStr">
        <is>
          <t>443809</t>
        </is>
      </c>
      <c r="H452" s="658" t="n">
        <v>41996</v>
      </c>
      <c r="I452" s="681" t="n">
        <v>43.05</v>
      </c>
      <c r="J452" s="9" t="n"/>
    </row>
    <row r="453" ht="18" customHeight="1" s="397">
      <c r="A453" s="33" t="n">
        <v>450</v>
      </c>
      <c r="B453" s="24" t="inlineStr">
        <is>
          <t>443817</t>
        </is>
      </c>
      <c r="C453" s="658" t="n">
        <v>41996</v>
      </c>
      <c r="D453" s="681" t="n">
        <v>27.32</v>
      </c>
      <c r="E453" s="11" t="inlineStr">
        <is>
          <t>S G L CAMBODIA</t>
        </is>
      </c>
      <c r="F453" s="10" t="inlineStr">
        <is>
          <t>100119816</t>
        </is>
      </c>
      <c r="G453" s="24" t="inlineStr">
        <is>
          <t>443817</t>
        </is>
      </c>
      <c r="H453" s="658" t="n">
        <v>41996</v>
      </c>
      <c r="I453" s="681" t="n">
        <v>27.32</v>
      </c>
      <c r="J453" s="9" t="n"/>
    </row>
    <row r="454" ht="18" customHeight="1" s="397">
      <c r="A454" s="33" t="n">
        <v>451</v>
      </c>
      <c r="B454" s="24" t="inlineStr">
        <is>
          <t>443886</t>
        </is>
      </c>
      <c r="C454" s="658" t="n">
        <v>42001</v>
      </c>
      <c r="D454" s="681" t="n">
        <v>22.3</v>
      </c>
      <c r="E454" s="11" t="inlineStr">
        <is>
          <t>S G L CAMBODIA</t>
        </is>
      </c>
      <c r="F454" s="10" t="inlineStr">
        <is>
          <t>100119816</t>
        </is>
      </c>
      <c r="G454" s="24" t="inlineStr">
        <is>
          <t>443886</t>
        </is>
      </c>
      <c r="H454" s="658" t="n">
        <v>42001</v>
      </c>
      <c r="I454" s="681" t="n">
        <v>22.3</v>
      </c>
      <c r="J454" s="9" t="n"/>
    </row>
    <row r="455" ht="18" customHeight="1" s="397">
      <c r="A455" s="33" t="n">
        <v>452</v>
      </c>
      <c r="B455" s="24" t="inlineStr">
        <is>
          <t>443897</t>
        </is>
      </c>
      <c r="C455" s="658" t="n">
        <v>42001</v>
      </c>
      <c r="D455" s="681" t="n">
        <v>33.44</v>
      </c>
      <c r="E455" s="11" t="inlineStr">
        <is>
          <t>S G L CAMBODIA</t>
        </is>
      </c>
      <c r="F455" s="10" t="inlineStr">
        <is>
          <t>100119816</t>
        </is>
      </c>
      <c r="G455" s="24" t="inlineStr">
        <is>
          <t>443897</t>
        </is>
      </c>
      <c r="H455" s="658" t="n">
        <v>42001</v>
      </c>
      <c r="I455" s="681" t="n">
        <v>33.44</v>
      </c>
      <c r="J455" s="9" t="n"/>
    </row>
    <row r="456" ht="18" customHeight="1" s="397">
      <c r="A456" s="33" t="n">
        <v>453</v>
      </c>
      <c r="B456" s="24" t="inlineStr">
        <is>
          <t>443951</t>
        </is>
      </c>
      <c r="C456" s="658" t="n">
        <v>42002</v>
      </c>
      <c r="D456" s="681" t="n">
        <v>27.41</v>
      </c>
      <c r="E456" s="11" t="inlineStr">
        <is>
          <t>S G L CAMBODIA</t>
        </is>
      </c>
      <c r="F456" s="10" t="inlineStr">
        <is>
          <t>100119816</t>
        </is>
      </c>
      <c r="G456" s="24" t="inlineStr">
        <is>
          <t>443951</t>
        </is>
      </c>
      <c r="H456" s="658" t="n">
        <v>42002</v>
      </c>
      <c r="I456" s="681" t="n">
        <v>27.41</v>
      </c>
      <c r="J456" s="9" t="n"/>
    </row>
    <row r="457" ht="18" customHeight="1" s="397">
      <c r="A457" s="33" t="n">
        <v>454</v>
      </c>
      <c r="B457" s="24" t="inlineStr">
        <is>
          <t>443953</t>
        </is>
      </c>
      <c r="C457" s="658" t="n">
        <v>42002</v>
      </c>
      <c r="D457" s="681" t="n">
        <v>31.33</v>
      </c>
      <c r="E457" s="11" t="inlineStr">
        <is>
          <t>S G L CAMBODIA</t>
        </is>
      </c>
      <c r="F457" s="10" t="inlineStr">
        <is>
          <t>100119816</t>
        </is>
      </c>
      <c r="G457" s="24" t="inlineStr">
        <is>
          <t>443953</t>
        </is>
      </c>
      <c r="H457" s="658" t="n">
        <v>42002</v>
      </c>
      <c r="I457" s="681" t="n">
        <v>31.33</v>
      </c>
      <c r="J457" s="9" t="n"/>
    </row>
    <row r="458" ht="18" customHeight="1" s="397">
      <c r="A458" s="33" t="n">
        <v>455</v>
      </c>
      <c r="B458" s="24" t="inlineStr">
        <is>
          <t>443954</t>
        </is>
      </c>
      <c r="C458" s="658" t="n">
        <v>42002</v>
      </c>
      <c r="D458" s="681" t="n">
        <v>44.24</v>
      </c>
      <c r="E458" s="11" t="inlineStr">
        <is>
          <t>S G L CAMBODIA</t>
        </is>
      </c>
      <c r="F458" s="10" t="inlineStr">
        <is>
          <t>100119816</t>
        </is>
      </c>
      <c r="G458" s="24" t="inlineStr">
        <is>
          <t>443954</t>
        </is>
      </c>
      <c r="H458" s="658" t="n">
        <v>42002</v>
      </c>
      <c r="I458" s="681" t="n">
        <v>44.24</v>
      </c>
      <c r="J458" s="9" t="n"/>
    </row>
    <row r="459" ht="24" customHeight="1" s="397">
      <c r="A459" s="684" t="inlineStr">
        <is>
          <t>TOTAL 7/2012-02/2015</t>
        </is>
      </c>
      <c r="B459" s="563" t="n"/>
      <c r="C459" s="676" t="n"/>
      <c r="D459" s="677">
        <f>SUM(D8:D458)</f>
        <v/>
      </c>
      <c r="E459" s="678" t="n"/>
      <c r="F459" s="678" t="n"/>
      <c r="G459" s="679" t="n"/>
      <c r="H459" s="676" t="n"/>
      <c r="I459" s="677">
        <f>SUM(I8:I458)</f>
        <v/>
      </c>
      <c r="J459" s="32" t="n"/>
    </row>
  </sheetData>
  <mergeCells count="13">
    <mergeCell ref="A1:J1"/>
    <mergeCell ref="B5:D5"/>
    <mergeCell ref="G6:I6"/>
    <mergeCell ref="A4:D4"/>
    <mergeCell ref="A459:B459"/>
    <mergeCell ref="A5:A7"/>
    <mergeCell ref="E5:I5"/>
    <mergeCell ref="E6:E7"/>
    <mergeCell ref="A2:J2"/>
    <mergeCell ref="J5:J7"/>
    <mergeCell ref="B6:D6"/>
    <mergeCell ref="F6:F7"/>
    <mergeCell ref="A3:E3"/>
  </mergeCells>
  <pageMargins left="0.7" right="0.7" top="0.75" bottom="0.75" header="0.3" footer="0.3"/>
  <pageSetup orientation="portrait" paperSize="9" scale="75" verticalDpi="0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8"/>
  <sheetViews>
    <sheetView topLeftCell="A2" workbookViewId="0">
      <selection activeCell="K11" sqref="K11"/>
    </sheetView>
  </sheetViews>
  <sheetFormatPr baseColWidth="8" defaultRowHeight="13.2"/>
  <cols>
    <col width="12.5546875" customWidth="1" style="397" min="2" max="2"/>
    <col width="13" customWidth="1" style="397" min="3" max="3"/>
    <col width="13.33203125" customWidth="1" style="397" min="4" max="4"/>
    <col width="12.5546875" customWidth="1" style="397" min="5" max="5"/>
    <col width="12.88671875" customWidth="1" style="397" min="6" max="6"/>
    <col width="12.33203125" customWidth="1" style="397" min="7" max="7"/>
    <col width="15.33203125" customWidth="1" style="397" min="8" max="8"/>
    <col width="12" customWidth="1" style="397" min="9" max="9"/>
  </cols>
  <sheetData>
    <row r="1" ht="33.6" customHeight="1" s="397">
      <c r="A1" s="475" t="inlineStr">
        <is>
          <t>តារាងឧបសម្ព័ន្ឋ</t>
        </is>
      </c>
    </row>
    <row r="2" ht="33.6" customHeight="1" s="397">
      <c r="A2" s="475" t="inlineStr">
        <is>
          <t>តារាងប្រៀធៀបវិក្ក័យប័ត្រស្នើសុំបង្វិលសងអាករលើតំលៃបន្ថែម  ( Cross checking )</t>
        </is>
      </c>
    </row>
    <row r="3" ht="27" customHeight="1" s="397">
      <c r="A3" s="518" t="inlineStr">
        <is>
          <t>នាមករណ៏សហគ្រាស  :  Maurea Garments Corp</t>
        </is>
      </c>
      <c r="F3" s="4" t="n"/>
      <c r="G3" s="4" t="n"/>
      <c r="H3" s="4" t="n"/>
      <c r="I3" s="4" t="n"/>
      <c r="J3" s="4" t="n"/>
    </row>
    <row r="4" ht="27" customHeight="1" s="397">
      <c r="A4" s="477" t="inlineStr">
        <is>
          <t>VAT TIN  : 1 0 0 0 5 2 9 6 7</t>
        </is>
      </c>
      <c r="B4" s="580" t="n"/>
      <c r="C4" s="580" t="n"/>
      <c r="D4" s="580" t="n"/>
      <c r="E4" s="5" t="n"/>
      <c r="F4" s="4" t="n"/>
      <c r="G4" s="4" t="n"/>
      <c r="H4" s="4" t="n"/>
      <c r="I4" s="4" t="n"/>
      <c r="J4" s="4" t="n"/>
    </row>
    <row r="5" ht="25.2" customHeight="1" s="397">
      <c r="A5" s="673" t="inlineStr">
        <is>
          <t>ល.រ</t>
        </is>
      </c>
      <c r="B5" s="527" t="inlineStr">
        <is>
          <t>ក្រុមហ៊ុនស្នើសុំបង្វិលសង</t>
        </is>
      </c>
      <c r="C5" s="594" t="n"/>
      <c r="D5" s="595" t="n"/>
      <c r="E5" s="525" t="inlineStr">
        <is>
          <t>អ្នកផ្គត់ផ្គង់</t>
        </is>
      </c>
      <c r="F5" s="574" t="n"/>
      <c r="G5" s="574" t="n"/>
      <c r="H5" s="574" t="n"/>
      <c r="I5" s="563" t="n"/>
      <c r="J5" s="534" t="inlineStr">
        <is>
          <t>ផ្សេងៗ</t>
        </is>
      </c>
    </row>
    <row r="6" ht="25.2" customHeight="1" s="397">
      <c r="A6" s="608" t="n"/>
      <c r="B6" s="529" t="inlineStr">
        <is>
          <t>វិក័យបត្រ័</t>
        </is>
      </c>
      <c r="C6" s="580" t="n"/>
      <c r="D6" s="601" t="n"/>
      <c r="E6" s="533" t="inlineStr">
        <is>
          <t>សហគ្រាស</t>
        </is>
      </c>
      <c r="F6" s="534" t="inlineStr">
        <is>
          <t>លេខអតប</t>
        </is>
      </c>
      <c r="G6" s="529" t="inlineStr">
        <is>
          <t>វិក័យបត្រ័</t>
        </is>
      </c>
      <c r="H6" s="580" t="n"/>
      <c r="I6" s="601" t="n"/>
      <c r="J6" s="608" t="n"/>
    </row>
    <row r="7" ht="25.2" customHeight="1" s="397">
      <c r="A7" s="564" t="n"/>
      <c r="B7" s="529" t="inlineStr">
        <is>
          <t>លេខ</t>
        </is>
      </c>
      <c r="C7" s="529" t="inlineStr">
        <is>
          <t>ថ្ងៃទី ខែ ឆ្នាំ</t>
        </is>
      </c>
      <c r="D7" s="529" t="inlineStr">
        <is>
          <t>ប្រាក់អាករ</t>
        </is>
      </c>
      <c r="E7" s="601" t="n"/>
      <c r="F7" s="564" t="n"/>
      <c r="G7" s="529" t="inlineStr">
        <is>
          <t>លេខ</t>
        </is>
      </c>
      <c r="H7" s="529" t="inlineStr">
        <is>
          <t>ថ្ងៃទី ខែ ឆ្នាំ</t>
        </is>
      </c>
      <c r="I7" s="529" t="inlineStr">
        <is>
          <t>ប្រាក់អាករ</t>
        </is>
      </c>
      <c r="J7" s="564" t="n"/>
    </row>
    <row r="8" ht="25.2" customHeight="1" s="397">
      <c r="A8" s="6" t="n"/>
      <c r="B8" s="12" t="n"/>
      <c r="C8" s="13" t="n"/>
      <c r="D8" s="650" t="n"/>
      <c r="E8" s="11" t="n"/>
      <c r="F8" s="38" t="n"/>
      <c r="G8" s="12" t="n"/>
      <c r="H8" s="13" t="n"/>
      <c r="I8" s="650" t="n"/>
      <c r="J8" s="9" t="n"/>
    </row>
    <row r="9" ht="25.2" customHeight="1" s="397">
      <c r="A9" s="6" t="n"/>
      <c r="B9" s="12" t="n"/>
      <c r="C9" s="13" t="n"/>
      <c r="D9" s="650" t="n"/>
      <c r="E9" s="11" t="n"/>
      <c r="F9" s="38" t="n"/>
      <c r="G9" s="12" t="n"/>
      <c r="H9" s="13" t="n"/>
      <c r="I9" s="650" t="n"/>
      <c r="J9" s="9" t="n"/>
    </row>
    <row r="10" ht="25.2" customHeight="1" s="397">
      <c r="A10" s="6" t="n"/>
      <c r="B10" s="12" t="n"/>
      <c r="C10" s="13" t="n"/>
      <c r="D10" s="650" t="n"/>
      <c r="E10" s="11" t="n"/>
      <c r="F10" s="38" t="n"/>
      <c r="G10" s="12" t="n"/>
      <c r="H10" s="13" t="n"/>
      <c r="I10" s="650" t="n"/>
      <c r="J10" s="9" t="n"/>
    </row>
    <row r="11" ht="25.2" customHeight="1" s="397">
      <c r="A11" s="6" t="n"/>
      <c r="B11" s="12" t="n"/>
      <c r="C11" s="13" t="n"/>
      <c r="D11" s="650" t="n"/>
      <c r="E11" s="11" t="n"/>
      <c r="F11" s="37" t="n"/>
      <c r="G11" s="12" t="n"/>
      <c r="H11" s="13" t="n"/>
      <c r="I11" s="650" t="n"/>
      <c r="J11" s="9" t="n"/>
    </row>
    <row r="12" ht="25.2" customHeight="1" s="397">
      <c r="A12" s="6" t="n"/>
      <c r="B12" s="12" t="n"/>
      <c r="C12" s="13" t="n"/>
      <c r="D12" s="650" t="n"/>
      <c r="E12" s="11" t="n"/>
      <c r="F12" s="10" t="n"/>
      <c r="G12" s="12" t="n"/>
      <c r="H12" s="13" t="n"/>
      <c r="I12" s="650" t="n"/>
      <c r="J12" s="9" t="n"/>
    </row>
    <row r="13" ht="25.2" customHeight="1" s="397">
      <c r="A13" s="6" t="n"/>
      <c r="B13" s="12" t="n"/>
      <c r="C13" s="13" t="n"/>
      <c r="D13" s="650" t="n"/>
      <c r="E13" s="11" t="n"/>
      <c r="F13" s="38" t="n"/>
      <c r="G13" s="12" t="n"/>
      <c r="H13" s="13" t="n"/>
      <c r="I13" s="650" t="n"/>
      <c r="J13" s="9" t="n"/>
    </row>
    <row r="14" ht="25.2" customHeight="1" s="397">
      <c r="A14" s="6" t="n"/>
      <c r="B14" s="12" t="n"/>
      <c r="C14" s="13" t="n"/>
      <c r="D14" s="650" t="n"/>
      <c r="E14" s="11" t="n"/>
      <c r="F14" s="38" t="n"/>
      <c r="G14" s="12" t="n"/>
      <c r="H14" s="13" t="n"/>
      <c r="I14" s="650" t="n"/>
      <c r="J14" s="9" t="n"/>
    </row>
    <row r="15" ht="25.2" customHeight="1" s="397">
      <c r="A15" s="6" t="n"/>
      <c r="B15" s="17" t="n"/>
      <c r="C15" s="18" t="n"/>
      <c r="D15" s="655" t="n"/>
      <c r="E15" s="11" t="n"/>
      <c r="F15" s="16" t="n"/>
      <c r="G15" s="17" t="n"/>
      <c r="H15" s="18" t="n"/>
      <c r="I15" s="655" t="n"/>
      <c r="J15" s="9" t="n"/>
    </row>
    <row r="16" ht="25.2" customHeight="1" s="397">
      <c r="A16" s="6" t="n"/>
      <c r="B16" s="39" t="n"/>
      <c r="C16" s="18" t="n"/>
      <c r="D16" s="655" t="n"/>
      <c r="E16" s="11" t="n"/>
      <c r="F16" s="16" t="n"/>
      <c r="G16" s="17" t="n"/>
      <c r="H16" s="18" t="n"/>
      <c r="I16" s="655" t="n"/>
      <c r="J16" s="9" t="n"/>
    </row>
    <row r="17" ht="25.2" customHeight="1" s="397">
      <c r="A17" s="6" t="n"/>
      <c r="B17" s="17" t="n"/>
      <c r="C17" s="18" t="n"/>
      <c r="D17" s="655" t="n"/>
      <c r="E17" s="11" t="n"/>
      <c r="F17" s="16" t="n"/>
      <c r="G17" s="17" t="n"/>
      <c r="H17" s="18" t="n"/>
      <c r="I17" s="655" t="n"/>
      <c r="J17" s="9" t="n"/>
    </row>
    <row r="18" ht="25.2" customHeight="1" s="397">
      <c r="A18" s="6" t="n"/>
      <c r="B18" s="17" t="n"/>
      <c r="C18" s="18" t="n"/>
      <c r="D18" s="655" t="n"/>
      <c r="E18" s="11" t="n"/>
      <c r="F18" s="16" t="n"/>
      <c r="G18" s="17" t="n"/>
      <c r="H18" s="18" t="n"/>
      <c r="I18" s="655" t="n"/>
      <c r="J18" s="9" t="n"/>
    </row>
    <row r="19" ht="25.2" customHeight="1" s="397">
      <c r="A19" s="6" t="n"/>
      <c r="B19" s="17" t="n"/>
      <c r="C19" s="18" t="n"/>
      <c r="D19" s="655" t="n"/>
      <c r="E19" s="11" t="n"/>
      <c r="F19" s="16" t="n"/>
      <c r="G19" s="17" t="n"/>
      <c r="H19" s="18" t="n"/>
      <c r="I19" s="655" t="n"/>
      <c r="J19" s="9" t="n"/>
    </row>
    <row r="20" ht="25.2" customHeight="1" s="397">
      <c r="A20" s="6" t="n"/>
      <c r="B20" s="17" t="n"/>
      <c r="C20" s="18" t="n"/>
      <c r="D20" s="655" t="n"/>
      <c r="E20" s="11" t="n"/>
      <c r="F20" s="16" t="n"/>
      <c r="G20" s="17" t="n"/>
      <c r="H20" s="18" t="n"/>
      <c r="I20" s="655" t="n"/>
      <c r="J20" s="9" t="n"/>
    </row>
    <row r="21" ht="25.2" customHeight="1" s="397">
      <c r="A21" s="6" t="n"/>
      <c r="B21" s="17" t="n"/>
      <c r="C21" s="18" t="n"/>
      <c r="D21" s="655" t="n"/>
      <c r="E21" s="11" t="n"/>
      <c r="F21" s="16" t="n"/>
      <c r="G21" s="17" t="n"/>
      <c r="H21" s="18" t="n"/>
      <c r="I21" s="655" t="n"/>
      <c r="J21" s="9" t="n"/>
    </row>
    <row r="22" ht="25.2" customHeight="1" s="397">
      <c r="A22" s="6" t="n"/>
      <c r="B22" s="17" t="n"/>
      <c r="C22" s="18" t="n"/>
      <c r="D22" s="655" t="n"/>
      <c r="E22" s="11" t="n"/>
      <c r="F22" s="16" t="n"/>
      <c r="G22" s="17" t="n"/>
      <c r="H22" s="18" t="n"/>
      <c r="I22" s="655" t="n"/>
      <c r="J22" s="9" t="n"/>
    </row>
    <row r="23" ht="25.2" customHeight="1" s="397">
      <c r="A23" s="6" t="n"/>
      <c r="B23" s="17" t="n"/>
      <c r="C23" s="18" t="n"/>
      <c r="D23" s="655" t="n"/>
      <c r="E23" s="11" t="n"/>
      <c r="F23" s="16" t="n"/>
      <c r="G23" s="17" t="n"/>
      <c r="H23" s="18" t="n"/>
      <c r="I23" s="655" t="n"/>
      <c r="J23" s="9" t="n"/>
    </row>
    <row r="24" ht="25.2" customHeight="1" s="397">
      <c r="A24" s="6" t="n"/>
      <c r="B24" s="17" t="n"/>
      <c r="C24" s="18" t="n"/>
      <c r="D24" s="655" t="n"/>
      <c r="E24" s="11" t="n"/>
      <c r="F24" s="16" t="n"/>
      <c r="G24" s="17" t="n"/>
      <c r="H24" s="18" t="n"/>
      <c r="I24" s="655" t="n"/>
      <c r="J24" s="9" t="n"/>
    </row>
    <row r="25" ht="25.2" customHeight="1" s="397">
      <c r="A25" s="6" t="n"/>
      <c r="B25" s="17" t="n"/>
      <c r="C25" s="18" t="n"/>
      <c r="D25" s="655" t="n"/>
      <c r="E25" s="11" t="n"/>
      <c r="F25" s="40" t="n"/>
      <c r="G25" s="17" t="n"/>
      <c r="H25" s="18" t="n"/>
      <c r="I25" s="655" t="n"/>
      <c r="J25" s="9" t="n"/>
    </row>
    <row r="26" ht="25.2" customHeight="1" s="397">
      <c r="A26" s="6" t="n"/>
      <c r="B26" s="17" t="n"/>
      <c r="C26" s="18" t="n"/>
      <c r="D26" s="655" t="n"/>
      <c r="E26" s="11" t="n"/>
      <c r="F26" s="16" t="n"/>
      <c r="G26" s="17" t="n"/>
      <c r="H26" s="18" t="n"/>
      <c r="I26" s="655" t="n"/>
      <c r="J26" s="9" t="n"/>
    </row>
    <row r="27" ht="25.2" customHeight="1" s="397">
      <c r="A27" s="6" t="n"/>
      <c r="B27" s="20" t="n"/>
      <c r="C27" s="658" t="n"/>
      <c r="D27" s="650" t="n"/>
      <c r="E27" s="19" t="n"/>
      <c r="F27" s="20" t="n"/>
      <c r="G27" s="20" t="n"/>
      <c r="H27" s="658" t="n"/>
      <c r="I27" s="650" t="n"/>
      <c r="J27" s="9" t="n"/>
    </row>
    <row r="28" ht="25.2" customHeight="1" s="397">
      <c r="A28" s="6" t="n"/>
      <c r="B28" s="20" t="n"/>
      <c r="C28" s="658" t="n"/>
      <c r="D28" s="650" t="n"/>
      <c r="E28" s="19" t="n"/>
      <c r="F28" s="41" t="n"/>
      <c r="G28" s="20" t="n"/>
      <c r="H28" s="658" t="n"/>
      <c r="I28" s="650" t="n"/>
      <c r="J28" s="9" t="n"/>
    </row>
    <row r="29" ht="25.2" customHeight="1" s="397">
      <c r="A29" s="6" t="n"/>
      <c r="B29" s="20" t="n"/>
      <c r="C29" s="658" t="n"/>
      <c r="D29" s="650" t="n"/>
      <c r="E29" s="19" t="n"/>
      <c r="F29" s="20" t="n"/>
      <c r="G29" s="20" t="n"/>
      <c r="H29" s="658" t="n"/>
      <c r="I29" s="650" t="n"/>
      <c r="J29" s="9" t="n"/>
    </row>
    <row r="30" ht="25.2" customHeight="1" s="397">
      <c r="A30" s="6" t="n"/>
      <c r="B30" s="20" t="n"/>
      <c r="C30" s="658" t="n"/>
      <c r="D30" s="650" t="n"/>
      <c r="E30" s="19" t="n"/>
      <c r="F30" s="20" t="n"/>
      <c r="G30" s="20" t="n"/>
      <c r="H30" s="658" t="n"/>
      <c r="I30" s="650" t="n"/>
      <c r="J30" s="9" t="n"/>
    </row>
    <row r="31" ht="25.2" customHeight="1" s="397">
      <c r="A31" s="6" t="n"/>
      <c r="B31" s="23" t="n"/>
      <c r="C31" s="658" t="n"/>
      <c r="D31" s="650" t="n"/>
      <c r="E31" s="22" t="n"/>
      <c r="F31" s="23" t="n"/>
      <c r="G31" s="23" t="n"/>
      <c r="H31" s="658" t="n"/>
      <c r="I31" s="650" t="n"/>
      <c r="J31" s="9" t="n"/>
    </row>
    <row r="32" ht="25.2" customHeight="1" s="397">
      <c r="A32" s="6" t="n"/>
      <c r="B32" s="24" t="n"/>
      <c r="C32" s="658" t="n"/>
      <c r="D32" s="650" t="n"/>
      <c r="E32" s="11" t="n"/>
      <c r="F32" s="24" t="n"/>
      <c r="G32" s="24" t="n"/>
      <c r="H32" s="658" t="n"/>
      <c r="I32" s="650" t="n"/>
      <c r="J32" s="9" t="n"/>
    </row>
    <row r="33" ht="25.2" customHeight="1" s="397">
      <c r="A33" s="6" t="n"/>
      <c r="B33" s="24" t="n"/>
      <c r="C33" s="658" t="n"/>
      <c r="D33" s="650" t="n"/>
      <c r="E33" s="38" t="n"/>
      <c r="F33" s="42" t="n"/>
      <c r="G33" s="24" t="n"/>
      <c r="H33" s="658" t="n"/>
      <c r="I33" s="650" t="n"/>
      <c r="J33" s="9" t="n"/>
    </row>
    <row r="34" ht="25.2" customHeight="1" s="397">
      <c r="A34" s="6" t="n"/>
      <c r="B34" s="24" t="n"/>
      <c r="C34" s="658" t="n"/>
      <c r="D34" s="650" t="n"/>
      <c r="E34" s="10" t="n"/>
      <c r="F34" s="24" t="n"/>
      <c r="G34" s="24" t="n"/>
      <c r="H34" s="658" t="n"/>
      <c r="I34" s="650" t="n"/>
      <c r="J34" s="9" t="n"/>
    </row>
    <row r="35" ht="25.2" customHeight="1" s="397">
      <c r="A35" s="6" t="n"/>
      <c r="B35" s="24" t="n"/>
      <c r="C35" s="658" t="n"/>
      <c r="D35" s="650" t="n"/>
      <c r="E35" s="10" t="n"/>
      <c r="F35" s="24" t="n"/>
      <c r="G35" s="24" t="n"/>
      <c r="H35" s="658" t="n"/>
      <c r="I35" s="650" t="n"/>
      <c r="J35" s="9" t="n"/>
    </row>
    <row r="36" ht="25.2" customHeight="1" s="397">
      <c r="A36" s="6" t="n"/>
      <c r="B36" s="24" t="n"/>
      <c r="C36" s="658" t="n"/>
      <c r="D36" s="650" t="n"/>
      <c r="E36" s="10" t="n"/>
      <c r="F36" s="24" t="n"/>
      <c r="G36" s="24" t="n"/>
      <c r="H36" s="658" t="n"/>
      <c r="I36" s="650" t="n"/>
      <c r="J36" s="9" t="n"/>
    </row>
    <row r="37" ht="25.2" customHeight="1" s="397">
      <c r="A37" s="6" t="n"/>
      <c r="B37" s="24" t="n"/>
      <c r="C37" s="658" t="n"/>
      <c r="D37" s="650" t="n"/>
      <c r="E37" s="10" t="n"/>
      <c r="F37" s="24" t="n"/>
      <c r="G37" s="24" t="n"/>
      <c r="H37" s="658" t="n"/>
      <c r="I37" s="650" t="n"/>
      <c r="J37" s="9" t="n"/>
    </row>
    <row r="38" ht="25.2" customHeight="1" s="397">
      <c r="A38" s="6" t="n"/>
      <c r="B38" s="24" t="n"/>
      <c r="C38" s="658" t="n"/>
      <c r="D38" s="650" t="n"/>
      <c r="E38" s="10" t="n"/>
      <c r="F38" s="42" t="n"/>
      <c r="G38" s="24" t="n"/>
      <c r="H38" s="658" t="n"/>
      <c r="I38" s="650" t="n"/>
      <c r="J38" s="9" t="n"/>
    </row>
  </sheetData>
  <mergeCells count="12">
    <mergeCell ref="A1:J1"/>
    <mergeCell ref="B5:D5"/>
    <mergeCell ref="G6:I6"/>
    <mergeCell ref="A4:D4"/>
    <mergeCell ref="A5:A7"/>
    <mergeCell ref="E5:I5"/>
    <mergeCell ref="E6:E7"/>
    <mergeCell ref="A2:J2"/>
    <mergeCell ref="J5:J7"/>
    <mergeCell ref="B6:D6"/>
    <mergeCell ref="F6:F7"/>
    <mergeCell ref="A3:E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48"/>
  <sheetViews>
    <sheetView topLeftCell="A10" zoomScale="145" zoomScaleNormal="145" workbookViewId="0">
      <selection activeCell="B26" sqref="B26"/>
    </sheetView>
  </sheetViews>
  <sheetFormatPr baseColWidth="8" defaultColWidth="9.109375" defaultRowHeight="14.25" customHeight="1"/>
  <cols>
    <col width="8.109375" customWidth="1" style="156" min="1" max="1"/>
    <col width="7" customWidth="1" style="155" min="2" max="2"/>
    <col width="19.33203125" customWidth="1" style="155" min="3" max="3"/>
    <col width="7.44140625" customWidth="1" style="155" min="4" max="4"/>
    <col width="17.88671875" customWidth="1" style="155" min="5" max="5"/>
    <col width="8.33203125" customWidth="1" style="685" min="6" max="6"/>
    <col width="11.109375" customWidth="1" style="155" min="7" max="7"/>
    <col width="11.88671875" customWidth="1" style="167" min="8" max="8"/>
    <col width="9" customWidth="1" style="155" min="9" max="9"/>
    <col width="5.44140625" customWidth="1" style="155" min="10" max="10"/>
    <col width="8.44140625" customWidth="1" style="155" min="11" max="11"/>
    <col width="4.33203125" customWidth="1" style="155" min="12" max="12"/>
    <col width="13.33203125" customWidth="1" style="155" min="13" max="13"/>
    <col width="15.109375" bestFit="1" customWidth="1" style="155" min="14" max="14"/>
    <col width="9.109375" customWidth="1" style="155" min="15" max="16384"/>
  </cols>
  <sheetData>
    <row r="1" ht="23.25" customFormat="1" customHeight="1" s="84">
      <c r="A1" s="546" t="inlineStr">
        <is>
          <t xml:space="preserve"> សៀវភៅទិនានុប្បវត្តិលក់- នាំចេញ</t>
        </is>
      </c>
      <c r="N1" s="83" t="n"/>
    </row>
    <row r="2" ht="22.5" customFormat="1" customHeight="1" s="85">
      <c r="A2" s="547" t="inlineStr">
        <is>
          <t xml:space="preserve"> ខែ​​ មិថុនា ឆ្នាំ ២០១៥</t>
        </is>
      </c>
      <c r="N2" s="83" t="n"/>
    </row>
    <row r="3" ht="22.5" customFormat="1" customHeight="1" s="95">
      <c r="A3" s="86" t="inlineStr">
        <is>
          <t xml:space="preserve">ជី អេវើរហ្រ្គីន( ខេមបូឌា​ ) នីតធីង  </t>
        </is>
      </c>
      <c r="B3" s="87" t="n"/>
      <c r="C3" s="547" t="n"/>
      <c r="D3" s="87" t="n"/>
      <c r="E3" s="547" t="n"/>
      <c r="F3" s="546" t="n"/>
      <c r="G3" s="546" t="n"/>
      <c r="H3" s="546" t="n"/>
      <c r="I3" s="90" t="n"/>
      <c r="J3" s="91" t="n"/>
      <c r="K3" s="86" t="inlineStr">
        <is>
          <t>Vat:100193102</t>
        </is>
      </c>
      <c r="L3" s="92" t="n"/>
      <c r="M3" s="93" t="n"/>
      <c r="N3" s="94" t="n"/>
      <c r="O3" s="94" t="n"/>
    </row>
    <row r="4" ht="18" customFormat="1" customHeight="1" s="104" thickBot="1">
      <c r="A4" s="96" t="inlineStr">
        <is>
          <t xml:space="preserve">ភូមិជ្រៃកោង សង្កាត់ចោមចៅ ខណ្ឌ ពោធិសែនជ័យ ក្រុង ភ្នំពេញ </t>
        </is>
      </c>
      <c r="B4" s="97" t="n"/>
      <c r="C4" s="98" t="n"/>
      <c r="D4" s="99" t="n"/>
      <c r="E4" s="99" t="n"/>
      <c r="F4" s="100" t="n"/>
      <c r="G4" s="100" t="n"/>
      <c r="H4" s="100" t="n"/>
      <c r="I4" s="101" t="n"/>
      <c r="J4" s="93" t="n"/>
      <c r="K4" s="97" t="inlineStr">
        <is>
          <t>Average:</t>
        </is>
      </c>
      <c r="L4" s="102" t="n">
        <v>4088</v>
      </c>
      <c r="M4" s="93" t="n"/>
      <c r="N4" s="103" t="n"/>
      <c r="O4" s="94" t="n"/>
    </row>
    <row r="5" ht="16.5" customFormat="1" customHeight="1" s="104">
      <c r="A5" s="548" t="inlineStr">
        <is>
          <t>វិក្ក័យប័ត្រ</t>
        </is>
      </c>
      <c r="B5" s="686" t="n"/>
      <c r="C5" s="686" t="n"/>
      <c r="D5" s="686" t="n"/>
      <c r="E5" s="686" t="n"/>
      <c r="F5" s="686" t="n"/>
      <c r="G5" s="686" t="n"/>
      <c r="H5" s="686" t="n"/>
      <c r="I5" s="550" t="inlineStr">
        <is>
          <t>ការផ្គត់ផ្គង់</t>
        </is>
      </c>
      <c r="J5" s="686" t="n"/>
      <c r="K5" s="686" t="n"/>
      <c r="L5" s="687" t="n"/>
      <c r="M5" s="105" t="n"/>
    </row>
    <row r="6" ht="14.25" customFormat="1" customHeight="1" s="104">
      <c r="A6" s="106" t="inlineStr">
        <is>
          <t>កាលបរិចេ្ឆទ</t>
        </is>
      </c>
      <c r="B6" s="107" t="inlineStr">
        <is>
          <t>វិក្ក័យប័ត្រ</t>
        </is>
      </c>
      <c r="C6" s="107" t="inlineStr">
        <is>
          <t>អ្នកទិញ</t>
        </is>
      </c>
      <c r="D6" s="107" t="inlineStr">
        <is>
          <t>លេខ អតប</t>
        </is>
      </c>
      <c r="E6" s="107" t="inlineStr">
        <is>
          <t>បរិយាយ</t>
        </is>
      </c>
      <c r="F6" s="551" t="inlineStr">
        <is>
          <t>បរិមាណ</t>
        </is>
      </c>
      <c r="G6" s="563" t="n"/>
      <c r="H6" s="108" t="n"/>
      <c r="I6" s="552" t="inlineStr">
        <is>
          <t>karlk;Cab;Gakr</t>
        </is>
      </c>
      <c r="J6" s="580" t="n"/>
      <c r="K6" s="580" t="n"/>
      <c r="L6" s="601" t="n"/>
      <c r="M6" s="109" t="inlineStr">
        <is>
          <t>សរុបថ្លៃទិញ</t>
        </is>
      </c>
    </row>
    <row r="7" ht="14.25" customFormat="1" customHeight="1" s="104">
      <c r="A7" s="110" t="n"/>
      <c r="B7" s="111" t="n"/>
      <c r="C7" s="111" t="n"/>
      <c r="D7" s="112" t="inlineStr">
        <is>
          <t>TIN</t>
        </is>
      </c>
      <c r="E7" s="113" t="n"/>
      <c r="F7" s="688" t="n"/>
      <c r="G7" s="114" t="inlineStr">
        <is>
          <t>ការផ្គត់ផ្គង់</t>
        </is>
      </c>
      <c r="H7" s="114" t="inlineStr">
        <is>
          <t>ការនាំចេញ</t>
        </is>
      </c>
      <c r="I7" s="540" t="inlineStr">
        <is>
          <t>lk;;»übuKþlCab;Gakr</t>
        </is>
      </c>
      <c r="J7" s="563" t="n"/>
      <c r="K7" s="540" t="inlineStr">
        <is>
          <t>lk;;»üGñkeRbIR)as;</t>
        </is>
      </c>
      <c r="L7" s="563" t="n"/>
      <c r="M7" s="109" t="inlineStr">
        <is>
          <t>រួមទាំអាករ</t>
        </is>
      </c>
    </row>
    <row r="8" ht="14.25" customFormat="1" customHeight="1" s="104">
      <c r="A8" s="115" t="n"/>
      <c r="B8" s="116" t="n"/>
      <c r="C8" s="116" t="n"/>
      <c r="D8" s="117" t="n"/>
      <c r="E8" s="118" t="n"/>
      <c r="F8" s="689" t="n"/>
      <c r="G8" s="184" t="inlineStr">
        <is>
          <t>មិនជាប់អាករ</t>
        </is>
      </c>
      <c r="H8" s="119" t="inlineStr">
        <is>
          <t>អត្រា​​ 0 %</t>
        </is>
      </c>
      <c r="I8" s="551" t="inlineStr">
        <is>
          <t>តំលៃជាប់អាករ</t>
        </is>
      </c>
      <c r="J8" s="551" t="inlineStr">
        <is>
          <t>អាករ</t>
        </is>
      </c>
      <c r="K8" s="551" t="inlineStr">
        <is>
          <t>តំលៃជាប់អាករ</t>
        </is>
      </c>
      <c r="L8" s="551" t="inlineStr">
        <is>
          <t>អាករ</t>
        </is>
      </c>
      <c r="M8" s="121" t="n"/>
    </row>
    <row r="9" ht="14.25" customFormat="1" customHeight="1" s="96">
      <c r="A9" s="690" t="n">
        <v>42160</v>
      </c>
      <c r="B9" s="132" t="inlineStr">
        <is>
          <t>E 55119</t>
        </is>
      </c>
      <c r="C9" s="124" t="inlineStr">
        <is>
          <t>LPP S.A</t>
        </is>
      </c>
      <c r="D9" s="125" t="n"/>
      <c r="E9" s="126" t="inlineStr">
        <is>
          <t>Men's Top</t>
        </is>
      </c>
      <c r="F9" s="691" t="inlineStr">
        <is>
          <t>137 CT</t>
        </is>
      </c>
      <c r="G9" s="129" t="n"/>
      <c r="H9" s="691" t="n">
        <v>41519138</v>
      </c>
      <c r="I9" s="551" t="n"/>
      <c r="J9" s="551" t="n"/>
      <c r="K9" s="129" t="n"/>
      <c r="L9" s="551" t="n"/>
      <c r="M9" s="692">
        <f>G9+H9</f>
        <v/>
      </c>
    </row>
    <row r="10" ht="14.25" customFormat="1" customHeight="1" s="96">
      <c r="A10" s="690" t="n">
        <v>42160</v>
      </c>
      <c r="B10" s="132" t="inlineStr">
        <is>
          <t>E 53624</t>
        </is>
      </c>
      <c r="C10" s="124" t="inlineStr">
        <is>
          <t>PRIMARK</t>
        </is>
      </c>
      <c r="D10" s="125" t="n"/>
      <c r="E10" s="126" t="inlineStr">
        <is>
          <t>See Val Note</t>
        </is>
      </c>
      <c r="F10" s="691" t="inlineStr">
        <is>
          <t>655 CT</t>
        </is>
      </c>
      <c r="G10" s="129" t="n"/>
      <c r="H10" s="691" t="n">
        <v>157610622</v>
      </c>
      <c r="I10" s="551" t="n"/>
      <c r="J10" s="551" t="n"/>
      <c r="K10" s="129" t="n"/>
      <c r="L10" s="551" t="n"/>
      <c r="M10" s="692">
        <f>G10+H10</f>
        <v/>
      </c>
    </row>
    <row r="11" ht="14.25" customFormat="1" customHeight="1" s="96">
      <c r="A11" s="690" t="n">
        <v>42160</v>
      </c>
      <c r="B11" s="132" t="inlineStr">
        <is>
          <t>E 9812</t>
        </is>
      </c>
      <c r="C11" s="124" t="inlineStr">
        <is>
          <t>SMYK SP Z.O.O</t>
        </is>
      </c>
      <c r="D11" s="125" t="n"/>
      <c r="E11" s="126" t="inlineStr">
        <is>
          <t>Girls Knitted Dress</t>
        </is>
      </c>
      <c r="F11" s="691" t="inlineStr">
        <is>
          <t>518 CT</t>
        </is>
      </c>
      <c r="G11" s="129" t="n"/>
      <c r="H11" s="691" t="n">
        <v>75926121</v>
      </c>
      <c r="I11" s="551" t="n"/>
      <c r="J11" s="551" t="n"/>
      <c r="K11" s="129" t="n"/>
      <c r="L11" s="551" t="n"/>
      <c r="M11" s="692">
        <f>G11+H11</f>
        <v/>
      </c>
    </row>
    <row r="12" ht="14.25" customFormat="1" customHeight="1" s="96">
      <c r="A12" s="690" t="n">
        <v>42164</v>
      </c>
      <c r="B12" s="132" t="inlineStr">
        <is>
          <t>E 10122</t>
        </is>
      </c>
      <c r="C12" s="124" t="inlineStr">
        <is>
          <t>SMYK SP Z.O.O</t>
        </is>
      </c>
      <c r="D12" s="125" t="n"/>
      <c r="E12" s="126" t="inlineStr">
        <is>
          <t>Girls Knitted Sweat Shirt</t>
        </is>
      </c>
      <c r="F12" s="691" t="inlineStr">
        <is>
          <t>404 CT</t>
        </is>
      </c>
      <c r="G12" s="129" t="n"/>
      <c r="H12" s="691" t="n">
        <v>109260590</v>
      </c>
      <c r="I12" s="551" t="n"/>
      <c r="J12" s="551" t="n"/>
      <c r="K12" s="129" t="n"/>
      <c r="L12" s="551" t="n"/>
      <c r="M12" s="692">
        <f>G12+H12</f>
        <v/>
      </c>
    </row>
    <row r="13" ht="14.25" customFormat="1" customHeight="1" s="96">
      <c r="A13" s="690" t="n">
        <v>42167</v>
      </c>
      <c r="B13" s="132" t="inlineStr">
        <is>
          <t>E 57854</t>
        </is>
      </c>
      <c r="C13" s="124" t="inlineStr">
        <is>
          <t>PRIMARK</t>
        </is>
      </c>
      <c r="D13" s="125" t="n"/>
      <c r="E13" s="126" t="inlineStr">
        <is>
          <t>Men's Long Sleeve Hoodie</t>
        </is>
      </c>
      <c r="F13" s="691" t="inlineStr">
        <is>
          <t>550 CT</t>
        </is>
      </c>
      <c r="G13" s="129" t="n"/>
      <c r="H13" s="691" t="n">
        <v>136860570</v>
      </c>
      <c r="I13" s="551" t="n"/>
      <c r="J13" s="551" t="n"/>
      <c r="K13" s="129" t="n"/>
      <c r="L13" s="551" t="n"/>
      <c r="M13" s="692">
        <f>G13+H13</f>
        <v/>
      </c>
    </row>
    <row r="14" ht="14.25" customFormat="1" customHeight="1" s="96">
      <c r="A14" s="690" t="n">
        <v>42167</v>
      </c>
      <c r="B14" s="132" t="inlineStr">
        <is>
          <t>E 57078</t>
        </is>
      </c>
      <c r="C14" s="124" t="inlineStr">
        <is>
          <t>LPP S.A</t>
        </is>
      </c>
      <c r="D14" s="125" t="n"/>
      <c r="E14" s="126" t="inlineStr">
        <is>
          <t>Men's Top</t>
        </is>
      </c>
      <c r="F14" s="691" t="inlineStr">
        <is>
          <t>1094 CT</t>
        </is>
      </c>
      <c r="G14" s="129" t="n"/>
      <c r="H14" s="691" t="n">
        <v>189450332</v>
      </c>
      <c r="I14" s="551" t="n"/>
      <c r="J14" s="551" t="n"/>
      <c r="K14" s="129" t="n"/>
      <c r="L14" s="551" t="n"/>
      <c r="M14" s="692">
        <f>G14+H14</f>
        <v/>
      </c>
    </row>
    <row r="15" ht="14.25" customFormat="1" customHeight="1" s="96">
      <c r="A15" s="690" t="n">
        <v>42174</v>
      </c>
      <c r="B15" s="132" t="inlineStr">
        <is>
          <t>E 60607</t>
        </is>
      </c>
      <c r="C15" s="124" t="inlineStr">
        <is>
          <t>CAPRI SRL</t>
        </is>
      </c>
      <c r="D15" s="125" t="n"/>
      <c r="E15" s="126" t="inlineStr">
        <is>
          <t>Men's Hoody</t>
        </is>
      </c>
      <c r="F15" s="691" t="inlineStr">
        <is>
          <t>827 CT</t>
        </is>
      </c>
      <c r="G15" s="129" t="n"/>
      <c r="H15" s="691" t="n">
        <v>267888456</v>
      </c>
      <c r="I15" s="551" t="n"/>
      <c r="J15" s="551" t="n"/>
      <c r="K15" s="129" t="n"/>
      <c r="L15" s="551" t="n"/>
      <c r="M15" s="692">
        <f>G15+H15</f>
        <v/>
      </c>
    </row>
    <row r="16" ht="14.25" customFormat="1" customHeight="1" s="96">
      <c r="A16" s="690" t="n">
        <v>42174</v>
      </c>
      <c r="B16" s="132" t="inlineStr">
        <is>
          <t>E 59730</t>
        </is>
      </c>
      <c r="C16" s="124" t="inlineStr">
        <is>
          <t>LPP S.A</t>
        </is>
      </c>
      <c r="D16" s="125" t="n"/>
      <c r="E16" s="124" t="inlineStr">
        <is>
          <t>Men's Jogging Top</t>
        </is>
      </c>
      <c r="F16" s="691" t="inlineStr">
        <is>
          <t>815 CT</t>
        </is>
      </c>
      <c r="G16" s="129" t="n"/>
      <c r="H16" s="691" t="n">
        <v>233561904</v>
      </c>
      <c r="I16" s="551" t="n"/>
      <c r="J16" s="551" t="n"/>
      <c r="K16" s="129" t="n"/>
      <c r="L16" s="551" t="n"/>
      <c r="M16" s="692">
        <f>G16+H16</f>
        <v/>
      </c>
    </row>
    <row r="17" ht="14.25" customFormat="1" customHeight="1" s="96">
      <c r="A17" s="690" t="n">
        <v>42174</v>
      </c>
      <c r="B17" s="132" t="inlineStr">
        <is>
          <t>E 60079</t>
        </is>
      </c>
      <c r="C17" s="124" t="inlineStr">
        <is>
          <t>LPP S.A</t>
        </is>
      </c>
      <c r="D17" s="125" t="n"/>
      <c r="E17" s="126" t="inlineStr">
        <is>
          <t>Men's Sweater +Top</t>
        </is>
      </c>
      <c r="F17" s="691" t="inlineStr">
        <is>
          <t>400 CT</t>
        </is>
      </c>
      <c r="G17" s="129" t="n"/>
      <c r="H17" s="691" t="n">
        <v>106100285</v>
      </c>
      <c r="I17" s="551" t="n"/>
      <c r="J17" s="551" t="n"/>
      <c r="K17" s="129" t="n"/>
      <c r="L17" s="551" t="n"/>
      <c r="M17" s="692">
        <f>G17+H17</f>
        <v/>
      </c>
    </row>
    <row r="18" ht="14.25" customFormat="1" customHeight="1" s="96">
      <c r="A18" s="690" t="n">
        <v>42175</v>
      </c>
      <c r="B18" s="132" t="inlineStr">
        <is>
          <t>E 61426</t>
        </is>
      </c>
      <c r="C18" s="124" t="inlineStr">
        <is>
          <t>VISAGE LIMITED</t>
        </is>
      </c>
      <c r="D18" s="125" t="n"/>
      <c r="E18" s="126" t="inlineStr">
        <is>
          <t>Men's Pari / Monica / Leyton Crew</t>
        </is>
      </c>
      <c r="F18" s="691" t="inlineStr">
        <is>
          <t>556 CT</t>
        </is>
      </c>
      <c r="G18" s="129" t="n"/>
      <c r="H18" s="691" t="n">
        <v>145296432</v>
      </c>
      <c r="I18" s="551" t="n"/>
      <c r="J18" s="551" t="n"/>
      <c r="K18" s="129" t="n"/>
      <c r="L18" s="551" t="n"/>
      <c r="M18" s="692">
        <f>G18+H18</f>
        <v/>
      </c>
    </row>
    <row r="19" ht="14.25" customFormat="1" customHeight="1" s="96">
      <c r="A19" s="690" t="n">
        <v>42175</v>
      </c>
      <c r="B19" s="132" t="inlineStr">
        <is>
          <t>E 61432</t>
        </is>
      </c>
      <c r="C19" s="124" t="inlineStr">
        <is>
          <t>PRIMARK STORES LIMITED</t>
        </is>
      </c>
      <c r="D19" s="125" t="n"/>
      <c r="E19" s="126" t="inlineStr">
        <is>
          <t>See Val Note</t>
        </is>
      </c>
      <c r="F19" s="691" t="inlineStr">
        <is>
          <t>1220 CT</t>
        </is>
      </c>
      <c r="G19" s="129" t="n"/>
      <c r="H19" s="691" t="n">
        <v>299682480</v>
      </c>
      <c r="I19" s="551" t="n"/>
      <c r="J19" s="551" t="n"/>
      <c r="K19" s="129" t="n"/>
      <c r="L19" s="551" t="n"/>
      <c r="M19" s="692">
        <f>G19+H19</f>
        <v/>
      </c>
    </row>
    <row r="20" ht="14.25" customFormat="1" customHeight="1" s="96">
      <c r="A20" s="690" t="n">
        <v>42181</v>
      </c>
      <c r="B20" s="132" t="inlineStr">
        <is>
          <t>E 63424</t>
        </is>
      </c>
      <c r="C20" s="124" t="inlineStr">
        <is>
          <t>PRIMARK US CORP</t>
        </is>
      </c>
      <c r="D20" s="125" t="n"/>
      <c r="E20" s="126" t="inlineStr">
        <is>
          <t>Men Chest Print Zip</t>
        </is>
      </c>
      <c r="F20" s="691" t="inlineStr">
        <is>
          <t>37 CT</t>
        </is>
      </c>
      <c r="G20" s="129" t="n"/>
      <c r="H20" s="691" t="n">
        <v>6493691</v>
      </c>
      <c r="I20" s="551" t="n"/>
      <c r="J20" s="551" t="n"/>
      <c r="K20" s="129" t="n"/>
      <c r="L20" s="551" t="n"/>
      <c r="M20" s="692">
        <f>G20+H20</f>
        <v/>
      </c>
    </row>
    <row r="21" ht="14.25" customFormat="1" customHeight="1" s="96">
      <c r="A21" s="690" t="n">
        <v>42181</v>
      </c>
      <c r="B21" s="132" t="inlineStr">
        <is>
          <t>E 62715</t>
        </is>
      </c>
      <c r="C21" s="124" t="inlineStr">
        <is>
          <t>LPP S.A</t>
        </is>
      </c>
      <c r="D21" s="125" t="n"/>
      <c r="E21" s="126" t="inlineStr">
        <is>
          <t>Men's Top</t>
        </is>
      </c>
      <c r="F21" s="691" t="inlineStr">
        <is>
          <t>145 CT</t>
        </is>
      </c>
      <c r="G21" s="129" t="n"/>
      <c r="H21" s="691" t="n">
        <v>26361287</v>
      </c>
      <c r="I21" s="551" t="n"/>
      <c r="J21" s="551" t="n"/>
      <c r="K21" s="129" t="n"/>
      <c r="L21" s="551" t="n"/>
      <c r="M21" s="692">
        <f>G21+H21</f>
        <v/>
      </c>
    </row>
    <row r="22" ht="20.25" customFormat="1" customHeight="1" s="96">
      <c r="A22" s="690" t="n">
        <v>42181</v>
      </c>
      <c r="B22" s="132" t="inlineStr">
        <is>
          <t>E 63568</t>
        </is>
      </c>
      <c r="C22" s="124" t="inlineStr">
        <is>
          <t>VISAGE LIMITED</t>
        </is>
      </c>
      <c r="D22" s="125" t="n"/>
      <c r="E22" s="126" t="inlineStr">
        <is>
          <t>Men's Morgan Crew + Connect Crew+ Leyton</t>
        </is>
      </c>
      <c r="F22" s="691" t="inlineStr">
        <is>
          <t>338 CT</t>
        </is>
      </c>
      <c r="G22" s="129" t="n"/>
      <c r="H22" s="691" t="n">
        <v>94840834</v>
      </c>
      <c r="I22" s="551" t="n"/>
      <c r="J22" s="551" t="n"/>
      <c r="K22" s="129" t="n"/>
      <c r="L22" s="551" t="n"/>
      <c r="M22" s="692">
        <f>G22+H22</f>
        <v/>
      </c>
    </row>
    <row r="23" ht="14.25" customFormat="1" customHeight="1" s="139">
      <c r="A23" s="693">
        <f>L4</f>
        <v/>
      </c>
      <c r="B23" s="574" t="n"/>
      <c r="C23" s="574" t="n"/>
      <c r="D23" s="563" t="n"/>
      <c r="E23" s="133" t="inlineStr">
        <is>
          <t>Riel</t>
        </is>
      </c>
      <c r="F23" s="694">
        <f>SUM(F9:F22)</f>
        <v/>
      </c>
      <c r="G23" s="135" t="n"/>
      <c r="H23" s="695">
        <f>SUM(H9:H22)</f>
        <v/>
      </c>
      <c r="I23" s="137" t="n"/>
      <c r="J23" s="137" t="n"/>
      <c r="K23" s="137" t="n"/>
      <c r="L23" s="137" t="n"/>
      <c r="M23" s="696">
        <f>SUM(M9:M22)</f>
        <v/>
      </c>
    </row>
    <row r="24" ht="14.25" customFormat="1" customHeight="1" s="139" thickBot="1">
      <c r="A24" s="697" t="inlineStr">
        <is>
          <t>Total USD</t>
        </is>
      </c>
      <c r="B24" s="698" t="n"/>
      <c r="C24" s="698" t="n"/>
      <c r="D24" s="699" t="n"/>
      <c r="E24" s="140" t="inlineStr">
        <is>
          <t>USD</t>
        </is>
      </c>
      <c r="F24" s="700" t="n"/>
      <c r="G24" s="143">
        <f>G23/L4</f>
        <v/>
      </c>
      <c r="H24" s="701">
        <f>H23/L4</f>
        <v/>
      </c>
      <c r="I24" s="702">
        <f>I23*4034</f>
        <v/>
      </c>
      <c r="J24" s="702">
        <f>J23*4034</f>
        <v/>
      </c>
      <c r="K24" s="702">
        <f>K23*4034</f>
        <v/>
      </c>
      <c r="L24" s="702">
        <f>L23*4034</f>
        <v/>
      </c>
      <c r="M24" s="703">
        <f>M23/L4</f>
        <v/>
      </c>
    </row>
    <row r="25" ht="15.75" customFormat="1" customHeight="1" s="151">
      <c r="A25" s="147" t="n"/>
      <c r="B25" s="148" t="n"/>
      <c r="C25" s="148" t="n"/>
      <c r="D25" s="148" t="n"/>
      <c r="E25" s="148" t="n"/>
      <c r="F25" s="704" t="n"/>
      <c r="G25" s="148" t="inlineStr">
        <is>
          <t>Box 12</t>
        </is>
      </c>
      <c r="H25" s="150" t="inlineStr">
        <is>
          <t>Box 13</t>
        </is>
      </c>
      <c r="I25" s="148" t="inlineStr">
        <is>
          <t>Box 14</t>
        </is>
      </c>
      <c r="J25" s="148" t="inlineStr">
        <is>
          <t>Box 15</t>
        </is>
      </c>
      <c r="K25" s="148" t="inlineStr">
        <is>
          <t>Box 14</t>
        </is>
      </c>
      <c r="L25" s="148" t="inlineStr">
        <is>
          <t>Box 15</t>
        </is>
      </c>
      <c r="M25" s="148" t="n"/>
    </row>
    <row r="26" ht="14.25" customHeight="1" s="397">
      <c r="A26" s="152" t="n"/>
      <c r="B26" s="153" t="n"/>
      <c r="C26" s="153" t="n"/>
      <c r="D26" s="153" t="n"/>
      <c r="E26" s="153" t="n"/>
      <c r="F26" s="705" t="n"/>
      <c r="G26" s="153" t="n"/>
      <c r="H26" s="544" t="inlineStr">
        <is>
          <t>Approved By :</t>
        </is>
      </c>
    </row>
    <row r="27" ht="19.5" customHeight="1" s="397">
      <c r="H27" s="545" t="n"/>
      <c r="N27" s="706">
        <f>H23*1%</f>
        <v/>
      </c>
    </row>
    <row r="28" hidden="1" ht="18" customHeight="1" s="397">
      <c r="H28" s="707">
        <f>H24*1%</f>
        <v/>
      </c>
      <c r="I28" s="160" t="n"/>
      <c r="J28" s="708" t="n"/>
      <c r="K28" s="709" t="n"/>
      <c r="L28" s="709" t="n"/>
    </row>
    <row r="29" ht="14.25" customHeight="1" s="397">
      <c r="G29" s="155" t="inlineStr">
        <is>
          <t>Sales</t>
        </is>
      </c>
      <c r="H29" s="163" t="n"/>
      <c r="I29" s="537" t="n"/>
      <c r="L29" s="163" t="n"/>
    </row>
    <row r="30" ht="14.25" customHeight="1" s="397">
      <c r="C30" s="164" t="n"/>
      <c r="D30" s="165" t="n"/>
      <c r="E30" s="165" t="n"/>
      <c r="F30" s="710" t="n"/>
      <c r="G30" s="711" t="inlineStr">
        <is>
          <t>July</t>
        </is>
      </c>
      <c r="H30" s="712">
        <f>'Sale - Jul'!H30</f>
        <v/>
      </c>
      <c r="I30" s="713" t="inlineStr">
        <is>
          <t>21 invoices</t>
        </is>
      </c>
    </row>
    <row r="31" ht="14.25" customHeight="1" s="397">
      <c r="F31" s="685" t="n"/>
      <c r="G31" s="711" t="inlineStr">
        <is>
          <t>Aug</t>
        </is>
      </c>
      <c r="H31" s="714">
        <f>'Sale - Aug'!I47</f>
        <v/>
      </c>
      <c r="I31" s="713" t="inlineStr">
        <is>
          <t>38 invoices</t>
        </is>
      </c>
    </row>
    <row r="32" ht="14.25" customHeight="1" s="397">
      <c r="C32" s="170" t="n"/>
      <c r="D32" s="171" t="n"/>
      <c r="E32" s="172" t="n"/>
      <c r="F32" s="171" t="n"/>
      <c r="G32" s="711" t="inlineStr">
        <is>
          <t>June</t>
        </is>
      </c>
      <c r="H32" s="715">
        <f>H23</f>
        <v/>
      </c>
      <c r="I32" s="713" t="inlineStr">
        <is>
          <t>14 invoices</t>
        </is>
      </c>
      <c r="J32" s="175" t="n"/>
      <c r="K32" s="175" t="n"/>
    </row>
    <row r="33" ht="14.25" customHeight="1" s="397" thickBot="1">
      <c r="F33" s="685" t="n"/>
      <c r="G33" s="155" t="inlineStr">
        <is>
          <t>Total:</t>
        </is>
      </c>
      <c r="H33" s="716">
        <f>SUM(H30:H32)</f>
        <v/>
      </c>
      <c r="I33" s="177">
        <f>14+38+21</f>
        <v/>
      </c>
      <c r="J33" s="177" t="n"/>
      <c r="K33" s="139" t="n"/>
    </row>
    <row r="34" ht="14.25" customHeight="1" s="397" thickTop="1">
      <c r="H34" s="173" t="n"/>
      <c r="I34" s="717" t="n"/>
      <c r="J34" s="139" t="n"/>
      <c r="K34" s="139" t="n"/>
    </row>
    <row r="35" ht="14.25" customHeight="1" s="397">
      <c r="H35" s="718" t="n"/>
      <c r="I35" s="713" t="n"/>
      <c r="J35" s="139" t="n"/>
      <c r="K35" s="139" t="n"/>
    </row>
    <row r="36" ht="14.25" customHeight="1" s="397">
      <c r="H36" s="719" t="n"/>
      <c r="J36" s="139" t="n"/>
      <c r="K36" s="139" t="n"/>
      <c r="M36" s="720" t="n"/>
    </row>
    <row r="37" hidden="1" ht="14.25" customHeight="1" s="397">
      <c r="H37" s="721">
        <f>H24*1%</f>
        <v/>
      </c>
    </row>
    <row r="38" ht="14.25" customHeight="1" s="397">
      <c r="H38" s="175" t="n"/>
      <c r="I38" s="139" t="n"/>
    </row>
    <row r="39" ht="14.25" customHeight="1" s="397">
      <c r="H39" s="175" t="n"/>
    </row>
    <row r="40" ht="14.25" customHeight="1" s="397">
      <c r="H40" s="175" t="n"/>
    </row>
    <row r="41" ht="14.25" customHeight="1" s="397">
      <c r="H41" s="175" t="n"/>
    </row>
    <row r="42" ht="14.25" customHeight="1" s="397">
      <c r="H42" s="713" t="n"/>
    </row>
    <row r="43" ht="14.25" customHeight="1" s="397">
      <c r="H43" s="175" t="n"/>
    </row>
    <row r="44" ht="14.25" customHeight="1" s="397">
      <c r="H44" s="175" t="n"/>
    </row>
    <row r="45" ht="14.25" customHeight="1" s="397">
      <c r="H45" s="175" t="n"/>
    </row>
    <row r="46" ht="14.25" customHeight="1" s="397">
      <c r="H46" s="175" t="n"/>
    </row>
    <row r="47" ht="14.25" customHeight="1" s="397">
      <c r="H47" s="175" t="n"/>
    </row>
    <row r="48" ht="14.25" customHeight="1" s="397">
      <c r="H48" s="175" t="n"/>
    </row>
  </sheetData>
  <mergeCells count="15">
    <mergeCell ref="A23:D23"/>
    <mergeCell ref="K7:L7"/>
    <mergeCell ref="A1:M1"/>
    <mergeCell ref="I7:J7"/>
    <mergeCell ref="I6:L6"/>
    <mergeCell ref="H27:M27"/>
    <mergeCell ref="F6:G6"/>
    <mergeCell ref="A24:D24"/>
    <mergeCell ref="H36:I36"/>
    <mergeCell ref="A5:H5"/>
    <mergeCell ref="H37:I37"/>
    <mergeCell ref="H26:M26"/>
    <mergeCell ref="A2:M2"/>
    <mergeCell ref="I29:K29"/>
    <mergeCell ref="I5:L5"/>
  </mergeCells>
  <pageMargins left="0.45" right="0.16" top="0.51" bottom="0.5" header="0.46" footer="0.2"/>
  <pageSetup orientation="landscape" verticalDpi="0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55"/>
  <sheetViews>
    <sheetView topLeftCell="A16" zoomScale="145" zoomScaleNormal="145" workbookViewId="0">
      <selection activeCell="D32" sqref="D32"/>
    </sheetView>
  </sheetViews>
  <sheetFormatPr baseColWidth="8" defaultColWidth="9.109375" defaultRowHeight="14.25" customHeight="1"/>
  <cols>
    <col width="8.109375" customWidth="1" style="156" min="1" max="1"/>
    <col width="7" customWidth="1" style="155" min="2" max="2"/>
    <col width="19.33203125" customWidth="1" style="155" min="3" max="3"/>
    <col width="7.44140625" customWidth="1" style="155" min="4" max="4"/>
    <col width="17.88671875" customWidth="1" style="155" min="5" max="5"/>
    <col width="8.33203125" customWidth="1" style="685" min="6" max="6"/>
    <col width="11.109375" customWidth="1" style="155" min="7" max="7"/>
    <col width="11.88671875" customWidth="1" style="167" min="8" max="8"/>
    <col width="9" customWidth="1" style="155" min="9" max="9"/>
    <col width="5.44140625" customWidth="1" style="155" min="10" max="10"/>
    <col width="8.44140625" customWidth="1" style="155" min="11" max="11"/>
    <col width="4.33203125" customWidth="1" style="155" min="12" max="12"/>
    <col width="13.33203125" customWidth="1" style="155" min="13" max="13"/>
    <col width="15.109375" bestFit="1" customWidth="1" style="155" min="14" max="14"/>
    <col width="9.109375" customWidth="1" style="155" min="15" max="16384"/>
  </cols>
  <sheetData>
    <row r="1" ht="23.25" customFormat="1" customHeight="1" s="84">
      <c r="A1" s="546" t="inlineStr">
        <is>
          <t xml:space="preserve"> សៀវភៅទិនានុប្បវត្តិលក់- នាំចេញ</t>
        </is>
      </c>
      <c r="N1" s="83" t="n"/>
    </row>
    <row r="2" ht="22.5" customFormat="1" customHeight="1" s="85">
      <c r="A2" s="547" t="inlineStr">
        <is>
          <t xml:space="preserve"> ខែ​​ កក្កដា ឆ្នាំ ២០១៥</t>
        </is>
      </c>
      <c r="N2" s="83" t="n"/>
    </row>
    <row r="3" ht="22.5" customFormat="1" customHeight="1" s="95">
      <c r="A3" s="86" t="inlineStr">
        <is>
          <t xml:space="preserve">ជី អេវើរហ្រ្គីន( ខេមបូឌា​ ) នីតធីង  </t>
        </is>
      </c>
      <c r="B3" s="87" t="n"/>
      <c r="C3" s="547" t="n"/>
      <c r="D3" s="87" t="n"/>
      <c r="E3" s="547" t="n"/>
      <c r="F3" s="546" t="n"/>
      <c r="G3" s="546" t="n"/>
      <c r="H3" s="546" t="n"/>
      <c r="I3" s="90" t="n"/>
      <c r="J3" s="91" t="n"/>
      <c r="K3" s="86" t="inlineStr">
        <is>
          <t>Vat:100193102</t>
        </is>
      </c>
      <c r="L3" s="92" t="n"/>
      <c r="M3" s="93" t="n"/>
      <c r="N3" s="94" t="n"/>
      <c r="O3" s="94" t="n"/>
    </row>
    <row r="4" ht="18" customFormat="1" customHeight="1" s="104" thickBot="1">
      <c r="A4" s="96" t="inlineStr">
        <is>
          <t xml:space="preserve">ភូមិជ្រៃកោង សង្កាត់ចោមចៅ ខណ្ឌ ពោធិសែនជ័យ ក្រុង ភ្នំពេញ </t>
        </is>
      </c>
      <c r="B4" s="97" t="n"/>
      <c r="C4" s="98" t="n"/>
      <c r="D4" s="99" t="n"/>
      <c r="E4" s="99" t="n"/>
      <c r="F4" s="100" t="n"/>
      <c r="G4" s="100" t="n"/>
      <c r="H4" s="100" t="n"/>
      <c r="I4" s="101" t="n"/>
      <c r="J4" s="93" t="n"/>
      <c r="K4" s="97" t="inlineStr">
        <is>
          <t>Average:</t>
        </is>
      </c>
      <c r="L4" s="102" t="n">
        <v>4099</v>
      </c>
      <c r="M4" s="93" t="n"/>
      <c r="N4" s="103" t="n"/>
      <c r="O4" s="94" t="n"/>
    </row>
    <row r="5" ht="16.5" customFormat="1" customHeight="1" s="104">
      <c r="A5" s="548" t="inlineStr">
        <is>
          <t>វិក្ក័យប័ត្រ</t>
        </is>
      </c>
      <c r="B5" s="686" t="n"/>
      <c r="C5" s="686" t="n"/>
      <c r="D5" s="686" t="n"/>
      <c r="E5" s="686" t="n"/>
      <c r="F5" s="686" t="n"/>
      <c r="G5" s="686" t="n"/>
      <c r="H5" s="686" t="n"/>
      <c r="I5" s="550" t="inlineStr">
        <is>
          <t>ការផ្គត់ផ្គង់</t>
        </is>
      </c>
      <c r="J5" s="686" t="n"/>
      <c r="K5" s="686" t="n"/>
      <c r="L5" s="687" t="n"/>
      <c r="M5" s="105" t="n"/>
    </row>
    <row r="6" ht="14.25" customFormat="1" customHeight="1" s="104">
      <c r="A6" s="106" t="inlineStr">
        <is>
          <t>កាលបរិចេ្ឆទ</t>
        </is>
      </c>
      <c r="B6" s="107" t="inlineStr">
        <is>
          <t>វិក្ក័យប័ត្រ</t>
        </is>
      </c>
      <c r="C6" s="107" t="inlineStr">
        <is>
          <t>អ្នកទិញ</t>
        </is>
      </c>
      <c r="D6" s="107" t="inlineStr">
        <is>
          <t>លេខ អតប</t>
        </is>
      </c>
      <c r="E6" s="107" t="inlineStr">
        <is>
          <t>បរិយាយ</t>
        </is>
      </c>
      <c r="F6" s="551" t="inlineStr">
        <is>
          <t>បរិមាណ</t>
        </is>
      </c>
      <c r="G6" s="563" t="n"/>
      <c r="H6" s="108" t="n"/>
      <c r="I6" s="552" t="inlineStr">
        <is>
          <t>karlk;Cab;Gakr</t>
        </is>
      </c>
      <c r="J6" s="580" t="n"/>
      <c r="K6" s="580" t="n"/>
      <c r="L6" s="601" t="n"/>
      <c r="M6" s="109" t="inlineStr">
        <is>
          <t>សរុបថ្លៃទិញ</t>
        </is>
      </c>
    </row>
    <row r="7" ht="14.25" customFormat="1" customHeight="1" s="104">
      <c r="A7" s="110" t="n"/>
      <c r="B7" s="111" t="n"/>
      <c r="C7" s="111" t="n"/>
      <c r="D7" s="112" t="inlineStr">
        <is>
          <t>TIN</t>
        </is>
      </c>
      <c r="E7" s="113" t="n"/>
      <c r="F7" s="688" t="n"/>
      <c r="G7" s="114" t="inlineStr">
        <is>
          <t>ការផ្គត់ផ្គង់</t>
        </is>
      </c>
      <c r="H7" s="114" t="inlineStr">
        <is>
          <t>ការនាំចេញ</t>
        </is>
      </c>
      <c r="I7" s="540" t="inlineStr">
        <is>
          <t>lk;;»übuKþlCab;Gakr</t>
        </is>
      </c>
      <c r="J7" s="563" t="n"/>
      <c r="K7" s="540" t="inlineStr">
        <is>
          <t>lk;;»üGñkeRbIR)as;</t>
        </is>
      </c>
      <c r="L7" s="563" t="n"/>
      <c r="M7" s="109" t="inlineStr">
        <is>
          <t>រួមទាំអាករ</t>
        </is>
      </c>
    </row>
    <row r="8" ht="14.25" customFormat="1" customHeight="1" s="104">
      <c r="A8" s="115" t="n"/>
      <c r="B8" s="116" t="n"/>
      <c r="C8" s="116" t="n"/>
      <c r="D8" s="117" t="n"/>
      <c r="E8" s="118" t="n"/>
      <c r="F8" s="689" t="n"/>
      <c r="G8" s="184" t="inlineStr">
        <is>
          <t>មិនជាប់អាករ</t>
        </is>
      </c>
      <c r="H8" s="119" t="inlineStr">
        <is>
          <t>អត្រា​​ 0 %</t>
        </is>
      </c>
      <c r="I8" s="551" t="inlineStr">
        <is>
          <t>តំលៃជាប់អាករ</t>
        </is>
      </c>
      <c r="J8" s="551" t="inlineStr">
        <is>
          <t>អាករ</t>
        </is>
      </c>
      <c r="K8" s="551" t="inlineStr">
        <is>
          <t>តំលៃជាប់អាករ</t>
        </is>
      </c>
      <c r="L8" s="551" t="inlineStr">
        <is>
          <t>អាករ</t>
        </is>
      </c>
      <c r="M8" s="121" t="n"/>
    </row>
    <row r="9" ht="14.25" customFormat="1" customHeight="1" s="96">
      <c r="A9" s="690" t="n">
        <v>42188</v>
      </c>
      <c r="B9" s="123" t="inlineStr">
        <is>
          <t>E 65884</t>
        </is>
      </c>
      <c r="C9" s="124" t="inlineStr">
        <is>
          <t>LPP S.A</t>
        </is>
      </c>
      <c r="D9" s="125" t="n"/>
      <c r="E9" s="126" t="inlineStr">
        <is>
          <t>Men's Jogging Top</t>
        </is>
      </c>
      <c r="F9" s="691" t="inlineStr">
        <is>
          <t>1841 CT</t>
        </is>
      </c>
      <c r="G9" s="129" t="n"/>
      <c r="H9" s="691" t="n">
        <v>469164366</v>
      </c>
      <c r="I9" s="551" t="n"/>
      <c r="J9" s="551" t="n"/>
      <c r="K9" s="129" t="n"/>
      <c r="L9" s="551" t="n"/>
      <c r="M9" s="692">
        <f>G9+H9</f>
        <v/>
      </c>
    </row>
    <row r="10" ht="14.25" customFormat="1" customHeight="1" s="96">
      <c r="A10" s="690" t="n">
        <v>42188</v>
      </c>
      <c r="B10" s="123" t="inlineStr">
        <is>
          <t>E 65884</t>
        </is>
      </c>
      <c r="C10" s="124" t="inlineStr">
        <is>
          <t>LPP S.A</t>
        </is>
      </c>
      <c r="D10" s="125" t="n"/>
      <c r="E10" s="126" t="inlineStr">
        <is>
          <t>Men's Knit Trousers</t>
        </is>
      </c>
      <c r="F10" s="691" t="inlineStr">
        <is>
          <t>631 CT</t>
        </is>
      </c>
      <c r="G10" s="129" t="n"/>
      <c r="H10" s="691" t="n">
        <v>224637197</v>
      </c>
      <c r="I10" s="551" t="n"/>
      <c r="J10" s="551" t="n"/>
      <c r="K10" s="129" t="n"/>
      <c r="L10" s="551" t="n"/>
      <c r="M10" s="692">
        <f>G10+H10</f>
        <v/>
      </c>
    </row>
    <row r="11" ht="14.25" customFormat="1" customHeight="1" s="96">
      <c r="A11" s="690" t="n">
        <v>42188</v>
      </c>
      <c r="B11" s="123" t="inlineStr">
        <is>
          <t>E 65484</t>
        </is>
      </c>
      <c r="C11" s="124" t="inlineStr">
        <is>
          <t>Primark Tiendas Slu</t>
        </is>
      </c>
      <c r="D11" s="125" t="n"/>
      <c r="E11" s="126" t="inlineStr">
        <is>
          <t>Men's Zip Thru Hoody</t>
        </is>
      </c>
      <c r="F11" s="691" t="inlineStr">
        <is>
          <t>343 CT</t>
        </is>
      </c>
      <c r="G11" s="129" t="n"/>
      <c r="H11" s="691" t="n">
        <v>88553682</v>
      </c>
      <c r="I11" s="551" t="n"/>
      <c r="J11" s="551" t="n"/>
      <c r="K11" s="129" t="n"/>
      <c r="L11" s="551" t="n"/>
      <c r="M11" s="692">
        <f>G11+H11</f>
        <v/>
      </c>
    </row>
    <row r="12" ht="14.25" customFormat="1" customHeight="1" s="96">
      <c r="A12" s="690" t="n">
        <v>42189</v>
      </c>
      <c r="B12" s="123" t="inlineStr">
        <is>
          <t>E 67494</t>
        </is>
      </c>
      <c r="C12" s="124" t="inlineStr">
        <is>
          <t>PRIMARK</t>
        </is>
      </c>
      <c r="D12" s="125" t="n"/>
      <c r="E12" s="126" t="inlineStr">
        <is>
          <t>Men's Long Sleeve Zip Thru Hoodie</t>
        </is>
      </c>
      <c r="F12" s="691" t="inlineStr">
        <is>
          <t>1093 CT</t>
        </is>
      </c>
      <c r="G12" s="129" t="n"/>
      <c r="H12" s="691" t="n">
        <v>282184182</v>
      </c>
      <c r="I12" s="551" t="n"/>
      <c r="J12" s="551" t="n"/>
      <c r="K12" s="129" t="n"/>
      <c r="L12" s="551" t="n"/>
      <c r="M12" s="692">
        <f>G12+H12</f>
        <v/>
      </c>
    </row>
    <row r="13" ht="14.25" customFormat="1" customHeight="1" s="96">
      <c r="A13" s="690" t="n">
        <v>42194</v>
      </c>
      <c r="B13" s="123" t="inlineStr">
        <is>
          <t>E 68109</t>
        </is>
      </c>
      <c r="C13" s="124" t="inlineStr">
        <is>
          <t>PRIMARK STORES LIMITED</t>
        </is>
      </c>
      <c r="D13" s="125" t="n"/>
      <c r="E13" s="126" t="inlineStr">
        <is>
          <t>7B (Boy) Core Hoody</t>
        </is>
      </c>
      <c r="F13" s="691" t="inlineStr">
        <is>
          <t>600 CT</t>
        </is>
      </c>
      <c r="G13" s="129" t="n"/>
      <c r="H13" s="691" t="n">
        <v>137692800</v>
      </c>
      <c r="I13" s="551" t="n"/>
      <c r="J13" s="551" t="n"/>
      <c r="K13" s="129" t="n"/>
      <c r="L13" s="551" t="n"/>
      <c r="M13" s="692">
        <f>G13+H13</f>
        <v/>
      </c>
    </row>
    <row r="14" ht="14.25" customFormat="1" customHeight="1" s="96">
      <c r="A14" s="690" t="n">
        <v>42194</v>
      </c>
      <c r="B14" s="123" t="inlineStr">
        <is>
          <t>E 68146</t>
        </is>
      </c>
      <c r="C14" s="124" t="inlineStr">
        <is>
          <t>PRIMARK</t>
        </is>
      </c>
      <c r="D14" s="125" t="n"/>
      <c r="E14" s="126" t="inlineStr">
        <is>
          <t>Men's Zip Thru Hoody</t>
        </is>
      </c>
      <c r="F14" s="691" t="inlineStr">
        <is>
          <t>772 CT</t>
        </is>
      </c>
      <c r="G14" s="129" t="n"/>
      <c r="H14" s="691" t="n">
        <v>199310328</v>
      </c>
      <c r="I14" s="551" t="n"/>
      <c r="J14" s="551" t="n"/>
      <c r="K14" s="129" t="n"/>
      <c r="L14" s="551" t="n"/>
      <c r="M14" s="692">
        <f>G14+H14</f>
        <v/>
      </c>
    </row>
    <row r="15" ht="14.25" customFormat="1" customHeight="1" s="96">
      <c r="A15" s="690" t="n">
        <v>42195</v>
      </c>
      <c r="B15" s="123" t="inlineStr">
        <is>
          <t>E 69396</t>
        </is>
      </c>
      <c r="C15" s="124" t="inlineStr">
        <is>
          <t>LPP S.A</t>
        </is>
      </c>
      <c r="D15" s="125" t="n"/>
      <c r="E15" s="126" t="inlineStr">
        <is>
          <t>Men's Knit Sweater + Jogging Top</t>
        </is>
      </c>
      <c r="F15" s="691" t="inlineStr">
        <is>
          <t>1133 CT</t>
        </is>
      </c>
      <c r="G15" s="129" t="n"/>
      <c r="H15" s="691" t="n">
        <v>222232983</v>
      </c>
      <c r="I15" s="551" t="n"/>
      <c r="J15" s="551" t="n"/>
      <c r="K15" s="129" t="n"/>
      <c r="L15" s="551" t="n"/>
      <c r="M15" s="692">
        <f>G15+H15</f>
        <v/>
      </c>
    </row>
    <row r="16" ht="14.25" customFormat="1" customHeight="1" s="96">
      <c r="A16" s="690" t="n">
        <v>42195</v>
      </c>
      <c r="B16" s="123" t="inlineStr">
        <is>
          <t>E 69396</t>
        </is>
      </c>
      <c r="C16" s="124" t="inlineStr">
        <is>
          <t>LPP S.A</t>
        </is>
      </c>
      <c r="D16" s="125" t="n"/>
      <c r="E16" s="126" t="inlineStr">
        <is>
          <t>Men's Knit Trousers</t>
        </is>
      </c>
      <c r="F16" s="691" t="inlineStr">
        <is>
          <t>39 CT</t>
        </is>
      </c>
      <c r="G16" s="129" t="n"/>
      <c r="H16" s="691" t="n">
        <v>15787217</v>
      </c>
      <c r="I16" s="551" t="n"/>
      <c r="J16" s="551" t="n"/>
      <c r="K16" s="129" t="n"/>
      <c r="L16" s="551" t="n"/>
      <c r="M16" s="692">
        <f>G16+H16</f>
        <v/>
      </c>
    </row>
    <row r="17" ht="14.25" customFormat="1" customHeight="1" s="96">
      <c r="A17" s="690" t="n">
        <v>42195</v>
      </c>
      <c r="B17" s="123" t="inlineStr">
        <is>
          <t>E 69549</t>
        </is>
      </c>
      <c r="C17" s="124" t="inlineStr">
        <is>
          <t>PRIMARK STORES LIMITED</t>
        </is>
      </c>
      <c r="D17" s="125" t="n"/>
      <c r="E17" s="126" t="inlineStr">
        <is>
          <t>Men + Boy Hoodies</t>
        </is>
      </c>
      <c r="F17" s="691" t="inlineStr">
        <is>
          <t>638 CT</t>
        </is>
      </c>
      <c r="G17" s="129" t="n"/>
      <c r="H17" s="691" t="n">
        <v>147298512</v>
      </c>
      <c r="I17" s="551" t="n"/>
      <c r="J17" s="551" t="n"/>
      <c r="K17" s="129" t="n"/>
      <c r="L17" s="551" t="n"/>
      <c r="M17" s="692">
        <f>G17+H17</f>
        <v/>
      </c>
    </row>
    <row r="18" ht="14.25" customFormat="1" customHeight="1" s="96">
      <c r="A18" s="690" t="n">
        <v>42196</v>
      </c>
      <c r="B18" s="123" t="inlineStr">
        <is>
          <t>E 70637</t>
        </is>
      </c>
      <c r="C18" s="124" t="inlineStr">
        <is>
          <t>LPP S.A</t>
        </is>
      </c>
      <c r="D18" s="125" t="n"/>
      <c r="E18" s="126" t="inlineStr">
        <is>
          <t>Ladies Jogging Top</t>
        </is>
      </c>
      <c r="F18" s="691" t="inlineStr">
        <is>
          <t>490 CT</t>
        </is>
      </c>
      <c r="G18" s="129" t="n"/>
      <c r="H18" s="691" t="n">
        <v>108300780</v>
      </c>
      <c r="I18" s="551" t="n"/>
      <c r="J18" s="551" t="n"/>
      <c r="K18" s="129" t="n"/>
      <c r="L18" s="551" t="n"/>
      <c r="M18" s="692">
        <f>G18+H18</f>
        <v/>
      </c>
    </row>
    <row r="19" ht="14.25" customFormat="1" customHeight="1" s="96">
      <c r="A19" s="690" t="n">
        <v>42196</v>
      </c>
      <c r="B19" s="123" t="inlineStr">
        <is>
          <t>E 70637</t>
        </is>
      </c>
      <c r="C19" s="124" t="inlineStr">
        <is>
          <t>LPP S.A</t>
        </is>
      </c>
      <c r="D19" s="125" t="n"/>
      <c r="E19" s="126" t="inlineStr">
        <is>
          <t>Men's Knit Trousers</t>
        </is>
      </c>
      <c r="F19" s="691" t="inlineStr">
        <is>
          <t>99 CT</t>
        </is>
      </c>
      <c r="G19" s="129" t="n"/>
      <c r="H19" s="691" t="n">
        <v>39649873</v>
      </c>
      <c r="I19" s="551" t="n"/>
      <c r="J19" s="551" t="n"/>
      <c r="K19" s="129" t="n"/>
      <c r="L19" s="551" t="n"/>
      <c r="M19" s="692">
        <f>G19+H19</f>
        <v/>
      </c>
    </row>
    <row r="20" ht="14.25" customFormat="1" customHeight="1" s="96">
      <c r="A20" s="690" t="n">
        <v>42196</v>
      </c>
      <c r="B20" s="123" t="inlineStr">
        <is>
          <t>E 70627</t>
        </is>
      </c>
      <c r="C20" s="124" t="inlineStr">
        <is>
          <t>Primark Tiendas Slu</t>
        </is>
      </c>
      <c r="D20" s="125" t="n"/>
      <c r="E20" s="126" t="inlineStr">
        <is>
          <t>Men's Zip Thru Hoody</t>
        </is>
      </c>
      <c r="F20" s="691" t="inlineStr">
        <is>
          <t>2066 CT</t>
        </is>
      </c>
      <c r="G20" s="129" t="n"/>
      <c r="H20" s="691" t="n">
        <v>532736694</v>
      </c>
      <c r="I20" s="551" t="n"/>
      <c r="J20" s="551" t="n"/>
      <c r="K20" s="129" t="n"/>
      <c r="L20" s="551" t="n"/>
      <c r="M20" s="692">
        <f>G20+H20</f>
        <v/>
      </c>
    </row>
    <row r="21" ht="14.25" customFormat="1" customHeight="1" s="96">
      <c r="A21" s="690" t="n">
        <v>42200</v>
      </c>
      <c r="B21" s="123" t="inlineStr">
        <is>
          <t>E 12774</t>
        </is>
      </c>
      <c r="C21" s="124" t="inlineStr">
        <is>
          <t>PRIMARK STORES LIMITED</t>
        </is>
      </c>
      <c r="D21" s="125" t="n"/>
      <c r="E21" s="126" t="inlineStr">
        <is>
          <t>2B Core Hoody</t>
        </is>
      </c>
      <c r="F21" s="691" t="inlineStr">
        <is>
          <t>540 CT</t>
        </is>
      </c>
      <c r="G21" s="129" t="n"/>
      <c r="H21" s="691" t="n">
        <v>111616110</v>
      </c>
      <c r="I21" s="551" t="n"/>
      <c r="J21" s="551" t="n"/>
      <c r="K21" s="129" t="n"/>
      <c r="L21" s="551" t="n"/>
      <c r="M21" s="692">
        <f>G21+H21</f>
        <v/>
      </c>
    </row>
    <row r="22" ht="14.25" customFormat="1" customHeight="1" s="96">
      <c r="A22" s="690" t="n">
        <v>42202</v>
      </c>
      <c r="B22" s="123" t="inlineStr">
        <is>
          <t>E 71959</t>
        </is>
      </c>
      <c r="C22" s="124" t="inlineStr">
        <is>
          <t>LPP S.A</t>
        </is>
      </c>
      <c r="D22" s="125" t="n"/>
      <c r="E22" s="126" t="inlineStr">
        <is>
          <t>Men's  Knit Jogging Top</t>
        </is>
      </c>
      <c r="F22" s="691" t="inlineStr">
        <is>
          <t>796 CT</t>
        </is>
      </c>
      <c r="G22" s="129" t="n"/>
      <c r="H22" s="691" t="n">
        <v>145841012</v>
      </c>
      <c r="I22" s="551" t="n"/>
      <c r="J22" s="551" t="n"/>
      <c r="K22" s="129" t="n"/>
      <c r="L22" s="551" t="n"/>
      <c r="M22" s="692">
        <f>G22+H22</f>
        <v/>
      </c>
    </row>
    <row r="23" ht="14.25" customFormat="1" customHeight="1" s="96">
      <c r="A23" s="690" t="n">
        <v>42203</v>
      </c>
      <c r="B23" s="123" t="inlineStr">
        <is>
          <t xml:space="preserve"> E 73334</t>
        </is>
      </c>
      <c r="C23" s="124" t="inlineStr">
        <is>
          <t>VDR FASHION GROUP BV</t>
        </is>
      </c>
      <c r="D23" s="125" t="n"/>
      <c r="E23" s="126" t="inlineStr">
        <is>
          <t>Ladies Skirt</t>
        </is>
      </c>
      <c r="F23" s="691" t="inlineStr">
        <is>
          <t>38 CT</t>
        </is>
      </c>
      <c r="G23" s="129" t="n"/>
      <c r="H23" s="691" t="n">
        <v>30111334</v>
      </c>
      <c r="I23" s="551" t="n"/>
      <c r="J23" s="551" t="n"/>
      <c r="K23" s="129" t="n"/>
      <c r="L23" s="551" t="n"/>
      <c r="M23" s="692">
        <f>G23+H23</f>
        <v/>
      </c>
    </row>
    <row r="24" ht="14.25" customFormat="1" customHeight="1" s="96">
      <c r="A24" s="690" t="n">
        <v>42203</v>
      </c>
      <c r="B24" s="123" t="inlineStr">
        <is>
          <t>E 73525</t>
        </is>
      </c>
      <c r="C24" s="124" t="inlineStr">
        <is>
          <t>A.LEVY &amp; SON LIMITED</t>
        </is>
      </c>
      <c r="D24" s="125" t="n"/>
      <c r="E24" s="126" t="inlineStr">
        <is>
          <t>Men's Neck Pullover</t>
        </is>
      </c>
      <c r="F24" s="691" t="inlineStr">
        <is>
          <t>346 CT</t>
        </is>
      </c>
      <c r="G24" s="129" t="n"/>
      <c r="H24" s="691" t="n">
        <v>149495808</v>
      </c>
      <c r="I24" s="551" t="n"/>
      <c r="J24" s="551" t="n"/>
      <c r="K24" s="129" t="n"/>
      <c r="L24" s="551" t="n"/>
      <c r="M24" s="692">
        <f>G24+H24</f>
        <v/>
      </c>
    </row>
    <row r="25" ht="14.25" customFormat="1" customHeight="1" s="96">
      <c r="A25" s="690" t="n">
        <v>42203</v>
      </c>
      <c r="B25" s="123" t="inlineStr">
        <is>
          <t>E 73514</t>
        </is>
      </c>
      <c r="C25" s="124" t="inlineStr">
        <is>
          <t>LPP S.A</t>
        </is>
      </c>
      <c r="D25" s="125" t="n"/>
      <c r="E25" s="126" t="inlineStr">
        <is>
          <t>Ladies Jogging Top</t>
        </is>
      </c>
      <c r="F25" s="691" t="inlineStr">
        <is>
          <t>349 CT</t>
        </is>
      </c>
      <c r="G25" s="129" t="n"/>
      <c r="H25" s="691" t="n">
        <v>96535757</v>
      </c>
      <c r="I25" s="551" t="n"/>
      <c r="J25" s="551" t="n"/>
      <c r="K25" s="129" t="n"/>
      <c r="L25" s="551" t="n"/>
      <c r="M25" s="692">
        <f>G25+H25</f>
        <v/>
      </c>
    </row>
    <row r="26" ht="14.25" customFormat="1" customHeight="1" s="96">
      <c r="A26" s="690" t="n">
        <v>42203</v>
      </c>
      <c r="B26" s="123" t="inlineStr">
        <is>
          <t>E 73514</t>
        </is>
      </c>
      <c r="C26" s="124" t="inlineStr">
        <is>
          <t>LPP S.A</t>
        </is>
      </c>
      <c r="D26" s="125" t="n"/>
      <c r="E26" s="126" t="inlineStr">
        <is>
          <t>Men's  Knit Jogging Top</t>
        </is>
      </c>
      <c r="F26" s="691" t="inlineStr">
        <is>
          <t>228 CT</t>
        </is>
      </c>
      <c r="G26" s="129" t="n"/>
      <c r="H26" s="691" t="n">
        <v>67763405</v>
      </c>
      <c r="I26" s="551" t="n"/>
      <c r="J26" s="551" t="n"/>
      <c r="K26" s="129" t="n"/>
      <c r="L26" s="551" t="n"/>
      <c r="M26" s="692">
        <f>G26+H26</f>
        <v/>
      </c>
    </row>
    <row r="27" ht="14.25" customFormat="1" customHeight="1" s="96">
      <c r="A27" s="690" t="n">
        <v>42203</v>
      </c>
      <c r="B27" s="123" t="inlineStr">
        <is>
          <t>E 73514</t>
        </is>
      </c>
      <c r="C27" s="124" t="inlineStr">
        <is>
          <t>LPP S.A</t>
        </is>
      </c>
      <c r="D27" s="125" t="n"/>
      <c r="E27" s="126" t="inlineStr">
        <is>
          <t>Men's Knit Jogging Top</t>
        </is>
      </c>
      <c r="F27" s="691" t="inlineStr">
        <is>
          <t>200CT</t>
        </is>
      </c>
      <c r="G27" s="129" t="n"/>
      <c r="H27" s="691" t="n">
        <v>45686784</v>
      </c>
      <c r="I27" s="551" t="n"/>
      <c r="J27" s="551" t="n"/>
      <c r="K27" s="129" t="n"/>
      <c r="L27" s="551" t="n"/>
      <c r="M27" s="692">
        <f>G27+H27</f>
        <v/>
      </c>
    </row>
    <row r="28" ht="14.25" customFormat="1" customHeight="1" s="96">
      <c r="A28" s="690" t="n">
        <v>42203</v>
      </c>
      <c r="B28" s="123" t="inlineStr">
        <is>
          <t>E 73524</t>
        </is>
      </c>
      <c r="C28" s="124" t="inlineStr">
        <is>
          <t>VDR FASHION GROUP BV</t>
        </is>
      </c>
      <c r="D28" s="125" t="n"/>
      <c r="E28" s="126" t="inlineStr">
        <is>
          <t>Ladies Knitted Tregging</t>
        </is>
      </c>
      <c r="F28" s="691" t="inlineStr">
        <is>
          <t>245 CT</t>
        </is>
      </c>
      <c r="G28" s="129" t="n"/>
      <c r="H28" s="691" t="n">
        <v>150505472</v>
      </c>
      <c r="I28" s="551" t="n"/>
      <c r="J28" s="551" t="n"/>
      <c r="K28" s="129" t="n"/>
      <c r="L28" s="551" t="n"/>
      <c r="M28" s="692">
        <f>G28+H28</f>
        <v/>
      </c>
    </row>
    <row r="29" ht="13.5" customFormat="1" customHeight="1" s="96">
      <c r="A29" s="690" t="n">
        <v>42203</v>
      </c>
      <c r="B29" s="123" t="inlineStr">
        <is>
          <t>E 73524</t>
        </is>
      </c>
      <c r="C29" s="124" t="inlineStr">
        <is>
          <t>VDR FASHION GROUP BV</t>
        </is>
      </c>
      <c r="D29" s="125" t="n"/>
      <c r="E29" s="126" t="inlineStr">
        <is>
          <t>Ladies Knitted Blazer</t>
        </is>
      </c>
      <c r="F29" s="691" t="inlineStr">
        <is>
          <t>191 CT</t>
        </is>
      </c>
      <c r="G29" s="129" t="n"/>
      <c r="H29" s="691" t="n">
        <v>114575606</v>
      </c>
      <c r="I29" s="551" t="n"/>
      <c r="J29" s="551" t="n"/>
      <c r="K29" s="129" t="n"/>
      <c r="L29" s="551" t="n"/>
      <c r="M29" s="692">
        <f>G29+H29</f>
        <v/>
      </c>
    </row>
    <row r="30" ht="14.25" customFormat="1" customHeight="1" s="139">
      <c r="A30" s="693">
        <f>L4</f>
        <v/>
      </c>
      <c r="B30" s="574" t="n"/>
      <c r="C30" s="574" t="n"/>
      <c r="D30" s="563" t="n"/>
      <c r="E30" s="133" t="inlineStr">
        <is>
          <t>Riel</t>
        </is>
      </c>
      <c r="F30" s="694">
        <f>SUM(F9:F29)</f>
        <v/>
      </c>
      <c r="G30" s="135" t="n"/>
      <c r="H30" s="695">
        <f>SUM(H9:H29)</f>
        <v/>
      </c>
      <c r="I30" s="137" t="n"/>
      <c r="J30" s="137" t="n"/>
      <c r="K30" s="137" t="n"/>
      <c r="L30" s="137" t="n"/>
      <c r="M30" s="696">
        <f>SUM(M9:M29)</f>
        <v/>
      </c>
    </row>
    <row r="31" ht="14.25" customFormat="1" customHeight="1" s="139" thickBot="1">
      <c r="A31" s="697" t="inlineStr">
        <is>
          <t>Total USD</t>
        </is>
      </c>
      <c r="B31" s="698" t="n"/>
      <c r="C31" s="698" t="n"/>
      <c r="D31" s="699" t="n"/>
      <c r="E31" s="140" t="inlineStr">
        <is>
          <t>USD</t>
        </is>
      </c>
      <c r="F31" s="700" t="n"/>
      <c r="G31" s="143">
        <f>G30/L4</f>
        <v/>
      </c>
      <c r="H31" s="701">
        <f>H30/L4</f>
        <v/>
      </c>
      <c r="I31" s="702">
        <f>I30*4034</f>
        <v/>
      </c>
      <c r="J31" s="702">
        <f>J30*4034</f>
        <v/>
      </c>
      <c r="K31" s="702">
        <f>K30*4034</f>
        <v/>
      </c>
      <c r="L31" s="702">
        <f>L30*4034</f>
        <v/>
      </c>
      <c r="M31" s="703">
        <f>M30/L4</f>
        <v/>
      </c>
    </row>
    <row r="32" ht="15.75" customFormat="1" customHeight="1" s="151">
      <c r="A32" s="147" t="n"/>
      <c r="B32" s="148" t="n"/>
      <c r="C32" s="148" t="n"/>
      <c r="D32" s="148" t="n"/>
      <c r="E32" s="148" t="n"/>
      <c r="F32" s="704" t="n"/>
      <c r="G32" s="148" t="inlineStr">
        <is>
          <t>Box 12</t>
        </is>
      </c>
      <c r="H32" s="150" t="inlineStr">
        <is>
          <t>Box 13</t>
        </is>
      </c>
      <c r="I32" s="148" t="inlineStr">
        <is>
          <t>Box 14</t>
        </is>
      </c>
      <c r="J32" s="148" t="inlineStr">
        <is>
          <t>Box 15</t>
        </is>
      </c>
      <c r="K32" s="148" t="inlineStr">
        <is>
          <t>Box 14</t>
        </is>
      </c>
      <c r="L32" s="148" t="inlineStr">
        <is>
          <t>Box 15</t>
        </is>
      </c>
      <c r="M32" s="148" t="n"/>
    </row>
    <row r="33" ht="14.25" customHeight="1" s="397">
      <c r="A33" s="152" t="n"/>
      <c r="B33" s="153" t="n"/>
      <c r="C33" s="153" t="n"/>
      <c r="D33" s="153" t="n"/>
      <c r="E33" s="153" t="n"/>
      <c r="F33" s="705" t="n"/>
      <c r="G33" s="153" t="n"/>
      <c r="H33" s="544" t="inlineStr">
        <is>
          <t>Approved By :</t>
        </is>
      </c>
    </row>
    <row r="34" ht="19.5" customHeight="1" s="397">
      <c r="H34" s="545" t="n"/>
      <c r="N34" s="706" t="n"/>
    </row>
    <row r="35" hidden="1" ht="18" customHeight="1" s="397">
      <c r="H35" s="707">
        <f>H31*1%</f>
        <v/>
      </c>
      <c r="I35" s="160" t="n"/>
      <c r="J35" s="722" t="n"/>
      <c r="K35" s="709" t="n"/>
      <c r="L35" s="709" t="n"/>
    </row>
    <row r="36" ht="14.25" customHeight="1" s="397">
      <c r="H36" s="163" t="n"/>
      <c r="I36" s="537" t="n"/>
      <c r="L36" s="163" t="n"/>
    </row>
    <row r="37" ht="14.25" customHeight="1" s="397">
      <c r="C37" s="164" t="n"/>
      <c r="D37" s="165" t="n"/>
      <c r="E37" s="165" t="n"/>
      <c r="F37" s="710" t="n"/>
    </row>
    <row r="38" ht="14.25" customHeight="1" s="397">
      <c r="F38" s="685" t="n"/>
      <c r="G38" s="723" t="n"/>
      <c r="I38" s="169" t="n"/>
    </row>
    <row r="39" ht="14.25" customHeight="1" s="397">
      <c r="C39" s="170" t="n"/>
      <c r="D39" s="171" t="n"/>
      <c r="E39" s="172" t="n"/>
      <c r="F39" s="171" t="n"/>
      <c r="G39" s="160" t="n"/>
      <c r="H39" s="173" t="n"/>
      <c r="I39" s="713" t="n"/>
      <c r="J39" s="175" t="n"/>
      <c r="K39" s="175" t="n"/>
    </row>
    <row r="40" ht="14.25" customHeight="1" s="397">
      <c r="F40" s="685" t="n"/>
      <c r="H40" s="718" t="n"/>
      <c r="I40" s="177" t="n"/>
      <c r="J40" s="177" t="n"/>
      <c r="K40" s="139" t="n"/>
    </row>
    <row r="41" ht="14.25" customHeight="1" s="397">
      <c r="H41" s="173" t="n"/>
      <c r="I41" s="717" t="n"/>
      <c r="J41" s="139" t="n"/>
      <c r="K41" s="139" t="n"/>
    </row>
    <row r="42" ht="14.25" customHeight="1" s="397">
      <c r="H42" s="718" t="n"/>
      <c r="I42" s="713" t="n"/>
      <c r="J42" s="139" t="n"/>
      <c r="K42" s="139" t="n"/>
    </row>
    <row r="43" ht="14.25" customHeight="1" s="397">
      <c r="H43" s="719" t="n"/>
      <c r="J43" s="139" t="n"/>
      <c r="K43" s="139" t="n"/>
      <c r="M43" s="720" t="n"/>
    </row>
    <row r="44" hidden="1" ht="14.25" customHeight="1" s="397">
      <c r="H44" s="721">
        <f>H31*1%</f>
        <v/>
      </c>
    </row>
    <row r="45" ht="14.25" customHeight="1" s="397">
      <c r="H45" s="175" t="n"/>
      <c r="I45" s="139" t="n"/>
    </row>
    <row r="46" ht="14.25" customHeight="1" s="397">
      <c r="H46" s="175" t="n"/>
    </row>
    <row r="47" ht="14.25" customHeight="1" s="397">
      <c r="H47" s="175" t="n"/>
    </row>
    <row r="48" ht="14.25" customHeight="1" s="397">
      <c r="H48" s="175" t="n"/>
    </row>
    <row r="49" ht="14.25" customHeight="1" s="397">
      <c r="H49" s="713" t="n"/>
    </row>
    <row r="50" ht="14.25" customHeight="1" s="397">
      <c r="H50" s="175" t="n"/>
    </row>
    <row r="51" ht="14.25" customHeight="1" s="397">
      <c r="H51" s="175" t="n"/>
    </row>
    <row r="52" ht="14.25" customHeight="1" s="397">
      <c r="H52" s="175" t="n"/>
    </row>
    <row r="53" ht="14.25" customHeight="1" s="397">
      <c r="H53" s="175" t="n"/>
    </row>
    <row r="54" ht="14.25" customHeight="1" s="397">
      <c r="H54" s="175" t="n"/>
    </row>
    <row r="55" ht="14.25" customHeight="1" s="397">
      <c r="H55" s="175" t="n"/>
    </row>
  </sheetData>
  <mergeCells count="16">
    <mergeCell ref="K7:L7"/>
    <mergeCell ref="A31:D31"/>
    <mergeCell ref="H33:M33"/>
    <mergeCell ref="A1:M1"/>
    <mergeCell ref="I36:K36"/>
    <mergeCell ref="G38:H38"/>
    <mergeCell ref="I7:J7"/>
    <mergeCell ref="H43:I43"/>
    <mergeCell ref="A30:D30"/>
    <mergeCell ref="H34:M34"/>
    <mergeCell ref="I6:L6"/>
    <mergeCell ref="F6:G6"/>
    <mergeCell ref="A5:H5"/>
    <mergeCell ref="H44:I44"/>
    <mergeCell ref="A2:M2"/>
    <mergeCell ref="I5:L5"/>
  </mergeCells>
  <pageMargins left="0.45" right="0.16" top="0.51" bottom="0.5" header="0.46" footer="0.2"/>
  <pageSetup orientation="landscape" horizontalDpi="0" verticalDpi="0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72"/>
  <sheetViews>
    <sheetView topLeftCell="F35" zoomScale="190" zoomScaleNormal="190" workbookViewId="0">
      <selection activeCell="I9" sqref="I9:I46"/>
    </sheetView>
  </sheetViews>
  <sheetFormatPr baseColWidth="8" defaultColWidth="9.109375" defaultRowHeight="14.25" customHeight="1"/>
  <cols>
    <col width="8.109375" customWidth="1" style="156" min="1" max="1"/>
    <col width="7" customWidth="1" style="155" min="2" max="2"/>
    <col width="19.33203125" customWidth="1" style="155" min="3" max="3"/>
    <col width="7.44140625" customWidth="1" style="155" min="4" max="4"/>
    <col width="17.88671875" customWidth="1" style="155" min="5" max="5"/>
    <col width="4.6640625" customWidth="1" style="685" min="6" max="6"/>
    <col width="3" customWidth="1" style="685" min="7" max="7"/>
    <col width="11.109375" customWidth="1" style="155" min="8" max="8"/>
    <col width="11.88671875" customWidth="1" style="167" min="9" max="9"/>
    <col width="9" customWidth="1" style="155" min="10" max="10"/>
    <col width="5.44140625" customWidth="1" style="155" min="11" max="11"/>
    <col width="8.44140625" customWidth="1" style="155" min="12" max="12"/>
    <col width="4.33203125" customWidth="1" style="155" min="13" max="13"/>
    <col width="13.33203125" customWidth="1" style="155" min="14" max="14"/>
    <col width="15.109375" bestFit="1" customWidth="1" style="155" min="15" max="15"/>
    <col width="9.109375" customWidth="1" style="155" min="16" max="16384"/>
  </cols>
  <sheetData>
    <row r="1" ht="23.25" customFormat="1" customHeight="1" s="84">
      <c r="A1" s="546" t="inlineStr">
        <is>
          <t xml:space="preserve"> សៀវភៅទិនានុប្បវត្តិលក់- នាំចេញ</t>
        </is>
      </c>
      <c r="O1" s="83" t="n"/>
    </row>
    <row r="2" ht="22.5" customFormat="1" customHeight="1" s="85">
      <c r="A2" s="547" t="inlineStr">
        <is>
          <t xml:space="preserve"> ខែ​​ សីហា ឆ្នាំ ២០១៥</t>
        </is>
      </c>
      <c r="O2" s="83" t="n"/>
    </row>
    <row r="3" ht="22.5" customFormat="1" customHeight="1" s="95">
      <c r="A3" s="86" t="inlineStr">
        <is>
          <t xml:space="preserve">ជី អេវើរហ្រ្គីន( ខេមបូឌា​ ) នីតធីង  </t>
        </is>
      </c>
      <c r="B3" s="87" t="n"/>
      <c r="C3" s="547" t="n"/>
      <c r="D3" s="87" t="n"/>
      <c r="E3" s="547" t="n"/>
      <c r="F3" s="546" t="n"/>
      <c r="G3" s="546" t="n"/>
      <c r="H3" s="546" t="n"/>
      <c r="I3" s="546" t="n"/>
      <c r="J3" s="90" t="n"/>
      <c r="K3" s="91" t="n"/>
      <c r="L3" s="86" t="inlineStr">
        <is>
          <t>Vat:100193102</t>
        </is>
      </c>
      <c r="M3" s="92" t="n"/>
      <c r="N3" s="93" t="n"/>
      <c r="O3" s="94" t="n"/>
      <c r="P3" s="94" t="n"/>
    </row>
    <row r="4" ht="18" customFormat="1" customHeight="1" s="104" thickBot="1">
      <c r="A4" s="96" t="inlineStr">
        <is>
          <t xml:space="preserve">ភូមិជ្រៃកោង សង្កាត់ចោមចៅ ខណ្ឌ ពោធិសែនជ័យ ក្រុង ភ្នំពេញ </t>
        </is>
      </c>
      <c r="B4" s="97" t="n"/>
      <c r="C4" s="98" t="n"/>
      <c r="D4" s="99" t="n"/>
      <c r="E4" s="99" t="n"/>
      <c r="F4" s="100" t="n"/>
      <c r="G4" s="100" t="n"/>
      <c r="H4" s="100" t="n"/>
      <c r="I4" s="100" t="n"/>
      <c r="J4" s="101" t="n"/>
      <c r="K4" s="93" t="n"/>
      <c r="L4" s="97" t="inlineStr">
        <is>
          <t>Average:</t>
        </is>
      </c>
      <c r="M4" s="102" t="n">
        <v>4095</v>
      </c>
      <c r="N4" s="93" t="n"/>
      <c r="O4" s="103" t="n"/>
      <c r="P4" s="94" t="n"/>
    </row>
    <row r="5" ht="16.5" customFormat="1" customHeight="1" s="104">
      <c r="A5" s="548" t="inlineStr">
        <is>
          <t>វិក្ក័យប័ត្រ</t>
        </is>
      </c>
      <c r="B5" s="686" t="n"/>
      <c r="C5" s="686" t="n"/>
      <c r="D5" s="686" t="n"/>
      <c r="E5" s="686" t="n"/>
      <c r="F5" s="686" t="n"/>
      <c r="G5" s="686" t="n"/>
      <c r="H5" s="686" t="n"/>
      <c r="I5" s="686" t="n"/>
      <c r="J5" s="550" t="inlineStr">
        <is>
          <t>ការផ្គត់ផ្គង់</t>
        </is>
      </c>
      <c r="K5" s="686" t="n"/>
      <c r="L5" s="686" t="n"/>
      <c r="M5" s="687" t="n"/>
      <c r="N5" s="105" t="n"/>
    </row>
    <row r="6" ht="14.25" customFormat="1" customHeight="1" s="104">
      <c r="A6" s="106" t="inlineStr">
        <is>
          <t>កាលបរិចេ្ឆទ</t>
        </is>
      </c>
      <c r="B6" s="107" t="inlineStr">
        <is>
          <t>វិក្ក័យប័ត្រ</t>
        </is>
      </c>
      <c r="C6" s="107" t="inlineStr">
        <is>
          <t>អ្នកទិញ</t>
        </is>
      </c>
      <c r="D6" s="107" t="inlineStr">
        <is>
          <t>លេខ អតប</t>
        </is>
      </c>
      <c r="E6" s="107" t="inlineStr">
        <is>
          <t>បរិយាយ</t>
        </is>
      </c>
      <c r="F6" s="551" t="inlineStr">
        <is>
          <t>បរិមាណ</t>
        </is>
      </c>
      <c r="G6" s="574" t="n"/>
      <c r="H6" s="563" t="n"/>
      <c r="I6" s="108" t="n"/>
      <c r="J6" s="552" t="inlineStr">
        <is>
          <t>karlk;Cab;Gakr</t>
        </is>
      </c>
      <c r="K6" s="580" t="n"/>
      <c r="L6" s="580" t="n"/>
      <c r="M6" s="601" t="n"/>
      <c r="N6" s="109" t="inlineStr">
        <is>
          <t>សរុបថ្លៃទិញ</t>
        </is>
      </c>
    </row>
    <row r="7" ht="14.25" customFormat="1" customHeight="1" s="104">
      <c r="A7" s="110" t="n"/>
      <c r="B7" s="111" t="n"/>
      <c r="C7" s="111" t="n"/>
      <c r="D7" s="112" t="inlineStr">
        <is>
          <t>TIN</t>
        </is>
      </c>
      <c r="E7" s="113" t="n"/>
      <c r="F7" s="114" t="inlineStr">
        <is>
          <t>ការផ្គត់ផ្គង់</t>
        </is>
      </c>
      <c r="G7" s="574" t="n"/>
      <c r="H7" s="563" t="n"/>
      <c r="I7" s="114" t="inlineStr">
        <is>
          <t>ការនាំចេញ</t>
        </is>
      </c>
      <c r="J7" s="540" t="inlineStr">
        <is>
          <t>lk;;»übuKþlCab;Gakr</t>
        </is>
      </c>
      <c r="K7" s="563" t="n"/>
      <c r="L7" s="540" t="inlineStr">
        <is>
          <t>lk;;»üGñkeRbIR)as;</t>
        </is>
      </c>
      <c r="M7" s="563" t="n"/>
      <c r="N7" s="109" t="inlineStr">
        <is>
          <t>រួមទាំអាករ</t>
        </is>
      </c>
    </row>
    <row r="8" ht="14.25" customFormat="1" customHeight="1" s="104">
      <c r="A8" s="115" t="n"/>
      <c r="B8" s="116" t="n"/>
      <c r="C8" s="116" t="n"/>
      <c r="D8" s="117" t="n"/>
      <c r="E8" s="118" t="n"/>
      <c r="F8" s="114" t="inlineStr">
        <is>
          <t>មិនជាប់អាករ</t>
        </is>
      </c>
      <c r="G8" s="574" t="n"/>
      <c r="H8" s="563" t="n"/>
      <c r="I8" s="119" t="inlineStr">
        <is>
          <t>អត្រា​​ 0 %</t>
        </is>
      </c>
      <c r="J8" s="551" t="inlineStr">
        <is>
          <t>តំលៃជាប់អាករ</t>
        </is>
      </c>
      <c r="K8" s="551" t="inlineStr">
        <is>
          <t>អាករ</t>
        </is>
      </c>
      <c r="L8" s="551" t="inlineStr">
        <is>
          <t>តំលៃជាប់អាករ</t>
        </is>
      </c>
      <c r="M8" s="551" t="inlineStr">
        <is>
          <t>អាករ</t>
        </is>
      </c>
      <c r="N8" s="121" t="n"/>
    </row>
    <row r="9" ht="14.25" customFormat="1" customHeight="1" s="96">
      <c r="A9" s="690" t="n">
        <v>42202</v>
      </c>
      <c r="B9" s="123" t="inlineStr">
        <is>
          <t>E 72202</t>
        </is>
      </c>
      <c r="C9" s="124" t="inlineStr">
        <is>
          <t>Primark Us Corp</t>
        </is>
      </c>
      <c r="D9" s="125" t="n"/>
      <c r="E9" s="126" t="inlineStr">
        <is>
          <t>Men Zip Thru Hoody</t>
        </is>
      </c>
      <c r="F9" s="724" t="n">
        <v>65</v>
      </c>
      <c r="G9" s="128" t="inlineStr">
        <is>
          <t>CT</t>
        </is>
      </c>
      <c r="H9" s="129" t="n"/>
      <c r="I9" s="691" t="n">
        <v>16764930</v>
      </c>
      <c r="J9" s="551" t="n"/>
      <c r="K9" s="551" t="n"/>
      <c r="L9" s="129" t="n"/>
      <c r="M9" s="551" t="n"/>
      <c r="N9" s="692">
        <f>H9+I9</f>
        <v/>
      </c>
    </row>
    <row r="10" ht="14.25" customFormat="1" customHeight="1" s="96">
      <c r="A10" s="690" t="n">
        <v>42203</v>
      </c>
      <c r="B10" s="123" t="inlineStr">
        <is>
          <t>E 13027</t>
        </is>
      </c>
      <c r="C10" s="124" t="inlineStr">
        <is>
          <t>LPP S.A</t>
        </is>
      </c>
      <c r="D10" s="125" t="n"/>
      <c r="E10" s="126" t="inlineStr">
        <is>
          <t>Ladies Knit Jogging Top</t>
        </is>
      </c>
      <c r="F10" s="724" t="n">
        <v>64</v>
      </c>
      <c r="G10" s="128" t="inlineStr">
        <is>
          <t>CT</t>
        </is>
      </c>
      <c r="H10" s="129" t="n"/>
      <c r="I10" s="691" t="n">
        <v>26424115</v>
      </c>
      <c r="J10" s="551" t="n"/>
      <c r="K10" s="551" t="n"/>
      <c r="L10" s="129" t="n"/>
      <c r="M10" s="551" t="n"/>
      <c r="N10" s="692">
        <f>H10+I10</f>
        <v/>
      </c>
    </row>
    <row r="11" ht="14.25" customFormat="1" customHeight="1" s="96">
      <c r="A11" s="690" t="n">
        <v>42208</v>
      </c>
      <c r="B11" s="123" t="inlineStr">
        <is>
          <t>E 13359</t>
        </is>
      </c>
      <c r="C11" s="124" t="inlineStr">
        <is>
          <t>VDR Fashion Group BV</t>
        </is>
      </c>
      <c r="D11" s="125" t="n"/>
      <c r="E11" s="126" t="inlineStr">
        <is>
          <t>Ladies Knit Shirt</t>
        </is>
      </c>
      <c r="F11" s="724" t="n">
        <v>36</v>
      </c>
      <c r="G11" s="128" t="inlineStr">
        <is>
          <t>CT</t>
        </is>
      </c>
      <c r="H11" s="129" t="n"/>
      <c r="I11" s="691" t="n">
        <v>29192000</v>
      </c>
      <c r="J11" s="551" t="n"/>
      <c r="K11" s="551" t="n"/>
      <c r="L11" s="129" t="n"/>
      <c r="M11" s="551" t="n"/>
      <c r="N11" s="692">
        <f>H11+I11</f>
        <v/>
      </c>
    </row>
    <row r="12" ht="14.25" customFormat="1" customHeight="1" s="96">
      <c r="A12" s="690" t="n">
        <v>42209</v>
      </c>
      <c r="B12" s="123" t="inlineStr">
        <is>
          <t>E 74804</t>
        </is>
      </c>
      <c r="C12" s="124" t="inlineStr">
        <is>
          <t>Primark Us Corp</t>
        </is>
      </c>
      <c r="D12" s="125" t="n"/>
      <c r="E12" s="126" t="inlineStr">
        <is>
          <t>Boy Hoody</t>
        </is>
      </c>
      <c r="F12" s="724" t="n">
        <v>305</v>
      </c>
      <c r="G12" s="128" t="inlineStr">
        <is>
          <t>CT</t>
        </is>
      </c>
      <c r="H12" s="129" t="n"/>
      <c r="I12" s="691" t="n">
        <v>70028000</v>
      </c>
      <c r="J12" s="551" t="n"/>
      <c r="K12" s="551" t="n"/>
      <c r="L12" s="129" t="n"/>
      <c r="M12" s="551" t="n"/>
      <c r="N12" s="692">
        <f>H12+I12</f>
        <v/>
      </c>
    </row>
    <row r="13" ht="14.25" customFormat="1" customHeight="1" s="96">
      <c r="A13" s="690" t="n">
        <v>42209</v>
      </c>
      <c r="B13" s="123" t="inlineStr">
        <is>
          <t>E 74578</t>
        </is>
      </c>
      <c r="C13" s="124" t="inlineStr">
        <is>
          <t>LPP S.A</t>
        </is>
      </c>
      <c r="D13" s="125" t="n"/>
      <c r="E13" s="126" t="inlineStr">
        <is>
          <t>Men's Jogging Top</t>
        </is>
      </c>
      <c r="F13" s="724" t="n">
        <v>904</v>
      </c>
      <c r="G13" s="128" t="inlineStr">
        <is>
          <t>CT</t>
        </is>
      </c>
      <c r="H13" s="129" t="n"/>
      <c r="I13" s="691" t="n">
        <v>242980473</v>
      </c>
      <c r="J13" s="551" t="n"/>
      <c r="K13" s="551" t="n"/>
      <c r="L13" s="129" t="n"/>
      <c r="M13" s="551" t="n"/>
      <c r="N13" s="692">
        <f>H13+I13</f>
        <v/>
      </c>
    </row>
    <row r="14" ht="14.25" customFormat="1" customHeight="1" s="96">
      <c r="A14" s="690" t="n">
        <v>42210</v>
      </c>
      <c r="B14" s="123" t="inlineStr">
        <is>
          <t>E 76431</t>
        </is>
      </c>
      <c r="C14" s="124" t="inlineStr">
        <is>
          <t xml:space="preserve">Primark </t>
        </is>
      </c>
      <c r="D14" s="125" t="n"/>
      <c r="E14" s="126" t="inlineStr">
        <is>
          <t>Men Zip Thru Hoody</t>
        </is>
      </c>
      <c r="F14" s="724" t="n">
        <v>700</v>
      </c>
      <c r="G14" s="128" t="inlineStr">
        <is>
          <t>CT</t>
        </is>
      </c>
      <c r="H14" s="129" t="n"/>
      <c r="I14" s="691" t="n">
        <v>180986400</v>
      </c>
      <c r="J14" s="551" t="n"/>
      <c r="K14" s="551" t="n"/>
      <c r="L14" s="129" t="n"/>
      <c r="M14" s="551" t="n"/>
      <c r="N14" s="692">
        <f>H14+I14</f>
        <v/>
      </c>
    </row>
    <row r="15" ht="14.25" customFormat="1" customHeight="1" s="96">
      <c r="A15" s="690" t="n">
        <v>42210</v>
      </c>
      <c r="B15" s="123" t="inlineStr">
        <is>
          <t>E 76547</t>
        </is>
      </c>
      <c r="C15" s="124" t="inlineStr">
        <is>
          <t>Primark Stores Limited</t>
        </is>
      </c>
      <c r="D15" s="125" t="n"/>
      <c r="E15" s="126" t="inlineStr">
        <is>
          <t>7/2Boy Core Hoody</t>
        </is>
      </c>
      <c r="F15" s="724" t="n">
        <v>800</v>
      </c>
      <c r="G15" s="128" t="inlineStr">
        <is>
          <t>CT</t>
        </is>
      </c>
      <c r="H15" s="129" t="n"/>
      <c r="I15" s="691" t="n">
        <v>174420000</v>
      </c>
      <c r="J15" s="551" t="n"/>
      <c r="K15" s="551" t="n"/>
      <c r="L15" s="129" t="n"/>
      <c r="M15" s="551" t="n"/>
      <c r="N15" s="692">
        <f>H15+I15</f>
        <v/>
      </c>
    </row>
    <row r="16" ht="14.25" customFormat="1" customHeight="1" s="96">
      <c r="A16" s="690" t="n">
        <v>42210</v>
      </c>
      <c r="B16" s="123" t="inlineStr">
        <is>
          <t>E 65557</t>
        </is>
      </c>
      <c r="C16" s="124" t="inlineStr">
        <is>
          <t>LPP S.A</t>
        </is>
      </c>
      <c r="D16" s="125" t="n"/>
      <c r="E16" s="126" t="inlineStr">
        <is>
          <t>Ladies Jogging Top</t>
        </is>
      </c>
      <c r="F16" s="724" t="n">
        <v>680</v>
      </c>
      <c r="G16" s="128" t="inlineStr">
        <is>
          <t>CT</t>
        </is>
      </c>
      <c r="H16" s="129" t="n"/>
      <c r="I16" s="691" t="n">
        <v>178829338</v>
      </c>
      <c r="J16" s="551" t="n"/>
      <c r="K16" s="551" t="n"/>
      <c r="L16" s="129" t="n"/>
      <c r="M16" s="551" t="n"/>
      <c r="N16" s="692">
        <f>H16+I16</f>
        <v/>
      </c>
    </row>
    <row r="17" ht="14.25" customFormat="1" customHeight="1" s="96">
      <c r="A17" s="690" t="n">
        <v>42210</v>
      </c>
      <c r="B17" s="123" t="inlineStr">
        <is>
          <t>E 65557</t>
        </is>
      </c>
      <c r="C17" s="124" t="inlineStr">
        <is>
          <t>LPP S.A</t>
        </is>
      </c>
      <c r="D17" s="125" t="n"/>
      <c r="E17" s="126" t="inlineStr">
        <is>
          <t>Men's Knit Trousers</t>
        </is>
      </c>
      <c r="F17" s="724" t="n">
        <v>93</v>
      </c>
      <c r="G17" s="128" t="inlineStr">
        <is>
          <t>CT</t>
        </is>
      </c>
      <c r="H17" s="129" t="n"/>
      <c r="I17" s="691" t="n">
        <v>36022203</v>
      </c>
      <c r="J17" s="551" t="n"/>
      <c r="K17" s="551" t="n"/>
      <c r="L17" s="129" t="n"/>
      <c r="M17" s="551" t="n"/>
      <c r="N17" s="692">
        <f>H17+I17</f>
        <v/>
      </c>
    </row>
    <row r="18" ht="14.25" customFormat="1" customHeight="1" s="96">
      <c r="A18" s="690" t="n">
        <v>42215</v>
      </c>
      <c r="B18" s="132" t="inlineStr">
        <is>
          <t>E 76966</t>
        </is>
      </c>
      <c r="C18" s="124" t="inlineStr">
        <is>
          <t>Primark</t>
        </is>
      </c>
      <c r="D18" s="125" t="n"/>
      <c r="E18" s="126" t="inlineStr">
        <is>
          <t>See Val Note</t>
        </is>
      </c>
      <c r="F18" s="724" t="n">
        <v>355</v>
      </c>
      <c r="G18" s="128" t="inlineStr">
        <is>
          <t>CT</t>
        </is>
      </c>
      <c r="H18" s="129" t="n"/>
      <c r="I18" s="691" t="n">
        <v>89531330</v>
      </c>
      <c r="J18" s="551" t="n"/>
      <c r="K18" s="551" t="n"/>
      <c r="L18" s="129" t="n"/>
      <c r="M18" s="551" t="n"/>
      <c r="N18" s="692">
        <f>H18+I18</f>
        <v/>
      </c>
    </row>
    <row r="19" ht="14.25" customFormat="1" customHeight="1" s="96">
      <c r="A19" s="690" t="n">
        <v>42215</v>
      </c>
      <c r="B19" s="132" t="inlineStr">
        <is>
          <t>E 76966</t>
        </is>
      </c>
      <c r="C19" s="124" t="inlineStr">
        <is>
          <t>Primark</t>
        </is>
      </c>
      <c r="D19" s="125" t="n"/>
      <c r="E19" s="126" t="inlineStr">
        <is>
          <t>Ladies Nylon Zip Back Fl Legging</t>
        </is>
      </c>
      <c r="F19" s="724" t="n">
        <v>267</v>
      </c>
      <c r="G19" s="128" t="inlineStr">
        <is>
          <t>CT</t>
        </is>
      </c>
      <c r="H19" s="129" t="n"/>
      <c r="I19" s="691" t="n">
        <v>191743220</v>
      </c>
      <c r="J19" s="551" t="n"/>
      <c r="K19" s="551" t="n"/>
      <c r="L19" s="129" t="n"/>
      <c r="M19" s="551" t="n"/>
      <c r="N19" s="692">
        <f>H19+I19</f>
        <v/>
      </c>
    </row>
    <row r="20" ht="14.25" customFormat="1" customHeight="1" s="96">
      <c r="A20" s="690" t="n">
        <v>42216</v>
      </c>
      <c r="B20" s="132" t="inlineStr">
        <is>
          <t>E 78298</t>
        </is>
      </c>
      <c r="C20" s="124" t="inlineStr">
        <is>
          <t>Primark Us Corp</t>
        </is>
      </c>
      <c r="D20" s="125" t="n"/>
      <c r="E20" s="126" t="inlineStr">
        <is>
          <t>Mens Hoody</t>
        </is>
      </c>
      <c r="F20" s="724" t="n">
        <v>70</v>
      </c>
      <c r="G20" s="128" t="inlineStr">
        <is>
          <t>CT</t>
        </is>
      </c>
      <c r="H20" s="129" t="n"/>
      <c r="I20" s="691" t="n">
        <v>18116280</v>
      </c>
      <c r="J20" s="551" t="n"/>
      <c r="K20" s="551" t="n"/>
      <c r="L20" s="129" t="n"/>
      <c r="M20" s="551" t="n"/>
      <c r="N20" s="692">
        <f>H20+I20</f>
        <v/>
      </c>
    </row>
    <row r="21" ht="14.25" customFormat="1" customHeight="1" s="96">
      <c r="A21" s="690" t="n">
        <v>42216</v>
      </c>
      <c r="B21" s="132" t="inlineStr">
        <is>
          <t>E 77699</t>
        </is>
      </c>
      <c r="C21" s="124" t="inlineStr">
        <is>
          <t>LPP S.A</t>
        </is>
      </c>
      <c r="D21" s="125" t="n"/>
      <c r="E21" s="126" t="inlineStr">
        <is>
          <t>Men's Knit Trousers</t>
        </is>
      </c>
      <c r="F21" s="724" t="n">
        <v>256</v>
      </c>
      <c r="G21" s="128" t="inlineStr">
        <is>
          <t>CT</t>
        </is>
      </c>
      <c r="H21" s="129" t="n"/>
      <c r="I21" s="691" t="n">
        <v>101220463</v>
      </c>
      <c r="J21" s="551" t="n"/>
      <c r="K21" s="551" t="n"/>
      <c r="L21" s="129" t="n"/>
      <c r="M21" s="551" t="n"/>
      <c r="N21" s="692">
        <f>H21+I21</f>
        <v/>
      </c>
    </row>
    <row r="22" ht="14.25" customFormat="1" customHeight="1" s="96">
      <c r="A22" s="690" t="n">
        <v>42216</v>
      </c>
      <c r="B22" s="132" t="inlineStr">
        <is>
          <t>E 77699</t>
        </is>
      </c>
      <c r="C22" s="124" t="inlineStr">
        <is>
          <t>LPP S.A</t>
        </is>
      </c>
      <c r="D22" s="125" t="n"/>
      <c r="E22" s="126" t="inlineStr">
        <is>
          <t>Men's Jogging Top</t>
        </is>
      </c>
      <c r="F22" s="724" t="n">
        <v>79</v>
      </c>
      <c r="G22" s="128" t="inlineStr">
        <is>
          <t>CT</t>
        </is>
      </c>
      <c r="H22" s="129" t="n"/>
      <c r="I22" s="691" t="n">
        <v>18672092</v>
      </c>
      <c r="J22" s="551" t="n"/>
      <c r="K22" s="551" t="n"/>
      <c r="L22" s="129" t="n"/>
      <c r="M22" s="551" t="n"/>
      <c r="N22" s="692">
        <f>H22+I22</f>
        <v/>
      </c>
    </row>
    <row r="23" ht="14.25" customFormat="1" customHeight="1" s="96">
      <c r="A23" s="690" t="n">
        <v>42216</v>
      </c>
      <c r="B23" s="132" t="inlineStr">
        <is>
          <t>E 78825</t>
        </is>
      </c>
      <c r="C23" s="124" t="inlineStr">
        <is>
          <t>Primark Stores Limited</t>
        </is>
      </c>
      <c r="D23" s="125" t="n"/>
      <c r="E23" s="126" t="inlineStr">
        <is>
          <t>Ladies Legging</t>
        </is>
      </c>
      <c r="F23" s="724" t="n">
        <v>500</v>
      </c>
      <c r="G23" s="128" t="inlineStr">
        <is>
          <t>CT</t>
        </is>
      </c>
      <c r="H23" s="129" t="n"/>
      <c r="I23" s="691" t="n">
        <v>359244600</v>
      </c>
      <c r="J23" s="551" t="n"/>
      <c r="K23" s="551" t="n"/>
      <c r="L23" s="129" t="n"/>
      <c r="M23" s="551" t="n"/>
      <c r="N23" s="692">
        <f>H23+I23</f>
        <v/>
      </c>
    </row>
    <row r="24" ht="14.25" customFormat="1" customHeight="1" s="96">
      <c r="A24" s="690" t="n">
        <v>42217</v>
      </c>
      <c r="B24" s="132" t="inlineStr">
        <is>
          <t>E 79325</t>
        </is>
      </c>
      <c r="C24" s="124" t="inlineStr">
        <is>
          <t>Primark Stores Limited</t>
        </is>
      </c>
      <c r="D24" s="125" t="n"/>
      <c r="E24" s="126" t="inlineStr">
        <is>
          <t>7Boy/2Boy Core Hoody</t>
        </is>
      </c>
      <c r="F24" s="724" t="n">
        <v>640</v>
      </c>
      <c r="G24" s="128" t="inlineStr">
        <is>
          <t>CT</t>
        </is>
      </c>
      <c r="H24" s="129" t="n"/>
      <c r="I24" s="691" t="n">
        <v>141980760</v>
      </c>
      <c r="J24" s="551" t="n"/>
      <c r="K24" s="551" t="n"/>
      <c r="L24" s="129" t="n"/>
      <c r="M24" s="551" t="n"/>
      <c r="N24" s="692">
        <f>H24+I24</f>
        <v/>
      </c>
    </row>
    <row r="25" ht="14.25" customFormat="1" customHeight="1" s="96">
      <c r="A25" s="690" t="n">
        <v>42217</v>
      </c>
      <c r="B25" s="132" t="inlineStr">
        <is>
          <t>E 79317</t>
        </is>
      </c>
      <c r="C25" s="124" t="inlineStr">
        <is>
          <t>A.Levy &amp; Son Limited</t>
        </is>
      </c>
      <c r="D25" s="125" t="n"/>
      <c r="E25" s="126" t="inlineStr">
        <is>
          <t>Men's Neck Pullver / Hoody</t>
        </is>
      </c>
      <c r="F25" s="724" t="n">
        <v>635</v>
      </c>
      <c r="G25" s="128" t="inlineStr">
        <is>
          <t>CT</t>
        </is>
      </c>
      <c r="H25" s="129" t="n"/>
      <c r="I25" s="691" t="n">
        <v>311688076</v>
      </c>
      <c r="J25" s="551" t="n"/>
      <c r="K25" s="551" t="n"/>
      <c r="L25" s="129" t="n"/>
      <c r="M25" s="551" t="n"/>
      <c r="N25" s="692">
        <f>H25+I25</f>
        <v/>
      </c>
    </row>
    <row r="26" ht="14.25" customFormat="1" customHeight="1" s="96">
      <c r="A26" s="690" t="n">
        <v>42217</v>
      </c>
      <c r="B26" s="132" t="inlineStr">
        <is>
          <t>E 79287</t>
        </is>
      </c>
      <c r="C26" s="124" t="inlineStr">
        <is>
          <t>Primakr Tiendas Slu</t>
        </is>
      </c>
      <c r="D26" s="125" t="n"/>
      <c r="E26" s="126" t="inlineStr">
        <is>
          <t>Men's Zip Thru Hoody</t>
        </is>
      </c>
      <c r="F26" s="724" t="n">
        <v>2285</v>
      </c>
      <c r="G26" s="128" t="inlineStr">
        <is>
          <t>CT</t>
        </is>
      </c>
      <c r="H26" s="129" t="n"/>
      <c r="I26" s="691" t="n">
        <v>592086915</v>
      </c>
      <c r="J26" s="551" t="n"/>
      <c r="K26" s="551" t="n"/>
      <c r="L26" s="129" t="n"/>
      <c r="M26" s="551" t="n"/>
      <c r="N26" s="692">
        <f>H26+I26</f>
        <v/>
      </c>
    </row>
    <row r="27" ht="14.25" customFormat="1" customHeight="1" s="96">
      <c r="A27" s="690" t="n">
        <v>42217</v>
      </c>
      <c r="B27" s="132" t="inlineStr">
        <is>
          <t>E 79296</t>
        </is>
      </c>
      <c r="C27" s="124" t="inlineStr">
        <is>
          <t>Primark</t>
        </is>
      </c>
      <c r="D27" s="125" t="n"/>
      <c r="E27" s="126" t="inlineStr">
        <is>
          <t>Men's Zip Thru Hoody</t>
        </is>
      </c>
      <c r="F27" s="724" t="n">
        <v>695</v>
      </c>
      <c r="G27" s="128" t="inlineStr">
        <is>
          <t>CT</t>
        </is>
      </c>
      <c r="H27" s="129" t="n"/>
      <c r="I27" s="691" t="n">
        <v>180087705</v>
      </c>
      <c r="J27" s="551" t="n"/>
      <c r="K27" s="551" t="n"/>
      <c r="L27" s="129" t="n"/>
      <c r="M27" s="551" t="n"/>
      <c r="N27" s="692">
        <f>H27+I27</f>
        <v/>
      </c>
    </row>
    <row r="28" ht="14.25" customFormat="1" customHeight="1" s="96">
      <c r="A28" s="690" t="n">
        <v>42220</v>
      </c>
      <c r="B28" s="132" t="inlineStr">
        <is>
          <t>E 14352</t>
        </is>
      </c>
      <c r="C28" s="124" t="inlineStr">
        <is>
          <t>LPP S.A</t>
        </is>
      </c>
      <c r="D28" s="125" t="n"/>
      <c r="E28" s="126" t="inlineStr">
        <is>
          <t>Men's Knit Jogging Top</t>
        </is>
      </c>
      <c r="F28" s="724" t="n">
        <v>292</v>
      </c>
      <c r="G28" s="128" t="inlineStr">
        <is>
          <t>CT</t>
        </is>
      </c>
      <c r="H28" s="129" t="n"/>
      <c r="I28" s="691" t="n">
        <v>67012117</v>
      </c>
      <c r="J28" s="551" t="n"/>
      <c r="K28" s="551" t="n"/>
      <c r="L28" s="129" t="n"/>
      <c r="M28" s="551" t="n"/>
      <c r="N28" s="692">
        <f>H28+I28</f>
        <v/>
      </c>
    </row>
    <row r="29" ht="14.25" customFormat="1" customHeight="1" s="96">
      <c r="A29" s="690" t="n">
        <v>42222</v>
      </c>
      <c r="B29" s="132" t="inlineStr">
        <is>
          <t>E 79660</t>
        </is>
      </c>
      <c r="C29" s="124" t="inlineStr">
        <is>
          <t>Kik Texlilien Und-Food GMBH</t>
        </is>
      </c>
      <c r="D29" s="125" t="n"/>
      <c r="E29" s="126" t="inlineStr">
        <is>
          <t>Men's Knitted Sweatshirt</t>
        </is>
      </c>
      <c r="F29" s="724" t="n">
        <v>2875</v>
      </c>
      <c r="G29" s="128" t="inlineStr">
        <is>
          <t>CT</t>
        </is>
      </c>
      <c r="H29" s="129" t="n"/>
      <c r="I29" s="691" t="n">
        <v>344438512</v>
      </c>
      <c r="J29" s="551" t="n"/>
      <c r="K29" s="551" t="n"/>
      <c r="L29" s="129" t="n"/>
      <c r="M29" s="551" t="n"/>
      <c r="N29" s="692">
        <f>H29+I29</f>
        <v/>
      </c>
    </row>
    <row r="30" ht="14.25" customFormat="1" customHeight="1" s="96">
      <c r="A30" s="690" t="n">
        <v>42223</v>
      </c>
      <c r="B30" s="132" t="inlineStr">
        <is>
          <t>E 81282</t>
        </is>
      </c>
      <c r="C30" s="124" t="inlineStr">
        <is>
          <t>Primark</t>
        </is>
      </c>
      <c r="D30" s="125" t="n"/>
      <c r="E30" s="126" t="inlineStr">
        <is>
          <t>Men's +Boy Zip</t>
        </is>
      </c>
      <c r="F30" s="724" t="n">
        <v>75</v>
      </c>
      <c r="G30" s="128" t="inlineStr">
        <is>
          <t>CT</t>
        </is>
      </c>
      <c r="H30" s="129" t="n"/>
      <c r="I30" s="691" t="n">
        <v>18300065</v>
      </c>
      <c r="J30" s="551" t="n"/>
      <c r="K30" s="551" t="n"/>
      <c r="L30" s="129" t="n"/>
      <c r="M30" s="551" t="n"/>
      <c r="N30" s="692">
        <f>H30+I30</f>
        <v/>
      </c>
    </row>
    <row r="31" ht="14.25" customFormat="1" customHeight="1" s="96">
      <c r="A31" s="690" t="n">
        <v>42223</v>
      </c>
      <c r="B31" s="132" t="inlineStr">
        <is>
          <t>E 81282</t>
        </is>
      </c>
      <c r="C31" s="124" t="inlineStr">
        <is>
          <t>Primark</t>
        </is>
      </c>
      <c r="D31" s="125" t="n"/>
      <c r="E31" s="126" t="inlineStr">
        <is>
          <t>Ladies Legging</t>
        </is>
      </c>
      <c r="F31" s="724" t="n">
        <v>100</v>
      </c>
      <c r="G31" s="128" t="inlineStr">
        <is>
          <t>CT</t>
        </is>
      </c>
      <c r="H31" s="129" t="n"/>
      <c r="I31" s="691" t="n">
        <v>43228500</v>
      </c>
      <c r="J31" s="551" t="n"/>
      <c r="K31" s="551" t="n"/>
      <c r="L31" s="129" t="n"/>
      <c r="M31" s="551" t="n"/>
      <c r="N31" s="692">
        <f>H31+I31</f>
        <v/>
      </c>
    </row>
    <row r="32" ht="14.25" customFormat="1" customHeight="1" s="96">
      <c r="A32" s="690" t="n">
        <v>42223</v>
      </c>
      <c r="B32" s="132" t="inlineStr">
        <is>
          <t>E 80591</t>
        </is>
      </c>
      <c r="C32" s="124" t="inlineStr">
        <is>
          <t>Primark Stores Limited</t>
        </is>
      </c>
      <c r="D32" s="125" t="n"/>
      <c r="E32" s="126" t="inlineStr">
        <is>
          <t>Boy Contrast Hoody Core Hoody</t>
        </is>
      </c>
      <c r="F32" s="724" t="n">
        <v>720</v>
      </c>
      <c r="G32" s="128" t="inlineStr">
        <is>
          <t>CT</t>
        </is>
      </c>
      <c r="H32" s="129" t="n"/>
      <c r="I32" s="691" t="n">
        <v>158751520</v>
      </c>
      <c r="J32" s="551" t="n"/>
      <c r="K32" s="551" t="n"/>
      <c r="L32" s="129" t="n"/>
      <c r="M32" s="551" t="n"/>
      <c r="N32" s="692">
        <f>H32+I32</f>
        <v/>
      </c>
    </row>
    <row r="33" ht="14.25" customFormat="1" customHeight="1" s="96">
      <c r="A33" s="690" t="n">
        <v>42224</v>
      </c>
      <c r="B33" s="132" t="inlineStr">
        <is>
          <t>E 81979</t>
        </is>
      </c>
      <c r="C33" s="124" t="inlineStr">
        <is>
          <t>Primark Stores Limited</t>
        </is>
      </c>
      <c r="D33" s="125" t="n"/>
      <c r="E33" s="126" t="inlineStr">
        <is>
          <t>Ladies' Nylon Back FL Legging</t>
        </is>
      </c>
      <c r="F33" s="724" t="n">
        <v>167</v>
      </c>
      <c r="G33" s="128" t="inlineStr">
        <is>
          <t>CT</t>
        </is>
      </c>
      <c r="H33" s="129" t="n"/>
      <c r="I33" s="691" t="n">
        <v>72191595</v>
      </c>
      <c r="J33" s="551" t="n"/>
      <c r="K33" s="551" t="n"/>
      <c r="L33" s="129" t="n"/>
      <c r="M33" s="551" t="n"/>
      <c r="N33" s="692">
        <f>H33+I33</f>
        <v/>
      </c>
    </row>
    <row r="34" ht="14.25" customFormat="1" customHeight="1" s="96">
      <c r="A34" s="690" t="n">
        <v>42229</v>
      </c>
      <c r="B34" s="132" t="inlineStr">
        <is>
          <t>E 82631</t>
        </is>
      </c>
      <c r="C34" s="124" t="inlineStr">
        <is>
          <t>Adler Czech A.S</t>
        </is>
      </c>
      <c r="D34" s="125" t="n"/>
      <c r="E34" s="126" t="inlineStr">
        <is>
          <t>Gent Knit Sweatshirt + Sweater</t>
        </is>
      </c>
      <c r="F34" s="724" t="n">
        <v>853</v>
      </c>
      <c r="G34" s="128" t="inlineStr">
        <is>
          <t>CT</t>
        </is>
      </c>
      <c r="H34" s="129" t="n"/>
      <c r="I34" s="691" t="n">
        <v>348972482</v>
      </c>
      <c r="J34" s="551" t="n"/>
      <c r="K34" s="551" t="n"/>
      <c r="L34" s="129" t="n"/>
      <c r="M34" s="551" t="n"/>
      <c r="N34" s="692">
        <f>H34+I34</f>
        <v/>
      </c>
    </row>
    <row r="35" ht="14.25" customFormat="1" customHeight="1" s="96">
      <c r="A35" s="690" t="n">
        <v>42229</v>
      </c>
      <c r="B35" s="132" t="inlineStr">
        <is>
          <t>E 82631</t>
        </is>
      </c>
      <c r="C35" s="124" t="inlineStr">
        <is>
          <t>Adler Czech A.S</t>
        </is>
      </c>
      <c r="D35" s="125" t="n"/>
      <c r="E35" s="126" t="inlineStr">
        <is>
          <t>Ladies Knit Sweatshirt</t>
        </is>
      </c>
      <c r="F35" s="724" t="n">
        <v>171</v>
      </c>
      <c r="G35" s="128" t="inlineStr">
        <is>
          <t>CT</t>
        </is>
      </c>
      <c r="H35" s="129" t="n"/>
      <c r="I35" s="691" t="n">
        <v>103909128</v>
      </c>
      <c r="J35" s="551" t="n"/>
      <c r="K35" s="551" t="n"/>
      <c r="L35" s="129" t="n"/>
      <c r="M35" s="551" t="n"/>
      <c r="N35" s="692">
        <f>H35+I35</f>
        <v/>
      </c>
    </row>
    <row r="36" ht="14.25" customFormat="1" customHeight="1" s="96">
      <c r="A36" s="690" t="n">
        <v>42230</v>
      </c>
      <c r="B36" s="132" t="inlineStr">
        <is>
          <t>E 84211</t>
        </is>
      </c>
      <c r="C36" s="124" t="inlineStr">
        <is>
          <t>LPP S.A</t>
        </is>
      </c>
      <c r="D36" s="125" t="n"/>
      <c r="E36" s="126" t="inlineStr">
        <is>
          <t>Men's Trousers</t>
        </is>
      </c>
      <c r="F36" s="724" t="n">
        <v>230</v>
      </c>
      <c r="G36" s="128" t="inlineStr">
        <is>
          <t>CT</t>
        </is>
      </c>
      <c r="H36" s="129" t="n"/>
      <c r="I36" s="691" t="n">
        <v>83919611</v>
      </c>
      <c r="J36" s="551" t="n"/>
      <c r="K36" s="551" t="n"/>
      <c r="L36" s="129" t="n"/>
      <c r="M36" s="551" t="n"/>
      <c r="N36" s="692">
        <f>H36+I36</f>
        <v/>
      </c>
    </row>
    <row r="37" ht="18.75" customFormat="1" customHeight="1" s="96">
      <c r="A37" s="690" t="n">
        <v>42230</v>
      </c>
      <c r="B37" s="132" t="inlineStr">
        <is>
          <t>E 83211</t>
        </is>
      </c>
      <c r="C37" s="124" t="inlineStr">
        <is>
          <t>A.Levy &amp; Son Limited</t>
        </is>
      </c>
      <c r="D37" s="125" t="n"/>
      <c r="E37" s="126" t="inlineStr">
        <is>
          <t>Men's Knit Long Sleeve Zip Thru Jacket</t>
        </is>
      </c>
      <c r="F37" s="724" t="n">
        <v>244</v>
      </c>
      <c r="G37" s="128" t="inlineStr">
        <is>
          <t>CT</t>
        </is>
      </c>
      <c r="H37" s="129" t="n"/>
      <c r="I37" s="691" t="n">
        <v>123404769</v>
      </c>
      <c r="J37" s="551" t="n"/>
      <c r="K37" s="551" t="n"/>
      <c r="L37" s="129" t="n"/>
      <c r="M37" s="551" t="n"/>
      <c r="N37" s="692">
        <f>H37+I37</f>
        <v/>
      </c>
    </row>
    <row r="38" ht="14.25" customFormat="1" customHeight="1" s="96">
      <c r="A38" s="690" t="n">
        <v>42230</v>
      </c>
      <c r="B38" s="132" t="inlineStr">
        <is>
          <t>E 83211</t>
        </is>
      </c>
      <c r="C38" s="124" t="inlineStr">
        <is>
          <t>A.Levy &amp; Son Limited</t>
        </is>
      </c>
      <c r="D38" s="125" t="n"/>
      <c r="E38" s="126" t="inlineStr">
        <is>
          <t>Men's Knit Hoody</t>
        </is>
      </c>
      <c r="F38" s="724" t="n">
        <v>178</v>
      </c>
      <c r="G38" s="128" t="inlineStr">
        <is>
          <t>CT</t>
        </is>
      </c>
      <c r="H38" s="129" t="n"/>
      <c r="I38" s="691" t="n">
        <v>89718899</v>
      </c>
      <c r="J38" s="551" t="n"/>
      <c r="K38" s="551" t="n"/>
      <c r="L38" s="129" t="n"/>
      <c r="M38" s="551" t="n"/>
      <c r="N38" s="692">
        <f>H38+I38</f>
        <v/>
      </c>
    </row>
    <row r="39" ht="14.25" customFormat="1" customHeight="1" s="96">
      <c r="A39" s="690" t="n">
        <v>42236</v>
      </c>
      <c r="B39" s="132" t="inlineStr">
        <is>
          <t>E 85424</t>
        </is>
      </c>
      <c r="C39" s="124" t="inlineStr">
        <is>
          <t>A.Levy &amp; Son Limited</t>
        </is>
      </c>
      <c r="D39" s="125" t="n"/>
      <c r="E39" s="126" t="inlineStr">
        <is>
          <t>Men's Knit Pullover</t>
        </is>
      </c>
      <c r="F39" s="724" t="n">
        <v>253</v>
      </c>
      <c r="G39" s="128" t="inlineStr">
        <is>
          <t>CT</t>
        </is>
      </c>
      <c r="H39" s="129" t="n"/>
      <c r="I39" s="691" t="n">
        <v>107902807</v>
      </c>
      <c r="J39" s="551" t="n"/>
      <c r="K39" s="551" t="n"/>
      <c r="L39" s="129" t="n"/>
      <c r="M39" s="551" t="n"/>
      <c r="N39" s="692">
        <f>H39+I39</f>
        <v/>
      </c>
    </row>
    <row r="40" ht="14.25" customFormat="1" customHeight="1" s="96">
      <c r="A40" s="690" t="n">
        <v>42237</v>
      </c>
      <c r="B40" s="132" t="inlineStr">
        <is>
          <t>E 86517</t>
        </is>
      </c>
      <c r="C40" s="124" t="inlineStr">
        <is>
          <t>Primarkus Corp</t>
        </is>
      </c>
      <c r="D40" s="125" t="n"/>
      <c r="E40" s="126" t="inlineStr">
        <is>
          <t>Men Knit Chesi Print Zip</t>
        </is>
      </c>
      <c r="F40" s="724" t="n">
        <v>17</v>
      </c>
      <c r="G40" s="128" t="inlineStr">
        <is>
          <t>CT</t>
        </is>
      </c>
      <c r="H40" s="129" t="n"/>
      <c r="I40" s="691" t="n">
        <v>4368609</v>
      </c>
      <c r="J40" s="551" t="n"/>
      <c r="K40" s="551" t="n"/>
      <c r="L40" s="129" t="n"/>
      <c r="M40" s="551" t="n"/>
      <c r="N40" s="692">
        <f>H40+I40</f>
        <v/>
      </c>
    </row>
    <row r="41" ht="14.25" customFormat="1" customHeight="1" s="96">
      <c r="A41" s="690" t="n">
        <v>42237</v>
      </c>
      <c r="B41" s="132" t="inlineStr">
        <is>
          <t>E 87246</t>
        </is>
      </c>
      <c r="C41" s="124" t="inlineStr">
        <is>
          <t>Primark Stores Limited</t>
        </is>
      </c>
      <c r="D41" s="125" t="n"/>
      <c r="E41" s="126" t="inlineStr">
        <is>
          <t>Boy's Hoody</t>
        </is>
      </c>
      <c r="F41" s="724" t="n">
        <v>200</v>
      </c>
      <c r="G41" s="128" t="inlineStr">
        <is>
          <t>CT</t>
        </is>
      </c>
      <c r="H41" s="129" t="n"/>
      <c r="I41" s="691" t="n">
        <v>41197900</v>
      </c>
      <c r="J41" s="551" t="n"/>
      <c r="K41" s="551" t="n"/>
      <c r="L41" s="129" t="n"/>
      <c r="M41" s="551" t="n"/>
      <c r="N41" s="692">
        <f>H41+I41</f>
        <v/>
      </c>
    </row>
    <row r="42" ht="14.25" customFormat="1" customHeight="1" s="96">
      <c r="A42" s="690" t="n">
        <v>42237</v>
      </c>
      <c r="B42" s="132" t="inlineStr">
        <is>
          <t>E 87199</t>
        </is>
      </c>
      <c r="C42" s="124" t="inlineStr">
        <is>
          <t>Primakr Tiendas S.l.u.</t>
        </is>
      </c>
      <c r="D42" s="125" t="n"/>
      <c r="E42" s="126" t="inlineStr">
        <is>
          <t>Men's Knit Chest Print Zip Thru</t>
        </is>
      </c>
      <c r="F42" s="724" t="n">
        <v>250</v>
      </c>
      <c r="G42" s="128" t="inlineStr">
        <is>
          <t>CT</t>
        </is>
      </c>
      <c r="H42" s="129" t="n"/>
      <c r="I42" s="691">
        <f>15750*4079</f>
        <v/>
      </c>
      <c r="J42" s="551" t="n"/>
      <c r="K42" s="551" t="n"/>
      <c r="L42" s="129" t="n"/>
      <c r="M42" s="551" t="n"/>
      <c r="N42" s="692">
        <f>H42+I42</f>
        <v/>
      </c>
    </row>
    <row r="43" ht="14.25" customFormat="1" customHeight="1" s="96">
      <c r="A43" s="690" t="n">
        <v>42237</v>
      </c>
      <c r="B43" s="132" t="inlineStr">
        <is>
          <t>E 87074</t>
        </is>
      </c>
      <c r="C43" s="124" t="inlineStr">
        <is>
          <t>Primark 47 Mary Street Dublin1.</t>
        </is>
      </c>
      <c r="D43" s="125" t="n"/>
      <c r="E43" s="126" t="inlineStr">
        <is>
          <t>Men's Knit Chest Print Zip Thru</t>
        </is>
      </c>
      <c r="F43" s="724" t="n">
        <v>192</v>
      </c>
      <c r="G43" s="128" t="inlineStr">
        <is>
          <t>CT</t>
        </is>
      </c>
      <c r="H43" s="129" t="n"/>
      <c r="I43" s="691" t="n">
        <v>49339584</v>
      </c>
      <c r="J43" s="551" t="n"/>
      <c r="K43" s="551" t="n"/>
      <c r="L43" s="129" t="n"/>
      <c r="M43" s="551" t="n"/>
      <c r="N43" s="692">
        <f>H43+I43</f>
        <v/>
      </c>
    </row>
    <row r="44" ht="14.25" customFormat="1" customHeight="1" s="96">
      <c r="A44" s="690" t="n">
        <v>42237</v>
      </c>
      <c r="B44" s="132" t="inlineStr">
        <is>
          <t>E 86097</t>
        </is>
      </c>
      <c r="C44" s="124" t="inlineStr">
        <is>
          <t>Primark Stores Limited</t>
        </is>
      </c>
      <c r="D44" s="125" t="n"/>
      <c r="E44" s="126" t="inlineStr">
        <is>
          <t>See Val Note</t>
        </is>
      </c>
      <c r="F44" s="724" t="n">
        <v>756</v>
      </c>
      <c r="G44" s="128" t="inlineStr">
        <is>
          <t>CT</t>
        </is>
      </c>
      <c r="H44" s="129" t="n"/>
      <c r="I44" s="691" t="n">
        <v>178378749</v>
      </c>
      <c r="J44" s="551" t="n"/>
      <c r="K44" s="551" t="n"/>
      <c r="L44" s="129" t="n"/>
      <c r="M44" s="551" t="n"/>
      <c r="N44" s="692">
        <f>H44+I44</f>
        <v/>
      </c>
    </row>
    <row r="45" ht="14.25" customFormat="1" customHeight="1" s="96">
      <c r="A45" s="690" t="n">
        <v>42237</v>
      </c>
      <c r="B45" s="132" t="inlineStr">
        <is>
          <t>E 86347</t>
        </is>
      </c>
      <c r="C45" s="124" t="inlineStr">
        <is>
          <t>LPP S.A</t>
        </is>
      </c>
      <c r="D45" s="125" t="n"/>
      <c r="E45" s="126" t="inlineStr">
        <is>
          <t>Men's Jogging Top</t>
        </is>
      </c>
      <c r="F45" s="724" t="n">
        <v>725</v>
      </c>
      <c r="G45" s="128" t="inlineStr">
        <is>
          <t>CT</t>
        </is>
      </c>
      <c r="H45" s="129" t="n"/>
      <c r="I45" s="691" t="n">
        <v>162100480</v>
      </c>
      <c r="J45" s="551" t="n"/>
      <c r="K45" s="551" t="n"/>
      <c r="L45" s="129" t="n"/>
      <c r="M45" s="551" t="n"/>
      <c r="N45" s="692">
        <f>H45+I45</f>
        <v/>
      </c>
    </row>
    <row r="46" ht="14.25" customFormat="1" customHeight="1" s="96">
      <c r="A46" s="690" t="n">
        <v>42237</v>
      </c>
      <c r="B46" s="132" t="inlineStr">
        <is>
          <t>E 86347</t>
        </is>
      </c>
      <c r="C46" s="124" t="inlineStr">
        <is>
          <t>LPP S.A</t>
        </is>
      </c>
      <c r="D46" s="125" t="n"/>
      <c r="E46" s="126" t="inlineStr">
        <is>
          <t>Men's Knit Trousers</t>
        </is>
      </c>
      <c r="F46" s="724" t="n">
        <v>531</v>
      </c>
      <c r="G46" s="128" t="inlineStr">
        <is>
          <t>CT</t>
        </is>
      </c>
      <c r="H46" s="129" t="n"/>
      <c r="I46" s="691" t="n">
        <v>203679970</v>
      </c>
      <c r="J46" s="551" t="n"/>
      <c r="K46" s="551" t="n"/>
      <c r="L46" s="129" t="n"/>
      <c r="M46" s="551" t="n"/>
      <c r="N46" s="692">
        <f>H46+I46</f>
        <v/>
      </c>
    </row>
    <row r="47" ht="14.25" customFormat="1" customHeight="1" s="139">
      <c r="A47" s="693">
        <f>M4</f>
        <v/>
      </c>
      <c r="B47" s="574" t="n"/>
      <c r="C47" s="574" t="n"/>
      <c r="D47" s="563" t="n"/>
      <c r="E47" s="133" t="inlineStr">
        <is>
          <t>Riel</t>
        </is>
      </c>
      <c r="F47" s="134" t="n"/>
      <c r="G47" s="128" t="n"/>
      <c r="H47" s="135" t="n"/>
      <c r="I47" s="695">
        <f>SUM(I9:I46)</f>
        <v/>
      </c>
      <c r="J47" s="137" t="n"/>
      <c r="K47" s="137" t="n"/>
      <c r="L47" s="137" t="n"/>
      <c r="M47" s="137" t="n"/>
      <c r="N47" s="696">
        <f>SUM(N9:N46)</f>
        <v/>
      </c>
    </row>
    <row r="48" ht="14.25" customFormat="1" customHeight="1" s="139" thickBot="1">
      <c r="A48" s="697" t="inlineStr">
        <is>
          <t>Total USD</t>
        </is>
      </c>
      <c r="B48" s="698" t="n"/>
      <c r="C48" s="698" t="n"/>
      <c r="D48" s="699" t="n"/>
      <c r="E48" s="140" t="inlineStr">
        <is>
          <t>USD</t>
        </is>
      </c>
      <c r="F48" s="725" t="n"/>
      <c r="G48" s="726" t="n"/>
      <c r="H48" s="143">
        <f>H47/M4</f>
        <v/>
      </c>
      <c r="I48" s="701">
        <f>I47/M4</f>
        <v/>
      </c>
      <c r="J48" s="702">
        <f>J47*4034</f>
        <v/>
      </c>
      <c r="K48" s="702">
        <f>K47*4034</f>
        <v/>
      </c>
      <c r="L48" s="702">
        <f>L47*4034</f>
        <v/>
      </c>
      <c r="M48" s="702">
        <f>M47*4034</f>
        <v/>
      </c>
      <c r="N48" s="703">
        <f>N47/M4</f>
        <v/>
      </c>
    </row>
    <row r="49" ht="15.75" customFormat="1" customHeight="1" s="151">
      <c r="A49" s="147" t="n"/>
      <c r="B49" s="148" t="n"/>
      <c r="C49" s="148" t="n"/>
      <c r="D49" s="148" t="n"/>
      <c r="E49" s="148" t="n"/>
      <c r="F49" s="704" t="n"/>
      <c r="G49" s="704" t="n"/>
      <c r="H49" s="148" t="inlineStr">
        <is>
          <t>Box 12</t>
        </is>
      </c>
      <c r="I49" s="150" t="inlineStr">
        <is>
          <t xml:space="preserve">    </t>
        </is>
      </c>
      <c r="J49" s="148" t="inlineStr">
        <is>
          <t>Box 14</t>
        </is>
      </c>
      <c r="K49" s="148" t="inlineStr">
        <is>
          <t>Box 15</t>
        </is>
      </c>
      <c r="L49" s="148" t="inlineStr">
        <is>
          <t>Box 14</t>
        </is>
      </c>
      <c r="M49" s="148" t="inlineStr">
        <is>
          <t>Box 15</t>
        </is>
      </c>
      <c r="N49" s="148" t="n"/>
    </row>
    <row r="50" ht="14.25" customHeight="1" s="397">
      <c r="A50" s="152" t="n"/>
      <c r="B50" s="153" t="n"/>
      <c r="C50" s="153" t="n"/>
      <c r="D50" s="153" t="n"/>
      <c r="E50" s="153" t="n"/>
      <c r="F50" s="705" t="n"/>
      <c r="G50" s="705" t="n"/>
      <c r="H50" s="153" t="n"/>
      <c r="I50" s="544" t="inlineStr">
        <is>
          <t>Approved By :</t>
        </is>
      </c>
    </row>
    <row r="51" ht="19.5" customHeight="1" s="397">
      <c r="I51" s="545" t="n"/>
      <c r="O51" s="706" t="n"/>
    </row>
    <row r="52" hidden="1" ht="18" customHeight="1" s="397">
      <c r="I52" s="707">
        <f>I48*1%</f>
        <v/>
      </c>
      <c r="J52" s="160" t="n"/>
      <c r="K52" s="727" t="n"/>
      <c r="L52" s="709" t="n"/>
      <c r="M52" s="709" t="n"/>
    </row>
    <row r="53" ht="14.25" customHeight="1" s="397">
      <c r="I53" s="163" t="n"/>
      <c r="J53" s="537" t="n"/>
      <c r="M53" s="163" t="n"/>
    </row>
    <row r="54" ht="14.25" customHeight="1" s="397">
      <c r="C54" s="164" t="n"/>
      <c r="D54" s="165" t="n"/>
      <c r="E54" s="165" t="n"/>
      <c r="F54" s="710" t="n"/>
      <c r="G54" s="710" t="n"/>
    </row>
    <row r="55" ht="14.25" customHeight="1" s="397">
      <c r="F55" s="685" t="n"/>
      <c r="G55" s="685" t="n"/>
      <c r="H55" s="723" t="n"/>
      <c r="J55" s="169" t="n"/>
    </row>
    <row r="56" ht="14.25" customHeight="1" s="397">
      <c r="C56" s="170" t="n"/>
      <c r="D56" s="171" t="n"/>
      <c r="E56" s="172" t="n"/>
      <c r="F56" s="171" t="n"/>
      <c r="G56" s="171" t="n"/>
      <c r="H56" s="160" t="n"/>
      <c r="I56" s="173" t="n"/>
      <c r="J56" s="713" t="n"/>
      <c r="K56" s="175" t="n"/>
      <c r="L56" s="175" t="n"/>
      <c r="O56" s="169" t="n"/>
    </row>
    <row r="57" ht="14.25" customHeight="1" s="397">
      <c r="F57" s="685" t="n"/>
      <c r="G57" s="685" t="n"/>
      <c r="I57" s="718" t="n"/>
      <c r="J57" s="177" t="n"/>
      <c r="K57" s="177" t="n"/>
      <c r="L57" s="139" t="n"/>
    </row>
    <row r="58" ht="14.25" customHeight="1" s="397">
      <c r="I58" s="173" t="n"/>
      <c r="J58" s="717" t="n"/>
      <c r="K58" s="139" t="n"/>
      <c r="L58" s="139" t="n"/>
    </row>
    <row r="59" ht="14.25" customHeight="1" s="397">
      <c r="I59" s="718" t="n"/>
      <c r="J59" s="713" t="n"/>
      <c r="K59" s="139" t="n"/>
      <c r="L59" s="139" t="n"/>
    </row>
    <row r="60" ht="14.25" customHeight="1" s="397">
      <c r="I60" s="719" t="n"/>
      <c r="K60" s="139" t="n"/>
      <c r="L60" s="139" t="n"/>
      <c r="N60" s="720" t="n"/>
    </row>
    <row r="61" hidden="1" ht="14.25" customHeight="1" s="397">
      <c r="I61" s="721">
        <f>I48*1%</f>
        <v/>
      </c>
    </row>
    <row r="62" ht="14.25" customHeight="1" s="397">
      <c r="I62" s="175" t="n"/>
      <c r="J62" s="139" t="n"/>
    </row>
    <row r="63" ht="14.25" customHeight="1" s="397">
      <c r="I63" s="175" t="n"/>
    </row>
    <row r="64" ht="14.25" customHeight="1" s="397">
      <c r="I64" s="175" t="n"/>
    </row>
    <row r="65" ht="14.25" customHeight="1" s="397">
      <c r="I65" s="175" t="n"/>
    </row>
    <row r="66" ht="14.25" customHeight="1" s="397">
      <c r="I66" s="713" t="n"/>
    </row>
    <row r="67" ht="14.25" customHeight="1" s="397">
      <c r="I67" s="175" t="n"/>
    </row>
    <row r="68" ht="14.25" customHeight="1" s="397">
      <c r="I68" s="175" t="n"/>
    </row>
    <row r="69" ht="14.25" customHeight="1" s="397">
      <c r="I69" s="175" t="n"/>
    </row>
    <row r="70" ht="14.25" customHeight="1" s="397">
      <c r="I70" s="175" t="n"/>
    </row>
    <row r="71" ht="14.25" customHeight="1" s="397">
      <c r="I71" s="175" t="n"/>
    </row>
    <row r="72" ht="14.25" customHeight="1" s="397">
      <c r="I72" s="175" t="n"/>
    </row>
  </sheetData>
  <mergeCells count="18">
    <mergeCell ref="A1:N1"/>
    <mergeCell ref="J5:M5"/>
    <mergeCell ref="F6:H6"/>
    <mergeCell ref="L7:M7"/>
    <mergeCell ref="A5:I5"/>
    <mergeCell ref="A48:D48"/>
    <mergeCell ref="A2:N2"/>
    <mergeCell ref="J7:K7"/>
    <mergeCell ref="I50:N50"/>
    <mergeCell ref="F8:H8"/>
    <mergeCell ref="J6:M6"/>
    <mergeCell ref="H55:I55"/>
    <mergeCell ref="F7:H7"/>
    <mergeCell ref="I61:J61"/>
    <mergeCell ref="A47:D47"/>
    <mergeCell ref="I60:J60"/>
    <mergeCell ref="I51:N51"/>
    <mergeCell ref="J53:L53"/>
  </mergeCells>
  <pageMargins left="0.45" right="0.16" top="0.51" bottom="0.5" header="0.46" footer="0.2"/>
  <pageSetup orientation="landscape" horizontalDpi="0" verticalDpi="0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PHAY</dc:creator>
  <dcterms:created xmlns:dcterms="http://purl.org/dc/terms/" xmlns:xsi="http://www.w3.org/2001/XMLSchema-instance" xsi:type="dcterms:W3CDTF">2002-01-25T08:51:18Z</dcterms:created>
  <dcterms:modified xmlns:dcterms="http://purl.org/dc/terms/" xmlns:xsi="http://www.w3.org/2001/XMLSchema-instance" xsi:type="dcterms:W3CDTF">2026-02-13T17:09:54Z</dcterms:modified>
  <cp:lastModifiedBy>Sophara Rith</cp:lastModifiedBy>
  <cp:lastPrinted>2025-06-16T09:11:36Z</cp:lastPrinted>
</cp:coreProperties>
</file>